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Equities\"/>
    </mc:Choice>
  </mc:AlternateContent>
  <bookViews>
    <workbookView xWindow="120" yWindow="2055" windowWidth="15510" windowHeight="10065" xr2:uid="{00000000-000D-0000-FFFF-FFFF00000000}"/>
  </bookViews>
  <sheets>
    <sheet name="Pricer" sheetId="1" r:id="rId1"/>
    <sheet name="Zero_Curves" sheetId="3" r:id="rId2"/>
    <sheet name="Dividend Data" sheetId="5" r:id="rId3"/>
    <sheet name="Tree check" sheetId="2" state="hidden" r:id="rId4"/>
  </sheets>
  <definedNames>
    <definedName name="_xlnm._FilterDatabase" localSheetId="2" hidden="1">'Dividend Data'!$A$1:$G$6001</definedName>
    <definedName name="_xlnm.Print_Area" localSheetId="0">Pricer!$B$1:$L$48</definedName>
  </definedNames>
  <calcPr calcId="171027" calcMode="manual"/>
</workbook>
</file>

<file path=xl/calcChain.xml><?xml version="1.0" encoding="utf-8"?>
<calcChain xmlns="http://schemas.openxmlformats.org/spreadsheetml/2006/main">
  <c r="B1" i="3" l="1"/>
  <c r="G34" i="1"/>
  <c r="C14" i="2" s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I18" i="1"/>
  <c r="G3" i="5"/>
  <c r="G4" i="5" s="1"/>
  <c r="G9" i="5"/>
  <c r="C9" i="5"/>
  <c r="G10" i="5"/>
  <c r="G11" i="5" s="1"/>
  <c r="G12" i="5" s="1"/>
  <c r="G18" i="5"/>
  <c r="G28" i="5"/>
  <c r="C28" i="5" s="1"/>
  <c r="G29" i="5"/>
  <c r="G37" i="5"/>
  <c r="C37" i="5" s="1"/>
  <c r="G38" i="5"/>
  <c r="G39" i="5" s="1"/>
  <c r="C38" i="5"/>
  <c r="G55" i="5"/>
  <c r="G56" i="5" s="1"/>
  <c r="C55" i="5"/>
  <c r="G64" i="5"/>
  <c r="G74" i="5"/>
  <c r="G75" i="5" s="1"/>
  <c r="G76" i="5" s="1"/>
  <c r="C74" i="5"/>
  <c r="C75" i="5"/>
  <c r="G83" i="5"/>
  <c r="G84" i="5" s="1"/>
  <c r="G92" i="5"/>
  <c r="C92" i="5" s="1"/>
  <c r="G93" i="5"/>
  <c r="G109" i="5"/>
  <c r="G118" i="5"/>
  <c r="G119" i="5" s="1"/>
  <c r="G120" i="5" s="1"/>
  <c r="C119" i="5"/>
  <c r="G126" i="5"/>
  <c r="G136" i="5"/>
  <c r="C136" i="5" s="1"/>
  <c r="G137" i="5"/>
  <c r="G145" i="5"/>
  <c r="G146" i="5" s="1"/>
  <c r="G147" i="5" s="1"/>
  <c r="C145" i="5"/>
  <c r="G155" i="5"/>
  <c r="G156" i="5" s="1"/>
  <c r="C155" i="5"/>
  <c r="G165" i="5"/>
  <c r="C165" i="5" s="1"/>
  <c r="G166" i="5"/>
  <c r="G167" i="5" s="1"/>
  <c r="C166" i="5"/>
  <c r="G175" i="5"/>
  <c r="G176" i="5" s="1"/>
  <c r="G184" i="5"/>
  <c r="C184" i="5" s="1"/>
  <c r="G185" i="5"/>
  <c r="G191" i="5"/>
  <c r="G192" i="5" s="1"/>
  <c r="C191" i="5"/>
  <c r="G201" i="5"/>
  <c r="C201" i="5" s="1"/>
  <c r="G202" i="5"/>
  <c r="G211" i="5"/>
  <c r="G221" i="5"/>
  <c r="C221" i="5"/>
  <c r="G222" i="5"/>
  <c r="G223" i="5" s="1"/>
  <c r="G224" i="5" s="1"/>
  <c r="G229" i="5"/>
  <c r="C229" i="5" s="1"/>
  <c r="G230" i="5"/>
  <c r="G231" i="5" s="1"/>
  <c r="G238" i="5"/>
  <c r="G239" i="5" s="1"/>
  <c r="G248" i="5"/>
  <c r="C248" i="5" s="1"/>
  <c r="G249" i="5"/>
  <c r="G254" i="5"/>
  <c r="G255" i="5" s="1"/>
  <c r="G256" i="5" s="1"/>
  <c r="G263" i="5"/>
  <c r="G264" i="5" s="1"/>
  <c r="G273" i="5"/>
  <c r="C273" i="5" s="1"/>
  <c r="G274" i="5"/>
  <c r="G275" i="5" s="1"/>
  <c r="C274" i="5"/>
  <c r="I17" i="1"/>
  <c r="I16" i="1"/>
  <c r="I15" i="1"/>
  <c r="I14" i="1"/>
  <c r="I13" i="1"/>
  <c r="I12" i="1"/>
  <c r="I11" i="1"/>
  <c r="I10" i="1"/>
  <c r="I9" i="1"/>
  <c r="I28" i="1"/>
  <c r="G283" i="5"/>
  <c r="C283" i="5" s="1"/>
  <c r="G284" i="5"/>
  <c r="G292" i="5"/>
  <c r="G293" i="5" s="1"/>
  <c r="C292" i="5"/>
  <c r="G302" i="5"/>
  <c r="G303" i="5" s="1"/>
  <c r="C302" i="5"/>
  <c r="G312" i="5"/>
  <c r="G316" i="5"/>
  <c r="C316" i="5"/>
  <c r="G317" i="5"/>
  <c r="G318" i="5" s="1"/>
  <c r="C317" i="5"/>
  <c r="G326" i="5"/>
  <c r="G327" i="5" s="1"/>
  <c r="C326" i="5"/>
  <c r="G336" i="5"/>
  <c r="G346" i="5"/>
  <c r="G347" i="5" s="1"/>
  <c r="C346" i="5"/>
  <c r="G355" i="5"/>
  <c r="C355" i="5" s="1"/>
  <c r="G356" i="5"/>
  <c r="C356" i="5"/>
  <c r="G357" i="5"/>
  <c r="G365" i="5"/>
  <c r="G366" i="5" s="1"/>
  <c r="C365" i="5"/>
  <c r="G375" i="5"/>
  <c r="G385" i="5"/>
  <c r="G394" i="5"/>
  <c r="G395" i="5" s="1"/>
  <c r="C394" i="5"/>
  <c r="G403" i="5"/>
  <c r="C403" i="5" s="1"/>
  <c r="G413" i="5"/>
  <c r="G414" i="5" s="1"/>
  <c r="G415" i="5" s="1"/>
  <c r="C413" i="5"/>
  <c r="C414" i="5"/>
  <c r="G423" i="5"/>
  <c r="G432" i="5"/>
  <c r="C432" i="5"/>
  <c r="G433" i="5"/>
  <c r="G442" i="5"/>
  <c r="G443" i="5" s="1"/>
  <c r="C442" i="5"/>
  <c r="G452" i="5"/>
  <c r="C452" i="5" s="1"/>
  <c r="G453" i="5"/>
  <c r="G454" i="5" s="1"/>
  <c r="G455" i="5" s="1"/>
  <c r="G458" i="5"/>
  <c r="G459" i="5" s="1"/>
  <c r="G468" i="5"/>
  <c r="G469" i="5" s="1"/>
  <c r="C468" i="5"/>
  <c r="G477" i="5"/>
  <c r="G487" i="5"/>
  <c r="C487" i="5" s="1"/>
  <c r="G488" i="5"/>
  <c r="G497" i="5"/>
  <c r="G498" i="5" s="1"/>
  <c r="G507" i="5"/>
  <c r="C507" i="5" s="1"/>
  <c r="G508" i="5"/>
  <c r="G509" i="5" s="1"/>
  <c r="G516" i="5"/>
  <c r="C516" i="5"/>
  <c r="G517" i="5"/>
  <c r="G524" i="5"/>
  <c r="C524" i="5"/>
  <c r="G525" i="5"/>
  <c r="G526" i="5" s="1"/>
  <c r="G527" i="5" s="1"/>
  <c r="C526" i="5"/>
  <c r="G534" i="5"/>
  <c r="G535" i="5" s="1"/>
  <c r="C534" i="5"/>
  <c r="G543" i="5"/>
  <c r="G544" i="5" s="1"/>
  <c r="C544" i="5" s="1"/>
  <c r="G545" i="5"/>
  <c r="G553" i="5"/>
  <c r="C553" i="5" s="1"/>
  <c r="G554" i="5"/>
  <c r="G555" i="5" s="1"/>
  <c r="C554" i="5"/>
  <c r="G563" i="5"/>
  <c r="G564" i="5" s="1"/>
  <c r="G572" i="5"/>
  <c r="C572" i="5"/>
  <c r="G573" i="5"/>
  <c r="G581" i="5"/>
  <c r="G590" i="5"/>
  <c r="G600" i="5"/>
  <c r="G609" i="5"/>
  <c r="G620" i="5"/>
  <c r="G621" i="5" s="1"/>
  <c r="C620" i="5"/>
  <c r="G630" i="5"/>
  <c r="G631" i="5" s="1"/>
  <c r="G640" i="5"/>
  <c r="G649" i="5"/>
  <c r="G650" i="5" s="1"/>
  <c r="G659" i="5"/>
  <c r="C659" i="5" s="1"/>
  <c r="G669" i="5"/>
  <c r="G679" i="5"/>
  <c r="C679" i="5" s="1"/>
  <c r="G680" i="5"/>
  <c r="C680" i="5" s="1"/>
  <c r="G681" i="5"/>
  <c r="G689" i="5"/>
  <c r="G699" i="5"/>
  <c r="G708" i="5"/>
  <c r="G718" i="5"/>
  <c r="G735" i="5"/>
  <c r="G742" i="5"/>
  <c r="C742" i="5"/>
  <c r="G743" i="5"/>
  <c r="G752" i="5"/>
  <c r="C752" i="5"/>
  <c r="G753" i="5"/>
  <c r="C753" i="5" s="1"/>
  <c r="G762" i="5"/>
  <c r="C762" i="5" s="1"/>
  <c r="G778" i="5"/>
  <c r="C778" i="5" s="1"/>
  <c r="G779" i="5"/>
  <c r="C779" i="5" s="1"/>
  <c r="G788" i="5"/>
  <c r="C788" i="5" s="1"/>
  <c r="G789" i="5"/>
  <c r="G790" i="5" s="1"/>
  <c r="C789" i="5"/>
  <c r="G797" i="5"/>
  <c r="G798" i="5" s="1"/>
  <c r="C798" i="5" s="1"/>
  <c r="C797" i="5"/>
  <c r="G806" i="5"/>
  <c r="C806" i="5" s="1"/>
  <c r="G807" i="5"/>
  <c r="C807" i="5" s="1"/>
  <c r="G816" i="5"/>
  <c r="G817" i="5" s="1"/>
  <c r="C816" i="5"/>
  <c r="G826" i="5"/>
  <c r="G836" i="5"/>
  <c r="G837" i="5" s="1"/>
  <c r="C836" i="5"/>
  <c r="G846" i="5"/>
  <c r="G856" i="5"/>
  <c r="C856" i="5" s="1"/>
  <c r="G857" i="5"/>
  <c r="G858" i="5" s="1"/>
  <c r="C857" i="5"/>
  <c r="G866" i="5"/>
  <c r="G867" i="5" s="1"/>
  <c r="C866" i="5"/>
  <c r="G884" i="5"/>
  <c r="G885" i="5" s="1"/>
  <c r="C885" i="5" s="1"/>
  <c r="C884" i="5"/>
  <c r="G886" i="5"/>
  <c r="G890" i="5"/>
  <c r="G908" i="5"/>
  <c r="C908" i="5" s="1"/>
  <c r="G909" i="5"/>
  <c r="C909" i="5" s="1"/>
  <c r="G918" i="5"/>
  <c r="C918" i="5" s="1"/>
  <c r="G927" i="5"/>
  <c r="C927" i="5" s="1"/>
  <c r="G936" i="5"/>
  <c r="G937" i="5" s="1"/>
  <c r="C936" i="5"/>
  <c r="G946" i="5"/>
  <c r="G952" i="5"/>
  <c r="C952" i="5" s="1"/>
  <c r="G953" i="5"/>
  <c r="G954" i="5" s="1"/>
  <c r="C954" i="5" s="1"/>
  <c r="C953" i="5"/>
  <c r="G955" i="5"/>
  <c r="C955" i="5" s="1"/>
  <c r="G956" i="5"/>
  <c r="G960" i="5"/>
  <c r="G961" i="5" s="1"/>
  <c r="G970" i="5"/>
  <c r="C970" i="5" s="1"/>
  <c r="G971" i="5"/>
  <c r="C971" i="5" s="1"/>
  <c r="G972" i="5"/>
  <c r="G975" i="5"/>
  <c r="G976" i="5" s="1"/>
  <c r="C976" i="5" s="1"/>
  <c r="C975" i="5"/>
  <c r="G977" i="5"/>
  <c r="G978" i="5" s="1"/>
  <c r="C977" i="5"/>
  <c r="G985" i="5"/>
  <c r="G995" i="5"/>
  <c r="C995" i="5"/>
  <c r="G996" i="5"/>
  <c r="G1005" i="5"/>
  <c r="G1006" i="5" s="1"/>
  <c r="G1015" i="5"/>
  <c r="G1016" i="5" s="1"/>
  <c r="C1016" i="5" s="1"/>
  <c r="G1023" i="5"/>
  <c r="C1023" i="5" s="1"/>
  <c r="G1024" i="5"/>
  <c r="G1025" i="5" s="1"/>
  <c r="C1024" i="5"/>
  <c r="G1033" i="5"/>
  <c r="G1038" i="5"/>
  <c r="G1048" i="5"/>
  <c r="G1057" i="5"/>
  <c r="G1066" i="5"/>
  <c r="G1084" i="5"/>
  <c r="G1085" i="5" s="1"/>
  <c r="C1084" i="5"/>
  <c r="G1093" i="5"/>
  <c r="C1093" i="5" s="1"/>
  <c r="G1094" i="5"/>
  <c r="G1102" i="5"/>
  <c r="G1112" i="5"/>
  <c r="C1112" i="5"/>
  <c r="G1113" i="5"/>
  <c r="G1114" i="5" s="1"/>
  <c r="G1130" i="5"/>
  <c r="G1139" i="5"/>
  <c r="G1140" i="5" s="1"/>
  <c r="C1140" i="5" s="1"/>
  <c r="C1139" i="5"/>
  <c r="G1148" i="5"/>
  <c r="G1158" i="5"/>
  <c r="G1163" i="5"/>
  <c r="C1163" i="5"/>
  <c r="G1164" i="5"/>
  <c r="G1173" i="5"/>
  <c r="G1183" i="5"/>
  <c r="C1183" i="5"/>
  <c r="G1184" i="5"/>
  <c r="G1193" i="5"/>
  <c r="C1193" i="5" s="1"/>
  <c r="G1199" i="5"/>
  <c r="G1208" i="5"/>
  <c r="G1209" i="5" s="1"/>
  <c r="C1208" i="5"/>
  <c r="G1218" i="5"/>
  <c r="G1228" i="5"/>
  <c r="G1237" i="5"/>
  <c r="G1238" i="5" s="1"/>
  <c r="C1237" i="5"/>
  <c r="G1247" i="5"/>
  <c r="C1247" i="5"/>
  <c r="G1248" i="5"/>
  <c r="C1248" i="5" s="1"/>
  <c r="G1256" i="5"/>
  <c r="C1256" i="5" s="1"/>
  <c r="G1257" i="5"/>
  <c r="G1258" i="5" s="1"/>
  <c r="G1266" i="5"/>
  <c r="G1276" i="5"/>
  <c r="G1277" i="5" s="1"/>
  <c r="G1283" i="5"/>
  <c r="C1283" i="5"/>
  <c r="G1284" i="5"/>
  <c r="G1293" i="5"/>
  <c r="G1294" i="5" s="1"/>
  <c r="C1293" i="5"/>
  <c r="G1301" i="5"/>
  <c r="G1302" i="5" s="1"/>
  <c r="G1311" i="5"/>
  <c r="C1311" i="5"/>
  <c r="G1312" i="5"/>
  <c r="G1321" i="5"/>
  <c r="G1322" i="5" s="1"/>
  <c r="G1331" i="5"/>
  <c r="C1331" i="5"/>
  <c r="G1332" i="5"/>
  <c r="G1333" i="5" s="1"/>
  <c r="G1341" i="5"/>
  <c r="C1341" i="5" s="1"/>
  <c r="G1342" i="5"/>
  <c r="G1351" i="5"/>
  <c r="G1360" i="5"/>
  <c r="G1370" i="5"/>
  <c r="C1370" i="5" s="1"/>
  <c r="G1377" i="5"/>
  <c r="G1378" i="5" s="1"/>
  <c r="G1387" i="5"/>
  <c r="G1388" i="5" s="1"/>
  <c r="C1387" i="5"/>
  <c r="G1397" i="5"/>
  <c r="G1407" i="5"/>
  <c r="C1407" i="5"/>
  <c r="G1408" i="5"/>
  <c r="G1417" i="5"/>
  <c r="G1418" i="5" s="1"/>
  <c r="G1427" i="5"/>
  <c r="C1427" i="5"/>
  <c r="G1428" i="5"/>
  <c r="G1436" i="5"/>
  <c r="G1445" i="5"/>
  <c r="G1446" i="5" s="1"/>
  <c r="G1455" i="5"/>
  <c r="G1456" i="5" s="1"/>
  <c r="G1457" i="5" s="1"/>
  <c r="C1455" i="5"/>
  <c r="G1464" i="5"/>
  <c r="G1473" i="5"/>
  <c r="G1474" i="5" s="1"/>
  <c r="C1473" i="5"/>
  <c r="G1481" i="5"/>
  <c r="G1482" i="5" s="1"/>
  <c r="G1491" i="5"/>
  <c r="C1491" i="5"/>
  <c r="G1492" i="5"/>
  <c r="G1501" i="5"/>
  <c r="G1502" i="5" s="1"/>
  <c r="C1501" i="5"/>
  <c r="G1511" i="5"/>
  <c r="G1520" i="5"/>
  <c r="C1520" i="5" s="1"/>
  <c r="G1521" i="5"/>
  <c r="G1522" i="5" s="1"/>
  <c r="G1530" i="5"/>
  <c r="G1531" i="5" s="1"/>
  <c r="C1531" i="5" s="1"/>
  <c r="G1532" i="5"/>
  <c r="G1540" i="5"/>
  <c r="G1541" i="5" s="1"/>
  <c r="C1540" i="5"/>
  <c r="G1545" i="5"/>
  <c r="G1546" i="5" s="1"/>
  <c r="C1545" i="5"/>
  <c r="G1554" i="5"/>
  <c r="G1555" i="5" s="1"/>
  <c r="G1573" i="5"/>
  <c r="G1574" i="5" s="1"/>
  <c r="G1582" i="5"/>
  <c r="G1583" i="5" s="1"/>
  <c r="C1583" i="5" s="1"/>
  <c r="G1591" i="5"/>
  <c r="C1591" i="5" s="1"/>
  <c r="G1601" i="5"/>
  <c r="G1602" i="5" s="1"/>
  <c r="G1609" i="5"/>
  <c r="G1619" i="5"/>
  <c r="C1619" i="5" s="1"/>
  <c r="G1620" i="5"/>
  <c r="G1629" i="5"/>
  <c r="G1639" i="5"/>
  <c r="C1639" i="5" s="1"/>
  <c r="G1640" i="5"/>
  <c r="G1641" i="5" s="1"/>
  <c r="G1646" i="5"/>
  <c r="G1647" i="5" s="1"/>
  <c r="C1647" i="5" s="1"/>
  <c r="G1655" i="5"/>
  <c r="C1655" i="5" s="1"/>
  <c r="G1656" i="5"/>
  <c r="G1665" i="5"/>
  <c r="G1666" i="5" s="1"/>
  <c r="G1675" i="5"/>
  <c r="C1675" i="5" s="1"/>
  <c r="G1676" i="5"/>
  <c r="C1676" i="5" s="1"/>
  <c r="G1677" i="5"/>
  <c r="G1685" i="5"/>
  <c r="G1695" i="5"/>
  <c r="C1695" i="5" s="1"/>
  <c r="G1696" i="5"/>
  <c r="G1705" i="5"/>
  <c r="G1706" i="5" s="1"/>
  <c r="G1713" i="5"/>
  <c r="G1723" i="5"/>
  <c r="C1723" i="5" s="1"/>
  <c r="G1733" i="5"/>
  <c r="G1734" i="5" s="1"/>
  <c r="C1733" i="5"/>
  <c r="G1743" i="5"/>
  <c r="C1743" i="5" s="1"/>
  <c r="G1752" i="5"/>
  <c r="G1753" i="5" s="1"/>
  <c r="C1752" i="5"/>
  <c r="G1760" i="5"/>
  <c r="G1770" i="5"/>
  <c r="G1771" i="5" s="1"/>
  <c r="C1771" i="5" s="1"/>
  <c r="G1778" i="5"/>
  <c r="C1778" i="5" s="1"/>
  <c r="G1779" i="5"/>
  <c r="I27" i="1"/>
  <c r="I26" i="1"/>
  <c r="I25" i="1"/>
  <c r="I24" i="1"/>
  <c r="I23" i="1"/>
  <c r="I22" i="1"/>
  <c r="I21" i="1"/>
  <c r="I20" i="1"/>
  <c r="I19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D10" i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/>
  <c r="D23" i="1"/>
  <c r="T1" i="5"/>
  <c r="W1" i="5"/>
  <c r="U2" i="5"/>
  <c r="W2" i="5" s="1"/>
  <c r="Y2" i="5" s="1"/>
  <c r="O3" i="5"/>
  <c r="K3" i="5" s="1"/>
  <c r="R5" i="5"/>
  <c r="O9" i="5"/>
  <c r="K9" i="5" s="1"/>
  <c r="O10" i="5"/>
  <c r="O18" i="5"/>
  <c r="K18" i="5" s="1"/>
  <c r="O28" i="5"/>
  <c r="K28" i="5" s="1"/>
  <c r="O37" i="5"/>
  <c r="O38" i="5" s="1"/>
  <c r="K38" i="5" s="1"/>
  <c r="K37" i="5"/>
  <c r="O55" i="5"/>
  <c r="O56" i="5" s="1"/>
  <c r="K55" i="5"/>
  <c r="O64" i="5"/>
  <c r="K64" i="5" s="1"/>
  <c r="O74" i="5"/>
  <c r="K74" i="5" s="1"/>
  <c r="O75" i="5"/>
  <c r="O83" i="5"/>
  <c r="O84" i="5" s="1"/>
  <c r="K84" i="5" s="1"/>
  <c r="O85" i="5"/>
  <c r="O86" i="5" s="1"/>
  <c r="K86" i="5" s="1"/>
  <c r="K85" i="5"/>
  <c r="O87" i="5"/>
  <c r="O92" i="5"/>
  <c r="K92" i="5"/>
  <c r="O93" i="5"/>
  <c r="O94" i="5" s="1"/>
  <c r="K94" i="5" s="1"/>
  <c r="O109" i="5"/>
  <c r="K109" i="5" s="1"/>
  <c r="O118" i="5"/>
  <c r="K118" i="5" s="1"/>
  <c r="O119" i="5"/>
  <c r="K119" i="5" s="1"/>
  <c r="O126" i="5"/>
  <c r="K126" i="5" s="1"/>
  <c r="O136" i="5"/>
  <c r="K136" i="5" s="1"/>
  <c r="O137" i="5"/>
  <c r="O138" i="5" s="1"/>
  <c r="O145" i="5"/>
  <c r="K145" i="5" s="1"/>
  <c r="O146" i="5"/>
  <c r="O155" i="5"/>
  <c r="O165" i="5"/>
  <c r="O166" i="5" s="1"/>
  <c r="K166" i="5" s="1"/>
  <c r="O175" i="5"/>
  <c r="O176" i="5" s="1"/>
  <c r="K175" i="5"/>
  <c r="O184" i="5"/>
  <c r="O191" i="5"/>
  <c r="O192" i="5" s="1"/>
  <c r="K191" i="5"/>
  <c r="O201" i="5"/>
  <c r="O202" i="5" s="1"/>
  <c r="K202" i="5" s="1"/>
  <c r="O211" i="5"/>
  <c r="K211" i="5"/>
  <c r="O212" i="5"/>
  <c r="O221" i="5"/>
  <c r="O222" i="5" s="1"/>
  <c r="K221" i="5"/>
  <c r="O229" i="5"/>
  <c r="O230" i="5" s="1"/>
  <c r="K230" i="5" s="1"/>
  <c r="K229" i="5"/>
  <c r="O238" i="5"/>
  <c r="K238" i="5" s="1"/>
  <c r="O239" i="5"/>
  <c r="K239" i="5" s="1"/>
  <c r="O240" i="5"/>
  <c r="O248" i="5"/>
  <c r="O249" i="5" s="1"/>
  <c r="O254" i="5"/>
  <c r="K254" i="5" s="1"/>
  <c r="O255" i="5"/>
  <c r="O256" i="5" s="1"/>
  <c r="K255" i="5"/>
  <c r="O263" i="5"/>
  <c r="K263" i="5" s="1"/>
  <c r="O264" i="5"/>
  <c r="O273" i="5"/>
  <c r="O274" i="5" s="1"/>
  <c r="K274" i="5" s="1"/>
  <c r="O283" i="5"/>
  <c r="K283" i="5" s="1"/>
  <c r="O284" i="5"/>
  <c r="O285" i="5" s="1"/>
  <c r="K284" i="5"/>
  <c r="O292" i="5"/>
  <c r="O293" i="5" s="1"/>
  <c r="O302" i="5"/>
  <c r="K302" i="5" s="1"/>
  <c r="O303" i="5"/>
  <c r="O312" i="5"/>
  <c r="O313" i="5" s="1"/>
  <c r="O316" i="5"/>
  <c r="O317" i="5" s="1"/>
  <c r="K316" i="5"/>
  <c r="O326" i="5"/>
  <c r="K326" i="5" s="1"/>
  <c r="O327" i="5"/>
  <c r="O336" i="5"/>
  <c r="O337" i="5" s="1"/>
  <c r="O346" i="5"/>
  <c r="K346" i="5" s="1"/>
  <c r="O347" i="5"/>
  <c r="K347" i="5" s="1"/>
  <c r="O348" i="5"/>
  <c r="O355" i="5"/>
  <c r="K355" i="5" s="1"/>
  <c r="O356" i="5"/>
  <c r="O365" i="5"/>
  <c r="O366" i="5" s="1"/>
  <c r="K366" i="5" s="1"/>
  <c r="O375" i="5"/>
  <c r="K375" i="5" s="1"/>
  <c r="O385" i="5"/>
  <c r="O386" i="5" s="1"/>
  <c r="O394" i="5"/>
  <c r="K394" i="5" s="1"/>
  <c r="O395" i="5"/>
  <c r="O403" i="5"/>
  <c r="O413" i="5"/>
  <c r="O414" i="5" s="1"/>
  <c r="K414" i="5" s="1"/>
  <c r="O415" i="5"/>
  <c r="O423" i="5"/>
  <c r="O432" i="5"/>
  <c r="O433" i="5" s="1"/>
  <c r="K432" i="5"/>
  <c r="O442" i="5"/>
  <c r="K442" i="5" s="1"/>
  <c r="O443" i="5"/>
  <c r="K443" i="5" s="1"/>
  <c r="O452" i="5"/>
  <c r="O453" i="5" s="1"/>
  <c r="K452" i="5"/>
  <c r="O458" i="5"/>
  <c r="K458" i="5" s="1"/>
  <c r="O468" i="5"/>
  <c r="O469" i="5" s="1"/>
  <c r="K468" i="5"/>
  <c r="O477" i="5"/>
  <c r="O478" i="5" s="1"/>
  <c r="K478" i="5" s="1"/>
  <c r="O487" i="5"/>
  <c r="O497" i="5"/>
  <c r="O498" i="5" s="1"/>
  <c r="K498" i="5" s="1"/>
  <c r="O499" i="5"/>
  <c r="K499" i="5" s="1"/>
  <c r="O500" i="5"/>
  <c r="O507" i="5"/>
  <c r="O508" i="5" s="1"/>
  <c r="O509" i="5" s="1"/>
  <c r="O516" i="5"/>
  <c r="O517" i="5" s="1"/>
  <c r="K516" i="5"/>
  <c r="O524" i="5"/>
  <c r="O525" i="5" s="1"/>
  <c r="K524" i="5"/>
  <c r="O534" i="5"/>
  <c r="K534" i="5" s="1"/>
  <c r="O535" i="5"/>
  <c r="K535" i="5" s="1"/>
  <c r="O543" i="5"/>
  <c r="K543" i="5" s="1"/>
  <c r="O544" i="5"/>
  <c r="O553" i="5"/>
  <c r="O554" i="5" s="1"/>
  <c r="K554" i="5" s="1"/>
  <c r="O563" i="5"/>
  <c r="O564" i="5" s="1"/>
  <c r="O572" i="5"/>
  <c r="O573" i="5" s="1"/>
  <c r="O581" i="5"/>
  <c r="O582" i="5" s="1"/>
  <c r="K582" i="5" s="1"/>
  <c r="O590" i="5"/>
  <c r="K590" i="5" s="1"/>
  <c r="O600" i="5"/>
  <c r="O609" i="5"/>
  <c r="O610" i="5" s="1"/>
  <c r="K610" i="5" s="1"/>
  <c r="O620" i="5"/>
  <c r="O621" i="5" s="1"/>
  <c r="O630" i="5"/>
  <c r="K630" i="5" s="1"/>
  <c r="O631" i="5"/>
  <c r="O640" i="5"/>
  <c r="O641" i="5" s="1"/>
  <c r="O649" i="5"/>
  <c r="O650" i="5" s="1"/>
  <c r="K650" i="5" s="1"/>
  <c r="O651" i="5"/>
  <c r="K651" i="5" s="1"/>
  <c r="O652" i="5"/>
  <c r="O653" i="5" s="1"/>
  <c r="K652" i="5"/>
  <c r="O659" i="5"/>
  <c r="O669" i="5"/>
  <c r="O670" i="5" s="1"/>
  <c r="O679" i="5"/>
  <c r="O680" i="5" s="1"/>
  <c r="O681" i="5" s="1"/>
  <c r="K680" i="5"/>
  <c r="O689" i="5"/>
  <c r="O690" i="5" s="1"/>
  <c r="O699" i="5"/>
  <c r="K699" i="5"/>
  <c r="O700" i="5"/>
  <c r="O708" i="5"/>
  <c r="O718" i="5"/>
  <c r="K718" i="5" s="1"/>
  <c r="O719" i="5"/>
  <c r="O720" i="5" s="1"/>
  <c r="K719" i="5"/>
  <c r="O735" i="5"/>
  <c r="O736" i="5" s="1"/>
  <c r="K735" i="5"/>
  <c r="O742" i="5"/>
  <c r="K742" i="5" s="1"/>
  <c r="O743" i="5"/>
  <c r="K743" i="5" s="1"/>
  <c r="O752" i="5"/>
  <c r="O753" i="5" s="1"/>
  <c r="O762" i="5"/>
  <c r="K762" i="5" s="1"/>
  <c r="O778" i="5"/>
  <c r="K778" i="5" s="1"/>
  <c r="O779" i="5"/>
  <c r="K779" i="5" s="1"/>
  <c r="O780" i="5"/>
  <c r="O788" i="5"/>
  <c r="O789" i="5" s="1"/>
  <c r="K788" i="5"/>
  <c r="O797" i="5"/>
  <c r="O798" i="5" s="1"/>
  <c r="K798" i="5" s="1"/>
  <c r="O799" i="5"/>
  <c r="O806" i="5"/>
  <c r="K806" i="5" s="1"/>
  <c r="O807" i="5"/>
  <c r="O816" i="5"/>
  <c r="O817" i="5" s="1"/>
  <c r="O826" i="5"/>
  <c r="K826" i="5" s="1"/>
  <c r="O836" i="5"/>
  <c r="O837" i="5" s="1"/>
  <c r="K836" i="5"/>
  <c r="O846" i="5"/>
  <c r="K846" i="5" s="1"/>
  <c r="O856" i="5"/>
  <c r="O857" i="5" s="1"/>
  <c r="K856" i="5"/>
  <c r="O866" i="5"/>
  <c r="K866" i="5" s="1"/>
  <c r="O867" i="5"/>
  <c r="O868" i="5" s="1"/>
  <c r="K867" i="5"/>
  <c r="O884" i="5"/>
  <c r="O885" i="5" s="1"/>
  <c r="O890" i="5"/>
  <c r="K890" i="5" s="1"/>
  <c r="O891" i="5"/>
  <c r="O908" i="5"/>
  <c r="O909" i="5" s="1"/>
  <c r="O918" i="5"/>
  <c r="K918" i="5" s="1"/>
  <c r="O927" i="5"/>
  <c r="O936" i="5"/>
  <c r="O937" i="5" s="1"/>
  <c r="O946" i="5"/>
  <c r="K946" i="5" s="1"/>
  <c r="O947" i="5"/>
  <c r="K947" i="5" s="1"/>
  <c r="O948" i="5"/>
  <c r="O952" i="5"/>
  <c r="O960" i="5"/>
  <c r="O970" i="5"/>
  <c r="K970" i="5" s="1"/>
  <c r="O971" i="5"/>
  <c r="K971" i="5" s="1"/>
  <c r="O975" i="5"/>
  <c r="O976" i="5" s="1"/>
  <c r="O985" i="5"/>
  <c r="O986" i="5" s="1"/>
  <c r="K986" i="5" s="1"/>
  <c r="O987" i="5"/>
  <c r="O988" i="5" s="1"/>
  <c r="K987" i="5"/>
  <c r="O995" i="5"/>
  <c r="K995" i="5" s="1"/>
  <c r="O996" i="5"/>
  <c r="O1005" i="5"/>
  <c r="O1006" i="5" s="1"/>
  <c r="O1015" i="5"/>
  <c r="O1016" i="5" s="1"/>
  <c r="O1017" i="5" s="1"/>
  <c r="O1023" i="5"/>
  <c r="O1024" i="5" s="1"/>
  <c r="O1025" i="5" s="1"/>
  <c r="O1033" i="5"/>
  <c r="O1034" i="5" s="1"/>
  <c r="O1038" i="5"/>
  <c r="K1038" i="5" s="1"/>
  <c r="O1048" i="5"/>
  <c r="O1057" i="5"/>
  <c r="O1058" i="5" s="1"/>
  <c r="K1058" i="5" s="1"/>
  <c r="O1059" i="5"/>
  <c r="O1066" i="5"/>
  <c r="K1066" i="5" s="1"/>
  <c r="O1084" i="5"/>
  <c r="O1085" i="5" s="1"/>
  <c r="K1084" i="5"/>
  <c r="O1093" i="5"/>
  <c r="O1094" i="5" s="1"/>
  <c r="K1094" i="5" s="1"/>
  <c r="O1095" i="5"/>
  <c r="K1095" i="5" s="1"/>
  <c r="O1096" i="5"/>
  <c r="O1102" i="5"/>
  <c r="K1102" i="5" s="1"/>
  <c r="O1112" i="5"/>
  <c r="O1130" i="5"/>
  <c r="K1130" i="5" s="1"/>
  <c r="O1139" i="5"/>
  <c r="O1148" i="5"/>
  <c r="K1148" i="5" s="1"/>
  <c r="O1158" i="5"/>
  <c r="K1158" i="5" s="1"/>
  <c r="O1159" i="5"/>
  <c r="O1163" i="5"/>
  <c r="O1164" i="5" s="1"/>
  <c r="O1165" i="5" s="1"/>
  <c r="O1173" i="5"/>
  <c r="O1183" i="5"/>
  <c r="O1184" i="5" s="1"/>
  <c r="O1193" i="5"/>
  <c r="O1199" i="5"/>
  <c r="K1199" i="5" s="1"/>
  <c r="O1200" i="5"/>
  <c r="O1208" i="5"/>
  <c r="O1218" i="5"/>
  <c r="K1218" i="5" s="1"/>
  <c r="O1219" i="5"/>
  <c r="O1220" i="5" s="1"/>
  <c r="O1221" i="5" s="1"/>
  <c r="K1219" i="5"/>
  <c r="O1228" i="5"/>
  <c r="O1229" i="5" s="1"/>
  <c r="K1228" i="5"/>
  <c r="O1237" i="5"/>
  <c r="O1247" i="5"/>
  <c r="K1247" i="5" s="1"/>
  <c r="O1248" i="5"/>
  <c r="O1256" i="5"/>
  <c r="O1257" i="5" s="1"/>
  <c r="K1256" i="5"/>
  <c r="O1266" i="5"/>
  <c r="K1266" i="5" s="1"/>
  <c r="O1267" i="5"/>
  <c r="O1276" i="5"/>
  <c r="O1283" i="5"/>
  <c r="K1283" i="5" s="1"/>
  <c r="O1284" i="5"/>
  <c r="O1285" i="5" s="1"/>
  <c r="K1284" i="5"/>
  <c r="O1293" i="5"/>
  <c r="O1301" i="5"/>
  <c r="O1311" i="5"/>
  <c r="O1312" i="5" s="1"/>
  <c r="K1312" i="5" s="1"/>
  <c r="K1311" i="5"/>
  <c r="O1321" i="5"/>
  <c r="O1331" i="5"/>
  <c r="O1341" i="5"/>
  <c r="O1351" i="5"/>
  <c r="K1351" i="5" s="1"/>
  <c r="O1352" i="5"/>
  <c r="O1360" i="5"/>
  <c r="K1360" i="5" s="1"/>
  <c r="O1361" i="5"/>
  <c r="O1370" i="5"/>
  <c r="K1370" i="5" s="1"/>
  <c r="O1371" i="5"/>
  <c r="O1372" i="5" s="1"/>
  <c r="K1372" i="5" s="1"/>
  <c r="O1377" i="5"/>
  <c r="O1387" i="5"/>
  <c r="O1397" i="5"/>
  <c r="O1407" i="5"/>
  <c r="K1407" i="5" s="1"/>
  <c r="O1408" i="5"/>
  <c r="O1417" i="5"/>
  <c r="K1417" i="5" s="1"/>
  <c r="O1427" i="5"/>
  <c r="K1427" i="5" s="1"/>
  <c r="O1436" i="5"/>
  <c r="O1437" i="5" s="1"/>
  <c r="K1437" i="5" s="1"/>
  <c r="K1436" i="5"/>
  <c r="O1445" i="5"/>
  <c r="O1455" i="5"/>
  <c r="O1456" i="5" s="1"/>
  <c r="K1455" i="5"/>
  <c r="O1464" i="5"/>
  <c r="O1465" i="5" s="1"/>
  <c r="K1464" i="5"/>
  <c r="O1473" i="5"/>
  <c r="K1473" i="5" s="1"/>
  <c r="O1474" i="5"/>
  <c r="K1474" i="5" s="1"/>
  <c r="O1481" i="5"/>
  <c r="O1491" i="5"/>
  <c r="K1491" i="5" s="1"/>
  <c r="O1492" i="5"/>
  <c r="O1501" i="5"/>
  <c r="K1501" i="5" s="1"/>
  <c r="O1511" i="5"/>
  <c r="K1511" i="5" s="1"/>
  <c r="O1520" i="5"/>
  <c r="O1530" i="5"/>
  <c r="O1540" i="5"/>
  <c r="O1541" i="5" s="1"/>
  <c r="K1540" i="5"/>
  <c r="O1545" i="5"/>
  <c r="K1545" i="5" s="1"/>
  <c r="O1554" i="5"/>
  <c r="O1573" i="5"/>
  <c r="O1582" i="5"/>
  <c r="O1591" i="5"/>
  <c r="K1591" i="5"/>
  <c r="O1592" i="5"/>
  <c r="O1593" i="5" s="1"/>
  <c r="K1592" i="5"/>
  <c r="O1601" i="5"/>
  <c r="K1601" i="5" s="1"/>
  <c r="O1602" i="5"/>
  <c r="O1609" i="5"/>
  <c r="K1609" i="5" s="1"/>
  <c r="O1619" i="5"/>
  <c r="K1619" i="5" s="1"/>
  <c r="O1620" i="5"/>
  <c r="O1621" i="5" s="1"/>
  <c r="O1629" i="5"/>
  <c r="K1629" i="5" s="1"/>
  <c r="O1639" i="5"/>
  <c r="K1639" i="5"/>
  <c r="O1640" i="5"/>
  <c r="K1640" i="5" s="1"/>
  <c r="O1646" i="5"/>
  <c r="K1646" i="5" s="1"/>
  <c r="O1655" i="5"/>
  <c r="K1655" i="5" s="1"/>
  <c r="O1665" i="5"/>
  <c r="K1665" i="5" s="1"/>
  <c r="O1675" i="5"/>
  <c r="O1677" i="5"/>
  <c r="O1685" i="5"/>
  <c r="O1695" i="5"/>
  <c r="K1695" i="5"/>
  <c r="O1696" i="5"/>
  <c r="O1705" i="5"/>
  <c r="O1713" i="5"/>
  <c r="K1713" i="5" s="1"/>
  <c r="O1714" i="5"/>
  <c r="O1723" i="5"/>
  <c r="O1733" i="5"/>
  <c r="O1743" i="5"/>
  <c r="K1743" i="5" s="1"/>
  <c r="O1744" i="5"/>
  <c r="O1752" i="5"/>
  <c r="O1760" i="5"/>
  <c r="O1770" i="5"/>
  <c r="O1778" i="5"/>
  <c r="K1778" i="5" s="1"/>
  <c r="O1779" i="5"/>
  <c r="K1779" i="5" s="1"/>
  <c r="O1780" i="5"/>
  <c r="O1781" i="5" s="1"/>
  <c r="R13" i="5"/>
  <c r="R15" i="5"/>
  <c r="R19" i="5"/>
  <c r="R21" i="5"/>
  <c r="R29" i="5"/>
  <c r="R35" i="5"/>
  <c r="R37" i="5"/>
  <c r="R39" i="5"/>
  <c r="R43" i="5"/>
  <c r="R45" i="5"/>
  <c r="R47" i="5"/>
  <c r="R53" i="5"/>
  <c r="R61" i="5"/>
  <c r="R71" i="5"/>
  <c r="R75" i="5"/>
  <c r="R83" i="5"/>
  <c r="R85" i="5"/>
  <c r="R91" i="5"/>
  <c r="R93" i="5"/>
  <c r="R95" i="5"/>
  <c r="R101" i="5"/>
  <c r="R103" i="5"/>
  <c r="R115" i="5"/>
  <c r="R125" i="5"/>
  <c r="R135" i="5"/>
  <c r="R139" i="5"/>
  <c r="R145" i="5"/>
  <c r="R147" i="5"/>
  <c r="R153" i="5"/>
  <c r="R155" i="5"/>
  <c r="R157" i="5"/>
  <c r="R161" i="5"/>
  <c r="R163" i="5"/>
  <c r="R169" i="5"/>
  <c r="R171" i="5"/>
  <c r="R173" i="5"/>
  <c r="R179" i="5"/>
  <c r="R181" i="5"/>
  <c r="R185" i="5"/>
  <c r="R187" i="5"/>
  <c r="R195" i="5"/>
  <c r="R197" i="5"/>
  <c r="R203" i="5"/>
  <c r="R205" i="5"/>
  <c r="R209" i="5"/>
  <c r="R211" i="5"/>
  <c r="R217" i="5"/>
  <c r="R219" i="5"/>
  <c r="R221" i="5"/>
  <c r="R227" i="5"/>
  <c r="R229" i="5"/>
  <c r="R235" i="5"/>
  <c r="R237" i="5"/>
  <c r="R243" i="5"/>
  <c r="R245" i="5"/>
  <c r="R249" i="5"/>
  <c r="R251" i="5"/>
  <c r="R257" i="5"/>
  <c r="R259" i="5"/>
  <c r="R273" i="5"/>
  <c r="R283" i="5"/>
  <c r="R291" i="5"/>
  <c r="R293" i="5"/>
  <c r="R297" i="5"/>
  <c r="R303" i="5"/>
  <c r="R309" i="5"/>
  <c r="R311" i="5"/>
  <c r="R315" i="5"/>
  <c r="R317" i="5"/>
  <c r="R319" i="5"/>
  <c r="R325" i="5"/>
  <c r="R331" i="5"/>
  <c r="R333" i="5"/>
  <c r="R335" i="5"/>
  <c r="R337" i="5"/>
  <c r="R339" i="5"/>
  <c r="R341" i="5"/>
  <c r="R343" i="5"/>
  <c r="R345" i="5"/>
  <c r="R347" i="5"/>
  <c r="R349" i="5"/>
  <c r="R351" i="5"/>
  <c r="R353" i="5"/>
  <c r="R355" i="5"/>
  <c r="R357" i="5"/>
  <c r="R359" i="5"/>
  <c r="R361" i="5"/>
  <c r="R363" i="5"/>
  <c r="R365" i="5"/>
  <c r="R367" i="5"/>
  <c r="R369" i="5"/>
  <c r="R371" i="5"/>
  <c r="R373" i="5"/>
  <c r="R375" i="5"/>
  <c r="R377" i="5"/>
  <c r="R379" i="5"/>
  <c r="R381" i="5"/>
  <c r="R383" i="5"/>
  <c r="R385" i="5"/>
  <c r="R387" i="5"/>
  <c r="R389" i="5"/>
  <c r="R391" i="5"/>
  <c r="R393" i="5"/>
  <c r="R395" i="5"/>
  <c r="R397" i="5"/>
  <c r="R403" i="5"/>
  <c r="R407" i="5"/>
  <c r="R411" i="5"/>
  <c r="R415" i="5"/>
  <c r="R419" i="5"/>
  <c r="R423" i="5"/>
  <c r="R427" i="5"/>
  <c r="R431" i="5"/>
  <c r="R435" i="5"/>
  <c r="R439" i="5"/>
  <c r="R443" i="5"/>
  <c r="R447" i="5"/>
  <c r="R451" i="5"/>
  <c r="R455" i="5"/>
  <c r="R459" i="5"/>
  <c r="R463" i="5"/>
  <c r="R467" i="5"/>
  <c r="R471" i="5"/>
  <c r="R475" i="5"/>
  <c r="R479" i="5"/>
  <c r="R483" i="5"/>
  <c r="R487" i="5"/>
  <c r="R491" i="5"/>
  <c r="R495" i="5"/>
  <c r="R499" i="5"/>
  <c r="R503" i="5"/>
  <c r="R507" i="5"/>
  <c r="R511" i="5"/>
  <c r="R515" i="5"/>
  <c r="R519" i="5"/>
  <c r="R523" i="5"/>
  <c r="R527" i="5"/>
  <c r="R531" i="5"/>
  <c r="R535" i="5"/>
  <c r="R539" i="5"/>
  <c r="R543" i="5"/>
  <c r="R547" i="5"/>
  <c r="R551" i="5"/>
  <c r="R555" i="5"/>
  <c r="R559" i="5"/>
  <c r="R563" i="5"/>
  <c r="R567" i="5"/>
  <c r="R571" i="5"/>
  <c r="R575" i="5"/>
  <c r="R579" i="5"/>
  <c r="R583" i="5"/>
  <c r="R587" i="5"/>
  <c r="R589" i="5"/>
  <c r="R591" i="5"/>
  <c r="R595" i="5"/>
  <c r="R597" i="5"/>
  <c r="R599" i="5"/>
  <c r="R601" i="5"/>
  <c r="R603" i="5"/>
  <c r="R607" i="5"/>
  <c r="R611" i="5"/>
  <c r="J5002" i="5"/>
  <c r="J5003" i="5"/>
  <c r="J5004" i="5"/>
  <c r="J5005" i="5"/>
  <c r="J5006" i="5"/>
  <c r="J5007" i="5"/>
  <c r="J5008" i="5"/>
  <c r="J5009" i="5"/>
  <c r="J5010" i="5"/>
  <c r="J5011" i="5"/>
  <c r="J5012" i="5"/>
  <c r="J5013" i="5"/>
  <c r="J5014" i="5"/>
  <c r="J5015" i="5"/>
  <c r="J5016" i="5"/>
  <c r="J5017" i="5"/>
  <c r="J5018" i="5"/>
  <c r="J5019" i="5"/>
  <c r="J5020" i="5"/>
  <c r="J5021" i="5"/>
  <c r="J5022" i="5"/>
  <c r="J5023" i="5"/>
  <c r="J5024" i="5"/>
  <c r="J5025" i="5"/>
  <c r="J5026" i="5"/>
  <c r="J5027" i="5"/>
  <c r="J5028" i="5"/>
  <c r="J5029" i="5"/>
  <c r="J5030" i="5"/>
  <c r="J5031" i="5"/>
  <c r="J5032" i="5"/>
  <c r="J5033" i="5"/>
  <c r="J5034" i="5"/>
  <c r="J5035" i="5"/>
  <c r="J5036" i="5"/>
  <c r="J5037" i="5"/>
  <c r="J5038" i="5"/>
  <c r="J5039" i="5"/>
  <c r="J5040" i="5"/>
  <c r="J5041" i="5"/>
  <c r="J5042" i="5"/>
  <c r="J5043" i="5"/>
  <c r="J5044" i="5"/>
  <c r="J5045" i="5"/>
  <c r="J5046" i="5"/>
  <c r="J5047" i="5"/>
  <c r="J5048" i="5"/>
  <c r="J5049" i="5"/>
  <c r="J5050" i="5"/>
  <c r="J5051" i="5"/>
  <c r="J5052" i="5"/>
  <c r="J5053" i="5"/>
  <c r="J5054" i="5"/>
  <c r="J5055" i="5"/>
  <c r="J5056" i="5"/>
  <c r="J5057" i="5"/>
  <c r="J5058" i="5"/>
  <c r="J5059" i="5"/>
  <c r="J5060" i="5"/>
  <c r="J5061" i="5"/>
  <c r="J5062" i="5"/>
  <c r="J5063" i="5"/>
  <c r="J5064" i="5"/>
  <c r="J5065" i="5"/>
  <c r="J5066" i="5"/>
  <c r="J5067" i="5"/>
  <c r="J5068" i="5"/>
  <c r="J5069" i="5"/>
  <c r="J5070" i="5"/>
  <c r="J5071" i="5"/>
  <c r="J5072" i="5"/>
  <c r="J5073" i="5"/>
  <c r="J5074" i="5"/>
  <c r="J5075" i="5"/>
  <c r="J5076" i="5"/>
  <c r="J5077" i="5"/>
  <c r="J5078" i="5"/>
  <c r="J5079" i="5"/>
  <c r="J5080" i="5"/>
  <c r="J5081" i="5"/>
  <c r="J5082" i="5"/>
  <c r="J5083" i="5"/>
  <c r="J5084" i="5"/>
  <c r="J5085" i="5"/>
  <c r="J5086" i="5"/>
  <c r="J5087" i="5"/>
  <c r="J5088" i="5"/>
  <c r="J5089" i="5"/>
  <c r="J5090" i="5"/>
  <c r="J5091" i="5"/>
  <c r="J5092" i="5"/>
  <c r="J5093" i="5"/>
  <c r="J5094" i="5"/>
  <c r="J5095" i="5"/>
  <c r="J5096" i="5"/>
  <c r="J5097" i="5"/>
  <c r="J5098" i="5"/>
  <c r="J5099" i="5"/>
  <c r="J5100" i="5"/>
  <c r="J5101" i="5"/>
  <c r="J5102" i="5"/>
  <c r="J5103" i="5"/>
  <c r="J5104" i="5"/>
  <c r="J5105" i="5"/>
  <c r="J5106" i="5"/>
  <c r="J5107" i="5"/>
  <c r="J5108" i="5"/>
  <c r="J5109" i="5"/>
  <c r="J5110" i="5"/>
  <c r="J5111" i="5"/>
  <c r="J5112" i="5"/>
  <c r="J5113" i="5"/>
  <c r="J5114" i="5"/>
  <c r="J5115" i="5"/>
  <c r="J5116" i="5"/>
  <c r="J5117" i="5"/>
  <c r="J5118" i="5"/>
  <c r="J5119" i="5"/>
  <c r="J5120" i="5"/>
  <c r="J5121" i="5"/>
  <c r="J5122" i="5"/>
  <c r="J5123" i="5"/>
  <c r="J5124" i="5"/>
  <c r="J5125" i="5"/>
  <c r="J5126" i="5"/>
  <c r="J5127" i="5"/>
  <c r="J5128" i="5"/>
  <c r="J5129" i="5"/>
  <c r="J5130" i="5"/>
  <c r="J5131" i="5"/>
  <c r="J5132" i="5"/>
  <c r="J5133" i="5"/>
  <c r="J5134" i="5"/>
  <c r="J5135" i="5"/>
  <c r="J5136" i="5"/>
  <c r="J5137" i="5"/>
  <c r="J5138" i="5"/>
  <c r="J5139" i="5"/>
  <c r="J5140" i="5"/>
  <c r="J5141" i="5"/>
  <c r="J5142" i="5"/>
  <c r="J5143" i="5"/>
  <c r="J5144" i="5"/>
  <c r="J5145" i="5"/>
  <c r="J5146" i="5"/>
  <c r="J5147" i="5"/>
  <c r="J5148" i="5"/>
  <c r="J5149" i="5"/>
  <c r="J5150" i="5"/>
  <c r="J5151" i="5"/>
  <c r="J5152" i="5"/>
  <c r="J5153" i="5"/>
  <c r="J5154" i="5"/>
  <c r="J5155" i="5"/>
  <c r="J5156" i="5"/>
  <c r="J5157" i="5"/>
  <c r="J5158" i="5"/>
  <c r="J5159" i="5"/>
  <c r="J5160" i="5"/>
  <c r="J5161" i="5"/>
  <c r="J5162" i="5"/>
  <c r="J5163" i="5"/>
  <c r="J5164" i="5"/>
  <c r="J5165" i="5"/>
  <c r="J5166" i="5"/>
  <c r="J5167" i="5"/>
  <c r="J5168" i="5"/>
  <c r="J5169" i="5"/>
  <c r="J5170" i="5"/>
  <c r="J5171" i="5"/>
  <c r="J5172" i="5"/>
  <c r="J5173" i="5"/>
  <c r="J5174" i="5"/>
  <c r="J5175" i="5"/>
  <c r="J5176" i="5"/>
  <c r="J5177" i="5"/>
  <c r="J5178" i="5"/>
  <c r="J5179" i="5"/>
  <c r="J5180" i="5"/>
  <c r="J5181" i="5"/>
  <c r="J5182" i="5"/>
  <c r="J5183" i="5"/>
  <c r="J5184" i="5"/>
  <c r="J5185" i="5"/>
  <c r="J5186" i="5"/>
  <c r="J5187" i="5"/>
  <c r="J5188" i="5"/>
  <c r="J5189" i="5"/>
  <c r="J5190" i="5"/>
  <c r="J5191" i="5"/>
  <c r="J5192" i="5"/>
  <c r="J5193" i="5"/>
  <c r="J5194" i="5"/>
  <c r="J5195" i="5"/>
  <c r="J5196" i="5"/>
  <c r="J5197" i="5"/>
  <c r="J5198" i="5"/>
  <c r="J5199" i="5"/>
  <c r="J5200" i="5"/>
  <c r="J5201" i="5"/>
  <c r="J5202" i="5"/>
  <c r="J5203" i="5"/>
  <c r="J5204" i="5"/>
  <c r="J5205" i="5"/>
  <c r="J5206" i="5"/>
  <c r="J5207" i="5"/>
  <c r="J5208" i="5"/>
  <c r="J5209" i="5"/>
  <c r="J5210" i="5"/>
  <c r="J5211" i="5"/>
  <c r="J5212" i="5"/>
  <c r="J5213" i="5"/>
  <c r="J5214" i="5"/>
  <c r="J5215" i="5"/>
  <c r="J5216" i="5"/>
  <c r="J5217" i="5"/>
  <c r="J5218" i="5"/>
  <c r="J5219" i="5"/>
  <c r="J5220" i="5"/>
  <c r="J5221" i="5"/>
  <c r="J5222" i="5"/>
  <c r="J5223" i="5"/>
  <c r="J5224" i="5"/>
  <c r="J5225" i="5"/>
  <c r="J5226" i="5"/>
  <c r="J5227" i="5"/>
  <c r="J5228" i="5"/>
  <c r="J5229" i="5"/>
  <c r="J5230" i="5"/>
  <c r="J5231" i="5"/>
  <c r="J5232" i="5"/>
  <c r="J5233" i="5"/>
  <c r="J5234" i="5"/>
  <c r="J5235" i="5"/>
  <c r="J5236" i="5"/>
  <c r="J5237" i="5"/>
  <c r="J5238" i="5"/>
  <c r="J5239" i="5"/>
  <c r="J5240" i="5"/>
  <c r="J5241" i="5"/>
  <c r="J5242" i="5"/>
  <c r="J5243" i="5"/>
  <c r="J5244" i="5"/>
  <c r="J5245" i="5"/>
  <c r="J5246" i="5"/>
  <c r="J5247" i="5"/>
  <c r="J5248" i="5"/>
  <c r="J5249" i="5"/>
  <c r="J5250" i="5"/>
  <c r="J5251" i="5"/>
  <c r="J5252" i="5"/>
  <c r="J5253" i="5"/>
  <c r="J5254" i="5"/>
  <c r="J5255" i="5"/>
  <c r="J5256" i="5"/>
  <c r="J5257" i="5"/>
  <c r="J5258" i="5"/>
  <c r="J5259" i="5"/>
  <c r="J5260" i="5"/>
  <c r="J5261" i="5"/>
  <c r="J5262" i="5"/>
  <c r="J5263" i="5"/>
  <c r="J5264" i="5"/>
  <c r="J5265" i="5"/>
  <c r="J5266" i="5"/>
  <c r="J5267" i="5"/>
  <c r="J5268" i="5"/>
  <c r="J5269" i="5"/>
  <c r="J5270" i="5"/>
  <c r="J5271" i="5"/>
  <c r="J5272" i="5"/>
  <c r="J5273" i="5"/>
  <c r="J5274" i="5"/>
  <c r="J5275" i="5"/>
  <c r="J5276" i="5"/>
  <c r="J5277" i="5"/>
  <c r="J5278" i="5"/>
  <c r="J5279" i="5"/>
  <c r="J5280" i="5"/>
  <c r="J5281" i="5"/>
  <c r="J5282" i="5"/>
  <c r="J5283" i="5"/>
  <c r="J5284" i="5"/>
  <c r="J5285" i="5"/>
  <c r="J5286" i="5"/>
  <c r="J5287" i="5"/>
  <c r="J5288" i="5"/>
  <c r="J5289" i="5"/>
  <c r="J5290" i="5"/>
  <c r="J5291" i="5"/>
  <c r="J5292" i="5"/>
  <c r="J5293" i="5"/>
  <c r="J5294" i="5"/>
  <c r="J5295" i="5"/>
  <c r="J5296" i="5"/>
  <c r="J5297" i="5"/>
  <c r="J5298" i="5"/>
  <c r="J5299" i="5"/>
  <c r="J5300" i="5"/>
  <c r="J5301" i="5"/>
  <c r="J5302" i="5"/>
  <c r="J5303" i="5"/>
  <c r="J5304" i="5"/>
  <c r="J5305" i="5"/>
  <c r="J5306" i="5"/>
  <c r="J5307" i="5"/>
  <c r="J5308" i="5"/>
  <c r="J5309" i="5"/>
  <c r="J5310" i="5"/>
  <c r="J5311" i="5"/>
  <c r="J5312" i="5"/>
  <c r="J5313" i="5"/>
  <c r="J5314" i="5"/>
  <c r="J5315" i="5"/>
  <c r="J5316" i="5"/>
  <c r="J5317" i="5"/>
  <c r="J5318" i="5"/>
  <c r="J5319" i="5"/>
  <c r="J5320" i="5"/>
  <c r="J5321" i="5"/>
  <c r="J5322" i="5"/>
  <c r="J5323" i="5"/>
  <c r="J5324" i="5"/>
  <c r="J5325" i="5"/>
  <c r="J5326" i="5"/>
  <c r="J5327" i="5"/>
  <c r="J5328" i="5"/>
  <c r="J5329" i="5"/>
  <c r="J5330" i="5"/>
  <c r="J5331" i="5"/>
  <c r="J5332" i="5"/>
  <c r="J5333" i="5"/>
  <c r="J5334" i="5"/>
  <c r="J5335" i="5"/>
  <c r="J5336" i="5"/>
  <c r="J5337" i="5"/>
  <c r="J5338" i="5"/>
  <c r="J5339" i="5"/>
  <c r="J5340" i="5"/>
  <c r="J5341" i="5"/>
  <c r="J5342" i="5"/>
  <c r="J5343" i="5"/>
  <c r="J5344" i="5"/>
  <c r="J5345" i="5"/>
  <c r="J5346" i="5"/>
  <c r="J5347" i="5"/>
  <c r="J5348" i="5"/>
  <c r="J5349" i="5"/>
  <c r="J5350" i="5"/>
  <c r="J5351" i="5"/>
  <c r="J5352" i="5"/>
  <c r="J5353" i="5"/>
  <c r="J5354" i="5"/>
  <c r="J5355" i="5"/>
  <c r="J5356" i="5"/>
  <c r="J5357" i="5"/>
  <c r="J5358" i="5"/>
  <c r="J5359" i="5"/>
  <c r="J5360" i="5"/>
  <c r="J5361" i="5"/>
  <c r="J5362" i="5"/>
  <c r="J5363" i="5"/>
  <c r="J5364" i="5"/>
  <c r="J5365" i="5"/>
  <c r="J5366" i="5"/>
  <c r="J5367" i="5"/>
  <c r="J5368" i="5"/>
  <c r="J5369" i="5"/>
  <c r="J5370" i="5"/>
  <c r="J5371" i="5"/>
  <c r="J5372" i="5"/>
  <c r="J5373" i="5"/>
  <c r="J5374" i="5"/>
  <c r="J5375" i="5"/>
  <c r="J5376" i="5"/>
  <c r="J5377" i="5"/>
  <c r="J5378" i="5"/>
  <c r="J5379" i="5"/>
  <c r="J5380" i="5"/>
  <c r="J5381" i="5"/>
  <c r="J5382" i="5"/>
  <c r="J5383" i="5"/>
  <c r="J5384" i="5"/>
  <c r="J5385" i="5"/>
  <c r="J5386" i="5"/>
  <c r="J5387" i="5"/>
  <c r="J5388" i="5"/>
  <c r="J5389" i="5"/>
  <c r="J5390" i="5"/>
  <c r="J5391" i="5"/>
  <c r="J5392" i="5"/>
  <c r="J5393" i="5"/>
  <c r="J5394" i="5"/>
  <c r="J5395" i="5"/>
  <c r="J5396" i="5"/>
  <c r="J5397" i="5"/>
  <c r="J5398" i="5"/>
  <c r="J5399" i="5"/>
  <c r="J5400" i="5"/>
  <c r="J5401" i="5"/>
  <c r="J5402" i="5"/>
  <c r="J5403" i="5"/>
  <c r="J5404" i="5"/>
  <c r="J5405" i="5"/>
  <c r="J5406" i="5"/>
  <c r="J5407" i="5"/>
  <c r="J5408" i="5"/>
  <c r="J5409" i="5"/>
  <c r="J5410" i="5"/>
  <c r="J5411" i="5"/>
  <c r="J5412" i="5"/>
  <c r="J5413" i="5"/>
  <c r="J5414" i="5"/>
  <c r="J5415" i="5"/>
  <c r="J5416" i="5"/>
  <c r="J5417" i="5"/>
  <c r="J5418" i="5"/>
  <c r="J5419" i="5"/>
  <c r="J5420" i="5"/>
  <c r="J5421" i="5"/>
  <c r="J5422" i="5"/>
  <c r="J5423" i="5"/>
  <c r="J5424" i="5"/>
  <c r="J5425" i="5"/>
  <c r="J5426" i="5"/>
  <c r="J5427" i="5"/>
  <c r="J5428" i="5"/>
  <c r="J5429" i="5"/>
  <c r="J5430" i="5"/>
  <c r="J5431" i="5"/>
  <c r="J5432" i="5"/>
  <c r="J5433" i="5"/>
  <c r="J5434" i="5"/>
  <c r="J5435" i="5"/>
  <c r="J5436" i="5"/>
  <c r="J5437" i="5"/>
  <c r="J5438" i="5"/>
  <c r="J5439" i="5"/>
  <c r="J5440" i="5"/>
  <c r="J5441" i="5"/>
  <c r="J5442" i="5"/>
  <c r="J5443" i="5"/>
  <c r="J5444" i="5"/>
  <c r="J5445" i="5"/>
  <c r="J5446" i="5"/>
  <c r="J5447" i="5"/>
  <c r="J5448" i="5"/>
  <c r="J5449" i="5"/>
  <c r="J5450" i="5"/>
  <c r="J5451" i="5"/>
  <c r="J5452" i="5"/>
  <c r="J5453" i="5"/>
  <c r="J5454" i="5"/>
  <c r="J5455" i="5"/>
  <c r="J5456" i="5"/>
  <c r="J5457" i="5"/>
  <c r="J5458" i="5"/>
  <c r="J5459" i="5"/>
  <c r="J5460" i="5"/>
  <c r="J5461" i="5"/>
  <c r="J5462" i="5"/>
  <c r="J5463" i="5"/>
  <c r="J5464" i="5"/>
  <c r="J5465" i="5"/>
  <c r="J5466" i="5"/>
  <c r="J5467" i="5"/>
  <c r="J5468" i="5"/>
  <c r="J5469" i="5"/>
  <c r="J5470" i="5"/>
  <c r="J5471" i="5"/>
  <c r="J5472" i="5"/>
  <c r="J5473" i="5"/>
  <c r="J5474" i="5"/>
  <c r="J5475" i="5"/>
  <c r="J5476" i="5"/>
  <c r="J5477" i="5"/>
  <c r="J5478" i="5"/>
  <c r="J5479" i="5"/>
  <c r="J5480" i="5"/>
  <c r="J5481" i="5"/>
  <c r="J5482" i="5"/>
  <c r="J5483" i="5"/>
  <c r="J5484" i="5"/>
  <c r="J5485" i="5"/>
  <c r="J5486" i="5"/>
  <c r="J5487" i="5"/>
  <c r="J5488" i="5"/>
  <c r="J5489" i="5"/>
  <c r="J5490" i="5"/>
  <c r="J5491" i="5"/>
  <c r="J5492" i="5"/>
  <c r="J5493" i="5"/>
  <c r="J5494" i="5"/>
  <c r="J5495" i="5"/>
  <c r="J5496" i="5"/>
  <c r="J5497" i="5"/>
  <c r="J5498" i="5"/>
  <c r="J5499" i="5"/>
  <c r="J5500" i="5"/>
  <c r="J5501" i="5"/>
  <c r="J5502" i="5"/>
  <c r="J5503" i="5"/>
  <c r="J5504" i="5"/>
  <c r="J5505" i="5"/>
  <c r="J5506" i="5"/>
  <c r="J5507" i="5"/>
  <c r="J5508" i="5"/>
  <c r="J5509" i="5"/>
  <c r="J5510" i="5"/>
  <c r="J5511" i="5"/>
  <c r="J5512" i="5"/>
  <c r="J5513" i="5"/>
  <c r="J5514" i="5"/>
  <c r="J5515" i="5"/>
  <c r="J5516" i="5"/>
  <c r="J5517" i="5"/>
  <c r="J5518" i="5"/>
  <c r="J5519" i="5"/>
  <c r="J5520" i="5"/>
  <c r="J5521" i="5"/>
  <c r="J5522" i="5"/>
  <c r="J5523" i="5"/>
  <c r="J5524" i="5"/>
  <c r="J5525" i="5"/>
  <c r="J5526" i="5"/>
  <c r="J5527" i="5"/>
  <c r="J5528" i="5"/>
  <c r="J5529" i="5"/>
  <c r="J5530" i="5"/>
  <c r="J5531" i="5"/>
  <c r="J5532" i="5"/>
  <c r="J5533" i="5"/>
  <c r="J5534" i="5"/>
  <c r="J5535" i="5"/>
  <c r="J5536" i="5"/>
  <c r="J5537" i="5"/>
  <c r="J5538" i="5"/>
  <c r="J5539" i="5"/>
  <c r="J5540" i="5"/>
  <c r="J5541" i="5"/>
  <c r="J5542" i="5"/>
  <c r="J5543" i="5"/>
  <c r="J5544" i="5"/>
  <c r="J5545" i="5"/>
  <c r="J5546" i="5"/>
  <c r="J5547" i="5"/>
  <c r="J5548" i="5"/>
  <c r="J5549" i="5"/>
  <c r="J5550" i="5"/>
  <c r="J5551" i="5"/>
  <c r="J5552" i="5"/>
  <c r="J5553" i="5"/>
  <c r="J5554" i="5"/>
  <c r="J5555" i="5"/>
  <c r="J5556" i="5"/>
  <c r="J5557" i="5"/>
  <c r="J5558" i="5"/>
  <c r="J5559" i="5"/>
  <c r="J5560" i="5"/>
  <c r="J5561" i="5"/>
  <c r="J5562" i="5"/>
  <c r="J5563" i="5"/>
  <c r="J5564" i="5"/>
  <c r="J5565" i="5"/>
  <c r="J5566" i="5"/>
  <c r="J5567" i="5"/>
  <c r="J5568" i="5"/>
  <c r="J5569" i="5"/>
  <c r="J5570" i="5"/>
  <c r="J5571" i="5"/>
  <c r="J5572" i="5"/>
  <c r="J5573" i="5"/>
  <c r="J5574" i="5"/>
  <c r="J5575" i="5"/>
  <c r="J5576" i="5"/>
  <c r="J5577" i="5"/>
  <c r="J5578" i="5"/>
  <c r="J5579" i="5"/>
  <c r="J5580" i="5"/>
  <c r="J5581" i="5"/>
  <c r="J5582" i="5"/>
  <c r="J5583" i="5"/>
  <c r="J5584" i="5"/>
  <c r="J5585" i="5"/>
  <c r="J5586" i="5"/>
  <c r="J5587" i="5"/>
  <c r="J5588" i="5"/>
  <c r="J5589" i="5"/>
  <c r="J5590" i="5"/>
  <c r="J5591" i="5"/>
  <c r="J5592" i="5"/>
  <c r="J5593" i="5"/>
  <c r="J5594" i="5"/>
  <c r="J5595" i="5"/>
  <c r="J5596" i="5"/>
  <c r="J5597" i="5"/>
  <c r="J5598" i="5"/>
  <c r="J5599" i="5"/>
  <c r="J5600" i="5"/>
  <c r="J5601" i="5"/>
  <c r="J5602" i="5"/>
  <c r="J5603" i="5"/>
  <c r="J5604" i="5"/>
  <c r="J5605" i="5"/>
  <c r="J5606" i="5"/>
  <c r="J5607" i="5"/>
  <c r="J5608" i="5"/>
  <c r="J5609" i="5"/>
  <c r="J5610" i="5"/>
  <c r="J5611" i="5"/>
  <c r="J5612" i="5"/>
  <c r="J5613" i="5"/>
  <c r="J5614" i="5"/>
  <c r="J5615" i="5"/>
  <c r="J5616" i="5"/>
  <c r="J5617" i="5"/>
  <c r="J5618" i="5"/>
  <c r="J5619" i="5"/>
  <c r="J5620" i="5"/>
  <c r="J5621" i="5"/>
  <c r="J5622" i="5"/>
  <c r="J5623" i="5"/>
  <c r="J5624" i="5"/>
  <c r="J5625" i="5"/>
  <c r="J5626" i="5"/>
  <c r="J5627" i="5"/>
  <c r="J5628" i="5"/>
  <c r="J5629" i="5"/>
  <c r="J5630" i="5"/>
  <c r="J5631" i="5"/>
  <c r="J5632" i="5"/>
  <c r="J5633" i="5"/>
  <c r="J5634" i="5"/>
  <c r="J5635" i="5"/>
  <c r="J5636" i="5"/>
  <c r="J5637" i="5"/>
  <c r="J5638" i="5"/>
  <c r="J5639" i="5"/>
  <c r="J5640" i="5"/>
  <c r="J5641" i="5"/>
  <c r="J5642" i="5"/>
  <c r="J5643" i="5"/>
  <c r="J5644" i="5"/>
  <c r="J5645" i="5"/>
  <c r="J5646" i="5"/>
  <c r="J5647" i="5"/>
  <c r="J5648" i="5"/>
  <c r="J5649" i="5"/>
  <c r="J5650" i="5"/>
  <c r="J5651" i="5"/>
  <c r="J5652" i="5"/>
  <c r="J5653" i="5"/>
  <c r="J5654" i="5"/>
  <c r="J5655" i="5"/>
  <c r="J5656" i="5"/>
  <c r="J5657" i="5"/>
  <c r="J5658" i="5"/>
  <c r="J5659" i="5"/>
  <c r="J5660" i="5"/>
  <c r="J5661" i="5"/>
  <c r="J5662" i="5"/>
  <c r="J5663" i="5"/>
  <c r="J5664" i="5"/>
  <c r="J5665" i="5"/>
  <c r="J5666" i="5"/>
  <c r="J5667" i="5"/>
  <c r="J5668" i="5"/>
  <c r="J5669" i="5"/>
  <c r="J5670" i="5"/>
  <c r="J5671" i="5"/>
  <c r="J5672" i="5"/>
  <c r="J5673" i="5"/>
  <c r="J5674" i="5"/>
  <c r="J5675" i="5"/>
  <c r="J5676" i="5"/>
  <c r="J5677" i="5"/>
  <c r="J5678" i="5"/>
  <c r="J5679" i="5"/>
  <c r="J5680" i="5"/>
  <c r="J5681" i="5"/>
  <c r="J5682" i="5"/>
  <c r="J5683" i="5"/>
  <c r="J5684" i="5"/>
  <c r="J5685" i="5"/>
  <c r="J5686" i="5"/>
  <c r="J5687" i="5"/>
  <c r="J5688" i="5"/>
  <c r="J5689" i="5"/>
  <c r="J5690" i="5"/>
  <c r="J5691" i="5"/>
  <c r="J5692" i="5"/>
  <c r="J5693" i="5"/>
  <c r="J5694" i="5"/>
  <c r="J5695" i="5"/>
  <c r="J5696" i="5"/>
  <c r="J5697" i="5"/>
  <c r="J5698" i="5"/>
  <c r="J5699" i="5"/>
  <c r="J5700" i="5"/>
  <c r="J5701" i="5"/>
  <c r="J5702" i="5"/>
  <c r="J5703" i="5"/>
  <c r="J5704" i="5"/>
  <c r="J5705" i="5"/>
  <c r="J5706" i="5"/>
  <c r="J5707" i="5"/>
  <c r="J5708" i="5"/>
  <c r="J5709" i="5"/>
  <c r="J5710" i="5"/>
  <c r="J5711" i="5"/>
  <c r="J5712" i="5"/>
  <c r="J5713" i="5"/>
  <c r="J5714" i="5"/>
  <c r="J5715" i="5"/>
  <c r="J5716" i="5"/>
  <c r="J5717" i="5"/>
  <c r="J5718" i="5"/>
  <c r="J5719" i="5"/>
  <c r="J5720" i="5"/>
  <c r="J5721" i="5"/>
  <c r="J5722" i="5"/>
  <c r="J5723" i="5"/>
  <c r="J5724" i="5"/>
  <c r="J5725" i="5"/>
  <c r="J5726" i="5"/>
  <c r="J5727" i="5"/>
  <c r="J5728" i="5"/>
  <c r="J5729" i="5"/>
  <c r="J5730" i="5"/>
  <c r="J5731" i="5"/>
  <c r="J5732" i="5"/>
  <c r="J5733" i="5"/>
  <c r="J5734" i="5"/>
  <c r="J5735" i="5"/>
  <c r="J5736" i="5"/>
  <c r="J5737" i="5"/>
  <c r="J5738" i="5"/>
  <c r="J5739" i="5"/>
  <c r="J5740" i="5"/>
  <c r="J5741" i="5"/>
  <c r="J5742" i="5"/>
  <c r="J5743" i="5"/>
  <c r="J5744" i="5"/>
  <c r="J5745" i="5"/>
  <c r="J5746" i="5"/>
  <c r="J5747" i="5"/>
  <c r="J5748" i="5"/>
  <c r="J5749" i="5"/>
  <c r="J5750" i="5"/>
  <c r="J5751" i="5"/>
  <c r="J5752" i="5"/>
  <c r="J5753" i="5"/>
  <c r="J5754" i="5"/>
  <c r="J5755" i="5"/>
  <c r="J5756" i="5"/>
  <c r="J5757" i="5"/>
  <c r="J5758" i="5"/>
  <c r="J5759" i="5"/>
  <c r="J5760" i="5"/>
  <c r="J5761" i="5"/>
  <c r="J5762" i="5"/>
  <c r="J5763" i="5"/>
  <c r="J5764" i="5"/>
  <c r="J5765" i="5"/>
  <c r="J5766" i="5"/>
  <c r="J5767" i="5"/>
  <c r="J5768" i="5"/>
  <c r="J5769" i="5"/>
  <c r="J5770" i="5"/>
  <c r="J5771" i="5"/>
  <c r="J5772" i="5"/>
  <c r="J5773" i="5"/>
  <c r="J5774" i="5"/>
  <c r="J5775" i="5"/>
  <c r="J5776" i="5"/>
  <c r="J5777" i="5"/>
  <c r="J5778" i="5"/>
  <c r="J5779" i="5"/>
  <c r="J5780" i="5"/>
  <c r="J5781" i="5"/>
  <c r="J5782" i="5"/>
  <c r="J5783" i="5"/>
  <c r="J5784" i="5"/>
  <c r="J5785" i="5"/>
  <c r="J5786" i="5"/>
  <c r="J5787" i="5"/>
  <c r="J5788" i="5"/>
  <c r="J5789" i="5"/>
  <c r="J5790" i="5"/>
  <c r="J5791" i="5"/>
  <c r="J5792" i="5"/>
  <c r="J5793" i="5"/>
  <c r="J5794" i="5"/>
  <c r="J5795" i="5"/>
  <c r="J5796" i="5"/>
  <c r="J5797" i="5"/>
  <c r="J5798" i="5"/>
  <c r="J5799" i="5"/>
  <c r="J5800" i="5"/>
  <c r="J5801" i="5"/>
  <c r="J5802" i="5"/>
  <c r="J5803" i="5"/>
  <c r="J5804" i="5"/>
  <c r="J5805" i="5"/>
  <c r="J5806" i="5"/>
  <c r="J5807" i="5"/>
  <c r="J5808" i="5"/>
  <c r="J5809" i="5"/>
  <c r="J5810" i="5"/>
  <c r="J5811" i="5"/>
  <c r="J5812" i="5"/>
  <c r="J5813" i="5"/>
  <c r="J5814" i="5"/>
  <c r="J5815" i="5"/>
  <c r="J5816" i="5"/>
  <c r="J5817" i="5"/>
  <c r="J5818" i="5"/>
  <c r="J5819" i="5"/>
  <c r="J5820" i="5"/>
  <c r="J5821" i="5"/>
  <c r="J5822" i="5"/>
  <c r="J5823" i="5"/>
  <c r="J5824" i="5"/>
  <c r="J5825" i="5"/>
  <c r="J5826" i="5"/>
  <c r="J5827" i="5"/>
  <c r="J5828" i="5"/>
  <c r="J5829" i="5"/>
  <c r="J5830" i="5"/>
  <c r="J5831" i="5"/>
  <c r="J5832" i="5"/>
  <c r="J5833" i="5"/>
  <c r="J5834" i="5"/>
  <c r="J5835" i="5"/>
  <c r="J5836" i="5"/>
  <c r="J5837" i="5"/>
  <c r="J5838" i="5"/>
  <c r="J5839" i="5"/>
  <c r="J5840" i="5"/>
  <c r="J5841" i="5"/>
  <c r="J5842" i="5"/>
  <c r="J5843" i="5"/>
  <c r="J5844" i="5"/>
  <c r="J5845" i="5"/>
  <c r="J5846" i="5"/>
  <c r="J5847" i="5"/>
  <c r="J5848" i="5"/>
  <c r="J5849" i="5"/>
  <c r="J5850" i="5"/>
  <c r="J5851" i="5"/>
  <c r="J5852" i="5"/>
  <c r="J5853" i="5"/>
  <c r="J5854" i="5"/>
  <c r="J5855" i="5"/>
  <c r="J5856" i="5"/>
  <c r="J5857" i="5"/>
  <c r="J5858" i="5"/>
  <c r="J5859" i="5"/>
  <c r="J5860" i="5"/>
  <c r="J5861" i="5"/>
  <c r="J5862" i="5"/>
  <c r="J5863" i="5"/>
  <c r="J5864" i="5"/>
  <c r="J5865" i="5"/>
  <c r="J5866" i="5"/>
  <c r="J5867" i="5"/>
  <c r="J5868" i="5"/>
  <c r="J5869" i="5"/>
  <c r="J5870" i="5"/>
  <c r="J5871" i="5"/>
  <c r="J5872" i="5"/>
  <c r="J5873" i="5"/>
  <c r="J5874" i="5"/>
  <c r="J5875" i="5"/>
  <c r="J5876" i="5"/>
  <c r="J5877" i="5"/>
  <c r="J5878" i="5"/>
  <c r="J5879" i="5"/>
  <c r="J5880" i="5"/>
  <c r="J5881" i="5"/>
  <c r="J5882" i="5"/>
  <c r="J5883" i="5"/>
  <c r="J5884" i="5"/>
  <c r="J5885" i="5"/>
  <c r="J5886" i="5"/>
  <c r="J5887" i="5"/>
  <c r="J5888" i="5"/>
  <c r="J5889" i="5"/>
  <c r="J5890" i="5"/>
  <c r="J5891" i="5"/>
  <c r="J5892" i="5"/>
  <c r="J5893" i="5"/>
  <c r="J5894" i="5"/>
  <c r="J5895" i="5"/>
  <c r="J5896" i="5"/>
  <c r="J5897" i="5"/>
  <c r="J5898" i="5"/>
  <c r="J5899" i="5"/>
  <c r="J5900" i="5"/>
  <c r="J5901" i="5"/>
  <c r="J5902" i="5"/>
  <c r="J5903" i="5"/>
  <c r="J5904" i="5"/>
  <c r="J5905" i="5"/>
  <c r="J5906" i="5"/>
  <c r="J5907" i="5"/>
  <c r="J5908" i="5"/>
  <c r="J5909" i="5"/>
  <c r="J5910" i="5"/>
  <c r="J5911" i="5"/>
  <c r="J5912" i="5"/>
  <c r="J5913" i="5"/>
  <c r="J5914" i="5"/>
  <c r="J5915" i="5"/>
  <c r="J5916" i="5"/>
  <c r="J5917" i="5"/>
  <c r="J5918" i="5"/>
  <c r="J5919" i="5"/>
  <c r="J5920" i="5"/>
  <c r="J5921" i="5"/>
  <c r="J5922" i="5"/>
  <c r="J5923" i="5"/>
  <c r="J5924" i="5"/>
  <c r="J5925" i="5"/>
  <c r="J5926" i="5"/>
  <c r="J5927" i="5"/>
  <c r="J5928" i="5"/>
  <c r="J5929" i="5"/>
  <c r="J5930" i="5"/>
  <c r="J5931" i="5"/>
  <c r="J5932" i="5"/>
  <c r="J5933" i="5"/>
  <c r="J5934" i="5"/>
  <c r="J5935" i="5"/>
  <c r="J5936" i="5"/>
  <c r="J5937" i="5"/>
  <c r="J5938" i="5"/>
  <c r="J5939" i="5"/>
  <c r="J5940" i="5"/>
  <c r="J5941" i="5"/>
  <c r="J5942" i="5"/>
  <c r="J5943" i="5"/>
  <c r="J5944" i="5"/>
  <c r="J5945" i="5"/>
  <c r="J5946" i="5"/>
  <c r="J5947" i="5"/>
  <c r="J5948" i="5"/>
  <c r="J5949" i="5"/>
  <c r="J5950" i="5"/>
  <c r="J5951" i="5"/>
  <c r="J5952" i="5"/>
  <c r="J5953" i="5"/>
  <c r="J5954" i="5"/>
  <c r="J5955" i="5"/>
  <c r="J5956" i="5"/>
  <c r="J5957" i="5"/>
  <c r="J5958" i="5"/>
  <c r="J5959" i="5"/>
  <c r="J5960" i="5"/>
  <c r="J5961" i="5"/>
  <c r="J5962" i="5"/>
  <c r="J5963" i="5"/>
  <c r="J5964" i="5"/>
  <c r="J5965" i="5"/>
  <c r="J5966" i="5"/>
  <c r="J5967" i="5"/>
  <c r="J5968" i="5"/>
  <c r="J5969" i="5"/>
  <c r="J5970" i="5"/>
  <c r="J5971" i="5"/>
  <c r="J5972" i="5"/>
  <c r="J5973" i="5"/>
  <c r="J5974" i="5"/>
  <c r="J5975" i="5"/>
  <c r="J5976" i="5"/>
  <c r="J5977" i="5"/>
  <c r="J5978" i="5"/>
  <c r="J5979" i="5"/>
  <c r="J5980" i="5"/>
  <c r="J5981" i="5"/>
  <c r="J5982" i="5"/>
  <c r="J5983" i="5"/>
  <c r="J5984" i="5"/>
  <c r="J5985" i="5"/>
  <c r="J5986" i="5"/>
  <c r="J5987" i="5"/>
  <c r="J5988" i="5"/>
  <c r="J5989" i="5"/>
  <c r="J5990" i="5"/>
  <c r="J5991" i="5"/>
  <c r="J5992" i="5"/>
  <c r="J5993" i="5"/>
  <c r="J5994" i="5"/>
  <c r="J5995" i="5"/>
  <c r="J5996" i="5"/>
  <c r="J5997" i="5"/>
  <c r="J5998" i="5"/>
  <c r="J5999" i="5"/>
  <c r="J6000" i="5"/>
  <c r="J6001" i="5"/>
  <c r="F3" i="2"/>
  <c r="G3" i="2"/>
  <c r="C21" i="2"/>
  <c r="C23" i="2"/>
  <c r="D23" i="2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  <c r="D7" i="2" s="1"/>
  <c r="D6" i="2" s="1"/>
  <c r="D32" i="2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E53" i="2"/>
  <c r="E97" i="2" s="1"/>
  <c r="F53" i="2"/>
  <c r="F97" i="2" s="1"/>
  <c r="E54" i="2"/>
  <c r="F54" i="2"/>
  <c r="G54" i="2"/>
  <c r="H54" i="2"/>
  <c r="I54" i="2"/>
  <c r="J54" i="2"/>
  <c r="K54" i="2"/>
  <c r="L54" i="2"/>
  <c r="M54" i="2"/>
  <c r="N54" i="2"/>
  <c r="O54" i="2"/>
  <c r="P54" i="2"/>
  <c r="Q54" i="2"/>
  <c r="R54" i="2"/>
  <c r="S54" i="2"/>
  <c r="T54" i="2"/>
  <c r="U54" i="2"/>
  <c r="V54" i="2"/>
  <c r="W54" i="2"/>
  <c r="X54" i="2"/>
  <c r="E55" i="2"/>
  <c r="F55" i="2"/>
  <c r="G55" i="2"/>
  <c r="H55" i="2"/>
  <c r="I55" i="2"/>
  <c r="J55" i="2"/>
  <c r="K55" i="2"/>
  <c r="L55" i="2"/>
  <c r="M55" i="2"/>
  <c r="N55" i="2"/>
  <c r="O55" i="2"/>
  <c r="P55" i="2"/>
  <c r="Q55" i="2"/>
  <c r="R55" i="2"/>
  <c r="S55" i="2"/>
  <c r="T55" i="2"/>
  <c r="U55" i="2"/>
  <c r="V55" i="2"/>
  <c r="W55" i="2"/>
  <c r="Y55" i="2"/>
  <c r="E56" i="2"/>
  <c r="F56" i="2"/>
  <c r="G56" i="2"/>
  <c r="H56" i="2"/>
  <c r="I56" i="2"/>
  <c r="J56" i="2"/>
  <c r="K56" i="2"/>
  <c r="L56" i="2"/>
  <c r="M56" i="2"/>
  <c r="N56" i="2"/>
  <c r="O56" i="2"/>
  <c r="P56" i="2"/>
  <c r="Q56" i="2"/>
  <c r="R56" i="2"/>
  <c r="S56" i="2"/>
  <c r="T56" i="2"/>
  <c r="U56" i="2"/>
  <c r="V56" i="2"/>
  <c r="X56" i="2"/>
  <c r="E57" i="2"/>
  <c r="F57" i="2"/>
  <c r="G57" i="2"/>
  <c r="H57" i="2"/>
  <c r="I57" i="2"/>
  <c r="J57" i="2"/>
  <c r="K57" i="2"/>
  <c r="L57" i="2"/>
  <c r="M57" i="2"/>
  <c r="N57" i="2"/>
  <c r="O57" i="2"/>
  <c r="P57" i="2"/>
  <c r="Q57" i="2"/>
  <c r="R57" i="2"/>
  <c r="S57" i="2"/>
  <c r="T57" i="2"/>
  <c r="U57" i="2"/>
  <c r="W57" i="2"/>
  <c r="Y57" i="2"/>
  <c r="E58" i="2"/>
  <c r="F58" i="2"/>
  <c r="G58" i="2"/>
  <c r="H58" i="2"/>
  <c r="I58" i="2"/>
  <c r="J58" i="2"/>
  <c r="K58" i="2"/>
  <c r="L58" i="2"/>
  <c r="M58" i="2"/>
  <c r="N58" i="2"/>
  <c r="O58" i="2"/>
  <c r="P58" i="2"/>
  <c r="Q58" i="2"/>
  <c r="R58" i="2"/>
  <c r="S58" i="2"/>
  <c r="T58" i="2"/>
  <c r="V58" i="2"/>
  <c r="X58" i="2"/>
  <c r="E59" i="2"/>
  <c r="F59" i="2"/>
  <c r="G59" i="2"/>
  <c r="H59" i="2"/>
  <c r="I59" i="2"/>
  <c r="J59" i="2"/>
  <c r="K59" i="2"/>
  <c r="L59" i="2"/>
  <c r="M59" i="2"/>
  <c r="N59" i="2"/>
  <c r="O59" i="2"/>
  <c r="P59" i="2"/>
  <c r="Q59" i="2"/>
  <c r="R59" i="2"/>
  <c r="S59" i="2"/>
  <c r="U59" i="2"/>
  <c r="W59" i="2"/>
  <c r="Y59" i="2"/>
  <c r="E60" i="2"/>
  <c r="F60" i="2"/>
  <c r="G60" i="2"/>
  <c r="H60" i="2"/>
  <c r="I60" i="2"/>
  <c r="J60" i="2"/>
  <c r="K60" i="2"/>
  <c r="L60" i="2"/>
  <c r="M60" i="2"/>
  <c r="N60" i="2"/>
  <c r="O60" i="2"/>
  <c r="P60" i="2"/>
  <c r="Q60" i="2"/>
  <c r="R60" i="2"/>
  <c r="T60" i="2"/>
  <c r="V60" i="2"/>
  <c r="X60" i="2"/>
  <c r="E61" i="2"/>
  <c r="F61" i="2"/>
  <c r="G61" i="2"/>
  <c r="H61" i="2"/>
  <c r="I61" i="2"/>
  <c r="J61" i="2"/>
  <c r="K61" i="2"/>
  <c r="L61" i="2"/>
  <c r="M61" i="2"/>
  <c r="N61" i="2"/>
  <c r="O61" i="2"/>
  <c r="P61" i="2"/>
  <c r="Q61" i="2"/>
  <c r="S61" i="2"/>
  <c r="U61" i="2"/>
  <c r="W61" i="2"/>
  <c r="Y61" i="2"/>
  <c r="E62" i="2"/>
  <c r="F62" i="2"/>
  <c r="G62" i="2"/>
  <c r="H62" i="2"/>
  <c r="I62" i="2"/>
  <c r="J62" i="2"/>
  <c r="K62" i="2"/>
  <c r="L62" i="2"/>
  <c r="M62" i="2"/>
  <c r="N62" i="2"/>
  <c r="O62" i="2"/>
  <c r="P62" i="2"/>
  <c r="R62" i="2"/>
  <c r="T62" i="2"/>
  <c r="V62" i="2"/>
  <c r="X62" i="2"/>
  <c r="E63" i="2"/>
  <c r="F63" i="2"/>
  <c r="G63" i="2"/>
  <c r="H63" i="2"/>
  <c r="I63" i="2"/>
  <c r="J63" i="2"/>
  <c r="K63" i="2"/>
  <c r="L63" i="2"/>
  <c r="M63" i="2"/>
  <c r="N63" i="2"/>
  <c r="O63" i="2"/>
  <c r="Q63" i="2"/>
  <c r="S63" i="2"/>
  <c r="U63" i="2"/>
  <c r="W63" i="2"/>
  <c r="Y63" i="2"/>
  <c r="E64" i="2"/>
  <c r="F64" i="2"/>
  <c r="G64" i="2"/>
  <c r="H64" i="2"/>
  <c r="I64" i="2"/>
  <c r="J64" i="2"/>
  <c r="K64" i="2"/>
  <c r="L64" i="2"/>
  <c r="M64" i="2"/>
  <c r="N64" i="2"/>
  <c r="P64" i="2"/>
  <c r="R64" i="2"/>
  <c r="T64" i="2"/>
  <c r="V64" i="2"/>
  <c r="X64" i="2"/>
  <c r="E65" i="2"/>
  <c r="F65" i="2"/>
  <c r="G65" i="2"/>
  <c r="H65" i="2"/>
  <c r="I65" i="2"/>
  <c r="J65" i="2"/>
  <c r="K65" i="2"/>
  <c r="L65" i="2"/>
  <c r="M65" i="2"/>
  <c r="O65" i="2"/>
  <c r="Q65" i="2"/>
  <c r="S65" i="2"/>
  <c r="U65" i="2"/>
  <c r="W65" i="2"/>
  <c r="Y65" i="2"/>
  <c r="E66" i="2"/>
  <c r="F66" i="2"/>
  <c r="G66" i="2"/>
  <c r="H66" i="2"/>
  <c r="I66" i="2"/>
  <c r="J66" i="2"/>
  <c r="K66" i="2"/>
  <c r="L66" i="2"/>
  <c r="N66" i="2"/>
  <c r="P66" i="2"/>
  <c r="R66" i="2"/>
  <c r="T66" i="2"/>
  <c r="V66" i="2"/>
  <c r="X66" i="2"/>
  <c r="E67" i="2"/>
  <c r="F67" i="2"/>
  <c r="G67" i="2"/>
  <c r="H67" i="2"/>
  <c r="I67" i="2"/>
  <c r="J67" i="2"/>
  <c r="K67" i="2"/>
  <c r="M67" i="2"/>
  <c r="O67" i="2"/>
  <c r="Q67" i="2"/>
  <c r="S67" i="2"/>
  <c r="U67" i="2"/>
  <c r="W67" i="2"/>
  <c r="Y67" i="2"/>
  <c r="E68" i="2"/>
  <c r="F68" i="2"/>
  <c r="G68" i="2"/>
  <c r="H68" i="2"/>
  <c r="I68" i="2"/>
  <c r="J68" i="2"/>
  <c r="L68" i="2"/>
  <c r="N68" i="2"/>
  <c r="P68" i="2"/>
  <c r="R68" i="2"/>
  <c r="T68" i="2"/>
  <c r="V68" i="2"/>
  <c r="X68" i="2"/>
  <c r="E69" i="2"/>
  <c r="F69" i="2"/>
  <c r="G69" i="2"/>
  <c r="H69" i="2"/>
  <c r="I69" i="2"/>
  <c r="K69" i="2"/>
  <c r="M69" i="2"/>
  <c r="O69" i="2"/>
  <c r="Q69" i="2"/>
  <c r="S69" i="2"/>
  <c r="U69" i="2"/>
  <c r="W69" i="2"/>
  <c r="Y69" i="2"/>
  <c r="E70" i="2"/>
  <c r="F70" i="2"/>
  <c r="G70" i="2"/>
  <c r="H70" i="2"/>
  <c r="J70" i="2"/>
  <c r="L70" i="2"/>
  <c r="N70" i="2"/>
  <c r="P70" i="2"/>
  <c r="R70" i="2"/>
  <c r="T70" i="2"/>
  <c r="V70" i="2"/>
  <c r="X70" i="2"/>
  <c r="E71" i="2"/>
  <c r="F71" i="2"/>
  <c r="G71" i="2"/>
  <c r="I71" i="2"/>
  <c r="K71" i="2"/>
  <c r="M71" i="2"/>
  <c r="O71" i="2"/>
  <c r="Q71" i="2"/>
  <c r="S71" i="2"/>
  <c r="U71" i="2"/>
  <c r="W71" i="2"/>
  <c r="Y71" i="2"/>
  <c r="D72" i="2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E72" i="2"/>
  <c r="F72" i="2"/>
  <c r="H72" i="2"/>
  <c r="J72" i="2"/>
  <c r="L72" i="2"/>
  <c r="N72" i="2"/>
  <c r="P72" i="2"/>
  <c r="R72" i="2"/>
  <c r="T72" i="2"/>
  <c r="V72" i="2"/>
  <c r="X72" i="2"/>
  <c r="E73" i="2"/>
  <c r="G73" i="2"/>
  <c r="I73" i="2"/>
  <c r="K73" i="2"/>
  <c r="M73" i="2"/>
  <c r="O73" i="2"/>
  <c r="Q73" i="2"/>
  <c r="S73" i="2"/>
  <c r="U73" i="2"/>
  <c r="W73" i="2"/>
  <c r="Y73" i="2"/>
  <c r="F74" i="2"/>
  <c r="H74" i="2"/>
  <c r="J74" i="2"/>
  <c r="L74" i="2"/>
  <c r="N74" i="2"/>
  <c r="P74" i="2"/>
  <c r="R74" i="2"/>
  <c r="T74" i="2"/>
  <c r="V74" i="2"/>
  <c r="X74" i="2"/>
  <c r="E75" i="2"/>
  <c r="G75" i="2"/>
  <c r="I75" i="2"/>
  <c r="K75" i="2"/>
  <c r="M75" i="2"/>
  <c r="O75" i="2"/>
  <c r="Q75" i="2"/>
  <c r="S75" i="2"/>
  <c r="U75" i="2"/>
  <c r="W75" i="2"/>
  <c r="Y75" i="2"/>
  <c r="E76" i="2"/>
  <c r="F76" i="2"/>
  <c r="H76" i="2"/>
  <c r="J76" i="2"/>
  <c r="L76" i="2"/>
  <c r="N76" i="2"/>
  <c r="P76" i="2"/>
  <c r="R76" i="2"/>
  <c r="T76" i="2"/>
  <c r="V76" i="2"/>
  <c r="X76" i="2"/>
  <c r="E77" i="2"/>
  <c r="F77" i="2"/>
  <c r="G77" i="2"/>
  <c r="I77" i="2"/>
  <c r="K77" i="2"/>
  <c r="M77" i="2"/>
  <c r="O77" i="2"/>
  <c r="Q77" i="2"/>
  <c r="S77" i="2"/>
  <c r="U77" i="2"/>
  <c r="W77" i="2"/>
  <c r="Y77" i="2"/>
  <c r="E78" i="2"/>
  <c r="F78" i="2"/>
  <c r="G78" i="2"/>
  <c r="H78" i="2"/>
  <c r="J78" i="2"/>
  <c r="L78" i="2"/>
  <c r="N78" i="2"/>
  <c r="P78" i="2"/>
  <c r="R78" i="2"/>
  <c r="T78" i="2"/>
  <c r="V78" i="2"/>
  <c r="X78" i="2"/>
  <c r="E79" i="2"/>
  <c r="F79" i="2"/>
  <c r="G79" i="2"/>
  <c r="H79" i="2"/>
  <c r="I79" i="2"/>
  <c r="K79" i="2"/>
  <c r="M79" i="2"/>
  <c r="O79" i="2"/>
  <c r="Q79" i="2"/>
  <c r="S79" i="2"/>
  <c r="U79" i="2"/>
  <c r="W79" i="2"/>
  <c r="Y79" i="2"/>
  <c r="E80" i="2"/>
  <c r="F80" i="2"/>
  <c r="G80" i="2"/>
  <c r="H80" i="2"/>
  <c r="I80" i="2"/>
  <c r="J80" i="2"/>
  <c r="L80" i="2"/>
  <c r="N80" i="2"/>
  <c r="P80" i="2"/>
  <c r="R80" i="2"/>
  <c r="T80" i="2"/>
  <c r="V80" i="2"/>
  <c r="X80" i="2"/>
  <c r="D81" i="2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E81" i="2"/>
  <c r="F81" i="2"/>
  <c r="G81" i="2"/>
  <c r="H81" i="2"/>
  <c r="I81" i="2"/>
  <c r="J81" i="2"/>
  <c r="K81" i="2"/>
  <c r="M81" i="2"/>
  <c r="O81" i="2"/>
  <c r="Q81" i="2"/>
  <c r="S81" i="2"/>
  <c r="U81" i="2"/>
  <c r="W81" i="2"/>
  <c r="Y81" i="2"/>
  <c r="E82" i="2"/>
  <c r="F82" i="2"/>
  <c r="G82" i="2"/>
  <c r="H82" i="2"/>
  <c r="I82" i="2"/>
  <c r="J82" i="2"/>
  <c r="K82" i="2"/>
  <c r="L82" i="2"/>
  <c r="N82" i="2"/>
  <c r="P82" i="2"/>
  <c r="R82" i="2"/>
  <c r="T82" i="2"/>
  <c r="V82" i="2"/>
  <c r="X82" i="2"/>
  <c r="E83" i="2"/>
  <c r="F83" i="2"/>
  <c r="G83" i="2"/>
  <c r="H83" i="2"/>
  <c r="I83" i="2"/>
  <c r="J83" i="2"/>
  <c r="K83" i="2"/>
  <c r="L83" i="2"/>
  <c r="M83" i="2"/>
  <c r="O83" i="2"/>
  <c r="Q83" i="2"/>
  <c r="S83" i="2"/>
  <c r="U83" i="2"/>
  <c r="W83" i="2"/>
  <c r="Y83" i="2"/>
  <c r="E84" i="2"/>
  <c r="F84" i="2"/>
  <c r="G84" i="2"/>
  <c r="H84" i="2"/>
  <c r="I84" i="2"/>
  <c r="J84" i="2"/>
  <c r="K84" i="2"/>
  <c r="L84" i="2"/>
  <c r="M84" i="2"/>
  <c r="N84" i="2"/>
  <c r="P84" i="2"/>
  <c r="R84" i="2"/>
  <c r="T84" i="2"/>
  <c r="V84" i="2"/>
  <c r="X84" i="2"/>
  <c r="E85" i="2"/>
  <c r="F85" i="2"/>
  <c r="G85" i="2"/>
  <c r="H85" i="2"/>
  <c r="I85" i="2"/>
  <c r="J85" i="2"/>
  <c r="K85" i="2"/>
  <c r="L85" i="2"/>
  <c r="M85" i="2"/>
  <c r="N85" i="2"/>
  <c r="O85" i="2"/>
  <c r="Q85" i="2"/>
  <c r="S85" i="2"/>
  <c r="U85" i="2"/>
  <c r="W85" i="2"/>
  <c r="Y85" i="2"/>
  <c r="E86" i="2"/>
  <c r="F86" i="2"/>
  <c r="G86" i="2"/>
  <c r="H86" i="2"/>
  <c r="I86" i="2"/>
  <c r="J86" i="2"/>
  <c r="K86" i="2"/>
  <c r="L86" i="2"/>
  <c r="M86" i="2"/>
  <c r="N86" i="2"/>
  <c r="O86" i="2"/>
  <c r="P86" i="2"/>
  <c r="R86" i="2"/>
  <c r="T86" i="2"/>
  <c r="V86" i="2"/>
  <c r="X86" i="2"/>
  <c r="E87" i="2"/>
  <c r="F87" i="2"/>
  <c r="G87" i="2"/>
  <c r="H87" i="2"/>
  <c r="I87" i="2"/>
  <c r="J87" i="2"/>
  <c r="K87" i="2"/>
  <c r="L87" i="2"/>
  <c r="M87" i="2"/>
  <c r="N87" i="2"/>
  <c r="O87" i="2"/>
  <c r="P87" i="2"/>
  <c r="Q87" i="2"/>
  <c r="S87" i="2"/>
  <c r="U87" i="2"/>
  <c r="W87" i="2"/>
  <c r="Y87" i="2"/>
  <c r="E88" i="2"/>
  <c r="F88" i="2"/>
  <c r="G88" i="2"/>
  <c r="H88" i="2"/>
  <c r="I88" i="2"/>
  <c r="J88" i="2"/>
  <c r="K88" i="2"/>
  <c r="L88" i="2"/>
  <c r="M88" i="2"/>
  <c r="N88" i="2"/>
  <c r="O88" i="2"/>
  <c r="P88" i="2"/>
  <c r="Q88" i="2"/>
  <c r="R88" i="2"/>
  <c r="T88" i="2"/>
  <c r="V88" i="2"/>
  <c r="X88" i="2"/>
  <c r="E89" i="2"/>
  <c r="F89" i="2"/>
  <c r="G89" i="2"/>
  <c r="H89" i="2"/>
  <c r="I89" i="2"/>
  <c r="J89" i="2"/>
  <c r="K89" i="2"/>
  <c r="L89" i="2"/>
  <c r="M89" i="2"/>
  <c r="N89" i="2"/>
  <c r="O89" i="2"/>
  <c r="P89" i="2"/>
  <c r="Q89" i="2"/>
  <c r="R89" i="2"/>
  <c r="S89" i="2"/>
  <c r="U89" i="2"/>
  <c r="W89" i="2"/>
  <c r="Y89" i="2"/>
  <c r="E90" i="2"/>
  <c r="F90" i="2"/>
  <c r="G90" i="2"/>
  <c r="H90" i="2"/>
  <c r="I90" i="2"/>
  <c r="J90" i="2"/>
  <c r="K90" i="2"/>
  <c r="L90" i="2"/>
  <c r="M90" i="2"/>
  <c r="N90" i="2"/>
  <c r="O90" i="2"/>
  <c r="P90" i="2"/>
  <c r="Q90" i="2"/>
  <c r="R90" i="2"/>
  <c r="S90" i="2"/>
  <c r="T90" i="2"/>
  <c r="V90" i="2"/>
  <c r="X90" i="2"/>
  <c r="E91" i="2"/>
  <c r="F91" i="2"/>
  <c r="G91" i="2"/>
  <c r="H91" i="2"/>
  <c r="I91" i="2"/>
  <c r="J91" i="2"/>
  <c r="K91" i="2"/>
  <c r="L91" i="2"/>
  <c r="M91" i="2"/>
  <c r="N91" i="2"/>
  <c r="O91" i="2"/>
  <c r="P91" i="2"/>
  <c r="Q91" i="2"/>
  <c r="R91" i="2"/>
  <c r="S91" i="2"/>
  <c r="T91" i="2"/>
  <c r="U91" i="2"/>
  <c r="W91" i="2"/>
  <c r="Y91" i="2"/>
  <c r="E92" i="2"/>
  <c r="F92" i="2"/>
  <c r="G92" i="2"/>
  <c r="H92" i="2"/>
  <c r="I92" i="2"/>
  <c r="J92" i="2"/>
  <c r="K92" i="2"/>
  <c r="L92" i="2"/>
  <c r="M92" i="2"/>
  <c r="N92" i="2"/>
  <c r="O92" i="2"/>
  <c r="P92" i="2"/>
  <c r="Q92" i="2"/>
  <c r="R92" i="2"/>
  <c r="S92" i="2"/>
  <c r="T92" i="2"/>
  <c r="U92" i="2"/>
  <c r="V92" i="2"/>
  <c r="X92" i="2"/>
  <c r="E93" i="2"/>
  <c r="F93" i="2"/>
  <c r="G93" i="2"/>
  <c r="H93" i="2"/>
  <c r="I93" i="2"/>
  <c r="J93" i="2"/>
  <c r="K93" i="2"/>
  <c r="L93" i="2"/>
  <c r="M93" i="2"/>
  <c r="N93" i="2"/>
  <c r="O93" i="2"/>
  <c r="P93" i="2"/>
  <c r="Q93" i="2"/>
  <c r="R93" i="2"/>
  <c r="S93" i="2"/>
  <c r="T93" i="2"/>
  <c r="U93" i="2"/>
  <c r="V93" i="2"/>
  <c r="W93" i="2"/>
  <c r="Y93" i="2"/>
  <c r="E94" i="2"/>
  <c r="F94" i="2"/>
  <c r="G94" i="2"/>
  <c r="H94" i="2"/>
  <c r="I94" i="2"/>
  <c r="J94" i="2"/>
  <c r="K94" i="2"/>
  <c r="L94" i="2"/>
  <c r="M94" i="2"/>
  <c r="N94" i="2"/>
  <c r="O94" i="2"/>
  <c r="P94" i="2"/>
  <c r="Q94" i="2"/>
  <c r="R94" i="2"/>
  <c r="S94" i="2"/>
  <c r="T94" i="2"/>
  <c r="U94" i="2"/>
  <c r="V94" i="2"/>
  <c r="W94" i="2"/>
  <c r="X94" i="2"/>
  <c r="Y97" i="2"/>
  <c r="D116" i="2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125" i="2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Q15" i="1" a="1"/>
  <c r="O10" i="1"/>
  <c r="O15" i="1"/>
  <c r="O9" i="1"/>
  <c r="U10" i="1"/>
  <c r="R9" i="1"/>
  <c r="O14" i="1"/>
  <c r="U9" i="1"/>
  <c r="R10" i="1"/>
  <c r="Z101" i="2"/>
  <c r="Z111" i="2"/>
  <c r="Z123" i="2"/>
  <c r="Z133" i="2"/>
  <c r="Z113" i="2"/>
  <c r="Z119" i="2"/>
  <c r="Z125" i="2"/>
  <c r="Z131" i="2"/>
  <c r="Z105" i="2"/>
  <c r="AA111" i="2"/>
  <c r="Z121" i="2"/>
  <c r="Z99" i="2"/>
  <c r="Z129" i="2"/>
  <c r="Z135" i="2"/>
  <c r="Z103" i="2"/>
  <c r="Z115" i="2"/>
  <c r="Z127" i="2"/>
  <c r="Z109" i="2"/>
  <c r="Z107" i="2"/>
  <c r="Z137" i="2"/>
  <c r="Z117" i="2"/>
  <c r="S15" i="1" l="1"/>
  <c r="T15" i="1"/>
  <c r="Q15" i="1"/>
  <c r="R15" i="1"/>
  <c r="O737" i="5"/>
  <c r="K736" i="5"/>
  <c r="O721" i="5"/>
  <c r="K720" i="5"/>
  <c r="C1656" i="5"/>
  <c r="G1657" i="5"/>
  <c r="G1658" i="5" s="1"/>
  <c r="C1620" i="5"/>
  <c r="G1621" i="5"/>
  <c r="G1398" i="5"/>
  <c r="C1397" i="5"/>
  <c r="C609" i="5"/>
  <c r="G610" i="5"/>
  <c r="C488" i="5"/>
  <c r="G489" i="5"/>
  <c r="G490" i="5" s="1"/>
  <c r="G358" i="5"/>
  <c r="C357" i="5"/>
  <c r="C284" i="5"/>
  <c r="G285" i="5"/>
  <c r="C137" i="5"/>
  <c r="G138" i="5"/>
  <c r="G139" i="5" s="1"/>
  <c r="C1492" i="5"/>
  <c r="G1493" i="5"/>
  <c r="C1351" i="5"/>
  <c r="G1352" i="5"/>
  <c r="G947" i="5"/>
  <c r="C946" i="5"/>
  <c r="C689" i="5"/>
  <c r="G690" i="5"/>
  <c r="G622" i="5"/>
  <c r="C621" i="5"/>
  <c r="C573" i="5"/>
  <c r="G574" i="5"/>
  <c r="G575" i="5" s="1"/>
  <c r="C423" i="5"/>
  <c r="G424" i="5"/>
  <c r="C375" i="5"/>
  <c r="G376" i="5"/>
  <c r="G212" i="5"/>
  <c r="C211" i="5"/>
  <c r="C93" i="5"/>
  <c r="G94" i="5"/>
  <c r="G95" i="5" s="1"/>
  <c r="C64" i="5"/>
  <c r="G65" i="5"/>
  <c r="G40" i="5"/>
  <c r="C39" i="5"/>
  <c r="C29" i="5"/>
  <c r="G30" i="5"/>
  <c r="O1656" i="5"/>
  <c r="O1641" i="5"/>
  <c r="K1641" i="5" s="1"/>
  <c r="O1512" i="5"/>
  <c r="O1373" i="5"/>
  <c r="K1164" i="5"/>
  <c r="O972" i="5"/>
  <c r="O744" i="5"/>
  <c r="K508" i="5"/>
  <c r="O167" i="5"/>
  <c r="O110" i="5"/>
  <c r="O111" i="5" s="1"/>
  <c r="O65" i="5"/>
  <c r="O29" i="5"/>
  <c r="O4" i="5"/>
  <c r="G1630" i="5"/>
  <c r="C1630" i="5" s="1"/>
  <c r="C1629" i="5"/>
  <c r="C1511" i="5"/>
  <c r="G1512" i="5"/>
  <c r="G1513" i="5" s="1"/>
  <c r="G1174" i="5"/>
  <c r="G1175" i="5" s="1"/>
  <c r="C1173" i="5"/>
  <c r="C1148" i="5"/>
  <c r="G1149" i="5"/>
  <c r="G1017" i="5"/>
  <c r="C743" i="5"/>
  <c r="G744" i="5"/>
  <c r="G641" i="5"/>
  <c r="C640" i="5"/>
  <c r="C600" i="5"/>
  <c r="G601" i="5"/>
  <c r="G499" i="5"/>
  <c r="C498" i="5"/>
  <c r="G478" i="5"/>
  <c r="C477" i="5"/>
  <c r="C336" i="5"/>
  <c r="G337" i="5"/>
  <c r="G338" i="5" s="1"/>
  <c r="G319" i="5"/>
  <c r="C318" i="5"/>
  <c r="C185" i="5"/>
  <c r="G186" i="5"/>
  <c r="G187" i="5" s="1"/>
  <c r="G188" i="5" s="1"/>
  <c r="G189" i="5" s="1"/>
  <c r="G127" i="5"/>
  <c r="C126" i="5"/>
  <c r="C1164" i="5"/>
  <c r="G1165" i="5"/>
  <c r="C996" i="5"/>
  <c r="G997" i="5"/>
  <c r="C972" i="5"/>
  <c r="G973" i="5"/>
  <c r="G974" i="5" s="1"/>
  <c r="C974" i="5" s="1"/>
  <c r="G434" i="5"/>
  <c r="C433" i="5"/>
  <c r="C249" i="5"/>
  <c r="G250" i="5"/>
  <c r="C1779" i="5"/>
  <c r="G1780" i="5"/>
  <c r="C1696" i="5"/>
  <c r="G1697" i="5"/>
  <c r="C1555" i="5"/>
  <c r="G1556" i="5"/>
  <c r="C1408" i="5"/>
  <c r="G1409" i="5"/>
  <c r="C1312" i="5"/>
  <c r="G1313" i="5"/>
  <c r="C1199" i="5"/>
  <c r="G1200" i="5"/>
  <c r="G1058" i="5"/>
  <c r="C1057" i="5"/>
  <c r="C867" i="5"/>
  <c r="G868" i="5"/>
  <c r="C868" i="5" s="1"/>
  <c r="C735" i="5"/>
  <c r="G736" i="5"/>
  <c r="G470" i="5"/>
  <c r="C469" i="5"/>
  <c r="O1666" i="5"/>
  <c r="K1666" i="5" s="1"/>
  <c r="O1630" i="5"/>
  <c r="O1610" i="5"/>
  <c r="O1546" i="5"/>
  <c r="K1546" i="5" s="1"/>
  <c r="O1502" i="5"/>
  <c r="O1418" i="5"/>
  <c r="K1371" i="5"/>
  <c r="K1220" i="5"/>
  <c r="K1183" i="5"/>
  <c r="K1163" i="5"/>
  <c r="O1149" i="5"/>
  <c r="O1131" i="5"/>
  <c r="O1103" i="5"/>
  <c r="O1067" i="5"/>
  <c r="O1068" i="5" s="1"/>
  <c r="O1039" i="5"/>
  <c r="K1016" i="5"/>
  <c r="K975" i="5"/>
  <c r="K936" i="5"/>
  <c r="O919" i="5"/>
  <c r="O847" i="5"/>
  <c r="O827" i="5"/>
  <c r="O763" i="5"/>
  <c r="O764" i="5" s="1"/>
  <c r="O765" i="5" s="1"/>
  <c r="O591" i="5"/>
  <c r="O583" i="5"/>
  <c r="O555" i="5"/>
  <c r="O536" i="5"/>
  <c r="K507" i="5"/>
  <c r="O459" i="5"/>
  <c r="O444" i="5"/>
  <c r="O376" i="5"/>
  <c r="O377" i="5" s="1"/>
  <c r="K292" i="5"/>
  <c r="K248" i="5"/>
  <c r="K201" i="5"/>
  <c r="K165" i="5"/>
  <c r="O120" i="5"/>
  <c r="C1640" i="5"/>
  <c r="G1437" i="5"/>
  <c r="C1436" i="5"/>
  <c r="C1417" i="5"/>
  <c r="C1377" i="5"/>
  <c r="C1321" i="5"/>
  <c r="G1285" i="5"/>
  <c r="C1284" i="5"/>
  <c r="C1184" i="5"/>
  <c r="G1185" i="5"/>
  <c r="G1141" i="5"/>
  <c r="C1141" i="5" s="1"/>
  <c r="C1113" i="5"/>
  <c r="C1048" i="5"/>
  <c r="G1049" i="5"/>
  <c r="C1015" i="5"/>
  <c r="G859" i="5"/>
  <c r="C858" i="5"/>
  <c r="G808" i="5"/>
  <c r="G799" i="5"/>
  <c r="G791" i="5"/>
  <c r="C790" i="5"/>
  <c r="G780" i="5"/>
  <c r="C708" i="5"/>
  <c r="G709" i="5"/>
  <c r="C669" i="5"/>
  <c r="G670" i="5"/>
  <c r="C508" i="5"/>
  <c r="C454" i="5"/>
  <c r="G404" i="5"/>
  <c r="C312" i="5"/>
  <c r="G313" i="5"/>
  <c r="C263" i="5"/>
  <c r="C230" i="5"/>
  <c r="G148" i="5"/>
  <c r="C147" i="5"/>
  <c r="C109" i="5"/>
  <c r="G110" i="5"/>
  <c r="G19" i="5"/>
  <c r="C18" i="5"/>
  <c r="C11" i="5"/>
  <c r="G1744" i="5"/>
  <c r="G1745" i="5" s="1"/>
  <c r="G1724" i="5"/>
  <c r="G1648" i="5"/>
  <c r="G1592" i="5"/>
  <c r="C1005" i="5"/>
  <c r="C458" i="5"/>
  <c r="C255" i="5"/>
  <c r="C238" i="5"/>
  <c r="C175" i="5"/>
  <c r="C118" i="5"/>
  <c r="C83" i="5"/>
  <c r="C10" i="5"/>
  <c r="C3" i="5"/>
  <c r="T48" i="5" s="1"/>
  <c r="C9" i="1"/>
  <c r="C19" i="1" s="1"/>
  <c r="C107" i="3"/>
  <c r="E114" i="1" s="1"/>
  <c r="F114" i="1" s="1"/>
  <c r="C47" i="3"/>
  <c r="E54" i="1" s="1"/>
  <c r="F54" i="1" s="1"/>
  <c r="C115" i="3"/>
  <c r="E122" i="1" s="1"/>
  <c r="F122" i="1" s="1"/>
  <c r="C64" i="3"/>
  <c r="E71" i="1" s="1"/>
  <c r="F71" i="1" s="1"/>
  <c r="C98" i="3"/>
  <c r="E105" i="1" s="1"/>
  <c r="F105" i="1" s="1"/>
  <c r="C38" i="3"/>
  <c r="E45" i="1" s="1"/>
  <c r="F45" i="1" s="1"/>
  <c r="K110" i="5"/>
  <c r="R561" i="5"/>
  <c r="R267" i="5"/>
  <c r="K1481" i="5"/>
  <c r="O1482" i="5"/>
  <c r="R193" i="5"/>
  <c r="R141" i="5"/>
  <c r="O1277" i="5"/>
  <c r="K1276" i="5"/>
  <c r="C55" i="3"/>
  <c r="E62" i="1" s="1"/>
  <c r="F62" i="1" s="1"/>
  <c r="C106" i="3"/>
  <c r="E113" i="1" s="1"/>
  <c r="F113" i="1" s="1"/>
  <c r="C54" i="3"/>
  <c r="E61" i="1" s="1"/>
  <c r="F61" i="1" s="1"/>
  <c r="C80" i="3"/>
  <c r="E87" i="1" s="1"/>
  <c r="F87" i="1" s="1"/>
  <c r="C114" i="3"/>
  <c r="E121" i="1" s="1"/>
  <c r="F121" i="1" s="1"/>
  <c r="C94" i="3"/>
  <c r="E101" i="1" s="1"/>
  <c r="F101" i="1" s="1"/>
  <c r="C30" i="3"/>
  <c r="E37" i="1" s="1"/>
  <c r="F37" i="1" s="1"/>
  <c r="C39" i="3"/>
  <c r="E46" i="1" s="1"/>
  <c r="F46" i="1" s="1"/>
  <c r="C56" i="3"/>
  <c r="E63" i="1" s="1"/>
  <c r="F63" i="1" s="1"/>
  <c r="C90" i="3"/>
  <c r="E97" i="1" s="1"/>
  <c r="F97" i="1" s="1"/>
  <c r="C20" i="3"/>
  <c r="E27" i="1" s="1"/>
  <c r="F27" i="1" s="1"/>
  <c r="C12" i="3"/>
  <c r="E19" i="1" s="1"/>
  <c r="F19" i="1" s="1"/>
  <c r="C4" i="3"/>
  <c r="E11" i="1" s="1"/>
  <c r="F11" i="1" s="1"/>
  <c r="C23" i="3"/>
  <c r="E30" i="1" s="1"/>
  <c r="F30" i="1" s="1"/>
  <c r="C15" i="3"/>
  <c r="E22" i="1" s="1"/>
  <c r="F22" i="1" s="1"/>
  <c r="C7" i="3"/>
  <c r="E14" i="1" s="1"/>
  <c r="F14" i="1" s="1"/>
  <c r="C26" i="3"/>
  <c r="E33" i="1" s="1"/>
  <c r="F33" i="1" s="1"/>
  <c r="C18" i="3"/>
  <c r="E25" i="1" s="1"/>
  <c r="F25" i="1" s="1"/>
  <c r="C10" i="3"/>
  <c r="E17" i="1" s="1"/>
  <c r="F17" i="1" s="1"/>
  <c r="C2" i="3"/>
  <c r="E9" i="1" s="1"/>
  <c r="F9" i="1" s="1"/>
  <c r="C24" i="3"/>
  <c r="E31" i="1" s="1"/>
  <c r="F31" i="1" s="1"/>
  <c r="C16" i="3"/>
  <c r="E23" i="1" s="1"/>
  <c r="F23" i="1" s="1"/>
  <c r="C8" i="3"/>
  <c r="E15" i="1" s="1"/>
  <c r="F15" i="1" s="1"/>
  <c r="C13" i="3"/>
  <c r="E20" i="1" s="1"/>
  <c r="F20" i="1" s="1"/>
  <c r="C19" i="3"/>
  <c r="E26" i="1" s="1"/>
  <c r="F26" i="1" s="1"/>
  <c r="C3" i="3"/>
  <c r="E10" i="1" s="1"/>
  <c r="F10" i="1" s="1"/>
  <c r="C14" i="3"/>
  <c r="E21" i="1" s="1"/>
  <c r="F21" i="1" s="1"/>
  <c r="C17" i="3"/>
  <c r="E24" i="1" s="1"/>
  <c r="F24" i="1" s="1"/>
  <c r="C21" i="3"/>
  <c r="E28" i="1" s="1"/>
  <c r="F28" i="1" s="1"/>
  <c r="C11" i="3"/>
  <c r="E18" i="1" s="1"/>
  <c r="F18" i="1" s="1"/>
  <c r="C22" i="3"/>
  <c r="E29" i="1" s="1"/>
  <c r="F29" i="1" s="1"/>
  <c r="C9" i="3"/>
  <c r="E16" i="1" s="1"/>
  <c r="F16" i="1" s="1"/>
  <c r="C5" i="3"/>
  <c r="E12" i="1" s="1"/>
  <c r="F12" i="1" s="1"/>
  <c r="C6" i="3"/>
  <c r="E13" i="1" s="1"/>
  <c r="F13" i="1" s="1"/>
  <c r="C25" i="3"/>
  <c r="E32" i="1" s="1"/>
  <c r="F32" i="1" s="1"/>
  <c r="C27" i="3"/>
  <c r="E34" i="1" s="1"/>
  <c r="F34" i="1" s="1"/>
  <c r="C121" i="3"/>
  <c r="E128" i="1" s="1"/>
  <c r="F128" i="1" s="1"/>
  <c r="C113" i="3"/>
  <c r="E120" i="1" s="1"/>
  <c r="F120" i="1" s="1"/>
  <c r="C105" i="3"/>
  <c r="E112" i="1" s="1"/>
  <c r="F112" i="1" s="1"/>
  <c r="C97" i="3"/>
  <c r="E104" i="1" s="1"/>
  <c r="F104" i="1" s="1"/>
  <c r="C89" i="3"/>
  <c r="E96" i="1" s="1"/>
  <c r="F96" i="1" s="1"/>
  <c r="C81" i="3"/>
  <c r="E88" i="1" s="1"/>
  <c r="F88" i="1" s="1"/>
  <c r="C73" i="3"/>
  <c r="E80" i="1" s="1"/>
  <c r="F80" i="1" s="1"/>
  <c r="C65" i="3"/>
  <c r="E72" i="1" s="1"/>
  <c r="F72" i="1" s="1"/>
  <c r="C57" i="3"/>
  <c r="E64" i="1" s="1"/>
  <c r="F64" i="1" s="1"/>
  <c r="C49" i="3"/>
  <c r="E56" i="1" s="1"/>
  <c r="F56" i="1" s="1"/>
  <c r="C41" i="3"/>
  <c r="E48" i="1" s="1"/>
  <c r="F48" i="1" s="1"/>
  <c r="C33" i="3"/>
  <c r="E40" i="1" s="1"/>
  <c r="F40" i="1" s="1"/>
  <c r="C124" i="3"/>
  <c r="E131" i="1" s="1"/>
  <c r="F131" i="1" s="1"/>
  <c r="C116" i="3"/>
  <c r="E123" i="1" s="1"/>
  <c r="F123" i="1" s="1"/>
  <c r="C108" i="3"/>
  <c r="E115" i="1" s="1"/>
  <c r="F115" i="1" s="1"/>
  <c r="C100" i="3"/>
  <c r="E107" i="1" s="1"/>
  <c r="F107" i="1" s="1"/>
  <c r="C92" i="3"/>
  <c r="E99" i="1" s="1"/>
  <c r="F99" i="1" s="1"/>
  <c r="C84" i="3"/>
  <c r="E91" i="1" s="1"/>
  <c r="F91" i="1" s="1"/>
  <c r="C76" i="3"/>
  <c r="E83" i="1" s="1"/>
  <c r="F83" i="1" s="1"/>
  <c r="C68" i="3"/>
  <c r="E75" i="1" s="1"/>
  <c r="F75" i="1" s="1"/>
  <c r="C60" i="3"/>
  <c r="E67" i="1" s="1"/>
  <c r="F67" i="1" s="1"/>
  <c r="C52" i="3"/>
  <c r="E59" i="1" s="1"/>
  <c r="F59" i="1" s="1"/>
  <c r="C44" i="3"/>
  <c r="E51" i="1" s="1"/>
  <c r="F51" i="1" s="1"/>
  <c r="C36" i="3"/>
  <c r="E43" i="1" s="1"/>
  <c r="F43" i="1" s="1"/>
  <c r="C28" i="3"/>
  <c r="E35" i="1" s="1"/>
  <c r="F35" i="1" s="1"/>
  <c r="C125" i="3"/>
  <c r="E132" i="1" s="1"/>
  <c r="F132" i="1" s="1"/>
  <c r="C117" i="3"/>
  <c r="E124" i="1" s="1"/>
  <c r="F124" i="1" s="1"/>
  <c r="C109" i="3"/>
  <c r="E116" i="1" s="1"/>
  <c r="F116" i="1" s="1"/>
  <c r="C101" i="3"/>
  <c r="E108" i="1" s="1"/>
  <c r="F108" i="1" s="1"/>
  <c r="C93" i="3"/>
  <c r="E100" i="1" s="1"/>
  <c r="F100" i="1" s="1"/>
  <c r="C85" i="3"/>
  <c r="E92" i="1" s="1"/>
  <c r="F92" i="1" s="1"/>
  <c r="C77" i="3"/>
  <c r="E84" i="1" s="1"/>
  <c r="F84" i="1" s="1"/>
  <c r="C69" i="3"/>
  <c r="E76" i="1" s="1"/>
  <c r="F76" i="1" s="1"/>
  <c r="C61" i="3"/>
  <c r="E68" i="1" s="1"/>
  <c r="F68" i="1" s="1"/>
  <c r="C53" i="3"/>
  <c r="E60" i="1" s="1"/>
  <c r="F60" i="1" s="1"/>
  <c r="C45" i="3"/>
  <c r="E52" i="1" s="1"/>
  <c r="F52" i="1" s="1"/>
  <c r="C37" i="3"/>
  <c r="E44" i="1" s="1"/>
  <c r="F44" i="1" s="1"/>
  <c r="C29" i="3"/>
  <c r="E36" i="1" s="1"/>
  <c r="F36" i="1" s="1"/>
  <c r="C104" i="3"/>
  <c r="E111" i="1" s="1"/>
  <c r="F111" i="1" s="1"/>
  <c r="C91" i="3"/>
  <c r="E98" i="1" s="1"/>
  <c r="F98" i="1" s="1"/>
  <c r="C87" i="3"/>
  <c r="E94" i="1" s="1"/>
  <c r="F94" i="1" s="1"/>
  <c r="C78" i="3"/>
  <c r="E85" i="1" s="1"/>
  <c r="F85" i="1" s="1"/>
  <c r="C74" i="3"/>
  <c r="E81" i="1" s="1"/>
  <c r="F81" i="1" s="1"/>
  <c r="C40" i="3"/>
  <c r="E47" i="1" s="1"/>
  <c r="F47" i="1" s="1"/>
  <c r="C96" i="3"/>
  <c r="E103" i="1" s="1"/>
  <c r="F103" i="1" s="1"/>
  <c r="C83" i="3"/>
  <c r="E90" i="1" s="1"/>
  <c r="F90" i="1" s="1"/>
  <c r="C79" i="3"/>
  <c r="E86" i="1" s="1"/>
  <c r="F86" i="1" s="1"/>
  <c r="C70" i="3"/>
  <c r="E77" i="1" s="1"/>
  <c r="F77" i="1" s="1"/>
  <c r="C66" i="3"/>
  <c r="E73" i="1" s="1"/>
  <c r="F73" i="1" s="1"/>
  <c r="C32" i="3"/>
  <c r="E39" i="1" s="1"/>
  <c r="F39" i="1" s="1"/>
  <c r="C126" i="3"/>
  <c r="E133" i="1" s="1"/>
  <c r="F133" i="1" s="1"/>
  <c r="C122" i="3"/>
  <c r="E129" i="1" s="1"/>
  <c r="F129" i="1" s="1"/>
  <c r="C88" i="3"/>
  <c r="E95" i="1" s="1"/>
  <c r="F95" i="1" s="1"/>
  <c r="C75" i="3"/>
  <c r="E82" i="1" s="1"/>
  <c r="F82" i="1" s="1"/>
  <c r="C71" i="3"/>
  <c r="E78" i="1" s="1"/>
  <c r="F78" i="1" s="1"/>
  <c r="C62" i="3"/>
  <c r="E69" i="1" s="1"/>
  <c r="F69" i="1" s="1"/>
  <c r="C58" i="3"/>
  <c r="E65" i="1" s="1"/>
  <c r="F65" i="1" s="1"/>
  <c r="C112" i="3"/>
  <c r="E119" i="1" s="1"/>
  <c r="F119" i="1" s="1"/>
  <c r="C99" i="3"/>
  <c r="E106" i="1" s="1"/>
  <c r="F106" i="1" s="1"/>
  <c r="C95" i="3"/>
  <c r="E102" i="1" s="1"/>
  <c r="F102" i="1" s="1"/>
  <c r="C86" i="3"/>
  <c r="E93" i="1" s="1"/>
  <c r="F93" i="1" s="1"/>
  <c r="C82" i="3"/>
  <c r="E89" i="1" s="1"/>
  <c r="F89" i="1" s="1"/>
  <c r="C48" i="3"/>
  <c r="E55" i="1" s="1"/>
  <c r="F55" i="1" s="1"/>
  <c r="C35" i="3"/>
  <c r="E42" i="1" s="1"/>
  <c r="F42" i="1" s="1"/>
  <c r="C31" i="3"/>
  <c r="E38" i="1" s="1"/>
  <c r="F38" i="1" s="1"/>
  <c r="R537" i="5"/>
  <c r="R189" i="5"/>
  <c r="R521" i="5"/>
  <c r="R409" i="5"/>
  <c r="R327" i="5"/>
  <c r="R191" i="5"/>
  <c r="C72" i="3"/>
  <c r="E79" i="1" s="1"/>
  <c r="F79" i="1" s="1"/>
  <c r="C63" i="3"/>
  <c r="E70" i="1" s="1"/>
  <c r="F70" i="1" s="1"/>
  <c r="C103" i="3"/>
  <c r="E110" i="1" s="1"/>
  <c r="F110" i="1" s="1"/>
  <c r="C34" i="3"/>
  <c r="E41" i="1" s="1"/>
  <c r="F41" i="1" s="1"/>
  <c r="C51" i="3"/>
  <c r="E58" i="1" s="1"/>
  <c r="F58" i="1" s="1"/>
  <c r="C102" i="3"/>
  <c r="E109" i="1" s="1"/>
  <c r="F109" i="1" s="1"/>
  <c r="C111" i="3"/>
  <c r="E118" i="1" s="1"/>
  <c r="F118" i="1" s="1"/>
  <c r="R609" i="5"/>
  <c r="R121" i="5"/>
  <c r="R473" i="5"/>
  <c r="R457" i="5"/>
  <c r="R605" i="5"/>
  <c r="O424" i="5"/>
  <c r="K423" i="5"/>
  <c r="C46" i="3"/>
  <c r="E53" i="1" s="1"/>
  <c r="F53" i="1" s="1"/>
  <c r="C43" i="3"/>
  <c r="E50" i="1" s="1"/>
  <c r="F50" i="1" s="1"/>
  <c r="C42" i="3"/>
  <c r="E49" i="1" s="1"/>
  <c r="F49" i="1" s="1"/>
  <c r="C59" i="3"/>
  <c r="E66" i="1" s="1"/>
  <c r="F66" i="1" s="1"/>
  <c r="C110" i="3"/>
  <c r="E117" i="1" s="1"/>
  <c r="F117" i="1" s="1"/>
  <c r="C119" i="3"/>
  <c r="E126" i="1" s="1"/>
  <c r="F126" i="1" s="1"/>
  <c r="R585" i="5"/>
  <c r="R497" i="5"/>
  <c r="R433" i="5"/>
  <c r="R399" i="5"/>
  <c r="R301" i="5"/>
  <c r="O1201" i="5"/>
  <c r="K1200" i="5"/>
  <c r="O265" i="5"/>
  <c r="K264" i="5"/>
  <c r="C123" i="3"/>
  <c r="E130" i="1" s="1"/>
  <c r="F130" i="1" s="1"/>
  <c r="C120" i="3"/>
  <c r="E127" i="1" s="1"/>
  <c r="F127" i="1" s="1"/>
  <c r="C50" i="3"/>
  <c r="E57" i="1" s="1"/>
  <c r="F57" i="1" s="1"/>
  <c r="C67" i="3"/>
  <c r="E74" i="1" s="1"/>
  <c r="F74" i="1" s="1"/>
  <c r="C118" i="3"/>
  <c r="E125" i="1" s="1"/>
  <c r="F125" i="1" s="1"/>
  <c r="R481" i="5"/>
  <c r="H3" i="2"/>
  <c r="R577" i="5"/>
  <c r="R513" i="5"/>
  <c r="R449" i="5"/>
  <c r="R265" i="5"/>
  <c r="R33" i="5"/>
  <c r="K1445" i="5"/>
  <c r="O1446" i="5"/>
  <c r="R417" i="5"/>
  <c r="R271" i="5"/>
  <c r="R165" i="5"/>
  <c r="R59" i="5"/>
  <c r="K1770" i="5"/>
  <c r="O1771" i="5"/>
  <c r="R569" i="5"/>
  <c r="R505" i="5"/>
  <c r="R441" i="5"/>
  <c r="R313" i="5"/>
  <c r="R261" i="5"/>
  <c r="K1610" i="5"/>
  <c r="O1611" i="5"/>
  <c r="O800" i="5"/>
  <c r="K799" i="5"/>
  <c r="O121" i="5"/>
  <c r="K120" i="5"/>
  <c r="R9" i="5"/>
  <c r="R529" i="5"/>
  <c r="R465" i="5"/>
  <c r="R401" i="5"/>
  <c r="R305" i="5"/>
  <c r="R289" i="5"/>
  <c r="R149" i="5"/>
  <c r="R27" i="5"/>
  <c r="O1160" i="5"/>
  <c r="K1159" i="5"/>
  <c r="O997" i="5"/>
  <c r="K996" i="5"/>
  <c r="O66" i="5"/>
  <c r="K65" i="5"/>
  <c r="G53" i="2"/>
  <c r="G97" i="2" s="1"/>
  <c r="R545" i="5"/>
  <c r="R279" i="5"/>
  <c r="R613" i="5"/>
  <c r="R593" i="5"/>
  <c r="R553" i="5"/>
  <c r="R489" i="5"/>
  <c r="R425" i="5"/>
  <c r="R323" i="5"/>
  <c r="R307" i="5"/>
  <c r="R109" i="5"/>
  <c r="O1409" i="5"/>
  <c r="K1408" i="5"/>
  <c r="K690" i="5"/>
  <c r="O691" i="5"/>
  <c r="R581" i="5"/>
  <c r="R573" i="5"/>
  <c r="R565" i="5"/>
  <c r="R557" i="5"/>
  <c r="R549" i="5"/>
  <c r="R541" i="5"/>
  <c r="R533" i="5"/>
  <c r="R525" i="5"/>
  <c r="R517" i="5"/>
  <c r="R509" i="5"/>
  <c r="R501" i="5"/>
  <c r="R493" i="5"/>
  <c r="R485" i="5"/>
  <c r="R477" i="5"/>
  <c r="R469" i="5"/>
  <c r="R461" i="5"/>
  <c r="R453" i="5"/>
  <c r="R445" i="5"/>
  <c r="R437" i="5"/>
  <c r="R429" i="5"/>
  <c r="R421" i="5"/>
  <c r="R413" i="5"/>
  <c r="R405" i="5"/>
  <c r="R329" i="5"/>
  <c r="R321" i="5"/>
  <c r="R299" i="5"/>
  <c r="R201" i="5"/>
  <c r="R199" i="5"/>
  <c r="R119" i="5"/>
  <c r="O1249" i="5"/>
  <c r="K1248" i="5"/>
  <c r="O601" i="5"/>
  <c r="K600" i="5"/>
  <c r="O537" i="5"/>
  <c r="K536" i="5"/>
  <c r="O241" i="5"/>
  <c r="K240" i="5"/>
  <c r="O213" i="5"/>
  <c r="K212" i="5"/>
  <c r="O88" i="5"/>
  <c r="K87" i="5"/>
  <c r="R255" i="5"/>
  <c r="R253" i="5"/>
  <c r="R225" i="5"/>
  <c r="R223" i="5"/>
  <c r="R133" i="5"/>
  <c r="R111" i="5"/>
  <c r="R63" i="5"/>
  <c r="O1745" i="5"/>
  <c r="K1744" i="5"/>
  <c r="K1530" i="5"/>
  <c r="O1531" i="5"/>
  <c r="O928" i="5"/>
  <c r="K927" i="5"/>
  <c r="K659" i="5"/>
  <c r="O660" i="5"/>
  <c r="O545" i="5"/>
  <c r="K544" i="5"/>
  <c r="R275" i="5"/>
  <c r="R269" i="5"/>
  <c r="R215" i="5"/>
  <c r="R213" i="5"/>
  <c r="R143" i="5"/>
  <c r="K1593" i="5"/>
  <c r="O1594" i="5"/>
  <c r="O1209" i="5"/>
  <c r="K1208" i="5"/>
  <c r="O892" i="5"/>
  <c r="K891" i="5"/>
  <c r="O632" i="5"/>
  <c r="K631" i="5"/>
  <c r="O168" i="5"/>
  <c r="K167" i="5"/>
  <c r="R167" i="5"/>
  <c r="R159" i="5"/>
  <c r="O1753" i="5"/>
  <c r="K1752" i="5"/>
  <c r="K1685" i="5"/>
  <c r="O1686" i="5"/>
  <c r="K1541" i="5"/>
  <c r="O1542" i="5"/>
  <c r="O1362" i="5"/>
  <c r="K1361" i="5"/>
  <c r="O501" i="5"/>
  <c r="K500" i="5"/>
  <c r="O177" i="5"/>
  <c r="K176" i="5"/>
  <c r="R281" i="5"/>
  <c r="R295" i="5"/>
  <c r="R207" i="5"/>
  <c r="R129" i="5"/>
  <c r="R67" i="5"/>
  <c r="R49" i="5"/>
  <c r="R25" i="5"/>
  <c r="R7" i="5"/>
  <c r="O1140" i="5"/>
  <c r="K1139" i="5"/>
  <c r="R277" i="5"/>
  <c r="R247" i="5"/>
  <c r="R183" i="5"/>
  <c r="R123" i="5"/>
  <c r="R99" i="5"/>
  <c r="R69" i="5"/>
  <c r="O1302" i="5"/>
  <c r="K1301" i="5"/>
  <c r="O1097" i="5"/>
  <c r="K1096" i="5"/>
  <c r="O949" i="5"/>
  <c r="K948" i="5"/>
  <c r="O556" i="5"/>
  <c r="K555" i="5"/>
  <c r="O357" i="5"/>
  <c r="K356" i="5"/>
  <c r="R285" i="5"/>
  <c r="R241" i="5"/>
  <c r="R177" i="5"/>
  <c r="R263" i="5"/>
  <c r="R239" i="5"/>
  <c r="R175" i="5"/>
  <c r="R151" i="5"/>
  <c r="R137" i="5"/>
  <c r="R89" i="5"/>
  <c r="R79" i="5"/>
  <c r="R77" i="5"/>
  <c r="R73" i="5"/>
  <c r="R65" i="5"/>
  <c r="R11" i="5"/>
  <c r="K1582" i="5"/>
  <c r="O1583" i="5"/>
  <c r="O1493" i="5"/>
  <c r="K1492" i="5"/>
  <c r="O1457" i="5"/>
  <c r="K1456" i="5"/>
  <c r="O1374" i="5"/>
  <c r="K1373" i="5"/>
  <c r="K1352" i="5"/>
  <c r="O1353" i="5"/>
  <c r="O1150" i="5"/>
  <c r="K1149" i="5"/>
  <c r="O622" i="5"/>
  <c r="K621" i="5"/>
  <c r="O565" i="5"/>
  <c r="K564" i="5"/>
  <c r="O416" i="5"/>
  <c r="K415" i="5"/>
  <c r="O156" i="5"/>
  <c r="K155" i="5"/>
  <c r="G510" i="5"/>
  <c r="C509" i="5"/>
  <c r="R233" i="5"/>
  <c r="R287" i="5"/>
  <c r="R231" i="5"/>
  <c r="R131" i="5"/>
  <c r="R127" i="5"/>
  <c r="R23" i="5"/>
  <c r="K1418" i="5"/>
  <c r="O1419" i="5"/>
  <c r="O1332" i="5"/>
  <c r="K1331" i="5"/>
  <c r="O1286" i="5"/>
  <c r="K1285" i="5"/>
  <c r="K827" i="5"/>
  <c r="O828" i="5"/>
  <c r="O257" i="5"/>
  <c r="K256" i="5"/>
  <c r="K620" i="5"/>
  <c r="K563" i="5"/>
  <c r="R113" i="5"/>
  <c r="R41" i="5"/>
  <c r="O1724" i="5"/>
  <c r="K1723" i="5"/>
  <c r="O1697" i="5"/>
  <c r="K1696" i="5"/>
  <c r="K1602" i="5"/>
  <c r="O1603" i="5"/>
  <c r="K1554" i="5"/>
  <c r="O1555" i="5"/>
  <c r="O1378" i="5"/>
  <c r="K1377" i="5"/>
  <c r="O1222" i="5"/>
  <c r="K1221" i="5"/>
  <c r="O1166" i="5"/>
  <c r="K1165" i="5"/>
  <c r="O1049" i="5"/>
  <c r="K1048" i="5"/>
  <c r="K1034" i="5"/>
  <c r="O1035" i="5"/>
  <c r="O1018" i="5"/>
  <c r="K1017" i="5"/>
  <c r="O961" i="5"/>
  <c r="K960" i="5"/>
  <c r="O869" i="5"/>
  <c r="K868" i="5"/>
  <c r="O654" i="5"/>
  <c r="K653" i="5"/>
  <c r="O510" i="5"/>
  <c r="K509" i="5"/>
  <c r="O304" i="5"/>
  <c r="K303" i="5"/>
  <c r="O286" i="5"/>
  <c r="K285" i="5"/>
  <c r="O193" i="5"/>
  <c r="K192" i="5"/>
  <c r="K146" i="5"/>
  <c r="O147" i="5"/>
  <c r="R55" i="5"/>
  <c r="R31" i="5"/>
  <c r="R57" i="5"/>
  <c r="R51" i="5"/>
  <c r="K1714" i="5"/>
  <c r="O1715" i="5"/>
  <c r="O1676" i="5"/>
  <c r="K1676" i="5" s="1"/>
  <c r="K1675" i="5"/>
  <c r="K1630" i="5"/>
  <c r="O1631" i="5"/>
  <c r="K1397" i="5"/>
  <c r="O1398" i="5"/>
  <c r="O1185" i="5"/>
  <c r="K1184" i="5"/>
  <c r="O858" i="5"/>
  <c r="K857" i="5"/>
  <c r="O781" i="5"/>
  <c r="K780" i="5"/>
  <c r="O745" i="5"/>
  <c r="K744" i="5"/>
  <c r="O404" i="5"/>
  <c r="K403" i="5"/>
  <c r="G1761" i="5"/>
  <c r="C1760" i="5"/>
  <c r="K1781" i="5"/>
  <c r="O1782" i="5"/>
  <c r="K1677" i="5"/>
  <c r="O1678" i="5"/>
  <c r="K1621" i="5"/>
  <c r="O1622" i="5"/>
  <c r="O1060" i="5"/>
  <c r="K1059" i="5"/>
  <c r="O701" i="5"/>
  <c r="K700" i="5"/>
  <c r="O445" i="5"/>
  <c r="K444" i="5"/>
  <c r="K386" i="5"/>
  <c r="O387" i="5"/>
  <c r="O349" i="5"/>
  <c r="K348" i="5"/>
  <c r="K138" i="5"/>
  <c r="O139" i="5"/>
  <c r="O76" i="5"/>
  <c r="K75" i="5"/>
  <c r="K1705" i="5"/>
  <c r="O1706" i="5"/>
  <c r="K1465" i="5"/>
  <c r="O1466" i="5"/>
  <c r="O1388" i="5"/>
  <c r="K1387" i="5"/>
  <c r="O1268" i="5"/>
  <c r="K1267" i="5"/>
  <c r="O989" i="5"/>
  <c r="K988" i="5"/>
  <c r="O790" i="5"/>
  <c r="K789" i="5"/>
  <c r="K222" i="5"/>
  <c r="O223" i="5"/>
  <c r="K1780" i="5"/>
  <c r="K1620" i="5"/>
  <c r="O1475" i="5"/>
  <c r="O1428" i="5"/>
  <c r="K137" i="5"/>
  <c r="O95" i="5"/>
  <c r="O1761" i="5"/>
  <c r="K1760" i="5"/>
  <c r="K1573" i="5"/>
  <c r="O1574" i="5"/>
  <c r="O1238" i="5"/>
  <c r="K1237" i="5"/>
  <c r="O1230" i="5"/>
  <c r="K1229" i="5"/>
  <c r="O1113" i="5"/>
  <c r="K1112" i="5"/>
  <c r="K1006" i="5"/>
  <c r="O1007" i="5"/>
  <c r="O838" i="5"/>
  <c r="K837" i="5"/>
  <c r="O738" i="5"/>
  <c r="K737" i="5"/>
  <c r="O682" i="5"/>
  <c r="K681" i="5"/>
  <c r="O454" i="5"/>
  <c r="K453" i="5"/>
  <c r="O185" i="5"/>
  <c r="K184" i="5"/>
  <c r="G1259" i="5"/>
  <c r="C1258" i="5"/>
  <c r="R97" i="5"/>
  <c r="R17" i="5"/>
  <c r="K1733" i="5"/>
  <c r="O1734" i="5"/>
  <c r="O1322" i="5"/>
  <c r="K1321" i="5"/>
  <c r="O977" i="5"/>
  <c r="K976" i="5"/>
  <c r="O953" i="5"/>
  <c r="K952" i="5"/>
  <c r="K670" i="5"/>
  <c r="O671" i="5"/>
  <c r="O526" i="5"/>
  <c r="K525" i="5"/>
  <c r="O488" i="5"/>
  <c r="K487" i="5"/>
  <c r="O434" i="5"/>
  <c r="K433" i="5"/>
  <c r="O396" i="5"/>
  <c r="K395" i="5"/>
  <c r="O328" i="5"/>
  <c r="K327" i="5"/>
  <c r="O318" i="5"/>
  <c r="K317" i="5"/>
  <c r="O294" i="5"/>
  <c r="K293" i="5"/>
  <c r="O250" i="5"/>
  <c r="K249" i="5"/>
  <c r="O57" i="5"/>
  <c r="K56" i="5"/>
  <c r="O1313" i="5"/>
  <c r="R81" i="5"/>
  <c r="O1521" i="5"/>
  <c r="K1520" i="5"/>
  <c r="O1258" i="5"/>
  <c r="K1257" i="5"/>
  <c r="O1194" i="5"/>
  <c r="K1193" i="5"/>
  <c r="O1026" i="5"/>
  <c r="K1025" i="5"/>
  <c r="O808" i="5"/>
  <c r="K807" i="5"/>
  <c r="O766" i="5"/>
  <c r="K765" i="5"/>
  <c r="O754" i="5"/>
  <c r="K753" i="5"/>
  <c r="O709" i="5"/>
  <c r="K708" i="5"/>
  <c r="O378" i="5"/>
  <c r="K377" i="5"/>
  <c r="G1483" i="5"/>
  <c r="C1482" i="5"/>
  <c r="R117" i="5"/>
  <c r="R107" i="5"/>
  <c r="R105" i="5"/>
  <c r="O1342" i="5"/>
  <c r="K1341" i="5"/>
  <c r="O938" i="5"/>
  <c r="K937" i="5"/>
  <c r="O722" i="5"/>
  <c r="K721" i="5"/>
  <c r="O518" i="5"/>
  <c r="K517" i="5"/>
  <c r="O470" i="5"/>
  <c r="K469" i="5"/>
  <c r="K10" i="5"/>
  <c r="O11" i="5"/>
  <c r="G1754" i="5"/>
  <c r="C1753" i="5"/>
  <c r="R87" i="5"/>
  <c r="O1667" i="5"/>
  <c r="O1647" i="5"/>
  <c r="O1438" i="5"/>
  <c r="K1024" i="5"/>
  <c r="K764" i="5"/>
  <c r="K752" i="5"/>
  <c r="O479" i="5"/>
  <c r="K376" i="5"/>
  <c r="C1481" i="5"/>
  <c r="AA2" i="5"/>
  <c r="O886" i="5"/>
  <c r="K885" i="5"/>
  <c r="O642" i="5"/>
  <c r="K641" i="5"/>
  <c r="O574" i="5"/>
  <c r="K573" i="5"/>
  <c r="O314" i="5"/>
  <c r="K313" i="5"/>
  <c r="O30" i="5"/>
  <c r="K29" i="5"/>
  <c r="O39" i="5"/>
  <c r="O910" i="5"/>
  <c r="K909" i="5"/>
  <c r="O818" i="5"/>
  <c r="K817" i="5"/>
  <c r="O338" i="5"/>
  <c r="K337" i="5"/>
  <c r="K1067" i="5"/>
  <c r="K1023" i="5"/>
  <c r="K1015" i="5"/>
  <c r="K884" i="5"/>
  <c r="K763" i="5"/>
  <c r="K679" i="5"/>
  <c r="K640" i="5"/>
  <c r="O611" i="5"/>
  <c r="K572" i="5"/>
  <c r="O367" i="5"/>
  <c r="K312" i="5"/>
  <c r="O275" i="5"/>
  <c r="O1294" i="5"/>
  <c r="K1293" i="5"/>
  <c r="O1174" i="5"/>
  <c r="K1173" i="5"/>
  <c r="O1086" i="5"/>
  <c r="K1085" i="5"/>
  <c r="K908" i="5"/>
  <c r="K816" i="5"/>
  <c r="K336" i="5"/>
  <c r="O231" i="5"/>
  <c r="O203" i="5"/>
  <c r="G1465" i="5"/>
  <c r="C1464" i="5"/>
  <c r="G1239" i="5"/>
  <c r="C1238" i="5"/>
  <c r="K1093" i="5"/>
  <c r="K1057" i="5"/>
  <c r="K1033" i="5"/>
  <c r="K1005" i="5"/>
  <c r="K985" i="5"/>
  <c r="K797" i="5"/>
  <c r="K689" i="5"/>
  <c r="K669" i="5"/>
  <c r="K649" i="5"/>
  <c r="K609" i="5"/>
  <c r="K581" i="5"/>
  <c r="K553" i="5"/>
  <c r="K497" i="5"/>
  <c r="K477" i="5"/>
  <c r="K413" i="5"/>
  <c r="K385" i="5"/>
  <c r="K365" i="5"/>
  <c r="K273" i="5"/>
  <c r="G1714" i="5"/>
  <c r="C1713" i="5"/>
  <c r="O127" i="5"/>
  <c r="K93" i="5"/>
  <c r="K83" i="5"/>
  <c r="O19" i="5"/>
  <c r="G887" i="5"/>
  <c r="C886" i="5"/>
  <c r="G737" i="5"/>
  <c r="C736" i="5"/>
  <c r="G623" i="5"/>
  <c r="C622" i="5"/>
  <c r="G1458" i="5"/>
  <c r="C1457" i="5"/>
  <c r="G1086" i="5"/>
  <c r="C1085" i="5"/>
  <c r="G710" i="5"/>
  <c r="C709" i="5"/>
  <c r="C574" i="5"/>
  <c r="G294" i="5"/>
  <c r="C293" i="5"/>
  <c r="C1744" i="5"/>
  <c r="G1649" i="5"/>
  <c r="C1648" i="5"/>
  <c r="G1610" i="5"/>
  <c r="C1609" i="5"/>
  <c r="G1533" i="5"/>
  <c r="C1532" i="5"/>
  <c r="G1007" i="5"/>
  <c r="C1006" i="5"/>
  <c r="G1303" i="5"/>
  <c r="C1302" i="5"/>
  <c r="G1039" i="5"/>
  <c r="C1038" i="5"/>
  <c r="C1301" i="5"/>
  <c r="G1542" i="5"/>
  <c r="C1541" i="5"/>
  <c r="G1159" i="5"/>
  <c r="C1158" i="5"/>
  <c r="G1115" i="5"/>
  <c r="C1114" i="5"/>
  <c r="G1429" i="5"/>
  <c r="C1428" i="5"/>
  <c r="G1334" i="5"/>
  <c r="C1333" i="5"/>
  <c r="G1229" i="5"/>
  <c r="C1228" i="5"/>
  <c r="G1686" i="5"/>
  <c r="C1685" i="5"/>
  <c r="G1494" i="5"/>
  <c r="C1493" i="5"/>
  <c r="G1314" i="5"/>
  <c r="C1313" i="5"/>
  <c r="G1103" i="5"/>
  <c r="C1102" i="5"/>
  <c r="C1332" i="5"/>
  <c r="G1725" i="5"/>
  <c r="C1724" i="5"/>
  <c r="G1514" i="5"/>
  <c r="C1513" i="5"/>
  <c r="G1503" i="5"/>
  <c r="C1502" i="5"/>
  <c r="G1438" i="5"/>
  <c r="C1437" i="5"/>
  <c r="G1295" i="5"/>
  <c r="C1294" i="5"/>
  <c r="G827" i="5"/>
  <c r="C826" i="5"/>
  <c r="G682" i="5"/>
  <c r="C681" i="5"/>
  <c r="G642" i="5"/>
  <c r="C641" i="5"/>
  <c r="G546" i="5"/>
  <c r="C545" i="5"/>
  <c r="G1707" i="5"/>
  <c r="C1706" i="5"/>
  <c r="G1603" i="5"/>
  <c r="C1602" i="5"/>
  <c r="C1398" i="5"/>
  <c r="G1399" i="5"/>
  <c r="G745" i="5"/>
  <c r="C744" i="5"/>
  <c r="G460" i="5"/>
  <c r="C459" i="5"/>
  <c r="G386" i="5"/>
  <c r="C385" i="5"/>
  <c r="G1678" i="5"/>
  <c r="C1677" i="5"/>
  <c r="G1642" i="5"/>
  <c r="C1641" i="5"/>
  <c r="G1323" i="5"/>
  <c r="C1322" i="5"/>
  <c r="G1278" i="5"/>
  <c r="C1277" i="5"/>
  <c r="G1210" i="5"/>
  <c r="C1209" i="5"/>
  <c r="G1131" i="5"/>
  <c r="C1130" i="5"/>
  <c r="C973" i="5"/>
  <c r="C699" i="5"/>
  <c r="G700" i="5"/>
  <c r="C631" i="5"/>
  <c r="G632" i="5"/>
  <c r="C1705" i="5"/>
  <c r="C1601" i="5"/>
  <c r="C1456" i="5"/>
  <c r="C1257" i="5"/>
  <c r="G1475" i="5"/>
  <c r="C1474" i="5"/>
  <c r="G1186" i="5"/>
  <c r="C1185" i="5"/>
  <c r="G1034" i="5"/>
  <c r="C1033" i="5"/>
  <c r="G986" i="5"/>
  <c r="C985" i="5"/>
  <c r="G565" i="5"/>
  <c r="C564" i="5"/>
  <c r="G1631" i="5"/>
  <c r="G1547" i="5"/>
  <c r="C1546" i="5"/>
  <c r="C1378" i="5"/>
  <c r="G1379" i="5"/>
  <c r="G1059" i="5"/>
  <c r="C1058" i="5"/>
  <c r="G979" i="5"/>
  <c r="C978" i="5"/>
  <c r="G957" i="5"/>
  <c r="C956" i="5"/>
  <c r="G838" i="5"/>
  <c r="C837" i="5"/>
  <c r="C791" i="5"/>
  <c r="G792" i="5"/>
  <c r="G286" i="5"/>
  <c r="C285" i="5"/>
  <c r="G232" i="5"/>
  <c r="C231" i="5"/>
  <c r="C1665" i="5"/>
  <c r="C1657" i="5"/>
  <c r="G1584" i="5"/>
  <c r="C1521" i="5"/>
  <c r="G1575" i="5"/>
  <c r="C1574" i="5"/>
  <c r="G1447" i="5"/>
  <c r="C1446" i="5"/>
  <c r="G1343" i="5"/>
  <c r="C1342" i="5"/>
  <c r="G1026" i="5"/>
  <c r="C1025" i="5"/>
  <c r="G891" i="5"/>
  <c r="C890" i="5"/>
  <c r="G719" i="5"/>
  <c r="C718" i="5"/>
  <c r="G1735" i="5"/>
  <c r="C1734" i="5"/>
  <c r="G938" i="5"/>
  <c r="C937" i="5"/>
  <c r="C859" i="5"/>
  <c r="G860" i="5"/>
  <c r="G651" i="5"/>
  <c r="C650" i="5"/>
  <c r="G1772" i="5"/>
  <c r="C1573" i="5"/>
  <c r="C1512" i="5"/>
  <c r="C1445" i="5"/>
  <c r="C1276" i="5"/>
  <c r="C630" i="5"/>
  <c r="G1667" i="5"/>
  <c r="C1666" i="5"/>
  <c r="G1659" i="5"/>
  <c r="C1658" i="5"/>
  <c r="G1523" i="5"/>
  <c r="C1522" i="5"/>
  <c r="G1419" i="5"/>
  <c r="C1418" i="5"/>
  <c r="G1389" i="5"/>
  <c r="C1388" i="5"/>
  <c r="G1361" i="5"/>
  <c r="C1360" i="5"/>
  <c r="G1095" i="5"/>
  <c r="C1094" i="5"/>
  <c r="G818" i="5"/>
  <c r="C817" i="5"/>
  <c r="G359" i="5"/>
  <c r="C358" i="5"/>
  <c r="G276" i="5"/>
  <c r="C275" i="5"/>
  <c r="C649" i="5"/>
  <c r="G1219" i="5"/>
  <c r="C1218" i="5"/>
  <c r="G591" i="5"/>
  <c r="C590" i="5"/>
  <c r="G582" i="5"/>
  <c r="C581" i="5"/>
  <c r="G396" i="5"/>
  <c r="C395" i="5"/>
  <c r="G203" i="5"/>
  <c r="C202" i="5"/>
  <c r="G57" i="5"/>
  <c r="C56" i="5"/>
  <c r="G1249" i="5"/>
  <c r="G1194" i="5"/>
  <c r="G1142" i="5"/>
  <c r="G919" i="5"/>
  <c r="G910" i="5"/>
  <c r="G763" i="5"/>
  <c r="G754" i="5"/>
  <c r="G367" i="5"/>
  <c r="C366" i="5"/>
  <c r="G225" i="5"/>
  <c r="C224" i="5"/>
  <c r="G1267" i="5"/>
  <c r="C1266" i="5"/>
  <c r="G962" i="5"/>
  <c r="C961" i="5"/>
  <c r="G240" i="5"/>
  <c r="C239" i="5"/>
  <c r="G168" i="5"/>
  <c r="C167" i="5"/>
  <c r="C1770" i="5"/>
  <c r="C1646" i="5"/>
  <c r="C1582" i="5"/>
  <c r="C1554" i="5"/>
  <c r="C1530" i="5"/>
  <c r="C222" i="5"/>
  <c r="G1067" i="5"/>
  <c r="C1066" i="5"/>
  <c r="C947" i="5"/>
  <c r="G948" i="5"/>
  <c r="G847" i="5"/>
  <c r="C846" i="5"/>
  <c r="G518" i="5"/>
  <c r="C517" i="5"/>
  <c r="G444" i="5"/>
  <c r="C443" i="5"/>
  <c r="G1371" i="5"/>
  <c r="C960" i="5"/>
  <c r="G928" i="5"/>
  <c r="C223" i="5"/>
  <c r="G556" i="5"/>
  <c r="C555" i="5"/>
  <c r="G416" i="5"/>
  <c r="C415" i="5"/>
  <c r="G328" i="5"/>
  <c r="C327" i="5"/>
  <c r="G193" i="5"/>
  <c r="C192" i="5"/>
  <c r="G85" i="5"/>
  <c r="C84" i="5"/>
  <c r="G13" i="5"/>
  <c r="C12" i="5"/>
  <c r="G5" i="5"/>
  <c r="C4" i="5"/>
  <c r="G528" i="5"/>
  <c r="C527" i="5"/>
  <c r="G500" i="5"/>
  <c r="C499" i="5"/>
  <c r="G456" i="5"/>
  <c r="C455" i="5"/>
  <c r="G304" i="5"/>
  <c r="C303" i="5"/>
  <c r="G257" i="5"/>
  <c r="C256" i="5"/>
  <c r="G177" i="5"/>
  <c r="C176" i="5"/>
  <c r="G149" i="5"/>
  <c r="C148" i="5"/>
  <c r="G348" i="5"/>
  <c r="C347" i="5"/>
  <c r="G320" i="5"/>
  <c r="C319" i="5"/>
  <c r="G213" i="5"/>
  <c r="C212" i="5"/>
  <c r="G121" i="5"/>
  <c r="C120" i="5"/>
  <c r="G77" i="5"/>
  <c r="C76" i="5"/>
  <c r="G660" i="5"/>
  <c r="C525" i="5"/>
  <c r="C497" i="5"/>
  <c r="C489" i="5"/>
  <c r="C453" i="5"/>
  <c r="C254" i="5"/>
  <c r="C146" i="5"/>
  <c r="G536" i="5"/>
  <c r="C535" i="5"/>
  <c r="G265" i="5"/>
  <c r="C264" i="5"/>
  <c r="G157" i="5"/>
  <c r="C156" i="5"/>
  <c r="G41" i="5"/>
  <c r="C40" i="5"/>
  <c r="C563" i="5"/>
  <c r="C543" i="5"/>
  <c r="C610" i="5" l="1"/>
  <c r="G611" i="5"/>
  <c r="C186" i="5"/>
  <c r="C337" i="5"/>
  <c r="C1592" i="5"/>
  <c r="G1593" i="5"/>
  <c r="O592" i="5"/>
  <c r="K591" i="5"/>
  <c r="K919" i="5"/>
  <c r="O920" i="5"/>
  <c r="K1039" i="5"/>
  <c r="O1040" i="5"/>
  <c r="G471" i="5"/>
  <c r="C470" i="5"/>
  <c r="C1149" i="5"/>
  <c r="G1150" i="5"/>
  <c r="K4" i="5"/>
  <c r="O5" i="5"/>
  <c r="O1657" i="5"/>
  <c r="K1656" i="5"/>
  <c r="G111" i="5"/>
  <c r="C110" i="5"/>
  <c r="C404" i="5"/>
  <c r="G405" i="5"/>
  <c r="K583" i="5"/>
  <c r="O584" i="5"/>
  <c r="O1132" i="5"/>
  <c r="K1131" i="5"/>
  <c r="G1410" i="5"/>
  <c r="C1409" i="5"/>
  <c r="G251" i="5"/>
  <c r="C250" i="5"/>
  <c r="C376" i="5"/>
  <c r="G377" i="5"/>
  <c r="G1353" i="5"/>
  <c r="C1352" i="5"/>
  <c r="G1622" i="5"/>
  <c r="C1621" i="5"/>
  <c r="C188" i="5"/>
  <c r="C138" i="5"/>
  <c r="C1174" i="5"/>
  <c r="O1547" i="5"/>
  <c r="O1642" i="5"/>
  <c r="S48" i="5"/>
  <c r="G314" i="5"/>
  <c r="C313" i="5"/>
  <c r="C799" i="5"/>
  <c r="G800" i="5"/>
  <c r="C1285" i="5"/>
  <c r="G1286" i="5"/>
  <c r="O1069" i="5"/>
  <c r="K1068" i="5"/>
  <c r="G1557" i="5"/>
  <c r="C1556" i="5"/>
  <c r="G1781" i="5"/>
  <c r="C1780" i="5"/>
  <c r="C997" i="5"/>
  <c r="G998" i="5"/>
  <c r="C601" i="5"/>
  <c r="G602" i="5"/>
  <c r="G31" i="5"/>
  <c r="C30" i="5"/>
  <c r="C65" i="5"/>
  <c r="G66" i="5"/>
  <c r="C424" i="5"/>
  <c r="G425" i="5"/>
  <c r="G491" i="5"/>
  <c r="C490" i="5"/>
  <c r="O460" i="5"/>
  <c r="K459" i="5"/>
  <c r="K847" i="5"/>
  <c r="O848" i="5"/>
  <c r="G1201" i="5"/>
  <c r="C1200" i="5"/>
  <c r="G1698" i="5"/>
  <c r="C1697" i="5"/>
  <c r="G1166" i="5"/>
  <c r="C1165" i="5"/>
  <c r="C1017" i="5"/>
  <c r="G1018" i="5"/>
  <c r="O973" i="5"/>
  <c r="K972" i="5"/>
  <c r="G96" i="5"/>
  <c r="C95" i="5"/>
  <c r="G691" i="5"/>
  <c r="C690" i="5"/>
  <c r="C94" i="5"/>
  <c r="C187" i="5"/>
  <c r="G869" i="5"/>
  <c r="V48" i="5"/>
  <c r="G20" i="5"/>
  <c r="C19" i="5"/>
  <c r="G671" i="5"/>
  <c r="C670" i="5"/>
  <c r="C780" i="5"/>
  <c r="G781" i="5"/>
  <c r="C808" i="5"/>
  <c r="G809" i="5"/>
  <c r="G1050" i="5"/>
  <c r="C1049" i="5"/>
  <c r="O1104" i="5"/>
  <c r="K1103" i="5"/>
  <c r="K1502" i="5"/>
  <c r="O1503" i="5"/>
  <c r="G435" i="5"/>
  <c r="C434" i="5"/>
  <c r="G128" i="5"/>
  <c r="C127" i="5"/>
  <c r="G479" i="5"/>
  <c r="C478" i="5"/>
  <c r="O1513" i="5"/>
  <c r="K1512" i="5"/>
  <c r="C12" i="2"/>
  <c r="Y4" i="2" s="1"/>
  <c r="C1419" i="5"/>
  <c r="G1420" i="5"/>
  <c r="G1679" i="5"/>
  <c r="C1678" i="5"/>
  <c r="K1647" i="5"/>
  <c r="O1648" i="5"/>
  <c r="O566" i="5"/>
  <c r="K565" i="5"/>
  <c r="O1098" i="5"/>
  <c r="K1097" i="5"/>
  <c r="O140" i="5"/>
  <c r="K139" i="5"/>
  <c r="V49" i="5"/>
  <c r="U49" i="5"/>
  <c r="S49" i="5"/>
  <c r="T49" i="5"/>
  <c r="G329" i="5"/>
  <c r="C328" i="5"/>
  <c r="G368" i="5"/>
  <c r="C367" i="5"/>
  <c r="G360" i="5"/>
  <c r="C359" i="5"/>
  <c r="C1667" i="5"/>
  <c r="G1668" i="5"/>
  <c r="G1643" i="5"/>
  <c r="C1642" i="5"/>
  <c r="C1503" i="5"/>
  <c r="G1504" i="5"/>
  <c r="G295" i="5"/>
  <c r="C294" i="5"/>
  <c r="O446" i="5"/>
  <c r="K445" i="5"/>
  <c r="O405" i="5"/>
  <c r="K404" i="5"/>
  <c r="O1050" i="5"/>
  <c r="K1049" i="5"/>
  <c r="O169" i="5"/>
  <c r="K168" i="5"/>
  <c r="O1250" i="5"/>
  <c r="K1249" i="5"/>
  <c r="O998" i="5"/>
  <c r="K997" i="5"/>
  <c r="C348" i="5"/>
  <c r="G349" i="5"/>
  <c r="G58" i="5"/>
  <c r="C57" i="5"/>
  <c r="C1575" i="5"/>
  <c r="G1576" i="5"/>
  <c r="C565" i="5"/>
  <c r="G566" i="5"/>
  <c r="K1622" i="5"/>
  <c r="O1623" i="5"/>
  <c r="O829" i="5"/>
  <c r="K828" i="5"/>
  <c r="K1409" i="5"/>
  <c r="O1410" i="5"/>
  <c r="G266" i="5"/>
  <c r="C265" i="5"/>
  <c r="G537" i="5"/>
  <c r="C536" i="5"/>
  <c r="C157" i="5"/>
  <c r="G158" i="5"/>
  <c r="C77" i="5"/>
  <c r="G78" i="5"/>
  <c r="C213" i="5"/>
  <c r="G214" i="5"/>
  <c r="C304" i="5"/>
  <c r="G305" i="5"/>
  <c r="C528" i="5"/>
  <c r="G529" i="5"/>
  <c r="G755" i="5"/>
  <c r="C754" i="5"/>
  <c r="G397" i="5"/>
  <c r="C396" i="5"/>
  <c r="G339" i="5"/>
  <c r="C338" i="5"/>
  <c r="G1344" i="5"/>
  <c r="C1343" i="5"/>
  <c r="G987" i="5"/>
  <c r="C986" i="5"/>
  <c r="G701" i="5"/>
  <c r="C700" i="5"/>
  <c r="C1399" i="5"/>
  <c r="G1400" i="5"/>
  <c r="C1239" i="5"/>
  <c r="G1240" i="5"/>
  <c r="K1086" i="5"/>
  <c r="O1087" i="5"/>
  <c r="K910" i="5"/>
  <c r="O911" i="5"/>
  <c r="O1668" i="5"/>
  <c r="K1667" i="5"/>
  <c r="G1755" i="5"/>
  <c r="C1754" i="5"/>
  <c r="K518" i="5"/>
  <c r="O519" i="5"/>
  <c r="K1342" i="5"/>
  <c r="O1343" i="5"/>
  <c r="C1483" i="5"/>
  <c r="G1484" i="5"/>
  <c r="K766" i="5"/>
  <c r="O767" i="5"/>
  <c r="K1258" i="5"/>
  <c r="O1259" i="5"/>
  <c r="O1314" i="5"/>
  <c r="K1313" i="5"/>
  <c r="K1734" i="5"/>
  <c r="O1735" i="5"/>
  <c r="K454" i="5"/>
  <c r="O455" i="5"/>
  <c r="K838" i="5"/>
  <c r="O839" i="5"/>
  <c r="K1230" i="5"/>
  <c r="O1231" i="5"/>
  <c r="K790" i="5"/>
  <c r="O791" i="5"/>
  <c r="K1678" i="5"/>
  <c r="O1679" i="5"/>
  <c r="K1398" i="5"/>
  <c r="O1399" i="5"/>
  <c r="O148" i="5"/>
  <c r="K147" i="5"/>
  <c r="K1362" i="5"/>
  <c r="O1363" i="5"/>
  <c r="O546" i="5"/>
  <c r="K545" i="5"/>
  <c r="O801" i="5"/>
  <c r="K800" i="5"/>
  <c r="O266" i="5"/>
  <c r="K265" i="5"/>
  <c r="O425" i="5"/>
  <c r="K424" i="5"/>
  <c r="G929" i="5"/>
  <c r="C928" i="5"/>
  <c r="C1267" i="5"/>
  <c r="G1268" i="5"/>
  <c r="G1211" i="5"/>
  <c r="C1210" i="5"/>
  <c r="C827" i="5"/>
  <c r="G828" i="5"/>
  <c r="G1335" i="5"/>
  <c r="C1334" i="5"/>
  <c r="G1611" i="5"/>
  <c r="C1610" i="5"/>
  <c r="O232" i="5"/>
  <c r="K231" i="5"/>
  <c r="K367" i="5"/>
  <c r="O368" i="5"/>
  <c r="K250" i="5"/>
  <c r="O251" i="5"/>
  <c r="O1186" i="5"/>
  <c r="K1185" i="5"/>
  <c r="K1166" i="5"/>
  <c r="O1167" i="5"/>
  <c r="K1160" i="5"/>
  <c r="O1161" i="5"/>
  <c r="C500" i="5"/>
  <c r="G501" i="5"/>
  <c r="C1219" i="5"/>
  <c r="G1220" i="5"/>
  <c r="G1585" i="5"/>
  <c r="C1584" i="5"/>
  <c r="O20" i="5"/>
  <c r="K19" i="5"/>
  <c r="O204" i="5"/>
  <c r="K203" i="5"/>
  <c r="K1194" i="5"/>
  <c r="O1195" i="5"/>
  <c r="O186" i="5"/>
  <c r="K185" i="5"/>
  <c r="K1761" i="5"/>
  <c r="O1762" i="5"/>
  <c r="K1715" i="5"/>
  <c r="O1716" i="5"/>
  <c r="O1604" i="5"/>
  <c r="K1603" i="5"/>
  <c r="O1141" i="5"/>
  <c r="K1140" i="5"/>
  <c r="O122" i="5"/>
  <c r="K121" i="5"/>
  <c r="G445" i="5"/>
  <c r="C444" i="5"/>
  <c r="C1707" i="5"/>
  <c r="G1708" i="5"/>
  <c r="K526" i="5"/>
  <c r="O527" i="5"/>
  <c r="O77" i="5"/>
  <c r="K76" i="5"/>
  <c r="O1333" i="5"/>
  <c r="K1332" i="5"/>
  <c r="O417" i="5"/>
  <c r="K416" i="5"/>
  <c r="O1532" i="5"/>
  <c r="K1531" i="5"/>
  <c r="C177" i="5"/>
  <c r="G178" i="5"/>
  <c r="G1466" i="5"/>
  <c r="C1465" i="5"/>
  <c r="K938" i="5"/>
  <c r="O939" i="5"/>
  <c r="K682" i="5"/>
  <c r="O683" i="5"/>
  <c r="O1354" i="5"/>
  <c r="K1353" i="5"/>
  <c r="C5" i="5"/>
  <c r="G6" i="5"/>
  <c r="G194" i="5"/>
  <c r="C193" i="5"/>
  <c r="G557" i="5"/>
  <c r="C556" i="5"/>
  <c r="G226" i="5"/>
  <c r="C225" i="5"/>
  <c r="G911" i="5"/>
  <c r="C910" i="5"/>
  <c r="G277" i="5"/>
  <c r="C276" i="5"/>
  <c r="C1095" i="5"/>
  <c r="G1096" i="5"/>
  <c r="C1389" i="5"/>
  <c r="G1390" i="5"/>
  <c r="C1659" i="5"/>
  <c r="G1660" i="5"/>
  <c r="G1380" i="5"/>
  <c r="C1379" i="5"/>
  <c r="C1323" i="5"/>
  <c r="G1324" i="5"/>
  <c r="G461" i="5"/>
  <c r="C460" i="5"/>
  <c r="C1603" i="5"/>
  <c r="G1604" i="5"/>
  <c r="C642" i="5"/>
  <c r="G643" i="5"/>
  <c r="G1439" i="5"/>
  <c r="C1438" i="5"/>
  <c r="G1687" i="5"/>
  <c r="C1686" i="5"/>
  <c r="G1543" i="5"/>
  <c r="C1542" i="5"/>
  <c r="C1039" i="5"/>
  <c r="G1040" i="5"/>
  <c r="G1746" i="5"/>
  <c r="C1745" i="5"/>
  <c r="G1459" i="5"/>
  <c r="C1458" i="5"/>
  <c r="C887" i="5"/>
  <c r="G888" i="5"/>
  <c r="G1715" i="5"/>
  <c r="C1714" i="5"/>
  <c r="K642" i="5"/>
  <c r="O643" i="5"/>
  <c r="O12" i="5"/>
  <c r="K11" i="5"/>
  <c r="K318" i="5"/>
  <c r="O319" i="5"/>
  <c r="O489" i="5"/>
  <c r="K488" i="5"/>
  <c r="O978" i="5"/>
  <c r="K977" i="5"/>
  <c r="O1008" i="5"/>
  <c r="K1007" i="5"/>
  <c r="K1574" i="5"/>
  <c r="O1575" i="5"/>
  <c r="K1706" i="5"/>
  <c r="O1707" i="5"/>
  <c r="G1762" i="5"/>
  <c r="C1761" i="5"/>
  <c r="O782" i="5"/>
  <c r="K781" i="5"/>
  <c r="O194" i="5"/>
  <c r="K193" i="5"/>
  <c r="K654" i="5"/>
  <c r="O655" i="5"/>
  <c r="K1378" i="5"/>
  <c r="O1379" i="5"/>
  <c r="O1725" i="5"/>
  <c r="K1724" i="5"/>
  <c r="O258" i="5"/>
  <c r="K257" i="5"/>
  <c r="K1286" i="5"/>
  <c r="O1287" i="5"/>
  <c r="O157" i="5"/>
  <c r="K156" i="5"/>
  <c r="K1150" i="5"/>
  <c r="O1151" i="5"/>
  <c r="K1493" i="5"/>
  <c r="O1494" i="5"/>
  <c r="O557" i="5"/>
  <c r="K556" i="5"/>
  <c r="K1686" i="5"/>
  <c r="O1687" i="5"/>
  <c r="O1210" i="5"/>
  <c r="K1209" i="5"/>
  <c r="O89" i="5"/>
  <c r="K88" i="5"/>
  <c r="O602" i="5"/>
  <c r="K601" i="5"/>
  <c r="K66" i="5"/>
  <c r="O67" i="5"/>
  <c r="H53" i="2"/>
  <c r="H97" i="2" s="1"/>
  <c r="I3" i="2"/>
  <c r="K1482" i="5"/>
  <c r="O1483" i="5"/>
  <c r="G169" i="5"/>
  <c r="C168" i="5"/>
  <c r="C1249" i="5"/>
  <c r="G1250" i="5"/>
  <c r="G793" i="5"/>
  <c r="C792" i="5"/>
  <c r="G1315" i="5"/>
  <c r="C1314" i="5"/>
  <c r="C623" i="5"/>
  <c r="G624" i="5"/>
  <c r="K314" i="5"/>
  <c r="O315" i="5"/>
  <c r="K315" i="5" s="1"/>
  <c r="O397" i="5"/>
  <c r="K396" i="5"/>
  <c r="K1466" i="5"/>
  <c r="O1467" i="5"/>
  <c r="O305" i="5"/>
  <c r="K304" i="5"/>
  <c r="K1374" i="5"/>
  <c r="O1375" i="5"/>
  <c r="C257" i="5"/>
  <c r="G258" i="5"/>
  <c r="G204" i="5"/>
  <c r="C203" i="5"/>
  <c r="C1735" i="5"/>
  <c r="G1736" i="5"/>
  <c r="C979" i="5"/>
  <c r="G980" i="5"/>
  <c r="C1475" i="5"/>
  <c r="G1476" i="5"/>
  <c r="K738" i="5"/>
  <c r="O739" i="5"/>
  <c r="O1389" i="5"/>
  <c r="K1388" i="5"/>
  <c r="K1753" i="5"/>
  <c r="O1754" i="5"/>
  <c r="C962" i="5"/>
  <c r="G963" i="5"/>
  <c r="G1143" i="5"/>
  <c r="C1142" i="5"/>
  <c r="C1175" i="5"/>
  <c r="G1176" i="5"/>
  <c r="G746" i="5"/>
  <c r="C745" i="5"/>
  <c r="C1103" i="5"/>
  <c r="G1104" i="5"/>
  <c r="G1534" i="5"/>
  <c r="C1533" i="5"/>
  <c r="K275" i="5"/>
  <c r="O276" i="5"/>
  <c r="K886" i="5"/>
  <c r="O887" i="5"/>
  <c r="O58" i="5"/>
  <c r="K57" i="5"/>
  <c r="K286" i="5"/>
  <c r="O287" i="5"/>
  <c r="O950" i="5"/>
  <c r="K949" i="5"/>
  <c r="C919" i="5"/>
  <c r="G920" i="5"/>
  <c r="C1772" i="5"/>
  <c r="G1773" i="5"/>
  <c r="G287" i="5"/>
  <c r="C286" i="5"/>
  <c r="K1294" i="5"/>
  <c r="O1295" i="5"/>
  <c r="K338" i="5"/>
  <c r="O339" i="5"/>
  <c r="K1026" i="5"/>
  <c r="O1027" i="5"/>
  <c r="C1259" i="5"/>
  <c r="G1260" i="5"/>
  <c r="O1269" i="5"/>
  <c r="K1268" i="5"/>
  <c r="O1556" i="5"/>
  <c r="K1555" i="5"/>
  <c r="K1446" i="5"/>
  <c r="O1447" i="5"/>
  <c r="C660" i="5"/>
  <c r="G661" i="5"/>
  <c r="C320" i="5"/>
  <c r="G321" i="5"/>
  <c r="C149" i="5"/>
  <c r="G150" i="5"/>
  <c r="C456" i="5"/>
  <c r="G457" i="5"/>
  <c r="C457" i="5" s="1"/>
  <c r="U48" i="5"/>
  <c r="C948" i="5"/>
  <c r="G949" i="5"/>
  <c r="G870" i="5"/>
  <c r="C869" i="5"/>
  <c r="C582" i="5"/>
  <c r="G583" i="5"/>
  <c r="G939" i="5"/>
  <c r="C938" i="5"/>
  <c r="C719" i="5"/>
  <c r="G720" i="5"/>
  <c r="C1447" i="5"/>
  <c r="G1448" i="5"/>
  <c r="G233" i="5"/>
  <c r="C232" i="5"/>
  <c r="C838" i="5"/>
  <c r="G839" i="5"/>
  <c r="C1059" i="5"/>
  <c r="G1060" i="5"/>
  <c r="C1631" i="5"/>
  <c r="G1632" i="5"/>
  <c r="G1035" i="5"/>
  <c r="C1034" i="5"/>
  <c r="K1174" i="5"/>
  <c r="O1175" i="5"/>
  <c r="O480" i="5"/>
  <c r="K479" i="5"/>
  <c r="K722" i="5"/>
  <c r="O723" i="5"/>
  <c r="K378" i="5"/>
  <c r="O379" i="5"/>
  <c r="O809" i="5"/>
  <c r="K808" i="5"/>
  <c r="K1521" i="5"/>
  <c r="O1522" i="5"/>
  <c r="K1238" i="5"/>
  <c r="O1239" i="5"/>
  <c r="K1475" i="5"/>
  <c r="O1476" i="5"/>
  <c r="O990" i="5"/>
  <c r="K989" i="5"/>
  <c r="O388" i="5"/>
  <c r="K387" i="5"/>
  <c r="O1548" i="5"/>
  <c r="K1547" i="5"/>
  <c r="K1782" i="5"/>
  <c r="O1783" i="5"/>
  <c r="O1632" i="5"/>
  <c r="K1631" i="5"/>
  <c r="K1035" i="5"/>
  <c r="O1036" i="5"/>
  <c r="K1745" i="5"/>
  <c r="O1746" i="5"/>
  <c r="O1202" i="5"/>
  <c r="K1201" i="5"/>
  <c r="O112" i="5"/>
  <c r="K111" i="5"/>
  <c r="G519" i="5"/>
  <c r="C518" i="5"/>
  <c r="G819" i="5"/>
  <c r="C818" i="5"/>
  <c r="G861" i="5"/>
  <c r="C860" i="5"/>
  <c r="G1515" i="5"/>
  <c r="C1514" i="5"/>
  <c r="C1115" i="5"/>
  <c r="G1116" i="5"/>
  <c r="G576" i="5"/>
  <c r="C575" i="5"/>
  <c r="AC2" i="5"/>
  <c r="K1322" i="5"/>
  <c r="O1323" i="5"/>
  <c r="O96" i="5"/>
  <c r="K95" i="5"/>
  <c r="O702" i="5"/>
  <c r="K701" i="5"/>
  <c r="O962" i="5"/>
  <c r="K961" i="5"/>
  <c r="O633" i="5"/>
  <c r="K632" i="5"/>
  <c r="O242" i="5"/>
  <c r="K241" i="5"/>
  <c r="G42" i="5"/>
  <c r="C41" i="5"/>
  <c r="G1195" i="5"/>
  <c r="C1194" i="5"/>
  <c r="C651" i="5"/>
  <c r="G652" i="5"/>
  <c r="G1027" i="5"/>
  <c r="C1026" i="5"/>
  <c r="C1547" i="5"/>
  <c r="G1548" i="5"/>
  <c r="G633" i="5"/>
  <c r="C632" i="5"/>
  <c r="K818" i="5"/>
  <c r="O819" i="5"/>
  <c r="K1438" i="5"/>
  <c r="O1439" i="5"/>
  <c r="K470" i="5"/>
  <c r="O471" i="5"/>
  <c r="K754" i="5"/>
  <c r="O755" i="5"/>
  <c r="O672" i="5"/>
  <c r="K671" i="5"/>
  <c r="O1114" i="5"/>
  <c r="K1113" i="5"/>
  <c r="K1642" i="5"/>
  <c r="O1643" i="5"/>
  <c r="O1420" i="5"/>
  <c r="K1419" i="5"/>
  <c r="O502" i="5"/>
  <c r="K501" i="5"/>
  <c r="O1772" i="5"/>
  <c r="K1771" i="5"/>
  <c r="C13" i="5"/>
  <c r="G14" i="5"/>
  <c r="C1067" i="5"/>
  <c r="G1068" i="5"/>
  <c r="C1131" i="5"/>
  <c r="G1132" i="5"/>
  <c r="G683" i="5"/>
  <c r="C682" i="5"/>
  <c r="G1230" i="5"/>
  <c r="C1229" i="5"/>
  <c r="C1303" i="5"/>
  <c r="G1304" i="5"/>
  <c r="G1087" i="5"/>
  <c r="C1086" i="5"/>
  <c r="K30" i="5"/>
  <c r="O31" i="5"/>
  <c r="O329" i="5"/>
  <c r="K328" i="5"/>
  <c r="O224" i="5"/>
  <c r="K223" i="5"/>
  <c r="K858" i="5"/>
  <c r="O859" i="5"/>
  <c r="O870" i="5"/>
  <c r="K869" i="5"/>
  <c r="O214" i="5"/>
  <c r="K213" i="5"/>
  <c r="G122" i="5"/>
  <c r="C121" i="5"/>
  <c r="C591" i="5"/>
  <c r="G592" i="5"/>
  <c r="C891" i="5"/>
  <c r="G892" i="5"/>
  <c r="C957" i="5"/>
  <c r="G958" i="5"/>
  <c r="G1187" i="5"/>
  <c r="C1186" i="5"/>
  <c r="O710" i="5"/>
  <c r="K709" i="5"/>
  <c r="O1584" i="5"/>
  <c r="K1583" i="5"/>
  <c r="O178" i="5"/>
  <c r="K177" i="5"/>
  <c r="K1594" i="5"/>
  <c r="O1595" i="5"/>
  <c r="O929" i="5"/>
  <c r="K928" i="5"/>
  <c r="G86" i="5"/>
  <c r="C85" i="5"/>
  <c r="G417" i="5"/>
  <c r="C416" i="5"/>
  <c r="C1371" i="5"/>
  <c r="G1372" i="5"/>
  <c r="C847" i="5"/>
  <c r="G848" i="5"/>
  <c r="G241" i="5"/>
  <c r="C240" i="5"/>
  <c r="G190" i="5"/>
  <c r="C190" i="5" s="1"/>
  <c r="C189" i="5"/>
  <c r="C763" i="5"/>
  <c r="G764" i="5"/>
  <c r="G140" i="5"/>
  <c r="C139" i="5"/>
  <c r="C1361" i="5"/>
  <c r="G1362" i="5"/>
  <c r="C1523" i="5"/>
  <c r="G1524" i="5"/>
  <c r="G1279" i="5"/>
  <c r="C1278" i="5"/>
  <c r="G387" i="5"/>
  <c r="C386" i="5"/>
  <c r="G547" i="5"/>
  <c r="C546" i="5"/>
  <c r="C1295" i="5"/>
  <c r="G1296" i="5"/>
  <c r="G1726" i="5"/>
  <c r="C1725" i="5"/>
  <c r="G1495" i="5"/>
  <c r="C1494" i="5"/>
  <c r="G1430" i="5"/>
  <c r="C1429" i="5"/>
  <c r="C1159" i="5"/>
  <c r="G1160" i="5"/>
  <c r="C1007" i="5"/>
  <c r="G1008" i="5"/>
  <c r="G1650" i="5"/>
  <c r="C1649" i="5"/>
  <c r="C710" i="5"/>
  <c r="G711" i="5"/>
  <c r="G738" i="5"/>
  <c r="C737" i="5"/>
  <c r="K127" i="5"/>
  <c r="O128" i="5"/>
  <c r="K611" i="5"/>
  <c r="O612" i="5"/>
  <c r="O40" i="5"/>
  <c r="K39" i="5"/>
  <c r="K574" i="5"/>
  <c r="O575" i="5"/>
  <c r="K294" i="5"/>
  <c r="O295" i="5"/>
  <c r="K434" i="5"/>
  <c r="O435" i="5"/>
  <c r="O954" i="5"/>
  <c r="K953" i="5"/>
  <c r="K1428" i="5"/>
  <c r="O1429" i="5"/>
  <c r="O350" i="5"/>
  <c r="K349" i="5"/>
  <c r="O1061" i="5"/>
  <c r="K1060" i="5"/>
  <c r="O746" i="5"/>
  <c r="K745" i="5"/>
  <c r="K510" i="5"/>
  <c r="O511" i="5"/>
  <c r="K1018" i="5"/>
  <c r="O1019" i="5"/>
  <c r="K1222" i="5"/>
  <c r="O1223" i="5"/>
  <c r="K1697" i="5"/>
  <c r="O1698" i="5"/>
  <c r="G511" i="5"/>
  <c r="C510" i="5"/>
  <c r="K622" i="5"/>
  <c r="O623" i="5"/>
  <c r="K1457" i="5"/>
  <c r="O1458" i="5"/>
  <c r="O358" i="5"/>
  <c r="K357" i="5"/>
  <c r="K1302" i="5"/>
  <c r="O1303" i="5"/>
  <c r="K1542" i="5"/>
  <c r="O1543" i="5"/>
  <c r="O893" i="5"/>
  <c r="K892" i="5"/>
  <c r="O661" i="5"/>
  <c r="K660" i="5"/>
  <c r="O538" i="5"/>
  <c r="K537" i="5"/>
  <c r="O692" i="5"/>
  <c r="K691" i="5"/>
  <c r="O1612" i="5"/>
  <c r="K1611" i="5"/>
  <c r="O1278" i="5"/>
  <c r="K1277" i="5"/>
  <c r="K1503" i="5" l="1"/>
  <c r="O1504" i="5"/>
  <c r="G406" i="5"/>
  <c r="C405" i="5"/>
  <c r="G1151" i="5"/>
  <c r="C1150" i="5"/>
  <c r="O1041" i="5"/>
  <c r="K1040" i="5"/>
  <c r="O1514" i="5"/>
  <c r="K1513" i="5"/>
  <c r="G129" i="5"/>
  <c r="C128" i="5"/>
  <c r="C1050" i="5"/>
  <c r="G1051" i="5"/>
  <c r="C20" i="5"/>
  <c r="G21" i="5"/>
  <c r="C96" i="5"/>
  <c r="G97" i="5"/>
  <c r="G1699" i="5"/>
  <c r="C1698" i="5"/>
  <c r="C491" i="5"/>
  <c r="G492" i="5"/>
  <c r="G1782" i="5"/>
  <c r="C1781" i="5"/>
  <c r="K1069" i="5"/>
  <c r="O1070" i="5"/>
  <c r="G1354" i="5"/>
  <c r="C1353" i="5"/>
  <c r="G252" i="5"/>
  <c r="C251" i="5"/>
  <c r="K1132" i="5"/>
  <c r="O1133" i="5"/>
  <c r="O1658" i="5"/>
  <c r="K1657" i="5"/>
  <c r="K592" i="5"/>
  <c r="O593" i="5"/>
  <c r="C781" i="5"/>
  <c r="G782" i="5"/>
  <c r="C800" i="5"/>
  <c r="G801" i="5"/>
  <c r="G810" i="5"/>
  <c r="C809" i="5"/>
  <c r="G426" i="5"/>
  <c r="C425" i="5"/>
  <c r="G999" i="5"/>
  <c r="C998" i="5"/>
  <c r="C1286" i="5"/>
  <c r="G1287" i="5"/>
  <c r="G378" i="5"/>
  <c r="C377" i="5"/>
  <c r="O585" i="5"/>
  <c r="K584" i="5"/>
  <c r="O6" i="5"/>
  <c r="K5" i="5"/>
  <c r="O921" i="5"/>
  <c r="K920" i="5"/>
  <c r="G1594" i="5"/>
  <c r="C1593" i="5"/>
  <c r="C611" i="5"/>
  <c r="G612" i="5"/>
  <c r="G1019" i="5"/>
  <c r="C1018" i="5"/>
  <c r="O849" i="5"/>
  <c r="K848" i="5"/>
  <c r="G67" i="5"/>
  <c r="C66" i="5"/>
  <c r="G603" i="5"/>
  <c r="C602" i="5"/>
  <c r="C479" i="5"/>
  <c r="G480" i="5"/>
  <c r="C435" i="5"/>
  <c r="G436" i="5"/>
  <c r="K1104" i="5"/>
  <c r="O1105" i="5"/>
  <c r="C671" i="5"/>
  <c r="G672" i="5"/>
  <c r="G692" i="5"/>
  <c r="C691" i="5"/>
  <c r="O974" i="5"/>
  <c r="K974" i="5" s="1"/>
  <c r="K973" i="5"/>
  <c r="C1166" i="5"/>
  <c r="G1167" i="5"/>
  <c r="C1201" i="5"/>
  <c r="G1202" i="5"/>
  <c r="O461" i="5"/>
  <c r="K460" i="5"/>
  <c r="G32" i="5"/>
  <c r="C31" i="5"/>
  <c r="G1558" i="5"/>
  <c r="C1557" i="5"/>
  <c r="G315" i="5"/>
  <c r="C315" i="5" s="1"/>
  <c r="C314" i="5"/>
  <c r="G1623" i="5"/>
  <c r="C1622" i="5"/>
  <c r="G1411" i="5"/>
  <c r="C1410" i="5"/>
  <c r="G112" i="5"/>
  <c r="C111" i="5"/>
  <c r="G472" i="5"/>
  <c r="C471" i="5"/>
  <c r="C31" i="2"/>
  <c r="H4" i="2"/>
  <c r="F4" i="2"/>
  <c r="C16" i="2"/>
  <c r="C17" i="2" s="1"/>
  <c r="C19" i="2" s="1"/>
  <c r="C20" i="2" s="1"/>
  <c r="G4" i="2"/>
  <c r="C18" i="2"/>
  <c r="E4" i="2"/>
  <c r="G170" i="5"/>
  <c r="C169" i="5"/>
  <c r="K954" i="5"/>
  <c r="O955" i="5"/>
  <c r="G548" i="5"/>
  <c r="C547" i="5"/>
  <c r="O32" i="5"/>
  <c r="K31" i="5"/>
  <c r="O1324" i="5"/>
  <c r="K1323" i="5"/>
  <c r="C839" i="5"/>
  <c r="G840" i="5"/>
  <c r="C1143" i="5"/>
  <c r="G1144" i="5"/>
  <c r="G1661" i="5"/>
  <c r="C1660" i="5"/>
  <c r="G1586" i="5"/>
  <c r="C1585" i="5"/>
  <c r="C1211" i="5"/>
  <c r="G1212" i="5"/>
  <c r="C701" i="5"/>
  <c r="G702" i="5"/>
  <c r="O97" i="5"/>
  <c r="K96" i="5"/>
  <c r="O389" i="5"/>
  <c r="K388" i="5"/>
  <c r="O481" i="5"/>
  <c r="K480" i="5"/>
  <c r="G151" i="5"/>
  <c r="C150" i="5"/>
  <c r="O1028" i="5"/>
  <c r="K1027" i="5"/>
  <c r="G1105" i="5"/>
  <c r="C1104" i="5"/>
  <c r="G558" i="5"/>
  <c r="C557" i="5"/>
  <c r="O894" i="5"/>
  <c r="K893" i="5"/>
  <c r="O860" i="5"/>
  <c r="K859" i="5"/>
  <c r="G950" i="5"/>
  <c r="C949" i="5"/>
  <c r="O1152" i="5"/>
  <c r="K1151" i="5"/>
  <c r="O1708" i="5"/>
  <c r="K1707" i="5"/>
  <c r="K1668" i="5"/>
  <c r="O1669" i="5"/>
  <c r="C755" i="5"/>
  <c r="G756" i="5"/>
  <c r="G538" i="5"/>
  <c r="C537" i="5"/>
  <c r="K1250" i="5"/>
  <c r="O1251" i="5"/>
  <c r="K446" i="5"/>
  <c r="O447" i="5"/>
  <c r="C1643" i="5"/>
  <c r="G1644" i="5"/>
  <c r="G330" i="5"/>
  <c r="C329" i="5"/>
  <c r="O1020" i="5"/>
  <c r="K1019" i="5"/>
  <c r="O613" i="5"/>
  <c r="K612" i="5"/>
  <c r="C711" i="5"/>
  <c r="G712" i="5"/>
  <c r="G1161" i="5"/>
  <c r="C1160" i="5"/>
  <c r="G1297" i="5"/>
  <c r="C1296" i="5"/>
  <c r="C1524" i="5"/>
  <c r="G1525" i="5"/>
  <c r="G765" i="5"/>
  <c r="C764" i="5"/>
  <c r="G1373" i="5"/>
  <c r="C1372" i="5"/>
  <c r="C592" i="5"/>
  <c r="G593" i="5"/>
  <c r="K870" i="5"/>
  <c r="O871" i="5"/>
  <c r="K1772" i="5"/>
  <c r="O1773" i="5"/>
  <c r="C1027" i="5"/>
  <c r="G1028" i="5"/>
  <c r="G43" i="5"/>
  <c r="C42" i="5"/>
  <c r="O634" i="5"/>
  <c r="K633" i="5"/>
  <c r="K702" i="5"/>
  <c r="O703" i="5"/>
  <c r="G1117" i="5"/>
  <c r="C1116" i="5"/>
  <c r="O1549" i="5"/>
  <c r="K1548" i="5"/>
  <c r="O810" i="5"/>
  <c r="K809" i="5"/>
  <c r="C870" i="5"/>
  <c r="G871" i="5"/>
  <c r="G1261" i="5"/>
  <c r="C1260" i="5"/>
  <c r="C1176" i="5"/>
  <c r="G1177" i="5"/>
  <c r="O306" i="5"/>
  <c r="K305" i="5"/>
  <c r="G1763" i="5"/>
  <c r="C1762" i="5"/>
  <c r="K978" i="5"/>
  <c r="O979" i="5"/>
  <c r="O13" i="5"/>
  <c r="K12" i="5"/>
  <c r="C1459" i="5"/>
  <c r="G1460" i="5"/>
  <c r="C1439" i="5"/>
  <c r="G1440" i="5"/>
  <c r="O1334" i="5"/>
  <c r="K1333" i="5"/>
  <c r="G446" i="5"/>
  <c r="C445" i="5"/>
  <c r="G829" i="5"/>
  <c r="C828" i="5"/>
  <c r="K266" i="5"/>
  <c r="O267" i="5"/>
  <c r="O802" i="5"/>
  <c r="K801" i="5"/>
  <c r="O1364" i="5"/>
  <c r="K1363" i="5"/>
  <c r="O792" i="5"/>
  <c r="K791" i="5"/>
  <c r="O1736" i="5"/>
  <c r="K1735" i="5"/>
  <c r="G1485" i="5"/>
  <c r="C1484" i="5"/>
  <c r="G1401" i="5"/>
  <c r="C1400" i="5"/>
  <c r="G215" i="5"/>
  <c r="C214" i="5"/>
  <c r="G567" i="5"/>
  <c r="C566" i="5"/>
  <c r="C1420" i="5"/>
  <c r="G1421" i="5"/>
  <c r="W48" i="5"/>
  <c r="K1458" i="5"/>
  <c r="O1459" i="5"/>
  <c r="K1698" i="5"/>
  <c r="O1699" i="5"/>
  <c r="K1429" i="5"/>
  <c r="O1430" i="5"/>
  <c r="O436" i="5"/>
  <c r="K435" i="5"/>
  <c r="O576" i="5"/>
  <c r="K575" i="5"/>
  <c r="G1009" i="5"/>
  <c r="C1008" i="5"/>
  <c r="O113" i="5"/>
  <c r="K112" i="5"/>
  <c r="O1633" i="5"/>
  <c r="K1632" i="5"/>
  <c r="G921" i="5"/>
  <c r="C920" i="5"/>
  <c r="O888" i="5"/>
  <c r="K887" i="5"/>
  <c r="O1484" i="5"/>
  <c r="K1483" i="5"/>
  <c r="K89" i="5"/>
  <c r="O90" i="5"/>
  <c r="O158" i="5"/>
  <c r="K157" i="5"/>
  <c r="K258" i="5"/>
  <c r="O259" i="5"/>
  <c r="K194" i="5"/>
  <c r="O195" i="5"/>
  <c r="C1715" i="5"/>
  <c r="G1716" i="5"/>
  <c r="C911" i="5"/>
  <c r="G912" i="5"/>
  <c r="O1533" i="5"/>
  <c r="K1532" i="5"/>
  <c r="G1221" i="5"/>
  <c r="C1220" i="5"/>
  <c r="O520" i="5"/>
  <c r="K519" i="5"/>
  <c r="G1651" i="5"/>
  <c r="C1650" i="5"/>
  <c r="G418" i="5"/>
  <c r="C417" i="5"/>
  <c r="O472" i="5"/>
  <c r="K471" i="5"/>
  <c r="G520" i="5"/>
  <c r="C519" i="5"/>
  <c r="K1746" i="5"/>
  <c r="O1747" i="5"/>
  <c r="G1709" i="5"/>
  <c r="C1708" i="5"/>
  <c r="G296" i="5"/>
  <c r="C295" i="5"/>
  <c r="K1114" i="5"/>
  <c r="O1115" i="5"/>
  <c r="O1448" i="5"/>
  <c r="K1447" i="5"/>
  <c r="G278" i="5"/>
  <c r="C277" i="5"/>
  <c r="O1344" i="5"/>
  <c r="K1343" i="5"/>
  <c r="G530" i="5"/>
  <c r="C529" i="5"/>
  <c r="K178" i="5"/>
  <c r="O179" i="5"/>
  <c r="C1068" i="5"/>
  <c r="G1069" i="5"/>
  <c r="G653" i="5"/>
  <c r="C652" i="5"/>
  <c r="O1037" i="5"/>
  <c r="K1037" i="5" s="1"/>
  <c r="K1036" i="5"/>
  <c r="C720" i="5"/>
  <c r="G721" i="5"/>
  <c r="G1535" i="5"/>
  <c r="C1534" i="5"/>
  <c r="C1736" i="5"/>
  <c r="G1737" i="5"/>
  <c r="K1287" i="5"/>
  <c r="O1288" i="5"/>
  <c r="K186" i="5"/>
  <c r="O187" i="5"/>
  <c r="K20" i="5"/>
  <c r="O21" i="5"/>
  <c r="O233" i="5"/>
  <c r="K232" i="5"/>
  <c r="K566" i="5"/>
  <c r="O567" i="5"/>
  <c r="K1278" i="5"/>
  <c r="O1279" i="5"/>
  <c r="K1612" i="5"/>
  <c r="O1613" i="5"/>
  <c r="O662" i="5"/>
  <c r="K661" i="5"/>
  <c r="K358" i="5"/>
  <c r="O359" i="5"/>
  <c r="O1062" i="5"/>
  <c r="K1061" i="5"/>
  <c r="O41" i="5"/>
  <c r="K40" i="5"/>
  <c r="G1727" i="5"/>
  <c r="C1726" i="5"/>
  <c r="C1279" i="5"/>
  <c r="G1280" i="5"/>
  <c r="G141" i="5"/>
  <c r="C140" i="5"/>
  <c r="C1304" i="5"/>
  <c r="G1305" i="5"/>
  <c r="O1644" i="5"/>
  <c r="K1643" i="5"/>
  <c r="O820" i="5"/>
  <c r="K819" i="5"/>
  <c r="G577" i="5"/>
  <c r="C576" i="5"/>
  <c r="C861" i="5"/>
  <c r="G862" i="5"/>
  <c r="K1239" i="5"/>
  <c r="O1240" i="5"/>
  <c r="O724" i="5"/>
  <c r="K723" i="5"/>
  <c r="G1633" i="5"/>
  <c r="C1632" i="5"/>
  <c r="C1448" i="5"/>
  <c r="G1449" i="5"/>
  <c r="O1270" i="5"/>
  <c r="K1269" i="5"/>
  <c r="K1754" i="5"/>
  <c r="O1755" i="5"/>
  <c r="G981" i="5"/>
  <c r="C980" i="5"/>
  <c r="O68" i="5"/>
  <c r="K67" i="5"/>
  <c r="K1494" i="5"/>
  <c r="O1495" i="5"/>
  <c r="O1380" i="5"/>
  <c r="K1379" i="5"/>
  <c r="G1041" i="5"/>
  <c r="C1040" i="5"/>
  <c r="G1325" i="5"/>
  <c r="C1324" i="5"/>
  <c r="G1097" i="5"/>
  <c r="C1096" i="5"/>
  <c r="O940" i="5"/>
  <c r="K939" i="5"/>
  <c r="O528" i="5"/>
  <c r="K527" i="5"/>
  <c r="O205" i="5"/>
  <c r="K204" i="5"/>
  <c r="G1336" i="5"/>
  <c r="C1335" i="5"/>
  <c r="K546" i="5"/>
  <c r="O547" i="5"/>
  <c r="C1755" i="5"/>
  <c r="G1756" i="5"/>
  <c r="G398" i="5"/>
  <c r="C397" i="5"/>
  <c r="O406" i="5"/>
  <c r="K405" i="5"/>
  <c r="G369" i="5"/>
  <c r="C368" i="5"/>
  <c r="O141" i="5"/>
  <c r="K140" i="5"/>
  <c r="K1098" i="5"/>
  <c r="O1099" i="5"/>
  <c r="C1679" i="5"/>
  <c r="G1680" i="5"/>
  <c r="C939" i="5"/>
  <c r="G940" i="5"/>
  <c r="G322" i="5"/>
  <c r="C321" i="5"/>
  <c r="G205" i="5"/>
  <c r="C204" i="5"/>
  <c r="K1354" i="5"/>
  <c r="O1355" i="5"/>
  <c r="O1717" i="5"/>
  <c r="K1716" i="5"/>
  <c r="K1399" i="5"/>
  <c r="O1400" i="5"/>
  <c r="K1259" i="5"/>
  <c r="O1260" i="5"/>
  <c r="O1088" i="5"/>
  <c r="K1087" i="5"/>
  <c r="G306" i="5"/>
  <c r="C305" i="5"/>
  <c r="O1649" i="5"/>
  <c r="K1648" i="5"/>
  <c r="G1431" i="5"/>
  <c r="C1430" i="5"/>
  <c r="C1515" i="5"/>
  <c r="G1516" i="5"/>
  <c r="O1468" i="5"/>
  <c r="K1467" i="5"/>
  <c r="O1688" i="5"/>
  <c r="K1687" i="5"/>
  <c r="O320" i="5"/>
  <c r="K319" i="5"/>
  <c r="K1604" i="5"/>
  <c r="O1605" i="5"/>
  <c r="K1186" i="5"/>
  <c r="O1187" i="5"/>
  <c r="O149" i="5"/>
  <c r="K148" i="5"/>
  <c r="K1314" i="5"/>
  <c r="O1315" i="5"/>
  <c r="O170" i="5"/>
  <c r="K169" i="5"/>
  <c r="K128" i="5"/>
  <c r="O129" i="5"/>
  <c r="C1362" i="5"/>
  <c r="G1363" i="5"/>
  <c r="C1315" i="5"/>
  <c r="G1316" i="5"/>
  <c r="O490" i="5"/>
  <c r="K489" i="5"/>
  <c r="C1380" i="5"/>
  <c r="G1381" i="5"/>
  <c r="K1231" i="5"/>
  <c r="O1232" i="5"/>
  <c r="O912" i="5"/>
  <c r="K911" i="5"/>
  <c r="C1576" i="5"/>
  <c r="G1577" i="5"/>
  <c r="C1668" i="5"/>
  <c r="G1669" i="5"/>
  <c r="O693" i="5"/>
  <c r="K692" i="5"/>
  <c r="G512" i="5"/>
  <c r="C511" i="5"/>
  <c r="K350" i="5"/>
  <c r="O351" i="5"/>
  <c r="C819" i="5"/>
  <c r="G820" i="5"/>
  <c r="O380" i="5"/>
  <c r="K379" i="5"/>
  <c r="C1060" i="5"/>
  <c r="G1061" i="5"/>
  <c r="G288" i="5"/>
  <c r="C287" i="5"/>
  <c r="G1251" i="5"/>
  <c r="C1250" i="5"/>
  <c r="O656" i="5"/>
  <c r="K655" i="5"/>
  <c r="O644" i="5"/>
  <c r="K643" i="5"/>
  <c r="G930" i="5"/>
  <c r="C929" i="5"/>
  <c r="O624" i="5"/>
  <c r="K623" i="5"/>
  <c r="O1224" i="5"/>
  <c r="K1223" i="5"/>
  <c r="O296" i="5"/>
  <c r="K295" i="5"/>
  <c r="C848" i="5"/>
  <c r="G849" i="5"/>
  <c r="O1596" i="5"/>
  <c r="K1595" i="5"/>
  <c r="G893" i="5"/>
  <c r="C892" i="5"/>
  <c r="K214" i="5"/>
  <c r="O215" i="5"/>
  <c r="O330" i="5"/>
  <c r="K329" i="5"/>
  <c r="C1087" i="5"/>
  <c r="G1088" i="5"/>
  <c r="K1420" i="5"/>
  <c r="O1421" i="5"/>
  <c r="K242" i="5"/>
  <c r="O243" i="5"/>
  <c r="K962" i="5"/>
  <c r="O963" i="5"/>
  <c r="C1035" i="5"/>
  <c r="G1036" i="5"/>
  <c r="G234" i="5"/>
  <c r="C233" i="5"/>
  <c r="G662" i="5"/>
  <c r="C661" i="5"/>
  <c r="O1296" i="5"/>
  <c r="K1295" i="5"/>
  <c r="O288" i="5"/>
  <c r="K287" i="5"/>
  <c r="O277" i="5"/>
  <c r="K276" i="5"/>
  <c r="O398" i="5"/>
  <c r="K397" i="5"/>
  <c r="C793" i="5"/>
  <c r="G794" i="5"/>
  <c r="I4" i="2"/>
  <c r="I53" i="2"/>
  <c r="I97" i="2" s="1"/>
  <c r="J3" i="2"/>
  <c r="K1725" i="5"/>
  <c r="O1726" i="5"/>
  <c r="K782" i="5"/>
  <c r="O783" i="5"/>
  <c r="O1009" i="5"/>
  <c r="K1008" i="5"/>
  <c r="C1687" i="5"/>
  <c r="G1688" i="5"/>
  <c r="G462" i="5"/>
  <c r="C461" i="5"/>
  <c r="G227" i="5"/>
  <c r="C226" i="5"/>
  <c r="X48" i="5"/>
  <c r="O418" i="5"/>
  <c r="K417" i="5"/>
  <c r="O78" i="5"/>
  <c r="K77" i="5"/>
  <c r="K1762" i="5"/>
  <c r="O1763" i="5"/>
  <c r="G502" i="5"/>
  <c r="C501" i="5"/>
  <c r="O369" i="5"/>
  <c r="K368" i="5"/>
  <c r="C1268" i="5"/>
  <c r="G1269" i="5"/>
  <c r="O1680" i="5"/>
  <c r="K1679" i="5"/>
  <c r="O456" i="5"/>
  <c r="K455" i="5"/>
  <c r="O768" i="5"/>
  <c r="K767" i="5"/>
  <c r="G1241" i="5"/>
  <c r="C1240" i="5"/>
  <c r="G159" i="5"/>
  <c r="C158" i="5"/>
  <c r="K1410" i="5"/>
  <c r="O1411" i="5"/>
  <c r="O1624" i="5"/>
  <c r="K1623" i="5"/>
  <c r="G350" i="5"/>
  <c r="C349" i="5"/>
  <c r="G1505" i="5"/>
  <c r="C1504" i="5"/>
  <c r="O1304" i="5"/>
  <c r="K1303" i="5"/>
  <c r="G959" i="5"/>
  <c r="C959" i="5" s="1"/>
  <c r="C958" i="5"/>
  <c r="O225" i="5"/>
  <c r="K224" i="5"/>
  <c r="C683" i="5"/>
  <c r="G684" i="5"/>
  <c r="K502" i="5"/>
  <c r="O503" i="5"/>
  <c r="O673" i="5"/>
  <c r="K672" i="5"/>
  <c r="C1195" i="5"/>
  <c r="G1196" i="5"/>
  <c r="AE2" i="5"/>
  <c r="K1202" i="5"/>
  <c r="O1203" i="5"/>
  <c r="K990" i="5"/>
  <c r="O991" i="5"/>
  <c r="K339" i="5"/>
  <c r="O340" i="5"/>
  <c r="C963" i="5"/>
  <c r="G964" i="5"/>
  <c r="G1747" i="5"/>
  <c r="C1746" i="5"/>
  <c r="G195" i="5"/>
  <c r="C194" i="5"/>
  <c r="K1167" i="5"/>
  <c r="O1168" i="5"/>
  <c r="O252" i="5"/>
  <c r="K251" i="5"/>
  <c r="O840" i="5"/>
  <c r="K839" i="5"/>
  <c r="O1585" i="5"/>
  <c r="K1584" i="5"/>
  <c r="C1187" i="5"/>
  <c r="G1188" i="5"/>
  <c r="G15" i="5"/>
  <c r="C14" i="5"/>
  <c r="O1176" i="5"/>
  <c r="K1175" i="5"/>
  <c r="K58" i="5"/>
  <c r="O59" i="5"/>
  <c r="O740" i="5"/>
  <c r="K739" i="5"/>
  <c r="O1576" i="5"/>
  <c r="K1575" i="5"/>
  <c r="G1605" i="5"/>
  <c r="C1604" i="5"/>
  <c r="O426" i="5"/>
  <c r="K425" i="5"/>
  <c r="G1345" i="5"/>
  <c r="C1344" i="5"/>
  <c r="G267" i="5"/>
  <c r="C266" i="5"/>
  <c r="K1543" i="5"/>
  <c r="O1544" i="5"/>
  <c r="K1544" i="5" s="1"/>
  <c r="O512" i="5"/>
  <c r="K511" i="5"/>
  <c r="G1231" i="5"/>
  <c r="C1230" i="5"/>
  <c r="C633" i="5"/>
  <c r="G634" i="5"/>
  <c r="G1774" i="5"/>
  <c r="C1773" i="5"/>
  <c r="K1389" i="5"/>
  <c r="O1390" i="5"/>
  <c r="K602" i="5"/>
  <c r="O603" i="5"/>
  <c r="K1210" i="5"/>
  <c r="O1211" i="5"/>
  <c r="O558" i="5"/>
  <c r="K557" i="5"/>
  <c r="C1543" i="5"/>
  <c r="G1544" i="5"/>
  <c r="C1544" i="5" s="1"/>
  <c r="G1467" i="5"/>
  <c r="C1466" i="5"/>
  <c r="K122" i="5"/>
  <c r="O123" i="5"/>
  <c r="O1196" i="5"/>
  <c r="K1195" i="5"/>
  <c r="O1162" i="5"/>
  <c r="K1162" i="5" s="1"/>
  <c r="K1161" i="5"/>
  <c r="G79" i="5"/>
  <c r="C78" i="5"/>
  <c r="K710" i="5"/>
  <c r="O711" i="5"/>
  <c r="C643" i="5"/>
  <c r="G644" i="5"/>
  <c r="O1142" i="5"/>
  <c r="K1141" i="5"/>
  <c r="K538" i="5"/>
  <c r="O539" i="5"/>
  <c r="K746" i="5"/>
  <c r="O747" i="5"/>
  <c r="C738" i="5"/>
  <c r="G739" i="5"/>
  <c r="C1495" i="5"/>
  <c r="G1496" i="5"/>
  <c r="G388" i="5"/>
  <c r="C387" i="5"/>
  <c r="G242" i="5"/>
  <c r="C241" i="5"/>
  <c r="G87" i="5"/>
  <c r="C86" i="5"/>
  <c r="O930" i="5"/>
  <c r="K929" i="5"/>
  <c r="G123" i="5"/>
  <c r="C122" i="5"/>
  <c r="G1133" i="5"/>
  <c r="C1132" i="5"/>
  <c r="O756" i="5"/>
  <c r="K755" i="5"/>
  <c r="O1440" i="5"/>
  <c r="K1439" i="5"/>
  <c r="G1549" i="5"/>
  <c r="C1548" i="5"/>
  <c r="O1784" i="5"/>
  <c r="K1783" i="5"/>
  <c r="K1476" i="5"/>
  <c r="O1477" i="5"/>
  <c r="K1522" i="5"/>
  <c r="O1523" i="5"/>
  <c r="C583" i="5"/>
  <c r="G584" i="5"/>
  <c r="K1556" i="5"/>
  <c r="O1557" i="5"/>
  <c r="K950" i="5"/>
  <c r="O951" i="5"/>
  <c r="K951" i="5" s="1"/>
  <c r="G747" i="5"/>
  <c r="C746" i="5"/>
  <c r="G1477" i="5"/>
  <c r="C1476" i="5"/>
  <c r="G259" i="5"/>
  <c r="C258" i="5"/>
  <c r="O1376" i="5"/>
  <c r="K1376" i="5" s="1"/>
  <c r="K1375" i="5"/>
  <c r="C624" i="5"/>
  <c r="G625" i="5"/>
  <c r="G889" i="5"/>
  <c r="C889" i="5" s="1"/>
  <c r="C888" i="5"/>
  <c r="C1390" i="5"/>
  <c r="G1391" i="5"/>
  <c r="G7" i="5"/>
  <c r="C6" i="5"/>
  <c r="O684" i="5"/>
  <c r="K683" i="5"/>
  <c r="G179" i="5"/>
  <c r="C178" i="5"/>
  <c r="C1611" i="5"/>
  <c r="G1612" i="5"/>
  <c r="C987" i="5"/>
  <c r="G988" i="5"/>
  <c r="G340" i="5"/>
  <c r="C339" i="5"/>
  <c r="O830" i="5"/>
  <c r="K829" i="5"/>
  <c r="G59" i="5"/>
  <c r="C58" i="5"/>
  <c r="K998" i="5"/>
  <c r="O999" i="5"/>
  <c r="K1050" i="5"/>
  <c r="O1051" i="5"/>
  <c r="G361" i="5"/>
  <c r="C360" i="5"/>
  <c r="C436" i="5" l="1"/>
  <c r="G437" i="5"/>
  <c r="O594" i="5"/>
  <c r="K593" i="5"/>
  <c r="G22" i="5"/>
  <c r="C21" i="5"/>
  <c r="G473" i="5"/>
  <c r="C472" i="5"/>
  <c r="C1411" i="5"/>
  <c r="G1412" i="5"/>
  <c r="C32" i="5"/>
  <c r="G33" i="5"/>
  <c r="C603" i="5"/>
  <c r="G604" i="5"/>
  <c r="K849" i="5"/>
  <c r="O850" i="5"/>
  <c r="O922" i="5"/>
  <c r="K921" i="5"/>
  <c r="K585" i="5"/>
  <c r="O586" i="5"/>
  <c r="G427" i="5"/>
  <c r="C426" i="5"/>
  <c r="G1355" i="5"/>
  <c r="C1354" i="5"/>
  <c r="C1782" i="5"/>
  <c r="G1783" i="5"/>
  <c r="C1699" i="5"/>
  <c r="G1700" i="5"/>
  <c r="G130" i="5"/>
  <c r="C129" i="5"/>
  <c r="O1042" i="5"/>
  <c r="K1041" i="5"/>
  <c r="G407" i="5"/>
  <c r="C406" i="5"/>
  <c r="G1203" i="5"/>
  <c r="C1202" i="5"/>
  <c r="C672" i="5"/>
  <c r="G673" i="5"/>
  <c r="C612" i="5"/>
  <c r="G613" i="5"/>
  <c r="C1287" i="5"/>
  <c r="G1288" i="5"/>
  <c r="G802" i="5"/>
  <c r="C801" i="5"/>
  <c r="K1133" i="5"/>
  <c r="O1134" i="5"/>
  <c r="C1167" i="5"/>
  <c r="G1168" i="5"/>
  <c r="O1106" i="5"/>
  <c r="K1105" i="5"/>
  <c r="G481" i="5"/>
  <c r="C480" i="5"/>
  <c r="W49" i="5"/>
  <c r="X49" i="5"/>
  <c r="G783" i="5"/>
  <c r="C782" i="5"/>
  <c r="O1071" i="5"/>
  <c r="K1070" i="5"/>
  <c r="C492" i="5"/>
  <c r="G493" i="5"/>
  <c r="C97" i="5"/>
  <c r="G98" i="5"/>
  <c r="C1051" i="5"/>
  <c r="G1052" i="5"/>
  <c r="O1505" i="5"/>
  <c r="K1504" i="5"/>
  <c r="G113" i="5"/>
  <c r="C112" i="5"/>
  <c r="G1624" i="5"/>
  <c r="C1623" i="5"/>
  <c r="G1559" i="5"/>
  <c r="C1558" i="5"/>
  <c r="K461" i="5"/>
  <c r="O462" i="5"/>
  <c r="C692" i="5"/>
  <c r="G693" i="5"/>
  <c r="G68" i="5"/>
  <c r="C67" i="5"/>
  <c r="C1019" i="5"/>
  <c r="G1020" i="5"/>
  <c r="C1594" i="5"/>
  <c r="G1595" i="5"/>
  <c r="K6" i="5"/>
  <c r="O7" i="5"/>
  <c r="G379" i="5"/>
  <c r="C378" i="5"/>
  <c r="C999" i="5"/>
  <c r="G1000" i="5"/>
  <c r="C810" i="5"/>
  <c r="G811" i="5"/>
  <c r="K1658" i="5"/>
  <c r="O1659" i="5"/>
  <c r="G253" i="5"/>
  <c r="C253" i="5" s="1"/>
  <c r="C252" i="5"/>
  <c r="O1515" i="5"/>
  <c r="K1514" i="5"/>
  <c r="G1152" i="5"/>
  <c r="C1151" i="5"/>
  <c r="O1169" i="5"/>
  <c r="K1168" i="5"/>
  <c r="C1061" i="5"/>
  <c r="G1062" i="5"/>
  <c r="G1317" i="5"/>
  <c r="C1316" i="5"/>
  <c r="K1187" i="5"/>
  <c r="O1188" i="5"/>
  <c r="O1261" i="5"/>
  <c r="K1260" i="5"/>
  <c r="O180" i="5"/>
  <c r="K179" i="5"/>
  <c r="K1736" i="5"/>
  <c r="O1737" i="5"/>
  <c r="K13" i="5"/>
  <c r="O14" i="5"/>
  <c r="K306" i="5"/>
  <c r="O307" i="5"/>
  <c r="G539" i="5"/>
  <c r="C538" i="5"/>
  <c r="O861" i="5"/>
  <c r="K860" i="5"/>
  <c r="G180" i="5"/>
  <c r="C179" i="5"/>
  <c r="G88" i="5"/>
  <c r="C87" i="5"/>
  <c r="K1142" i="5"/>
  <c r="O1143" i="5"/>
  <c r="C1231" i="5"/>
  <c r="G1232" i="5"/>
  <c r="G1346" i="5"/>
  <c r="C1345" i="5"/>
  <c r="O253" i="5"/>
  <c r="K253" i="5" s="1"/>
  <c r="K252" i="5"/>
  <c r="O1764" i="5"/>
  <c r="K1763" i="5"/>
  <c r="O150" i="5"/>
  <c r="K149" i="5"/>
  <c r="G297" i="5"/>
  <c r="C296" i="5"/>
  <c r="O521" i="5"/>
  <c r="K520" i="5"/>
  <c r="O577" i="5"/>
  <c r="K576" i="5"/>
  <c r="C871" i="5"/>
  <c r="G872" i="5"/>
  <c r="G713" i="5"/>
  <c r="C712" i="5"/>
  <c r="G965" i="5"/>
  <c r="C964" i="5"/>
  <c r="O457" i="5"/>
  <c r="K457" i="5" s="1"/>
  <c r="K456" i="5"/>
  <c r="O244" i="5"/>
  <c r="K243" i="5"/>
  <c r="O1356" i="5"/>
  <c r="K1355" i="5"/>
  <c r="K1495" i="5"/>
  <c r="O1496" i="5"/>
  <c r="O1756" i="5"/>
  <c r="K1755" i="5"/>
  <c r="G722" i="5"/>
  <c r="C721" i="5"/>
  <c r="G1717" i="5"/>
  <c r="C1716" i="5"/>
  <c r="K1459" i="5"/>
  <c r="O1460" i="5"/>
  <c r="G1486" i="5"/>
  <c r="C1485" i="5"/>
  <c r="G447" i="5"/>
  <c r="C446" i="5"/>
  <c r="O1441" i="5"/>
  <c r="K1440" i="5"/>
  <c r="G1606" i="5"/>
  <c r="C1605" i="5"/>
  <c r="O784" i="5"/>
  <c r="K783" i="5"/>
  <c r="C1251" i="5"/>
  <c r="G1252" i="5"/>
  <c r="K1717" i="5"/>
  <c r="O1718" i="5"/>
  <c r="O941" i="5"/>
  <c r="K940" i="5"/>
  <c r="C577" i="5"/>
  <c r="G578" i="5"/>
  <c r="C921" i="5"/>
  <c r="G922" i="5"/>
  <c r="G703" i="5"/>
  <c r="C702" i="5"/>
  <c r="O685" i="5"/>
  <c r="K684" i="5"/>
  <c r="G260" i="5"/>
  <c r="C259" i="5"/>
  <c r="O1785" i="5"/>
  <c r="K1784" i="5"/>
  <c r="G1134" i="5"/>
  <c r="C1133" i="5"/>
  <c r="G243" i="5"/>
  <c r="C242" i="5"/>
  <c r="O513" i="5"/>
  <c r="K512" i="5"/>
  <c r="K426" i="5"/>
  <c r="O427" i="5"/>
  <c r="O741" i="5"/>
  <c r="K741" i="5" s="1"/>
  <c r="K740" i="5"/>
  <c r="G16" i="5"/>
  <c r="C15" i="5"/>
  <c r="O1412" i="5"/>
  <c r="K1411" i="5"/>
  <c r="G1270" i="5"/>
  <c r="C1269" i="5"/>
  <c r="G463" i="5"/>
  <c r="C462" i="5"/>
  <c r="K3" i="2"/>
  <c r="J4" i="2"/>
  <c r="J53" i="2"/>
  <c r="J97" i="2" s="1"/>
  <c r="O289" i="5"/>
  <c r="K288" i="5"/>
  <c r="G235" i="5"/>
  <c r="C234" i="5"/>
  <c r="O297" i="5"/>
  <c r="K296" i="5"/>
  <c r="O645" i="5"/>
  <c r="K644" i="5"/>
  <c r="G513" i="5"/>
  <c r="C512" i="5"/>
  <c r="O913" i="5"/>
  <c r="K912" i="5"/>
  <c r="O321" i="5"/>
  <c r="K320" i="5"/>
  <c r="C1431" i="5"/>
  <c r="G1432" i="5"/>
  <c r="C205" i="5"/>
  <c r="G206" i="5"/>
  <c r="G399" i="5"/>
  <c r="C398" i="5"/>
  <c r="O206" i="5"/>
  <c r="K205" i="5"/>
  <c r="C1325" i="5"/>
  <c r="G1326" i="5"/>
  <c r="K68" i="5"/>
  <c r="O69" i="5"/>
  <c r="K1270" i="5"/>
  <c r="O1271" i="5"/>
  <c r="K1644" i="5"/>
  <c r="O1645" i="5"/>
  <c r="K1645" i="5" s="1"/>
  <c r="C141" i="5"/>
  <c r="G142" i="5"/>
  <c r="K662" i="5"/>
  <c r="O663" i="5"/>
  <c r="O234" i="5"/>
  <c r="K233" i="5"/>
  <c r="O1449" i="5"/>
  <c r="K1448" i="5"/>
  <c r="O473" i="5"/>
  <c r="K472" i="5"/>
  <c r="G1222" i="5"/>
  <c r="C1221" i="5"/>
  <c r="K1484" i="5"/>
  <c r="O1485" i="5"/>
  <c r="K113" i="5"/>
  <c r="O114" i="5"/>
  <c r="O437" i="5"/>
  <c r="K436" i="5"/>
  <c r="O980" i="5"/>
  <c r="K979" i="5"/>
  <c r="C1177" i="5"/>
  <c r="G1178" i="5"/>
  <c r="K871" i="5"/>
  <c r="O872" i="5"/>
  <c r="G1526" i="5"/>
  <c r="C1525" i="5"/>
  <c r="K447" i="5"/>
  <c r="O448" i="5"/>
  <c r="C756" i="5"/>
  <c r="G757" i="5"/>
  <c r="G841" i="5"/>
  <c r="C840" i="5"/>
  <c r="K955" i="5"/>
  <c r="O956" i="5"/>
  <c r="O1052" i="5"/>
  <c r="K1051" i="5"/>
  <c r="G645" i="5"/>
  <c r="C644" i="5"/>
  <c r="O226" i="5"/>
  <c r="K225" i="5"/>
  <c r="K1334" i="5"/>
  <c r="O1335" i="5"/>
  <c r="G362" i="5"/>
  <c r="C361" i="5"/>
  <c r="C1467" i="5"/>
  <c r="G1468" i="5"/>
  <c r="O1577" i="5"/>
  <c r="K1576" i="5"/>
  <c r="C662" i="5"/>
  <c r="G663" i="5"/>
  <c r="C930" i="5"/>
  <c r="G931" i="5"/>
  <c r="G289" i="5"/>
  <c r="C288" i="5"/>
  <c r="K490" i="5"/>
  <c r="O491" i="5"/>
  <c r="O1089" i="5"/>
  <c r="K1088" i="5"/>
  <c r="K406" i="5"/>
  <c r="O407" i="5"/>
  <c r="K1773" i="5"/>
  <c r="O1774" i="5"/>
  <c r="G1145" i="5"/>
  <c r="C1144" i="5"/>
  <c r="C739" i="5"/>
  <c r="G740" i="5"/>
  <c r="G503" i="5"/>
  <c r="C502" i="5"/>
  <c r="C849" i="5"/>
  <c r="G850" i="5"/>
  <c r="G1578" i="5"/>
  <c r="C1577" i="5"/>
  <c r="K1288" i="5"/>
  <c r="O1289" i="5"/>
  <c r="K90" i="5"/>
  <c r="O91" i="5"/>
  <c r="K91" i="5" s="1"/>
  <c r="G1374" i="5"/>
  <c r="C1373" i="5"/>
  <c r="C950" i="5"/>
  <c r="G951" i="5"/>
  <c r="C951" i="5" s="1"/>
  <c r="G152" i="5"/>
  <c r="C151" i="5"/>
  <c r="G171" i="5"/>
  <c r="C170" i="5"/>
  <c r="K1176" i="5"/>
  <c r="O1177" i="5"/>
  <c r="C1747" i="5"/>
  <c r="G1748" i="5"/>
  <c r="O1297" i="5"/>
  <c r="K1296" i="5"/>
  <c r="K1596" i="5"/>
  <c r="O1597" i="5"/>
  <c r="G307" i="5"/>
  <c r="C306" i="5"/>
  <c r="O1381" i="5"/>
  <c r="K1380" i="5"/>
  <c r="G1634" i="5"/>
  <c r="C1633" i="5"/>
  <c r="C1727" i="5"/>
  <c r="G1728" i="5"/>
  <c r="C1535" i="5"/>
  <c r="G1536" i="5"/>
  <c r="K158" i="5"/>
  <c r="O159" i="5"/>
  <c r="C1009" i="5"/>
  <c r="G1010" i="5"/>
  <c r="C1028" i="5"/>
  <c r="G1029" i="5"/>
  <c r="G989" i="5"/>
  <c r="C988" i="5"/>
  <c r="G1392" i="5"/>
  <c r="C1391" i="5"/>
  <c r="G626" i="5"/>
  <c r="C625" i="5"/>
  <c r="O1524" i="5"/>
  <c r="K1523" i="5"/>
  <c r="G1497" i="5"/>
  <c r="C1496" i="5"/>
  <c r="O124" i="5"/>
  <c r="K123" i="5"/>
  <c r="O1212" i="5"/>
  <c r="K1211" i="5"/>
  <c r="G635" i="5"/>
  <c r="C634" i="5"/>
  <c r="O1204" i="5"/>
  <c r="K1203" i="5"/>
  <c r="G1506" i="5"/>
  <c r="C1505" i="5"/>
  <c r="G160" i="5"/>
  <c r="C159" i="5"/>
  <c r="O769" i="5"/>
  <c r="K768" i="5"/>
  <c r="O370" i="5"/>
  <c r="K369" i="5"/>
  <c r="K418" i="5"/>
  <c r="O419" i="5"/>
  <c r="O1010" i="5"/>
  <c r="K1009" i="5"/>
  <c r="K963" i="5"/>
  <c r="O964" i="5"/>
  <c r="G1089" i="5"/>
  <c r="C1088" i="5"/>
  <c r="C820" i="5"/>
  <c r="G821" i="5"/>
  <c r="G1670" i="5"/>
  <c r="C1669" i="5"/>
  <c r="G1382" i="5"/>
  <c r="C1381" i="5"/>
  <c r="C1363" i="5"/>
  <c r="G1364" i="5"/>
  <c r="O1316" i="5"/>
  <c r="K1315" i="5"/>
  <c r="C940" i="5"/>
  <c r="G941" i="5"/>
  <c r="O548" i="5"/>
  <c r="K547" i="5"/>
  <c r="G1306" i="5"/>
  <c r="C1305" i="5"/>
  <c r="O1280" i="5"/>
  <c r="K1279" i="5"/>
  <c r="O188" i="5"/>
  <c r="K187" i="5"/>
  <c r="O1748" i="5"/>
  <c r="K1747" i="5"/>
  <c r="C912" i="5"/>
  <c r="G913" i="5"/>
  <c r="K1699" i="5"/>
  <c r="O1700" i="5"/>
  <c r="G1402" i="5"/>
  <c r="C1401" i="5"/>
  <c r="O1365" i="5"/>
  <c r="K1364" i="5"/>
  <c r="C1763" i="5"/>
  <c r="G1764" i="5"/>
  <c r="K1549" i="5"/>
  <c r="O1550" i="5"/>
  <c r="G44" i="5"/>
  <c r="C43" i="5"/>
  <c r="C1297" i="5"/>
  <c r="G1298" i="5"/>
  <c r="O1021" i="5"/>
  <c r="K1020" i="5"/>
  <c r="K1152" i="5"/>
  <c r="O1153" i="5"/>
  <c r="G559" i="5"/>
  <c r="C558" i="5"/>
  <c r="O1029" i="5"/>
  <c r="K1028" i="5"/>
  <c r="O98" i="5"/>
  <c r="K97" i="5"/>
  <c r="G1662" i="5"/>
  <c r="C1661" i="5"/>
  <c r="O1325" i="5"/>
  <c r="K1324" i="5"/>
  <c r="K1557" i="5"/>
  <c r="O1558" i="5"/>
  <c r="O748" i="5"/>
  <c r="K747" i="5"/>
  <c r="K1390" i="5"/>
  <c r="O1391" i="5"/>
  <c r="O341" i="5"/>
  <c r="K340" i="5"/>
  <c r="K1099" i="5"/>
  <c r="O1100" i="5"/>
  <c r="G216" i="5"/>
  <c r="C215" i="5"/>
  <c r="O757" i="5"/>
  <c r="K756" i="5"/>
  <c r="G228" i="5"/>
  <c r="C228" i="5" s="1"/>
  <c r="C227" i="5"/>
  <c r="K1726" i="5"/>
  <c r="O1727" i="5"/>
  <c r="C1097" i="5"/>
  <c r="G1098" i="5"/>
  <c r="O821" i="5"/>
  <c r="K820" i="5"/>
  <c r="G279" i="5"/>
  <c r="C278" i="5"/>
  <c r="C1212" i="5"/>
  <c r="G1213" i="5"/>
  <c r="O1305" i="5"/>
  <c r="K1304" i="5"/>
  <c r="C1680" i="5"/>
  <c r="G1681" i="5"/>
  <c r="O360" i="5"/>
  <c r="K359" i="5"/>
  <c r="C1069" i="5"/>
  <c r="G1070" i="5"/>
  <c r="G568" i="5"/>
  <c r="C567" i="5"/>
  <c r="K802" i="5"/>
  <c r="O803" i="5"/>
  <c r="C1261" i="5"/>
  <c r="G1262" i="5"/>
  <c r="G331" i="5"/>
  <c r="C330" i="5"/>
  <c r="G60" i="5"/>
  <c r="C59" i="5"/>
  <c r="C747" i="5"/>
  <c r="G748" i="5"/>
  <c r="K930" i="5"/>
  <c r="O931" i="5"/>
  <c r="G80" i="5"/>
  <c r="C79" i="5"/>
  <c r="G268" i="5"/>
  <c r="C267" i="5"/>
  <c r="O841" i="5"/>
  <c r="K840" i="5"/>
  <c r="AG2" i="5"/>
  <c r="O625" i="5"/>
  <c r="K624" i="5"/>
  <c r="K1062" i="5"/>
  <c r="O1063" i="5"/>
  <c r="G654" i="5"/>
  <c r="C653" i="5"/>
  <c r="C1651" i="5"/>
  <c r="G1652" i="5"/>
  <c r="G1461" i="5"/>
  <c r="C1460" i="5"/>
  <c r="C340" i="5"/>
  <c r="G341" i="5"/>
  <c r="G8" i="5"/>
  <c r="C8" i="5" s="1"/>
  <c r="C7" i="5"/>
  <c r="X40" i="5" s="1"/>
  <c r="G1478" i="5"/>
  <c r="C1477" i="5"/>
  <c r="G1550" i="5"/>
  <c r="C1549" i="5"/>
  <c r="G124" i="5"/>
  <c r="C123" i="5"/>
  <c r="G389" i="5"/>
  <c r="C388" i="5"/>
  <c r="K1196" i="5"/>
  <c r="O1197" i="5"/>
  <c r="K558" i="5"/>
  <c r="O559" i="5"/>
  <c r="G1775" i="5"/>
  <c r="C1774" i="5"/>
  <c r="G196" i="5"/>
  <c r="C195" i="5"/>
  <c r="O504" i="5"/>
  <c r="K503" i="5"/>
  <c r="K398" i="5"/>
  <c r="O399" i="5"/>
  <c r="C893" i="5"/>
  <c r="G894" i="5"/>
  <c r="O1225" i="5"/>
  <c r="K1224" i="5"/>
  <c r="O657" i="5"/>
  <c r="K656" i="5"/>
  <c r="O381" i="5"/>
  <c r="K380" i="5"/>
  <c r="O694" i="5"/>
  <c r="K693" i="5"/>
  <c r="K170" i="5"/>
  <c r="O171" i="5"/>
  <c r="O1689" i="5"/>
  <c r="K1688" i="5"/>
  <c r="K1649" i="5"/>
  <c r="O1650" i="5"/>
  <c r="G323" i="5"/>
  <c r="C322" i="5"/>
  <c r="O142" i="5"/>
  <c r="K141" i="5"/>
  <c r="O529" i="5"/>
  <c r="K528" i="5"/>
  <c r="G1042" i="5"/>
  <c r="C1041" i="5"/>
  <c r="O42" i="5"/>
  <c r="K41" i="5"/>
  <c r="G531" i="5"/>
  <c r="C530" i="5"/>
  <c r="G1710" i="5"/>
  <c r="C1709" i="5"/>
  <c r="G419" i="5"/>
  <c r="C418" i="5"/>
  <c r="K1533" i="5"/>
  <c r="O1534" i="5"/>
  <c r="O889" i="5"/>
  <c r="K889" i="5" s="1"/>
  <c r="K888" i="5"/>
  <c r="G1422" i="5"/>
  <c r="C1421" i="5"/>
  <c r="C1440" i="5"/>
  <c r="G1441" i="5"/>
  <c r="G594" i="5"/>
  <c r="C593" i="5"/>
  <c r="K1251" i="5"/>
  <c r="O1252" i="5"/>
  <c r="K1669" i="5"/>
  <c r="O1670" i="5"/>
  <c r="G1613" i="5"/>
  <c r="C1612" i="5"/>
  <c r="O1625" i="5"/>
  <c r="K1624" i="5"/>
  <c r="O1681" i="5"/>
  <c r="K1680" i="5"/>
  <c r="G795" i="5"/>
  <c r="C794" i="5"/>
  <c r="O216" i="5"/>
  <c r="K215" i="5"/>
  <c r="O1241" i="5"/>
  <c r="K1240" i="5"/>
  <c r="O196" i="5"/>
  <c r="K195" i="5"/>
  <c r="C765" i="5"/>
  <c r="G766" i="5"/>
  <c r="O482" i="5"/>
  <c r="K481" i="5"/>
  <c r="C548" i="5"/>
  <c r="G549" i="5"/>
  <c r="K830" i="5"/>
  <c r="O831" i="5"/>
  <c r="C1196" i="5"/>
  <c r="G1197" i="5"/>
  <c r="O278" i="5"/>
  <c r="K277" i="5"/>
  <c r="K330" i="5"/>
  <c r="O331" i="5"/>
  <c r="C1336" i="5"/>
  <c r="G1337" i="5"/>
  <c r="O725" i="5"/>
  <c r="K724" i="5"/>
  <c r="C520" i="5"/>
  <c r="G521" i="5"/>
  <c r="K1633" i="5"/>
  <c r="O1634" i="5"/>
  <c r="O268" i="5"/>
  <c r="K267" i="5"/>
  <c r="K703" i="5"/>
  <c r="O704" i="5"/>
  <c r="C1644" i="5"/>
  <c r="G1645" i="5"/>
  <c r="C1645" i="5" s="1"/>
  <c r="K1477" i="5"/>
  <c r="O1478" i="5"/>
  <c r="O604" i="5"/>
  <c r="K603" i="5"/>
  <c r="G351" i="5"/>
  <c r="C350" i="5"/>
  <c r="O352" i="5"/>
  <c r="K351" i="5"/>
  <c r="O130" i="5"/>
  <c r="K129" i="5"/>
  <c r="G1517" i="5"/>
  <c r="C1516" i="5"/>
  <c r="K567" i="5"/>
  <c r="O568" i="5"/>
  <c r="G1118" i="5"/>
  <c r="C1117" i="5"/>
  <c r="G1162" i="5"/>
  <c r="C1162" i="5" s="1"/>
  <c r="C1161" i="5"/>
  <c r="O33" i="5"/>
  <c r="K32" i="5"/>
  <c r="K1585" i="5"/>
  <c r="O1586" i="5"/>
  <c r="G685" i="5"/>
  <c r="C684" i="5"/>
  <c r="O1469" i="5"/>
  <c r="K1468" i="5"/>
  <c r="G370" i="5"/>
  <c r="C369" i="5"/>
  <c r="C981" i="5"/>
  <c r="G982" i="5"/>
  <c r="K1344" i="5"/>
  <c r="O1345" i="5"/>
  <c r="O1000" i="5"/>
  <c r="K999" i="5"/>
  <c r="AB48" i="5"/>
  <c r="Z48" i="5"/>
  <c r="AA48" i="5"/>
  <c r="Y48" i="5"/>
  <c r="S40" i="5"/>
  <c r="C584" i="5"/>
  <c r="G585" i="5"/>
  <c r="O540" i="5"/>
  <c r="K539" i="5"/>
  <c r="K711" i="5"/>
  <c r="O712" i="5"/>
  <c r="O60" i="5"/>
  <c r="K59" i="5"/>
  <c r="C1188" i="5"/>
  <c r="G1189" i="5"/>
  <c r="O992" i="5"/>
  <c r="K991" i="5"/>
  <c r="O674" i="5"/>
  <c r="K673" i="5"/>
  <c r="G1242" i="5"/>
  <c r="C1241" i="5"/>
  <c r="K78" i="5"/>
  <c r="O79" i="5"/>
  <c r="C1688" i="5"/>
  <c r="G1689" i="5"/>
  <c r="C1036" i="5"/>
  <c r="G1037" i="5"/>
  <c r="C1037" i="5" s="1"/>
  <c r="K1421" i="5"/>
  <c r="O1422" i="5"/>
  <c r="O1233" i="5"/>
  <c r="K1232" i="5"/>
  <c r="K1605" i="5"/>
  <c r="O1606" i="5"/>
  <c r="K1400" i="5"/>
  <c r="O1401" i="5"/>
  <c r="G1757" i="5"/>
  <c r="C1756" i="5"/>
  <c r="G1450" i="5"/>
  <c r="C1449" i="5"/>
  <c r="C862" i="5"/>
  <c r="G863" i="5"/>
  <c r="C1280" i="5"/>
  <c r="G1281" i="5"/>
  <c r="K1613" i="5"/>
  <c r="O1614" i="5"/>
  <c r="K21" i="5"/>
  <c r="O22" i="5"/>
  <c r="G1738" i="5"/>
  <c r="C1737" i="5"/>
  <c r="O1116" i="5"/>
  <c r="K1115" i="5"/>
  <c r="O260" i="5"/>
  <c r="K259" i="5"/>
  <c r="K1430" i="5"/>
  <c r="O1431" i="5"/>
  <c r="O793" i="5"/>
  <c r="K792" i="5"/>
  <c r="C829" i="5"/>
  <c r="G830" i="5"/>
  <c r="K810" i="5"/>
  <c r="O811" i="5"/>
  <c r="K634" i="5"/>
  <c r="O635" i="5"/>
  <c r="O614" i="5"/>
  <c r="K613" i="5"/>
  <c r="O1709" i="5"/>
  <c r="K1708" i="5"/>
  <c r="K894" i="5"/>
  <c r="O895" i="5"/>
  <c r="C1105" i="5"/>
  <c r="G1106" i="5"/>
  <c r="O390" i="5"/>
  <c r="K389" i="5"/>
  <c r="G1587" i="5"/>
  <c r="C1586" i="5"/>
  <c r="O1516" i="5" l="1"/>
  <c r="K1515" i="5"/>
  <c r="Z49" i="5"/>
  <c r="C1559" i="5"/>
  <c r="G1560" i="5"/>
  <c r="G114" i="5"/>
  <c r="C113" i="5"/>
  <c r="C783" i="5"/>
  <c r="G784" i="5"/>
  <c r="G1169" i="5"/>
  <c r="C1168" i="5"/>
  <c r="C613" i="5"/>
  <c r="G614" i="5"/>
  <c r="C1700" i="5"/>
  <c r="G1701" i="5"/>
  <c r="K586" i="5"/>
  <c r="O587" i="5"/>
  <c r="K850" i="5"/>
  <c r="O851" i="5"/>
  <c r="C33" i="5"/>
  <c r="G34" i="5"/>
  <c r="W40" i="5"/>
  <c r="AD40" i="5"/>
  <c r="C811" i="5"/>
  <c r="G812" i="5"/>
  <c r="C1595" i="5"/>
  <c r="G1596" i="5"/>
  <c r="K462" i="5"/>
  <c r="O463" i="5"/>
  <c r="C98" i="5"/>
  <c r="G99" i="5"/>
  <c r="G482" i="5"/>
  <c r="C481" i="5"/>
  <c r="C802" i="5"/>
  <c r="G803" i="5"/>
  <c r="C1203" i="5"/>
  <c r="G1204" i="5"/>
  <c r="O1043" i="5"/>
  <c r="K1042" i="5"/>
  <c r="G1356" i="5"/>
  <c r="C1355" i="5"/>
  <c r="G474" i="5"/>
  <c r="C473" i="5"/>
  <c r="K594" i="5"/>
  <c r="O595" i="5"/>
  <c r="C1152" i="5"/>
  <c r="G1153" i="5"/>
  <c r="G380" i="5"/>
  <c r="C379" i="5"/>
  <c r="G69" i="5"/>
  <c r="C68" i="5"/>
  <c r="G1625" i="5"/>
  <c r="C1624" i="5"/>
  <c r="K1505" i="5"/>
  <c r="O1506" i="5"/>
  <c r="K1071" i="5"/>
  <c r="O1072" i="5"/>
  <c r="Y49" i="5"/>
  <c r="K1134" i="5"/>
  <c r="O1135" i="5"/>
  <c r="G1289" i="5"/>
  <c r="C1288" i="5"/>
  <c r="G674" i="5"/>
  <c r="C673" i="5"/>
  <c r="G1784" i="5"/>
  <c r="C1783" i="5"/>
  <c r="C604" i="5"/>
  <c r="G605" i="5"/>
  <c r="G1413" i="5"/>
  <c r="C1412" i="5"/>
  <c r="G438" i="5"/>
  <c r="C437" i="5"/>
  <c r="AB40" i="5"/>
  <c r="AA40" i="5"/>
  <c r="T40" i="5"/>
  <c r="Y40" i="5"/>
  <c r="O1660" i="5"/>
  <c r="K1659" i="5"/>
  <c r="G1001" i="5"/>
  <c r="C1000" i="5"/>
  <c r="O8" i="5"/>
  <c r="K8" i="5" s="1"/>
  <c r="K7" i="5"/>
  <c r="C1020" i="5"/>
  <c r="G1021" i="5"/>
  <c r="G694" i="5"/>
  <c r="C693" i="5"/>
  <c r="C1052" i="5"/>
  <c r="G1053" i="5"/>
  <c r="G494" i="5"/>
  <c r="C493" i="5"/>
  <c r="O1107" i="5"/>
  <c r="K1106" i="5"/>
  <c r="G408" i="5"/>
  <c r="C407" i="5"/>
  <c r="C130" i="5"/>
  <c r="G131" i="5"/>
  <c r="C427" i="5"/>
  <c r="G428" i="5"/>
  <c r="K922" i="5"/>
  <c r="O923" i="5"/>
  <c r="G23" i="5"/>
  <c r="C22" i="5"/>
  <c r="K1689" i="5"/>
  <c r="O1690" i="5"/>
  <c r="K614" i="5"/>
  <c r="O615" i="5"/>
  <c r="C830" i="5"/>
  <c r="G831" i="5"/>
  <c r="O492" i="5"/>
  <c r="K491" i="5"/>
  <c r="O705" i="5"/>
  <c r="K704" i="5"/>
  <c r="G1198" i="5"/>
  <c r="C1198" i="5" s="1"/>
  <c r="C1197" i="5"/>
  <c r="O530" i="5"/>
  <c r="K529" i="5"/>
  <c r="K390" i="5"/>
  <c r="O391" i="5"/>
  <c r="O261" i="5"/>
  <c r="K260" i="5"/>
  <c r="G1758" i="5"/>
  <c r="C1757" i="5"/>
  <c r="G1243" i="5"/>
  <c r="C1242" i="5"/>
  <c r="O61" i="5"/>
  <c r="K60" i="5"/>
  <c r="K1422" i="5"/>
  <c r="O1423" i="5"/>
  <c r="G1365" i="5"/>
  <c r="C1364" i="5"/>
  <c r="K159" i="5"/>
  <c r="O160" i="5"/>
  <c r="G1749" i="5"/>
  <c r="C1748" i="5"/>
  <c r="O1290" i="5"/>
  <c r="K1289" i="5"/>
  <c r="K1774" i="5"/>
  <c r="O1775" i="5"/>
  <c r="O1336" i="5"/>
  <c r="K1335" i="5"/>
  <c r="G352" i="5"/>
  <c r="C351" i="5"/>
  <c r="K278" i="5"/>
  <c r="O279" i="5"/>
  <c r="K1681" i="5"/>
  <c r="O1682" i="5"/>
  <c r="O932" i="5"/>
  <c r="K931" i="5"/>
  <c r="G1071" i="5"/>
  <c r="C1070" i="5"/>
  <c r="C1213" i="5"/>
  <c r="G1214" i="5"/>
  <c r="G1099" i="5"/>
  <c r="C1098" i="5"/>
  <c r="K42" i="5"/>
  <c r="O43" i="5"/>
  <c r="O382" i="5"/>
  <c r="K381" i="5"/>
  <c r="G1479" i="5"/>
  <c r="C1478" i="5"/>
  <c r="K1614" i="5"/>
  <c r="O1615" i="5"/>
  <c r="O420" i="5"/>
  <c r="K419" i="5"/>
  <c r="O873" i="5"/>
  <c r="K872" i="5"/>
  <c r="K114" i="5"/>
  <c r="O115" i="5"/>
  <c r="K1271" i="5"/>
  <c r="O1272" i="5"/>
  <c r="K1412" i="5"/>
  <c r="O1413" i="5"/>
  <c r="K1785" i="5"/>
  <c r="O1786" i="5"/>
  <c r="C703" i="5"/>
  <c r="G704" i="5"/>
  <c r="K1441" i="5"/>
  <c r="O1442" i="5"/>
  <c r="O1757" i="5"/>
  <c r="K1756" i="5"/>
  <c r="G1347" i="5"/>
  <c r="C1346" i="5"/>
  <c r="G181" i="5"/>
  <c r="C180" i="5"/>
  <c r="AA41" i="5"/>
  <c r="G1653" i="5"/>
  <c r="C1652" i="5"/>
  <c r="G81" i="5"/>
  <c r="C80" i="5"/>
  <c r="O822" i="5"/>
  <c r="K821" i="5"/>
  <c r="O758" i="5"/>
  <c r="K757" i="5"/>
  <c r="O1317" i="5"/>
  <c r="K1316" i="5"/>
  <c r="C635" i="5"/>
  <c r="G636" i="5"/>
  <c r="O646" i="5"/>
  <c r="K645" i="5"/>
  <c r="O1234" i="5"/>
  <c r="K1233" i="5"/>
  <c r="G1043" i="5"/>
  <c r="C1042" i="5"/>
  <c r="G197" i="5"/>
  <c r="C196" i="5"/>
  <c r="O957" i="5"/>
  <c r="K956" i="5"/>
  <c r="O942" i="5"/>
  <c r="K941" i="5"/>
  <c r="G89" i="5"/>
  <c r="C88" i="5"/>
  <c r="O1432" i="5"/>
  <c r="K1431" i="5"/>
  <c r="O80" i="5"/>
  <c r="K79" i="5"/>
  <c r="O353" i="5"/>
  <c r="K352" i="5"/>
  <c r="C795" i="5"/>
  <c r="G796" i="5"/>
  <c r="C796" i="5" s="1"/>
  <c r="C894" i="5"/>
  <c r="G895" i="5"/>
  <c r="G269" i="5"/>
  <c r="C268" i="5"/>
  <c r="O1326" i="5"/>
  <c r="K1325" i="5"/>
  <c r="G45" i="5"/>
  <c r="C44" i="5"/>
  <c r="O1205" i="5"/>
  <c r="K1204" i="5"/>
  <c r="C1374" i="5"/>
  <c r="G1375" i="5"/>
  <c r="G1107" i="5"/>
  <c r="C1106" i="5"/>
  <c r="K635" i="5"/>
  <c r="O636" i="5"/>
  <c r="C1281" i="5"/>
  <c r="G1282" i="5"/>
  <c r="C1282" i="5" s="1"/>
  <c r="K1401" i="5"/>
  <c r="O1402" i="5"/>
  <c r="O713" i="5"/>
  <c r="K712" i="5"/>
  <c r="O1001" i="5"/>
  <c r="K1000" i="5"/>
  <c r="G371" i="5"/>
  <c r="C370" i="5"/>
  <c r="K33" i="5"/>
  <c r="O34" i="5"/>
  <c r="G1518" i="5"/>
  <c r="C1517" i="5"/>
  <c r="O726" i="5"/>
  <c r="K725" i="5"/>
  <c r="K482" i="5"/>
  <c r="O483" i="5"/>
  <c r="O1242" i="5"/>
  <c r="K1241" i="5"/>
  <c r="K1625" i="5"/>
  <c r="O1626" i="5"/>
  <c r="K1670" i="5"/>
  <c r="O1671" i="5"/>
  <c r="O172" i="5"/>
  <c r="K171" i="5"/>
  <c r="O400" i="5"/>
  <c r="K399" i="5"/>
  <c r="AC40" i="5"/>
  <c r="W6" i="5"/>
  <c r="AC48" i="5"/>
  <c r="U40" i="5"/>
  <c r="V40" i="5"/>
  <c r="AI2" i="5"/>
  <c r="G332" i="5"/>
  <c r="C331" i="5"/>
  <c r="O342" i="5"/>
  <c r="K341" i="5"/>
  <c r="K98" i="5"/>
  <c r="O99" i="5"/>
  <c r="O1022" i="5"/>
  <c r="K1022" i="5" s="1"/>
  <c r="K1021" i="5"/>
  <c r="C1402" i="5"/>
  <c r="G1403" i="5"/>
  <c r="O549" i="5"/>
  <c r="K548" i="5"/>
  <c r="C1089" i="5"/>
  <c r="G1090" i="5"/>
  <c r="G1507" i="5"/>
  <c r="C1506" i="5"/>
  <c r="O1213" i="5"/>
  <c r="K1212" i="5"/>
  <c r="G627" i="5"/>
  <c r="C626" i="5"/>
  <c r="O1382" i="5"/>
  <c r="K1381" i="5"/>
  <c r="G153" i="5"/>
  <c r="C152" i="5"/>
  <c r="O1053" i="5"/>
  <c r="K1052" i="5"/>
  <c r="G842" i="5"/>
  <c r="C841" i="5"/>
  <c r="K234" i="5"/>
  <c r="O235" i="5"/>
  <c r="G400" i="5"/>
  <c r="C399" i="5"/>
  <c r="O298" i="5"/>
  <c r="K297" i="5"/>
  <c r="G923" i="5"/>
  <c r="C922" i="5"/>
  <c r="G1253" i="5"/>
  <c r="C1252" i="5"/>
  <c r="K1496" i="5"/>
  <c r="O1497" i="5"/>
  <c r="G1233" i="5"/>
  <c r="C1232" i="5"/>
  <c r="K1737" i="5"/>
  <c r="O1738" i="5"/>
  <c r="AE40" i="5"/>
  <c r="G1442" i="5"/>
  <c r="C1441" i="5"/>
  <c r="O1198" i="5"/>
  <c r="K1198" i="5" s="1"/>
  <c r="K1197" i="5"/>
  <c r="O1306" i="5"/>
  <c r="K1305" i="5"/>
  <c r="G1663" i="5"/>
  <c r="C1662" i="5"/>
  <c r="O1749" i="5"/>
  <c r="K1748" i="5"/>
  <c r="K1010" i="5"/>
  <c r="O1011" i="5"/>
  <c r="O1525" i="5"/>
  <c r="K1524" i="5"/>
  <c r="G1635" i="5"/>
  <c r="C1634" i="5"/>
  <c r="C1145" i="5"/>
  <c r="G1146" i="5"/>
  <c r="G1527" i="5"/>
  <c r="C1526" i="5"/>
  <c r="K1718" i="5"/>
  <c r="O1719" i="5"/>
  <c r="O1461" i="5"/>
  <c r="K1460" i="5"/>
  <c r="C1587" i="5"/>
  <c r="G1588" i="5"/>
  <c r="K694" i="5"/>
  <c r="O695" i="5"/>
  <c r="K1558" i="5"/>
  <c r="O1559" i="5"/>
  <c r="G1135" i="5"/>
  <c r="C1134" i="5"/>
  <c r="G1607" i="5"/>
  <c r="C1606" i="5"/>
  <c r="O245" i="5"/>
  <c r="K244" i="5"/>
  <c r="G586" i="5"/>
  <c r="C585" i="5"/>
  <c r="G280" i="5"/>
  <c r="C279" i="5"/>
  <c r="O749" i="5"/>
  <c r="K748" i="5"/>
  <c r="G1671" i="5"/>
  <c r="C1670" i="5"/>
  <c r="G1498" i="5"/>
  <c r="C1497" i="5"/>
  <c r="K226" i="5"/>
  <c r="O227" i="5"/>
  <c r="O981" i="5"/>
  <c r="K980" i="5"/>
  <c r="G514" i="5"/>
  <c r="C513" i="5"/>
  <c r="G1739" i="5"/>
  <c r="C1738" i="5"/>
  <c r="O993" i="5"/>
  <c r="K992" i="5"/>
  <c r="O541" i="5"/>
  <c r="K540" i="5"/>
  <c r="O1346" i="5"/>
  <c r="K1345" i="5"/>
  <c r="K1478" i="5"/>
  <c r="O1479" i="5"/>
  <c r="K1634" i="5"/>
  <c r="O1635" i="5"/>
  <c r="O332" i="5"/>
  <c r="K331" i="5"/>
  <c r="O832" i="5"/>
  <c r="K831" i="5"/>
  <c r="G1711" i="5"/>
  <c r="C1710" i="5"/>
  <c r="G324" i="5"/>
  <c r="C323" i="5"/>
  <c r="O1226" i="5"/>
  <c r="K1225" i="5"/>
  <c r="O505" i="5"/>
  <c r="K504" i="5"/>
  <c r="C1775" i="5"/>
  <c r="G1776" i="5"/>
  <c r="G125" i="5"/>
  <c r="C125" i="5" s="1"/>
  <c r="C124" i="5"/>
  <c r="K803" i="5"/>
  <c r="O804" i="5"/>
  <c r="G1682" i="5"/>
  <c r="C1681" i="5"/>
  <c r="C913" i="5"/>
  <c r="G914" i="5"/>
  <c r="C1728" i="5"/>
  <c r="G1729" i="5"/>
  <c r="K1597" i="5"/>
  <c r="O1598" i="5"/>
  <c r="G851" i="5"/>
  <c r="C850" i="5"/>
  <c r="C740" i="5"/>
  <c r="G741" i="5"/>
  <c r="C741" i="5" s="1"/>
  <c r="C931" i="5"/>
  <c r="G932" i="5"/>
  <c r="G1469" i="5"/>
  <c r="C1468" i="5"/>
  <c r="O449" i="5"/>
  <c r="K448" i="5"/>
  <c r="G143" i="5"/>
  <c r="C142" i="5"/>
  <c r="G1327" i="5"/>
  <c r="C1326" i="5"/>
  <c r="C1432" i="5"/>
  <c r="G1433" i="5"/>
  <c r="G464" i="5"/>
  <c r="C463" i="5"/>
  <c r="G17" i="5"/>
  <c r="C17" i="5" s="1"/>
  <c r="C16" i="5"/>
  <c r="G244" i="5"/>
  <c r="C243" i="5"/>
  <c r="O686" i="5"/>
  <c r="K685" i="5"/>
  <c r="O785" i="5"/>
  <c r="K784" i="5"/>
  <c r="G448" i="5"/>
  <c r="C447" i="5"/>
  <c r="G723" i="5"/>
  <c r="C722" i="5"/>
  <c r="O1357" i="5"/>
  <c r="K1356" i="5"/>
  <c r="O522" i="5"/>
  <c r="K521" i="5"/>
  <c r="K1764" i="5"/>
  <c r="O1765" i="5"/>
  <c r="G540" i="5"/>
  <c r="C539" i="5"/>
  <c r="O181" i="5"/>
  <c r="K180" i="5"/>
  <c r="Z40" i="5"/>
  <c r="K1534" i="5"/>
  <c r="O1535" i="5"/>
  <c r="G569" i="5"/>
  <c r="C568" i="5"/>
  <c r="O1366" i="5"/>
  <c r="K1365" i="5"/>
  <c r="O1298" i="5"/>
  <c r="K1297" i="5"/>
  <c r="O438" i="5"/>
  <c r="K437" i="5"/>
  <c r="O322" i="5"/>
  <c r="K321" i="5"/>
  <c r="K1188" i="5"/>
  <c r="O1189" i="5"/>
  <c r="K1709" i="5"/>
  <c r="O1710" i="5"/>
  <c r="G1451" i="5"/>
  <c r="C1450" i="5"/>
  <c r="K1586" i="5"/>
  <c r="O1587" i="5"/>
  <c r="G595" i="5"/>
  <c r="C594" i="5"/>
  <c r="G1462" i="5"/>
  <c r="C1461" i="5"/>
  <c r="O1101" i="5"/>
  <c r="K1101" i="5" s="1"/>
  <c r="K1100" i="5"/>
  <c r="O1154" i="5"/>
  <c r="K1153" i="5"/>
  <c r="C821" i="5"/>
  <c r="G822" i="5"/>
  <c r="G1011" i="5"/>
  <c r="C1010" i="5"/>
  <c r="C663" i="5"/>
  <c r="G664" i="5"/>
  <c r="G714" i="5"/>
  <c r="C713" i="5"/>
  <c r="G298" i="5"/>
  <c r="C297" i="5"/>
  <c r="O1170" i="5"/>
  <c r="K1169" i="5"/>
  <c r="K22" i="5"/>
  <c r="O23" i="5"/>
  <c r="G1190" i="5"/>
  <c r="C1189" i="5"/>
  <c r="C685" i="5"/>
  <c r="G686" i="5"/>
  <c r="K1650" i="5"/>
  <c r="O1651" i="5"/>
  <c r="O560" i="5"/>
  <c r="K559" i="5"/>
  <c r="O770" i="5"/>
  <c r="K769" i="5"/>
  <c r="O1090" i="5"/>
  <c r="K1089" i="5"/>
  <c r="G1223" i="5"/>
  <c r="C1222" i="5"/>
  <c r="G236" i="5"/>
  <c r="C235" i="5"/>
  <c r="O896" i="5"/>
  <c r="K895" i="5"/>
  <c r="O812" i="5"/>
  <c r="K811" i="5"/>
  <c r="C863" i="5"/>
  <c r="G864" i="5"/>
  <c r="K1606" i="5"/>
  <c r="O1607" i="5"/>
  <c r="G1690" i="5"/>
  <c r="C1689" i="5"/>
  <c r="K1469" i="5"/>
  <c r="O1470" i="5"/>
  <c r="K130" i="5"/>
  <c r="O131" i="5"/>
  <c r="O605" i="5"/>
  <c r="K604" i="5"/>
  <c r="O269" i="5"/>
  <c r="K268" i="5"/>
  <c r="O217" i="5"/>
  <c r="K216" i="5"/>
  <c r="G1614" i="5"/>
  <c r="C1613" i="5"/>
  <c r="O1253" i="5"/>
  <c r="K1252" i="5"/>
  <c r="G342" i="5"/>
  <c r="C341" i="5"/>
  <c r="O1064" i="5"/>
  <c r="K1063" i="5"/>
  <c r="O842" i="5"/>
  <c r="K841" i="5"/>
  <c r="O361" i="5"/>
  <c r="K360" i="5"/>
  <c r="O1030" i="5"/>
  <c r="K1029" i="5"/>
  <c r="O189" i="5"/>
  <c r="K188" i="5"/>
  <c r="C1382" i="5"/>
  <c r="G1383" i="5"/>
  <c r="K370" i="5"/>
  <c r="O371" i="5"/>
  <c r="O125" i="5"/>
  <c r="K125" i="5" s="1"/>
  <c r="K124" i="5"/>
  <c r="G1393" i="5"/>
  <c r="C1392" i="5"/>
  <c r="G308" i="5"/>
  <c r="C307" i="5"/>
  <c r="G1579" i="5"/>
  <c r="C1578" i="5"/>
  <c r="G290" i="5"/>
  <c r="C289" i="5"/>
  <c r="K1577" i="5"/>
  <c r="O1578" i="5"/>
  <c r="K1449" i="5"/>
  <c r="O1450" i="5"/>
  <c r="O914" i="5"/>
  <c r="K913" i="5"/>
  <c r="G579" i="5"/>
  <c r="C578" i="5"/>
  <c r="K1143" i="5"/>
  <c r="O1144" i="5"/>
  <c r="G1063" i="5"/>
  <c r="C1062" i="5"/>
  <c r="AD48" i="5"/>
  <c r="G61" i="5"/>
  <c r="C60" i="5"/>
  <c r="G1307" i="5"/>
  <c r="C1306" i="5"/>
  <c r="G161" i="5"/>
  <c r="C160" i="5"/>
  <c r="G172" i="5"/>
  <c r="C171" i="5"/>
  <c r="G504" i="5"/>
  <c r="C503" i="5"/>
  <c r="G363" i="5"/>
  <c r="C362" i="5"/>
  <c r="G646" i="5"/>
  <c r="C645" i="5"/>
  <c r="O474" i="5"/>
  <c r="K473" i="5"/>
  <c r="K206" i="5"/>
  <c r="O207" i="5"/>
  <c r="O290" i="5"/>
  <c r="K289" i="5"/>
  <c r="O428" i="5"/>
  <c r="K427" i="5"/>
  <c r="C872" i="5"/>
  <c r="G873" i="5"/>
  <c r="K14" i="5"/>
  <c r="O15" i="5"/>
  <c r="G983" i="5"/>
  <c r="C982" i="5"/>
  <c r="O569" i="5"/>
  <c r="K568" i="5"/>
  <c r="G522" i="5"/>
  <c r="C521" i="5"/>
  <c r="G550" i="5"/>
  <c r="C549" i="5"/>
  <c r="G532" i="5"/>
  <c r="C531" i="5"/>
  <c r="G1551" i="5"/>
  <c r="C1550" i="5"/>
  <c r="O626" i="5"/>
  <c r="K625" i="5"/>
  <c r="K1550" i="5"/>
  <c r="O1551" i="5"/>
  <c r="G1271" i="5"/>
  <c r="C1270" i="5"/>
  <c r="G1487" i="5"/>
  <c r="C1486" i="5"/>
  <c r="O1262" i="5"/>
  <c r="K1261" i="5"/>
  <c r="G1119" i="5"/>
  <c r="C1118" i="5"/>
  <c r="O197" i="5"/>
  <c r="K196" i="5"/>
  <c r="G217" i="5"/>
  <c r="C216" i="5"/>
  <c r="G560" i="5"/>
  <c r="C559" i="5"/>
  <c r="K1280" i="5"/>
  <c r="O1281" i="5"/>
  <c r="C989" i="5"/>
  <c r="G990" i="5"/>
  <c r="O308" i="5"/>
  <c r="K307" i="5"/>
  <c r="O794" i="5"/>
  <c r="K793" i="5"/>
  <c r="O1117" i="5"/>
  <c r="K1116" i="5"/>
  <c r="K674" i="5"/>
  <c r="O675" i="5"/>
  <c r="C1337" i="5"/>
  <c r="G1338" i="5"/>
  <c r="G767" i="5"/>
  <c r="C766" i="5"/>
  <c r="G1423" i="5"/>
  <c r="C1422" i="5"/>
  <c r="G420" i="5"/>
  <c r="C419" i="5"/>
  <c r="K142" i="5"/>
  <c r="O143" i="5"/>
  <c r="O658" i="5"/>
  <c r="K658" i="5" s="1"/>
  <c r="K657" i="5"/>
  <c r="G390" i="5"/>
  <c r="C389" i="5"/>
  <c r="G655" i="5"/>
  <c r="C654" i="5"/>
  <c r="C748" i="5"/>
  <c r="G749" i="5"/>
  <c r="G1263" i="5"/>
  <c r="C1262" i="5"/>
  <c r="O1728" i="5"/>
  <c r="K1727" i="5"/>
  <c r="K1391" i="5"/>
  <c r="O1392" i="5"/>
  <c r="G1299" i="5"/>
  <c r="C1298" i="5"/>
  <c r="G1765" i="5"/>
  <c r="C1764" i="5"/>
  <c r="O1701" i="5"/>
  <c r="K1700" i="5"/>
  <c r="C941" i="5"/>
  <c r="G942" i="5"/>
  <c r="O965" i="5"/>
  <c r="K964" i="5"/>
  <c r="G1030" i="5"/>
  <c r="C1029" i="5"/>
  <c r="C1536" i="5"/>
  <c r="G1537" i="5"/>
  <c r="O1178" i="5"/>
  <c r="K1177" i="5"/>
  <c r="O408" i="5"/>
  <c r="K407" i="5"/>
  <c r="G758" i="5"/>
  <c r="C757" i="5"/>
  <c r="G1179" i="5"/>
  <c r="C1178" i="5"/>
  <c r="K1485" i="5"/>
  <c r="O1486" i="5"/>
  <c r="O664" i="5"/>
  <c r="K663" i="5"/>
  <c r="O70" i="5"/>
  <c r="K69" i="5"/>
  <c r="G207" i="5"/>
  <c r="C206" i="5"/>
  <c r="L3" i="2"/>
  <c r="K4" i="2"/>
  <c r="K53" i="2"/>
  <c r="K97" i="2" s="1"/>
  <c r="O514" i="5"/>
  <c r="K513" i="5"/>
  <c r="G261" i="5"/>
  <c r="C260" i="5"/>
  <c r="G1718" i="5"/>
  <c r="C1717" i="5"/>
  <c r="G966" i="5"/>
  <c r="C965" i="5"/>
  <c r="O578" i="5"/>
  <c r="K577" i="5"/>
  <c r="K150" i="5"/>
  <c r="O151" i="5"/>
  <c r="O862" i="5"/>
  <c r="K861" i="5"/>
  <c r="G1318" i="5"/>
  <c r="C1317" i="5"/>
  <c r="AF40" i="5"/>
  <c r="G429" i="5" l="1"/>
  <c r="C428" i="5"/>
  <c r="X41" i="5"/>
  <c r="V41" i="5"/>
  <c r="AB49" i="5"/>
  <c r="C605" i="5"/>
  <c r="G606" i="5"/>
  <c r="O1136" i="5"/>
  <c r="K1135" i="5"/>
  <c r="G1626" i="5"/>
  <c r="C1625" i="5"/>
  <c r="G381" i="5"/>
  <c r="C380" i="5"/>
  <c r="K595" i="5"/>
  <c r="O596" i="5"/>
  <c r="G1205" i="5"/>
  <c r="C1204" i="5"/>
  <c r="O464" i="5"/>
  <c r="K463" i="5"/>
  <c r="C812" i="5"/>
  <c r="G813" i="5"/>
  <c r="T41" i="5"/>
  <c r="AB41" i="5"/>
  <c r="G24" i="5"/>
  <c r="C23" i="5"/>
  <c r="AD6" i="5" s="1"/>
  <c r="G409" i="5"/>
  <c r="C408" i="5"/>
  <c r="G495" i="5"/>
  <c r="C494" i="5"/>
  <c r="G695" i="5"/>
  <c r="C694" i="5"/>
  <c r="O1661" i="5"/>
  <c r="K1660" i="5"/>
  <c r="C438" i="5"/>
  <c r="G439" i="5"/>
  <c r="C674" i="5"/>
  <c r="G675" i="5"/>
  <c r="K1506" i="5"/>
  <c r="O1507" i="5"/>
  <c r="C1153" i="5"/>
  <c r="G1154" i="5"/>
  <c r="C1356" i="5"/>
  <c r="G1357" i="5"/>
  <c r="C482" i="5"/>
  <c r="G483" i="5"/>
  <c r="Z41" i="5"/>
  <c r="K851" i="5"/>
  <c r="O852" i="5"/>
  <c r="G1702" i="5"/>
  <c r="C1701" i="5"/>
  <c r="AC49" i="5"/>
  <c r="K923" i="5"/>
  <c r="O924" i="5"/>
  <c r="G132" i="5"/>
  <c r="C131" i="5"/>
  <c r="C1053" i="5"/>
  <c r="G1054" i="5"/>
  <c r="G1022" i="5"/>
  <c r="C1022" i="5" s="1"/>
  <c r="C1021" i="5"/>
  <c r="S41" i="5"/>
  <c r="C69" i="5"/>
  <c r="G70" i="5"/>
  <c r="C803" i="5"/>
  <c r="G804" i="5"/>
  <c r="C99" i="5"/>
  <c r="G100" i="5"/>
  <c r="G1597" i="5"/>
  <c r="C1596" i="5"/>
  <c r="AD49" i="5"/>
  <c r="W41" i="5"/>
  <c r="G1170" i="5"/>
  <c r="C1169" i="5"/>
  <c r="G115" i="5"/>
  <c r="C114" i="5"/>
  <c r="U41" i="5"/>
  <c r="O1108" i="5"/>
  <c r="K1107" i="5"/>
  <c r="G1002" i="5"/>
  <c r="C1001" i="5"/>
  <c r="C1413" i="5"/>
  <c r="G1414" i="5"/>
  <c r="G1785" i="5"/>
  <c r="C1784" i="5"/>
  <c r="G1290" i="5"/>
  <c r="C1289" i="5"/>
  <c r="O1073" i="5"/>
  <c r="K1072" i="5"/>
  <c r="Y41" i="5"/>
  <c r="G475" i="5"/>
  <c r="C474" i="5"/>
  <c r="K1043" i="5"/>
  <c r="O1044" i="5"/>
  <c r="G35" i="5"/>
  <c r="C34" i="5"/>
  <c r="O588" i="5"/>
  <c r="K587" i="5"/>
  <c r="C614" i="5"/>
  <c r="G615" i="5"/>
  <c r="G785" i="5"/>
  <c r="C784" i="5"/>
  <c r="G1561" i="5"/>
  <c r="C1560" i="5"/>
  <c r="AA49" i="5"/>
  <c r="O1517" i="5"/>
  <c r="K1516" i="5"/>
  <c r="O362" i="5"/>
  <c r="K361" i="5"/>
  <c r="O813" i="5"/>
  <c r="K812" i="5"/>
  <c r="K438" i="5"/>
  <c r="O439" i="5"/>
  <c r="G1683" i="5"/>
  <c r="C1682" i="5"/>
  <c r="G208" i="5"/>
  <c r="C207" i="5"/>
  <c r="C767" i="5"/>
  <c r="G768" i="5"/>
  <c r="G665" i="5"/>
  <c r="C664" i="5"/>
  <c r="K1690" i="5"/>
  <c r="O1691" i="5"/>
  <c r="G1191" i="5"/>
  <c r="C1190" i="5"/>
  <c r="K1749" i="5"/>
  <c r="O1750" i="5"/>
  <c r="K1626" i="5"/>
  <c r="O1627" i="5"/>
  <c r="O637" i="5"/>
  <c r="K636" i="5"/>
  <c r="K1178" i="5"/>
  <c r="O1179" i="5"/>
  <c r="C1423" i="5"/>
  <c r="G1424" i="5"/>
  <c r="C1487" i="5"/>
  <c r="G1488" i="5"/>
  <c r="C61" i="5"/>
  <c r="G62" i="5"/>
  <c r="G915" i="5"/>
  <c r="C914" i="5"/>
  <c r="O1480" i="5"/>
  <c r="K1480" i="5" s="1"/>
  <c r="K1479" i="5"/>
  <c r="G1147" i="5"/>
  <c r="C1147" i="5" s="1"/>
  <c r="C1146" i="5"/>
  <c r="G1234" i="5"/>
  <c r="C1233" i="5"/>
  <c r="G333" i="5"/>
  <c r="C332" i="5"/>
  <c r="G372" i="5"/>
  <c r="C371" i="5"/>
  <c r="K1234" i="5"/>
  <c r="O1235" i="5"/>
  <c r="K862" i="5"/>
  <c r="O863" i="5"/>
  <c r="G1719" i="5"/>
  <c r="C1718" i="5"/>
  <c r="K1486" i="5"/>
  <c r="O1487" i="5"/>
  <c r="G943" i="5"/>
  <c r="C942" i="5"/>
  <c r="O1393" i="5"/>
  <c r="K1392" i="5"/>
  <c r="C749" i="5"/>
  <c r="G750" i="5"/>
  <c r="K675" i="5"/>
  <c r="O676" i="5"/>
  <c r="G991" i="5"/>
  <c r="C990" i="5"/>
  <c r="G874" i="5"/>
  <c r="C873" i="5"/>
  <c r="K1030" i="5"/>
  <c r="O1031" i="5"/>
  <c r="O1065" i="5"/>
  <c r="K1065" i="5" s="1"/>
  <c r="K1064" i="5"/>
  <c r="O218" i="5"/>
  <c r="K217" i="5"/>
  <c r="G299" i="5"/>
  <c r="C298" i="5"/>
  <c r="C595" i="5"/>
  <c r="G596" i="5"/>
  <c r="K1366" i="5"/>
  <c r="O1367" i="5"/>
  <c r="C723" i="5"/>
  <c r="G724" i="5"/>
  <c r="G245" i="5"/>
  <c r="C244" i="5"/>
  <c r="G1328" i="5"/>
  <c r="C1327" i="5"/>
  <c r="K1226" i="5"/>
  <c r="O1227" i="5"/>
  <c r="K1227" i="5" s="1"/>
  <c r="C1711" i="5"/>
  <c r="G1712" i="5"/>
  <c r="C1712" i="5" s="1"/>
  <c r="O994" i="5"/>
  <c r="K994" i="5" s="1"/>
  <c r="K993" i="5"/>
  <c r="O982" i="5"/>
  <c r="K981" i="5"/>
  <c r="O750" i="5"/>
  <c r="K749" i="5"/>
  <c r="C1607" i="5"/>
  <c r="G1608" i="5"/>
  <c r="C1608" i="5" s="1"/>
  <c r="C1527" i="5"/>
  <c r="G1528" i="5"/>
  <c r="O236" i="5"/>
  <c r="K235" i="5"/>
  <c r="G1091" i="5"/>
  <c r="C1090" i="5"/>
  <c r="K1671" i="5"/>
  <c r="O1672" i="5"/>
  <c r="C181" i="5"/>
  <c r="G182" i="5"/>
  <c r="C1071" i="5"/>
  <c r="G1072" i="5"/>
  <c r="G1366" i="5"/>
  <c r="C1365" i="5"/>
  <c r="G1759" i="5"/>
  <c r="C1759" i="5" s="1"/>
  <c r="C1758" i="5"/>
  <c r="K530" i="5"/>
  <c r="O531" i="5"/>
  <c r="K578" i="5"/>
  <c r="O579" i="5"/>
  <c r="G1691" i="5"/>
  <c r="C1690" i="5"/>
  <c r="C1223" i="5"/>
  <c r="G1224" i="5"/>
  <c r="C1451" i="5"/>
  <c r="G1452" i="5"/>
  <c r="O182" i="5"/>
  <c r="K181" i="5"/>
  <c r="G465" i="5"/>
  <c r="C464" i="5"/>
  <c r="O450" i="5"/>
  <c r="K449" i="5"/>
  <c r="G325" i="5"/>
  <c r="C325" i="5" s="1"/>
  <c r="C324" i="5"/>
  <c r="O833" i="5"/>
  <c r="K832" i="5"/>
  <c r="G515" i="5"/>
  <c r="C515" i="5" s="1"/>
  <c r="C514" i="5"/>
  <c r="G587" i="5"/>
  <c r="C586" i="5"/>
  <c r="K1461" i="5"/>
  <c r="O1462" i="5"/>
  <c r="C1635" i="5"/>
  <c r="G1636" i="5"/>
  <c r="C1663" i="5"/>
  <c r="G1664" i="5"/>
  <c r="C1664" i="5" s="1"/>
  <c r="C1099" i="5"/>
  <c r="G1100" i="5"/>
  <c r="G1750" i="5"/>
  <c r="C1749" i="5"/>
  <c r="C1551" i="5"/>
  <c r="G1552" i="5"/>
  <c r="O429" i="5"/>
  <c r="K428" i="5"/>
  <c r="G173" i="5"/>
  <c r="C172" i="5"/>
  <c r="C627" i="5"/>
  <c r="G628" i="5"/>
  <c r="O81" i="5"/>
  <c r="K80" i="5"/>
  <c r="K391" i="5"/>
  <c r="O392" i="5"/>
  <c r="G343" i="5"/>
  <c r="C342" i="5"/>
  <c r="G237" i="5"/>
  <c r="C237" i="5" s="1"/>
  <c r="C236" i="5"/>
  <c r="K1154" i="5"/>
  <c r="O1155" i="5"/>
  <c r="K322" i="5"/>
  <c r="O323" i="5"/>
  <c r="C1739" i="5"/>
  <c r="G1740" i="5"/>
  <c r="G353" i="5"/>
  <c r="C352" i="5"/>
  <c r="K1290" i="5"/>
  <c r="O1291" i="5"/>
  <c r="G523" i="5"/>
  <c r="C523" i="5" s="1"/>
  <c r="C522" i="5"/>
  <c r="G505" i="5"/>
  <c r="C504" i="5"/>
  <c r="AA6" i="5"/>
  <c r="T6" i="5"/>
  <c r="U6" i="5"/>
  <c r="V6" i="5"/>
  <c r="Z6" i="5"/>
  <c r="AB6" i="5"/>
  <c r="S6" i="5"/>
  <c r="O354" i="5"/>
  <c r="K354" i="5" s="1"/>
  <c r="K353" i="5"/>
  <c r="O1318" i="5"/>
  <c r="K1317" i="5"/>
  <c r="O616" i="5"/>
  <c r="K615" i="5"/>
  <c r="O665" i="5"/>
  <c r="K664" i="5"/>
  <c r="O409" i="5"/>
  <c r="K408" i="5"/>
  <c r="O966" i="5"/>
  <c r="K965" i="5"/>
  <c r="C1299" i="5"/>
  <c r="G1300" i="5"/>
  <c r="C1300" i="5" s="1"/>
  <c r="C1263" i="5"/>
  <c r="G1264" i="5"/>
  <c r="C420" i="5"/>
  <c r="G421" i="5"/>
  <c r="O309" i="5"/>
  <c r="K308" i="5"/>
  <c r="C560" i="5"/>
  <c r="G561" i="5"/>
  <c r="K1262" i="5"/>
  <c r="O1263" i="5"/>
  <c r="G551" i="5"/>
  <c r="C550" i="5"/>
  <c r="AD41" i="5"/>
  <c r="C1307" i="5"/>
  <c r="G1308" i="5"/>
  <c r="O1145" i="5"/>
  <c r="K1144" i="5"/>
  <c r="K1450" i="5"/>
  <c r="O1451" i="5"/>
  <c r="K1470" i="5"/>
  <c r="O1471" i="5"/>
  <c r="G865" i="5"/>
  <c r="C865" i="5" s="1"/>
  <c r="C864" i="5"/>
  <c r="G687" i="5"/>
  <c r="C686" i="5"/>
  <c r="G823" i="5"/>
  <c r="C822" i="5"/>
  <c r="O1190" i="5"/>
  <c r="K1189" i="5"/>
  <c r="K1765" i="5"/>
  <c r="O1766" i="5"/>
  <c r="G933" i="5"/>
  <c r="C932" i="5"/>
  <c r="G1730" i="5"/>
  <c r="C1729" i="5"/>
  <c r="O1636" i="5"/>
  <c r="K1635" i="5"/>
  <c r="K695" i="5"/>
  <c r="O696" i="5"/>
  <c r="O1012" i="5"/>
  <c r="K1011" i="5"/>
  <c r="C923" i="5"/>
  <c r="G924" i="5"/>
  <c r="C400" i="5"/>
  <c r="G401" i="5"/>
  <c r="O1054" i="5"/>
  <c r="K1053" i="5"/>
  <c r="K1382" i="5"/>
  <c r="O1383" i="5"/>
  <c r="C1507" i="5"/>
  <c r="G1508" i="5"/>
  <c r="K342" i="5"/>
  <c r="O343" i="5"/>
  <c r="O173" i="5"/>
  <c r="K172" i="5"/>
  <c r="G46" i="5"/>
  <c r="C45" i="5"/>
  <c r="G90" i="5"/>
  <c r="C89" i="5"/>
  <c r="C1043" i="5"/>
  <c r="G1044" i="5"/>
  <c r="G82" i="5"/>
  <c r="C82" i="5" s="1"/>
  <c r="C81" i="5"/>
  <c r="K1442" i="5"/>
  <c r="O1443" i="5"/>
  <c r="O1273" i="5"/>
  <c r="K1272" i="5"/>
  <c r="O1616" i="5"/>
  <c r="K1615" i="5"/>
  <c r="O280" i="5"/>
  <c r="K279" i="5"/>
  <c r="O1776" i="5"/>
  <c r="K1775" i="5"/>
  <c r="C831" i="5"/>
  <c r="G832" i="5"/>
  <c r="AH40" i="5"/>
  <c r="C308" i="5"/>
  <c r="G309" i="5"/>
  <c r="O606" i="5"/>
  <c r="K605" i="5"/>
  <c r="O561" i="5"/>
  <c r="K560" i="5"/>
  <c r="O786" i="5"/>
  <c r="K785" i="5"/>
  <c r="C851" i="5"/>
  <c r="G852" i="5"/>
  <c r="K1346" i="5"/>
  <c r="O1347" i="5"/>
  <c r="O874" i="5"/>
  <c r="K873" i="5"/>
  <c r="O706" i="5"/>
  <c r="K705" i="5"/>
  <c r="C1179" i="5"/>
  <c r="G1180" i="5"/>
  <c r="K1701" i="5"/>
  <c r="O1702" i="5"/>
  <c r="C655" i="5"/>
  <c r="G656" i="5"/>
  <c r="O1118" i="5"/>
  <c r="K1117" i="5"/>
  <c r="O570" i="5"/>
  <c r="K569" i="5"/>
  <c r="C646" i="5"/>
  <c r="G647" i="5"/>
  <c r="O24" i="5"/>
  <c r="K23" i="5"/>
  <c r="C1776" i="5"/>
  <c r="G1777" i="5"/>
  <c r="C1777" i="5" s="1"/>
  <c r="K298" i="5"/>
  <c r="O299" i="5"/>
  <c r="O1002" i="5"/>
  <c r="K1001" i="5"/>
  <c r="G270" i="5"/>
  <c r="C269" i="5"/>
  <c r="K758" i="5"/>
  <c r="O759" i="5"/>
  <c r="K1786" i="5"/>
  <c r="O1787" i="5"/>
  <c r="C1579" i="5"/>
  <c r="G1580" i="5"/>
  <c r="O270" i="5"/>
  <c r="K269" i="5"/>
  <c r="G715" i="5"/>
  <c r="C714" i="5"/>
  <c r="G570" i="5"/>
  <c r="C569" i="5"/>
  <c r="K522" i="5"/>
  <c r="O523" i="5"/>
  <c r="K523" i="5" s="1"/>
  <c r="G281" i="5"/>
  <c r="C280" i="5"/>
  <c r="G1443" i="5"/>
  <c r="C1442" i="5"/>
  <c r="C1347" i="5"/>
  <c r="G1348" i="5"/>
  <c r="L4" i="2"/>
  <c r="L53" i="2"/>
  <c r="L97" i="2" s="1"/>
  <c r="M3" i="2"/>
  <c r="K626" i="5"/>
  <c r="O627" i="5"/>
  <c r="K474" i="5"/>
  <c r="O475" i="5"/>
  <c r="O228" i="5"/>
  <c r="K228" i="5" s="1"/>
  <c r="K227" i="5"/>
  <c r="G705" i="5"/>
  <c r="C704" i="5"/>
  <c r="G1319" i="5"/>
  <c r="C1318" i="5"/>
  <c r="C966" i="5"/>
  <c r="G967" i="5"/>
  <c r="K514" i="5"/>
  <c r="O515" i="5"/>
  <c r="K515" i="5" s="1"/>
  <c r="G1339" i="5"/>
  <c r="C1338" i="5"/>
  <c r="O1552" i="5"/>
  <c r="K1551" i="5"/>
  <c r="O16" i="5"/>
  <c r="K15" i="5"/>
  <c r="O208" i="5"/>
  <c r="K207" i="5"/>
  <c r="C1063" i="5"/>
  <c r="G1064" i="5"/>
  <c r="K914" i="5"/>
  <c r="O915" i="5"/>
  <c r="G291" i="5"/>
  <c r="C291" i="5" s="1"/>
  <c r="C290" i="5"/>
  <c r="C1393" i="5"/>
  <c r="G1394" i="5"/>
  <c r="O190" i="5"/>
  <c r="K190" i="5" s="1"/>
  <c r="K189" i="5"/>
  <c r="K842" i="5"/>
  <c r="O843" i="5"/>
  <c r="G1615" i="5"/>
  <c r="C1614" i="5"/>
  <c r="O897" i="5"/>
  <c r="K896" i="5"/>
  <c r="K1090" i="5"/>
  <c r="O1091" i="5"/>
  <c r="K1170" i="5"/>
  <c r="O1171" i="5"/>
  <c r="C1011" i="5"/>
  <c r="G1012" i="5"/>
  <c r="G1463" i="5"/>
  <c r="C1463" i="5" s="1"/>
  <c r="C1462" i="5"/>
  <c r="K1298" i="5"/>
  <c r="O1299" i="5"/>
  <c r="G541" i="5"/>
  <c r="C540" i="5"/>
  <c r="O1358" i="5"/>
  <c r="K1357" i="5"/>
  <c r="K686" i="5"/>
  <c r="O687" i="5"/>
  <c r="G1470" i="5"/>
  <c r="C1469" i="5"/>
  <c r="O506" i="5"/>
  <c r="K506" i="5" s="1"/>
  <c r="K505" i="5"/>
  <c r="O333" i="5"/>
  <c r="K332" i="5"/>
  <c r="O542" i="5"/>
  <c r="K542" i="5" s="1"/>
  <c r="K541" i="5"/>
  <c r="C1671" i="5"/>
  <c r="G1672" i="5"/>
  <c r="O246" i="5"/>
  <c r="K245" i="5"/>
  <c r="K1525" i="5"/>
  <c r="O1526" i="5"/>
  <c r="K1306" i="5"/>
  <c r="O1307" i="5"/>
  <c r="K1738" i="5"/>
  <c r="O1739" i="5"/>
  <c r="C1403" i="5"/>
  <c r="G1404" i="5"/>
  <c r="O484" i="5"/>
  <c r="K483" i="5"/>
  <c r="K34" i="5"/>
  <c r="O35" i="5"/>
  <c r="K1402" i="5"/>
  <c r="O1403" i="5"/>
  <c r="C1375" i="5"/>
  <c r="G1376" i="5"/>
  <c r="C1376" i="5" s="1"/>
  <c r="G637" i="5"/>
  <c r="C636" i="5"/>
  <c r="K1757" i="5"/>
  <c r="O1758" i="5"/>
  <c r="O421" i="5"/>
  <c r="K420" i="5"/>
  <c r="O1337" i="5"/>
  <c r="K1336" i="5"/>
  <c r="C1243" i="5"/>
  <c r="G1244" i="5"/>
  <c r="O493" i="5"/>
  <c r="K492" i="5"/>
  <c r="AC6" i="5"/>
  <c r="X6" i="5"/>
  <c r="AG40" i="5"/>
  <c r="Y6" i="5"/>
  <c r="AC41" i="5"/>
  <c r="G262" i="5"/>
  <c r="C262" i="5" s="1"/>
  <c r="C261" i="5"/>
  <c r="O1282" i="5"/>
  <c r="K1282" i="5" s="1"/>
  <c r="K1281" i="5"/>
  <c r="O1254" i="5"/>
  <c r="K1253" i="5"/>
  <c r="G1499" i="5"/>
  <c r="C1498" i="5"/>
  <c r="O100" i="5"/>
  <c r="K99" i="5"/>
  <c r="C895" i="5"/>
  <c r="G896" i="5"/>
  <c r="K382" i="5"/>
  <c r="O383" i="5"/>
  <c r="O62" i="5"/>
  <c r="K61" i="5"/>
  <c r="O198" i="5"/>
  <c r="K197" i="5"/>
  <c r="K1578" i="5"/>
  <c r="O1579" i="5"/>
  <c r="G1384" i="5"/>
  <c r="C1383" i="5"/>
  <c r="O550" i="5"/>
  <c r="K549" i="5"/>
  <c r="O1206" i="5"/>
  <c r="K1205" i="5"/>
  <c r="O958" i="5"/>
  <c r="K957" i="5"/>
  <c r="K1682" i="5"/>
  <c r="O1683" i="5"/>
  <c r="G1538" i="5"/>
  <c r="C1537" i="5"/>
  <c r="O144" i="5"/>
  <c r="K144" i="5" s="1"/>
  <c r="K143" i="5"/>
  <c r="C579" i="5"/>
  <c r="G580" i="5"/>
  <c r="C580" i="5" s="1"/>
  <c r="K770" i="5"/>
  <c r="O771" i="5"/>
  <c r="C448" i="5"/>
  <c r="G449" i="5"/>
  <c r="G144" i="5"/>
  <c r="C144" i="5" s="1"/>
  <c r="C143" i="5"/>
  <c r="C1135" i="5"/>
  <c r="G1136" i="5"/>
  <c r="K1497" i="5"/>
  <c r="O1498" i="5"/>
  <c r="AK2" i="5"/>
  <c r="AI40" i="5"/>
  <c r="AJ40" i="5"/>
  <c r="C1479" i="5"/>
  <c r="G1480" i="5"/>
  <c r="C1480" i="5" s="1"/>
  <c r="O933" i="5"/>
  <c r="K932" i="5"/>
  <c r="O262" i="5"/>
  <c r="K262" i="5" s="1"/>
  <c r="K261" i="5"/>
  <c r="O152" i="5"/>
  <c r="K151" i="5"/>
  <c r="G218" i="5"/>
  <c r="C217" i="5"/>
  <c r="O372" i="5"/>
  <c r="K371" i="5"/>
  <c r="O1588" i="5"/>
  <c r="K1587" i="5"/>
  <c r="G1589" i="5"/>
  <c r="C1588" i="5"/>
  <c r="K726" i="5"/>
  <c r="O727" i="5"/>
  <c r="K1326" i="5"/>
  <c r="O1327" i="5"/>
  <c r="K942" i="5"/>
  <c r="O943" i="5"/>
  <c r="G1654" i="5"/>
  <c r="C1654" i="5" s="1"/>
  <c r="C1653" i="5"/>
  <c r="O116" i="5"/>
  <c r="K115" i="5"/>
  <c r="O1424" i="5"/>
  <c r="K1423" i="5"/>
  <c r="K70" i="5"/>
  <c r="O71" i="5"/>
  <c r="G759" i="5"/>
  <c r="C758" i="5"/>
  <c r="G1031" i="5"/>
  <c r="C1030" i="5"/>
  <c r="G1766" i="5"/>
  <c r="C1765" i="5"/>
  <c r="O1729" i="5"/>
  <c r="K1728" i="5"/>
  <c r="G391" i="5"/>
  <c r="C390" i="5"/>
  <c r="K794" i="5"/>
  <c r="O795" i="5"/>
  <c r="C1119" i="5"/>
  <c r="G1120" i="5"/>
  <c r="C1271" i="5"/>
  <c r="G1272" i="5"/>
  <c r="G533" i="5"/>
  <c r="C533" i="5" s="1"/>
  <c r="C532" i="5"/>
  <c r="C983" i="5"/>
  <c r="G984" i="5"/>
  <c r="C984" i="5" s="1"/>
  <c r="K290" i="5"/>
  <c r="O291" i="5"/>
  <c r="K291" i="5" s="1"/>
  <c r="G364" i="5"/>
  <c r="C364" i="5" s="1"/>
  <c r="C363" i="5"/>
  <c r="G162" i="5"/>
  <c r="C161" i="5"/>
  <c r="O132" i="5"/>
  <c r="K131" i="5"/>
  <c r="O1608" i="5"/>
  <c r="K1608" i="5" s="1"/>
  <c r="K1607" i="5"/>
  <c r="K1651" i="5"/>
  <c r="O1652" i="5"/>
  <c r="K1710" i="5"/>
  <c r="O1711" i="5"/>
  <c r="K1535" i="5"/>
  <c r="O1536" i="5"/>
  <c r="G1434" i="5"/>
  <c r="C1433" i="5"/>
  <c r="K1598" i="5"/>
  <c r="O1599" i="5"/>
  <c r="O805" i="5"/>
  <c r="K805" i="5" s="1"/>
  <c r="K804" i="5"/>
  <c r="O1560" i="5"/>
  <c r="K1559" i="5"/>
  <c r="O1720" i="5"/>
  <c r="K1719" i="5"/>
  <c r="G1254" i="5"/>
  <c r="C1253" i="5"/>
  <c r="G843" i="5"/>
  <c r="C842" i="5"/>
  <c r="G154" i="5"/>
  <c r="C154" i="5" s="1"/>
  <c r="C153" i="5"/>
  <c r="O1214" i="5"/>
  <c r="K1213" i="5"/>
  <c r="O401" i="5"/>
  <c r="K400" i="5"/>
  <c r="K1242" i="5"/>
  <c r="O1243" i="5"/>
  <c r="G1519" i="5"/>
  <c r="C1519" i="5" s="1"/>
  <c r="C1518" i="5"/>
  <c r="O714" i="5"/>
  <c r="K713" i="5"/>
  <c r="C1107" i="5"/>
  <c r="G1108" i="5"/>
  <c r="O1433" i="5"/>
  <c r="K1432" i="5"/>
  <c r="G198" i="5"/>
  <c r="C197" i="5"/>
  <c r="K646" i="5"/>
  <c r="O647" i="5"/>
  <c r="K822" i="5"/>
  <c r="O823" i="5"/>
  <c r="K1413" i="5"/>
  <c r="O1414" i="5"/>
  <c r="O44" i="5"/>
  <c r="K43" i="5"/>
  <c r="G1215" i="5"/>
  <c r="C1214" i="5"/>
  <c r="O161" i="5"/>
  <c r="K160" i="5"/>
  <c r="AE41" i="5"/>
  <c r="G786" i="5" l="1"/>
  <c r="C785" i="5"/>
  <c r="G1171" i="5"/>
  <c r="C1170" i="5"/>
  <c r="C1357" i="5"/>
  <c r="G1358" i="5"/>
  <c r="G440" i="5"/>
  <c r="C439" i="5"/>
  <c r="O597" i="5"/>
  <c r="K596" i="5"/>
  <c r="C606" i="5"/>
  <c r="G607" i="5"/>
  <c r="C615" i="5"/>
  <c r="G616" i="5"/>
  <c r="O1074" i="5"/>
  <c r="K1073" i="5"/>
  <c r="G1786" i="5"/>
  <c r="C1785" i="5"/>
  <c r="G1003" i="5"/>
  <c r="C1002" i="5"/>
  <c r="G101" i="5"/>
  <c r="C100" i="5"/>
  <c r="G71" i="5"/>
  <c r="C70" i="5"/>
  <c r="G133" i="5"/>
  <c r="C132" i="5"/>
  <c r="G696" i="5"/>
  <c r="C695" i="5"/>
  <c r="G410" i="5"/>
  <c r="C409" i="5"/>
  <c r="O465" i="5"/>
  <c r="K464" i="5"/>
  <c r="G1627" i="5"/>
  <c r="C1626" i="5"/>
  <c r="O589" i="5"/>
  <c r="K589" i="5" s="1"/>
  <c r="K588" i="5"/>
  <c r="G1598" i="5"/>
  <c r="C1597" i="5"/>
  <c r="K1507" i="5"/>
  <c r="O1508" i="5"/>
  <c r="G1562" i="5"/>
  <c r="C1561" i="5"/>
  <c r="G36" i="5"/>
  <c r="C36" i="5" s="1"/>
  <c r="C35" i="5"/>
  <c r="G476" i="5"/>
  <c r="C476" i="5" s="1"/>
  <c r="C475" i="5"/>
  <c r="G1415" i="5"/>
  <c r="C1414" i="5"/>
  <c r="G116" i="5"/>
  <c r="C115" i="5"/>
  <c r="G1055" i="5"/>
  <c r="C1054" i="5"/>
  <c r="O925" i="5"/>
  <c r="K924" i="5"/>
  <c r="G1703" i="5"/>
  <c r="C1702" i="5"/>
  <c r="G484" i="5"/>
  <c r="C483" i="5"/>
  <c r="G1155" i="5"/>
  <c r="C1154" i="5"/>
  <c r="C675" i="5"/>
  <c r="G676" i="5"/>
  <c r="C813" i="5"/>
  <c r="G814" i="5"/>
  <c r="G430" i="5"/>
  <c r="C429" i="5"/>
  <c r="K1517" i="5"/>
  <c r="O1518" i="5"/>
  <c r="K1044" i="5"/>
  <c r="O1045" i="5"/>
  <c r="G1291" i="5"/>
  <c r="C1290" i="5"/>
  <c r="O1109" i="5"/>
  <c r="K1108" i="5"/>
  <c r="C804" i="5"/>
  <c r="G805" i="5"/>
  <c r="C805" i="5" s="1"/>
  <c r="O853" i="5"/>
  <c r="K852" i="5"/>
  <c r="K1661" i="5"/>
  <c r="O1662" i="5"/>
  <c r="G496" i="5"/>
  <c r="C496" i="5" s="1"/>
  <c r="C495" i="5"/>
  <c r="G25" i="5"/>
  <c r="C24" i="5"/>
  <c r="G1206" i="5"/>
  <c r="C1205" i="5"/>
  <c r="G382" i="5"/>
  <c r="C381" i="5"/>
  <c r="O1137" i="5"/>
  <c r="K1136" i="5"/>
  <c r="C1100" i="5"/>
  <c r="G1101" i="5"/>
  <c r="C1101" i="5" s="1"/>
  <c r="C1224" i="5"/>
  <c r="G1225" i="5"/>
  <c r="C1683" i="5"/>
  <c r="G1684" i="5"/>
  <c r="C1684" i="5" s="1"/>
  <c r="O728" i="5"/>
  <c r="K727" i="5"/>
  <c r="O844" i="5"/>
  <c r="K843" i="5"/>
  <c r="C715" i="5"/>
  <c r="G716" i="5"/>
  <c r="G47" i="5"/>
  <c r="C46" i="5"/>
  <c r="C823" i="5"/>
  <c r="G824" i="5"/>
  <c r="O410" i="5"/>
  <c r="K409" i="5"/>
  <c r="O1425" i="5"/>
  <c r="K1424" i="5"/>
  <c r="O153" i="5"/>
  <c r="K152" i="5"/>
  <c r="K1358" i="5"/>
  <c r="O1359" i="5"/>
  <c r="K1359" i="5" s="1"/>
  <c r="O1788" i="5"/>
  <c r="K1787" i="5"/>
  <c r="C372" i="5"/>
  <c r="G373" i="5"/>
  <c r="G209" i="5"/>
  <c r="C208" i="5"/>
  <c r="K62" i="5"/>
  <c r="O63" i="5"/>
  <c r="K63" i="5" s="1"/>
  <c r="O1404" i="5"/>
  <c r="K1403" i="5"/>
  <c r="AF41" i="5"/>
  <c r="C967" i="5"/>
  <c r="G968" i="5"/>
  <c r="G571" i="5"/>
  <c r="C571" i="5" s="1"/>
  <c r="C570" i="5"/>
  <c r="K1002" i="5"/>
  <c r="O1003" i="5"/>
  <c r="K874" i="5"/>
  <c r="O875" i="5"/>
  <c r="G91" i="5"/>
  <c r="C91" i="5" s="1"/>
  <c r="C90" i="5"/>
  <c r="O310" i="5"/>
  <c r="K309" i="5"/>
  <c r="K1318" i="5"/>
  <c r="O1319" i="5"/>
  <c r="O45" i="5"/>
  <c r="K44" i="5"/>
  <c r="G199" i="5"/>
  <c r="C198" i="5"/>
  <c r="G392" i="5"/>
  <c r="C391" i="5"/>
  <c r="C759" i="5"/>
  <c r="G760" i="5"/>
  <c r="K1599" i="5"/>
  <c r="O1600" i="5"/>
  <c r="K1600" i="5" s="1"/>
  <c r="O1653" i="5"/>
  <c r="K1652" i="5"/>
  <c r="G1273" i="5"/>
  <c r="C1272" i="5"/>
  <c r="G1539" i="5"/>
  <c r="C1539" i="5" s="1"/>
  <c r="C1538" i="5"/>
  <c r="K550" i="5"/>
  <c r="O551" i="5"/>
  <c r="C1244" i="5"/>
  <c r="G1245" i="5"/>
  <c r="K1526" i="5"/>
  <c r="O1527" i="5"/>
  <c r="O1300" i="5"/>
  <c r="K1300" i="5" s="1"/>
  <c r="K1299" i="5"/>
  <c r="O1092" i="5"/>
  <c r="K1092" i="5" s="1"/>
  <c r="K1091" i="5"/>
  <c r="G1065" i="5"/>
  <c r="C1065" i="5" s="1"/>
  <c r="C1064" i="5"/>
  <c r="M53" i="2"/>
  <c r="M97" i="2" s="1"/>
  <c r="M4" i="2"/>
  <c r="N3" i="2"/>
  <c r="G282" i="5"/>
  <c r="C282" i="5" s="1"/>
  <c r="C281" i="5"/>
  <c r="K606" i="5"/>
  <c r="O607" i="5"/>
  <c r="O281" i="5"/>
  <c r="K280" i="5"/>
  <c r="O174" i="5"/>
  <c r="K174" i="5" s="1"/>
  <c r="K173" i="5"/>
  <c r="K1054" i="5"/>
  <c r="O1055" i="5"/>
  <c r="G934" i="5"/>
  <c r="C933" i="5"/>
  <c r="C687" i="5"/>
  <c r="G688" i="5"/>
  <c r="C688" i="5" s="1"/>
  <c r="O1146" i="5"/>
  <c r="K1145" i="5"/>
  <c r="O666" i="5"/>
  <c r="K665" i="5"/>
  <c r="G344" i="5"/>
  <c r="C343" i="5"/>
  <c r="O82" i="5"/>
  <c r="K82" i="5" s="1"/>
  <c r="K81" i="5"/>
  <c r="C587" i="5"/>
  <c r="G588" i="5"/>
  <c r="K450" i="5"/>
  <c r="O451" i="5"/>
  <c r="K451" i="5" s="1"/>
  <c r="O532" i="5"/>
  <c r="K531" i="5"/>
  <c r="O1368" i="5"/>
  <c r="K1367" i="5"/>
  <c r="K863" i="5"/>
  <c r="O864" i="5"/>
  <c r="G63" i="5"/>
  <c r="C63" i="5" s="1"/>
  <c r="C62" i="5"/>
  <c r="K439" i="5"/>
  <c r="O440" i="5"/>
  <c r="X7" i="5"/>
  <c r="C1215" i="5"/>
  <c r="G1216" i="5"/>
  <c r="G163" i="5"/>
  <c r="C162" i="5"/>
  <c r="C1031" i="5"/>
  <c r="G1032" i="5"/>
  <c r="C1032" i="5" s="1"/>
  <c r="O1589" i="5"/>
  <c r="K1588" i="5"/>
  <c r="O1580" i="5"/>
  <c r="K1579" i="5"/>
  <c r="G1320" i="5"/>
  <c r="C1320" i="5" s="1"/>
  <c r="C1319" i="5"/>
  <c r="K759" i="5"/>
  <c r="O760" i="5"/>
  <c r="O697" i="5"/>
  <c r="K696" i="5"/>
  <c r="O1264" i="5"/>
  <c r="K1263" i="5"/>
  <c r="G1265" i="5"/>
  <c r="C1265" i="5" s="1"/>
  <c r="C1264" i="5"/>
  <c r="K323" i="5"/>
  <c r="O324" i="5"/>
  <c r="G334" i="5"/>
  <c r="C333" i="5"/>
  <c r="O648" i="5"/>
  <c r="K648" i="5" s="1"/>
  <c r="K647" i="5"/>
  <c r="K1206" i="5"/>
  <c r="O1207" i="5"/>
  <c r="K1207" i="5" s="1"/>
  <c r="K1254" i="5"/>
  <c r="O1255" i="5"/>
  <c r="K1255" i="5" s="1"/>
  <c r="O36" i="5"/>
  <c r="K36" i="5" s="1"/>
  <c r="K35" i="5"/>
  <c r="K627" i="5"/>
  <c r="O628" i="5"/>
  <c r="K570" i="5"/>
  <c r="O571" i="5"/>
  <c r="K571" i="5" s="1"/>
  <c r="O1013" i="5"/>
  <c r="K1012" i="5"/>
  <c r="G751" i="5"/>
  <c r="C751" i="5" s="1"/>
  <c r="C750" i="5"/>
  <c r="O1561" i="5"/>
  <c r="K1560" i="5"/>
  <c r="O133" i="5"/>
  <c r="K132" i="5"/>
  <c r="G1767" i="5"/>
  <c r="C1766" i="5"/>
  <c r="G1590" i="5"/>
  <c r="C1590" i="5" s="1"/>
  <c r="C1589" i="5"/>
  <c r="K1498" i="5"/>
  <c r="O1499" i="5"/>
  <c r="O422" i="5"/>
  <c r="K422" i="5" s="1"/>
  <c r="K421" i="5"/>
  <c r="C1615" i="5"/>
  <c r="G1616" i="5"/>
  <c r="K299" i="5"/>
  <c r="O300" i="5"/>
  <c r="O1384" i="5"/>
  <c r="K1383" i="5"/>
  <c r="G422" i="5"/>
  <c r="C422" i="5" s="1"/>
  <c r="C421" i="5"/>
  <c r="O393" i="5"/>
  <c r="K393" i="5" s="1"/>
  <c r="K392" i="5"/>
  <c r="G300" i="5"/>
  <c r="C299" i="5"/>
  <c r="K362" i="5"/>
  <c r="O363" i="5"/>
  <c r="G1013" i="5"/>
  <c r="C1012" i="5"/>
  <c r="O476" i="5"/>
  <c r="K476" i="5" s="1"/>
  <c r="K475" i="5"/>
  <c r="G506" i="5"/>
  <c r="C506" i="5" s="1"/>
  <c r="C505" i="5"/>
  <c r="G1751" i="5"/>
  <c r="C1751" i="5" s="1"/>
  <c r="C1750" i="5"/>
  <c r="O834" i="5"/>
  <c r="K833" i="5"/>
  <c r="K182" i="5"/>
  <c r="O183" i="5"/>
  <c r="K183" i="5" s="1"/>
  <c r="G1529" i="5"/>
  <c r="C1529" i="5" s="1"/>
  <c r="C1528" i="5"/>
  <c r="O1032" i="5"/>
  <c r="K1032" i="5" s="1"/>
  <c r="K1031" i="5"/>
  <c r="O1488" i="5"/>
  <c r="K1487" i="5"/>
  <c r="O162" i="5"/>
  <c r="K161" i="5"/>
  <c r="K1433" i="5"/>
  <c r="O1434" i="5"/>
  <c r="K1214" i="5"/>
  <c r="O1215" i="5"/>
  <c r="O1721" i="5"/>
  <c r="K1720" i="5"/>
  <c r="G1435" i="5"/>
  <c r="C1435" i="5" s="1"/>
  <c r="C1434" i="5"/>
  <c r="K1729" i="5"/>
  <c r="O1730" i="5"/>
  <c r="G219" i="5"/>
  <c r="C218" i="5"/>
  <c r="G450" i="5"/>
  <c r="C449" i="5"/>
  <c r="O1338" i="5"/>
  <c r="K1337" i="5"/>
  <c r="K246" i="5"/>
  <c r="O247" i="5"/>
  <c r="K247" i="5" s="1"/>
  <c r="O334" i="5"/>
  <c r="K333" i="5"/>
  <c r="O898" i="5"/>
  <c r="K897" i="5"/>
  <c r="O209" i="5"/>
  <c r="K208" i="5"/>
  <c r="C1348" i="5"/>
  <c r="G1349" i="5"/>
  <c r="G1581" i="5"/>
  <c r="C1581" i="5" s="1"/>
  <c r="C1580" i="5"/>
  <c r="C647" i="5"/>
  <c r="G648" i="5"/>
  <c r="C648" i="5" s="1"/>
  <c r="C656" i="5"/>
  <c r="G657" i="5"/>
  <c r="G833" i="5"/>
  <c r="C832" i="5"/>
  <c r="C1508" i="5"/>
  <c r="G1509" i="5"/>
  <c r="G925" i="5"/>
  <c r="C924" i="5"/>
  <c r="O1472" i="5"/>
  <c r="K1472" i="5" s="1"/>
  <c r="K1471" i="5"/>
  <c r="C1636" i="5"/>
  <c r="G1637" i="5"/>
  <c r="O580" i="5"/>
  <c r="K580" i="5" s="1"/>
  <c r="K579" i="5"/>
  <c r="K982" i="5"/>
  <c r="O983" i="5"/>
  <c r="C1328" i="5"/>
  <c r="G1329" i="5"/>
  <c r="C991" i="5"/>
  <c r="G992" i="5"/>
  <c r="C943" i="5"/>
  <c r="G944" i="5"/>
  <c r="O814" i="5"/>
  <c r="K813" i="5"/>
  <c r="O117" i="5"/>
  <c r="K117" i="5" s="1"/>
  <c r="K116" i="5"/>
  <c r="G897" i="5"/>
  <c r="C896" i="5"/>
  <c r="C541" i="5"/>
  <c r="G542" i="5"/>
  <c r="C542" i="5" s="1"/>
  <c r="O1553" i="5"/>
  <c r="K1553" i="5" s="1"/>
  <c r="K1552" i="5"/>
  <c r="K1347" i="5"/>
  <c r="O1348" i="5"/>
  <c r="C1091" i="5"/>
  <c r="G1092" i="5"/>
  <c r="C1092" i="5" s="1"/>
  <c r="C1719" i="5"/>
  <c r="G1720" i="5"/>
  <c r="C915" i="5"/>
  <c r="G916" i="5"/>
  <c r="G1109" i="5"/>
  <c r="C1108" i="5"/>
  <c r="K1711" i="5"/>
  <c r="O1712" i="5"/>
  <c r="K1712" i="5" s="1"/>
  <c r="K1758" i="5"/>
  <c r="O1759" i="5"/>
  <c r="K1759" i="5" s="1"/>
  <c r="O916" i="5"/>
  <c r="K915" i="5"/>
  <c r="O562" i="5"/>
  <c r="K562" i="5" s="1"/>
  <c r="K561" i="5"/>
  <c r="O1777" i="5"/>
  <c r="K1777" i="5" s="1"/>
  <c r="K1776" i="5"/>
  <c r="G1731" i="5"/>
  <c r="C1730" i="5"/>
  <c r="O772" i="5"/>
  <c r="K771" i="5"/>
  <c r="O1452" i="5"/>
  <c r="K1451" i="5"/>
  <c r="G1741" i="5"/>
  <c r="C1740" i="5"/>
  <c r="K1462" i="5"/>
  <c r="O1463" i="5"/>
  <c r="K1463" i="5" s="1"/>
  <c r="G1453" i="5"/>
  <c r="C1452" i="5"/>
  <c r="G246" i="5"/>
  <c r="C245" i="5"/>
  <c r="O824" i="5"/>
  <c r="K823" i="5"/>
  <c r="K1243" i="5"/>
  <c r="O1244" i="5"/>
  <c r="K958" i="5"/>
  <c r="O959" i="5"/>
  <c r="K959" i="5" s="1"/>
  <c r="C1499" i="5"/>
  <c r="G1500" i="5"/>
  <c r="C1500" i="5" s="1"/>
  <c r="G1673" i="5"/>
  <c r="C1672" i="5"/>
  <c r="O1274" i="5"/>
  <c r="K1273" i="5"/>
  <c r="G174" i="5"/>
  <c r="C174" i="5" s="1"/>
  <c r="C173" i="5"/>
  <c r="O1673" i="5"/>
  <c r="K1672" i="5"/>
  <c r="O677" i="5"/>
  <c r="K676" i="5"/>
  <c r="G1425" i="5"/>
  <c r="C1424" i="5"/>
  <c r="K1750" i="5"/>
  <c r="O1751" i="5"/>
  <c r="K1751" i="5" s="1"/>
  <c r="K1414" i="5"/>
  <c r="O1415" i="5"/>
  <c r="G1121" i="5"/>
  <c r="C1120" i="5"/>
  <c r="O72" i="5"/>
  <c r="K71" i="5"/>
  <c r="O944" i="5"/>
  <c r="K943" i="5"/>
  <c r="K198" i="5"/>
  <c r="O199" i="5"/>
  <c r="O101" i="5"/>
  <c r="K100" i="5"/>
  <c r="C1404" i="5"/>
  <c r="G1405" i="5"/>
  <c r="O688" i="5"/>
  <c r="K688" i="5" s="1"/>
  <c r="K687" i="5"/>
  <c r="C1394" i="5"/>
  <c r="G1395" i="5"/>
  <c r="K270" i="5"/>
  <c r="O271" i="5"/>
  <c r="G271" i="5"/>
  <c r="C270" i="5"/>
  <c r="O25" i="5"/>
  <c r="K24" i="5"/>
  <c r="K1118" i="5"/>
  <c r="O1119" i="5"/>
  <c r="K706" i="5"/>
  <c r="O707" i="5"/>
  <c r="K707" i="5" s="1"/>
  <c r="O1617" i="5"/>
  <c r="K1616" i="5"/>
  <c r="O1637" i="5"/>
  <c r="K1636" i="5"/>
  <c r="O617" i="5"/>
  <c r="K616" i="5"/>
  <c r="G354" i="5"/>
  <c r="C354" i="5" s="1"/>
  <c r="C353" i="5"/>
  <c r="G466" i="5"/>
  <c r="C465" i="5"/>
  <c r="C1691" i="5"/>
  <c r="G1692" i="5"/>
  <c r="G183" i="5"/>
  <c r="C183" i="5" s="1"/>
  <c r="C182" i="5"/>
  <c r="C596" i="5"/>
  <c r="G597" i="5"/>
  <c r="O1236" i="5"/>
  <c r="K1236" i="5" s="1"/>
  <c r="K1235" i="5"/>
  <c r="G1489" i="5"/>
  <c r="C1488" i="5"/>
  <c r="O1628" i="5"/>
  <c r="K1628" i="5" s="1"/>
  <c r="K1627" i="5"/>
  <c r="O1692" i="5"/>
  <c r="K1691" i="5"/>
  <c r="G769" i="5"/>
  <c r="C768" i="5"/>
  <c r="O402" i="5"/>
  <c r="K402" i="5" s="1"/>
  <c r="K401" i="5"/>
  <c r="C843" i="5"/>
  <c r="G844" i="5"/>
  <c r="G1137" i="5"/>
  <c r="C1136" i="5"/>
  <c r="G1181" i="5"/>
  <c r="C1180" i="5"/>
  <c r="K1291" i="5"/>
  <c r="O1292" i="5"/>
  <c r="K1292" i="5" s="1"/>
  <c r="C1552" i="5"/>
  <c r="G1553" i="5"/>
  <c r="C1553" i="5" s="1"/>
  <c r="C1384" i="5"/>
  <c r="G1385" i="5"/>
  <c r="O1308" i="5"/>
  <c r="K1307" i="5"/>
  <c r="O1172" i="5"/>
  <c r="K1172" i="5" s="1"/>
  <c r="K1171" i="5"/>
  <c r="C1443" i="5"/>
  <c r="G1444" i="5"/>
  <c r="C1444" i="5" s="1"/>
  <c r="G552" i="5"/>
  <c r="C552" i="5" s="1"/>
  <c r="C551" i="5"/>
  <c r="O430" i="5"/>
  <c r="K429" i="5"/>
  <c r="G1073" i="5"/>
  <c r="C1072" i="5"/>
  <c r="C724" i="5"/>
  <c r="G725" i="5"/>
  <c r="O1180" i="5"/>
  <c r="K1179" i="5"/>
  <c r="K383" i="5"/>
  <c r="O384" i="5"/>
  <c r="K384" i="5" s="1"/>
  <c r="O494" i="5"/>
  <c r="K493" i="5"/>
  <c r="O17" i="5"/>
  <c r="K17" i="5" s="1"/>
  <c r="K16" i="5"/>
  <c r="AE7" i="5" s="1"/>
  <c r="K1702" i="5"/>
  <c r="O1703" i="5"/>
  <c r="O1444" i="5"/>
  <c r="K1444" i="5" s="1"/>
  <c r="K1443" i="5"/>
  <c r="C1366" i="5"/>
  <c r="G1367" i="5"/>
  <c r="O1537" i="5"/>
  <c r="K1536" i="5"/>
  <c r="K795" i="5"/>
  <c r="O796" i="5"/>
  <c r="K796" i="5" s="1"/>
  <c r="O1328" i="5"/>
  <c r="K1327" i="5"/>
  <c r="O1740" i="5"/>
  <c r="K1739" i="5"/>
  <c r="K786" i="5"/>
  <c r="O787" i="5"/>
  <c r="K787" i="5" s="1"/>
  <c r="K1190" i="5"/>
  <c r="O1191" i="5"/>
  <c r="K966" i="5"/>
  <c r="O967" i="5"/>
  <c r="K714" i="5"/>
  <c r="O715" i="5"/>
  <c r="G1255" i="5"/>
  <c r="C1255" i="5" s="1"/>
  <c r="C1254" i="5"/>
  <c r="O373" i="5"/>
  <c r="K372" i="5"/>
  <c r="O934" i="5"/>
  <c r="K933" i="5"/>
  <c r="K1683" i="5"/>
  <c r="O1684" i="5"/>
  <c r="K1684" i="5" s="1"/>
  <c r="C637" i="5"/>
  <c r="G638" i="5"/>
  <c r="O485" i="5"/>
  <c r="K484" i="5"/>
  <c r="G1471" i="5"/>
  <c r="C1470" i="5"/>
  <c r="G1340" i="5"/>
  <c r="C1340" i="5" s="1"/>
  <c r="C1339" i="5"/>
  <c r="G706" i="5"/>
  <c r="C705" i="5"/>
  <c r="C852" i="5"/>
  <c r="G853" i="5"/>
  <c r="G310" i="5"/>
  <c r="C309" i="5"/>
  <c r="C1044" i="5"/>
  <c r="G1045" i="5"/>
  <c r="O344" i="5"/>
  <c r="K343" i="5"/>
  <c r="G402" i="5"/>
  <c r="C402" i="5" s="1"/>
  <c r="C401" i="5"/>
  <c r="K1766" i="5"/>
  <c r="O1767" i="5"/>
  <c r="G1309" i="5"/>
  <c r="C1308" i="5"/>
  <c r="C561" i="5"/>
  <c r="G562" i="5"/>
  <c r="C562" i="5" s="1"/>
  <c r="K1155" i="5"/>
  <c r="O1156" i="5"/>
  <c r="C628" i="5"/>
  <c r="G629" i="5"/>
  <c r="C629" i="5" s="1"/>
  <c r="O237" i="5"/>
  <c r="K237" i="5" s="1"/>
  <c r="K236" i="5"/>
  <c r="K750" i="5"/>
  <c r="O751" i="5"/>
  <c r="K751" i="5" s="1"/>
  <c r="K218" i="5"/>
  <c r="O219" i="5"/>
  <c r="G875" i="5"/>
  <c r="C874" i="5"/>
  <c r="K1393" i="5"/>
  <c r="O1394" i="5"/>
  <c r="G1235" i="5"/>
  <c r="C1234" i="5"/>
  <c r="O638" i="5"/>
  <c r="K637" i="5"/>
  <c r="C1191" i="5"/>
  <c r="G1192" i="5"/>
  <c r="C1192" i="5" s="1"/>
  <c r="C665" i="5"/>
  <c r="G666" i="5"/>
  <c r="AD7" i="5"/>
  <c r="AC7" i="5" l="1"/>
  <c r="Z7" i="5"/>
  <c r="G383" i="5"/>
  <c r="C382" i="5"/>
  <c r="C25" i="5"/>
  <c r="G26" i="5"/>
  <c r="C1291" i="5"/>
  <c r="G1292" i="5"/>
  <c r="C1292" i="5" s="1"/>
  <c r="G1156" i="5"/>
  <c r="C1155" i="5"/>
  <c r="G1704" i="5"/>
  <c r="C1704" i="5" s="1"/>
  <c r="C1703" i="5"/>
  <c r="C1055" i="5"/>
  <c r="G1056" i="5"/>
  <c r="C1056" i="5" s="1"/>
  <c r="C1415" i="5"/>
  <c r="G1416" i="5"/>
  <c r="C1416" i="5" s="1"/>
  <c r="O466" i="5"/>
  <c r="K465" i="5"/>
  <c r="G697" i="5"/>
  <c r="C696" i="5"/>
  <c r="C71" i="5"/>
  <c r="G72" i="5"/>
  <c r="G1004" i="5"/>
  <c r="C1004" i="5" s="1"/>
  <c r="C1003" i="5"/>
  <c r="K1074" i="5"/>
  <c r="O1075" i="5"/>
  <c r="G441" i="5"/>
  <c r="C441" i="5" s="1"/>
  <c r="C440" i="5"/>
  <c r="C1171" i="5"/>
  <c r="G1172" i="5"/>
  <c r="C1172" i="5" s="1"/>
  <c r="K1518" i="5"/>
  <c r="O1519" i="5"/>
  <c r="K1519" i="5" s="1"/>
  <c r="C814" i="5"/>
  <c r="G815" i="5"/>
  <c r="C815" i="5" s="1"/>
  <c r="O1509" i="5"/>
  <c r="K1508" i="5"/>
  <c r="O1046" i="5"/>
  <c r="K1045" i="5"/>
  <c r="C676" i="5"/>
  <c r="G677" i="5"/>
  <c r="G617" i="5"/>
  <c r="C616" i="5"/>
  <c r="G1359" i="5"/>
  <c r="C1359" i="5" s="1"/>
  <c r="C1358" i="5"/>
  <c r="AF6" i="5"/>
  <c r="AE6" i="5"/>
  <c r="K1662" i="5"/>
  <c r="O1663" i="5"/>
  <c r="C607" i="5"/>
  <c r="G608" i="5"/>
  <c r="C608" i="5" s="1"/>
  <c r="AG6" i="5"/>
  <c r="O1138" i="5"/>
  <c r="K1138" i="5" s="1"/>
  <c r="K1137" i="5"/>
  <c r="G1207" i="5"/>
  <c r="C1207" i="5" s="1"/>
  <c r="C1206" i="5"/>
  <c r="K853" i="5"/>
  <c r="O854" i="5"/>
  <c r="O1110" i="5"/>
  <c r="K1109" i="5"/>
  <c r="C430" i="5"/>
  <c r="G431" i="5"/>
  <c r="C431" i="5" s="1"/>
  <c r="G485" i="5"/>
  <c r="C484" i="5"/>
  <c r="O926" i="5"/>
  <c r="K926" i="5" s="1"/>
  <c r="K925" i="5"/>
  <c r="G117" i="5"/>
  <c r="C117" i="5" s="1"/>
  <c r="C116" i="5"/>
  <c r="G1563" i="5"/>
  <c r="C1562" i="5"/>
  <c r="G1599" i="5"/>
  <c r="C1598" i="5"/>
  <c r="C1627" i="5"/>
  <c r="G1628" i="5"/>
  <c r="C1628" i="5" s="1"/>
  <c r="C410" i="5"/>
  <c r="G411" i="5"/>
  <c r="G134" i="5"/>
  <c r="C133" i="5"/>
  <c r="C101" i="5"/>
  <c r="G102" i="5"/>
  <c r="G1787" i="5"/>
  <c r="C1786" i="5"/>
  <c r="O598" i="5"/>
  <c r="K597" i="5"/>
  <c r="C786" i="5"/>
  <c r="G787" i="5"/>
  <c r="C787" i="5" s="1"/>
  <c r="K1119" i="5"/>
  <c r="O1120" i="5"/>
  <c r="O102" i="5"/>
  <c r="K101" i="5"/>
  <c r="O73" i="5"/>
  <c r="K73" i="5" s="1"/>
  <c r="K72" i="5"/>
  <c r="G1426" i="5"/>
  <c r="C1426" i="5" s="1"/>
  <c r="C1425" i="5"/>
  <c r="G210" i="5"/>
  <c r="C210" i="5" s="1"/>
  <c r="C209" i="5"/>
  <c r="O154" i="5"/>
  <c r="K154" i="5" s="1"/>
  <c r="K153" i="5"/>
  <c r="O272" i="5"/>
  <c r="K272" i="5" s="1"/>
  <c r="K271" i="5"/>
  <c r="C1720" i="5"/>
  <c r="G1721" i="5"/>
  <c r="G1396" i="5"/>
  <c r="C1396" i="5" s="1"/>
  <c r="C1395" i="5"/>
  <c r="G374" i="5"/>
  <c r="C374" i="5" s="1"/>
  <c r="C373" i="5"/>
  <c r="C916" i="5"/>
  <c r="G917" i="5"/>
  <c r="C917" i="5" s="1"/>
  <c r="O1768" i="5"/>
  <c r="K1767" i="5"/>
  <c r="O968" i="5"/>
  <c r="K967" i="5"/>
  <c r="O1245" i="5"/>
  <c r="K1244" i="5"/>
  <c r="G834" i="5"/>
  <c r="C833" i="5"/>
  <c r="K1384" i="5"/>
  <c r="O1385" i="5"/>
  <c r="K1561" i="5"/>
  <c r="O1562" i="5"/>
  <c r="G164" i="5"/>
  <c r="C164" i="5" s="1"/>
  <c r="C163" i="5"/>
  <c r="O533" i="5"/>
  <c r="K533" i="5" s="1"/>
  <c r="K532" i="5"/>
  <c r="G345" i="5"/>
  <c r="C345" i="5" s="1"/>
  <c r="C344" i="5"/>
  <c r="C934" i="5"/>
  <c r="G935" i="5"/>
  <c r="C935" i="5" s="1"/>
  <c r="G1246" i="5"/>
  <c r="C1246" i="5" s="1"/>
  <c r="C1245" i="5"/>
  <c r="G761" i="5"/>
  <c r="C761" i="5" s="1"/>
  <c r="C760" i="5"/>
  <c r="O876" i="5"/>
  <c r="K875" i="5"/>
  <c r="O200" i="5"/>
  <c r="K200" i="5" s="1"/>
  <c r="K199" i="5"/>
  <c r="O865" i="5"/>
  <c r="K865" i="5" s="1"/>
  <c r="K864" i="5"/>
  <c r="O46" i="5"/>
  <c r="K45" i="5"/>
  <c r="G1310" i="5"/>
  <c r="C1310" i="5" s="1"/>
  <c r="C1309" i="5"/>
  <c r="O1741" i="5"/>
  <c r="K1740" i="5"/>
  <c r="K494" i="5"/>
  <c r="O495" i="5"/>
  <c r="C992" i="5"/>
  <c r="G993" i="5"/>
  <c r="G1638" i="5"/>
  <c r="C1638" i="5" s="1"/>
  <c r="C1637" i="5"/>
  <c r="G1350" i="5"/>
  <c r="C1350" i="5" s="1"/>
  <c r="C1349" i="5"/>
  <c r="K1215" i="5"/>
  <c r="O1216" i="5"/>
  <c r="K363" i="5"/>
  <c r="O364" i="5"/>
  <c r="K364" i="5" s="1"/>
  <c r="O1500" i="5"/>
  <c r="K1500" i="5" s="1"/>
  <c r="K1499" i="5"/>
  <c r="O629" i="5"/>
  <c r="K629" i="5" s="1"/>
  <c r="K628" i="5"/>
  <c r="C1731" i="5"/>
  <c r="G1732" i="5"/>
  <c r="C1732" i="5" s="1"/>
  <c r="O1056" i="5"/>
  <c r="K1056" i="5" s="1"/>
  <c r="K1055" i="5"/>
  <c r="G667" i="5"/>
  <c r="C666" i="5"/>
  <c r="K1394" i="5"/>
  <c r="O1395" i="5"/>
  <c r="G1046" i="5"/>
  <c r="C1045" i="5"/>
  <c r="K715" i="5"/>
  <c r="O716" i="5"/>
  <c r="G1368" i="5"/>
  <c r="C1367" i="5"/>
  <c r="G726" i="5"/>
  <c r="C725" i="5"/>
  <c r="G845" i="5"/>
  <c r="C845" i="5" s="1"/>
  <c r="C844" i="5"/>
  <c r="K334" i="5"/>
  <c r="O335" i="5"/>
  <c r="K335" i="5" s="1"/>
  <c r="G220" i="5"/>
  <c r="C220" i="5" s="1"/>
  <c r="C219" i="5"/>
  <c r="K1721" i="5"/>
  <c r="O1722" i="5"/>
  <c r="K1722" i="5" s="1"/>
  <c r="O1489" i="5"/>
  <c r="K1488" i="5"/>
  <c r="K834" i="5"/>
  <c r="O835" i="5"/>
  <c r="K835" i="5" s="1"/>
  <c r="C1013" i="5"/>
  <c r="G1014" i="5"/>
  <c r="C1014" i="5" s="1"/>
  <c r="K133" i="5"/>
  <c r="O134" i="5"/>
  <c r="O345" i="5"/>
  <c r="K345" i="5" s="1"/>
  <c r="K344" i="5"/>
  <c r="K1537" i="5"/>
  <c r="O1538" i="5"/>
  <c r="C1137" i="5"/>
  <c r="G1138" i="5"/>
  <c r="C1138" i="5" s="1"/>
  <c r="G467" i="5"/>
  <c r="C467" i="5" s="1"/>
  <c r="C466" i="5"/>
  <c r="O773" i="5"/>
  <c r="K772" i="5"/>
  <c r="G1510" i="5"/>
  <c r="C1510" i="5" s="1"/>
  <c r="C1509" i="5"/>
  <c r="O761" i="5"/>
  <c r="K761" i="5" s="1"/>
  <c r="K760" i="5"/>
  <c r="O1528" i="5"/>
  <c r="K1527" i="5"/>
  <c r="C638" i="5"/>
  <c r="G639" i="5"/>
  <c r="C639" i="5" s="1"/>
  <c r="AJ41" i="5"/>
  <c r="AG41" i="5"/>
  <c r="AI41" i="5"/>
  <c r="Y7" i="5"/>
  <c r="AH41" i="5"/>
  <c r="G1386" i="5"/>
  <c r="C1386" i="5" s="1"/>
  <c r="C1385" i="5"/>
  <c r="G598" i="5"/>
  <c r="C597" i="5"/>
  <c r="G1406" i="5"/>
  <c r="C1406" i="5" s="1"/>
  <c r="C1405" i="5"/>
  <c r="O1349" i="5"/>
  <c r="K1348" i="5"/>
  <c r="K814" i="5"/>
  <c r="O815" i="5"/>
  <c r="K815" i="5" s="1"/>
  <c r="C925" i="5"/>
  <c r="G926" i="5"/>
  <c r="C926" i="5" s="1"/>
  <c r="K898" i="5"/>
  <c r="O899" i="5"/>
  <c r="G451" i="5"/>
  <c r="C451" i="5" s="1"/>
  <c r="C450" i="5"/>
  <c r="K162" i="5"/>
  <c r="O163" i="5"/>
  <c r="C1767" i="5"/>
  <c r="G1768" i="5"/>
  <c r="O1014" i="5"/>
  <c r="K1014" i="5" s="1"/>
  <c r="K1013" i="5"/>
  <c r="O698" i="5"/>
  <c r="K698" i="5" s="1"/>
  <c r="K697" i="5"/>
  <c r="K1589" i="5"/>
  <c r="O1590" i="5"/>
  <c r="K1590" i="5" s="1"/>
  <c r="O441" i="5"/>
  <c r="K441" i="5" s="1"/>
  <c r="K440" i="5"/>
  <c r="N4" i="2"/>
  <c r="O3" i="2"/>
  <c r="N53" i="2"/>
  <c r="N97" i="2" s="1"/>
  <c r="K1653" i="5"/>
  <c r="O1654" i="5"/>
  <c r="K1654" i="5" s="1"/>
  <c r="K310" i="5"/>
  <c r="O311" i="5"/>
  <c r="K311" i="5" s="1"/>
  <c r="C1225" i="5"/>
  <c r="G1226" i="5"/>
  <c r="V7" i="5"/>
  <c r="AB7" i="5"/>
  <c r="G825" i="5"/>
  <c r="C825" i="5" s="1"/>
  <c r="C824" i="5"/>
  <c r="C1235" i="5"/>
  <c r="G1236" i="5"/>
  <c r="C1236" i="5" s="1"/>
  <c r="O845" i="5"/>
  <c r="K845" i="5" s="1"/>
  <c r="K844" i="5"/>
  <c r="K638" i="5"/>
  <c r="O639" i="5"/>
  <c r="K639" i="5" s="1"/>
  <c r="O486" i="5"/>
  <c r="K486" i="5" s="1"/>
  <c r="K485" i="5"/>
  <c r="O374" i="5"/>
  <c r="K374" i="5" s="1"/>
  <c r="K373" i="5"/>
  <c r="K430" i="5"/>
  <c r="O431" i="5"/>
  <c r="K431" i="5" s="1"/>
  <c r="O1309" i="5"/>
  <c r="K1308" i="5"/>
  <c r="G1182" i="5"/>
  <c r="C1182" i="5" s="1"/>
  <c r="C1181" i="5"/>
  <c r="G770" i="5"/>
  <c r="C769" i="5"/>
  <c r="K1637" i="5"/>
  <c r="O1638" i="5"/>
  <c r="K1638" i="5" s="1"/>
  <c r="O26" i="5"/>
  <c r="K25" i="5"/>
  <c r="K1673" i="5"/>
  <c r="O1674" i="5"/>
  <c r="K1674" i="5" s="1"/>
  <c r="G1674" i="5"/>
  <c r="C1674" i="5" s="1"/>
  <c r="C1673" i="5"/>
  <c r="G247" i="5"/>
  <c r="C247" i="5" s="1"/>
  <c r="C246" i="5"/>
  <c r="K1452" i="5"/>
  <c r="O1453" i="5"/>
  <c r="G1110" i="5"/>
  <c r="C1109" i="5"/>
  <c r="G898" i="5"/>
  <c r="C897" i="5"/>
  <c r="O984" i="5"/>
  <c r="K984" i="5" s="1"/>
  <c r="K983" i="5"/>
  <c r="G1617" i="5"/>
  <c r="C1616" i="5"/>
  <c r="O1369" i="5"/>
  <c r="K1369" i="5" s="1"/>
  <c r="K1368" i="5"/>
  <c r="K1146" i="5"/>
  <c r="O1147" i="5"/>
  <c r="K1147" i="5" s="1"/>
  <c r="K551" i="5"/>
  <c r="O552" i="5"/>
  <c r="K552" i="5" s="1"/>
  <c r="O1789" i="5"/>
  <c r="K1788" i="5"/>
  <c r="W7" i="5"/>
  <c r="K1617" i="5"/>
  <c r="O1618" i="5"/>
  <c r="K1618" i="5" s="1"/>
  <c r="O945" i="5"/>
  <c r="K945" i="5" s="1"/>
  <c r="K944" i="5"/>
  <c r="G1454" i="5"/>
  <c r="C1454" i="5" s="1"/>
  <c r="C1453" i="5"/>
  <c r="O917" i="5"/>
  <c r="K917" i="5" s="1"/>
  <c r="K916" i="5"/>
  <c r="O325" i="5"/>
  <c r="K325" i="5" s="1"/>
  <c r="K324" i="5"/>
  <c r="K410" i="5"/>
  <c r="O411" i="5"/>
  <c r="O220" i="5"/>
  <c r="K220" i="5" s="1"/>
  <c r="K219" i="5"/>
  <c r="K1156" i="5"/>
  <c r="O1157" i="5"/>
  <c r="K1157" i="5" s="1"/>
  <c r="G854" i="5"/>
  <c r="C853" i="5"/>
  <c r="O1192" i="5"/>
  <c r="K1192" i="5" s="1"/>
  <c r="K1191" i="5"/>
  <c r="O1704" i="5"/>
  <c r="K1704" i="5" s="1"/>
  <c r="K1703" i="5"/>
  <c r="G1693" i="5"/>
  <c r="C1692" i="5"/>
  <c r="K1415" i="5"/>
  <c r="O1416" i="5"/>
  <c r="K1416" i="5" s="1"/>
  <c r="O210" i="5"/>
  <c r="K210" i="5" s="1"/>
  <c r="K209" i="5"/>
  <c r="K1338" i="5"/>
  <c r="O1339" i="5"/>
  <c r="G301" i="5"/>
  <c r="C301" i="5" s="1"/>
  <c r="C300" i="5"/>
  <c r="G335" i="5"/>
  <c r="C335" i="5" s="1"/>
  <c r="C334" i="5"/>
  <c r="O1265" i="5"/>
  <c r="K1265" i="5" s="1"/>
  <c r="K1264" i="5"/>
  <c r="O1581" i="5"/>
  <c r="K1581" i="5" s="1"/>
  <c r="K1580" i="5"/>
  <c r="G589" i="5"/>
  <c r="C589" i="5" s="1"/>
  <c r="C588" i="5"/>
  <c r="C1273" i="5"/>
  <c r="G1274" i="5"/>
  <c r="C392" i="5"/>
  <c r="G393" i="5"/>
  <c r="C393" i="5" s="1"/>
  <c r="C716" i="5"/>
  <c r="G717" i="5"/>
  <c r="C717" i="5" s="1"/>
  <c r="U7" i="5"/>
  <c r="K607" i="5"/>
  <c r="O608" i="5"/>
  <c r="K608" i="5" s="1"/>
  <c r="G200" i="5"/>
  <c r="C200" i="5" s="1"/>
  <c r="C199" i="5"/>
  <c r="C706" i="5"/>
  <c r="G707" i="5"/>
  <c r="C707" i="5" s="1"/>
  <c r="K1180" i="5"/>
  <c r="O1181" i="5"/>
  <c r="K1692" i="5"/>
  <c r="O1693" i="5"/>
  <c r="G272" i="5"/>
  <c r="C272" i="5" s="1"/>
  <c r="C271" i="5"/>
  <c r="C944" i="5"/>
  <c r="G945" i="5"/>
  <c r="C945" i="5" s="1"/>
  <c r="O282" i="5"/>
  <c r="K282" i="5" s="1"/>
  <c r="K281" i="5"/>
  <c r="G969" i="5"/>
  <c r="C969" i="5" s="1"/>
  <c r="C968" i="5"/>
  <c r="C875" i="5"/>
  <c r="G876" i="5"/>
  <c r="G311" i="5"/>
  <c r="C311" i="5" s="1"/>
  <c r="C310" i="5"/>
  <c r="C1471" i="5"/>
  <c r="G1472" i="5"/>
  <c r="C1472" i="5" s="1"/>
  <c r="K934" i="5"/>
  <c r="O935" i="5"/>
  <c r="K935" i="5" s="1"/>
  <c r="O1329" i="5"/>
  <c r="K1328" i="5"/>
  <c r="G1074" i="5"/>
  <c r="C1073" i="5"/>
  <c r="G1490" i="5"/>
  <c r="C1490" i="5" s="1"/>
  <c r="C1489" i="5"/>
  <c r="O618" i="5"/>
  <c r="K617" i="5"/>
  <c r="C1121" i="5"/>
  <c r="G1122" i="5"/>
  <c r="O678" i="5"/>
  <c r="K678" i="5" s="1"/>
  <c r="K677" i="5"/>
  <c r="K1274" i="5"/>
  <c r="O1275" i="5"/>
  <c r="K1275" i="5" s="1"/>
  <c r="O825" i="5"/>
  <c r="K825" i="5" s="1"/>
  <c r="K824" i="5"/>
  <c r="G1742" i="5"/>
  <c r="C1742" i="5" s="1"/>
  <c r="C1741" i="5"/>
  <c r="G1330" i="5"/>
  <c r="C1330" i="5" s="1"/>
  <c r="C1329" i="5"/>
  <c r="G658" i="5"/>
  <c r="C658" i="5" s="1"/>
  <c r="C657" i="5"/>
  <c r="K1730" i="5"/>
  <c r="O1731" i="5"/>
  <c r="K1434" i="5"/>
  <c r="O1435" i="5"/>
  <c r="K1435" i="5" s="1"/>
  <c r="O301" i="5"/>
  <c r="K301" i="5" s="1"/>
  <c r="K300" i="5"/>
  <c r="G1217" i="5"/>
  <c r="C1217" i="5" s="1"/>
  <c r="C1216" i="5"/>
  <c r="K666" i="5"/>
  <c r="O667" i="5"/>
  <c r="K1319" i="5"/>
  <c r="O1320" i="5"/>
  <c r="K1320" i="5" s="1"/>
  <c r="K1003" i="5"/>
  <c r="O1004" i="5"/>
  <c r="K1004" i="5" s="1"/>
  <c r="O1405" i="5"/>
  <c r="K1404" i="5"/>
  <c r="K1425" i="5"/>
  <c r="O1426" i="5"/>
  <c r="K1426" i="5" s="1"/>
  <c r="G48" i="5"/>
  <c r="C47" i="5"/>
  <c r="O729" i="5"/>
  <c r="K728" i="5"/>
  <c r="S7" i="5"/>
  <c r="AF7" i="5"/>
  <c r="O855" i="5" l="1"/>
  <c r="K855" i="5" s="1"/>
  <c r="K854" i="5"/>
  <c r="C1787" i="5"/>
  <c r="G1788" i="5"/>
  <c r="G1564" i="5"/>
  <c r="C1563" i="5"/>
  <c r="K1075" i="5"/>
  <c r="O1076" i="5"/>
  <c r="G73" i="5"/>
  <c r="C73" i="5" s="1"/>
  <c r="C72" i="5"/>
  <c r="C26" i="5"/>
  <c r="G27" i="5"/>
  <c r="C27" i="5" s="1"/>
  <c r="K1663" i="5"/>
  <c r="O1664" i="5"/>
  <c r="K1664" i="5" s="1"/>
  <c r="C677" i="5"/>
  <c r="G678" i="5"/>
  <c r="C678" i="5" s="1"/>
  <c r="G384" i="5"/>
  <c r="C384" i="5" s="1"/>
  <c r="C383" i="5"/>
  <c r="G135" i="5"/>
  <c r="C135" i="5" s="1"/>
  <c r="C134" i="5"/>
  <c r="C102" i="5"/>
  <c r="G103" i="5"/>
  <c r="G412" i="5"/>
  <c r="C412" i="5" s="1"/>
  <c r="C411" i="5"/>
  <c r="O467" i="5"/>
  <c r="K467" i="5" s="1"/>
  <c r="K466" i="5"/>
  <c r="G1157" i="5"/>
  <c r="C1157" i="5" s="1"/>
  <c r="C1156" i="5"/>
  <c r="T10" i="5"/>
  <c r="AB4" i="5"/>
  <c r="K1509" i="5"/>
  <c r="O1510" i="5"/>
  <c r="K1510" i="5" s="1"/>
  <c r="G698" i="5"/>
  <c r="C698" i="5" s="1"/>
  <c r="C697" i="5"/>
  <c r="O599" i="5"/>
  <c r="K599" i="5" s="1"/>
  <c r="K598" i="5"/>
  <c r="C1599" i="5"/>
  <c r="G1600" i="5"/>
  <c r="C1600" i="5" s="1"/>
  <c r="C485" i="5"/>
  <c r="G486" i="5"/>
  <c r="C486" i="5" s="1"/>
  <c r="O1111" i="5"/>
  <c r="K1111" i="5" s="1"/>
  <c r="K1110" i="5"/>
  <c r="G618" i="5"/>
  <c r="C617" i="5"/>
  <c r="O1047" i="5"/>
  <c r="K1047" i="5" s="1"/>
  <c r="K1046" i="5"/>
  <c r="T4" i="5"/>
  <c r="AH6" i="5"/>
  <c r="K1538" i="5"/>
  <c r="O1539" i="5"/>
  <c r="K1539" i="5" s="1"/>
  <c r="C726" i="5"/>
  <c r="G727" i="5"/>
  <c r="K46" i="5"/>
  <c r="O47" i="5"/>
  <c r="K1339" i="5"/>
  <c r="O1340" i="5"/>
  <c r="K1340" i="5" s="1"/>
  <c r="K26" i="5"/>
  <c r="S11" i="5" s="1"/>
  <c r="O27" i="5"/>
  <c r="K27" i="5" s="1"/>
  <c r="AI5" i="5" s="1"/>
  <c r="O1310" i="5"/>
  <c r="K1310" i="5" s="1"/>
  <c r="K1309" i="5"/>
  <c r="G1227" i="5"/>
  <c r="C1227" i="5" s="1"/>
  <c r="C1226" i="5"/>
  <c r="K134" i="5"/>
  <c r="O135" i="5"/>
  <c r="K135" i="5" s="1"/>
  <c r="O1396" i="5"/>
  <c r="K1396" i="5" s="1"/>
  <c r="K1395" i="5"/>
  <c r="G994" i="5"/>
  <c r="C994" i="5" s="1"/>
  <c r="C993" i="5"/>
  <c r="C834" i="5"/>
  <c r="G835" i="5"/>
  <c r="C835" i="5" s="1"/>
  <c r="O1121" i="5"/>
  <c r="K1120" i="5"/>
  <c r="AC5" i="5"/>
  <c r="O496" i="5"/>
  <c r="K496" i="5" s="1"/>
  <c r="K495" i="5"/>
  <c r="O730" i="5"/>
  <c r="K729" i="5"/>
  <c r="K1405" i="5"/>
  <c r="O1406" i="5"/>
  <c r="K1406" i="5" s="1"/>
  <c r="K1528" i="5"/>
  <c r="O1529" i="5"/>
  <c r="K1529" i="5" s="1"/>
  <c r="O877" i="5"/>
  <c r="K876" i="5"/>
  <c r="O1769" i="5"/>
  <c r="K1769" i="5" s="1"/>
  <c r="K1768" i="5"/>
  <c r="K618" i="5"/>
  <c r="O619" i="5"/>
  <c r="K619" i="5" s="1"/>
  <c r="K1453" i="5"/>
  <c r="O1454" i="5"/>
  <c r="K1454" i="5" s="1"/>
  <c r="K1741" i="5"/>
  <c r="O1742" i="5"/>
  <c r="K1742" i="5" s="1"/>
  <c r="K1385" i="5"/>
  <c r="O1386" i="5"/>
  <c r="K1386" i="5" s="1"/>
  <c r="G877" i="5"/>
  <c r="C876" i="5"/>
  <c r="C898" i="5"/>
  <c r="G899" i="5"/>
  <c r="C598" i="5"/>
  <c r="G599" i="5"/>
  <c r="C599" i="5" s="1"/>
  <c r="O1217" i="5"/>
  <c r="K1217" i="5" s="1"/>
  <c r="K1216" i="5"/>
  <c r="G1722" i="5"/>
  <c r="C1722" i="5" s="1"/>
  <c r="C1721" i="5"/>
  <c r="G1075" i="5"/>
  <c r="C1074" i="5"/>
  <c r="G1769" i="5"/>
  <c r="C1769" i="5" s="1"/>
  <c r="C1768" i="5"/>
  <c r="G1694" i="5"/>
  <c r="C1694" i="5" s="1"/>
  <c r="C1693" i="5"/>
  <c r="G855" i="5"/>
  <c r="C855" i="5" s="1"/>
  <c r="C854" i="5"/>
  <c r="O4" i="2"/>
  <c r="P3" i="2"/>
  <c r="O53" i="2"/>
  <c r="O97" i="2" s="1"/>
  <c r="K102" i="5"/>
  <c r="O103" i="5"/>
  <c r="O1182" i="5"/>
  <c r="K1182" i="5" s="1"/>
  <c r="K1181" i="5"/>
  <c r="G1618" i="5"/>
  <c r="C1618" i="5" s="1"/>
  <c r="C1617" i="5"/>
  <c r="O668" i="5"/>
  <c r="K668" i="5" s="1"/>
  <c r="K667" i="5"/>
  <c r="O1732" i="5"/>
  <c r="K1732" i="5" s="1"/>
  <c r="K1731" i="5"/>
  <c r="K1693" i="5"/>
  <c r="O1694" i="5"/>
  <c r="K1694" i="5" s="1"/>
  <c r="G1275" i="5"/>
  <c r="C1275" i="5" s="1"/>
  <c r="C1274" i="5"/>
  <c r="O412" i="5"/>
  <c r="K412" i="5" s="1"/>
  <c r="K411" i="5"/>
  <c r="K1789" i="5"/>
  <c r="O1790" i="5"/>
  <c r="G1111" i="5"/>
  <c r="C1111" i="5" s="1"/>
  <c r="C1110" i="5"/>
  <c r="C770" i="5"/>
  <c r="G771" i="5"/>
  <c r="O774" i="5"/>
  <c r="K773" i="5"/>
  <c r="O717" i="5"/>
  <c r="K717" i="5" s="1"/>
  <c r="K716" i="5"/>
  <c r="O969" i="5"/>
  <c r="K969" i="5" s="1"/>
  <c r="K968" i="5"/>
  <c r="AJ7" i="5"/>
  <c r="AG7" i="5"/>
  <c r="G1123" i="5"/>
  <c r="C1122" i="5"/>
  <c r="O1246" i="5"/>
  <c r="K1246" i="5" s="1"/>
  <c r="K1245" i="5"/>
  <c r="O900" i="5"/>
  <c r="K899" i="5"/>
  <c r="K1489" i="5"/>
  <c r="O1490" i="5"/>
  <c r="K1490" i="5" s="1"/>
  <c r="G1047" i="5"/>
  <c r="C1047" i="5" s="1"/>
  <c r="C1046" i="5"/>
  <c r="O1350" i="5"/>
  <c r="K1350" i="5" s="1"/>
  <c r="K1349" i="5"/>
  <c r="G49" i="5"/>
  <c r="C48" i="5"/>
  <c r="O1330" i="5"/>
  <c r="K1330" i="5" s="1"/>
  <c r="K1329" i="5"/>
  <c r="O164" i="5"/>
  <c r="K164" i="5" s="1"/>
  <c r="K163" i="5"/>
  <c r="G1369" i="5"/>
  <c r="C1369" i="5" s="1"/>
  <c r="C1368" i="5"/>
  <c r="C667" i="5"/>
  <c r="G668" i="5"/>
  <c r="C668" i="5" s="1"/>
  <c r="K1562" i="5"/>
  <c r="O1563" i="5"/>
  <c r="AH7" i="5"/>
  <c r="G619" i="5" l="1"/>
  <c r="C619" i="5" s="1"/>
  <c r="C618" i="5"/>
  <c r="AK6" i="5"/>
  <c r="AJ4" i="5"/>
  <c r="AB10" i="5"/>
  <c r="S10" i="5"/>
  <c r="AK4" i="5"/>
  <c r="AG4" i="5"/>
  <c r="AE4" i="5"/>
  <c r="AH4" i="5"/>
  <c r="AG10" i="5"/>
  <c r="V4" i="5"/>
  <c r="AC10" i="5"/>
  <c r="AI6" i="5"/>
  <c r="W4" i="5"/>
  <c r="Y10" i="5"/>
  <c r="AJ6" i="5"/>
  <c r="AI4" i="5"/>
  <c r="AD4" i="5"/>
  <c r="AH10" i="5"/>
  <c r="AA10" i="5"/>
  <c r="U4" i="5"/>
  <c r="X10" i="5"/>
  <c r="S4" i="5"/>
  <c r="AI10" i="5"/>
  <c r="AD10" i="5"/>
  <c r="AL4" i="5"/>
  <c r="AF10" i="5"/>
  <c r="AF5" i="5"/>
  <c r="U10" i="5"/>
  <c r="AF4" i="5"/>
  <c r="AG5" i="5"/>
  <c r="AF11" i="5"/>
  <c r="AA4" i="5"/>
  <c r="AJ10" i="5"/>
  <c r="AE10" i="5"/>
  <c r="Y4" i="5"/>
  <c r="G1565" i="5"/>
  <c r="C1564" i="5"/>
  <c r="G104" i="5"/>
  <c r="C103" i="5"/>
  <c r="X4" i="5"/>
  <c r="V10" i="5"/>
  <c r="Z4" i="5"/>
  <c r="O1077" i="5"/>
  <c r="K1076" i="5"/>
  <c r="G1789" i="5"/>
  <c r="C1788" i="5"/>
  <c r="AL6" i="5"/>
  <c r="C899" i="5"/>
  <c r="G900" i="5"/>
  <c r="O878" i="5"/>
  <c r="K877" i="5"/>
  <c r="K730" i="5"/>
  <c r="O731" i="5"/>
  <c r="O1564" i="5"/>
  <c r="K1563" i="5"/>
  <c r="AK7" i="5"/>
  <c r="AI7" i="5"/>
  <c r="AH5" i="5"/>
  <c r="AL7" i="5"/>
  <c r="AH11" i="5"/>
  <c r="AJ11" i="5"/>
  <c r="AJ5" i="5"/>
  <c r="K774" i="5"/>
  <c r="O775" i="5"/>
  <c r="AL5" i="5"/>
  <c r="C1123" i="5"/>
  <c r="G1124" i="5"/>
  <c r="C771" i="5"/>
  <c r="G772" i="5"/>
  <c r="K1790" i="5"/>
  <c r="O1791" i="5"/>
  <c r="AI11" i="5"/>
  <c r="AK5" i="5"/>
  <c r="Q3" i="2"/>
  <c r="P53" i="2"/>
  <c r="P97" i="2" s="1"/>
  <c r="P4" i="2"/>
  <c r="O1122" i="5"/>
  <c r="K1121" i="5"/>
  <c r="O104" i="5"/>
  <c r="K103" i="5"/>
  <c r="C877" i="5"/>
  <c r="G878" i="5"/>
  <c r="C727" i="5"/>
  <c r="G728" i="5"/>
  <c r="G50" i="5"/>
  <c r="C49" i="5"/>
  <c r="O901" i="5"/>
  <c r="K900" i="5"/>
  <c r="C1075" i="5"/>
  <c r="G1076" i="5"/>
  <c r="O48" i="5"/>
  <c r="K47" i="5"/>
  <c r="O1078" i="5" l="1"/>
  <c r="K1077" i="5"/>
  <c r="C1789" i="5"/>
  <c r="G1790" i="5"/>
  <c r="C104" i="5"/>
  <c r="G105" i="5"/>
  <c r="G1566" i="5"/>
  <c r="C1565" i="5"/>
  <c r="O776" i="5"/>
  <c r="K775" i="5"/>
  <c r="C1076" i="5"/>
  <c r="G1077" i="5"/>
  <c r="O49" i="5"/>
  <c r="K48" i="5"/>
  <c r="K1122" i="5"/>
  <c r="O1123" i="5"/>
  <c r="O1792" i="5"/>
  <c r="K1791" i="5"/>
  <c r="K878" i="5"/>
  <c r="O879" i="5"/>
  <c r="O902" i="5"/>
  <c r="K901" i="5"/>
  <c r="G729" i="5"/>
  <c r="C728" i="5"/>
  <c r="G1125" i="5"/>
  <c r="C1124" i="5"/>
  <c r="K1564" i="5"/>
  <c r="O1565" i="5"/>
  <c r="G901" i="5"/>
  <c r="C900" i="5"/>
  <c r="G51" i="5"/>
  <c r="C50" i="5"/>
  <c r="K104" i="5"/>
  <c r="O105" i="5"/>
  <c r="R3" i="2"/>
  <c r="Q53" i="2"/>
  <c r="Q97" i="2" s="1"/>
  <c r="Q4" i="2"/>
  <c r="C772" i="5"/>
  <c r="G773" i="5"/>
  <c r="G879" i="5"/>
  <c r="C878" i="5"/>
  <c r="O732" i="5"/>
  <c r="K731" i="5"/>
  <c r="G1567" i="5" l="1"/>
  <c r="C1566" i="5"/>
  <c r="C105" i="5"/>
  <c r="G106" i="5"/>
  <c r="K1078" i="5"/>
  <c r="O1079" i="5"/>
  <c r="G1791" i="5"/>
  <c r="C1790" i="5"/>
  <c r="G774" i="5"/>
  <c r="C773" i="5"/>
  <c r="O106" i="5"/>
  <c r="K105" i="5"/>
  <c r="K902" i="5"/>
  <c r="O903" i="5"/>
  <c r="O50" i="5"/>
  <c r="K49" i="5"/>
  <c r="C879" i="5"/>
  <c r="G880" i="5"/>
  <c r="K1565" i="5"/>
  <c r="O1566" i="5"/>
  <c r="S3" i="2"/>
  <c r="R53" i="2"/>
  <c r="R97" i="2" s="1"/>
  <c r="R4" i="2"/>
  <c r="G52" i="5"/>
  <c r="C51" i="5"/>
  <c r="C729" i="5"/>
  <c r="G730" i="5"/>
  <c r="G1078" i="5"/>
  <c r="C1077" i="5"/>
  <c r="G902" i="5"/>
  <c r="C901" i="5"/>
  <c r="O777" i="5"/>
  <c r="K777" i="5" s="1"/>
  <c r="K776" i="5"/>
  <c r="O733" i="5"/>
  <c r="K732" i="5"/>
  <c r="O1124" i="5"/>
  <c r="K1123" i="5"/>
  <c r="O1793" i="5"/>
  <c r="K1792" i="5"/>
  <c r="G1126" i="5"/>
  <c r="C1125" i="5"/>
  <c r="K879" i="5"/>
  <c r="O880" i="5"/>
  <c r="G107" i="5" l="1"/>
  <c r="C106" i="5"/>
  <c r="K1079" i="5"/>
  <c r="O1080" i="5"/>
  <c r="G1792" i="5"/>
  <c r="C1791" i="5"/>
  <c r="C1567" i="5"/>
  <c r="G1568" i="5"/>
  <c r="T3" i="2"/>
  <c r="S4" i="2"/>
  <c r="S53" i="2"/>
  <c r="S97" i="2" s="1"/>
  <c r="O734" i="5"/>
  <c r="K734" i="5" s="1"/>
  <c r="K733" i="5"/>
  <c r="K106" i="5"/>
  <c r="O107" i="5"/>
  <c r="O881" i="5"/>
  <c r="K880" i="5"/>
  <c r="K1793" i="5"/>
  <c r="O1794" i="5"/>
  <c r="K1566" i="5"/>
  <c r="O1567" i="5"/>
  <c r="G731" i="5"/>
  <c r="C730" i="5"/>
  <c r="K903" i="5"/>
  <c r="O904" i="5"/>
  <c r="G1127" i="5"/>
  <c r="C1126" i="5"/>
  <c r="G1079" i="5"/>
  <c r="C1078" i="5"/>
  <c r="K50" i="5"/>
  <c r="O51" i="5"/>
  <c r="C774" i="5"/>
  <c r="G775" i="5"/>
  <c r="O1125" i="5"/>
  <c r="K1124" i="5"/>
  <c r="G53" i="5"/>
  <c r="C52" i="5"/>
  <c r="C880" i="5"/>
  <c r="G881" i="5"/>
  <c r="C902" i="5"/>
  <c r="G903" i="5"/>
  <c r="C1568" i="5" l="1"/>
  <c r="G1569" i="5"/>
  <c r="O1081" i="5"/>
  <c r="K1080" i="5"/>
  <c r="G1793" i="5"/>
  <c r="C1792" i="5"/>
  <c r="C107" i="5"/>
  <c r="G108" i="5"/>
  <c r="C108" i="5" s="1"/>
  <c r="C1079" i="5"/>
  <c r="G1080" i="5"/>
  <c r="C731" i="5"/>
  <c r="G732" i="5"/>
  <c r="T4" i="2"/>
  <c r="U3" i="2"/>
  <c r="T53" i="2"/>
  <c r="T97" i="2" s="1"/>
  <c r="O52" i="5"/>
  <c r="K51" i="5"/>
  <c r="G54" i="5"/>
  <c r="C54" i="5" s="1"/>
  <c r="C53" i="5"/>
  <c r="AK100" i="5" s="1"/>
  <c r="O1568" i="5"/>
  <c r="K1567" i="5"/>
  <c r="G882" i="5"/>
  <c r="C881" i="5"/>
  <c r="O1126" i="5"/>
  <c r="K1125" i="5"/>
  <c r="K1794" i="5"/>
  <c r="O1795" i="5"/>
  <c r="C903" i="5"/>
  <c r="G904" i="5"/>
  <c r="C775" i="5"/>
  <c r="G776" i="5"/>
  <c r="O905" i="5"/>
  <c r="K904" i="5"/>
  <c r="O882" i="5"/>
  <c r="K881" i="5"/>
  <c r="C1127" i="5"/>
  <c r="G1128" i="5"/>
  <c r="O108" i="5"/>
  <c r="K108" i="5" s="1"/>
  <c r="K107" i="5"/>
  <c r="G1570" i="5" l="1"/>
  <c r="C1569" i="5"/>
  <c r="G1794" i="5"/>
  <c r="C1793" i="5"/>
  <c r="K1081" i="5"/>
  <c r="O1082" i="5"/>
  <c r="G883" i="5"/>
  <c r="C883" i="5" s="1"/>
  <c r="C882" i="5"/>
  <c r="G1129" i="5"/>
  <c r="C1129" i="5" s="1"/>
  <c r="C1128" i="5"/>
  <c r="C776" i="5"/>
  <c r="G777" i="5"/>
  <c r="C777" i="5" s="1"/>
  <c r="O1569" i="5"/>
  <c r="K1568" i="5"/>
  <c r="O906" i="5"/>
  <c r="K905" i="5"/>
  <c r="C904" i="5"/>
  <c r="G905" i="5"/>
  <c r="G1081" i="5"/>
  <c r="C1080" i="5"/>
  <c r="G733" i="5"/>
  <c r="C732" i="5"/>
  <c r="O1796" i="5"/>
  <c r="K1795" i="5"/>
  <c r="O53" i="5"/>
  <c r="K52" i="5"/>
  <c r="K1126" i="5"/>
  <c r="O1127" i="5"/>
  <c r="K882" i="5"/>
  <c r="O883" i="5"/>
  <c r="K883" i="5" s="1"/>
  <c r="U53" i="2"/>
  <c r="U97" i="2" s="1"/>
  <c r="U4" i="2"/>
  <c r="V3" i="2"/>
  <c r="C1794" i="5" l="1"/>
  <c r="G1795" i="5"/>
  <c r="K1082" i="5"/>
  <c r="O1083" i="5"/>
  <c r="K1083" i="5" s="1"/>
  <c r="C1570" i="5"/>
  <c r="G1571" i="5"/>
  <c r="V4" i="2"/>
  <c r="W3" i="2"/>
  <c r="V53" i="2"/>
  <c r="V97" i="2" s="1"/>
  <c r="K53" i="5"/>
  <c r="O54" i="5"/>
  <c r="K54" i="5" s="1"/>
  <c r="K1569" i="5"/>
  <c r="O1570" i="5"/>
  <c r="O1797" i="5"/>
  <c r="K1796" i="5"/>
  <c r="G906" i="5"/>
  <c r="C905" i="5"/>
  <c r="C733" i="5"/>
  <c r="G734" i="5"/>
  <c r="C734" i="5" s="1"/>
  <c r="K906" i="5"/>
  <c r="O907" i="5"/>
  <c r="K907" i="5" s="1"/>
  <c r="O1128" i="5"/>
  <c r="K1127" i="5"/>
  <c r="G1082" i="5"/>
  <c r="C1081" i="5"/>
  <c r="C1571" i="5" l="1"/>
  <c r="G1572" i="5"/>
  <c r="C1572" i="5" s="1"/>
  <c r="G1796" i="5"/>
  <c r="C1795" i="5"/>
  <c r="G907" i="5"/>
  <c r="C907" i="5" s="1"/>
  <c r="C906" i="5"/>
  <c r="W4" i="2"/>
  <c r="X3" i="2"/>
  <c r="W53" i="2"/>
  <c r="W97" i="2" s="1"/>
  <c r="G1083" i="5"/>
  <c r="C1083" i="5" s="1"/>
  <c r="C1082" i="5"/>
  <c r="K1570" i="5"/>
  <c r="O1571" i="5"/>
  <c r="O1129" i="5"/>
  <c r="K1129" i="5" s="1"/>
  <c r="K1128" i="5"/>
  <c r="K1797" i="5"/>
  <c r="O1798" i="5"/>
  <c r="G1797" i="5" l="1"/>
  <c r="C1796" i="5"/>
  <c r="K1571" i="5"/>
  <c r="O1572" i="5"/>
  <c r="K1572" i="5" s="1"/>
  <c r="X4" i="2"/>
  <c r="X53" i="2"/>
  <c r="X97" i="2" s="1"/>
  <c r="K1798" i="5"/>
  <c r="O1799" i="5"/>
  <c r="C1797" i="5" l="1"/>
  <c r="G1798" i="5"/>
  <c r="O1800" i="5"/>
  <c r="K1799" i="5"/>
  <c r="G1799" i="5" l="1"/>
  <c r="C1798" i="5"/>
  <c r="K1800" i="5"/>
  <c r="O1801" i="5"/>
  <c r="C1799" i="5" l="1"/>
  <c r="G1800" i="5"/>
  <c r="K1801" i="5"/>
  <c r="O1802" i="5"/>
  <c r="G1801" i="5" l="1"/>
  <c r="C1800" i="5"/>
  <c r="K1802" i="5"/>
  <c r="O1803" i="5"/>
  <c r="G1802" i="5" l="1"/>
  <c r="C1801" i="5"/>
  <c r="O1804" i="5"/>
  <c r="K1803" i="5"/>
  <c r="G1803" i="5" l="1"/>
  <c r="C1802" i="5"/>
  <c r="O1805" i="5"/>
  <c r="K1804" i="5"/>
  <c r="C1803" i="5" l="1"/>
  <c r="G1804" i="5"/>
  <c r="K1805" i="5"/>
  <c r="O1806" i="5"/>
  <c r="G1805" i="5" l="1"/>
  <c r="C1804" i="5"/>
  <c r="K1806" i="5"/>
  <c r="O1807" i="5"/>
  <c r="G1806" i="5" l="1"/>
  <c r="C1805" i="5"/>
  <c r="K1807" i="5"/>
  <c r="O1808" i="5"/>
  <c r="C1806" i="5" l="1"/>
  <c r="G1807" i="5"/>
  <c r="O1809" i="5"/>
  <c r="K1808" i="5"/>
  <c r="C1807" i="5" l="1"/>
  <c r="G1808" i="5"/>
  <c r="K1809" i="5"/>
  <c r="O1810" i="5"/>
  <c r="G1809" i="5" l="1"/>
  <c r="C1808" i="5"/>
  <c r="K1810" i="5"/>
  <c r="O1811" i="5"/>
  <c r="G1810" i="5" l="1"/>
  <c r="C1809" i="5"/>
  <c r="O1812" i="5"/>
  <c r="K1811" i="5"/>
  <c r="C1810" i="5" l="1"/>
  <c r="G1811" i="5"/>
  <c r="O1813" i="5"/>
  <c r="K1812" i="5"/>
  <c r="C1811" i="5" l="1"/>
  <c r="G1812" i="5"/>
  <c r="K1813" i="5"/>
  <c r="O1814" i="5"/>
  <c r="G1813" i="5" l="1"/>
  <c r="C1812" i="5"/>
  <c r="K1814" i="5"/>
  <c r="O1815" i="5"/>
  <c r="G1814" i="5" l="1"/>
  <c r="C1813" i="5"/>
  <c r="K1815" i="5"/>
  <c r="O1816" i="5"/>
  <c r="G1815" i="5" l="1"/>
  <c r="C1814" i="5"/>
  <c r="O1817" i="5"/>
  <c r="K1816" i="5"/>
  <c r="C1815" i="5" l="1"/>
  <c r="G1816" i="5"/>
  <c r="K1817" i="5"/>
  <c r="O1818" i="5"/>
  <c r="G1817" i="5" l="1"/>
  <c r="C1816" i="5"/>
  <c r="K1818" i="5"/>
  <c r="O1819" i="5"/>
  <c r="C1817" i="5" l="1"/>
  <c r="G1818" i="5"/>
  <c r="O1820" i="5"/>
  <c r="K1819" i="5"/>
  <c r="C1818" i="5" l="1"/>
  <c r="G1819" i="5"/>
  <c r="O1821" i="5"/>
  <c r="K1820" i="5"/>
  <c r="G1820" i="5" l="1"/>
  <c r="C1819" i="5"/>
  <c r="K1821" i="5"/>
  <c r="O1822" i="5"/>
  <c r="G1821" i="5" l="1"/>
  <c r="C1820" i="5"/>
  <c r="K1822" i="5"/>
  <c r="O1823" i="5"/>
  <c r="G1822" i="5" l="1"/>
  <c r="C1821" i="5"/>
  <c r="O1824" i="5"/>
  <c r="K1823" i="5"/>
  <c r="G1823" i="5" l="1"/>
  <c r="C1822" i="5"/>
  <c r="O1825" i="5"/>
  <c r="K1824" i="5"/>
  <c r="C1823" i="5" l="1"/>
  <c r="G1824" i="5"/>
  <c r="K1825" i="5"/>
  <c r="O1826" i="5"/>
  <c r="G1825" i="5" l="1"/>
  <c r="C1824" i="5"/>
  <c r="K1826" i="5"/>
  <c r="O1827" i="5"/>
  <c r="G1826" i="5" l="1"/>
  <c r="C1825" i="5"/>
  <c r="O1828" i="5"/>
  <c r="K1827" i="5"/>
  <c r="G1827" i="5" l="1"/>
  <c r="C1826" i="5"/>
  <c r="K1828" i="5"/>
  <c r="O1829" i="5"/>
  <c r="C1827" i="5" l="1"/>
  <c r="G1828" i="5"/>
  <c r="K1829" i="5"/>
  <c r="O1830" i="5"/>
  <c r="G1829" i="5" l="1"/>
  <c r="C1828" i="5"/>
  <c r="K1830" i="5"/>
  <c r="O1831" i="5"/>
  <c r="G1830" i="5" l="1"/>
  <c r="C1829" i="5"/>
  <c r="O1832" i="5"/>
  <c r="K1831" i="5"/>
  <c r="C1830" i="5" l="1"/>
  <c r="G1831" i="5"/>
  <c r="O1833" i="5"/>
  <c r="K1832" i="5"/>
  <c r="C1831" i="5" l="1"/>
  <c r="G1832" i="5"/>
  <c r="K1833" i="5"/>
  <c r="O1834" i="5"/>
  <c r="G1833" i="5" l="1"/>
  <c r="C1832" i="5"/>
  <c r="K1834" i="5"/>
  <c r="O1835" i="5"/>
  <c r="C1833" i="5" l="1"/>
  <c r="G1834" i="5"/>
  <c r="O1836" i="5"/>
  <c r="K1835" i="5"/>
  <c r="G1835" i="5" l="1"/>
  <c r="C1834" i="5"/>
  <c r="K1836" i="5"/>
  <c r="O1837" i="5"/>
  <c r="C1835" i="5" l="1"/>
  <c r="G1836" i="5"/>
  <c r="K1837" i="5"/>
  <c r="O1838" i="5"/>
  <c r="C1836" i="5" l="1"/>
  <c r="G1837" i="5"/>
  <c r="K1838" i="5"/>
  <c r="O1839" i="5"/>
  <c r="G1838" i="5" l="1"/>
  <c r="C1837" i="5"/>
  <c r="O1840" i="5"/>
  <c r="K1839" i="5"/>
  <c r="G1839" i="5" l="1"/>
  <c r="C1838" i="5"/>
  <c r="O1841" i="5"/>
  <c r="K1840" i="5"/>
  <c r="C1839" i="5" l="1"/>
  <c r="G1840" i="5"/>
  <c r="K1841" i="5"/>
  <c r="O1842" i="5"/>
  <c r="C1840" i="5" l="1"/>
  <c r="G1841" i="5"/>
  <c r="K1842" i="5"/>
  <c r="O1843" i="5"/>
  <c r="G1842" i="5" l="1"/>
  <c r="C1841" i="5"/>
  <c r="K1843" i="5"/>
  <c r="O1844" i="5"/>
  <c r="G1843" i="5" l="1"/>
  <c r="C1842" i="5"/>
  <c r="O1845" i="5"/>
  <c r="K1844" i="5"/>
  <c r="C1843" i="5" l="1"/>
  <c r="G1844" i="5"/>
  <c r="K1845" i="5"/>
  <c r="O1846" i="5"/>
  <c r="G1845" i="5" l="1"/>
  <c r="C1844" i="5"/>
  <c r="K1846" i="5"/>
  <c r="O1847" i="5"/>
  <c r="G1846" i="5" l="1"/>
  <c r="C1845" i="5"/>
  <c r="O1848" i="5"/>
  <c r="K1847" i="5"/>
  <c r="G1847" i="5" l="1"/>
  <c r="C1846" i="5"/>
  <c r="O1849" i="5"/>
  <c r="K1848" i="5"/>
  <c r="C1847" i="5" l="1"/>
  <c r="G1848" i="5"/>
  <c r="K1849" i="5"/>
  <c r="O1850" i="5"/>
  <c r="C1848" i="5" l="1"/>
  <c r="G1849" i="5"/>
  <c r="K1850" i="5"/>
  <c r="O1851" i="5"/>
  <c r="C1849" i="5" l="1"/>
  <c r="G1850" i="5"/>
  <c r="K1851" i="5"/>
  <c r="O1852" i="5"/>
  <c r="G1851" i="5" l="1"/>
  <c r="C1850" i="5"/>
  <c r="K1852" i="5"/>
  <c r="O1853" i="5"/>
  <c r="G1852" i="5" l="1"/>
  <c r="C1851" i="5"/>
  <c r="K1853" i="5"/>
  <c r="O1854" i="5"/>
  <c r="C1852" i="5" l="1"/>
  <c r="G1853" i="5"/>
  <c r="K1854" i="5"/>
  <c r="O1855" i="5"/>
  <c r="G1854" i="5" l="1"/>
  <c r="C1853" i="5"/>
  <c r="O1856" i="5"/>
  <c r="K1855" i="5"/>
  <c r="G1855" i="5" l="1"/>
  <c r="C1854" i="5"/>
  <c r="K1856" i="5"/>
  <c r="O1857" i="5"/>
  <c r="C1855" i="5" l="1"/>
  <c r="G1856" i="5"/>
  <c r="O1858" i="5"/>
  <c r="K1857" i="5"/>
  <c r="G1857" i="5" l="1"/>
  <c r="C1856" i="5"/>
  <c r="K1858" i="5"/>
  <c r="O1859" i="5"/>
  <c r="G1858" i="5" l="1"/>
  <c r="C1857" i="5"/>
  <c r="O1860" i="5"/>
  <c r="K1859" i="5"/>
  <c r="C1858" i="5" l="1"/>
  <c r="G1859" i="5"/>
  <c r="K1860" i="5"/>
  <c r="O1861" i="5"/>
  <c r="C1859" i="5" l="1"/>
  <c r="G1860" i="5"/>
  <c r="O1862" i="5"/>
  <c r="K1861" i="5"/>
  <c r="C1860" i="5" l="1"/>
  <c r="G1861" i="5"/>
  <c r="K1862" i="5"/>
  <c r="O1863" i="5"/>
  <c r="C1861" i="5" l="1"/>
  <c r="G1862" i="5"/>
  <c r="O1864" i="5"/>
  <c r="K1863" i="5"/>
  <c r="G1863" i="5" l="1"/>
  <c r="C1862" i="5"/>
  <c r="O1865" i="5"/>
  <c r="K1864" i="5"/>
  <c r="C1863" i="5" l="1"/>
  <c r="G1864" i="5"/>
  <c r="O1866" i="5"/>
  <c r="K1865" i="5"/>
  <c r="C1864" i="5" l="1"/>
  <c r="G1865" i="5"/>
  <c r="K1866" i="5"/>
  <c r="O1867" i="5"/>
  <c r="C1865" i="5" l="1"/>
  <c r="G1866" i="5"/>
  <c r="O1868" i="5"/>
  <c r="K1867" i="5"/>
  <c r="G1867" i="5" l="1"/>
  <c r="C1866" i="5"/>
  <c r="O1869" i="5"/>
  <c r="K1868" i="5"/>
  <c r="C1867" i="5" l="1"/>
  <c r="G1868" i="5"/>
  <c r="K1869" i="5"/>
  <c r="O1870" i="5"/>
  <c r="G1869" i="5" l="1"/>
  <c r="C1868" i="5"/>
  <c r="K1870" i="5"/>
  <c r="O1871" i="5"/>
  <c r="C1869" i="5" l="1"/>
  <c r="G1870" i="5"/>
  <c r="O1872" i="5"/>
  <c r="K1871" i="5"/>
  <c r="C1870" i="5" l="1"/>
  <c r="G1871" i="5"/>
  <c r="O1873" i="5"/>
  <c r="K1872" i="5"/>
  <c r="G1872" i="5" l="1"/>
  <c r="C1871" i="5"/>
  <c r="O1874" i="5"/>
  <c r="K1873" i="5"/>
  <c r="C1872" i="5" l="1"/>
  <c r="G1873" i="5"/>
  <c r="K1874" i="5"/>
  <c r="O1875" i="5"/>
  <c r="C1873" i="5" l="1"/>
  <c r="G1874" i="5"/>
  <c r="O1876" i="5"/>
  <c r="K1875" i="5"/>
  <c r="G1875" i="5" l="1"/>
  <c r="C1874" i="5"/>
  <c r="K1876" i="5"/>
  <c r="O1877" i="5"/>
  <c r="C1875" i="5" l="1"/>
  <c r="G1876" i="5"/>
  <c r="O1878" i="5"/>
  <c r="K1877" i="5"/>
  <c r="G1877" i="5" l="1"/>
  <c r="C1876" i="5"/>
  <c r="K1878" i="5"/>
  <c r="O1879" i="5"/>
  <c r="C1877" i="5" l="1"/>
  <c r="G1878" i="5"/>
  <c r="O1880" i="5"/>
  <c r="K1879" i="5"/>
  <c r="G1879" i="5" l="1"/>
  <c r="C1878" i="5"/>
  <c r="K1880" i="5"/>
  <c r="O1881" i="5"/>
  <c r="C1879" i="5" l="1"/>
  <c r="G1880" i="5"/>
  <c r="O1882" i="5"/>
  <c r="K1881" i="5"/>
  <c r="G1881" i="5" l="1"/>
  <c r="C1880" i="5"/>
  <c r="K1882" i="5"/>
  <c r="O1883" i="5"/>
  <c r="G1882" i="5" l="1"/>
  <c r="C1881" i="5"/>
  <c r="K1883" i="5"/>
  <c r="O1884" i="5"/>
  <c r="G1883" i="5" l="1"/>
  <c r="C1882" i="5"/>
  <c r="K1884" i="5"/>
  <c r="O1885" i="5"/>
  <c r="C1883" i="5" l="1"/>
  <c r="G1884" i="5"/>
  <c r="O1886" i="5"/>
  <c r="K1885" i="5"/>
  <c r="C1884" i="5" l="1"/>
  <c r="G1885" i="5"/>
  <c r="K1886" i="5"/>
  <c r="O1887" i="5"/>
  <c r="C1885" i="5" l="1"/>
  <c r="G1886" i="5"/>
  <c r="O1888" i="5"/>
  <c r="K1887" i="5"/>
  <c r="G1887" i="5" l="1"/>
  <c r="C1886" i="5"/>
  <c r="O1889" i="5"/>
  <c r="K1888" i="5"/>
  <c r="C1887" i="5" l="1"/>
  <c r="G1888" i="5"/>
  <c r="O1890" i="5"/>
  <c r="K1889" i="5"/>
  <c r="G1889" i="5" l="1"/>
  <c r="C1888" i="5"/>
  <c r="K1890" i="5"/>
  <c r="O1891" i="5"/>
  <c r="C1889" i="5" l="1"/>
  <c r="G1890" i="5"/>
  <c r="O1892" i="5"/>
  <c r="K1891" i="5"/>
  <c r="G1891" i="5" l="1"/>
  <c r="C1890" i="5"/>
  <c r="K1892" i="5"/>
  <c r="O1893" i="5"/>
  <c r="C1891" i="5" l="1"/>
  <c r="G1892" i="5"/>
  <c r="K1893" i="5"/>
  <c r="O1894" i="5"/>
  <c r="G1893" i="5" l="1"/>
  <c r="C1892" i="5"/>
  <c r="K1894" i="5"/>
  <c r="O1895" i="5"/>
  <c r="C1893" i="5" l="1"/>
  <c r="G1894" i="5"/>
  <c r="O1896" i="5"/>
  <c r="K1895" i="5"/>
  <c r="G1895" i="5" l="1"/>
  <c r="C1894" i="5"/>
  <c r="O1897" i="5"/>
  <c r="K1896" i="5"/>
  <c r="G1896" i="5" l="1"/>
  <c r="C1895" i="5"/>
  <c r="O1898" i="5"/>
  <c r="K1897" i="5"/>
  <c r="G1897" i="5" l="1"/>
  <c r="C1896" i="5"/>
  <c r="K1898" i="5"/>
  <c r="O1899" i="5"/>
  <c r="G1898" i="5" l="1"/>
  <c r="C1897" i="5"/>
  <c r="O1900" i="5"/>
  <c r="K1899" i="5"/>
  <c r="G1899" i="5" l="1"/>
  <c r="C1898" i="5"/>
  <c r="O1901" i="5"/>
  <c r="K1900" i="5"/>
  <c r="C1899" i="5" l="1"/>
  <c r="G1900" i="5"/>
  <c r="K1901" i="5"/>
  <c r="O1902" i="5"/>
  <c r="C1900" i="5" l="1"/>
  <c r="G1901" i="5"/>
  <c r="K1902" i="5"/>
  <c r="O1903" i="5"/>
  <c r="G1902" i="5" l="1"/>
  <c r="C1901" i="5"/>
  <c r="O1904" i="5"/>
  <c r="K1903" i="5"/>
  <c r="C1902" i="5" l="1"/>
  <c r="G1903" i="5"/>
  <c r="K1904" i="5"/>
  <c r="O1905" i="5"/>
  <c r="C1903" i="5" l="1"/>
  <c r="G1904" i="5"/>
  <c r="O1906" i="5"/>
  <c r="K1905" i="5"/>
  <c r="C1904" i="5" l="1"/>
  <c r="G1905" i="5"/>
  <c r="K1906" i="5"/>
  <c r="O1907" i="5"/>
  <c r="C1905" i="5" l="1"/>
  <c r="G1906" i="5"/>
  <c r="K1907" i="5"/>
  <c r="O1908" i="5"/>
  <c r="G1907" i="5" l="1"/>
  <c r="C1906" i="5"/>
  <c r="K1908" i="5"/>
  <c r="O1909" i="5"/>
  <c r="G1908" i="5" l="1"/>
  <c r="C1907" i="5"/>
  <c r="O1910" i="5"/>
  <c r="K1909" i="5"/>
  <c r="C1908" i="5" l="1"/>
  <c r="G1909" i="5"/>
  <c r="K1910" i="5"/>
  <c r="O1911" i="5"/>
  <c r="C1909" i="5" l="1"/>
  <c r="G1910" i="5"/>
  <c r="K1911" i="5"/>
  <c r="O1912" i="5"/>
  <c r="G1911" i="5" l="1"/>
  <c r="C1910" i="5"/>
  <c r="O1913" i="5"/>
  <c r="K1912" i="5"/>
  <c r="C1911" i="5" l="1"/>
  <c r="G1912" i="5"/>
  <c r="O1914" i="5"/>
  <c r="K1913" i="5"/>
  <c r="G1913" i="5" l="1"/>
  <c r="C1912" i="5"/>
  <c r="K1914" i="5"/>
  <c r="O1915" i="5"/>
  <c r="C1913" i="5" l="1"/>
  <c r="G1914" i="5"/>
  <c r="K1915" i="5"/>
  <c r="O1916" i="5"/>
  <c r="C1914" i="5" l="1"/>
  <c r="G1915" i="5"/>
  <c r="O1917" i="5"/>
  <c r="K1916" i="5"/>
  <c r="C1915" i="5" l="1"/>
  <c r="G1916" i="5"/>
  <c r="K1917" i="5"/>
  <c r="O1918" i="5"/>
  <c r="C1916" i="5" l="1"/>
  <c r="G1917" i="5"/>
  <c r="K1918" i="5"/>
  <c r="O1919" i="5"/>
  <c r="G1918" i="5" l="1"/>
  <c r="C1917" i="5"/>
  <c r="O1920" i="5"/>
  <c r="K1919" i="5"/>
  <c r="G1919" i="5" l="1"/>
  <c r="C1918" i="5"/>
  <c r="O1921" i="5"/>
  <c r="K1920" i="5"/>
  <c r="G1920" i="5" l="1"/>
  <c r="C1919" i="5"/>
  <c r="O1922" i="5"/>
  <c r="K1921" i="5"/>
  <c r="C1920" i="5" l="1"/>
  <c r="G1921" i="5"/>
  <c r="K1922" i="5"/>
  <c r="O1923" i="5"/>
  <c r="C1921" i="5" l="1"/>
  <c r="G1922" i="5"/>
  <c r="O1924" i="5"/>
  <c r="K1923" i="5"/>
  <c r="C1922" i="5" l="1"/>
  <c r="G1923" i="5"/>
  <c r="K1924" i="5"/>
  <c r="O1925" i="5"/>
  <c r="G1924" i="5" l="1"/>
  <c r="C1923" i="5"/>
  <c r="K1925" i="5"/>
  <c r="O1926" i="5"/>
  <c r="C1924" i="5" l="1"/>
  <c r="G1925" i="5"/>
  <c r="K1926" i="5"/>
  <c r="O1927" i="5"/>
  <c r="C1925" i="5" l="1"/>
  <c r="G1926" i="5"/>
  <c r="O1928" i="5"/>
  <c r="K1927" i="5"/>
  <c r="C1926" i="5" l="1"/>
  <c r="G1927" i="5"/>
  <c r="O1929" i="5"/>
  <c r="K1928" i="5"/>
  <c r="C1927" i="5" l="1"/>
  <c r="G1928" i="5"/>
  <c r="K1929" i="5"/>
  <c r="O1930" i="5"/>
  <c r="C1928" i="5" l="1"/>
  <c r="G1929" i="5"/>
  <c r="K1930" i="5"/>
  <c r="O1931" i="5"/>
  <c r="C1929" i="5" l="1"/>
  <c r="G1930" i="5"/>
  <c r="K1931" i="5"/>
  <c r="O1932" i="5"/>
  <c r="G1931" i="5" l="1"/>
  <c r="C1930" i="5"/>
  <c r="O1933" i="5"/>
  <c r="K1932" i="5"/>
  <c r="G1932" i="5" l="1"/>
  <c r="C1931" i="5"/>
  <c r="K1933" i="5"/>
  <c r="O1934" i="5"/>
  <c r="G1933" i="5" l="1"/>
  <c r="C1932" i="5"/>
  <c r="K1934" i="5"/>
  <c r="O1935" i="5"/>
  <c r="G1934" i="5" l="1"/>
  <c r="C1933" i="5"/>
  <c r="K1935" i="5"/>
  <c r="O1936" i="5"/>
  <c r="G1935" i="5" l="1"/>
  <c r="C1934" i="5"/>
  <c r="O1937" i="5"/>
  <c r="K1936" i="5"/>
  <c r="C1935" i="5" l="1"/>
  <c r="G1936" i="5"/>
  <c r="O1938" i="5"/>
  <c r="K1937" i="5"/>
  <c r="C1936" i="5" l="1"/>
  <c r="G1937" i="5"/>
  <c r="K1938" i="5"/>
  <c r="O1939" i="5"/>
  <c r="C1937" i="5" l="1"/>
  <c r="G1938" i="5"/>
  <c r="K1939" i="5"/>
  <c r="O1940" i="5"/>
  <c r="C1938" i="5" l="1"/>
  <c r="G1939" i="5"/>
  <c r="O1941" i="5"/>
  <c r="K1940" i="5"/>
  <c r="C1939" i="5" l="1"/>
  <c r="G1940" i="5"/>
  <c r="O1942" i="5"/>
  <c r="K1941" i="5"/>
  <c r="C1940" i="5" l="1"/>
  <c r="G1941" i="5"/>
  <c r="K1942" i="5"/>
  <c r="O1943" i="5"/>
  <c r="G1942" i="5" l="1"/>
  <c r="C1941" i="5"/>
  <c r="O1944" i="5"/>
  <c r="K1943" i="5"/>
  <c r="C1942" i="5" l="1"/>
  <c r="G1943" i="5"/>
  <c r="O1945" i="5"/>
  <c r="K1944" i="5"/>
  <c r="G1944" i="5" l="1"/>
  <c r="C1943" i="5"/>
  <c r="O1946" i="5"/>
  <c r="K1945" i="5"/>
  <c r="C1944" i="5" l="1"/>
  <c r="G1945" i="5"/>
  <c r="K1946" i="5"/>
  <c r="O1947" i="5"/>
  <c r="C1945" i="5" l="1"/>
  <c r="G1946" i="5"/>
  <c r="K1947" i="5"/>
  <c r="O1948" i="5"/>
  <c r="C1946" i="5" l="1"/>
  <c r="G1947" i="5"/>
  <c r="O1949" i="5"/>
  <c r="K1948" i="5"/>
  <c r="C1947" i="5" l="1"/>
  <c r="G1948" i="5"/>
  <c r="K1949" i="5"/>
  <c r="O1950" i="5"/>
  <c r="G1949" i="5" l="1"/>
  <c r="C1948" i="5"/>
  <c r="K1950" i="5"/>
  <c r="O1951" i="5"/>
  <c r="G1950" i="5" l="1"/>
  <c r="C1949" i="5"/>
  <c r="O1952" i="5"/>
  <c r="K1951" i="5"/>
  <c r="G1951" i="5" l="1"/>
  <c r="C1950" i="5"/>
  <c r="O1953" i="5"/>
  <c r="K1952" i="5"/>
  <c r="C1951" i="5" l="1"/>
  <c r="G1952" i="5"/>
  <c r="K1953" i="5"/>
  <c r="O1954" i="5"/>
  <c r="G1953" i="5" l="1"/>
  <c r="C1952" i="5"/>
  <c r="K1954" i="5"/>
  <c r="O1955" i="5"/>
  <c r="C1953" i="5" l="1"/>
  <c r="G1954" i="5"/>
  <c r="O1956" i="5"/>
  <c r="K1955" i="5"/>
  <c r="C1954" i="5" l="1"/>
  <c r="G1955" i="5"/>
  <c r="K1956" i="5"/>
  <c r="O1957" i="5"/>
  <c r="C1955" i="5" l="1"/>
  <c r="G1956" i="5"/>
  <c r="K1957" i="5"/>
  <c r="O1958" i="5"/>
  <c r="C1956" i="5" l="1"/>
  <c r="G1957" i="5"/>
  <c r="K1958" i="5"/>
  <c r="O1959" i="5"/>
  <c r="C1957" i="5" l="1"/>
  <c r="G1958" i="5"/>
  <c r="K1959" i="5"/>
  <c r="O1960" i="5"/>
  <c r="C1958" i="5" l="1"/>
  <c r="G1959" i="5"/>
  <c r="O1961" i="5"/>
  <c r="K1960" i="5"/>
  <c r="C1959" i="5" l="1"/>
  <c r="G1960" i="5"/>
  <c r="O1962" i="5"/>
  <c r="K1961" i="5"/>
  <c r="C1960" i="5" l="1"/>
  <c r="G1961" i="5"/>
  <c r="K1962" i="5"/>
  <c r="O1963" i="5"/>
  <c r="C1961" i="5" l="1"/>
  <c r="G1962" i="5"/>
  <c r="K1963" i="5"/>
  <c r="O1964" i="5"/>
  <c r="G1963" i="5" l="1"/>
  <c r="C1962" i="5"/>
  <c r="O1965" i="5"/>
  <c r="K1964" i="5"/>
  <c r="C1963" i="5" l="1"/>
  <c r="G1964" i="5"/>
  <c r="K1965" i="5"/>
  <c r="O1966" i="5"/>
  <c r="G1965" i="5" l="1"/>
  <c r="C1964" i="5"/>
  <c r="K1966" i="5"/>
  <c r="O1967" i="5"/>
  <c r="C1965" i="5" l="1"/>
  <c r="G1966" i="5"/>
  <c r="O1968" i="5"/>
  <c r="K1967" i="5"/>
  <c r="C1966" i="5" l="1"/>
  <c r="G1967" i="5"/>
  <c r="O1969" i="5"/>
  <c r="K1968" i="5"/>
  <c r="C1967" i="5" l="1"/>
  <c r="G1968" i="5"/>
  <c r="O1970" i="5"/>
  <c r="K1969" i="5"/>
  <c r="C1968" i="5" l="1"/>
  <c r="G1969" i="5"/>
  <c r="K1970" i="5"/>
  <c r="O1971" i="5"/>
  <c r="C1969" i="5" l="1"/>
  <c r="G1970" i="5"/>
  <c r="O1972" i="5"/>
  <c r="K1971" i="5"/>
  <c r="C1970" i="5" l="1"/>
  <c r="G1971" i="5"/>
  <c r="O1973" i="5"/>
  <c r="K1972" i="5"/>
  <c r="G1972" i="5" l="1"/>
  <c r="C1971" i="5"/>
  <c r="O1974" i="5"/>
  <c r="K1973" i="5"/>
  <c r="C1972" i="5" l="1"/>
  <c r="G1973" i="5"/>
  <c r="K1974" i="5"/>
  <c r="O1975" i="5"/>
  <c r="G1974" i="5" l="1"/>
  <c r="C1973" i="5"/>
  <c r="O1976" i="5"/>
  <c r="K1975" i="5"/>
  <c r="G1975" i="5" l="1"/>
  <c r="C1974" i="5"/>
  <c r="O1977" i="5"/>
  <c r="K1976" i="5"/>
  <c r="C1975" i="5" l="1"/>
  <c r="G1976" i="5"/>
  <c r="K1977" i="5"/>
  <c r="O1978" i="5"/>
  <c r="G1977" i="5" l="1"/>
  <c r="C1976" i="5"/>
  <c r="K1978" i="5"/>
  <c r="O1979" i="5"/>
  <c r="G1978" i="5" l="1"/>
  <c r="C1977" i="5"/>
  <c r="K1979" i="5"/>
  <c r="O1980" i="5"/>
  <c r="C1978" i="5" l="1"/>
  <c r="G1979" i="5"/>
  <c r="K1980" i="5"/>
  <c r="O1981" i="5"/>
  <c r="C1979" i="5" l="1"/>
  <c r="G1980" i="5"/>
  <c r="K1981" i="5"/>
  <c r="O1982" i="5"/>
  <c r="C1980" i="5" l="1"/>
  <c r="G1981" i="5"/>
  <c r="K1982" i="5"/>
  <c r="O1983" i="5"/>
  <c r="C1981" i="5" l="1"/>
  <c r="G1982" i="5"/>
  <c r="O1984" i="5"/>
  <c r="K1983" i="5"/>
  <c r="C1982" i="5" l="1"/>
  <c r="G1983" i="5"/>
  <c r="K1984" i="5"/>
  <c r="O1985" i="5"/>
  <c r="C1983" i="5" l="1"/>
  <c r="G1984" i="5"/>
  <c r="O1986" i="5"/>
  <c r="K1985" i="5"/>
  <c r="C1984" i="5" l="1"/>
  <c r="G1985" i="5"/>
  <c r="K1986" i="5"/>
  <c r="O1987" i="5"/>
  <c r="G1986" i="5" l="1"/>
  <c r="C1985" i="5"/>
  <c r="O1988" i="5"/>
  <c r="K1987" i="5"/>
  <c r="G1987" i="5" l="1"/>
  <c r="C1986" i="5"/>
  <c r="K1988" i="5"/>
  <c r="O1989" i="5"/>
  <c r="C1987" i="5" l="1"/>
  <c r="G1988" i="5"/>
  <c r="O1990" i="5"/>
  <c r="K1989" i="5"/>
  <c r="C1988" i="5" l="1"/>
  <c r="G1989" i="5"/>
  <c r="K1990" i="5"/>
  <c r="O1991" i="5"/>
  <c r="G1990" i="5" l="1"/>
  <c r="C1989" i="5"/>
  <c r="O1992" i="5"/>
  <c r="K1991" i="5"/>
  <c r="C1990" i="5" l="1"/>
  <c r="G1991" i="5"/>
  <c r="O1993" i="5"/>
  <c r="K1992" i="5"/>
  <c r="C1991" i="5" l="1"/>
  <c r="G1992" i="5"/>
  <c r="O1994" i="5"/>
  <c r="K1993" i="5"/>
  <c r="G1993" i="5" l="1"/>
  <c r="C1992" i="5"/>
  <c r="K1994" i="5"/>
  <c r="O1995" i="5"/>
  <c r="G1994" i="5" l="1"/>
  <c r="C1993" i="5"/>
  <c r="O1996" i="5"/>
  <c r="K1995" i="5"/>
  <c r="C1994" i="5" l="1"/>
  <c r="G1995" i="5"/>
  <c r="O1997" i="5"/>
  <c r="K1996" i="5"/>
  <c r="C1995" i="5" l="1"/>
  <c r="G1996" i="5"/>
  <c r="K1997" i="5"/>
  <c r="O1998" i="5"/>
  <c r="C1996" i="5" l="1"/>
  <c r="G1997" i="5"/>
  <c r="K1998" i="5"/>
  <c r="O1999" i="5"/>
  <c r="G1998" i="5" l="1"/>
  <c r="C1997" i="5"/>
  <c r="O2000" i="5"/>
  <c r="K1999" i="5"/>
  <c r="G1999" i="5" l="1"/>
  <c r="C1998" i="5"/>
  <c r="O2001" i="5"/>
  <c r="K2000" i="5"/>
  <c r="C1999" i="5" l="1"/>
  <c r="G2000" i="5"/>
  <c r="O2002" i="5"/>
  <c r="K2001" i="5"/>
  <c r="G2001" i="5" l="1"/>
  <c r="C2000" i="5"/>
  <c r="K2002" i="5"/>
  <c r="O2003" i="5"/>
  <c r="G2002" i="5" l="1"/>
  <c r="C2001" i="5"/>
  <c r="K2003" i="5"/>
  <c r="O2004" i="5"/>
  <c r="C2002" i="5" l="1"/>
  <c r="G2003" i="5"/>
  <c r="K2004" i="5"/>
  <c r="O2005" i="5"/>
  <c r="G2004" i="5" l="1"/>
  <c r="C2003" i="5"/>
  <c r="O2006" i="5"/>
  <c r="K2005" i="5"/>
  <c r="G2005" i="5" l="1"/>
  <c r="C2004" i="5"/>
  <c r="K2006" i="5"/>
  <c r="O2007" i="5"/>
  <c r="G2006" i="5" l="1"/>
  <c r="C2005" i="5"/>
  <c r="O2008" i="5"/>
  <c r="K2007" i="5"/>
  <c r="C2006" i="5" l="1"/>
  <c r="G2007" i="5"/>
  <c r="K2008" i="5"/>
  <c r="O2009" i="5"/>
  <c r="C2007" i="5" l="1"/>
  <c r="G2008" i="5"/>
  <c r="O2010" i="5"/>
  <c r="K2009" i="5"/>
  <c r="G2009" i="5" l="1"/>
  <c r="C2008" i="5"/>
  <c r="K2010" i="5"/>
  <c r="O2011" i="5"/>
  <c r="G2010" i="5" l="1"/>
  <c r="C2009" i="5"/>
  <c r="K2011" i="5"/>
  <c r="O2012" i="5"/>
  <c r="G2011" i="5" l="1"/>
  <c r="C2010" i="5"/>
  <c r="K2012" i="5"/>
  <c r="O2013" i="5"/>
  <c r="C2011" i="5" l="1"/>
  <c r="G2012" i="5"/>
  <c r="O2014" i="5"/>
  <c r="K2013" i="5"/>
  <c r="G2013" i="5" l="1"/>
  <c r="C2012" i="5"/>
  <c r="K2014" i="5"/>
  <c r="O2015" i="5"/>
  <c r="C2013" i="5" l="1"/>
  <c r="G2014" i="5"/>
  <c r="O2016" i="5"/>
  <c r="K2015" i="5"/>
  <c r="C2014" i="5" l="1"/>
  <c r="G2015" i="5"/>
  <c r="O2017" i="5"/>
  <c r="K2016" i="5"/>
  <c r="C2015" i="5" l="1"/>
  <c r="G2016" i="5"/>
  <c r="O2018" i="5"/>
  <c r="K2017" i="5"/>
  <c r="G2017" i="5" l="1"/>
  <c r="C2016" i="5"/>
  <c r="K2018" i="5"/>
  <c r="O2019" i="5"/>
  <c r="C2017" i="5" l="1"/>
  <c r="G2018" i="5"/>
  <c r="O2020" i="5"/>
  <c r="K2019" i="5"/>
  <c r="G2019" i="5" l="1"/>
  <c r="C2018" i="5"/>
  <c r="K2020" i="5"/>
  <c r="O2021" i="5"/>
  <c r="G2020" i="5" l="1"/>
  <c r="C2019" i="5"/>
  <c r="O2022" i="5"/>
  <c r="K2021" i="5"/>
  <c r="G2021" i="5" l="1"/>
  <c r="C2020" i="5"/>
  <c r="K2022" i="5"/>
  <c r="O2023" i="5"/>
  <c r="C2021" i="5" l="1"/>
  <c r="G2022" i="5"/>
  <c r="O2024" i="5"/>
  <c r="K2023" i="5"/>
  <c r="C2022" i="5" l="1"/>
  <c r="G2023" i="5"/>
  <c r="O2025" i="5"/>
  <c r="K2024" i="5"/>
  <c r="G2024" i="5" l="1"/>
  <c r="C2023" i="5"/>
  <c r="O2026" i="5"/>
  <c r="K2025" i="5"/>
  <c r="C2024" i="5" l="1"/>
  <c r="G2025" i="5"/>
  <c r="K2026" i="5"/>
  <c r="O2027" i="5"/>
  <c r="C2025" i="5" l="1"/>
  <c r="G2026" i="5"/>
  <c r="K2027" i="5"/>
  <c r="O2028" i="5"/>
  <c r="G2027" i="5" l="1"/>
  <c r="C2026" i="5"/>
  <c r="O2029" i="5"/>
  <c r="K2028" i="5"/>
  <c r="G2028" i="5" l="1"/>
  <c r="C2027" i="5"/>
  <c r="K2029" i="5"/>
  <c r="O2030" i="5"/>
  <c r="G2029" i="5" l="1"/>
  <c r="C2028" i="5"/>
  <c r="K2030" i="5"/>
  <c r="O2031" i="5"/>
  <c r="C2029" i="5" l="1"/>
  <c r="G2030" i="5"/>
  <c r="O2032" i="5"/>
  <c r="K2031" i="5"/>
  <c r="C2030" i="5" l="1"/>
  <c r="G2031" i="5"/>
  <c r="K2032" i="5"/>
  <c r="O2033" i="5"/>
  <c r="C2031" i="5" l="1"/>
  <c r="G2032" i="5"/>
  <c r="O2034" i="5"/>
  <c r="K2033" i="5"/>
  <c r="G2033" i="5" l="1"/>
  <c r="C2032" i="5"/>
  <c r="K2034" i="5"/>
  <c r="O2035" i="5"/>
  <c r="C2033" i="5" l="1"/>
  <c r="G2034" i="5"/>
  <c r="O2036" i="5"/>
  <c r="K2035" i="5"/>
  <c r="G2035" i="5" l="1"/>
  <c r="C2034" i="5"/>
  <c r="K2036" i="5"/>
  <c r="O2037" i="5"/>
  <c r="C2035" i="5" l="1"/>
  <c r="G2036" i="5"/>
  <c r="O2038" i="5"/>
  <c r="K2037" i="5"/>
  <c r="C2036" i="5" l="1"/>
  <c r="G2037" i="5"/>
  <c r="K2038" i="5"/>
  <c r="O2039" i="5"/>
  <c r="C2037" i="5" l="1"/>
  <c r="G2038" i="5"/>
  <c r="K2039" i="5"/>
  <c r="O2040" i="5"/>
  <c r="C2038" i="5" l="1"/>
  <c r="G2039" i="5"/>
  <c r="O2041" i="5"/>
  <c r="K2040" i="5"/>
  <c r="G2040" i="5" l="1"/>
  <c r="C2039" i="5"/>
  <c r="O2042" i="5"/>
  <c r="K2041" i="5"/>
  <c r="G2041" i="5" l="1"/>
  <c r="C2040" i="5"/>
  <c r="K2042" i="5"/>
  <c r="O2043" i="5"/>
  <c r="G2042" i="5" l="1"/>
  <c r="C2041" i="5"/>
  <c r="K2043" i="5"/>
  <c r="O2044" i="5"/>
  <c r="G2043" i="5" l="1"/>
  <c r="C2042" i="5"/>
  <c r="O2045" i="5"/>
  <c r="K2044" i="5"/>
  <c r="G2044" i="5" l="1"/>
  <c r="C2043" i="5"/>
  <c r="O2046" i="5"/>
  <c r="K2045" i="5"/>
  <c r="G2045" i="5" l="1"/>
  <c r="C2044" i="5"/>
  <c r="K2046" i="5"/>
  <c r="O2047" i="5"/>
  <c r="C2045" i="5" l="1"/>
  <c r="G2046" i="5"/>
  <c r="O2048" i="5"/>
  <c r="K2047" i="5"/>
  <c r="C2046" i="5" l="1"/>
  <c r="G2047" i="5"/>
  <c r="O2049" i="5"/>
  <c r="K2048" i="5"/>
  <c r="C2047" i="5" l="1"/>
  <c r="G2048" i="5"/>
  <c r="O2050" i="5"/>
  <c r="K2049" i="5"/>
  <c r="C2048" i="5" l="1"/>
  <c r="G2049" i="5"/>
  <c r="K2050" i="5"/>
  <c r="O2051" i="5"/>
  <c r="G2050" i="5" l="1"/>
  <c r="C2049" i="5"/>
  <c r="O2052" i="5"/>
  <c r="K2051" i="5"/>
  <c r="G2051" i="5" l="1"/>
  <c r="C2050" i="5"/>
  <c r="K2052" i="5"/>
  <c r="O2053" i="5"/>
  <c r="G2052" i="5" l="1"/>
  <c r="C2051" i="5"/>
  <c r="K2053" i="5"/>
  <c r="O2054" i="5"/>
  <c r="G2053" i="5" l="1"/>
  <c r="C2052" i="5"/>
  <c r="K2054" i="5"/>
  <c r="O2055" i="5"/>
  <c r="C2053" i="5" l="1"/>
  <c r="G2054" i="5"/>
  <c r="O2056" i="5"/>
  <c r="K2055" i="5"/>
  <c r="G2055" i="5" l="1"/>
  <c r="C2054" i="5"/>
  <c r="O2057" i="5"/>
  <c r="K2056" i="5"/>
  <c r="C2055" i="5" l="1"/>
  <c r="G2056" i="5"/>
  <c r="K2057" i="5"/>
  <c r="O2058" i="5"/>
  <c r="C2056" i="5" l="1"/>
  <c r="G2057" i="5"/>
  <c r="K2058" i="5"/>
  <c r="O2059" i="5"/>
  <c r="C2057" i="5" l="1"/>
  <c r="G2058" i="5"/>
  <c r="O2060" i="5"/>
  <c r="K2059" i="5"/>
  <c r="G2059" i="5" l="1"/>
  <c r="C2058" i="5"/>
  <c r="O2061" i="5"/>
  <c r="K2060" i="5"/>
  <c r="C2059" i="5" l="1"/>
  <c r="G2060" i="5"/>
  <c r="K2061" i="5"/>
  <c r="O2062" i="5"/>
  <c r="G2061" i="5" l="1"/>
  <c r="C2060" i="5"/>
  <c r="K2062" i="5"/>
  <c r="O2063" i="5"/>
  <c r="C2061" i="5" l="1"/>
  <c r="G2062" i="5"/>
  <c r="K2063" i="5"/>
  <c r="O2064" i="5"/>
  <c r="C2062" i="5" l="1"/>
  <c r="G2063" i="5"/>
  <c r="O2065" i="5"/>
  <c r="K2064" i="5"/>
  <c r="C2063" i="5" l="1"/>
  <c r="G2064" i="5"/>
  <c r="O2066" i="5"/>
  <c r="K2065" i="5"/>
  <c r="G2065" i="5" l="1"/>
  <c r="C2064" i="5"/>
  <c r="K2066" i="5"/>
  <c r="O2067" i="5"/>
  <c r="C2065" i="5" l="1"/>
  <c r="G2066" i="5"/>
  <c r="K2067" i="5"/>
  <c r="O2068" i="5"/>
  <c r="G2067" i="5" l="1"/>
  <c r="C2066" i="5"/>
  <c r="O2069" i="5"/>
  <c r="K2068" i="5"/>
  <c r="G2068" i="5" l="1"/>
  <c r="C2067" i="5"/>
  <c r="O2070" i="5"/>
  <c r="K2069" i="5"/>
  <c r="G2069" i="5" l="1"/>
  <c r="C2068" i="5"/>
  <c r="K2070" i="5"/>
  <c r="O2071" i="5"/>
  <c r="G2070" i="5" l="1"/>
  <c r="C2069" i="5"/>
  <c r="O2072" i="5"/>
  <c r="K2071" i="5"/>
  <c r="C2070" i="5" l="1"/>
  <c r="G2071" i="5"/>
  <c r="O2073" i="5"/>
  <c r="K2072" i="5"/>
  <c r="G2072" i="5" l="1"/>
  <c r="C2071" i="5"/>
  <c r="O2074" i="5"/>
  <c r="K2073" i="5"/>
  <c r="G2073" i="5" l="1"/>
  <c r="C2072" i="5"/>
  <c r="K2074" i="5"/>
  <c r="O2075" i="5"/>
  <c r="G2074" i="5" l="1"/>
  <c r="C2073" i="5"/>
  <c r="K2075" i="5"/>
  <c r="O2076" i="5"/>
  <c r="G2075" i="5" l="1"/>
  <c r="C2074" i="5"/>
  <c r="K2076" i="5"/>
  <c r="O2077" i="5"/>
  <c r="G2076" i="5" l="1"/>
  <c r="C2075" i="5"/>
  <c r="O2078" i="5"/>
  <c r="K2077" i="5"/>
  <c r="G2077" i="5" l="1"/>
  <c r="C2076" i="5"/>
  <c r="K2078" i="5"/>
  <c r="O2079" i="5"/>
  <c r="C2077" i="5" l="1"/>
  <c r="G2078" i="5"/>
  <c r="O2080" i="5"/>
  <c r="K2079" i="5"/>
  <c r="C2078" i="5" l="1"/>
  <c r="G2079" i="5"/>
  <c r="O2081" i="5"/>
  <c r="K2080" i="5"/>
  <c r="C2079" i="5" l="1"/>
  <c r="G2080" i="5"/>
  <c r="K2081" i="5"/>
  <c r="O2082" i="5"/>
  <c r="G2081" i="5" l="1"/>
  <c r="C2080" i="5"/>
  <c r="K2082" i="5"/>
  <c r="O2083" i="5"/>
  <c r="C2081" i="5" l="1"/>
  <c r="G2082" i="5"/>
  <c r="O2084" i="5"/>
  <c r="K2083" i="5"/>
  <c r="G2083" i="5" l="1"/>
  <c r="C2082" i="5"/>
  <c r="K2084" i="5"/>
  <c r="O2085" i="5"/>
  <c r="G2084" i="5" l="1"/>
  <c r="C2083" i="5"/>
  <c r="K2085" i="5"/>
  <c r="O2086" i="5"/>
  <c r="G2085" i="5" l="1"/>
  <c r="C2084" i="5"/>
  <c r="K2086" i="5"/>
  <c r="O2087" i="5"/>
  <c r="C2085" i="5" l="1"/>
  <c r="G2086" i="5"/>
  <c r="K2087" i="5"/>
  <c r="O2088" i="5"/>
  <c r="C2086" i="5" l="1"/>
  <c r="G2087" i="5"/>
  <c r="O2089" i="5"/>
  <c r="K2088" i="5"/>
  <c r="C2087" i="5" l="1"/>
  <c r="G2088" i="5"/>
  <c r="O2090" i="5"/>
  <c r="K2089" i="5"/>
  <c r="G2089" i="5" l="1"/>
  <c r="C2088" i="5"/>
  <c r="K2090" i="5"/>
  <c r="O2091" i="5"/>
  <c r="C2089" i="5" l="1"/>
  <c r="G2090" i="5"/>
  <c r="K2091" i="5"/>
  <c r="O2092" i="5"/>
  <c r="G2091" i="5" l="1"/>
  <c r="C2090" i="5"/>
  <c r="O2093" i="5"/>
  <c r="K2092" i="5"/>
  <c r="G2092" i="5" l="1"/>
  <c r="C2091" i="5"/>
  <c r="K2093" i="5"/>
  <c r="O2094" i="5"/>
  <c r="G2093" i="5" l="1"/>
  <c r="C2092" i="5"/>
  <c r="K2094" i="5"/>
  <c r="O2095" i="5"/>
  <c r="C2093" i="5" l="1"/>
  <c r="G2094" i="5"/>
  <c r="K2095" i="5"/>
  <c r="O2096" i="5"/>
  <c r="C2094" i="5" l="1"/>
  <c r="G2095" i="5"/>
  <c r="O2097" i="5"/>
  <c r="K2096" i="5"/>
  <c r="C2095" i="5" l="1"/>
  <c r="G2096" i="5"/>
  <c r="O2098" i="5"/>
  <c r="K2097" i="5"/>
  <c r="G2097" i="5" l="1"/>
  <c r="C2096" i="5"/>
  <c r="K2098" i="5"/>
  <c r="O2099" i="5"/>
  <c r="G2098" i="5" l="1"/>
  <c r="C2097" i="5"/>
  <c r="O2100" i="5"/>
  <c r="K2099" i="5"/>
  <c r="C2098" i="5" l="1"/>
  <c r="G2099" i="5"/>
  <c r="O2101" i="5"/>
  <c r="K2100" i="5"/>
  <c r="G2100" i="5" l="1"/>
  <c r="C2099" i="5"/>
  <c r="O2102" i="5"/>
  <c r="K2101" i="5"/>
  <c r="G2101" i="5" l="1"/>
  <c r="C2100" i="5"/>
  <c r="K2102" i="5"/>
  <c r="O2103" i="5"/>
  <c r="C2101" i="5" l="1"/>
  <c r="G2102" i="5"/>
  <c r="O2104" i="5"/>
  <c r="K2103" i="5"/>
  <c r="C2102" i="5" l="1"/>
  <c r="G2103" i="5"/>
  <c r="O2105" i="5"/>
  <c r="K2104" i="5"/>
  <c r="C2103" i="5" l="1"/>
  <c r="G2104" i="5"/>
  <c r="K2105" i="5"/>
  <c r="O2106" i="5"/>
  <c r="G2105" i="5" l="1"/>
  <c r="C2104" i="5"/>
  <c r="K2106" i="5"/>
  <c r="O2107" i="5"/>
  <c r="G2106" i="5" l="1"/>
  <c r="C2105" i="5"/>
  <c r="K2107" i="5"/>
  <c r="O2108" i="5"/>
  <c r="G2107" i="5" l="1"/>
  <c r="C2106" i="5"/>
  <c r="O2109" i="5"/>
  <c r="K2108" i="5"/>
  <c r="G2108" i="5" l="1"/>
  <c r="C2107" i="5"/>
  <c r="K2109" i="5"/>
  <c r="O2110" i="5"/>
  <c r="C2108" i="5" l="1"/>
  <c r="G2109" i="5"/>
  <c r="K2110" i="5"/>
  <c r="O2111" i="5"/>
  <c r="C2109" i="5" l="1"/>
  <c r="G2110" i="5"/>
  <c r="O2112" i="5"/>
  <c r="K2111" i="5"/>
  <c r="C2110" i="5" l="1"/>
  <c r="G2111" i="5"/>
  <c r="K2112" i="5"/>
  <c r="O2113" i="5"/>
  <c r="C2111" i="5" l="1"/>
  <c r="G2112" i="5"/>
  <c r="O2114" i="5"/>
  <c r="K2113" i="5"/>
  <c r="G2113" i="5" l="1"/>
  <c r="C2112" i="5"/>
  <c r="K2114" i="5"/>
  <c r="O2115" i="5"/>
  <c r="C2113" i="5" l="1"/>
  <c r="G2114" i="5"/>
  <c r="O2116" i="5"/>
  <c r="K2115" i="5"/>
  <c r="G2115" i="5" l="1"/>
  <c r="C2114" i="5"/>
  <c r="K2116" i="5"/>
  <c r="O2117" i="5"/>
  <c r="G2116" i="5" l="1"/>
  <c r="C2115" i="5"/>
  <c r="O2118" i="5"/>
  <c r="K2117" i="5"/>
  <c r="C2116" i="5" l="1"/>
  <c r="G2117" i="5"/>
  <c r="K2118" i="5"/>
  <c r="O2119" i="5"/>
  <c r="C2117" i="5" l="1"/>
  <c r="G2118" i="5"/>
  <c r="O2120" i="5"/>
  <c r="K2119" i="5"/>
  <c r="C2118" i="5" l="1"/>
  <c r="G2119" i="5"/>
  <c r="O2121" i="5"/>
  <c r="K2120" i="5"/>
  <c r="G2120" i="5" l="1"/>
  <c r="C2119" i="5"/>
  <c r="O2122" i="5"/>
  <c r="K2121" i="5"/>
  <c r="G2121" i="5" l="1"/>
  <c r="C2120" i="5"/>
  <c r="K2122" i="5"/>
  <c r="O2123" i="5"/>
  <c r="C2121" i="5" l="1"/>
  <c r="G2122" i="5"/>
  <c r="O2124" i="5"/>
  <c r="K2123" i="5"/>
  <c r="G2123" i="5" l="1"/>
  <c r="C2122" i="5"/>
  <c r="O2125" i="5"/>
  <c r="K2124" i="5"/>
  <c r="G2124" i="5" l="1"/>
  <c r="C2123" i="5"/>
  <c r="K2125" i="5"/>
  <c r="O2126" i="5"/>
  <c r="G2125" i="5" l="1"/>
  <c r="C2124" i="5"/>
  <c r="K2126" i="5"/>
  <c r="O2127" i="5"/>
  <c r="G2126" i="5" l="1"/>
  <c r="C2125" i="5"/>
  <c r="O2128" i="5"/>
  <c r="K2127" i="5"/>
  <c r="C2126" i="5" l="1"/>
  <c r="G2127" i="5"/>
  <c r="O2129" i="5"/>
  <c r="K2128" i="5"/>
  <c r="G2128" i="5" l="1"/>
  <c r="C2127" i="5"/>
  <c r="O2130" i="5"/>
  <c r="K2129" i="5"/>
  <c r="G2129" i="5" l="1"/>
  <c r="C2128" i="5"/>
  <c r="K2130" i="5"/>
  <c r="O2131" i="5"/>
  <c r="G2130" i="5" l="1"/>
  <c r="C2129" i="5"/>
  <c r="K2131" i="5"/>
  <c r="O2132" i="5"/>
  <c r="C2130" i="5" l="1"/>
  <c r="G2131" i="5"/>
  <c r="O2133" i="5"/>
  <c r="K2132" i="5"/>
  <c r="G2132" i="5" l="1"/>
  <c r="C2131" i="5"/>
  <c r="O2134" i="5"/>
  <c r="K2133" i="5"/>
  <c r="G2133" i="5" l="1"/>
  <c r="C2132" i="5"/>
  <c r="K2134" i="5"/>
  <c r="O2135" i="5"/>
  <c r="C2133" i="5" l="1"/>
  <c r="G2134" i="5"/>
  <c r="O2136" i="5"/>
  <c r="K2135" i="5"/>
  <c r="C2134" i="5" l="1"/>
  <c r="G2135" i="5"/>
  <c r="K2136" i="5"/>
  <c r="O2137" i="5"/>
  <c r="G2136" i="5" l="1"/>
  <c r="C2135" i="5"/>
  <c r="O2138" i="5"/>
  <c r="K2137" i="5"/>
  <c r="G2137" i="5" l="1"/>
  <c r="C2136" i="5"/>
  <c r="K2138" i="5"/>
  <c r="O2139" i="5"/>
  <c r="C2137" i="5" l="1"/>
  <c r="G2138" i="5"/>
  <c r="K2139" i="5"/>
  <c r="O2140" i="5"/>
  <c r="G2139" i="5" l="1"/>
  <c r="C2138" i="5"/>
  <c r="K2140" i="5"/>
  <c r="O2141" i="5"/>
  <c r="G2140" i="5" l="1"/>
  <c r="C2139" i="5"/>
  <c r="O2142" i="5"/>
  <c r="K2141" i="5"/>
  <c r="C2140" i="5" l="1"/>
  <c r="G2141" i="5"/>
  <c r="K2142" i="5"/>
  <c r="O2143" i="5"/>
  <c r="C2141" i="5" l="1"/>
  <c r="G2142" i="5"/>
  <c r="O2144" i="5"/>
  <c r="K2143" i="5"/>
  <c r="C2142" i="5" l="1"/>
  <c r="G2143" i="5"/>
  <c r="K2144" i="5"/>
  <c r="O2145" i="5"/>
  <c r="C2143" i="5" l="1"/>
  <c r="G2144" i="5"/>
  <c r="O2146" i="5"/>
  <c r="K2145" i="5"/>
  <c r="G2145" i="5" l="1"/>
  <c r="C2144" i="5"/>
  <c r="K2146" i="5"/>
  <c r="O2147" i="5"/>
  <c r="C2145" i="5" l="1"/>
  <c r="G2146" i="5"/>
  <c r="O2148" i="5"/>
  <c r="K2147" i="5"/>
  <c r="G2147" i="5" l="1"/>
  <c r="C2146" i="5"/>
  <c r="K2148" i="5"/>
  <c r="O2149" i="5"/>
  <c r="G2148" i="5" l="1"/>
  <c r="C2147" i="5"/>
  <c r="O2150" i="5"/>
  <c r="K2149" i="5"/>
  <c r="C2148" i="5" l="1"/>
  <c r="G2149" i="5"/>
  <c r="K2150" i="5"/>
  <c r="O2151" i="5"/>
  <c r="C2149" i="5" l="1"/>
  <c r="G2150" i="5"/>
  <c r="O2152" i="5"/>
  <c r="K2151" i="5"/>
  <c r="C2150" i="5" l="1"/>
  <c r="G2151" i="5"/>
  <c r="O2153" i="5"/>
  <c r="K2152" i="5"/>
  <c r="C2151" i="5" l="1"/>
  <c r="G2152" i="5"/>
  <c r="O2154" i="5"/>
  <c r="K2153" i="5"/>
  <c r="C2152" i="5" l="1"/>
  <c r="G2153" i="5"/>
  <c r="K2154" i="5"/>
  <c r="O2155" i="5"/>
  <c r="G2154" i="5" l="1"/>
  <c r="C2153" i="5"/>
  <c r="O2156" i="5"/>
  <c r="K2155" i="5"/>
  <c r="G2155" i="5" l="1"/>
  <c r="C2154" i="5"/>
  <c r="O2157" i="5"/>
  <c r="K2156" i="5"/>
  <c r="C2155" i="5" l="1"/>
  <c r="G2156" i="5"/>
  <c r="K2157" i="5"/>
  <c r="O2158" i="5"/>
  <c r="C2156" i="5" l="1"/>
  <c r="G2157" i="5"/>
  <c r="K2158" i="5"/>
  <c r="O2159" i="5"/>
  <c r="C2157" i="5" l="1"/>
  <c r="G2158" i="5"/>
  <c r="O2160" i="5"/>
  <c r="K2159" i="5"/>
  <c r="C2158" i="5" l="1"/>
  <c r="G2159" i="5"/>
  <c r="K2160" i="5"/>
  <c r="O2161" i="5"/>
  <c r="C2159" i="5" l="1"/>
  <c r="G2160" i="5"/>
  <c r="O2162" i="5"/>
  <c r="K2161" i="5"/>
  <c r="C2160" i="5" l="1"/>
  <c r="G2161" i="5"/>
  <c r="K2162" i="5"/>
  <c r="O2163" i="5"/>
  <c r="C2161" i="5" l="1"/>
  <c r="G2162" i="5"/>
  <c r="K2163" i="5"/>
  <c r="O2164" i="5"/>
  <c r="G2163" i="5" l="1"/>
  <c r="C2162" i="5"/>
  <c r="K2164" i="5"/>
  <c r="O2165" i="5"/>
  <c r="G2164" i="5" l="1"/>
  <c r="C2163" i="5"/>
  <c r="O2166" i="5"/>
  <c r="K2165" i="5"/>
  <c r="C2164" i="5" l="1"/>
  <c r="G2165" i="5"/>
  <c r="K2166" i="5"/>
  <c r="O2167" i="5"/>
  <c r="C2165" i="5" l="1"/>
  <c r="G2166" i="5"/>
  <c r="K2167" i="5"/>
  <c r="O2168" i="5"/>
  <c r="C2166" i="5" l="1"/>
  <c r="G2167" i="5"/>
  <c r="O2169" i="5"/>
  <c r="K2168" i="5"/>
  <c r="C2167" i="5" l="1"/>
  <c r="G2168" i="5"/>
  <c r="O2170" i="5"/>
  <c r="K2169" i="5"/>
  <c r="G2169" i="5" l="1"/>
  <c r="C2168" i="5"/>
  <c r="K2170" i="5"/>
  <c r="O2171" i="5"/>
  <c r="G2170" i="5" l="1"/>
  <c r="C2169" i="5"/>
  <c r="K2171" i="5"/>
  <c r="O2172" i="5"/>
  <c r="C2170" i="5" l="1"/>
  <c r="G2171" i="5"/>
  <c r="O2173" i="5"/>
  <c r="K2172" i="5"/>
  <c r="G2172" i="5" l="1"/>
  <c r="C2171" i="5"/>
  <c r="K2173" i="5"/>
  <c r="O2174" i="5"/>
  <c r="G2173" i="5" l="1"/>
  <c r="C2172" i="5"/>
  <c r="K2174" i="5"/>
  <c r="O2175" i="5"/>
  <c r="C2173" i="5" l="1"/>
  <c r="G2174" i="5"/>
  <c r="O2176" i="5"/>
  <c r="K2175" i="5"/>
  <c r="C2174" i="5" l="1"/>
  <c r="G2175" i="5"/>
  <c r="O2177" i="5"/>
  <c r="K2176" i="5"/>
  <c r="C2175" i="5" l="1"/>
  <c r="G2176" i="5"/>
  <c r="O2178" i="5"/>
  <c r="K2177" i="5"/>
  <c r="C2176" i="5" l="1"/>
  <c r="G2177" i="5"/>
  <c r="K2178" i="5"/>
  <c r="O2179" i="5"/>
  <c r="C2177" i="5" l="1"/>
  <c r="G2178" i="5"/>
  <c r="O2180" i="5"/>
  <c r="K2179" i="5"/>
  <c r="G2179" i="5" l="1"/>
  <c r="C2178" i="5"/>
  <c r="K2180" i="5"/>
  <c r="O2181" i="5"/>
  <c r="G2180" i="5" l="1"/>
  <c r="C2179" i="5"/>
  <c r="O2182" i="5"/>
  <c r="K2181" i="5"/>
  <c r="G2181" i="5" l="1"/>
  <c r="C2180" i="5"/>
  <c r="K2182" i="5"/>
  <c r="O2183" i="5"/>
  <c r="C2181" i="5" l="1"/>
  <c r="G2182" i="5"/>
  <c r="O2184" i="5"/>
  <c r="K2183" i="5"/>
  <c r="C2182" i="5" l="1"/>
  <c r="G2183" i="5"/>
  <c r="O2185" i="5"/>
  <c r="K2184" i="5"/>
  <c r="C2183" i="5" l="1"/>
  <c r="G2184" i="5"/>
  <c r="K2185" i="5"/>
  <c r="O2186" i="5"/>
  <c r="G2185" i="5" l="1"/>
  <c r="C2184" i="5"/>
  <c r="K2186" i="5"/>
  <c r="O2187" i="5"/>
  <c r="C2185" i="5" l="1"/>
  <c r="G2186" i="5"/>
  <c r="O2188" i="5"/>
  <c r="K2187" i="5"/>
  <c r="G2187" i="5" l="1"/>
  <c r="C2186" i="5"/>
  <c r="O2189" i="5"/>
  <c r="K2188" i="5"/>
  <c r="G2188" i="5" l="1"/>
  <c r="C2187" i="5"/>
  <c r="K2189" i="5"/>
  <c r="O2190" i="5"/>
  <c r="G2189" i="5" l="1"/>
  <c r="C2188" i="5"/>
  <c r="K2190" i="5"/>
  <c r="O2191" i="5"/>
  <c r="C2189" i="5" l="1"/>
  <c r="G2190" i="5"/>
  <c r="K2191" i="5"/>
  <c r="O2192" i="5"/>
  <c r="C2190" i="5" l="1"/>
  <c r="G2191" i="5"/>
  <c r="K2192" i="5"/>
  <c r="O2193" i="5"/>
  <c r="C2191" i="5" l="1"/>
  <c r="G2192" i="5"/>
  <c r="O2194" i="5"/>
  <c r="K2193" i="5"/>
  <c r="G2193" i="5" l="1"/>
  <c r="C2192" i="5"/>
  <c r="K2194" i="5"/>
  <c r="O2195" i="5"/>
  <c r="C2193" i="5" l="1"/>
  <c r="G2194" i="5"/>
  <c r="K2195" i="5"/>
  <c r="O2196" i="5"/>
  <c r="G2195" i="5" l="1"/>
  <c r="C2194" i="5"/>
  <c r="O2197" i="5"/>
  <c r="K2196" i="5"/>
  <c r="G2196" i="5" l="1"/>
  <c r="C2195" i="5"/>
  <c r="O2198" i="5"/>
  <c r="K2197" i="5"/>
  <c r="G2197" i="5" l="1"/>
  <c r="C2196" i="5"/>
  <c r="K2198" i="5"/>
  <c r="O2199" i="5"/>
  <c r="C2197" i="5" l="1"/>
  <c r="G2198" i="5"/>
  <c r="K2199" i="5"/>
  <c r="O2200" i="5"/>
  <c r="C2198" i="5" l="1"/>
  <c r="G2199" i="5"/>
  <c r="O2201" i="5"/>
  <c r="K2200" i="5"/>
  <c r="G2200" i="5" l="1"/>
  <c r="C2199" i="5"/>
  <c r="O2202" i="5"/>
  <c r="K2201" i="5"/>
  <c r="G2201" i="5" l="1"/>
  <c r="C2200" i="5"/>
  <c r="K2202" i="5"/>
  <c r="O2203" i="5"/>
  <c r="C2201" i="5" l="1"/>
  <c r="G2202" i="5"/>
  <c r="K2203" i="5"/>
  <c r="O2204" i="5"/>
  <c r="G2203" i="5" l="1"/>
  <c r="C2202" i="5"/>
  <c r="O2205" i="5"/>
  <c r="K2204" i="5"/>
  <c r="G2204" i="5" l="1"/>
  <c r="C2203" i="5"/>
  <c r="O2206" i="5"/>
  <c r="K2205" i="5"/>
  <c r="G2205" i="5" l="1"/>
  <c r="C2204" i="5"/>
  <c r="K2206" i="5"/>
  <c r="O2207" i="5"/>
  <c r="C2205" i="5" l="1"/>
  <c r="G2206" i="5"/>
  <c r="O2208" i="5"/>
  <c r="K2207" i="5"/>
  <c r="C2206" i="5" l="1"/>
  <c r="G2207" i="5"/>
  <c r="O2209" i="5"/>
  <c r="K2208" i="5"/>
  <c r="C2207" i="5" l="1"/>
  <c r="G2208" i="5"/>
  <c r="K2209" i="5"/>
  <c r="O2210" i="5"/>
  <c r="G2209" i="5" l="1"/>
  <c r="C2208" i="5"/>
  <c r="K2210" i="5"/>
  <c r="O2211" i="5"/>
  <c r="C2209" i="5" l="1"/>
  <c r="G2210" i="5"/>
  <c r="O2212" i="5"/>
  <c r="K2211" i="5"/>
  <c r="G2211" i="5" l="1"/>
  <c r="C2210" i="5"/>
  <c r="K2212" i="5"/>
  <c r="O2213" i="5"/>
  <c r="G2212" i="5" l="1"/>
  <c r="C2211" i="5"/>
  <c r="K2213" i="5"/>
  <c r="O2214" i="5"/>
  <c r="G2213" i="5" l="1"/>
  <c r="C2212" i="5"/>
  <c r="K2214" i="5"/>
  <c r="O2215" i="5"/>
  <c r="C2213" i="5" l="1"/>
  <c r="G2214" i="5"/>
  <c r="K2215" i="5"/>
  <c r="O2216" i="5"/>
  <c r="C2214" i="5" l="1"/>
  <c r="G2215" i="5"/>
  <c r="O2217" i="5"/>
  <c r="K2216" i="5"/>
  <c r="C2215" i="5" l="1"/>
  <c r="G2216" i="5"/>
  <c r="O2218" i="5"/>
  <c r="K2217" i="5"/>
  <c r="G2217" i="5" l="1"/>
  <c r="C2216" i="5"/>
  <c r="K2218" i="5"/>
  <c r="O2219" i="5"/>
  <c r="G2218" i="5" l="1"/>
  <c r="C2217" i="5"/>
  <c r="K2219" i="5"/>
  <c r="O2220" i="5"/>
  <c r="G2219" i="5" l="1"/>
  <c r="C2218" i="5"/>
  <c r="O2221" i="5"/>
  <c r="K2220" i="5"/>
  <c r="G2220" i="5" l="1"/>
  <c r="C2219" i="5"/>
  <c r="K2221" i="5"/>
  <c r="O2222" i="5"/>
  <c r="G2221" i="5" l="1"/>
  <c r="C2220" i="5"/>
  <c r="K2222" i="5"/>
  <c r="O2223" i="5"/>
  <c r="G2222" i="5" l="1"/>
  <c r="C2221" i="5"/>
  <c r="O2224" i="5"/>
  <c r="K2223" i="5"/>
  <c r="C2222" i="5" l="1"/>
  <c r="G2223" i="5"/>
  <c r="O2225" i="5"/>
  <c r="K2224" i="5"/>
  <c r="C2223" i="5" l="1"/>
  <c r="G2224" i="5"/>
  <c r="O2226" i="5"/>
  <c r="K2225" i="5"/>
  <c r="G2225" i="5" l="1"/>
  <c r="C2224" i="5"/>
  <c r="K2226" i="5"/>
  <c r="O2227" i="5"/>
  <c r="G2226" i="5" l="1"/>
  <c r="C2225" i="5"/>
  <c r="O2228" i="5"/>
  <c r="K2227" i="5"/>
  <c r="G2227" i="5" l="1"/>
  <c r="C2226" i="5"/>
  <c r="K2228" i="5"/>
  <c r="O2229" i="5"/>
  <c r="G2228" i="5" l="1"/>
  <c r="C2227" i="5"/>
  <c r="O2230" i="5"/>
  <c r="K2229" i="5"/>
  <c r="G2229" i="5" l="1"/>
  <c r="C2228" i="5"/>
  <c r="K2230" i="5"/>
  <c r="O2231" i="5"/>
  <c r="C2229" i="5" l="1"/>
  <c r="G2230" i="5"/>
  <c r="O2232" i="5"/>
  <c r="K2231" i="5"/>
  <c r="G2231" i="5" l="1"/>
  <c r="C2230" i="5"/>
  <c r="O2233" i="5"/>
  <c r="K2232" i="5"/>
  <c r="C2231" i="5" l="1"/>
  <c r="G2232" i="5"/>
  <c r="K2233" i="5"/>
  <c r="O2234" i="5"/>
  <c r="C2232" i="5" l="1"/>
  <c r="G2233" i="5"/>
  <c r="K2234" i="5"/>
  <c r="O2235" i="5"/>
  <c r="C2233" i="5" l="1"/>
  <c r="G2234" i="5"/>
  <c r="K2235" i="5"/>
  <c r="O2236" i="5"/>
  <c r="G2235" i="5" l="1"/>
  <c r="C2234" i="5"/>
  <c r="O2237" i="5"/>
  <c r="K2236" i="5"/>
  <c r="G2236" i="5" l="1"/>
  <c r="C2235" i="5"/>
  <c r="K2237" i="5"/>
  <c r="O2238" i="5"/>
  <c r="G2237" i="5" l="1"/>
  <c r="C2236" i="5"/>
  <c r="K2238" i="5"/>
  <c r="O2239" i="5"/>
  <c r="C2237" i="5" l="1"/>
  <c r="G2238" i="5"/>
  <c r="O2240" i="5"/>
  <c r="K2239" i="5"/>
  <c r="C2238" i="5" l="1"/>
  <c r="G2239" i="5"/>
  <c r="K2240" i="5"/>
  <c r="O2241" i="5"/>
  <c r="C2239" i="5" l="1"/>
  <c r="G2240" i="5"/>
  <c r="K2241" i="5"/>
  <c r="O2242" i="5"/>
  <c r="G2241" i="5" l="1"/>
  <c r="C2240" i="5"/>
  <c r="K2242" i="5"/>
  <c r="O2243" i="5"/>
  <c r="C2241" i="5" l="1"/>
  <c r="G2242" i="5"/>
  <c r="O2244" i="5"/>
  <c r="K2243" i="5"/>
  <c r="G2243" i="5" l="1"/>
  <c r="C2242" i="5"/>
  <c r="K2244" i="5"/>
  <c r="O2245" i="5"/>
  <c r="G2244" i="5" l="1"/>
  <c r="C2243" i="5"/>
  <c r="O2246" i="5"/>
  <c r="K2245" i="5"/>
  <c r="G2245" i="5" l="1"/>
  <c r="C2244" i="5"/>
  <c r="K2246" i="5"/>
  <c r="O2247" i="5"/>
  <c r="C2245" i="5" l="1"/>
  <c r="G2246" i="5"/>
  <c r="K2247" i="5"/>
  <c r="O2248" i="5"/>
  <c r="C2246" i="5" l="1"/>
  <c r="G2247" i="5"/>
  <c r="O2249" i="5"/>
  <c r="K2248" i="5"/>
  <c r="C2247" i="5" l="1"/>
  <c r="G2248" i="5"/>
  <c r="O2250" i="5"/>
  <c r="K2249" i="5"/>
  <c r="G2249" i="5" l="1"/>
  <c r="C2248" i="5"/>
  <c r="K2250" i="5"/>
  <c r="O2251" i="5"/>
  <c r="C2249" i="5" l="1"/>
  <c r="G2250" i="5"/>
  <c r="O2252" i="5"/>
  <c r="K2251" i="5"/>
  <c r="G2251" i="5" l="1"/>
  <c r="C2250" i="5"/>
  <c r="O2253" i="5"/>
  <c r="K2252" i="5"/>
  <c r="G2252" i="5" l="1"/>
  <c r="C2251" i="5"/>
  <c r="K2253" i="5"/>
  <c r="O2254" i="5"/>
  <c r="G2253" i="5" l="1"/>
  <c r="C2252" i="5"/>
  <c r="K2254" i="5"/>
  <c r="O2255" i="5"/>
  <c r="C2253" i="5" l="1"/>
  <c r="G2254" i="5"/>
  <c r="O2256" i="5"/>
  <c r="K2255" i="5"/>
  <c r="C2254" i="5" l="1"/>
  <c r="G2255" i="5"/>
  <c r="O2257" i="5"/>
  <c r="K2256" i="5"/>
  <c r="G2256" i="5" l="1"/>
  <c r="C2255" i="5"/>
  <c r="O2258" i="5"/>
  <c r="K2257" i="5"/>
  <c r="G2257" i="5" l="1"/>
  <c r="C2256" i="5"/>
  <c r="K2258" i="5"/>
  <c r="O2259" i="5"/>
  <c r="G2258" i="5" l="1"/>
  <c r="C2257" i="5"/>
  <c r="O2260" i="5"/>
  <c r="K2259" i="5"/>
  <c r="G2259" i="5" l="1"/>
  <c r="C2258" i="5"/>
  <c r="K2260" i="5"/>
  <c r="O2261" i="5"/>
  <c r="G2260" i="5" l="1"/>
  <c r="C2259" i="5"/>
  <c r="O2262" i="5"/>
  <c r="K2261" i="5"/>
  <c r="G2261" i="5" l="1"/>
  <c r="C2260" i="5"/>
  <c r="K2262" i="5"/>
  <c r="O2263" i="5"/>
  <c r="C2261" i="5" l="1"/>
  <c r="G2262" i="5"/>
  <c r="O2264" i="5"/>
  <c r="K2263" i="5"/>
  <c r="C2262" i="5" l="1"/>
  <c r="G2263" i="5"/>
  <c r="K2264" i="5"/>
  <c r="O2265" i="5"/>
  <c r="G2264" i="5" l="1"/>
  <c r="C2263" i="5"/>
  <c r="O2266" i="5"/>
  <c r="K2265" i="5"/>
  <c r="G2265" i="5" l="1"/>
  <c r="C2264" i="5"/>
  <c r="K2266" i="5"/>
  <c r="O2267" i="5"/>
  <c r="G2266" i="5" l="1"/>
  <c r="C2265" i="5"/>
  <c r="K2267" i="5"/>
  <c r="O2268" i="5"/>
  <c r="G2267" i="5" l="1"/>
  <c r="C2266" i="5"/>
  <c r="K2268" i="5"/>
  <c r="O2269" i="5"/>
  <c r="G2268" i="5" l="1"/>
  <c r="C2267" i="5"/>
  <c r="O2270" i="5"/>
  <c r="K2269" i="5"/>
  <c r="G2269" i="5" l="1"/>
  <c r="C2268" i="5"/>
  <c r="K2270" i="5"/>
  <c r="O2271" i="5"/>
  <c r="C2269" i="5" l="1"/>
  <c r="G2270" i="5"/>
  <c r="O2272" i="5"/>
  <c r="K2271" i="5"/>
  <c r="C2270" i="5" l="1"/>
  <c r="G2271" i="5"/>
  <c r="O2273" i="5"/>
  <c r="K2272" i="5"/>
  <c r="C2271" i="5" l="1"/>
  <c r="G2272" i="5"/>
  <c r="O2274" i="5"/>
  <c r="K2273" i="5"/>
  <c r="G2273" i="5" l="1"/>
  <c r="C2272" i="5"/>
  <c r="K2274" i="5"/>
  <c r="O2275" i="5"/>
  <c r="G2274" i="5" l="1"/>
  <c r="C2273" i="5"/>
  <c r="O2276" i="5"/>
  <c r="K2275" i="5"/>
  <c r="C2274" i="5" l="1"/>
  <c r="G2275" i="5"/>
  <c r="K2276" i="5"/>
  <c r="O2277" i="5"/>
  <c r="C2275" i="5" l="1"/>
  <c r="G2276" i="5"/>
  <c r="K2277" i="5"/>
  <c r="O2278" i="5"/>
  <c r="G2277" i="5" l="1"/>
  <c r="C2276" i="5"/>
  <c r="K2278" i="5"/>
  <c r="O2279" i="5"/>
  <c r="G2278" i="5" l="1"/>
  <c r="C2277" i="5"/>
  <c r="O2280" i="5"/>
  <c r="K2279" i="5"/>
  <c r="G2279" i="5" l="1"/>
  <c r="C2278" i="5"/>
  <c r="O2281" i="5"/>
  <c r="K2280" i="5"/>
  <c r="G2280" i="5" l="1"/>
  <c r="C2279" i="5"/>
  <c r="O2282" i="5"/>
  <c r="K2281" i="5"/>
  <c r="G2281" i="5" l="1"/>
  <c r="C2280" i="5"/>
  <c r="K2282" i="5"/>
  <c r="O2283" i="5"/>
  <c r="C2281" i="5" l="1"/>
  <c r="G2282" i="5"/>
  <c r="O2284" i="5"/>
  <c r="K2283" i="5"/>
  <c r="G2283" i="5" l="1"/>
  <c r="C2282" i="5"/>
  <c r="O2285" i="5"/>
  <c r="K2284" i="5"/>
  <c r="G2284" i="5" l="1"/>
  <c r="C2283" i="5"/>
  <c r="K2285" i="5"/>
  <c r="O2286" i="5"/>
  <c r="C2284" i="5" l="1"/>
  <c r="G2285" i="5"/>
  <c r="K2286" i="5"/>
  <c r="O2287" i="5"/>
  <c r="C2285" i="5" l="1"/>
  <c r="G2286" i="5"/>
  <c r="O2288" i="5"/>
  <c r="K2287" i="5"/>
  <c r="C2286" i="5" l="1"/>
  <c r="G2287" i="5"/>
  <c r="K2288" i="5"/>
  <c r="O2289" i="5"/>
  <c r="C2287" i="5" l="1"/>
  <c r="G2288" i="5"/>
  <c r="O2290" i="5"/>
  <c r="K2289" i="5"/>
  <c r="G2289" i="5" l="1"/>
  <c r="C2288" i="5"/>
  <c r="K2290" i="5"/>
  <c r="O2291" i="5"/>
  <c r="G2290" i="5" l="1"/>
  <c r="C2289" i="5"/>
  <c r="O2292" i="5"/>
  <c r="K2291" i="5"/>
  <c r="C2290" i="5" l="1"/>
  <c r="G2291" i="5"/>
  <c r="K2292" i="5"/>
  <c r="O2293" i="5"/>
  <c r="G2292" i="5" l="1"/>
  <c r="C2291" i="5"/>
  <c r="O2294" i="5"/>
  <c r="K2293" i="5"/>
  <c r="G2293" i="5" l="1"/>
  <c r="C2292" i="5"/>
  <c r="K2294" i="5"/>
  <c r="O2295" i="5"/>
  <c r="G2294" i="5" l="1"/>
  <c r="C2293" i="5"/>
  <c r="K2295" i="5"/>
  <c r="O2296" i="5"/>
  <c r="G2295" i="5" l="1"/>
  <c r="C2294" i="5"/>
  <c r="K2296" i="5"/>
  <c r="O2297" i="5"/>
  <c r="G2296" i="5" l="1"/>
  <c r="C2295" i="5"/>
  <c r="O2298" i="5"/>
  <c r="K2297" i="5"/>
  <c r="G2297" i="5" l="1"/>
  <c r="C2296" i="5"/>
  <c r="K2298" i="5"/>
  <c r="O2299" i="5"/>
  <c r="G2298" i="5" l="1"/>
  <c r="C2297" i="5"/>
  <c r="K2299" i="5"/>
  <c r="O2300" i="5"/>
  <c r="G2299" i="5" l="1"/>
  <c r="C2298" i="5"/>
  <c r="O2301" i="5"/>
  <c r="K2300" i="5"/>
  <c r="G2300" i="5" l="1"/>
  <c r="C2299" i="5"/>
  <c r="O2302" i="5"/>
  <c r="K2301" i="5"/>
  <c r="G2301" i="5" l="1"/>
  <c r="C2300" i="5"/>
  <c r="K2302" i="5"/>
  <c r="O2303" i="5"/>
  <c r="C2301" i="5" l="1"/>
  <c r="G2302" i="5"/>
  <c r="O2304" i="5"/>
  <c r="K2303" i="5"/>
  <c r="C2302" i="5" l="1"/>
  <c r="G2303" i="5"/>
  <c r="O2305" i="5"/>
  <c r="K2304" i="5"/>
  <c r="C2303" i="5" l="1"/>
  <c r="G2304" i="5"/>
  <c r="O2306" i="5"/>
  <c r="K2305" i="5"/>
  <c r="G2305" i="5" l="1"/>
  <c r="C2304" i="5"/>
  <c r="K2306" i="5"/>
  <c r="O2307" i="5"/>
  <c r="C2305" i="5" l="1"/>
  <c r="G2306" i="5"/>
  <c r="O2308" i="5"/>
  <c r="K2307" i="5"/>
  <c r="G2307" i="5" l="1"/>
  <c r="C2306" i="5"/>
  <c r="K2308" i="5"/>
  <c r="O2309" i="5"/>
  <c r="G2308" i="5" l="1"/>
  <c r="C2307" i="5"/>
  <c r="K2309" i="5"/>
  <c r="O2310" i="5"/>
  <c r="C2308" i="5" l="1"/>
  <c r="G2309" i="5"/>
  <c r="K2310" i="5"/>
  <c r="O2311" i="5"/>
  <c r="C2309" i="5" l="1"/>
  <c r="G2310" i="5"/>
  <c r="O2312" i="5"/>
  <c r="K2311" i="5"/>
  <c r="C2310" i="5" l="1"/>
  <c r="G2311" i="5"/>
  <c r="O2313" i="5"/>
  <c r="K2312" i="5"/>
  <c r="C2311" i="5" l="1"/>
  <c r="G2312" i="5"/>
  <c r="K2313" i="5"/>
  <c r="O2314" i="5"/>
  <c r="G2313" i="5" l="1"/>
  <c r="C2312" i="5"/>
  <c r="K2314" i="5"/>
  <c r="O2315" i="5"/>
  <c r="G2314" i="5" l="1"/>
  <c r="C2313" i="5"/>
  <c r="K2315" i="5"/>
  <c r="O2316" i="5"/>
  <c r="G2315" i="5" l="1"/>
  <c r="C2314" i="5"/>
  <c r="O2317" i="5"/>
  <c r="K2316" i="5"/>
  <c r="G2316" i="5" l="1"/>
  <c r="C2315" i="5"/>
  <c r="K2317" i="5"/>
  <c r="O2318" i="5"/>
  <c r="G2317" i="5" l="1"/>
  <c r="C2316" i="5"/>
  <c r="K2318" i="5"/>
  <c r="O2319" i="5"/>
  <c r="C2317" i="5" l="1"/>
  <c r="G2318" i="5"/>
  <c r="K2319" i="5"/>
  <c r="O2320" i="5"/>
  <c r="G2319" i="5" l="1"/>
  <c r="C2318" i="5"/>
  <c r="O2321" i="5"/>
  <c r="K2320" i="5"/>
  <c r="C2319" i="5" l="1"/>
  <c r="G2320" i="5"/>
  <c r="O2322" i="5"/>
  <c r="K2321" i="5"/>
  <c r="C2320" i="5" l="1"/>
  <c r="G2321" i="5"/>
  <c r="K2322" i="5"/>
  <c r="O2323" i="5"/>
  <c r="C2321" i="5" l="1"/>
  <c r="G2322" i="5"/>
  <c r="K2323" i="5"/>
  <c r="O2324" i="5"/>
  <c r="C2322" i="5" l="1"/>
  <c r="G2323" i="5"/>
  <c r="O2325" i="5"/>
  <c r="K2324" i="5"/>
  <c r="G2324" i="5" l="1"/>
  <c r="C2323" i="5"/>
  <c r="O2326" i="5"/>
  <c r="K2325" i="5"/>
  <c r="G2325" i="5" l="1"/>
  <c r="C2324" i="5"/>
  <c r="K2326" i="5"/>
  <c r="O2327" i="5"/>
  <c r="C2325" i="5" l="1"/>
  <c r="G2326" i="5"/>
  <c r="K2327" i="5"/>
  <c r="O2328" i="5"/>
  <c r="C2326" i="5" l="1"/>
  <c r="G2327" i="5"/>
  <c r="O2329" i="5"/>
  <c r="K2328" i="5"/>
  <c r="G2328" i="5" l="1"/>
  <c r="C2327" i="5"/>
  <c r="O2330" i="5"/>
  <c r="K2329" i="5"/>
  <c r="C2328" i="5" l="1"/>
  <c r="G2329" i="5"/>
  <c r="K2330" i="5"/>
  <c r="O2331" i="5"/>
  <c r="G2330" i="5" l="1"/>
  <c r="C2329" i="5"/>
  <c r="K2331" i="5"/>
  <c r="O2332" i="5"/>
  <c r="G2331" i="5" l="1"/>
  <c r="C2330" i="5"/>
  <c r="O2333" i="5"/>
  <c r="K2332" i="5"/>
  <c r="C2331" i="5" l="1"/>
  <c r="G2332" i="5"/>
  <c r="O2334" i="5"/>
  <c r="K2333" i="5"/>
  <c r="G2333" i="5" l="1"/>
  <c r="C2332" i="5"/>
  <c r="K2334" i="5"/>
  <c r="O2335" i="5"/>
  <c r="C2333" i="5" l="1"/>
  <c r="G2334" i="5"/>
  <c r="O2336" i="5"/>
  <c r="K2335" i="5"/>
  <c r="C2334" i="5" l="1"/>
  <c r="G2335" i="5"/>
  <c r="O2337" i="5"/>
  <c r="K2336" i="5"/>
  <c r="G2336" i="5" l="1"/>
  <c r="C2335" i="5"/>
  <c r="K2337" i="5"/>
  <c r="O2338" i="5"/>
  <c r="C2336" i="5" l="1"/>
  <c r="G2337" i="5"/>
  <c r="K2338" i="5"/>
  <c r="O2339" i="5"/>
  <c r="G2338" i="5" l="1"/>
  <c r="C2337" i="5"/>
  <c r="O2340" i="5"/>
  <c r="K2339" i="5"/>
  <c r="G2339" i="5" l="1"/>
  <c r="C2338" i="5"/>
  <c r="K2340" i="5"/>
  <c r="O2341" i="5"/>
  <c r="C2339" i="5" l="1"/>
  <c r="G2340" i="5"/>
  <c r="K2341" i="5"/>
  <c r="O2342" i="5"/>
  <c r="G2341" i="5" l="1"/>
  <c r="C2340" i="5"/>
  <c r="K2342" i="5"/>
  <c r="O2343" i="5"/>
  <c r="C2341" i="5" l="1"/>
  <c r="G2342" i="5"/>
  <c r="K2343" i="5"/>
  <c r="O2344" i="5"/>
  <c r="G2343" i="5" l="1"/>
  <c r="C2342" i="5"/>
  <c r="O2345" i="5"/>
  <c r="K2344" i="5"/>
  <c r="G2344" i="5" l="1"/>
  <c r="C2343" i="5"/>
  <c r="K2345" i="5"/>
  <c r="O2346" i="5"/>
  <c r="C2344" i="5" l="1"/>
  <c r="G2345" i="5"/>
  <c r="K2346" i="5"/>
  <c r="O2347" i="5"/>
  <c r="G2346" i="5" l="1"/>
  <c r="C2345" i="5"/>
  <c r="K2347" i="5"/>
  <c r="O2348" i="5"/>
  <c r="G2347" i="5" l="1"/>
  <c r="C2346" i="5"/>
  <c r="O2349" i="5"/>
  <c r="K2348" i="5"/>
  <c r="C2347" i="5" l="1"/>
  <c r="G2348" i="5"/>
  <c r="K2349" i="5"/>
  <c r="O2350" i="5"/>
  <c r="C2348" i="5" l="1"/>
  <c r="G2349" i="5"/>
  <c r="K2350" i="5"/>
  <c r="O2351" i="5"/>
  <c r="C2349" i="5" l="1"/>
  <c r="G2350" i="5"/>
  <c r="O2352" i="5"/>
  <c r="K2351" i="5"/>
  <c r="G2351" i="5" l="1"/>
  <c r="C2350" i="5"/>
  <c r="O2353" i="5"/>
  <c r="K2352" i="5"/>
  <c r="G2352" i="5" l="1"/>
  <c r="C2351" i="5"/>
  <c r="O2354" i="5"/>
  <c r="K2353" i="5"/>
  <c r="C2352" i="5" l="1"/>
  <c r="G2353" i="5"/>
  <c r="K2354" i="5"/>
  <c r="O2355" i="5"/>
  <c r="C2353" i="5" l="1"/>
  <c r="G2354" i="5"/>
  <c r="O2356" i="5"/>
  <c r="K2355" i="5"/>
  <c r="G2355" i="5" l="1"/>
  <c r="C2354" i="5"/>
  <c r="K2356" i="5"/>
  <c r="O2357" i="5"/>
  <c r="G2356" i="5" l="1"/>
  <c r="C2355" i="5"/>
  <c r="O2358" i="5"/>
  <c r="K2357" i="5"/>
  <c r="G2357" i="5" l="1"/>
  <c r="C2356" i="5"/>
  <c r="K2358" i="5"/>
  <c r="O2359" i="5"/>
  <c r="C2357" i="5" l="1"/>
  <c r="G2358" i="5"/>
  <c r="O2360" i="5"/>
  <c r="K2359" i="5"/>
  <c r="C2358" i="5" l="1"/>
  <c r="G2359" i="5"/>
  <c r="O2361" i="5"/>
  <c r="K2360" i="5"/>
  <c r="C2359" i="5" l="1"/>
  <c r="G2360" i="5"/>
  <c r="K2361" i="5"/>
  <c r="O2362" i="5"/>
  <c r="G2361" i="5" l="1"/>
  <c r="C2360" i="5"/>
  <c r="K2362" i="5"/>
  <c r="O2363" i="5"/>
  <c r="C2361" i="5" l="1"/>
  <c r="G2362" i="5"/>
  <c r="K2363" i="5"/>
  <c r="O2364" i="5"/>
  <c r="G2363" i="5" l="1"/>
  <c r="C2362" i="5"/>
  <c r="K2364" i="5"/>
  <c r="O2365" i="5"/>
  <c r="G2364" i="5" l="1"/>
  <c r="C2363" i="5"/>
  <c r="K2365" i="5"/>
  <c r="O2366" i="5"/>
  <c r="G2365" i="5" l="1"/>
  <c r="C2364" i="5"/>
  <c r="K2366" i="5"/>
  <c r="O2367" i="5"/>
  <c r="C2365" i="5" l="1"/>
  <c r="G2366" i="5"/>
  <c r="O2368" i="5"/>
  <c r="K2367" i="5"/>
  <c r="C2366" i="5" l="1"/>
  <c r="G2367" i="5"/>
  <c r="K2368" i="5"/>
  <c r="O2369" i="5"/>
  <c r="C2367" i="5" l="1"/>
  <c r="G2368" i="5"/>
  <c r="O2370" i="5"/>
  <c r="K2369" i="5"/>
  <c r="G2369" i="5" l="1"/>
  <c r="C2368" i="5"/>
  <c r="K2370" i="5"/>
  <c r="O2371" i="5"/>
  <c r="G2370" i="5" l="1"/>
  <c r="C2369" i="5"/>
  <c r="O2372" i="5"/>
  <c r="K2371" i="5"/>
  <c r="C2370" i="5" l="1"/>
  <c r="G2371" i="5"/>
  <c r="K2372" i="5"/>
  <c r="O2373" i="5"/>
  <c r="G2372" i="5" l="1"/>
  <c r="C2371" i="5"/>
  <c r="O2374" i="5"/>
  <c r="K2373" i="5"/>
  <c r="C2372" i="5" l="1"/>
  <c r="G2373" i="5"/>
  <c r="K2374" i="5"/>
  <c r="O2375" i="5"/>
  <c r="C2373" i="5" l="1"/>
  <c r="G2374" i="5"/>
  <c r="O2376" i="5"/>
  <c r="K2375" i="5"/>
  <c r="C2374" i="5" l="1"/>
  <c r="G2375" i="5"/>
  <c r="O2377" i="5"/>
  <c r="K2376" i="5"/>
  <c r="G2376" i="5" l="1"/>
  <c r="C2375" i="5"/>
  <c r="O2378" i="5"/>
  <c r="K2377" i="5"/>
  <c r="G2377" i="5" l="1"/>
  <c r="C2376" i="5"/>
  <c r="K2378" i="5"/>
  <c r="O2379" i="5"/>
  <c r="C2377" i="5" l="1"/>
  <c r="G2378" i="5"/>
  <c r="O2380" i="5"/>
  <c r="K2379" i="5"/>
  <c r="C2378" i="5" l="1"/>
  <c r="G2379" i="5"/>
  <c r="O2381" i="5"/>
  <c r="K2380" i="5"/>
  <c r="C2379" i="5" l="1"/>
  <c r="G2380" i="5"/>
  <c r="K2381" i="5"/>
  <c r="O2382" i="5"/>
  <c r="G2381" i="5" l="1"/>
  <c r="C2380" i="5"/>
  <c r="K2382" i="5"/>
  <c r="O2383" i="5"/>
  <c r="C2381" i="5" l="1"/>
  <c r="G2382" i="5"/>
  <c r="O2384" i="5"/>
  <c r="K2383" i="5"/>
  <c r="C2382" i="5" l="1"/>
  <c r="G2383" i="5"/>
  <c r="O2385" i="5"/>
  <c r="K2384" i="5"/>
  <c r="C2383" i="5" l="1"/>
  <c r="G2384" i="5"/>
  <c r="O2386" i="5"/>
  <c r="K2385" i="5"/>
  <c r="G2385" i="5" l="1"/>
  <c r="C2384" i="5"/>
  <c r="K2386" i="5"/>
  <c r="O2387" i="5"/>
  <c r="G2386" i="5" l="1"/>
  <c r="C2385" i="5"/>
  <c r="O2388" i="5"/>
  <c r="K2387" i="5"/>
  <c r="C2386" i="5" l="1"/>
  <c r="G2387" i="5"/>
  <c r="O2389" i="5"/>
  <c r="K2388" i="5"/>
  <c r="G2388" i="5" l="1"/>
  <c r="C2387" i="5"/>
  <c r="O2390" i="5"/>
  <c r="K2389" i="5"/>
  <c r="G2389" i="5" l="1"/>
  <c r="C2388" i="5"/>
  <c r="K2390" i="5"/>
  <c r="O2391" i="5"/>
  <c r="G2390" i="5" l="1"/>
  <c r="C2389" i="5"/>
  <c r="O2392" i="5"/>
  <c r="K2391" i="5"/>
  <c r="G2391" i="5" l="1"/>
  <c r="C2390" i="5"/>
  <c r="K2392" i="5"/>
  <c r="O2393" i="5"/>
  <c r="C2391" i="5" l="1"/>
  <c r="G2392" i="5"/>
  <c r="K2393" i="5"/>
  <c r="O2394" i="5"/>
  <c r="G2393" i="5" l="1"/>
  <c r="C2392" i="5"/>
  <c r="K2394" i="5"/>
  <c r="O2395" i="5"/>
  <c r="C2393" i="5" l="1"/>
  <c r="G2394" i="5"/>
  <c r="K2395" i="5"/>
  <c r="O2396" i="5"/>
  <c r="G2395" i="5" l="1"/>
  <c r="C2394" i="5"/>
  <c r="K2396" i="5"/>
  <c r="O2397" i="5"/>
  <c r="G2396" i="5" l="1"/>
  <c r="C2395" i="5"/>
  <c r="O2398" i="5"/>
  <c r="K2397" i="5"/>
  <c r="G2397" i="5" l="1"/>
  <c r="C2396" i="5"/>
  <c r="K2398" i="5"/>
  <c r="O2399" i="5"/>
  <c r="C2397" i="5" l="1"/>
  <c r="G2398" i="5"/>
  <c r="O2400" i="5"/>
  <c r="K2399" i="5"/>
  <c r="C2398" i="5" l="1"/>
  <c r="G2399" i="5"/>
  <c r="O2401" i="5"/>
  <c r="K2400" i="5"/>
  <c r="C2399" i="5" l="1"/>
  <c r="G2400" i="5"/>
  <c r="O2402" i="5"/>
  <c r="K2401" i="5"/>
  <c r="G2401" i="5" l="1"/>
  <c r="C2400" i="5"/>
  <c r="K2402" i="5"/>
  <c r="O2403" i="5"/>
  <c r="G2402" i="5" l="1"/>
  <c r="C2401" i="5"/>
  <c r="O2404" i="5"/>
  <c r="K2403" i="5"/>
  <c r="C2402" i="5" l="1"/>
  <c r="G2403" i="5"/>
  <c r="K2404" i="5"/>
  <c r="O2405" i="5"/>
  <c r="G2404" i="5" l="1"/>
  <c r="C2403" i="5"/>
  <c r="K2405" i="5"/>
  <c r="O2406" i="5"/>
  <c r="G2405" i="5" l="1"/>
  <c r="C2404" i="5"/>
  <c r="K2406" i="5"/>
  <c r="O2407" i="5"/>
  <c r="G2406" i="5" l="1"/>
  <c r="C2405" i="5"/>
  <c r="O2408" i="5"/>
  <c r="K2407" i="5"/>
  <c r="G2407" i="5" l="1"/>
  <c r="C2406" i="5"/>
  <c r="O2409" i="5"/>
  <c r="K2408" i="5"/>
  <c r="G2408" i="5" l="1"/>
  <c r="C2407" i="5"/>
  <c r="O2410" i="5"/>
  <c r="K2409" i="5"/>
  <c r="G2409" i="5" l="1"/>
  <c r="C2408" i="5"/>
  <c r="K2410" i="5"/>
  <c r="O2411" i="5"/>
  <c r="C2409" i="5" l="1"/>
  <c r="G2410" i="5"/>
  <c r="O2412" i="5"/>
  <c r="K2411" i="5"/>
  <c r="G2411" i="5" l="1"/>
  <c r="C2410" i="5"/>
  <c r="O2413" i="5"/>
  <c r="K2412" i="5"/>
  <c r="G2412" i="5" l="1"/>
  <c r="C2411" i="5"/>
  <c r="K2413" i="5"/>
  <c r="O2414" i="5"/>
  <c r="C2412" i="5" l="1"/>
  <c r="G2413" i="5"/>
  <c r="K2414" i="5"/>
  <c r="O2415" i="5"/>
  <c r="C2413" i="5" l="1"/>
  <c r="G2414" i="5"/>
  <c r="O2416" i="5"/>
  <c r="K2415" i="5"/>
  <c r="C2414" i="5" l="1"/>
  <c r="G2415" i="5"/>
  <c r="K2416" i="5"/>
  <c r="O2417" i="5"/>
  <c r="G2416" i="5" l="1"/>
  <c r="C2415" i="5"/>
  <c r="O2418" i="5"/>
  <c r="K2417" i="5"/>
  <c r="C2416" i="5" l="1"/>
  <c r="G2417" i="5"/>
  <c r="K2418" i="5"/>
  <c r="O2419" i="5"/>
  <c r="G2418" i="5" l="1"/>
  <c r="C2417" i="5"/>
  <c r="O2420" i="5"/>
  <c r="K2419" i="5"/>
  <c r="C2418" i="5" l="1"/>
  <c r="G2419" i="5"/>
  <c r="K2420" i="5"/>
  <c r="O2421" i="5"/>
  <c r="C2419" i="5" l="1"/>
  <c r="G2420" i="5"/>
  <c r="O2422" i="5"/>
  <c r="K2421" i="5"/>
  <c r="G2421" i="5" l="1"/>
  <c r="C2420" i="5"/>
  <c r="K2422" i="5"/>
  <c r="O2423" i="5"/>
  <c r="G2422" i="5" l="1"/>
  <c r="C2421" i="5"/>
  <c r="K2423" i="5"/>
  <c r="O2424" i="5"/>
  <c r="G2423" i="5" l="1"/>
  <c r="C2422" i="5"/>
  <c r="K2424" i="5"/>
  <c r="O2425" i="5"/>
  <c r="G2424" i="5" l="1"/>
  <c r="C2423" i="5"/>
  <c r="O2426" i="5"/>
  <c r="K2425" i="5"/>
  <c r="C2424" i="5" l="1"/>
  <c r="G2425" i="5"/>
  <c r="K2426" i="5"/>
  <c r="O2427" i="5"/>
  <c r="C2425" i="5" l="1"/>
  <c r="G2426" i="5"/>
  <c r="K2427" i="5"/>
  <c r="O2428" i="5"/>
  <c r="G2427" i="5" l="1"/>
  <c r="C2426" i="5"/>
  <c r="O2429" i="5"/>
  <c r="K2428" i="5"/>
  <c r="C2427" i="5" l="1"/>
  <c r="G2428" i="5"/>
  <c r="O2430" i="5"/>
  <c r="K2429" i="5"/>
  <c r="C2428" i="5" l="1"/>
  <c r="G2429" i="5"/>
  <c r="K2430" i="5"/>
  <c r="O2431" i="5"/>
  <c r="C2429" i="5" l="1"/>
  <c r="G2430" i="5"/>
  <c r="O2432" i="5"/>
  <c r="K2431" i="5"/>
  <c r="C2430" i="5" l="1"/>
  <c r="G2431" i="5"/>
  <c r="O2433" i="5"/>
  <c r="K2432" i="5"/>
  <c r="C2431" i="5" l="1"/>
  <c r="G2432" i="5"/>
  <c r="O2434" i="5"/>
  <c r="K2433" i="5"/>
  <c r="C2432" i="5" l="1"/>
  <c r="G2433" i="5"/>
  <c r="K2434" i="5"/>
  <c r="O2435" i="5"/>
  <c r="C2433" i="5" l="1"/>
  <c r="G2434" i="5"/>
  <c r="O2436" i="5"/>
  <c r="K2435" i="5"/>
  <c r="G2435" i="5" l="1"/>
  <c r="C2434" i="5"/>
  <c r="K2436" i="5"/>
  <c r="O2437" i="5"/>
  <c r="C2435" i="5" l="1"/>
  <c r="G2436" i="5"/>
  <c r="O2438" i="5"/>
  <c r="K2437" i="5"/>
  <c r="G2437" i="5" l="1"/>
  <c r="C2436" i="5"/>
  <c r="K2438" i="5"/>
  <c r="O2439" i="5"/>
  <c r="G2438" i="5" l="1"/>
  <c r="C2437" i="5"/>
  <c r="O2440" i="5"/>
  <c r="K2439" i="5"/>
  <c r="C2438" i="5" l="1"/>
  <c r="G2439" i="5"/>
  <c r="O2441" i="5"/>
  <c r="K2440" i="5"/>
  <c r="G2440" i="5" l="1"/>
  <c r="C2439" i="5"/>
  <c r="K2441" i="5"/>
  <c r="O2442" i="5"/>
  <c r="G2441" i="5" l="1"/>
  <c r="C2440" i="5"/>
  <c r="K2442" i="5"/>
  <c r="O2443" i="5"/>
  <c r="G2442" i="5" l="1"/>
  <c r="C2441" i="5"/>
  <c r="K2443" i="5"/>
  <c r="O2444" i="5"/>
  <c r="C2442" i="5" l="1"/>
  <c r="G2443" i="5"/>
  <c r="O2445" i="5"/>
  <c r="K2444" i="5"/>
  <c r="C2443" i="5" l="1"/>
  <c r="G2444" i="5"/>
  <c r="K2445" i="5"/>
  <c r="O2446" i="5"/>
  <c r="G2445" i="5" l="1"/>
  <c r="C2444" i="5"/>
  <c r="K2446" i="5"/>
  <c r="O2447" i="5"/>
  <c r="G2446" i="5" l="1"/>
  <c r="C2445" i="5"/>
  <c r="K2447" i="5"/>
  <c r="O2448" i="5"/>
  <c r="C2446" i="5" l="1"/>
  <c r="G2447" i="5"/>
  <c r="O2449" i="5"/>
  <c r="K2448" i="5"/>
  <c r="C2447" i="5" l="1"/>
  <c r="G2448" i="5"/>
  <c r="O2450" i="5"/>
  <c r="K2449" i="5"/>
  <c r="G2449" i="5" l="1"/>
  <c r="C2448" i="5"/>
  <c r="K2450" i="5"/>
  <c r="O2451" i="5"/>
  <c r="G2450" i="5" l="1"/>
  <c r="C2449" i="5"/>
  <c r="K2451" i="5"/>
  <c r="O2452" i="5"/>
  <c r="C2450" i="5" l="1"/>
  <c r="G2451" i="5"/>
  <c r="O2453" i="5"/>
  <c r="K2452" i="5"/>
  <c r="G2452" i="5" l="1"/>
  <c r="C2451" i="5"/>
  <c r="O2454" i="5"/>
  <c r="K2453" i="5"/>
  <c r="G2453" i="5" l="1"/>
  <c r="C2452" i="5"/>
  <c r="K2454" i="5"/>
  <c r="O2455" i="5"/>
  <c r="C2453" i="5" l="1"/>
  <c r="G2454" i="5"/>
  <c r="O2456" i="5"/>
  <c r="K2455" i="5"/>
  <c r="C2454" i="5" l="1"/>
  <c r="G2455" i="5"/>
  <c r="O2457" i="5"/>
  <c r="K2456" i="5"/>
  <c r="G2456" i="5" l="1"/>
  <c r="C2455" i="5"/>
  <c r="O2458" i="5"/>
  <c r="K2457" i="5"/>
  <c r="G2457" i="5" l="1"/>
  <c r="C2456" i="5"/>
  <c r="K2458" i="5"/>
  <c r="O2459" i="5"/>
  <c r="G2458" i="5" l="1"/>
  <c r="C2457" i="5"/>
  <c r="K2459" i="5"/>
  <c r="O2460" i="5"/>
  <c r="C2458" i="5" l="1"/>
  <c r="G2459" i="5"/>
  <c r="O2461" i="5"/>
  <c r="K2460" i="5"/>
  <c r="G2460" i="5" l="1"/>
  <c r="C2459" i="5"/>
  <c r="K2461" i="5"/>
  <c r="O2462" i="5"/>
  <c r="G2461" i="5" l="1"/>
  <c r="C2460" i="5"/>
  <c r="K2462" i="5"/>
  <c r="O2463" i="5"/>
  <c r="C2461" i="5" l="1"/>
  <c r="G2462" i="5"/>
  <c r="O2464" i="5"/>
  <c r="K2463" i="5"/>
  <c r="C2462" i="5" l="1"/>
  <c r="G2463" i="5"/>
  <c r="O2465" i="5"/>
  <c r="K2464" i="5"/>
  <c r="G2464" i="5" l="1"/>
  <c r="C2463" i="5"/>
  <c r="K2465" i="5"/>
  <c r="O2466" i="5"/>
  <c r="G2465" i="5" l="1"/>
  <c r="C2464" i="5"/>
  <c r="K2466" i="5"/>
  <c r="O2467" i="5"/>
  <c r="C2465" i="5" l="1"/>
  <c r="G2466" i="5"/>
  <c r="O2468" i="5"/>
  <c r="K2467" i="5"/>
  <c r="G2467" i="5" l="1"/>
  <c r="C2466" i="5"/>
  <c r="K2468" i="5"/>
  <c r="O2469" i="5"/>
  <c r="C2467" i="5" l="1"/>
  <c r="G2468" i="5"/>
  <c r="K2469" i="5"/>
  <c r="O2470" i="5"/>
  <c r="G2469" i="5" l="1"/>
  <c r="C2468" i="5"/>
  <c r="K2470" i="5"/>
  <c r="O2471" i="5"/>
  <c r="C2469" i="5" l="1"/>
  <c r="G2470" i="5"/>
  <c r="K2471" i="5"/>
  <c r="O2472" i="5"/>
  <c r="C2470" i="5" l="1"/>
  <c r="G2471" i="5"/>
  <c r="O2473" i="5"/>
  <c r="K2472" i="5"/>
  <c r="G2472" i="5" l="1"/>
  <c r="C2471" i="5"/>
  <c r="K2473" i="5"/>
  <c r="O2474" i="5"/>
  <c r="G2473" i="5" l="1"/>
  <c r="C2472" i="5"/>
  <c r="K2474" i="5"/>
  <c r="O2475" i="5"/>
  <c r="G2474" i="5" l="1"/>
  <c r="C2473" i="5"/>
  <c r="K2475" i="5"/>
  <c r="O2476" i="5"/>
  <c r="C2474" i="5" l="1"/>
  <c r="G2475" i="5"/>
  <c r="O2477" i="5"/>
  <c r="K2476" i="5"/>
  <c r="C2475" i="5" l="1"/>
  <c r="G2476" i="5"/>
  <c r="K2477" i="5"/>
  <c r="O2478" i="5"/>
  <c r="G2477" i="5" l="1"/>
  <c r="C2476" i="5"/>
  <c r="K2478" i="5"/>
  <c r="O2479" i="5"/>
  <c r="G2478" i="5" l="1"/>
  <c r="C2477" i="5"/>
  <c r="O2480" i="5"/>
  <c r="K2479" i="5"/>
  <c r="G2479" i="5" l="1"/>
  <c r="C2478" i="5"/>
  <c r="O2481" i="5"/>
  <c r="K2480" i="5"/>
  <c r="C2479" i="5" l="1"/>
  <c r="G2480" i="5"/>
  <c r="O2482" i="5"/>
  <c r="K2481" i="5"/>
  <c r="G2481" i="5" l="1"/>
  <c r="C2480" i="5"/>
  <c r="K2482" i="5"/>
  <c r="O2483" i="5"/>
  <c r="C2481" i="5" l="1"/>
  <c r="G2482" i="5"/>
  <c r="O2484" i="5"/>
  <c r="K2483" i="5"/>
  <c r="G2483" i="5" l="1"/>
  <c r="C2482" i="5"/>
  <c r="O2485" i="5"/>
  <c r="K2484" i="5"/>
  <c r="G2484" i="5" l="1"/>
  <c r="C2483" i="5"/>
  <c r="O2486" i="5"/>
  <c r="K2485" i="5"/>
  <c r="C2484" i="5" l="1"/>
  <c r="G2485" i="5"/>
  <c r="K2486" i="5"/>
  <c r="O2487" i="5"/>
  <c r="C2485" i="5" l="1"/>
  <c r="G2486" i="5"/>
  <c r="O2488" i="5"/>
  <c r="K2487" i="5"/>
  <c r="C2486" i="5" l="1"/>
  <c r="G2487" i="5"/>
  <c r="O2489" i="5"/>
  <c r="K2488" i="5"/>
  <c r="C2487" i="5" l="1"/>
  <c r="G2488" i="5"/>
  <c r="K2489" i="5"/>
  <c r="O2490" i="5"/>
  <c r="C2488" i="5" l="1"/>
  <c r="G2489" i="5"/>
  <c r="K2490" i="5"/>
  <c r="O2491" i="5"/>
  <c r="C2489" i="5" l="1"/>
  <c r="G2490" i="5"/>
  <c r="K2491" i="5"/>
  <c r="O2492" i="5"/>
  <c r="G2491" i="5" l="1"/>
  <c r="C2490" i="5"/>
  <c r="O2493" i="5"/>
  <c r="K2492" i="5"/>
  <c r="G2492" i="5" l="1"/>
  <c r="C2491" i="5"/>
  <c r="K2493" i="5"/>
  <c r="O2494" i="5"/>
  <c r="C2492" i="5" l="1"/>
  <c r="G2493" i="5"/>
  <c r="K2494" i="5"/>
  <c r="O2495" i="5"/>
  <c r="C2493" i="5" l="1"/>
  <c r="G2494" i="5"/>
  <c r="O2496" i="5"/>
  <c r="K2495" i="5"/>
  <c r="G2495" i="5" l="1"/>
  <c r="C2494" i="5"/>
  <c r="K2496" i="5"/>
  <c r="O2497" i="5"/>
  <c r="G2496" i="5" l="1"/>
  <c r="C2495" i="5"/>
  <c r="O2498" i="5"/>
  <c r="K2497" i="5"/>
  <c r="G2497" i="5" l="1"/>
  <c r="C2496" i="5"/>
  <c r="K2498" i="5"/>
  <c r="O2499" i="5"/>
  <c r="C2497" i="5" l="1"/>
  <c r="G2498" i="5"/>
  <c r="O2500" i="5"/>
  <c r="K2499" i="5"/>
  <c r="G2499" i="5" l="1"/>
  <c r="C2498" i="5"/>
  <c r="K2500" i="5"/>
  <c r="O2501" i="5"/>
  <c r="C2499" i="5" l="1"/>
  <c r="G2500" i="5"/>
  <c r="O2502" i="5"/>
  <c r="K2501" i="5"/>
  <c r="C2500" i="5" l="1"/>
  <c r="G2501" i="5"/>
  <c r="K2502" i="5"/>
  <c r="O2503" i="5"/>
  <c r="C2501" i="5" l="1"/>
  <c r="G2502" i="5"/>
  <c r="O2504" i="5"/>
  <c r="K2503" i="5"/>
  <c r="G2503" i="5" l="1"/>
  <c r="C2502" i="5"/>
  <c r="O2505" i="5"/>
  <c r="K2504" i="5"/>
  <c r="G2504" i="5" l="1"/>
  <c r="C2503" i="5"/>
  <c r="O2506" i="5"/>
  <c r="K2505" i="5"/>
  <c r="C2504" i="5" l="1"/>
  <c r="G2505" i="5"/>
  <c r="K2506" i="5"/>
  <c r="O2507" i="5"/>
  <c r="C2505" i="5" l="1"/>
  <c r="G2506" i="5"/>
  <c r="O2508" i="5"/>
  <c r="K2507" i="5"/>
  <c r="C2506" i="5" l="1"/>
  <c r="G2507" i="5"/>
  <c r="O2509" i="5"/>
  <c r="K2508" i="5"/>
  <c r="G2508" i="5" l="1"/>
  <c r="C2507" i="5"/>
  <c r="K2509" i="5"/>
  <c r="O2510" i="5"/>
  <c r="C2508" i="5" l="1"/>
  <c r="G2509" i="5"/>
  <c r="K2510" i="5"/>
  <c r="O2511" i="5"/>
  <c r="C2509" i="5" l="1"/>
  <c r="G2510" i="5"/>
  <c r="O2512" i="5"/>
  <c r="K2511" i="5"/>
  <c r="C2510" i="5" l="1"/>
  <c r="G2511" i="5"/>
  <c r="O2513" i="5"/>
  <c r="K2512" i="5"/>
  <c r="G2512" i="5" l="1"/>
  <c r="C2511" i="5"/>
  <c r="O2514" i="5"/>
  <c r="K2513" i="5"/>
  <c r="C2512" i="5" l="1"/>
  <c r="G2513" i="5"/>
  <c r="K2514" i="5"/>
  <c r="O2515" i="5"/>
  <c r="C2513" i="5" l="1"/>
  <c r="G2514" i="5"/>
  <c r="K2515" i="5"/>
  <c r="O2516" i="5"/>
  <c r="G2515" i="5" l="1"/>
  <c r="C2514" i="5"/>
  <c r="O2517" i="5"/>
  <c r="K2516" i="5"/>
  <c r="C2515" i="5" l="1"/>
  <c r="G2516" i="5"/>
  <c r="O2518" i="5"/>
  <c r="K2517" i="5"/>
  <c r="C2516" i="5" l="1"/>
  <c r="G2517" i="5"/>
  <c r="K2518" i="5"/>
  <c r="O2519" i="5"/>
  <c r="C2517" i="5" l="1"/>
  <c r="G2518" i="5"/>
  <c r="O2520" i="5"/>
  <c r="K2519" i="5"/>
  <c r="G2519" i="5" l="1"/>
  <c r="C2518" i="5"/>
  <c r="K2520" i="5"/>
  <c r="O2521" i="5"/>
  <c r="C2519" i="5" l="1"/>
  <c r="G2520" i="5"/>
  <c r="K2521" i="5"/>
  <c r="O2522" i="5"/>
  <c r="G2521" i="5" l="1"/>
  <c r="C2520" i="5"/>
  <c r="K2522" i="5"/>
  <c r="O2523" i="5"/>
  <c r="C2521" i="5" l="1"/>
  <c r="G2522" i="5"/>
  <c r="K2523" i="5"/>
  <c r="O2524" i="5"/>
  <c r="C2522" i="5" l="1"/>
  <c r="G2523" i="5"/>
  <c r="K2524" i="5"/>
  <c r="O2525" i="5"/>
  <c r="G2524" i="5" l="1"/>
  <c r="C2523" i="5"/>
  <c r="O2526" i="5"/>
  <c r="K2525" i="5"/>
  <c r="G2525" i="5" l="1"/>
  <c r="C2524" i="5"/>
  <c r="K2526" i="5"/>
  <c r="O2527" i="5"/>
  <c r="C2525" i="5" l="1"/>
  <c r="G2526" i="5"/>
  <c r="O2528" i="5"/>
  <c r="K2527" i="5"/>
  <c r="C2526" i="5" l="1"/>
  <c r="G2527" i="5"/>
  <c r="O2529" i="5"/>
  <c r="K2528" i="5"/>
  <c r="C2527" i="5" l="1"/>
  <c r="G2528" i="5"/>
  <c r="O2530" i="5"/>
  <c r="K2529" i="5"/>
  <c r="G2529" i="5" l="1"/>
  <c r="C2528" i="5"/>
  <c r="K2530" i="5"/>
  <c r="O2531" i="5"/>
  <c r="G2530" i="5" l="1"/>
  <c r="C2529" i="5"/>
  <c r="O2532" i="5"/>
  <c r="K2531" i="5"/>
  <c r="C2530" i="5" l="1"/>
  <c r="G2531" i="5"/>
  <c r="K2532" i="5"/>
  <c r="O2533" i="5"/>
  <c r="C2531" i="5" l="1"/>
  <c r="G2532" i="5"/>
  <c r="O2534" i="5"/>
  <c r="K2533" i="5"/>
  <c r="C2532" i="5" l="1"/>
  <c r="G2533" i="5"/>
  <c r="K2534" i="5"/>
  <c r="O2535" i="5"/>
  <c r="G2534" i="5" l="1"/>
  <c r="C2533" i="5"/>
  <c r="O2536" i="5"/>
  <c r="K2535" i="5"/>
  <c r="C2534" i="5" l="1"/>
  <c r="G2535" i="5"/>
  <c r="O2537" i="5"/>
  <c r="K2536" i="5"/>
  <c r="G2536" i="5" l="1"/>
  <c r="C2535" i="5"/>
  <c r="O2538" i="5"/>
  <c r="K2537" i="5"/>
  <c r="C2536" i="5" l="1"/>
  <c r="G2537" i="5"/>
  <c r="K2538" i="5"/>
  <c r="O2539" i="5"/>
  <c r="G2538" i="5" l="1"/>
  <c r="C2537" i="5"/>
  <c r="O2540" i="5"/>
  <c r="K2539" i="5"/>
  <c r="G2539" i="5" l="1"/>
  <c r="C2538" i="5"/>
  <c r="O2541" i="5"/>
  <c r="K2540" i="5"/>
  <c r="G2540" i="5" l="1"/>
  <c r="C2539" i="5"/>
  <c r="K2541" i="5"/>
  <c r="O2542" i="5"/>
  <c r="C2540" i="5" l="1"/>
  <c r="G2541" i="5"/>
  <c r="K2542" i="5"/>
  <c r="O2543" i="5"/>
  <c r="C2541" i="5" l="1"/>
  <c r="G2542" i="5"/>
  <c r="O2544" i="5"/>
  <c r="K2543" i="5"/>
  <c r="G2543" i="5" l="1"/>
  <c r="C2542" i="5"/>
  <c r="K2544" i="5"/>
  <c r="O2545" i="5"/>
  <c r="G2544" i="5" l="1"/>
  <c r="C2543" i="5"/>
  <c r="O2546" i="5"/>
  <c r="K2545" i="5"/>
  <c r="C2544" i="5" l="1"/>
  <c r="G2545" i="5"/>
  <c r="K2546" i="5"/>
  <c r="O2547" i="5"/>
  <c r="G2546" i="5" l="1"/>
  <c r="C2545" i="5"/>
  <c r="O2548" i="5"/>
  <c r="K2547" i="5"/>
  <c r="G2547" i="5" l="1"/>
  <c r="C2546" i="5"/>
  <c r="K2548" i="5"/>
  <c r="O2549" i="5"/>
  <c r="G2548" i="5" l="1"/>
  <c r="C2547" i="5"/>
  <c r="O2550" i="5"/>
  <c r="K2549" i="5"/>
  <c r="C2548" i="5" l="1"/>
  <c r="G2549" i="5"/>
  <c r="K2550" i="5"/>
  <c r="O2551" i="5"/>
  <c r="C2549" i="5" l="1"/>
  <c r="G2550" i="5"/>
  <c r="K2551" i="5"/>
  <c r="O2552" i="5"/>
  <c r="G2551" i="5" l="1"/>
  <c r="C2550" i="5"/>
  <c r="O2553" i="5"/>
  <c r="K2552" i="5"/>
  <c r="G2552" i="5" l="1"/>
  <c r="C2551" i="5"/>
  <c r="O2554" i="5"/>
  <c r="K2553" i="5"/>
  <c r="C2552" i="5" l="1"/>
  <c r="G2553" i="5"/>
  <c r="K2554" i="5"/>
  <c r="O2555" i="5"/>
  <c r="G2554" i="5" l="1"/>
  <c r="C2553" i="5"/>
  <c r="K2555" i="5"/>
  <c r="O2556" i="5"/>
  <c r="G2555" i="5" l="1"/>
  <c r="C2554" i="5"/>
  <c r="O2557" i="5"/>
  <c r="K2556" i="5"/>
  <c r="G2556" i="5" l="1"/>
  <c r="C2555" i="5"/>
  <c r="O2558" i="5"/>
  <c r="K2557" i="5"/>
  <c r="C2556" i="5" l="1"/>
  <c r="G2557" i="5"/>
  <c r="K2558" i="5"/>
  <c r="O2559" i="5"/>
  <c r="C2557" i="5" l="1"/>
  <c r="G2558" i="5"/>
  <c r="O2560" i="5"/>
  <c r="K2559" i="5"/>
  <c r="C2558" i="5" l="1"/>
  <c r="G2559" i="5"/>
  <c r="O2561" i="5"/>
  <c r="K2560" i="5"/>
  <c r="G2560" i="5" l="1"/>
  <c r="C2559" i="5"/>
  <c r="O2562" i="5"/>
  <c r="K2561" i="5"/>
  <c r="C2560" i="5" l="1"/>
  <c r="G2561" i="5"/>
  <c r="K2562" i="5"/>
  <c r="O2563" i="5"/>
  <c r="C2561" i="5" l="1"/>
  <c r="G2562" i="5"/>
  <c r="O2564" i="5"/>
  <c r="K2563" i="5"/>
  <c r="G2563" i="5" l="1"/>
  <c r="C2562" i="5"/>
  <c r="K2564" i="5"/>
  <c r="O2565" i="5"/>
  <c r="G2564" i="5" l="1"/>
  <c r="C2563" i="5"/>
  <c r="O2566" i="5"/>
  <c r="K2565" i="5"/>
  <c r="C2564" i="5" l="1"/>
  <c r="G2565" i="5"/>
  <c r="K2566" i="5"/>
  <c r="O2567" i="5"/>
  <c r="C2565" i="5" l="1"/>
  <c r="G2566" i="5"/>
  <c r="O2568" i="5"/>
  <c r="K2567" i="5"/>
  <c r="G2567" i="5" l="1"/>
  <c r="C2566" i="5"/>
  <c r="O2569" i="5"/>
  <c r="K2568" i="5"/>
  <c r="C2567" i="5" l="1"/>
  <c r="G2568" i="5"/>
  <c r="K2569" i="5"/>
  <c r="O2570" i="5"/>
  <c r="G2569" i="5" l="1"/>
  <c r="C2568" i="5"/>
  <c r="K2570" i="5"/>
  <c r="O2571" i="5"/>
  <c r="G2570" i="5" l="1"/>
  <c r="C2569" i="5"/>
  <c r="O2572" i="5"/>
  <c r="K2571" i="5"/>
  <c r="G2571" i="5" l="1"/>
  <c r="C2570" i="5"/>
  <c r="O2573" i="5"/>
  <c r="K2572" i="5"/>
  <c r="G2572" i="5" l="1"/>
  <c r="C2571" i="5"/>
  <c r="K2573" i="5"/>
  <c r="O2574" i="5"/>
  <c r="C2572" i="5" l="1"/>
  <c r="G2573" i="5"/>
  <c r="K2574" i="5"/>
  <c r="O2575" i="5"/>
  <c r="C2573" i="5" l="1"/>
  <c r="G2574" i="5"/>
  <c r="K2575" i="5"/>
  <c r="O2576" i="5"/>
  <c r="G2575" i="5" l="1"/>
  <c r="C2574" i="5"/>
  <c r="O2577" i="5"/>
  <c r="K2576" i="5"/>
  <c r="G2576" i="5" l="1"/>
  <c r="C2575" i="5"/>
  <c r="O2578" i="5"/>
  <c r="K2577" i="5"/>
  <c r="C2576" i="5" l="1"/>
  <c r="G2577" i="5"/>
  <c r="K2578" i="5"/>
  <c r="O2579" i="5"/>
  <c r="G2578" i="5" l="1"/>
  <c r="C2577" i="5"/>
  <c r="K2579" i="5"/>
  <c r="O2580" i="5"/>
  <c r="G2579" i="5" l="1"/>
  <c r="C2578" i="5"/>
  <c r="O2581" i="5"/>
  <c r="K2580" i="5"/>
  <c r="C2579" i="5" l="1"/>
  <c r="G2580" i="5"/>
  <c r="O2582" i="5"/>
  <c r="K2581" i="5"/>
  <c r="G2581" i="5" l="1"/>
  <c r="C2580" i="5"/>
  <c r="K2582" i="5"/>
  <c r="O2583" i="5"/>
  <c r="C2581" i="5" l="1"/>
  <c r="G2582" i="5"/>
  <c r="K2583" i="5"/>
  <c r="O2584" i="5"/>
  <c r="G2583" i="5" l="1"/>
  <c r="C2582" i="5"/>
  <c r="O2585" i="5"/>
  <c r="K2584" i="5"/>
  <c r="G2584" i="5" l="1"/>
  <c r="C2583" i="5"/>
  <c r="O2586" i="5"/>
  <c r="K2585" i="5"/>
  <c r="G2585" i="5" l="1"/>
  <c r="C2584" i="5"/>
  <c r="K2586" i="5"/>
  <c r="O2587" i="5"/>
  <c r="G2586" i="5" l="1"/>
  <c r="C2585" i="5"/>
  <c r="K2587" i="5"/>
  <c r="O2588" i="5"/>
  <c r="G2587" i="5" l="1"/>
  <c r="C2586" i="5"/>
  <c r="O2589" i="5"/>
  <c r="K2588" i="5"/>
  <c r="C2587" i="5" l="1"/>
  <c r="G2588" i="5"/>
  <c r="K2589" i="5"/>
  <c r="O2590" i="5"/>
  <c r="C2588" i="5" l="1"/>
  <c r="G2589" i="5"/>
  <c r="K2590" i="5"/>
  <c r="O2591" i="5"/>
  <c r="C2589" i="5" l="1"/>
  <c r="G2590" i="5"/>
  <c r="O2592" i="5"/>
  <c r="K2591" i="5"/>
  <c r="C2590" i="5" l="1"/>
  <c r="G2591" i="5"/>
  <c r="O2593" i="5"/>
  <c r="K2592" i="5"/>
  <c r="C2591" i="5" l="1"/>
  <c r="G2592" i="5"/>
  <c r="K2593" i="5"/>
  <c r="O2594" i="5"/>
  <c r="G2593" i="5" l="1"/>
  <c r="C2592" i="5"/>
  <c r="K2594" i="5"/>
  <c r="O2595" i="5"/>
  <c r="C2593" i="5" l="1"/>
  <c r="G2594" i="5"/>
  <c r="O2596" i="5"/>
  <c r="K2595" i="5"/>
  <c r="C2594" i="5" l="1"/>
  <c r="G2595" i="5"/>
  <c r="K2596" i="5"/>
  <c r="O2597" i="5"/>
  <c r="G2596" i="5" l="1"/>
  <c r="C2595" i="5"/>
  <c r="K2597" i="5"/>
  <c r="O2598" i="5"/>
  <c r="G2597" i="5" l="1"/>
  <c r="C2596" i="5"/>
  <c r="K2598" i="5"/>
  <c r="O2599" i="5"/>
  <c r="G2598" i="5" l="1"/>
  <c r="C2597" i="5"/>
  <c r="K2599" i="5"/>
  <c r="O2600" i="5"/>
  <c r="G2599" i="5" l="1"/>
  <c r="C2598" i="5"/>
  <c r="O2601" i="5"/>
  <c r="K2600" i="5"/>
  <c r="G2600" i="5" l="1"/>
  <c r="C2599" i="5"/>
  <c r="O2602" i="5"/>
  <c r="K2601" i="5"/>
  <c r="C2600" i="5" l="1"/>
  <c r="G2601" i="5"/>
  <c r="K2602" i="5"/>
  <c r="O2603" i="5"/>
  <c r="G2602" i="5" l="1"/>
  <c r="C2601" i="5"/>
  <c r="K2603" i="5"/>
  <c r="O2604" i="5"/>
  <c r="G2603" i="5" l="1"/>
  <c r="C2602" i="5"/>
  <c r="O2605" i="5"/>
  <c r="K2604" i="5"/>
  <c r="G2604" i="5" l="1"/>
  <c r="C2603" i="5"/>
  <c r="K2605" i="5"/>
  <c r="O2606" i="5"/>
  <c r="C2604" i="5" l="1"/>
  <c r="G2605" i="5"/>
  <c r="K2606" i="5"/>
  <c r="O2607" i="5"/>
  <c r="C2605" i="5" l="1"/>
  <c r="G2606" i="5"/>
  <c r="O2608" i="5"/>
  <c r="K2607" i="5"/>
  <c r="G2607" i="5" l="1"/>
  <c r="C2606" i="5"/>
  <c r="O2609" i="5"/>
  <c r="K2608" i="5"/>
  <c r="G2608" i="5" l="1"/>
  <c r="C2607" i="5"/>
  <c r="O2610" i="5"/>
  <c r="K2609" i="5"/>
  <c r="C2608" i="5" l="1"/>
  <c r="G2609" i="5"/>
  <c r="K2610" i="5"/>
  <c r="O2611" i="5"/>
  <c r="G2610" i="5" l="1"/>
  <c r="C2609" i="5"/>
  <c r="O2612" i="5"/>
  <c r="K2611" i="5"/>
  <c r="G2611" i="5" l="1"/>
  <c r="C2610" i="5"/>
  <c r="K2612" i="5"/>
  <c r="O2613" i="5"/>
  <c r="G2612" i="5" l="1"/>
  <c r="C2611" i="5"/>
  <c r="O2614" i="5"/>
  <c r="K2613" i="5"/>
  <c r="C2612" i="5" l="1"/>
  <c r="G2613" i="5"/>
  <c r="K2614" i="5"/>
  <c r="O2615" i="5"/>
  <c r="C2613" i="5" l="1"/>
  <c r="G2614" i="5"/>
  <c r="O2616" i="5"/>
  <c r="K2615" i="5"/>
  <c r="G2615" i="5" l="1"/>
  <c r="C2614" i="5"/>
  <c r="O2617" i="5"/>
  <c r="K2616" i="5"/>
  <c r="C2615" i="5" l="1"/>
  <c r="G2616" i="5"/>
  <c r="K2617" i="5"/>
  <c r="O2618" i="5"/>
  <c r="C2616" i="5" l="1"/>
  <c r="G2617" i="5"/>
  <c r="K2618" i="5"/>
  <c r="O2619" i="5"/>
  <c r="G2618" i="5" l="1"/>
  <c r="C2617" i="5"/>
  <c r="K2619" i="5"/>
  <c r="O2620" i="5"/>
  <c r="C2618" i="5" l="1"/>
  <c r="G2619" i="5"/>
  <c r="O2621" i="5"/>
  <c r="K2620" i="5"/>
  <c r="G2620" i="5" l="1"/>
  <c r="C2619" i="5"/>
  <c r="K2621" i="5"/>
  <c r="O2622" i="5"/>
  <c r="C2620" i="5" l="1"/>
  <c r="G2621" i="5"/>
  <c r="K2622" i="5"/>
  <c r="O2623" i="5"/>
  <c r="G2622" i="5" l="1"/>
  <c r="C2621" i="5"/>
  <c r="O2624" i="5"/>
  <c r="K2623" i="5"/>
  <c r="C2622" i="5" l="1"/>
  <c r="G2623" i="5"/>
  <c r="K2624" i="5"/>
  <c r="O2625" i="5"/>
  <c r="G2624" i="5" l="1"/>
  <c r="C2623" i="5"/>
  <c r="O2626" i="5"/>
  <c r="K2625" i="5"/>
  <c r="G2625" i="5" l="1"/>
  <c r="C2624" i="5"/>
  <c r="K2626" i="5"/>
  <c r="O2627" i="5"/>
  <c r="G2626" i="5" l="1"/>
  <c r="C2625" i="5"/>
  <c r="O2628" i="5"/>
  <c r="K2627" i="5"/>
  <c r="C2626" i="5" l="1"/>
  <c r="G2627" i="5"/>
  <c r="K2628" i="5"/>
  <c r="O2629" i="5"/>
  <c r="C2627" i="5" l="1"/>
  <c r="G2628" i="5"/>
  <c r="O2630" i="5"/>
  <c r="K2629" i="5"/>
  <c r="C2628" i="5" l="1"/>
  <c r="G2629" i="5"/>
  <c r="K2630" i="5"/>
  <c r="O2631" i="5"/>
  <c r="C2629" i="5" l="1"/>
  <c r="G2630" i="5"/>
  <c r="K2631" i="5"/>
  <c r="O2632" i="5"/>
  <c r="C2630" i="5" l="1"/>
  <c r="G2631" i="5"/>
  <c r="O2633" i="5"/>
  <c r="K2632" i="5"/>
  <c r="C2631" i="5" l="1"/>
  <c r="G2632" i="5"/>
  <c r="O2634" i="5"/>
  <c r="K2633" i="5"/>
  <c r="G2633" i="5" l="1"/>
  <c r="C2632" i="5"/>
  <c r="K2634" i="5"/>
  <c r="O2635" i="5"/>
  <c r="G2634" i="5" l="1"/>
  <c r="C2633" i="5"/>
  <c r="O2636" i="5"/>
  <c r="K2635" i="5"/>
  <c r="C2634" i="5" l="1"/>
  <c r="G2635" i="5"/>
  <c r="O2637" i="5"/>
  <c r="K2636" i="5"/>
  <c r="G2636" i="5" l="1"/>
  <c r="C2635" i="5"/>
  <c r="K2637" i="5"/>
  <c r="O2638" i="5"/>
  <c r="C2636" i="5" l="1"/>
  <c r="G2637" i="5"/>
  <c r="K2638" i="5"/>
  <c r="O2639" i="5"/>
  <c r="C2637" i="5" l="1"/>
  <c r="G2638" i="5"/>
  <c r="O2640" i="5"/>
  <c r="K2639" i="5"/>
  <c r="G2639" i="5" l="1"/>
  <c r="C2638" i="5"/>
  <c r="O2641" i="5"/>
  <c r="K2640" i="5"/>
  <c r="G2640" i="5" l="1"/>
  <c r="C2639" i="5"/>
  <c r="O2642" i="5"/>
  <c r="K2641" i="5"/>
  <c r="C2640" i="5" l="1"/>
  <c r="G2641" i="5"/>
  <c r="K2642" i="5"/>
  <c r="O2643" i="5"/>
  <c r="C2641" i="5" l="1"/>
  <c r="G2642" i="5"/>
  <c r="O2644" i="5"/>
  <c r="K2643" i="5"/>
  <c r="G2643" i="5" l="1"/>
  <c r="C2642" i="5"/>
  <c r="O2645" i="5"/>
  <c r="K2644" i="5"/>
  <c r="G2644" i="5" l="1"/>
  <c r="C2643" i="5"/>
  <c r="O2646" i="5"/>
  <c r="K2645" i="5"/>
  <c r="C2644" i="5" l="1"/>
  <c r="G2645" i="5"/>
  <c r="K2646" i="5"/>
  <c r="O2647" i="5"/>
  <c r="G2646" i="5" l="1"/>
  <c r="C2645" i="5"/>
  <c r="O2648" i="5"/>
  <c r="K2647" i="5"/>
  <c r="G2647" i="5" l="1"/>
  <c r="C2646" i="5"/>
  <c r="K2648" i="5"/>
  <c r="O2649" i="5"/>
  <c r="G2648" i="5" l="1"/>
  <c r="C2647" i="5"/>
  <c r="O2650" i="5"/>
  <c r="K2649" i="5"/>
  <c r="C2648" i="5" l="1"/>
  <c r="G2649" i="5"/>
  <c r="K2650" i="5"/>
  <c r="O2651" i="5"/>
  <c r="G2650" i="5" l="1"/>
  <c r="C2649" i="5"/>
  <c r="K2651" i="5"/>
  <c r="O2652" i="5"/>
  <c r="C2650" i="5" l="1"/>
  <c r="G2651" i="5"/>
  <c r="K2652" i="5"/>
  <c r="O2653" i="5"/>
  <c r="G2652" i="5" l="1"/>
  <c r="C2651" i="5"/>
  <c r="O2654" i="5"/>
  <c r="K2653" i="5"/>
  <c r="C2652" i="5" l="1"/>
  <c r="G2653" i="5"/>
  <c r="K2654" i="5"/>
  <c r="O2655" i="5"/>
  <c r="C2653" i="5" l="1"/>
  <c r="G2654" i="5"/>
  <c r="O2656" i="5"/>
  <c r="K2655" i="5"/>
  <c r="G2655" i="5" l="1"/>
  <c r="C2654" i="5"/>
  <c r="O2657" i="5"/>
  <c r="K2656" i="5"/>
  <c r="G2656" i="5" l="1"/>
  <c r="C2655" i="5"/>
  <c r="O2658" i="5"/>
  <c r="K2657" i="5"/>
  <c r="C2656" i="5" l="1"/>
  <c r="G2657" i="5"/>
  <c r="K2658" i="5"/>
  <c r="O2659" i="5"/>
  <c r="G2658" i="5" l="1"/>
  <c r="C2657" i="5"/>
  <c r="O2660" i="5"/>
  <c r="K2659" i="5"/>
  <c r="G2659" i="5" l="1"/>
  <c r="C2658" i="5"/>
  <c r="K2660" i="5"/>
  <c r="O2661" i="5"/>
  <c r="G2660" i="5" l="1"/>
  <c r="C2659" i="5"/>
  <c r="K2661" i="5"/>
  <c r="O2662" i="5"/>
  <c r="C2660" i="5" l="1"/>
  <c r="G2661" i="5"/>
  <c r="K2662" i="5"/>
  <c r="O2663" i="5"/>
  <c r="C2661" i="5" l="1"/>
  <c r="G2662" i="5"/>
  <c r="O2664" i="5"/>
  <c r="K2663" i="5"/>
  <c r="C2662" i="5" l="1"/>
  <c r="G2663" i="5"/>
  <c r="O2665" i="5"/>
  <c r="K2664" i="5"/>
  <c r="G2664" i="5" l="1"/>
  <c r="C2663" i="5"/>
  <c r="O2666" i="5"/>
  <c r="K2665" i="5"/>
  <c r="C2664" i="5" l="1"/>
  <c r="G2665" i="5"/>
  <c r="K2666" i="5"/>
  <c r="O2667" i="5"/>
  <c r="G2666" i="5" l="1"/>
  <c r="C2665" i="5"/>
  <c r="K2667" i="5"/>
  <c r="O2668" i="5"/>
  <c r="G2667" i="5" l="1"/>
  <c r="C2666" i="5"/>
  <c r="O2669" i="5"/>
  <c r="K2668" i="5"/>
  <c r="C2667" i="5" l="1"/>
  <c r="G2668" i="5"/>
  <c r="K2669" i="5"/>
  <c r="O2670" i="5"/>
  <c r="C2668" i="5" l="1"/>
  <c r="G2669" i="5"/>
  <c r="K2670" i="5"/>
  <c r="O2671" i="5"/>
  <c r="C2669" i="5" l="1"/>
  <c r="G2670" i="5"/>
  <c r="O2672" i="5"/>
  <c r="K2671" i="5"/>
  <c r="G2671" i="5" l="1"/>
  <c r="C2670" i="5"/>
  <c r="K2672" i="5"/>
  <c r="O2673" i="5"/>
  <c r="C2671" i="5" l="1"/>
  <c r="G2672" i="5"/>
  <c r="O2674" i="5"/>
  <c r="K2673" i="5"/>
  <c r="C2672" i="5" l="1"/>
  <c r="G2673" i="5"/>
  <c r="K2674" i="5"/>
  <c r="O2675" i="5"/>
  <c r="C2673" i="5" l="1"/>
  <c r="G2674" i="5"/>
  <c r="O2676" i="5"/>
  <c r="K2675" i="5"/>
  <c r="G2675" i="5" l="1"/>
  <c r="C2674" i="5"/>
  <c r="K2676" i="5"/>
  <c r="O2677" i="5"/>
  <c r="G2676" i="5" l="1"/>
  <c r="C2675" i="5"/>
  <c r="O2678" i="5"/>
  <c r="K2677" i="5"/>
  <c r="C2676" i="5" l="1"/>
  <c r="G2677" i="5"/>
  <c r="K2678" i="5"/>
  <c r="O2679" i="5"/>
  <c r="C2677" i="5" l="1"/>
  <c r="G2678" i="5"/>
  <c r="K2679" i="5"/>
  <c r="O2680" i="5"/>
  <c r="C2678" i="5" l="1"/>
  <c r="G2679" i="5"/>
  <c r="K2680" i="5"/>
  <c r="O2681" i="5"/>
  <c r="C2679" i="5" l="1"/>
  <c r="G2680" i="5"/>
  <c r="O2682" i="5"/>
  <c r="K2681" i="5"/>
  <c r="G2681" i="5" l="1"/>
  <c r="C2680" i="5"/>
  <c r="K2682" i="5"/>
  <c r="O2683" i="5"/>
  <c r="C2681" i="5" l="1"/>
  <c r="G2682" i="5"/>
  <c r="K2683" i="5"/>
  <c r="O2684" i="5"/>
  <c r="C2682" i="5" l="1"/>
  <c r="G2683" i="5"/>
  <c r="O2685" i="5"/>
  <c r="K2684" i="5"/>
  <c r="G2684" i="5" l="1"/>
  <c r="C2683" i="5"/>
  <c r="O2686" i="5"/>
  <c r="K2685" i="5"/>
  <c r="C2684" i="5" l="1"/>
  <c r="G2685" i="5"/>
  <c r="K2686" i="5"/>
  <c r="O2687" i="5"/>
  <c r="C2685" i="5" l="1"/>
  <c r="G2686" i="5"/>
  <c r="O2688" i="5"/>
  <c r="K2687" i="5"/>
  <c r="G2687" i="5" l="1"/>
  <c r="C2686" i="5"/>
  <c r="O2689" i="5"/>
  <c r="K2688" i="5"/>
  <c r="G2688" i="5" l="1"/>
  <c r="C2687" i="5"/>
  <c r="O2690" i="5"/>
  <c r="K2689" i="5"/>
  <c r="G2689" i="5" l="1"/>
  <c r="C2688" i="5"/>
  <c r="K2690" i="5"/>
  <c r="O2691" i="5"/>
  <c r="G2690" i="5" l="1"/>
  <c r="C2689" i="5"/>
  <c r="O2692" i="5"/>
  <c r="K2691" i="5"/>
  <c r="G2691" i="5" l="1"/>
  <c r="C2690" i="5"/>
  <c r="K2692" i="5"/>
  <c r="O2693" i="5"/>
  <c r="G2692" i="5" l="1"/>
  <c r="C2691" i="5"/>
  <c r="O2694" i="5"/>
  <c r="K2693" i="5"/>
  <c r="C2692" i="5" l="1"/>
  <c r="G2693" i="5"/>
  <c r="K2694" i="5"/>
  <c r="O2695" i="5"/>
  <c r="C2693" i="5" l="1"/>
  <c r="G2694" i="5"/>
  <c r="O2696" i="5"/>
  <c r="K2695" i="5"/>
  <c r="G2695" i="5" l="1"/>
  <c r="C2694" i="5"/>
  <c r="O2697" i="5"/>
  <c r="K2696" i="5"/>
  <c r="G2696" i="5" l="1"/>
  <c r="C2695" i="5"/>
  <c r="K2697" i="5"/>
  <c r="O2698" i="5"/>
  <c r="C2696" i="5" l="1"/>
  <c r="G2697" i="5"/>
  <c r="K2698" i="5"/>
  <c r="O2699" i="5"/>
  <c r="G2698" i="5" l="1"/>
  <c r="C2697" i="5"/>
  <c r="K2699" i="5"/>
  <c r="O2700" i="5"/>
  <c r="C2698" i="5" l="1"/>
  <c r="G2699" i="5"/>
  <c r="O2701" i="5"/>
  <c r="K2700" i="5"/>
  <c r="G2700" i="5" l="1"/>
  <c r="C2699" i="5"/>
  <c r="K2701" i="5"/>
  <c r="O2702" i="5"/>
  <c r="C2700" i="5" l="1"/>
  <c r="G2701" i="5"/>
  <c r="K2702" i="5"/>
  <c r="O2703" i="5"/>
  <c r="C2701" i="5" l="1"/>
  <c r="G2702" i="5"/>
  <c r="K2703" i="5"/>
  <c r="O2704" i="5"/>
  <c r="C2702" i="5" l="1"/>
  <c r="G2703" i="5"/>
  <c r="O2705" i="5"/>
  <c r="K2704" i="5"/>
  <c r="G2704" i="5" l="1"/>
  <c r="C2703" i="5"/>
  <c r="O2706" i="5"/>
  <c r="K2705" i="5"/>
  <c r="C2704" i="5" l="1"/>
  <c r="G2705" i="5"/>
  <c r="K2706" i="5"/>
  <c r="O2707" i="5"/>
  <c r="G2706" i="5" l="1"/>
  <c r="C2705" i="5"/>
  <c r="K2707" i="5"/>
  <c r="O2708" i="5"/>
  <c r="G2707" i="5" l="1"/>
  <c r="C2706" i="5"/>
  <c r="O2709" i="5"/>
  <c r="K2708" i="5"/>
  <c r="G2708" i="5" l="1"/>
  <c r="C2707" i="5"/>
  <c r="O2710" i="5"/>
  <c r="K2709" i="5"/>
  <c r="C2708" i="5" l="1"/>
  <c r="G2709" i="5"/>
  <c r="K2710" i="5"/>
  <c r="O2711" i="5"/>
  <c r="C2709" i="5" l="1"/>
  <c r="G2710" i="5"/>
  <c r="O2712" i="5"/>
  <c r="K2711" i="5"/>
  <c r="G2711" i="5" l="1"/>
  <c r="C2710" i="5"/>
  <c r="O2713" i="5"/>
  <c r="K2712" i="5"/>
  <c r="C2711" i="5" l="1"/>
  <c r="G2712" i="5"/>
  <c r="O2714" i="5"/>
  <c r="K2713" i="5"/>
  <c r="C2712" i="5" l="1"/>
  <c r="G2713" i="5"/>
  <c r="K2714" i="5"/>
  <c r="O2715" i="5"/>
  <c r="G2714" i="5" l="1"/>
  <c r="C2713" i="5"/>
  <c r="K2715" i="5"/>
  <c r="O2716" i="5"/>
  <c r="G2715" i="5" l="1"/>
  <c r="C2714" i="5"/>
  <c r="K2716" i="5"/>
  <c r="O2717" i="5"/>
  <c r="G2716" i="5" l="1"/>
  <c r="C2715" i="5"/>
  <c r="O2718" i="5"/>
  <c r="K2717" i="5"/>
  <c r="C2716" i="5" l="1"/>
  <c r="G2717" i="5"/>
  <c r="K2718" i="5"/>
  <c r="O2719" i="5"/>
  <c r="C2717" i="5" l="1"/>
  <c r="G2718" i="5"/>
  <c r="O2720" i="5"/>
  <c r="K2719" i="5"/>
  <c r="G2719" i="5" l="1"/>
  <c r="C2718" i="5"/>
  <c r="O2721" i="5"/>
  <c r="K2720" i="5"/>
  <c r="G2720" i="5" l="1"/>
  <c r="C2719" i="5"/>
  <c r="K2721" i="5"/>
  <c r="O2722" i="5"/>
  <c r="C2720" i="5" l="1"/>
  <c r="G2721" i="5"/>
  <c r="K2722" i="5"/>
  <c r="O2723" i="5"/>
  <c r="G2722" i="5" l="1"/>
  <c r="C2721" i="5"/>
  <c r="O2724" i="5"/>
  <c r="K2723" i="5"/>
  <c r="G2723" i="5" l="1"/>
  <c r="C2722" i="5"/>
  <c r="K2724" i="5"/>
  <c r="O2725" i="5"/>
  <c r="G2724" i="5" l="1"/>
  <c r="C2723" i="5"/>
  <c r="K2725" i="5"/>
  <c r="O2726" i="5"/>
  <c r="C2724" i="5" l="1"/>
  <c r="G2725" i="5"/>
  <c r="K2726" i="5"/>
  <c r="O2727" i="5"/>
  <c r="C2725" i="5" l="1"/>
  <c r="G2726" i="5"/>
  <c r="K2727" i="5"/>
  <c r="O2728" i="5"/>
  <c r="G2727" i="5" l="1"/>
  <c r="C2726" i="5"/>
  <c r="O2729" i="5"/>
  <c r="K2728" i="5"/>
  <c r="G2728" i="5" l="1"/>
  <c r="C2727" i="5"/>
  <c r="K2729" i="5"/>
  <c r="O2730" i="5"/>
  <c r="C2728" i="5" l="1"/>
  <c r="G2729" i="5"/>
  <c r="K2730" i="5"/>
  <c r="O2731" i="5"/>
  <c r="G2730" i="5" l="1"/>
  <c r="C2729" i="5"/>
  <c r="K2731" i="5"/>
  <c r="O2732" i="5"/>
  <c r="G2731" i="5" l="1"/>
  <c r="C2730" i="5"/>
  <c r="O2733" i="5"/>
  <c r="K2732" i="5"/>
  <c r="G2732" i="5" l="1"/>
  <c r="C2731" i="5"/>
  <c r="K2733" i="5"/>
  <c r="O2734" i="5"/>
  <c r="C2732" i="5" l="1"/>
  <c r="G2733" i="5"/>
  <c r="K2734" i="5"/>
  <c r="O2735" i="5"/>
  <c r="C2733" i="5" l="1"/>
  <c r="G2734" i="5"/>
  <c r="K2735" i="5"/>
  <c r="O2736" i="5"/>
  <c r="G2735" i="5" l="1"/>
  <c r="C2734" i="5"/>
  <c r="O2737" i="5"/>
  <c r="K2736" i="5"/>
  <c r="G2736" i="5" l="1"/>
  <c r="C2735" i="5"/>
  <c r="O2738" i="5"/>
  <c r="K2737" i="5"/>
  <c r="C2736" i="5" l="1"/>
  <c r="G2737" i="5"/>
  <c r="K2738" i="5"/>
  <c r="O2739" i="5"/>
  <c r="G2738" i="5" l="1"/>
  <c r="C2737" i="5"/>
  <c r="O2740" i="5"/>
  <c r="K2739" i="5"/>
  <c r="G2739" i="5" l="1"/>
  <c r="C2738" i="5"/>
  <c r="O2741" i="5"/>
  <c r="K2740" i="5"/>
  <c r="G2740" i="5" l="1"/>
  <c r="C2739" i="5"/>
  <c r="O2742" i="5"/>
  <c r="K2741" i="5"/>
  <c r="C2740" i="5" l="1"/>
  <c r="G2741" i="5"/>
  <c r="K2742" i="5"/>
  <c r="O2743" i="5"/>
  <c r="C2741" i="5" l="1"/>
  <c r="G2742" i="5"/>
  <c r="O2744" i="5"/>
  <c r="K2743" i="5"/>
  <c r="C2742" i="5" l="1"/>
  <c r="G2743" i="5"/>
  <c r="O2745" i="5"/>
  <c r="K2744" i="5"/>
  <c r="C2743" i="5" l="1"/>
  <c r="G2744" i="5"/>
  <c r="K2745" i="5"/>
  <c r="O2746" i="5"/>
  <c r="C2744" i="5" l="1"/>
  <c r="G2745" i="5"/>
  <c r="K2746" i="5"/>
  <c r="O2747" i="5"/>
  <c r="C2745" i="5" l="1"/>
  <c r="G2746" i="5"/>
  <c r="K2747" i="5"/>
  <c r="O2748" i="5"/>
  <c r="G2747" i="5" l="1"/>
  <c r="C2746" i="5"/>
  <c r="K2748" i="5"/>
  <c r="O2749" i="5"/>
  <c r="G2748" i="5" l="1"/>
  <c r="C2747" i="5"/>
  <c r="K2749" i="5"/>
  <c r="O2750" i="5"/>
  <c r="C2748" i="5" l="1"/>
  <c r="G2749" i="5"/>
  <c r="K2750" i="5"/>
  <c r="O2751" i="5"/>
  <c r="C2749" i="5" l="1"/>
  <c r="G2750" i="5"/>
  <c r="O2752" i="5"/>
  <c r="K2751" i="5"/>
  <c r="C2750" i="5" l="1"/>
  <c r="G2751" i="5"/>
  <c r="K2752" i="5"/>
  <c r="O2753" i="5"/>
  <c r="G2752" i="5" l="1"/>
  <c r="C2751" i="5"/>
  <c r="O2754" i="5"/>
  <c r="K2753" i="5"/>
  <c r="C2752" i="5" l="1"/>
  <c r="G2753" i="5"/>
  <c r="K2754" i="5"/>
  <c r="O2755" i="5"/>
  <c r="C2753" i="5" l="1"/>
  <c r="G2754" i="5"/>
  <c r="O2756" i="5"/>
  <c r="K2755" i="5"/>
  <c r="G2755" i="5" l="1"/>
  <c r="C2754" i="5"/>
  <c r="K2756" i="5"/>
  <c r="O2757" i="5"/>
  <c r="G2756" i="5" l="1"/>
  <c r="C2755" i="5"/>
  <c r="O2758" i="5"/>
  <c r="K2757" i="5"/>
  <c r="C2756" i="5" l="1"/>
  <c r="G2757" i="5"/>
  <c r="K2758" i="5"/>
  <c r="O2759" i="5"/>
  <c r="C2757" i="5" l="1"/>
  <c r="G2758" i="5"/>
  <c r="O2760" i="5"/>
  <c r="K2759" i="5"/>
  <c r="G2759" i="5" l="1"/>
  <c r="C2758" i="5"/>
  <c r="O2761" i="5"/>
  <c r="K2760" i="5"/>
  <c r="G2760" i="5" l="1"/>
  <c r="C2759" i="5"/>
  <c r="O2762" i="5"/>
  <c r="K2761" i="5"/>
  <c r="C2760" i="5" l="1"/>
  <c r="G2761" i="5"/>
  <c r="K2762" i="5"/>
  <c r="O2763" i="5"/>
  <c r="G2762" i="5" l="1"/>
  <c r="C2761" i="5"/>
  <c r="O2764" i="5"/>
  <c r="K2763" i="5"/>
  <c r="G2763" i="5" l="1"/>
  <c r="C2762" i="5"/>
  <c r="O2765" i="5"/>
  <c r="K2764" i="5"/>
  <c r="G2764" i="5" l="1"/>
  <c r="C2763" i="5"/>
  <c r="K2765" i="5"/>
  <c r="O2766" i="5"/>
  <c r="C2764" i="5" l="1"/>
  <c r="G2765" i="5"/>
  <c r="K2766" i="5"/>
  <c r="O2767" i="5"/>
  <c r="C2765" i="5" l="1"/>
  <c r="G2766" i="5"/>
  <c r="O2768" i="5"/>
  <c r="K2767" i="5"/>
  <c r="G2767" i="5" l="1"/>
  <c r="C2766" i="5"/>
  <c r="O2769" i="5"/>
  <c r="K2768" i="5"/>
  <c r="G2768" i="5" l="1"/>
  <c r="C2767" i="5"/>
  <c r="O2770" i="5"/>
  <c r="K2769" i="5"/>
  <c r="C2768" i="5" l="1"/>
  <c r="G2769" i="5"/>
  <c r="K2770" i="5"/>
  <c r="O2771" i="5"/>
  <c r="G2770" i="5" l="1"/>
  <c r="C2769" i="5"/>
  <c r="O2772" i="5"/>
  <c r="K2771" i="5"/>
  <c r="G2771" i="5" l="1"/>
  <c r="C2770" i="5"/>
  <c r="O2773" i="5"/>
  <c r="K2772" i="5"/>
  <c r="G2772" i="5" l="1"/>
  <c r="C2771" i="5"/>
  <c r="O2774" i="5"/>
  <c r="K2773" i="5"/>
  <c r="C2772" i="5" l="1"/>
  <c r="G2773" i="5"/>
  <c r="K2774" i="5"/>
  <c r="O2775" i="5"/>
  <c r="C2773" i="5" l="1"/>
  <c r="G2774" i="5"/>
  <c r="O2776" i="5"/>
  <c r="K2775" i="5"/>
  <c r="C2774" i="5" l="1"/>
  <c r="G2775" i="5"/>
  <c r="K2776" i="5"/>
  <c r="O2777" i="5"/>
  <c r="G2776" i="5" l="1"/>
  <c r="C2775" i="5"/>
  <c r="K2777" i="5"/>
  <c r="O2778" i="5"/>
  <c r="C2776" i="5" l="1"/>
  <c r="G2777" i="5"/>
  <c r="K2778" i="5"/>
  <c r="O2779" i="5"/>
  <c r="G2778" i="5" l="1"/>
  <c r="C2777" i="5"/>
  <c r="K2779" i="5"/>
  <c r="O2780" i="5"/>
  <c r="G2779" i="5" l="1"/>
  <c r="C2778" i="5"/>
  <c r="K2780" i="5"/>
  <c r="O2781" i="5"/>
  <c r="G2780" i="5" l="1"/>
  <c r="C2779" i="5"/>
  <c r="O2782" i="5"/>
  <c r="K2781" i="5"/>
  <c r="C2780" i="5" l="1"/>
  <c r="G2781" i="5"/>
  <c r="K2782" i="5"/>
  <c r="O2783" i="5"/>
  <c r="C2781" i="5" l="1"/>
  <c r="G2782" i="5"/>
  <c r="O2784" i="5"/>
  <c r="K2783" i="5"/>
  <c r="C2782" i="5" l="1"/>
  <c r="G2783" i="5"/>
  <c r="K2784" i="5"/>
  <c r="O2785" i="5"/>
  <c r="G2784" i="5" l="1"/>
  <c r="C2783" i="5"/>
  <c r="O2786" i="5"/>
  <c r="K2785" i="5"/>
  <c r="C2784" i="5" l="1"/>
  <c r="G2785" i="5"/>
  <c r="K2786" i="5"/>
  <c r="O2787" i="5"/>
  <c r="C2785" i="5" l="1"/>
  <c r="G2786" i="5"/>
  <c r="O2788" i="5"/>
  <c r="K2787" i="5"/>
  <c r="G2787" i="5" l="1"/>
  <c r="C2786" i="5"/>
  <c r="K2788" i="5"/>
  <c r="O2789" i="5"/>
  <c r="G2788" i="5" l="1"/>
  <c r="C2787" i="5"/>
  <c r="O2790" i="5"/>
  <c r="K2789" i="5"/>
  <c r="G2789" i="5" l="1"/>
  <c r="C2788" i="5"/>
  <c r="K2790" i="5"/>
  <c r="O2791" i="5"/>
  <c r="C2789" i="5" l="1"/>
  <c r="G2790" i="5"/>
  <c r="O2792" i="5"/>
  <c r="K2791" i="5"/>
  <c r="G2791" i="5" l="1"/>
  <c r="C2790" i="5"/>
  <c r="O2793" i="5"/>
  <c r="K2792" i="5"/>
  <c r="C2791" i="5" l="1"/>
  <c r="G2792" i="5"/>
  <c r="O2794" i="5"/>
  <c r="K2793" i="5"/>
  <c r="C2792" i="5" l="1"/>
  <c r="G2793" i="5"/>
  <c r="K2794" i="5"/>
  <c r="O2795" i="5"/>
  <c r="G2794" i="5" l="1"/>
  <c r="C2793" i="5"/>
  <c r="K2795" i="5"/>
  <c r="O2796" i="5"/>
  <c r="G2795" i="5" l="1"/>
  <c r="C2794" i="5"/>
  <c r="O2797" i="5"/>
  <c r="K2796" i="5"/>
  <c r="G2796" i="5" l="1"/>
  <c r="C2795" i="5"/>
  <c r="K2797" i="5"/>
  <c r="O2798" i="5"/>
  <c r="C2796" i="5" l="1"/>
  <c r="G2797" i="5"/>
  <c r="K2798" i="5"/>
  <c r="O2799" i="5"/>
  <c r="C2797" i="5" l="1"/>
  <c r="G2798" i="5"/>
  <c r="O2800" i="5"/>
  <c r="K2799" i="5"/>
  <c r="G2799" i="5" l="1"/>
  <c r="C2798" i="5"/>
  <c r="K2800" i="5"/>
  <c r="O2801" i="5"/>
  <c r="G2800" i="5" l="1"/>
  <c r="C2799" i="5"/>
  <c r="O2802" i="5"/>
  <c r="K2801" i="5"/>
  <c r="C2800" i="5" l="1"/>
  <c r="G2801" i="5"/>
  <c r="K2802" i="5"/>
  <c r="O2803" i="5"/>
  <c r="G2802" i="5" l="1"/>
  <c r="C2801" i="5"/>
  <c r="K2803" i="5"/>
  <c r="O2804" i="5"/>
  <c r="G2803" i="5" l="1"/>
  <c r="C2802" i="5"/>
  <c r="K2804" i="5"/>
  <c r="O2805" i="5"/>
  <c r="G2804" i="5" l="1"/>
  <c r="C2803" i="5"/>
  <c r="O2806" i="5"/>
  <c r="K2805" i="5"/>
  <c r="C2804" i="5" l="1"/>
  <c r="G2805" i="5"/>
  <c r="K2806" i="5"/>
  <c r="O2807" i="5"/>
  <c r="G2806" i="5" l="1"/>
  <c r="C2805" i="5"/>
  <c r="K2807" i="5"/>
  <c r="O2808" i="5"/>
  <c r="G2807" i="5" l="1"/>
  <c r="C2806" i="5"/>
  <c r="O2809" i="5"/>
  <c r="K2808" i="5"/>
  <c r="G2808" i="5" l="1"/>
  <c r="C2807" i="5"/>
  <c r="O2810" i="5"/>
  <c r="K2809" i="5"/>
  <c r="C2808" i="5" l="1"/>
  <c r="G2809" i="5"/>
  <c r="K2810" i="5"/>
  <c r="O2811" i="5"/>
  <c r="G2810" i="5" l="1"/>
  <c r="C2809" i="5"/>
  <c r="K2811" i="5"/>
  <c r="O2812" i="5"/>
  <c r="G2811" i="5" l="1"/>
  <c r="C2810" i="5"/>
  <c r="O2813" i="5"/>
  <c r="K2812" i="5"/>
  <c r="G2812" i="5" l="1"/>
  <c r="C2811" i="5"/>
  <c r="K2813" i="5"/>
  <c r="O2814" i="5"/>
  <c r="C2812" i="5" l="1"/>
  <c r="G2813" i="5"/>
  <c r="K2814" i="5"/>
  <c r="O2815" i="5"/>
  <c r="C2813" i="5" l="1"/>
  <c r="G2814" i="5"/>
  <c r="O2816" i="5"/>
  <c r="K2815" i="5"/>
  <c r="C2814" i="5" l="1"/>
  <c r="G2815" i="5"/>
  <c r="O2817" i="5"/>
  <c r="K2816" i="5"/>
  <c r="G2816" i="5" l="1"/>
  <c r="C2815" i="5"/>
  <c r="O2818" i="5"/>
  <c r="K2817" i="5"/>
  <c r="C2816" i="5" l="1"/>
  <c r="G2817" i="5"/>
  <c r="K2818" i="5"/>
  <c r="O2819" i="5"/>
  <c r="G2818" i="5" l="1"/>
  <c r="C2817" i="5"/>
  <c r="O2820" i="5"/>
  <c r="K2819" i="5"/>
  <c r="G2819" i="5" l="1"/>
  <c r="C2818" i="5"/>
  <c r="K2820" i="5"/>
  <c r="O2821" i="5"/>
  <c r="G2820" i="5" l="1"/>
  <c r="C2819" i="5"/>
  <c r="O2822" i="5"/>
  <c r="K2821" i="5"/>
  <c r="C2820" i="5" l="1"/>
  <c r="G2821" i="5"/>
  <c r="K2822" i="5"/>
  <c r="O2823" i="5"/>
  <c r="C2821" i="5" l="1"/>
  <c r="G2822" i="5"/>
  <c r="O2824" i="5"/>
  <c r="K2823" i="5"/>
  <c r="G2823" i="5" l="1"/>
  <c r="C2822" i="5"/>
  <c r="O2825" i="5"/>
  <c r="K2824" i="5"/>
  <c r="G2824" i="5" l="1"/>
  <c r="C2823" i="5"/>
  <c r="K2825" i="5"/>
  <c r="O2826" i="5"/>
  <c r="G2825" i="5" l="1"/>
  <c r="C2824" i="5"/>
  <c r="K2826" i="5"/>
  <c r="O2827" i="5"/>
  <c r="G2826" i="5" l="1"/>
  <c r="C2825" i="5"/>
  <c r="O2828" i="5"/>
  <c r="K2827" i="5"/>
  <c r="G2827" i="5" l="1"/>
  <c r="C2826" i="5"/>
  <c r="O2829" i="5"/>
  <c r="K2828" i="5"/>
  <c r="G2828" i="5" l="1"/>
  <c r="C2827" i="5"/>
  <c r="K2829" i="5"/>
  <c r="O2830" i="5"/>
  <c r="C2828" i="5" l="1"/>
  <c r="G2829" i="5"/>
  <c r="K2830" i="5"/>
  <c r="O2831" i="5"/>
  <c r="C2829" i="5" l="1"/>
  <c r="G2830" i="5"/>
  <c r="K2831" i="5"/>
  <c r="O2832" i="5"/>
  <c r="G2831" i="5" l="1"/>
  <c r="C2830" i="5"/>
  <c r="K2832" i="5"/>
  <c r="O2833" i="5"/>
  <c r="C2831" i="5" l="1"/>
  <c r="G2832" i="5"/>
  <c r="O2834" i="5"/>
  <c r="K2833" i="5"/>
  <c r="C2832" i="5" l="1"/>
  <c r="G2833" i="5"/>
  <c r="K2834" i="5"/>
  <c r="O2835" i="5"/>
  <c r="G2834" i="5" l="1"/>
  <c r="C2833" i="5"/>
  <c r="K2835" i="5"/>
  <c r="O2836" i="5"/>
  <c r="G2835" i="5" l="1"/>
  <c r="C2834" i="5"/>
  <c r="O2837" i="5"/>
  <c r="K2836" i="5"/>
  <c r="G2836" i="5" l="1"/>
  <c r="C2835" i="5"/>
  <c r="O2838" i="5"/>
  <c r="K2837" i="5"/>
  <c r="C2836" i="5" l="1"/>
  <c r="G2837" i="5"/>
  <c r="K2838" i="5"/>
  <c r="O2839" i="5"/>
  <c r="C2837" i="5" l="1"/>
  <c r="G2838" i="5"/>
  <c r="O2840" i="5"/>
  <c r="K2839" i="5"/>
  <c r="C2838" i="5" l="1"/>
  <c r="G2839" i="5"/>
  <c r="O2841" i="5"/>
  <c r="K2840" i="5"/>
  <c r="G2840" i="5" l="1"/>
  <c r="C2839" i="5"/>
  <c r="O2842" i="5"/>
  <c r="K2841" i="5"/>
  <c r="C2840" i="5" l="1"/>
  <c r="G2841" i="5"/>
  <c r="K2842" i="5"/>
  <c r="O2843" i="5"/>
  <c r="C2841" i="5" l="1"/>
  <c r="G2842" i="5"/>
  <c r="K2843" i="5"/>
  <c r="O2844" i="5"/>
  <c r="C2842" i="5" l="1"/>
  <c r="G2843" i="5"/>
  <c r="O2845" i="5"/>
  <c r="K2844" i="5"/>
  <c r="G2844" i="5" l="1"/>
  <c r="C2843" i="5"/>
  <c r="K2845" i="5"/>
  <c r="O2846" i="5"/>
  <c r="C2844" i="5" l="1"/>
  <c r="G2845" i="5"/>
  <c r="K2846" i="5"/>
  <c r="O2847" i="5"/>
  <c r="G2846" i="5" l="1"/>
  <c r="C2845" i="5"/>
  <c r="O2848" i="5"/>
  <c r="K2847" i="5"/>
  <c r="C2846" i="5" l="1"/>
  <c r="G2847" i="5"/>
  <c r="O2849" i="5"/>
  <c r="K2848" i="5"/>
  <c r="G2848" i="5" l="1"/>
  <c r="C2847" i="5"/>
  <c r="K2849" i="5"/>
  <c r="O2850" i="5"/>
  <c r="C2848" i="5" l="1"/>
  <c r="G2849" i="5"/>
  <c r="K2850" i="5"/>
  <c r="O2851" i="5"/>
  <c r="C2849" i="5" l="1"/>
  <c r="G2850" i="5"/>
  <c r="O2852" i="5"/>
  <c r="K2851" i="5"/>
  <c r="G2851" i="5" l="1"/>
  <c r="C2850" i="5"/>
  <c r="K2852" i="5"/>
  <c r="O2853" i="5"/>
  <c r="G2852" i="5" l="1"/>
  <c r="C2851" i="5"/>
  <c r="K2853" i="5"/>
  <c r="O2854" i="5"/>
  <c r="G2853" i="5" l="1"/>
  <c r="C2852" i="5"/>
  <c r="K2854" i="5"/>
  <c r="O2855" i="5"/>
  <c r="C2853" i="5" l="1"/>
  <c r="G2854" i="5"/>
  <c r="K2855" i="5"/>
  <c r="O2856" i="5"/>
  <c r="G2855" i="5" l="1"/>
  <c r="C2854" i="5"/>
  <c r="O2857" i="5"/>
  <c r="K2856" i="5"/>
  <c r="G2856" i="5" l="1"/>
  <c r="C2855" i="5"/>
  <c r="O2858" i="5"/>
  <c r="K2857" i="5"/>
  <c r="G2857" i="5" l="1"/>
  <c r="C2856" i="5"/>
  <c r="K2858" i="5"/>
  <c r="O2859" i="5"/>
  <c r="G2858" i="5" l="1"/>
  <c r="C2857" i="5"/>
  <c r="K2859" i="5"/>
  <c r="O2860" i="5"/>
  <c r="G2859" i="5" l="1"/>
  <c r="C2858" i="5"/>
  <c r="O2861" i="5"/>
  <c r="K2860" i="5"/>
  <c r="G2860" i="5" l="1"/>
  <c r="C2859" i="5"/>
  <c r="K2861" i="5"/>
  <c r="O2862" i="5"/>
  <c r="C2860" i="5" l="1"/>
  <c r="G2861" i="5"/>
  <c r="K2862" i="5"/>
  <c r="O2863" i="5"/>
  <c r="C2861" i="5" l="1"/>
  <c r="G2862" i="5"/>
  <c r="K2863" i="5"/>
  <c r="O2864" i="5"/>
  <c r="G2863" i="5" l="1"/>
  <c r="C2862" i="5"/>
  <c r="O2865" i="5"/>
  <c r="K2864" i="5"/>
  <c r="G2864" i="5" l="1"/>
  <c r="C2863" i="5"/>
  <c r="O2866" i="5"/>
  <c r="K2865" i="5"/>
  <c r="C2864" i="5" l="1"/>
  <c r="G2865" i="5"/>
  <c r="K2866" i="5"/>
  <c r="O2867" i="5"/>
  <c r="G2866" i="5" l="1"/>
  <c r="C2865" i="5"/>
  <c r="O2868" i="5"/>
  <c r="K2867" i="5"/>
  <c r="G2867" i="5" l="1"/>
  <c r="C2866" i="5"/>
  <c r="O2869" i="5"/>
  <c r="K2868" i="5"/>
  <c r="C2867" i="5" l="1"/>
  <c r="G2868" i="5"/>
  <c r="O2870" i="5"/>
  <c r="K2869" i="5"/>
  <c r="C2868" i="5" l="1"/>
  <c r="G2869" i="5"/>
  <c r="K2870" i="5"/>
  <c r="O2871" i="5"/>
  <c r="C2869" i="5" l="1"/>
  <c r="G2870" i="5"/>
  <c r="O2872" i="5"/>
  <c r="K2871" i="5"/>
  <c r="G2871" i="5" l="1"/>
  <c r="C2870" i="5"/>
  <c r="O2873" i="5"/>
  <c r="K2872" i="5"/>
  <c r="G2872" i="5" l="1"/>
  <c r="C2871" i="5"/>
  <c r="K2873" i="5"/>
  <c r="O2874" i="5"/>
  <c r="C2872" i="5" l="1"/>
  <c r="G2873" i="5"/>
  <c r="K2874" i="5"/>
  <c r="O2875" i="5"/>
  <c r="G2874" i="5" l="1"/>
  <c r="C2873" i="5"/>
  <c r="K2875" i="5"/>
  <c r="O2876" i="5"/>
  <c r="G2875" i="5" l="1"/>
  <c r="C2874" i="5"/>
  <c r="O2877" i="5"/>
  <c r="K2876" i="5"/>
  <c r="G2876" i="5" l="1"/>
  <c r="C2875" i="5"/>
  <c r="K2877" i="5"/>
  <c r="O2878" i="5"/>
  <c r="C2876" i="5" l="1"/>
  <c r="G2877" i="5"/>
  <c r="K2878" i="5"/>
  <c r="O2879" i="5"/>
  <c r="C2877" i="5" l="1"/>
  <c r="G2878" i="5"/>
  <c r="O2880" i="5"/>
  <c r="K2879" i="5"/>
  <c r="C2878" i="5" l="1"/>
  <c r="G2879" i="5"/>
  <c r="K2880" i="5"/>
  <c r="O2881" i="5"/>
  <c r="G2880" i="5" l="1"/>
  <c r="C2879" i="5"/>
  <c r="K2881" i="5"/>
  <c r="O2882" i="5"/>
  <c r="C2880" i="5" l="1"/>
  <c r="G2881" i="5"/>
  <c r="K2882" i="5"/>
  <c r="O2883" i="5"/>
  <c r="G2882" i="5" l="1"/>
  <c r="C2881" i="5"/>
  <c r="O2884" i="5"/>
  <c r="K2883" i="5"/>
  <c r="G2883" i="5" l="1"/>
  <c r="C2882" i="5"/>
  <c r="K2884" i="5"/>
  <c r="O2885" i="5"/>
  <c r="G2884" i="5" l="1"/>
  <c r="C2883" i="5"/>
  <c r="O2886" i="5"/>
  <c r="K2885" i="5"/>
  <c r="C2884" i="5" l="1"/>
  <c r="G2885" i="5"/>
  <c r="K2886" i="5"/>
  <c r="O2887" i="5"/>
  <c r="C2885" i="5" l="1"/>
  <c r="G2886" i="5"/>
  <c r="O2888" i="5"/>
  <c r="K2887" i="5"/>
  <c r="G2887" i="5" l="1"/>
  <c r="C2886" i="5"/>
  <c r="O2889" i="5"/>
  <c r="K2888" i="5"/>
  <c r="G2888" i="5" l="1"/>
  <c r="C2887" i="5"/>
  <c r="O2890" i="5"/>
  <c r="K2889" i="5"/>
  <c r="C2888" i="5" l="1"/>
  <c r="G2889" i="5"/>
  <c r="K2890" i="5"/>
  <c r="O2891" i="5"/>
  <c r="G2890" i="5" l="1"/>
  <c r="C2889" i="5"/>
  <c r="O2892" i="5"/>
  <c r="K2891" i="5"/>
  <c r="G2891" i="5" l="1"/>
  <c r="C2890" i="5"/>
  <c r="O2893" i="5"/>
  <c r="K2892" i="5"/>
  <c r="C2891" i="5" l="1"/>
  <c r="G2892" i="5"/>
  <c r="K2893" i="5"/>
  <c r="O2894" i="5"/>
  <c r="G2893" i="5" l="1"/>
  <c r="C2892" i="5"/>
  <c r="K2894" i="5"/>
  <c r="O2895" i="5"/>
  <c r="C2893" i="5" l="1"/>
  <c r="G2894" i="5"/>
  <c r="O2896" i="5"/>
  <c r="K2895" i="5"/>
  <c r="C2894" i="5" l="1"/>
  <c r="G2895" i="5"/>
  <c r="O2897" i="5"/>
  <c r="K2896" i="5"/>
  <c r="G2896" i="5" l="1"/>
  <c r="C2895" i="5"/>
  <c r="O2898" i="5"/>
  <c r="K2897" i="5"/>
  <c r="G2897" i="5" l="1"/>
  <c r="C2896" i="5"/>
  <c r="K2898" i="5"/>
  <c r="O2899" i="5"/>
  <c r="G2898" i="5" l="1"/>
  <c r="C2897" i="5"/>
  <c r="O2900" i="5"/>
  <c r="K2899" i="5"/>
  <c r="C2898" i="5" l="1"/>
  <c r="G2899" i="5"/>
  <c r="K2900" i="5"/>
  <c r="O2901" i="5"/>
  <c r="G2900" i="5" l="1"/>
  <c r="C2899" i="5"/>
  <c r="O2902" i="5"/>
  <c r="K2901" i="5"/>
  <c r="C2900" i="5" l="1"/>
  <c r="G2901" i="5"/>
  <c r="K2902" i="5"/>
  <c r="O2903" i="5"/>
  <c r="C2901" i="5" l="1"/>
  <c r="G2902" i="5"/>
  <c r="O2904" i="5"/>
  <c r="K2903" i="5"/>
  <c r="C2902" i="5" l="1"/>
  <c r="G2903" i="5"/>
  <c r="K2904" i="5"/>
  <c r="O2905" i="5"/>
  <c r="G2904" i="5" l="1"/>
  <c r="C2903" i="5"/>
  <c r="O2906" i="5"/>
  <c r="K2905" i="5"/>
  <c r="C2904" i="5" l="1"/>
  <c r="G2905" i="5"/>
  <c r="K2906" i="5"/>
  <c r="O2907" i="5"/>
  <c r="C2905" i="5" l="1"/>
  <c r="G2906" i="5"/>
  <c r="K2907" i="5"/>
  <c r="O2908" i="5"/>
  <c r="G2907" i="5" l="1"/>
  <c r="C2906" i="5"/>
  <c r="K2908" i="5"/>
  <c r="O2909" i="5"/>
  <c r="G2908" i="5" l="1"/>
  <c r="C2907" i="5"/>
  <c r="O2910" i="5"/>
  <c r="K2909" i="5"/>
  <c r="C2908" i="5" l="1"/>
  <c r="G2909" i="5"/>
  <c r="K2910" i="5"/>
  <c r="O2911" i="5"/>
  <c r="G2910" i="5" l="1"/>
  <c r="C2909" i="5"/>
  <c r="O2912" i="5"/>
  <c r="K2911" i="5"/>
  <c r="G2911" i="5" l="1"/>
  <c r="C2910" i="5"/>
  <c r="K2912" i="5"/>
  <c r="O2913" i="5"/>
  <c r="C2911" i="5" l="1"/>
  <c r="G2912" i="5"/>
  <c r="O2914" i="5"/>
  <c r="K2913" i="5"/>
  <c r="G2913" i="5" l="1"/>
  <c r="C2912" i="5"/>
  <c r="K2914" i="5"/>
  <c r="O2915" i="5"/>
  <c r="G2914" i="5" l="1"/>
  <c r="C2913" i="5"/>
  <c r="O2916" i="5"/>
  <c r="K2915" i="5"/>
  <c r="C2914" i="5" l="1"/>
  <c r="G2915" i="5"/>
  <c r="K2916" i="5"/>
  <c r="O2917" i="5"/>
  <c r="C2915" i="5" l="1"/>
  <c r="G2916" i="5"/>
  <c r="O2918" i="5"/>
  <c r="K2917" i="5"/>
  <c r="G2917" i="5" l="1"/>
  <c r="C2916" i="5"/>
  <c r="K2918" i="5"/>
  <c r="O2919" i="5"/>
  <c r="C2917" i="5" l="1"/>
  <c r="G2918" i="5"/>
  <c r="O2920" i="5"/>
  <c r="K2919" i="5"/>
  <c r="C2918" i="5" l="1"/>
  <c r="G2919" i="5"/>
  <c r="O2921" i="5"/>
  <c r="K2920" i="5"/>
  <c r="C2919" i="5" l="1"/>
  <c r="G2920" i="5"/>
  <c r="O2922" i="5"/>
  <c r="K2921" i="5"/>
  <c r="C2920" i="5" l="1"/>
  <c r="G2921" i="5"/>
  <c r="K2922" i="5"/>
  <c r="O2923" i="5"/>
  <c r="G2922" i="5" l="1"/>
  <c r="C2921" i="5"/>
  <c r="O2924" i="5"/>
  <c r="K2923" i="5"/>
  <c r="C2922" i="5" l="1"/>
  <c r="G2923" i="5"/>
  <c r="O2925" i="5"/>
  <c r="K2924" i="5"/>
  <c r="G2924" i="5" l="1"/>
  <c r="C2923" i="5"/>
  <c r="K2925" i="5"/>
  <c r="O2926" i="5"/>
  <c r="G2925" i="5" l="1"/>
  <c r="C2924" i="5"/>
  <c r="K2926" i="5"/>
  <c r="O2927" i="5"/>
  <c r="C2925" i="5" l="1"/>
  <c r="G2926" i="5"/>
  <c r="O2928" i="5"/>
  <c r="K2927" i="5"/>
  <c r="C2926" i="5" l="1"/>
  <c r="G2927" i="5"/>
  <c r="K2928" i="5"/>
  <c r="O2929" i="5"/>
  <c r="C2927" i="5" l="1"/>
  <c r="G2928" i="5"/>
  <c r="O2930" i="5"/>
  <c r="K2929" i="5"/>
  <c r="C2928" i="5" l="1"/>
  <c r="G2929" i="5"/>
  <c r="K2930" i="5"/>
  <c r="O2931" i="5"/>
  <c r="G2930" i="5" l="1"/>
  <c r="C2929" i="5"/>
  <c r="K2931" i="5"/>
  <c r="O2932" i="5"/>
  <c r="C2930" i="5" l="1"/>
  <c r="G2931" i="5"/>
  <c r="K2932" i="5"/>
  <c r="O2933" i="5"/>
  <c r="G2932" i="5" l="1"/>
  <c r="C2931" i="5"/>
  <c r="O2934" i="5"/>
  <c r="K2933" i="5"/>
  <c r="C2932" i="5" l="1"/>
  <c r="G2933" i="5"/>
  <c r="K2934" i="5"/>
  <c r="O2935" i="5"/>
  <c r="C2933" i="5" l="1"/>
  <c r="G2934" i="5"/>
  <c r="K2935" i="5"/>
  <c r="O2936" i="5"/>
  <c r="C2934" i="5" l="1"/>
  <c r="G2935" i="5"/>
  <c r="O2937" i="5"/>
  <c r="K2936" i="5"/>
  <c r="G2936" i="5" l="1"/>
  <c r="C2935" i="5"/>
  <c r="O2938" i="5"/>
  <c r="K2937" i="5"/>
  <c r="C2936" i="5" l="1"/>
  <c r="G2937" i="5"/>
  <c r="K2938" i="5"/>
  <c r="O2939" i="5"/>
  <c r="G2938" i="5" l="1"/>
  <c r="C2937" i="5"/>
  <c r="K2939" i="5"/>
  <c r="O2940" i="5"/>
  <c r="G2939" i="5" l="1"/>
  <c r="C2938" i="5"/>
  <c r="O2941" i="5"/>
  <c r="K2940" i="5"/>
  <c r="G2940" i="5" l="1"/>
  <c r="C2939" i="5"/>
  <c r="K2941" i="5"/>
  <c r="O2942" i="5"/>
  <c r="C2940" i="5" l="1"/>
  <c r="G2941" i="5"/>
  <c r="O2943" i="5"/>
  <c r="K2942" i="5"/>
  <c r="C2941" i="5" l="1"/>
  <c r="G2942" i="5"/>
  <c r="K2943" i="5"/>
  <c r="O2944" i="5"/>
  <c r="C2942" i="5" l="1"/>
  <c r="G2943" i="5"/>
  <c r="K2944" i="5"/>
  <c r="O2945" i="5"/>
  <c r="G2944" i="5" l="1"/>
  <c r="C2943" i="5"/>
  <c r="O2946" i="5"/>
  <c r="K2945" i="5"/>
  <c r="C2944" i="5" l="1"/>
  <c r="G2945" i="5"/>
  <c r="O2947" i="5"/>
  <c r="K2946" i="5"/>
  <c r="C2945" i="5" l="1"/>
  <c r="G2946" i="5"/>
  <c r="K2947" i="5"/>
  <c r="O2948" i="5"/>
  <c r="G2947" i="5" l="1"/>
  <c r="C2946" i="5"/>
  <c r="K2948" i="5"/>
  <c r="O2949" i="5"/>
  <c r="G2948" i="5" l="1"/>
  <c r="C2947" i="5"/>
  <c r="K2949" i="5"/>
  <c r="O2950" i="5"/>
  <c r="C2948" i="5" l="1"/>
  <c r="G2949" i="5"/>
  <c r="O2951" i="5"/>
  <c r="K2950" i="5"/>
  <c r="C2949" i="5" l="1"/>
  <c r="G2950" i="5"/>
  <c r="K2951" i="5"/>
  <c r="O2952" i="5"/>
  <c r="G2951" i="5" l="1"/>
  <c r="C2950" i="5"/>
  <c r="K2952" i="5"/>
  <c r="O2953" i="5"/>
  <c r="G2952" i="5" l="1"/>
  <c r="C2951" i="5"/>
  <c r="O2954" i="5"/>
  <c r="K2953" i="5"/>
  <c r="C2952" i="5" l="1"/>
  <c r="G2953" i="5"/>
  <c r="O2955" i="5"/>
  <c r="K2954" i="5"/>
  <c r="G2954" i="5" l="1"/>
  <c r="C2953" i="5"/>
  <c r="K2955" i="5"/>
  <c r="O2956" i="5"/>
  <c r="G2955" i="5" l="1"/>
  <c r="C2954" i="5"/>
  <c r="O2957" i="5"/>
  <c r="K2956" i="5"/>
  <c r="G2956" i="5" l="1"/>
  <c r="C2955" i="5"/>
  <c r="K2957" i="5"/>
  <c r="O2958" i="5"/>
  <c r="C2956" i="5" l="1"/>
  <c r="G2957" i="5"/>
  <c r="O2959" i="5"/>
  <c r="K2958" i="5"/>
  <c r="C2957" i="5" l="1"/>
  <c r="G2958" i="5"/>
  <c r="K2959" i="5"/>
  <c r="O2960" i="5"/>
  <c r="C2958" i="5" l="1"/>
  <c r="G2959" i="5"/>
  <c r="K2960" i="5"/>
  <c r="O2961" i="5"/>
  <c r="G2960" i="5" l="1"/>
  <c r="C2959" i="5"/>
  <c r="O2962" i="5"/>
  <c r="K2961" i="5"/>
  <c r="C2960" i="5" l="1"/>
  <c r="G2961" i="5"/>
  <c r="O2963" i="5"/>
  <c r="K2962" i="5"/>
  <c r="C2961" i="5" l="1"/>
  <c r="G2962" i="5"/>
  <c r="K2963" i="5"/>
  <c r="O2964" i="5"/>
  <c r="C2962" i="5" l="1"/>
  <c r="G2963" i="5"/>
  <c r="O2965" i="5"/>
  <c r="K2964" i="5"/>
  <c r="G2964" i="5" l="1"/>
  <c r="C2963" i="5"/>
  <c r="K2965" i="5"/>
  <c r="O2966" i="5"/>
  <c r="G2965" i="5" l="1"/>
  <c r="C2964" i="5"/>
  <c r="O2967" i="5"/>
  <c r="K2966" i="5"/>
  <c r="C2965" i="5" l="1"/>
  <c r="G2966" i="5"/>
  <c r="K2967" i="5"/>
  <c r="O2968" i="5"/>
  <c r="C2966" i="5" l="1"/>
  <c r="G2967" i="5"/>
  <c r="O2969" i="5"/>
  <c r="K2968" i="5"/>
  <c r="C2967" i="5" l="1"/>
  <c r="G2968" i="5"/>
  <c r="O2970" i="5"/>
  <c r="K2969" i="5"/>
  <c r="G2969" i="5" l="1"/>
  <c r="C2968" i="5"/>
  <c r="O2971" i="5"/>
  <c r="K2970" i="5"/>
  <c r="G2970" i="5" l="1"/>
  <c r="C2969" i="5"/>
  <c r="K2971" i="5"/>
  <c r="O2972" i="5"/>
  <c r="G2971" i="5" l="1"/>
  <c r="C2970" i="5"/>
  <c r="O2973" i="5"/>
  <c r="K2972" i="5"/>
  <c r="C2971" i="5" l="1"/>
  <c r="G2972" i="5"/>
  <c r="O2974" i="5"/>
  <c r="K2973" i="5"/>
  <c r="C2972" i="5" l="1"/>
  <c r="G2973" i="5"/>
  <c r="O2975" i="5"/>
  <c r="K2974" i="5"/>
  <c r="C2973" i="5" l="1"/>
  <c r="G2974" i="5"/>
  <c r="K2975" i="5"/>
  <c r="O2976" i="5"/>
  <c r="C2974" i="5" l="1"/>
  <c r="G2975" i="5"/>
  <c r="K2976" i="5"/>
  <c r="O2977" i="5"/>
  <c r="C2975" i="5" l="1"/>
  <c r="G2976" i="5"/>
  <c r="O2978" i="5"/>
  <c r="K2977" i="5"/>
  <c r="C2976" i="5" l="1"/>
  <c r="G2977" i="5"/>
  <c r="O2979" i="5"/>
  <c r="K2978" i="5"/>
  <c r="G2978" i="5" l="1"/>
  <c r="C2977" i="5"/>
  <c r="K2979" i="5"/>
  <c r="O2980" i="5"/>
  <c r="G2979" i="5" l="1"/>
  <c r="C2978" i="5"/>
  <c r="O2981" i="5"/>
  <c r="K2980" i="5"/>
  <c r="G2980" i="5" l="1"/>
  <c r="C2979" i="5"/>
  <c r="K2981" i="5"/>
  <c r="O2982" i="5"/>
  <c r="C2980" i="5" l="1"/>
  <c r="G2981" i="5"/>
  <c r="O2983" i="5"/>
  <c r="K2982" i="5"/>
  <c r="C2981" i="5" l="1"/>
  <c r="G2982" i="5"/>
  <c r="K2983" i="5"/>
  <c r="O2984" i="5"/>
  <c r="C2982" i="5" l="1"/>
  <c r="G2983" i="5"/>
  <c r="K2984" i="5"/>
  <c r="O2985" i="5"/>
  <c r="G2984" i="5" l="1"/>
  <c r="C2983" i="5"/>
  <c r="K2985" i="5"/>
  <c r="O2986" i="5"/>
  <c r="G2985" i="5" l="1"/>
  <c r="C2984" i="5"/>
  <c r="O2987" i="5"/>
  <c r="K2986" i="5"/>
  <c r="C2985" i="5" l="1"/>
  <c r="G2986" i="5"/>
  <c r="K2987" i="5"/>
  <c r="O2988" i="5"/>
  <c r="G2987" i="5" l="1"/>
  <c r="C2986" i="5"/>
  <c r="O2989" i="5"/>
  <c r="K2988" i="5"/>
  <c r="C2987" i="5" l="1"/>
  <c r="G2988" i="5"/>
  <c r="O2990" i="5"/>
  <c r="K2989" i="5"/>
  <c r="C2988" i="5" l="1"/>
  <c r="G2989" i="5"/>
  <c r="O2991" i="5"/>
  <c r="K2990" i="5"/>
  <c r="G2990" i="5" l="1"/>
  <c r="C2989" i="5"/>
  <c r="K2991" i="5"/>
  <c r="O2992" i="5"/>
  <c r="G2991" i="5" l="1"/>
  <c r="C2990" i="5"/>
  <c r="K2992" i="5"/>
  <c r="O2993" i="5"/>
  <c r="G2992" i="5" l="1"/>
  <c r="C2991" i="5"/>
  <c r="O2994" i="5"/>
  <c r="K2993" i="5"/>
  <c r="G2993" i="5" l="1"/>
  <c r="C2992" i="5"/>
  <c r="O2995" i="5"/>
  <c r="K2994" i="5"/>
  <c r="G2994" i="5" l="1"/>
  <c r="C2993" i="5"/>
  <c r="K2995" i="5"/>
  <c r="O2996" i="5"/>
  <c r="C2994" i="5" l="1"/>
  <c r="G2995" i="5"/>
  <c r="O2997" i="5"/>
  <c r="K2996" i="5"/>
  <c r="G2996" i="5" l="1"/>
  <c r="C2995" i="5"/>
  <c r="K2997" i="5"/>
  <c r="O2998" i="5"/>
  <c r="C2996" i="5" l="1"/>
  <c r="G2997" i="5"/>
  <c r="O2999" i="5"/>
  <c r="K2998" i="5"/>
  <c r="C2997" i="5" l="1"/>
  <c r="G2998" i="5"/>
  <c r="K2999" i="5"/>
  <c r="O3000" i="5"/>
  <c r="G2999" i="5" l="1"/>
  <c r="C2998" i="5"/>
  <c r="K3000" i="5"/>
  <c r="O3001" i="5"/>
  <c r="C2999" i="5" l="1"/>
  <c r="G3000" i="5"/>
  <c r="O3002" i="5"/>
  <c r="K3001" i="5"/>
  <c r="G3001" i="5" l="1"/>
  <c r="C3000" i="5"/>
  <c r="O3003" i="5"/>
  <c r="K3002" i="5"/>
  <c r="G3002" i="5" l="1"/>
  <c r="C3001" i="5"/>
  <c r="K3003" i="5"/>
  <c r="O3004" i="5"/>
  <c r="C3002" i="5" l="1"/>
  <c r="G3003" i="5"/>
  <c r="O3005" i="5"/>
  <c r="K3004" i="5"/>
  <c r="C3003" i="5" l="1"/>
  <c r="G3004" i="5"/>
  <c r="O3006" i="5"/>
  <c r="K3005" i="5"/>
  <c r="G3005" i="5" l="1"/>
  <c r="C3004" i="5"/>
  <c r="O3007" i="5"/>
  <c r="K3006" i="5"/>
  <c r="C3005" i="5" l="1"/>
  <c r="G3006" i="5"/>
  <c r="K3007" i="5"/>
  <c r="O3008" i="5"/>
  <c r="C3006" i="5" l="1"/>
  <c r="G3007" i="5"/>
  <c r="K3008" i="5"/>
  <c r="O3009" i="5"/>
  <c r="G3008" i="5" l="1"/>
  <c r="C3007" i="5"/>
  <c r="O3010" i="5"/>
  <c r="K3009" i="5"/>
  <c r="C3008" i="5" l="1"/>
  <c r="G3009" i="5"/>
  <c r="O3011" i="5"/>
  <c r="K3010" i="5"/>
  <c r="G3010" i="5" l="1"/>
  <c r="C3009" i="5"/>
  <c r="K3011" i="5"/>
  <c r="O3012" i="5"/>
  <c r="G3011" i="5" l="1"/>
  <c r="C3010" i="5"/>
  <c r="O3013" i="5"/>
  <c r="K3012" i="5"/>
  <c r="G3012" i="5" l="1"/>
  <c r="C3011" i="5"/>
  <c r="K3013" i="5"/>
  <c r="O3014" i="5"/>
  <c r="C3012" i="5" l="1"/>
  <c r="G3013" i="5"/>
  <c r="O3015" i="5"/>
  <c r="K3014" i="5"/>
  <c r="G3014" i="5" l="1"/>
  <c r="C3013" i="5"/>
  <c r="K3015" i="5"/>
  <c r="O3016" i="5"/>
  <c r="G3015" i="5" l="1"/>
  <c r="C3014" i="5"/>
  <c r="O3017" i="5"/>
  <c r="K3016" i="5"/>
  <c r="G3016" i="5" l="1"/>
  <c r="C3015" i="5"/>
  <c r="K3017" i="5"/>
  <c r="O3018" i="5"/>
  <c r="C3016" i="5" l="1"/>
  <c r="G3017" i="5"/>
  <c r="O3019" i="5"/>
  <c r="K3018" i="5"/>
  <c r="C3017" i="5" l="1"/>
  <c r="G3018" i="5"/>
  <c r="K3019" i="5"/>
  <c r="O3020" i="5"/>
  <c r="G3019" i="5" l="1"/>
  <c r="C3018" i="5"/>
  <c r="O3021" i="5"/>
  <c r="K3020" i="5"/>
  <c r="G3020" i="5" l="1"/>
  <c r="C3019" i="5"/>
  <c r="O3022" i="5"/>
  <c r="K3021" i="5"/>
  <c r="C3020" i="5" l="1"/>
  <c r="G3021" i="5"/>
  <c r="O3023" i="5"/>
  <c r="K3022" i="5"/>
  <c r="C3021" i="5" l="1"/>
  <c r="G3022" i="5"/>
  <c r="K3023" i="5"/>
  <c r="O3024" i="5"/>
  <c r="C3022" i="5" l="1"/>
  <c r="G3023" i="5"/>
  <c r="K3024" i="5"/>
  <c r="O3025" i="5"/>
  <c r="G3024" i="5" l="1"/>
  <c r="C3023" i="5"/>
  <c r="O3026" i="5"/>
  <c r="K3025" i="5"/>
  <c r="C3024" i="5" l="1"/>
  <c r="G3025" i="5"/>
  <c r="O3027" i="5"/>
  <c r="K3026" i="5"/>
  <c r="G3026" i="5" l="1"/>
  <c r="C3025" i="5"/>
  <c r="K3027" i="5"/>
  <c r="O3028" i="5"/>
  <c r="G3027" i="5" l="1"/>
  <c r="C3026" i="5"/>
  <c r="K3028" i="5"/>
  <c r="O3029" i="5"/>
  <c r="G3028" i="5" l="1"/>
  <c r="C3027" i="5"/>
  <c r="K3029" i="5"/>
  <c r="O3030" i="5"/>
  <c r="C3028" i="5" l="1"/>
  <c r="G3029" i="5"/>
  <c r="O3031" i="5"/>
  <c r="K3030" i="5"/>
  <c r="C3029" i="5" l="1"/>
  <c r="G3030" i="5"/>
  <c r="K3031" i="5"/>
  <c r="O3032" i="5"/>
  <c r="C3030" i="5" l="1"/>
  <c r="G3031" i="5"/>
  <c r="O3033" i="5"/>
  <c r="K3032" i="5"/>
  <c r="G3032" i="5" l="1"/>
  <c r="C3031" i="5"/>
  <c r="K3033" i="5"/>
  <c r="O3034" i="5"/>
  <c r="C3032" i="5" l="1"/>
  <c r="G3033" i="5"/>
  <c r="O3035" i="5"/>
  <c r="K3034" i="5"/>
  <c r="G3034" i="5" l="1"/>
  <c r="C3033" i="5"/>
  <c r="K3035" i="5"/>
  <c r="O3036" i="5"/>
  <c r="G3035" i="5" l="1"/>
  <c r="C3034" i="5"/>
  <c r="O3037" i="5"/>
  <c r="K3036" i="5"/>
  <c r="G3036" i="5" l="1"/>
  <c r="C3035" i="5"/>
  <c r="K3037" i="5"/>
  <c r="O3038" i="5"/>
  <c r="C3036" i="5" l="1"/>
  <c r="G3037" i="5"/>
  <c r="O3039" i="5"/>
  <c r="K3038" i="5"/>
  <c r="C3037" i="5" l="1"/>
  <c r="G3038" i="5"/>
  <c r="K3039" i="5"/>
  <c r="O3040" i="5"/>
  <c r="G3039" i="5" l="1"/>
  <c r="C3038" i="5"/>
  <c r="K3040" i="5"/>
  <c r="O3041" i="5"/>
  <c r="G3040" i="5" l="1"/>
  <c r="C3039" i="5"/>
  <c r="O3042" i="5"/>
  <c r="K3041" i="5"/>
  <c r="C3040" i="5" l="1"/>
  <c r="G3041" i="5"/>
  <c r="O3043" i="5"/>
  <c r="K3042" i="5"/>
  <c r="G3042" i="5" l="1"/>
  <c r="C3041" i="5"/>
  <c r="K3043" i="5"/>
  <c r="O3044" i="5"/>
  <c r="G3043" i="5" l="1"/>
  <c r="C3042" i="5"/>
  <c r="O3045" i="5"/>
  <c r="K3044" i="5"/>
  <c r="G3044" i="5" l="1"/>
  <c r="C3043" i="5"/>
  <c r="K3045" i="5"/>
  <c r="O3046" i="5"/>
  <c r="C3044" i="5" l="1"/>
  <c r="G3045" i="5"/>
  <c r="O3047" i="5"/>
  <c r="K3046" i="5"/>
  <c r="C3045" i="5" l="1"/>
  <c r="G3046" i="5"/>
  <c r="K3047" i="5"/>
  <c r="O3048" i="5"/>
  <c r="G3047" i="5" l="1"/>
  <c r="C3046" i="5"/>
  <c r="O3049" i="5"/>
  <c r="K3048" i="5"/>
  <c r="G3048" i="5" l="1"/>
  <c r="C3047" i="5"/>
  <c r="O3050" i="5"/>
  <c r="K3049" i="5"/>
  <c r="C3048" i="5" l="1"/>
  <c r="G3049" i="5"/>
  <c r="O3051" i="5"/>
  <c r="K3050" i="5"/>
  <c r="G3050" i="5" l="1"/>
  <c r="C3049" i="5"/>
  <c r="K3051" i="5"/>
  <c r="O3052" i="5"/>
  <c r="G3051" i="5" l="1"/>
  <c r="C3050" i="5"/>
  <c r="O3053" i="5"/>
  <c r="K3052" i="5"/>
  <c r="G3052" i="5" l="1"/>
  <c r="C3051" i="5"/>
  <c r="O3054" i="5"/>
  <c r="K3053" i="5"/>
  <c r="G3053" i="5" l="1"/>
  <c r="C3052" i="5"/>
  <c r="O3055" i="5"/>
  <c r="K3054" i="5"/>
  <c r="C3053" i="5" l="1"/>
  <c r="G3054" i="5"/>
  <c r="K3055" i="5"/>
  <c r="O3056" i="5"/>
  <c r="C3054" i="5" l="1"/>
  <c r="G3055" i="5"/>
  <c r="K3056" i="5"/>
  <c r="O3057" i="5"/>
  <c r="G3056" i="5" l="1"/>
  <c r="C3055" i="5"/>
  <c r="O3058" i="5"/>
  <c r="K3057" i="5"/>
  <c r="G3057" i="5" l="1"/>
  <c r="C3056" i="5"/>
  <c r="O3059" i="5"/>
  <c r="K3058" i="5"/>
  <c r="G3058" i="5" l="1"/>
  <c r="C3057" i="5"/>
  <c r="K3059" i="5"/>
  <c r="O3060" i="5"/>
  <c r="C3058" i="5" l="1"/>
  <c r="G3059" i="5"/>
  <c r="O3061" i="5"/>
  <c r="K3060" i="5"/>
  <c r="G3060" i="5" l="1"/>
  <c r="C3059" i="5"/>
  <c r="K3061" i="5"/>
  <c r="O3062" i="5"/>
  <c r="C3060" i="5" l="1"/>
  <c r="G3061" i="5"/>
  <c r="O3063" i="5"/>
  <c r="K3062" i="5"/>
  <c r="G3062" i="5" l="1"/>
  <c r="C3061" i="5"/>
  <c r="K3063" i="5"/>
  <c r="O3064" i="5"/>
  <c r="G3063" i="5" l="1"/>
  <c r="C3062" i="5"/>
  <c r="O3065" i="5"/>
  <c r="K3064" i="5"/>
  <c r="C3063" i="5" l="1"/>
  <c r="G3064" i="5"/>
  <c r="O3066" i="5"/>
  <c r="K3065" i="5"/>
  <c r="C3064" i="5" l="1"/>
  <c r="G3065" i="5"/>
  <c r="O3067" i="5"/>
  <c r="K3066" i="5"/>
  <c r="G3066" i="5" l="1"/>
  <c r="C3065" i="5"/>
  <c r="K3067" i="5"/>
  <c r="O3068" i="5"/>
  <c r="G3067" i="5" l="1"/>
  <c r="C3066" i="5"/>
  <c r="O3069" i="5"/>
  <c r="K3068" i="5"/>
  <c r="G3068" i="5" l="1"/>
  <c r="C3067" i="5"/>
  <c r="K3069" i="5"/>
  <c r="O3070" i="5"/>
  <c r="G3069" i="5" l="1"/>
  <c r="C3068" i="5"/>
  <c r="O3071" i="5"/>
  <c r="K3070" i="5"/>
  <c r="G3070" i="5" l="1"/>
  <c r="C3069" i="5"/>
  <c r="K3071" i="5"/>
  <c r="O3072" i="5"/>
  <c r="C3070" i="5" l="1"/>
  <c r="G3071" i="5"/>
  <c r="K3072" i="5"/>
  <c r="O3073" i="5"/>
  <c r="G3072" i="5" l="1"/>
  <c r="C3071" i="5"/>
  <c r="O3074" i="5"/>
  <c r="K3073" i="5"/>
  <c r="C3072" i="5" l="1"/>
  <c r="G3073" i="5"/>
  <c r="O3075" i="5"/>
  <c r="K3074" i="5"/>
  <c r="G3074" i="5" l="1"/>
  <c r="C3073" i="5"/>
  <c r="K3075" i="5"/>
  <c r="O3076" i="5"/>
  <c r="G3075" i="5" l="1"/>
  <c r="C3074" i="5"/>
  <c r="K3076" i="5"/>
  <c r="O3077" i="5"/>
  <c r="G3076" i="5" l="1"/>
  <c r="C3075" i="5"/>
  <c r="K3077" i="5"/>
  <c r="O3078" i="5"/>
  <c r="C3076" i="5" l="1"/>
  <c r="G3077" i="5"/>
  <c r="O3079" i="5"/>
  <c r="K3078" i="5"/>
  <c r="C3077" i="5" l="1"/>
  <c r="G3078" i="5"/>
  <c r="K3079" i="5"/>
  <c r="O3080" i="5"/>
  <c r="G3079" i="5" l="1"/>
  <c r="C3078" i="5"/>
  <c r="K3080" i="5"/>
  <c r="O3081" i="5"/>
  <c r="G3080" i="5" l="1"/>
  <c r="C3079" i="5"/>
  <c r="O3082" i="5"/>
  <c r="K3081" i="5"/>
  <c r="C3080" i="5" l="1"/>
  <c r="G3081" i="5"/>
  <c r="O3083" i="5"/>
  <c r="K3082" i="5"/>
  <c r="G3082" i="5" l="1"/>
  <c r="C3081" i="5"/>
  <c r="K3083" i="5"/>
  <c r="O3084" i="5"/>
  <c r="G3083" i="5" l="1"/>
  <c r="C3082" i="5"/>
  <c r="O3085" i="5"/>
  <c r="K3084" i="5"/>
  <c r="G3084" i="5" l="1"/>
  <c r="C3083" i="5"/>
  <c r="K3085" i="5"/>
  <c r="O3086" i="5"/>
  <c r="C3084" i="5" l="1"/>
  <c r="G3085" i="5"/>
  <c r="O3087" i="5"/>
  <c r="K3086" i="5"/>
  <c r="C3085" i="5" l="1"/>
  <c r="G3086" i="5"/>
  <c r="K3087" i="5"/>
  <c r="O3088" i="5"/>
  <c r="C3086" i="5" l="1"/>
  <c r="G3087" i="5"/>
  <c r="K3088" i="5"/>
  <c r="O3089" i="5"/>
  <c r="G3088" i="5" l="1"/>
  <c r="C3087" i="5"/>
  <c r="O3090" i="5"/>
  <c r="K3089" i="5"/>
  <c r="C3088" i="5" l="1"/>
  <c r="G3089" i="5"/>
  <c r="O3091" i="5"/>
  <c r="K3090" i="5"/>
  <c r="G3090" i="5" l="1"/>
  <c r="C3089" i="5"/>
  <c r="K3091" i="5"/>
  <c r="O3092" i="5"/>
  <c r="G3091" i="5" l="1"/>
  <c r="C3090" i="5"/>
  <c r="O3093" i="5"/>
  <c r="K3092" i="5"/>
  <c r="G3092" i="5" l="1"/>
  <c r="C3091" i="5"/>
  <c r="K3093" i="5"/>
  <c r="O3094" i="5"/>
  <c r="C3092" i="5" l="1"/>
  <c r="G3093" i="5"/>
  <c r="O3095" i="5"/>
  <c r="K3094" i="5"/>
  <c r="C3093" i="5" l="1"/>
  <c r="G3094" i="5"/>
  <c r="K3095" i="5"/>
  <c r="O3096" i="5"/>
  <c r="C3094" i="5" l="1"/>
  <c r="G3095" i="5"/>
  <c r="O3097" i="5"/>
  <c r="K3096" i="5"/>
  <c r="G3096" i="5" l="1"/>
  <c r="C3095" i="5"/>
  <c r="O3098" i="5"/>
  <c r="K3097" i="5"/>
  <c r="C3096" i="5" l="1"/>
  <c r="G3097" i="5"/>
  <c r="O3099" i="5"/>
  <c r="K3098" i="5"/>
  <c r="G3098" i="5" l="1"/>
  <c r="C3097" i="5"/>
  <c r="K3099" i="5"/>
  <c r="O3100" i="5"/>
  <c r="G3099" i="5" l="1"/>
  <c r="C3098" i="5"/>
  <c r="O3101" i="5"/>
  <c r="K3100" i="5"/>
  <c r="G3100" i="5" l="1"/>
  <c r="C3099" i="5"/>
  <c r="O3102" i="5"/>
  <c r="K3101" i="5"/>
  <c r="C3100" i="5" l="1"/>
  <c r="G3101" i="5"/>
  <c r="O3103" i="5"/>
  <c r="K3102" i="5"/>
  <c r="C3101" i="5" l="1"/>
  <c r="G3102" i="5"/>
  <c r="K3103" i="5"/>
  <c r="O3104" i="5"/>
  <c r="C3102" i="5" l="1"/>
  <c r="G3103" i="5"/>
  <c r="K3104" i="5"/>
  <c r="O3105" i="5"/>
  <c r="C3103" i="5" l="1"/>
  <c r="G3104" i="5"/>
  <c r="O3106" i="5"/>
  <c r="K3105" i="5"/>
  <c r="G3105" i="5" l="1"/>
  <c r="C3104" i="5"/>
  <c r="O3107" i="5"/>
  <c r="K3106" i="5"/>
  <c r="C3105" i="5" l="1"/>
  <c r="G3106" i="5"/>
  <c r="K3107" i="5"/>
  <c r="O3108" i="5"/>
  <c r="C3106" i="5" l="1"/>
  <c r="G3107" i="5"/>
  <c r="O3109" i="5"/>
  <c r="K3108" i="5"/>
  <c r="G3108" i="5" l="1"/>
  <c r="C3107" i="5"/>
  <c r="K3109" i="5"/>
  <c r="O3110" i="5"/>
  <c r="G3109" i="5" l="1"/>
  <c r="C3108" i="5"/>
  <c r="O3111" i="5"/>
  <c r="K3110" i="5"/>
  <c r="G3110" i="5" l="1"/>
  <c r="C3109" i="5"/>
  <c r="K3111" i="5"/>
  <c r="O3112" i="5"/>
  <c r="G3111" i="5" l="1"/>
  <c r="C3110" i="5"/>
  <c r="K3112" i="5"/>
  <c r="O3113" i="5"/>
  <c r="G3112" i="5" l="1"/>
  <c r="C3111" i="5"/>
  <c r="K3113" i="5"/>
  <c r="O3114" i="5"/>
  <c r="C3112" i="5" l="1"/>
  <c r="G3113" i="5"/>
  <c r="O3115" i="5"/>
  <c r="K3114" i="5"/>
  <c r="G3114" i="5" l="1"/>
  <c r="C3113" i="5"/>
  <c r="K3115" i="5"/>
  <c r="O3116" i="5"/>
  <c r="G3115" i="5" l="1"/>
  <c r="C3114" i="5"/>
  <c r="O3117" i="5"/>
  <c r="K3116" i="5"/>
  <c r="C3115" i="5" l="1"/>
  <c r="G3116" i="5"/>
  <c r="O3118" i="5"/>
  <c r="K3117" i="5"/>
  <c r="C3116" i="5" l="1"/>
  <c r="G3117" i="5"/>
  <c r="O3119" i="5"/>
  <c r="K3118" i="5"/>
  <c r="C3117" i="5" l="1"/>
  <c r="G3118" i="5"/>
  <c r="K3119" i="5"/>
  <c r="O3120" i="5"/>
  <c r="G3119" i="5" l="1"/>
  <c r="C3118" i="5"/>
  <c r="K3120" i="5"/>
  <c r="O3121" i="5"/>
  <c r="G3120" i="5" l="1"/>
  <c r="C3119" i="5"/>
  <c r="O3122" i="5"/>
  <c r="K3121" i="5"/>
  <c r="C3120" i="5" l="1"/>
  <c r="G3121" i="5"/>
  <c r="O3123" i="5"/>
  <c r="K3122" i="5"/>
  <c r="G3122" i="5" l="1"/>
  <c r="C3121" i="5"/>
  <c r="K3123" i="5"/>
  <c r="O3124" i="5"/>
  <c r="G3123" i="5" l="1"/>
  <c r="C3122" i="5"/>
  <c r="O3125" i="5"/>
  <c r="K3124" i="5"/>
  <c r="G3124" i="5" l="1"/>
  <c r="C3123" i="5"/>
  <c r="K3125" i="5"/>
  <c r="O3126" i="5"/>
  <c r="C3124" i="5" l="1"/>
  <c r="G3125" i="5"/>
  <c r="O3127" i="5"/>
  <c r="K3126" i="5"/>
  <c r="C3125" i="5" l="1"/>
  <c r="G3126" i="5"/>
  <c r="K3127" i="5"/>
  <c r="O3128" i="5"/>
  <c r="G3127" i="5" l="1"/>
  <c r="C3126" i="5"/>
  <c r="K3128" i="5"/>
  <c r="O3129" i="5"/>
  <c r="G3128" i="5" l="1"/>
  <c r="C3127" i="5"/>
  <c r="O3130" i="5"/>
  <c r="K3129" i="5"/>
  <c r="G3129" i="5" l="1"/>
  <c r="C3128" i="5"/>
  <c r="O3131" i="5"/>
  <c r="K3130" i="5"/>
  <c r="G3130" i="5" l="1"/>
  <c r="C3129" i="5"/>
  <c r="K3131" i="5"/>
  <c r="O3132" i="5"/>
  <c r="G3131" i="5" l="1"/>
  <c r="C3130" i="5"/>
  <c r="O3133" i="5"/>
  <c r="K3132" i="5"/>
  <c r="G3132" i="5" l="1"/>
  <c r="C3131" i="5"/>
  <c r="O3134" i="5"/>
  <c r="K3133" i="5"/>
  <c r="C3132" i="5" l="1"/>
  <c r="G3133" i="5"/>
  <c r="O3135" i="5"/>
  <c r="K3134" i="5"/>
  <c r="C3133" i="5" l="1"/>
  <c r="G3134" i="5"/>
  <c r="K3135" i="5"/>
  <c r="O3136" i="5"/>
  <c r="C3134" i="5" l="1"/>
  <c r="G3135" i="5"/>
  <c r="K3136" i="5"/>
  <c r="O3137" i="5"/>
  <c r="C3135" i="5" l="1"/>
  <c r="G3136" i="5"/>
  <c r="O3138" i="5"/>
  <c r="K3137" i="5"/>
  <c r="G3137" i="5" l="1"/>
  <c r="C3136" i="5"/>
  <c r="O3139" i="5"/>
  <c r="K3138" i="5"/>
  <c r="C3137" i="5" l="1"/>
  <c r="G3138" i="5"/>
  <c r="K3139" i="5"/>
  <c r="O3140" i="5"/>
  <c r="G3139" i="5" l="1"/>
  <c r="C3138" i="5"/>
  <c r="O3141" i="5"/>
  <c r="K3140" i="5"/>
  <c r="G3140" i="5" l="1"/>
  <c r="C3139" i="5"/>
  <c r="K3141" i="5"/>
  <c r="O3142" i="5"/>
  <c r="G3141" i="5" l="1"/>
  <c r="C3140" i="5"/>
  <c r="O3143" i="5"/>
  <c r="K3142" i="5"/>
  <c r="C3141" i="5" l="1"/>
  <c r="G3142" i="5"/>
  <c r="K3143" i="5"/>
  <c r="O3144" i="5"/>
  <c r="G3143" i="5" l="1"/>
  <c r="C3142" i="5"/>
  <c r="O3145" i="5"/>
  <c r="K3144" i="5"/>
  <c r="G3144" i="5" l="1"/>
  <c r="C3143" i="5"/>
  <c r="K3145" i="5"/>
  <c r="O3146" i="5"/>
  <c r="C3144" i="5" l="1"/>
  <c r="G3145" i="5"/>
  <c r="O3147" i="5"/>
  <c r="K3146" i="5"/>
  <c r="G3146" i="5" l="1"/>
  <c r="C3145" i="5"/>
  <c r="K3147" i="5"/>
  <c r="O3148" i="5"/>
  <c r="G3147" i="5" l="1"/>
  <c r="C3146" i="5"/>
  <c r="O3149" i="5"/>
  <c r="K3148" i="5"/>
  <c r="C3147" i="5" l="1"/>
  <c r="G3148" i="5"/>
  <c r="O3150" i="5"/>
  <c r="K3149" i="5"/>
  <c r="C3148" i="5" l="1"/>
  <c r="G3149" i="5"/>
  <c r="O3151" i="5"/>
  <c r="K3150" i="5"/>
  <c r="G3150" i="5" l="1"/>
  <c r="C3149" i="5"/>
  <c r="K3151" i="5"/>
  <c r="O3152" i="5"/>
  <c r="G3151" i="5" l="1"/>
  <c r="C3150" i="5"/>
  <c r="K3152" i="5"/>
  <c r="O3153" i="5"/>
  <c r="G3152" i="5" l="1"/>
  <c r="C3151" i="5"/>
  <c r="O3154" i="5"/>
  <c r="K3153" i="5"/>
  <c r="C3152" i="5" l="1"/>
  <c r="G3153" i="5"/>
  <c r="O3155" i="5"/>
  <c r="K3154" i="5"/>
  <c r="G3154" i="5" l="1"/>
  <c r="C3153" i="5"/>
  <c r="K3155" i="5"/>
  <c r="O3156" i="5"/>
  <c r="G3155" i="5" l="1"/>
  <c r="C3154" i="5"/>
  <c r="K3156" i="5"/>
  <c r="O3157" i="5"/>
  <c r="G3156" i="5" l="1"/>
  <c r="C3155" i="5"/>
  <c r="K3157" i="5"/>
  <c r="O3158" i="5"/>
  <c r="C3156" i="5" l="1"/>
  <c r="G3157" i="5"/>
  <c r="O3159" i="5"/>
  <c r="K3158" i="5"/>
  <c r="C3157" i="5" l="1"/>
  <c r="G3158" i="5"/>
  <c r="K3159" i="5"/>
  <c r="O3160" i="5"/>
  <c r="C3158" i="5" l="1"/>
  <c r="G3159" i="5"/>
  <c r="O3161" i="5"/>
  <c r="K3160" i="5"/>
  <c r="C3159" i="5" l="1"/>
  <c r="G3160" i="5"/>
  <c r="K3161" i="5"/>
  <c r="O3162" i="5"/>
  <c r="C3160" i="5" l="1"/>
  <c r="G3161" i="5"/>
  <c r="O3163" i="5"/>
  <c r="K3162" i="5"/>
  <c r="C3161" i="5" l="1"/>
  <c r="G3162" i="5"/>
  <c r="K3163" i="5"/>
  <c r="O3164" i="5"/>
  <c r="C3162" i="5" l="1"/>
  <c r="G3163" i="5"/>
  <c r="O3165" i="5"/>
  <c r="K3164" i="5"/>
  <c r="G3164" i="5" l="1"/>
  <c r="C3163" i="5"/>
  <c r="K3165" i="5"/>
  <c r="O3166" i="5"/>
  <c r="C3164" i="5" l="1"/>
  <c r="G3165" i="5"/>
  <c r="O3167" i="5"/>
  <c r="K3166" i="5"/>
  <c r="C3165" i="5" l="1"/>
  <c r="G3166" i="5"/>
  <c r="K3167" i="5"/>
  <c r="O3168" i="5"/>
  <c r="G3167" i="5" l="1"/>
  <c r="C3166" i="5"/>
  <c r="K3168" i="5"/>
  <c r="O3169" i="5"/>
  <c r="C3167" i="5" l="1"/>
  <c r="G3168" i="5"/>
  <c r="O3170" i="5"/>
  <c r="K3169" i="5"/>
  <c r="C3168" i="5" l="1"/>
  <c r="G3169" i="5"/>
  <c r="O3171" i="5"/>
  <c r="K3170" i="5"/>
  <c r="G3170" i="5" l="1"/>
  <c r="C3169" i="5"/>
  <c r="K3171" i="5"/>
  <c r="O3172" i="5"/>
  <c r="G3171" i="5" l="1"/>
  <c r="C3170" i="5"/>
  <c r="O3173" i="5"/>
  <c r="K3172" i="5"/>
  <c r="G3172" i="5" l="1"/>
  <c r="C3171" i="5"/>
  <c r="K3173" i="5"/>
  <c r="O3174" i="5"/>
  <c r="C3172" i="5" l="1"/>
  <c r="G3173" i="5"/>
  <c r="O3175" i="5"/>
  <c r="K3174" i="5"/>
  <c r="C3173" i="5" l="1"/>
  <c r="G3174" i="5"/>
  <c r="K3175" i="5"/>
  <c r="O3176" i="5"/>
  <c r="C3174" i="5" l="1"/>
  <c r="G3175" i="5"/>
  <c r="O3177" i="5"/>
  <c r="K3176" i="5"/>
  <c r="G3176" i="5" l="1"/>
  <c r="C3175" i="5"/>
  <c r="O3178" i="5"/>
  <c r="K3177" i="5"/>
  <c r="C3176" i="5" l="1"/>
  <c r="G3177" i="5"/>
  <c r="O3179" i="5"/>
  <c r="K3178" i="5"/>
  <c r="C3177" i="5" l="1"/>
  <c r="G3178" i="5"/>
  <c r="K3179" i="5"/>
  <c r="O3180" i="5"/>
  <c r="C3178" i="5" l="1"/>
  <c r="G3179" i="5"/>
  <c r="O3181" i="5"/>
  <c r="K3180" i="5"/>
  <c r="G3180" i="5" l="1"/>
  <c r="C3179" i="5"/>
  <c r="O3182" i="5"/>
  <c r="K3181" i="5"/>
  <c r="G3181" i="5" l="1"/>
  <c r="C3180" i="5"/>
  <c r="O3183" i="5"/>
  <c r="K3182" i="5"/>
  <c r="C3181" i="5" l="1"/>
  <c r="G3182" i="5"/>
  <c r="K3183" i="5"/>
  <c r="O3184" i="5"/>
  <c r="G3183" i="5" l="1"/>
  <c r="C3182" i="5"/>
  <c r="K3184" i="5"/>
  <c r="O3185" i="5"/>
  <c r="C3183" i="5" l="1"/>
  <c r="G3184" i="5"/>
  <c r="O3186" i="5"/>
  <c r="K3185" i="5"/>
  <c r="C3184" i="5" l="1"/>
  <c r="G3185" i="5"/>
  <c r="O3187" i="5"/>
  <c r="K3186" i="5"/>
  <c r="G3186" i="5" l="1"/>
  <c r="C3185" i="5"/>
  <c r="K3187" i="5"/>
  <c r="O3188" i="5"/>
  <c r="G3187" i="5" l="1"/>
  <c r="C3186" i="5"/>
  <c r="K3188" i="5"/>
  <c r="O3189" i="5"/>
  <c r="G3188" i="5" l="1"/>
  <c r="C3187" i="5"/>
  <c r="K3189" i="5"/>
  <c r="O3190" i="5"/>
  <c r="C3188" i="5" l="1"/>
  <c r="G3189" i="5"/>
  <c r="O3191" i="5"/>
  <c r="K3190" i="5"/>
  <c r="C3189" i="5" l="1"/>
  <c r="G3190" i="5"/>
  <c r="K3191" i="5"/>
  <c r="O3192" i="5"/>
  <c r="G3191" i="5" l="1"/>
  <c r="C3190" i="5"/>
  <c r="O3193" i="5"/>
  <c r="K3192" i="5"/>
  <c r="C3191" i="5" l="1"/>
  <c r="G3192" i="5"/>
  <c r="O3194" i="5"/>
  <c r="K3193" i="5"/>
  <c r="G3193" i="5" l="1"/>
  <c r="C3192" i="5"/>
  <c r="O3195" i="5"/>
  <c r="K3194" i="5"/>
  <c r="G3194" i="5" l="1"/>
  <c r="C3193" i="5"/>
  <c r="K3195" i="5"/>
  <c r="O3196" i="5"/>
  <c r="G3195" i="5" l="1"/>
  <c r="C3194" i="5"/>
  <c r="O3197" i="5"/>
  <c r="K3196" i="5"/>
  <c r="G3196" i="5" l="1"/>
  <c r="C3195" i="5"/>
  <c r="O3198" i="5"/>
  <c r="K3197" i="5"/>
  <c r="C3196" i="5" l="1"/>
  <c r="G3197" i="5"/>
  <c r="O3199" i="5"/>
  <c r="K3198" i="5"/>
  <c r="C3197" i="5" l="1"/>
  <c r="G3198" i="5"/>
  <c r="K3199" i="5"/>
  <c r="O3200" i="5"/>
  <c r="C3198" i="5" l="1"/>
  <c r="G3199" i="5"/>
  <c r="K3200" i="5"/>
  <c r="O3201" i="5"/>
  <c r="G3200" i="5" l="1"/>
  <c r="C3199" i="5"/>
  <c r="O3202" i="5"/>
  <c r="K3201" i="5"/>
  <c r="C3200" i="5" l="1"/>
  <c r="G3201" i="5"/>
  <c r="O3203" i="5"/>
  <c r="K3202" i="5"/>
  <c r="G3202" i="5" l="1"/>
  <c r="C3201" i="5"/>
  <c r="K3203" i="5"/>
  <c r="O3204" i="5"/>
  <c r="G3203" i="5" l="1"/>
  <c r="C3202" i="5"/>
  <c r="K3204" i="5"/>
  <c r="O3205" i="5"/>
  <c r="G3204" i="5" l="1"/>
  <c r="C3203" i="5"/>
  <c r="K3205" i="5"/>
  <c r="O3206" i="5"/>
  <c r="C3204" i="5" l="1"/>
  <c r="G3205" i="5"/>
  <c r="O3207" i="5"/>
  <c r="K3206" i="5"/>
  <c r="C3205" i="5" l="1"/>
  <c r="G3206" i="5"/>
  <c r="K3207" i="5"/>
  <c r="O3208" i="5"/>
  <c r="G3207" i="5" l="1"/>
  <c r="C3206" i="5"/>
  <c r="K3208" i="5"/>
  <c r="O3209" i="5"/>
  <c r="G3208" i="5" l="1"/>
  <c r="C3207" i="5"/>
  <c r="O3210" i="5"/>
  <c r="K3209" i="5"/>
  <c r="C3208" i="5" l="1"/>
  <c r="G3209" i="5"/>
  <c r="O3211" i="5"/>
  <c r="K3210" i="5"/>
  <c r="G3210" i="5" l="1"/>
  <c r="C3209" i="5"/>
  <c r="K3211" i="5"/>
  <c r="O3212" i="5"/>
  <c r="G3211" i="5" l="1"/>
  <c r="C3210" i="5"/>
  <c r="O3213" i="5"/>
  <c r="K3212" i="5"/>
  <c r="G3212" i="5" l="1"/>
  <c r="C3211" i="5"/>
  <c r="K3213" i="5"/>
  <c r="O3214" i="5"/>
  <c r="C3212" i="5" l="1"/>
  <c r="G3213" i="5"/>
  <c r="O3215" i="5"/>
  <c r="K3214" i="5"/>
  <c r="C3213" i="5" l="1"/>
  <c r="G3214" i="5"/>
  <c r="K3215" i="5"/>
  <c r="O3216" i="5"/>
  <c r="C3214" i="5" l="1"/>
  <c r="G3215" i="5"/>
  <c r="K3216" i="5"/>
  <c r="O3217" i="5"/>
  <c r="G3216" i="5" l="1"/>
  <c r="C3215" i="5"/>
  <c r="O3218" i="5"/>
  <c r="K3217" i="5"/>
  <c r="C3216" i="5" l="1"/>
  <c r="G3217" i="5"/>
  <c r="O3219" i="5"/>
  <c r="K3218" i="5"/>
  <c r="G3218" i="5" l="1"/>
  <c r="C3217" i="5"/>
  <c r="K3219" i="5"/>
  <c r="O3220" i="5"/>
  <c r="G3219" i="5" l="1"/>
  <c r="C3218" i="5"/>
  <c r="O3221" i="5"/>
  <c r="K3220" i="5"/>
  <c r="G3220" i="5" l="1"/>
  <c r="C3219" i="5"/>
  <c r="K3221" i="5"/>
  <c r="O3222" i="5"/>
  <c r="C3220" i="5" l="1"/>
  <c r="G3221" i="5"/>
  <c r="O3223" i="5"/>
  <c r="K3222" i="5"/>
  <c r="C3221" i="5" l="1"/>
  <c r="G3222" i="5"/>
  <c r="K3223" i="5"/>
  <c r="O3224" i="5"/>
  <c r="C3222" i="5" l="1"/>
  <c r="G3223" i="5"/>
  <c r="O3225" i="5"/>
  <c r="K3224" i="5"/>
  <c r="G3224" i="5" l="1"/>
  <c r="C3223" i="5"/>
  <c r="O3226" i="5"/>
  <c r="K3225" i="5"/>
  <c r="C3224" i="5" l="1"/>
  <c r="G3225" i="5"/>
  <c r="O3227" i="5"/>
  <c r="K3226" i="5"/>
  <c r="C3225" i="5" l="1"/>
  <c r="G3226" i="5"/>
  <c r="K3227" i="5"/>
  <c r="O3228" i="5"/>
  <c r="G3227" i="5" l="1"/>
  <c r="C3226" i="5"/>
  <c r="O3229" i="5"/>
  <c r="K3228" i="5"/>
  <c r="C3227" i="5" l="1"/>
  <c r="G3228" i="5"/>
  <c r="O3230" i="5"/>
  <c r="K3229" i="5"/>
  <c r="C3228" i="5" l="1"/>
  <c r="G3229" i="5"/>
  <c r="O3231" i="5"/>
  <c r="K3230" i="5"/>
  <c r="C3229" i="5" l="1"/>
  <c r="G3230" i="5"/>
  <c r="K3231" i="5"/>
  <c r="O3232" i="5"/>
  <c r="G3231" i="5" l="1"/>
  <c r="C3230" i="5"/>
  <c r="K3232" i="5"/>
  <c r="O3233" i="5"/>
  <c r="G3232" i="5" l="1"/>
  <c r="C3231" i="5"/>
  <c r="O3234" i="5"/>
  <c r="K3233" i="5"/>
  <c r="C3232" i="5" l="1"/>
  <c r="G3233" i="5"/>
  <c r="O3235" i="5"/>
  <c r="K3234" i="5"/>
  <c r="G3234" i="5" l="1"/>
  <c r="C3233" i="5"/>
  <c r="K3235" i="5"/>
  <c r="O3236" i="5"/>
  <c r="G3235" i="5" l="1"/>
  <c r="C3234" i="5"/>
  <c r="O3237" i="5"/>
  <c r="K3236" i="5"/>
  <c r="G3236" i="5" l="1"/>
  <c r="C3235" i="5"/>
  <c r="K3237" i="5"/>
  <c r="O3238" i="5"/>
  <c r="C3236" i="5" l="1"/>
  <c r="G3237" i="5"/>
  <c r="O3239" i="5"/>
  <c r="K3238" i="5"/>
  <c r="C3237" i="5" l="1"/>
  <c r="G3238" i="5"/>
  <c r="K3239" i="5"/>
  <c r="O3240" i="5"/>
  <c r="G3239" i="5" l="1"/>
  <c r="C3238" i="5"/>
  <c r="K3240" i="5"/>
  <c r="O3241" i="5"/>
  <c r="G3240" i="5" l="1"/>
  <c r="C3239" i="5"/>
  <c r="K3241" i="5"/>
  <c r="O3242" i="5"/>
  <c r="C3240" i="5" l="1"/>
  <c r="G3241" i="5"/>
  <c r="O3243" i="5"/>
  <c r="K3242" i="5"/>
  <c r="G3242" i="5" l="1"/>
  <c r="C3241" i="5"/>
  <c r="K3243" i="5"/>
  <c r="O3244" i="5"/>
  <c r="G3243" i="5" l="1"/>
  <c r="C3242" i="5"/>
  <c r="O3245" i="5"/>
  <c r="K3244" i="5"/>
  <c r="G3244" i="5" l="1"/>
  <c r="C3243" i="5"/>
  <c r="O3246" i="5"/>
  <c r="K3245" i="5"/>
  <c r="C3244" i="5" l="1"/>
  <c r="G3245" i="5"/>
  <c r="O3247" i="5"/>
  <c r="K3246" i="5"/>
  <c r="C3245" i="5" l="1"/>
  <c r="G3246" i="5"/>
  <c r="K3247" i="5"/>
  <c r="O3248" i="5"/>
  <c r="G3247" i="5" l="1"/>
  <c r="C3246" i="5"/>
  <c r="K3248" i="5"/>
  <c r="O3249" i="5"/>
  <c r="G3248" i="5" l="1"/>
  <c r="C3247" i="5"/>
  <c r="O3250" i="5"/>
  <c r="K3249" i="5"/>
  <c r="C3248" i="5" l="1"/>
  <c r="G3249" i="5"/>
  <c r="O3251" i="5"/>
  <c r="K3250" i="5"/>
  <c r="G3250" i="5" l="1"/>
  <c r="C3249" i="5"/>
  <c r="K3251" i="5"/>
  <c r="O3252" i="5"/>
  <c r="G3251" i="5" l="1"/>
  <c r="C3250" i="5"/>
  <c r="O3253" i="5"/>
  <c r="K3252" i="5"/>
  <c r="G3252" i="5" l="1"/>
  <c r="C3251" i="5"/>
  <c r="K3253" i="5"/>
  <c r="O3254" i="5"/>
  <c r="C3252" i="5" l="1"/>
  <c r="G3253" i="5"/>
  <c r="O3255" i="5"/>
  <c r="K3254" i="5"/>
  <c r="C3253" i="5" l="1"/>
  <c r="G3254" i="5"/>
  <c r="K3255" i="5"/>
  <c r="O3256" i="5"/>
  <c r="C3254" i="5" l="1"/>
  <c r="G3255" i="5"/>
  <c r="K3256" i="5"/>
  <c r="O3257" i="5"/>
  <c r="G3256" i="5" l="1"/>
  <c r="C3255" i="5"/>
  <c r="O3258" i="5"/>
  <c r="K3257" i="5"/>
  <c r="C3256" i="5" l="1"/>
  <c r="G3257" i="5"/>
  <c r="O3259" i="5"/>
  <c r="K3258" i="5"/>
  <c r="G3258" i="5" l="1"/>
  <c r="C3257" i="5"/>
  <c r="K3259" i="5"/>
  <c r="O3260" i="5"/>
  <c r="G3259" i="5" l="1"/>
  <c r="C3258" i="5"/>
  <c r="O3261" i="5"/>
  <c r="K3260" i="5"/>
  <c r="G3260" i="5" l="1"/>
  <c r="C3259" i="5"/>
  <c r="O3262" i="5"/>
  <c r="K3261" i="5"/>
  <c r="C3260" i="5" l="1"/>
  <c r="G3261" i="5"/>
  <c r="O3263" i="5"/>
  <c r="K3262" i="5"/>
  <c r="C3261" i="5" l="1"/>
  <c r="G3262" i="5"/>
  <c r="K3263" i="5"/>
  <c r="O3264" i="5"/>
  <c r="C3262" i="5" l="1"/>
  <c r="G3263" i="5"/>
  <c r="K3264" i="5"/>
  <c r="O3265" i="5"/>
  <c r="G3264" i="5" l="1"/>
  <c r="C3263" i="5"/>
  <c r="O3266" i="5"/>
  <c r="K3265" i="5"/>
  <c r="C3264" i="5" l="1"/>
  <c r="G3265" i="5"/>
  <c r="O3267" i="5"/>
  <c r="K3266" i="5"/>
  <c r="G3266" i="5" l="1"/>
  <c r="C3265" i="5"/>
  <c r="K3267" i="5"/>
  <c r="O3268" i="5"/>
  <c r="G3267" i="5" l="1"/>
  <c r="C3266" i="5"/>
  <c r="O3269" i="5"/>
  <c r="K3268" i="5"/>
  <c r="G3268" i="5" l="1"/>
  <c r="C3267" i="5"/>
  <c r="K3269" i="5"/>
  <c r="O3270" i="5"/>
  <c r="C3268" i="5" l="1"/>
  <c r="G3269" i="5"/>
  <c r="O3271" i="5"/>
  <c r="K3270" i="5"/>
  <c r="C3269" i="5" l="1"/>
  <c r="G3270" i="5"/>
  <c r="K3271" i="5"/>
  <c r="O3272" i="5"/>
  <c r="G3271" i="5" l="1"/>
  <c r="C3270" i="5"/>
  <c r="O3273" i="5"/>
  <c r="K3272" i="5"/>
  <c r="G3272" i="5" l="1"/>
  <c r="C3271" i="5"/>
  <c r="K3273" i="5"/>
  <c r="O3274" i="5"/>
  <c r="C3272" i="5" l="1"/>
  <c r="G3273" i="5"/>
  <c r="O3275" i="5"/>
  <c r="K3274" i="5"/>
  <c r="G3274" i="5" l="1"/>
  <c r="C3273" i="5"/>
  <c r="K3275" i="5"/>
  <c r="O3276" i="5"/>
  <c r="G3275" i="5" l="1"/>
  <c r="C3274" i="5"/>
  <c r="O3277" i="5"/>
  <c r="K3276" i="5"/>
  <c r="G3276" i="5" l="1"/>
  <c r="C3275" i="5"/>
  <c r="O3278" i="5"/>
  <c r="K3277" i="5"/>
  <c r="C3276" i="5" l="1"/>
  <c r="G3277" i="5"/>
  <c r="O3279" i="5"/>
  <c r="K3278" i="5"/>
  <c r="C3277" i="5" l="1"/>
  <c r="G3278" i="5"/>
  <c r="K3279" i="5"/>
  <c r="O3280" i="5"/>
  <c r="G3279" i="5" l="1"/>
  <c r="C3278" i="5"/>
  <c r="K3280" i="5"/>
  <c r="O3281" i="5"/>
  <c r="G3280" i="5" l="1"/>
  <c r="C3279" i="5"/>
  <c r="O3282" i="5"/>
  <c r="K3281" i="5"/>
  <c r="C3280" i="5" l="1"/>
  <c r="G3281" i="5"/>
  <c r="O3283" i="5"/>
  <c r="K3282" i="5"/>
  <c r="G3282" i="5" l="1"/>
  <c r="C3281" i="5"/>
  <c r="K3283" i="5"/>
  <c r="O3284" i="5"/>
  <c r="G3283" i="5" l="1"/>
  <c r="C3282" i="5"/>
  <c r="K3284" i="5"/>
  <c r="O3285" i="5"/>
  <c r="C3283" i="5" l="1"/>
  <c r="G3284" i="5"/>
  <c r="K3285" i="5"/>
  <c r="O3286" i="5"/>
  <c r="C3284" i="5" l="1"/>
  <c r="G3285" i="5"/>
  <c r="O3287" i="5"/>
  <c r="K3286" i="5"/>
  <c r="C3285" i="5" l="1"/>
  <c r="G3286" i="5"/>
  <c r="K3287" i="5"/>
  <c r="O3288" i="5"/>
  <c r="G3287" i="5" l="1"/>
  <c r="C3286" i="5"/>
  <c r="O3289" i="5"/>
  <c r="K3288" i="5"/>
  <c r="G3288" i="5" l="1"/>
  <c r="C3287" i="5"/>
  <c r="K3289" i="5"/>
  <c r="O3290" i="5"/>
  <c r="C3288" i="5" l="1"/>
  <c r="G3289" i="5"/>
  <c r="O3291" i="5"/>
  <c r="K3290" i="5"/>
  <c r="G3290" i="5" l="1"/>
  <c r="C3289" i="5"/>
  <c r="K3291" i="5"/>
  <c r="O3292" i="5"/>
  <c r="G3291" i="5" l="1"/>
  <c r="C3290" i="5"/>
  <c r="O3293" i="5"/>
  <c r="K3292" i="5"/>
  <c r="G3292" i="5" l="1"/>
  <c r="C3291" i="5"/>
  <c r="K3293" i="5"/>
  <c r="O3294" i="5"/>
  <c r="C3292" i="5" l="1"/>
  <c r="G3293" i="5"/>
  <c r="O3295" i="5"/>
  <c r="K3294" i="5"/>
  <c r="C3293" i="5" l="1"/>
  <c r="G3294" i="5"/>
  <c r="K3295" i="5"/>
  <c r="O3296" i="5"/>
  <c r="C3294" i="5" l="1"/>
  <c r="G3295" i="5"/>
  <c r="K3296" i="5"/>
  <c r="O3297" i="5"/>
  <c r="G3296" i="5" l="1"/>
  <c r="C3295" i="5"/>
  <c r="O3298" i="5"/>
  <c r="K3297" i="5"/>
  <c r="C3296" i="5" l="1"/>
  <c r="G3297" i="5"/>
  <c r="O3299" i="5"/>
  <c r="K3298" i="5"/>
  <c r="G3298" i="5" l="1"/>
  <c r="C3297" i="5"/>
  <c r="K3299" i="5"/>
  <c r="O3300" i="5"/>
  <c r="G3299" i="5" l="1"/>
  <c r="C3298" i="5"/>
  <c r="O3301" i="5"/>
  <c r="K3300" i="5"/>
  <c r="G3300" i="5" l="1"/>
  <c r="C3299" i="5"/>
  <c r="K3301" i="5"/>
  <c r="O3302" i="5"/>
  <c r="C3300" i="5" l="1"/>
  <c r="G3301" i="5"/>
  <c r="O3303" i="5"/>
  <c r="K3302" i="5"/>
  <c r="C3301" i="5" l="1"/>
  <c r="G3302" i="5"/>
  <c r="K3303" i="5"/>
  <c r="O3304" i="5"/>
  <c r="G3303" i="5" l="1"/>
  <c r="C3302" i="5"/>
  <c r="O3305" i="5"/>
  <c r="K3304" i="5"/>
  <c r="G3304" i="5" l="1"/>
  <c r="C3303" i="5"/>
  <c r="O3306" i="5"/>
  <c r="K3305" i="5"/>
  <c r="C3304" i="5" l="1"/>
  <c r="G3305" i="5"/>
  <c r="O3307" i="5"/>
  <c r="K3306" i="5"/>
  <c r="G3306" i="5" l="1"/>
  <c r="C3305" i="5"/>
  <c r="K3307" i="5"/>
  <c r="O3308" i="5"/>
  <c r="G3307" i="5" l="1"/>
  <c r="C3306" i="5"/>
  <c r="O3309" i="5"/>
  <c r="K3308" i="5"/>
  <c r="C3307" i="5" l="1"/>
  <c r="G3308" i="5"/>
  <c r="O3310" i="5"/>
  <c r="K3309" i="5"/>
  <c r="C3308" i="5" l="1"/>
  <c r="G3309" i="5"/>
  <c r="O3311" i="5"/>
  <c r="K3310" i="5"/>
  <c r="C3309" i="5" l="1"/>
  <c r="G3310" i="5"/>
  <c r="K3311" i="5"/>
  <c r="O3312" i="5"/>
  <c r="G3311" i="5" l="1"/>
  <c r="C3310" i="5"/>
  <c r="K3312" i="5"/>
  <c r="O3313" i="5"/>
  <c r="G3312" i="5" l="1"/>
  <c r="C3311" i="5"/>
  <c r="O3314" i="5"/>
  <c r="K3313" i="5"/>
  <c r="C3312" i="5" l="1"/>
  <c r="G3313" i="5"/>
  <c r="O3315" i="5"/>
  <c r="K3314" i="5"/>
  <c r="G3314" i="5" l="1"/>
  <c r="C3313" i="5"/>
  <c r="K3315" i="5"/>
  <c r="O3316" i="5"/>
  <c r="C3314" i="5" l="1"/>
  <c r="G3315" i="5"/>
  <c r="K3316" i="5"/>
  <c r="O3317" i="5"/>
  <c r="G3316" i="5" l="1"/>
  <c r="C3315" i="5"/>
  <c r="K3317" i="5"/>
  <c r="O3318" i="5"/>
  <c r="G3317" i="5" l="1"/>
  <c r="C3316" i="5"/>
  <c r="O3319" i="5"/>
  <c r="K3318" i="5"/>
  <c r="C3317" i="5" l="1"/>
  <c r="G3318" i="5"/>
  <c r="K3319" i="5"/>
  <c r="O3320" i="5"/>
  <c r="C3318" i="5" l="1"/>
  <c r="G3319" i="5"/>
  <c r="O3321" i="5"/>
  <c r="K3320" i="5"/>
  <c r="G3320" i="5" l="1"/>
  <c r="C3319" i="5"/>
  <c r="O3322" i="5"/>
  <c r="K3321" i="5"/>
  <c r="C3320" i="5" l="1"/>
  <c r="G3321" i="5"/>
  <c r="O3323" i="5"/>
  <c r="K3322" i="5"/>
  <c r="G3322" i="5" l="1"/>
  <c r="C3321" i="5"/>
  <c r="K3323" i="5"/>
  <c r="O3324" i="5"/>
  <c r="G3323" i="5" l="1"/>
  <c r="C3322" i="5"/>
  <c r="O3325" i="5"/>
  <c r="K3324" i="5"/>
  <c r="G3324" i="5" l="1"/>
  <c r="C3323" i="5"/>
  <c r="K3325" i="5"/>
  <c r="O3326" i="5"/>
  <c r="C3324" i="5" l="1"/>
  <c r="G3325" i="5"/>
  <c r="O3327" i="5"/>
  <c r="K3326" i="5"/>
  <c r="C3325" i="5" l="1"/>
  <c r="G3326" i="5"/>
  <c r="K3327" i="5"/>
  <c r="O3328" i="5"/>
  <c r="C3326" i="5" l="1"/>
  <c r="G3327" i="5"/>
  <c r="K3328" i="5"/>
  <c r="O3329" i="5"/>
  <c r="G3328" i="5" l="1"/>
  <c r="C3327" i="5"/>
  <c r="O3330" i="5"/>
  <c r="K3329" i="5"/>
  <c r="C3328" i="5" l="1"/>
  <c r="G3329" i="5"/>
  <c r="O3331" i="5"/>
  <c r="K3330" i="5"/>
  <c r="G3330" i="5" l="1"/>
  <c r="C3329" i="5"/>
  <c r="K3331" i="5"/>
  <c r="O3332" i="5"/>
  <c r="G3331" i="5" l="1"/>
  <c r="C3330" i="5"/>
  <c r="K3332" i="5"/>
  <c r="O3333" i="5"/>
  <c r="G3332" i="5" l="1"/>
  <c r="C3331" i="5"/>
  <c r="K3333" i="5"/>
  <c r="O3334" i="5"/>
  <c r="C3332" i="5" l="1"/>
  <c r="G3333" i="5"/>
  <c r="O3335" i="5"/>
  <c r="K3334" i="5"/>
  <c r="C3333" i="5" l="1"/>
  <c r="G3334" i="5"/>
  <c r="K3335" i="5"/>
  <c r="O3336" i="5"/>
  <c r="G3335" i="5" l="1"/>
  <c r="C3334" i="5"/>
  <c r="K3336" i="5"/>
  <c r="O3337" i="5"/>
  <c r="G3336" i="5" l="1"/>
  <c r="C3335" i="5"/>
  <c r="O3338" i="5"/>
  <c r="K3337" i="5"/>
  <c r="C3336" i="5" l="1"/>
  <c r="G3337" i="5"/>
  <c r="O3339" i="5"/>
  <c r="K3338" i="5"/>
  <c r="C3337" i="5" l="1"/>
  <c r="G3338" i="5"/>
  <c r="K3339" i="5"/>
  <c r="O3340" i="5"/>
  <c r="C3338" i="5" l="1"/>
  <c r="G3339" i="5"/>
  <c r="O3341" i="5"/>
  <c r="K3340" i="5"/>
  <c r="G3340" i="5" l="1"/>
  <c r="C3339" i="5"/>
  <c r="K3341" i="5"/>
  <c r="O3342" i="5"/>
  <c r="C3340" i="5" l="1"/>
  <c r="G3341" i="5"/>
  <c r="O3343" i="5"/>
  <c r="K3342" i="5"/>
  <c r="C3341" i="5" l="1"/>
  <c r="G3342" i="5"/>
  <c r="K3343" i="5"/>
  <c r="O3344" i="5"/>
  <c r="C3342" i="5" l="1"/>
  <c r="G3343" i="5"/>
  <c r="K3344" i="5"/>
  <c r="O3345" i="5"/>
  <c r="G3344" i="5" l="1"/>
  <c r="C3343" i="5"/>
  <c r="O3346" i="5"/>
  <c r="K3345" i="5"/>
  <c r="C3344" i="5" l="1"/>
  <c r="G3345" i="5"/>
  <c r="O3347" i="5"/>
  <c r="K3346" i="5"/>
  <c r="G3346" i="5" l="1"/>
  <c r="C3345" i="5"/>
  <c r="K3347" i="5"/>
  <c r="O3348" i="5"/>
  <c r="C3346" i="5" l="1"/>
  <c r="G3347" i="5"/>
  <c r="O3349" i="5"/>
  <c r="K3348" i="5"/>
  <c r="G3348" i="5" l="1"/>
  <c r="C3347" i="5"/>
  <c r="K3349" i="5"/>
  <c r="O3350" i="5"/>
  <c r="G3349" i="5" l="1"/>
  <c r="C3348" i="5"/>
  <c r="O3351" i="5"/>
  <c r="K3350" i="5"/>
  <c r="C3349" i="5" l="1"/>
  <c r="G3350" i="5"/>
  <c r="K3351" i="5"/>
  <c r="O3352" i="5"/>
  <c r="C3350" i="5" l="1"/>
  <c r="G3351" i="5"/>
  <c r="O3353" i="5"/>
  <c r="K3352" i="5"/>
  <c r="G3352" i="5" l="1"/>
  <c r="C3351" i="5"/>
  <c r="O3354" i="5"/>
  <c r="K3353" i="5"/>
  <c r="C3352" i="5" l="1"/>
  <c r="G3353" i="5"/>
  <c r="O3355" i="5"/>
  <c r="K3354" i="5"/>
  <c r="G3354" i="5" l="1"/>
  <c r="C3353" i="5"/>
  <c r="K3355" i="5"/>
  <c r="O3356" i="5"/>
  <c r="G3355" i="5" l="1"/>
  <c r="C3354" i="5"/>
  <c r="O3357" i="5"/>
  <c r="K3356" i="5"/>
  <c r="G3356" i="5" l="1"/>
  <c r="C3355" i="5"/>
  <c r="O3358" i="5"/>
  <c r="K3357" i="5"/>
  <c r="C3356" i="5" l="1"/>
  <c r="G3357" i="5"/>
  <c r="O3359" i="5"/>
  <c r="K3358" i="5"/>
  <c r="C3357" i="5" l="1"/>
  <c r="G3358" i="5"/>
  <c r="K3359" i="5"/>
  <c r="O3360" i="5"/>
  <c r="G3359" i="5" l="1"/>
  <c r="C3358" i="5"/>
  <c r="K3360" i="5"/>
  <c r="O3361" i="5"/>
  <c r="G3360" i="5" l="1"/>
  <c r="C3359" i="5"/>
  <c r="O3362" i="5"/>
  <c r="K3361" i="5"/>
  <c r="C3360" i="5" l="1"/>
  <c r="G3361" i="5"/>
  <c r="O3363" i="5"/>
  <c r="K3362" i="5"/>
  <c r="G3362" i="5" l="1"/>
  <c r="C3361" i="5"/>
  <c r="K3363" i="5"/>
  <c r="O3364" i="5"/>
  <c r="G3363" i="5" l="1"/>
  <c r="C3362" i="5"/>
  <c r="O3365" i="5"/>
  <c r="K3364" i="5"/>
  <c r="G3364" i="5" l="1"/>
  <c r="C3363" i="5"/>
  <c r="K3365" i="5"/>
  <c r="O3366" i="5"/>
  <c r="C3364" i="5" l="1"/>
  <c r="G3365" i="5"/>
  <c r="O3367" i="5"/>
  <c r="K3366" i="5"/>
  <c r="C3365" i="5" l="1"/>
  <c r="G3366" i="5"/>
  <c r="K3367" i="5"/>
  <c r="O3368" i="5"/>
  <c r="C3366" i="5" l="1"/>
  <c r="G3367" i="5"/>
  <c r="O3369" i="5"/>
  <c r="K3368" i="5"/>
  <c r="G3368" i="5" l="1"/>
  <c r="C3367" i="5"/>
  <c r="K3369" i="5"/>
  <c r="O3370" i="5"/>
  <c r="C3368" i="5" l="1"/>
  <c r="G3369" i="5"/>
  <c r="O3371" i="5"/>
  <c r="K3370" i="5"/>
  <c r="G3370" i="5" l="1"/>
  <c r="C3369" i="5"/>
  <c r="K3371" i="5"/>
  <c r="O3372" i="5"/>
  <c r="C3370" i="5" l="1"/>
  <c r="G3371" i="5"/>
  <c r="O3373" i="5"/>
  <c r="K3372" i="5"/>
  <c r="G3372" i="5" l="1"/>
  <c r="C3371" i="5"/>
  <c r="O3374" i="5"/>
  <c r="K3373" i="5"/>
  <c r="C3372" i="5" l="1"/>
  <c r="G3373" i="5"/>
  <c r="O3375" i="5"/>
  <c r="K3374" i="5"/>
  <c r="C3373" i="5" l="1"/>
  <c r="G3374" i="5"/>
  <c r="K3375" i="5"/>
  <c r="O3376" i="5"/>
  <c r="G3375" i="5" l="1"/>
  <c r="C3374" i="5"/>
  <c r="K3376" i="5"/>
  <c r="O3377" i="5"/>
  <c r="G3376" i="5" l="1"/>
  <c r="C3375" i="5"/>
  <c r="O3378" i="5"/>
  <c r="K3377" i="5"/>
  <c r="C3376" i="5" l="1"/>
  <c r="G3377" i="5"/>
  <c r="O3379" i="5"/>
  <c r="K3378" i="5"/>
  <c r="C3377" i="5" l="1"/>
  <c r="G3378" i="5"/>
  <c r="K3379" i="5"/>
  <c r="O3380" i="5"/>
  <c r="C3378" i="5" l="1"/>
  <c r="G3379" i="5"/>
  <c r="O3381" i="5"/>
  <c r="K3380" i="5"/>
  <c r="G3380" i="5" l="1"/>
  <c r="C3379" i="5"/>
  <c r="K3381" i="5"/>
  <c r="O3382" i="5"/>
  <c r="C3380" i="5" l="1"/>
  <c r="G3381" i="5"/>
  <c r="O3383" i="5"/>
  <c r="K3382" i="5"/>
  <c r="C3381" i="5" l="1"/>
  <c r="G3382" i="5"/>
  <c r="K3383" i="5"/>
  <c r="O3384" i="5"/>
  <c r="G3383" i="5" l="1"/>
  <c r="C3382" i="5"/>
  <c r="K3384" i="5"/>
  <c r="O3385" i="5"/>
  <c r="G3384" i="5" l="1"/>
  <c r="C3383" i="5"/>
  <c r="O3386" i="5"/>
  <c r="K3385" i="5"/>
  <c r="C3384" i="5" l="1"/>
  <c r="G3385" i="5"/>
  <c r="O3387" i="5"/>
  <c r="K3386" i="5"/>
  <c r="G3386" i="5" l="1"/>
  <c r="C3385" i="5"/>
  <c r="K3387" i="5"/>
  <c r="O3388" i="5"/>
  <c r="G3387" i="5" l="1"/>
  <c r="C3386" i="5"/>
  <c r="O3389" i="5"/>
  <c r="K3388" i="5"/>
  <c r="G3388" i="5" l="1"/>
  <c r="C3387" i="5"/>
  <c r="O3390" i="5"/>
  <c r="K3389" i="5"/>
  <c r="C3388" i="5" l="1"/>
  <c r="G3389" i="5"/>
  <c r="O3391" i="5"/>
  <c r="K3390" i="5"/>
  <c r="C3389" i="5" l="1"/>
  <c r="G3390" i="5"/>
  <c r="K3391" i="5"/>
  <c r="O3392" i="5"/>
  <c r="C3390" i="5" l="1"/>
  <c r="G3391" i="5"/>
  <c r="K3392" i="5"/>
  <c r="O3393" i="5"/>
  <c r="G3392" i="5" l="1"/>
  <c r="C3391" i="5"/>
  <c r="O3394" i="5"/>
  <c r="K3393" i="5"/>
  <c r="C3392" i="5" l="1"/>
  <c r="G3393" i="5"/>
  <c r="O3395" i="5"/>
  <c r="K3394" i="5"/>
  <c r="C3393" i="5" l="1"/>
  <c r="G3394" i="5"/>
  <c r="K3395" i="5"/>
  <c r="O3396" i="5"/>
  <c r="G3395" i="5" l="1"/>
  <c r="C3394" i="5"/>
  <c r="O3397" i="5"/>
  <c r="K3396" i="5"/>
  <c r="G3396" i="5" l="1"/>
  <c r="C3395" i="5"/>
  <c r="K3397" i="5"/>
  <c r="O3398" i="5"/>
  <c r="C3396" i="5" l="1"/>
  <c r="G3397" i="5"/>
  <c r="O3399" i="5"/>
  <c r="K3398" i="5"/>
  <c r="G3398" i="5" l="1"/>
  <c r="C3397" i="5"/>
  <c r="K3399" i="5"/>
  <c r="O3400" i="5"/>
  <c r="C3398" i="5" l="1"/>
  <c r="G3399" i="5"/>
  <c r="O3401" i="5"/>
  <c r="K3400" i="5"/>
  <c r="G3400" i="5" l="1"/>
  <c r="C3399" i="5"/>
  <c r="O3402" i="5"/>
  <c r="K3401" i="5"/>
  <c r="C3400" i="5" l="1"/>
  <c r="G3401" i="5"/>
  <c r="O3403" i="5"/>
  <c r="K3402" i="5"/>
  <c r="C3401" i="5" l="1"/>
  <c r="G3402" i="5"/>
  <c r="K3403" i="5"/>
  <c r="O3404" i="5"/>
  <c r="G3403" i="5" l="1"/>
  <c r="C3402" i="5"/>
  <c r="O3405" i="5"/>
  <c r="K3404" i="5"/>
  <c r="C3403" i="5" l="1"/>
  <c r="G3404" i="5"/>
  <c r="O3406" i="5"/>
  <c r="K3405" i="5"/>
  <c r="G3405" i="5" l="1"/>
  <c r="C3404" i="5"/>
  <c r="O3407" i="5"/>
  <c r="K3406" i="5"/>
  <c r="C3405" i="5" l="1"/>
  <c r="G3406" i="5"/>
  <c r="K3407" i="5"/>
  <c r="O3408" i="5"/>
  <c r="G3407" i="5" l="1"/>
  <c r="C3406" i="5"/>
  <c r="K3408" i="5"/>
  <c r="O3409" i="5"/>
  <c r="C3407" i="5" l="1"/>
  <c r="G3408" i="5"/>
  <c r="O3410" i="5"/>
  <c r="K3409" i="5"/>
  <c r="G3409" i="5" l="1"/>
  <c r="C3408" i="5"/>
  <c r="O3411" i="5"/>
  <c r="K3410" i="5"/>
  <c r="G3410" i="5" l="1"/>
  <c r="C3409" i="5"/>
  <c r="K3411" i="5"/>
  <c r="O3412" i="5"/>
  <c r="G3411" i="5" l="1"/>
  <c r="C3410" i="5"/>
  <c r="K3412" i="5"/>
  <c r="O3413" i="5"/>
  <c r="G3412" i="5" l="1"/>
  <c r="C3411" i="5"/>
  <c r="K3413" i="5"/>
  <c r="O3414" i="5"/>
  <c r="C3412" i="5" l="1"/>
  <c r="G3413" i="5"/>
  <c r="O3415" i="5"/>
  <c r="K3414" i="5"/>
  <c r="C3413" i="5" l="1"/>
  <c r="G3414" i="5"/>
  <c r="K3415" i="5"/>
  <c r="O3416" i="5"/>
  <c r="C3414" i="5" l="1"/>
  <c r="G3415" i="5"/>
  <c r="O3417" i="5"/>
  <c r="K3416" i="5"/>
  <c r="G3416" i="5" l="1"/>
  <c r="C3415" i="5"/>
  <c r="K3417" i="5"/>
  <c r="O3418" i="5"/>
  <c r="C3416" i="5" l="1"/>
  <c r="G3417" i="5"/>
  <c r="O3419" i="5"/>
  <c r="K3418" i="5"/>
  <c r="G3418" i="5" l="1"/>
  <c r="C3417" i="5"/>
  <c r="K3419" i="5"/>
  <c r="O3420" i="5"/>
  <c r="G3419" i="5" l="1"/>
  <c r="C3418" i="5"/>
  <c r="O3421" i="5"/>
  <c r="K3420" i="5"/>
  <c r="G3420" i="5" l="1"/>
  <c r="C3419" i="5"/>
  <c r="K3421" i="5"/>
  <c r="O3422" i="5"/>
  <c r="C3420" i="5" l="1"/>
  <c r="G3421" i="5"/>
  <c r="O3423" i="5"/>
  <c r="K3422" i="5"/>
  <c r="C3421" i="5" l="1"/>
  <c r="G3422" i="5"/>
  <c r="K3423" i="5"/>
  <c r="O3424" i="5"/>
  <c r="G3423" i="5" l="1"/>
  <c r="C3422" i="5"/>
  <c r="K3424" i="5"/>
  <c r="O3425" i="5"/>
  <c r="G3424" i="5" l="1"/>
  <c r="C3423" i="5"/>
  <c r="O3426" i="5"/>
  <c r="K3425" i="5"/>
  <c r="C3424" i="5" l="1"/>
  <c r="G3425" i="5"/>
  <c r="O3427" i="5"/>
  <c r="K3426" i="5"/>
  <c r="G3426" i="5" l="1"/>
  <c r="C3425" i="5"/>
  <c r="K3427" i="5"/>
  <c r="O3428" i="5"/>
  <c r="G3427" i="5" l="1"/>
  <c r="C3426" i="5"/>
  <c r="O3429" i="5"/>
  <c r="K3428" i="5"/>
  <c r="G3428" i="5" l="1"/>
  <c r="C3427" i="5"/>
  <c r="K3429" i="5"/>
  <c r="O3430" i="5"/>
  <c r="C3428" i="5" l="1"/>
  <c r="G3429" i="5"/>
  <c r="O3431" i="5"/>
  <c r="K3430" i="5"/>
  <c r="C3429" i="5" l="1"/>
  <c r="G3430" i="5"/>
  <c r="K3431" i="5"/>
  <c r="O3432" i="5"/>
  <c r="G3431" i="5" l="1"/>
  <c r="C3430" i="5"/>
  <c r="O3433" i="5"/>
  <c r="K3432" i="5"/>
  <c r="C3431" i="5" l="1"/>
  <c r="G3432" i="5"/>
  <c r="O3434" i="5"/>
  <c r="K3433" i="5"/>
  <c r="C3432" i="5" l="1"/>
  <c r="G3433" i="5"/>
  <c r="O3435" i="5"/>
  <c r="K3434" i="5"/>
  <c r="G3434" i="5" l="1"/>
  <c r="C3433" i="5"/>
  <c r="K3435" i="5"/>
  <c r="O3436" i="5"/>
  <c r="G3435" i="5" l="1"/>
  <c r="C3434" i="5"/>
  <c r="O3437" i="5"/>
  <c r="K3436" i="5"/>
  <c r="G3436" i="5" l="1"/>
  <c r="C3435" i="5"/>
  <c r="O3438" i="5"/>
  <c r="K3437" i="5"/>
  <c r="C3436" i="5" l="1"/>
  <c r="G3437" i="5"/>
  <c r="O3439" i="5"/>
  <c r="K3438" i="5"/>
  <c r="C3437" i="5" l="1"/>
  <c r="G3438" i="5"/>
  <c r="K3439" i="5"/>
  <c r="O3440" i="5"/>
  <c r="G3439" i="5" l="1"/>
  <c r="C3438" i="5"/>
  <c r="K3440" i="5"/>
  <c r="O3441" i="5"/>
  <c r="G3440" i="5" l="1"/>
  <c r="C3439" i="5"/>
  <c r="O3442" i="5"/>
  <c r="K3441" i="5"/>
  <c r="C3440" i="5" l="1"/>
  <c r="G3441" i="5"/>
  <c r="O3443" i="5"/>
  <c r="K3442" i="5"/>
  <c r="G3442" i="5" l="1"/>
  <c r="C3441" i="5"/>
  <c r="K3443" i="5"/>
  <c r="O3444" i="5"/>
  <c r="C3442" i="5" l="1"/>
  <c r="G3443" i="5"/>
  <c r="K3444" i="5"/>
  <c r="O3445" i="5"/>
  <c r="G3444" i="5" l="1"/>
  <c r="C3443" i="5"/>
  <c r="K3445" i="5"/>
  <c r="O3446" i="5"/>
  <c r="C3444" i="5" l="1"/>
  <c r="G3445" i="5"/>
  <c r="O3447" i="5"/>
  <c r="K3446" i="5"/>
  <c r="C3445" i="5" l="1"/>
  <c r="G3446" i="5"/>
  <c r="K3447" i="5"/>
  <c r="O3448" i="5"/>
  <c r="C3446" i="5" l="1"/>
  <c r="G3447" i="5"/>
  <c r="O3449" i="5"/>
  <c r="K3448" i="5"/>
  <c r="G3448" i="5" l="1"/>
  <c r="C3447" i="5"/>
  <c r="O3450" i="5"/>
  <c r="K3449" i="5"/>
  <c r="C3448" i="5" l="1"/>
  <c r="G3449" i="5"/>
  <c r="O3451" i="5"/>
  <c r="K3450" i="5"/>
  <c r="G3450" i="5" l="1"/>
  <c r="C3449" i="5"/>
  <c r="K3451" i="5"/>
  <c r="O3452" i="5"/>
  <c r="G3451" i="5" l="1"/>
  <c r="C3450" i="5"/>
  <c r="O3453" i="5"/>
  <c r="K3452" i="5"/>
  <c r="C3451" i="5" l="1"/>
  <c r="G3452" i="5"/>
  <c r="K3453" i="5"/>
  <c r="O3454" i="5"/>
  <c r="G3453" i="5" l="1"/>
  <c r="C3452" i="5"/>
  <c r="O3455" i="5"/>
  <c r="K3454" i="5"/>
  <c r="G3454" i="5" l="1"/>
  <c r="C3453" i="5"/>
  <c r="K3455" i="5"/>
  <c r="O3456" i="5"/>
  <c r="C3454" i="5" l="1"/>
  <c r="G3455" i="5"/>
  <c r="K3456" i="5"/>
  <c r="O3457" i="5"/>
  <c r="G3456" i="5" l="1"/>
  <c r="C3455" i="5"/>
  <c r="O3458" i="5"/>
  <c r="K3457" i="5"/>
  <c r="C3456" i="5" l="1"/>
  <c r="G3457" i="5"/>
  <c r="O3459" i="5"/>
  <c r="K3458" i="5"/>
  <c r="G3458" i="5" l="1"/>
  <c r="C3457" i="5"/>
  <c r="K3459" i="5"/>
  <c r="O3460" i="5"/>
  <c r="G3459" i="5" l="1"/>
  <c r="C3458" i="5"/>
  <c r="K3460" i="5"/>
  <c r="O3461" i="5"/>
  <c r="C3459" i="5" l="1"/>
  <c r="G3460" i="5"/>
  <c r="K3461" i="5"/>
  <c r="O3462" i="5"/>
  <c r="C3460" i="5" l="1"/>
  <c r="G3461" i="5"/>
  <c r="O3463" i="5"/>
  <c r="K3462" i="5"/>
  <c r="C3461" i="5" l="1"/>
  <c r="G3462" i="5"/>
  <c r="K3463" i="5"/>
  <c r="O3464" i="5"/>
  <c r="C3462" i="5" l="1"/>
  <c r="G3463" i="5"/>
  <c r="K3464" i="5"/>
  <c r="O3465" i="5"/>
  <c r="G3464" i="5" l="1"/>
  <c r="C3463" i="5"/>
  <c r="O3466" i="5"/>
  <c r="K3465" i="5"/>
  <c r="C3464" i="5" l="1"/>
  <c r="G3465" i="5"/>
  <c r="O3467" i="5"/>
  <c r="K3466" i="5"/>
  <c r="G3466" i="5" l="1"/>
  <c r="C3465" i="5"/>
  <c r="K3467" i="5"/>
  <c r="O3468" i="5"/>
  <c r="G3467" i="5" l="1"/>
  <c r="C3466" i="5"/>
  <c r="O3469" i="5"/>
  <c r="K3468" i="5"/>
  <c r="G3468" i="5" l="1"/>
  <c r="C3467" i="5"/>
  <c r="K3469" i="5"/>
  <c r="O3470" i="5"/>
  <c r="C3468" i="5" l="1"/>
  <c r="G3469" i="5"/>
  <c r="O3471" i="5"/>
  <c r="K3470" i="5"/>
  <c r="C3469" i="5" l="1"/>
  <c r="G3470" i="5"/>
  <c r="K3471" i="5"/>
  <c r="O3472" i="5"/>
  <c r="G3471" i="5" l="1"/>
  <c r="C3470" i="5"/>
  <c r="K3472" i="5"/>
  <c r="O3473" i="5"/>
  <c r="G3472" i="5" l="1"/>
  <c r="C3471" i="5"/>
  <c r="O3474" i="5"/>
  <c r="K3473" i="5"/>
  <c r="C3472" i="5" l="1"/>
  <c r="G3473" i="5"/>
  <c r="O3475" i="5"/>
  <c r="K3474" i="5"/>
  <c r="G3474" i="5" l="1"/>
  <c r="C3473" i="5"/>
  <c r="K3475" i="5"/>
  <c r="O3476" i="5"/>
  <c r="G3475" i="5" l="1"/>
  <c r="C3474" i="5"/>
  <c r="O3477" i="5"/>
  <c r="K3476" i="5"/>
  <c r="G3476" i="5" l="1"/>
  <c r="C3475" i="5"/>
  <c r="K3477" i="5"/>
  <c r="O3478" i="5"/>
  <c r="C3476" i="5" l="1"/>
  <c r="G3477" i="5"/>
  <c r="O3479" i="5"/>
  <c r="K3478" i="5"/>
  <c r="C3477" i="5" l="1"/>
  <c r="G3478" i="5"/>
  <c r="K3479" i="5"/>
  <c r="O3480" i="5"/>
  <c r="C3478" i="5" l="1"/>
  <c r="G3479" i="5"/>
  <c r="O3481" i="5"/>
  <c r="K3480" i="5"/>
  <c r="G3480" i="5" l="1"/>
  <c r="C3479" i="5"/>
  <c r="O3482" i="5"/>
  <c r="K3481" i="5"/>
  <c r="C3480" i="5" l="1"/>
  <c r="G3481" i="5"/>
  <c r="O3483" i="5"/>
  <c r="K3482" i="5"/>
  <c r="G3482" i="5" l="1"/>
  <c r="C3481" i="5"/>
  <c r="K3483" i="5"/>
  <c r="O3484" i="5"/>
  <c r="G3483" i="5" l="1"/>
  <c r="C3482" i="5"/>
  <c r="O3485" i="5"/>
  <c r="K3484" i="5"/>
  <c r="G3484" i="5" l="1"/>
  <c r="C3483" i="5"/>
  <c r="O3486" i="5"/>
  <c r="K3485" i="5"/>
  <c r="C3484" i="5" l="1"/>
  <c r="G3485" i="5"/>
  <c r="O3487" i="5"/>
  <c r="K3486" i="5"/>
  <c r="G3486" i="5" l="1"/>
  <c r="C3485" i="5"/>
  <c r="K3487" i="5"/>
  <c r="O3488" i="5"/>
  <c r="C3486" i="5" l="1"/>
  <c r="G3487" i="5"/>
  <c r="K3488" i="5"/>
  <c r="O3489" i="5"/>
  <c r="C3487" i="5" l="1"/>
  <c r="G3488" i="5"/>
  <c r="O3490" i="5"/>
  <c r="K3489" i="5"/>
  <c r="C3488" i="5" l="1"/>
  <c r="G3489" i="5"/>
  <c r="O3491" i="5"/>
  <c r="K3490" i="5"/>
  <c r="G3490" i="5" l="1"/>
  <c r="C3489" i="5"/>
  <c r="K3491" i="5"/>
  <c r="O3492" i="5"/>
  <c r="G3491" i="5" l="1"/>
  <c r="C3490" i="5"/>
  <c r="O3493" i="5"/>
  <c r="K3492" i="5"/>
  <c r="C3491" i="5" l="1"/>
  <c r="G3492" i="5"/>
  <c r="K3493" i="5"/>
  <c r="O3494" i="5"/>
  <c r="G3493" i="5" l="1"/>
  <c r="C3492" i="5"/>
  <c r="O3495" i="5"/>
  <c r="K3494" i="5"/>
  <c r="C3493" i="5" l="1"/>
  <c r="G3494" i="5"/>
  <c r="K3495" i="5"/>
  <c r="O3496" i="5"/>
  <c r="G3495" i="5" l="1"/>
  <c r="C3494" i="5"/>
  <c r="K3496" i="5"/>
  <c r="O3497" i="5"/>
  <c r="C3495" i="5" l="1"/>
  <c r="G3496" i="5"/>
  <c r="K3497" i="5"/>
  <c r="O3498" i="5"/>
  <c r="G3497" i="5" l="1"/>
  <c r="C3496" i="5"/>
  <c r="O3499" i="5"/>
  <c r="K3498" i="5"/>
  <c r="G3498" i="5" l="1"/>
  <c r="C3497" i="5"/>
  <c r="K3499" i="5"/>
  <c r="O3500" i="5"/>
  <c r="C3498" i="5" l="1"/>
  <c r="G3499" i="5"/>
  <c r="O3501" i="5"/>
  <c r="K3500" i="5"/>
  <c r="G3500" i="5" l="1"/>
  <c r="C3499" i="5"/>
  <c r="O3502" i="5"/>
  <c r="K3501" i="5"/>
  <c r="C3500" i="5" l="1"/>
  <c r="G3501" i="5"/>
  <c r="O3503" i="5"/>
  <c r="K3502" i="5"/>
  <c r="C3501" i="5" l="1"/>
  <c r="G3502" i="5"/>
  <c r="K3503" i="5"/>
  <c r="O3504" i="5"/>
  <c r="G3503" i="5" l="1"/>
  <c r="C3502" i="5"/>
  <c r="K3504" i="5"/>
  <c r="O3505" i="5"/>
  <c r="C3503" i="5" l="1"/>
  <c r="G3504" i="5"/>
  <c r="O3506" i="5"/>
  <c r="K3505" i="5"/>
  <c r="C3504" i="5" l="1"/>
  <c r="G3505" i="5"/>
  <c r="O3507" i="5"/>
  <c r="K3506" i="5"/>
  <c r="G3506" i="5" l="1"/>
  <c r="C3505" i="5"/>
  <c r="K3507" i="5"/>
  <c r="O3508" i="5"/>
  <c r="G3507" i="5" l="1"/>
  <c r="C3506" i="5"/>
  <c r="O3509" i="5"/>
  <c r="K3508" i="5"/>
  <c r="G3508" i="5" l="1"/>
  <c r="C3507" i="5"/>
  <c r="K3509" i="5"/>
  <c r="O3510" i="5"/>
  <c r="C3508" i="5" l="1"/>
  <c r="G3509" i="5"/>
  <c r="O3511" i="5"/>
  <c r="K3510" i="5"/>
  <c r="C3509" i="5" l="1"/>
  <c r="G3510" i="5"/>
  <c r="K3511" i="5"/>
  <c r="O3512" i="5"/>
  <c r="G3511" i="5" l="1"/>
  <c r="C3510" i="5"/>
  <c r="K3512" i="5"/>
  <c r="O3513" i="5"/>
  <c r="G3512" i="5" l="1"/>
  <c r="C3511" i="5"/>
  <c r="O3514" i="5"/>
  <c r="K3513" i="5"/>
  <c r="C3512" i="5" l="1"/>
  <c r="G3513" i="5"/>
  <c r="O3515" i="5"/>
  <c r="K3514" i="5"/>
  <c r="G3514" i="5" l="1"/>
  <c r="C3513" i="5"/>
  <c r="K3515" i="5"/>
  <c r="O3516" i="5"/>
  <c r="G3515" i="5" l="1"/>
  <c r="C3514" i="5"/>
  <c r="O3517" i="5"/>
  <c r="K3516" i="5"/>
  <c r="G3516" i="5" l="1"/>
  <c r="C3515" i="5"/>
  <c r="O3518" i="5"/>
  <c r="K3517" i="5"/>
  <c r="C3516" i="5" l="1"/>
  <c r="G3517" i="5"/>
  <c r="O3519" i="5"/>
  <c r="K3518" i="5"/>
  <c r="C3517" i="5" l="1"/>
  <c r="G3518" i="5"/>
  <c r="K3519" i="5"/>
  <c r="O3520" i="5"/>
  <c r="C3518" i="5" l="1"/>
  <c r="G3519" i="5"/>
  <c r="K3520" i="5"/>
  <c r="O3521" i="5"/>
  <c r="G3520" i="5" l="1"/>
  <c r="C3519" i="5"/>
  <c r="O3522" i="5"/>
  <c r="K3521" i="5"/>
  <c r="C3520" i="5" l="1"/>
  <c r="G3521" i="5"/>
  <c r="O3523" i="5"/>
  <c r="K3522" i="5"/>
  <c r="G3522" i="5" l="1"/>
  <c r="C3521" i="5"/>
  <c r="K3523" i="5"/>
  <c r="O3524" i="5"/>
  <c r="G3523" i="5" l="1"/>
  <c r="C3522" i="5"/>
  <c r="O3525" i="5"/>
  <c r="K3524" i="5"/>
  <c r="G3524" i="5" l="1"/>
  <c r="C3523" i="5"/>
  <c r="K3525" i="5"/>
  <c r="O3526" i="5"/>
  <c r="C3524" i="5" l="1"/>
  <c r="G3525" i="5"/>
  <c r="O3527" i="5"/>
  <c r="K3526" i="5"/>
  <c r="C3525" i="5" l="1"/>
  <c r="G3526" i="5"/>
  <c r="K3527" i="5"/>
  <c r="O3528" i="5"/>
  <c r="G3527" i="5" l="1"/>
  <c r="C3526" i="5"/>
  <c r="O3529" i="5"/>
  <c r="K3528" i="5"/>
  <c r="C3527" i="5" l="1"/>
  <c r="G3528" i="5"/>
  <c r="K3529" i="5"/>
  <c r="O3530" i="5"/>
  <c r="C3528" i="5" l="1"/>
  <c r="G3529" i="5"/>
  <c r="O3531" i="5"/>
  <c r="K3530" i="5"/>
  <c r="G3530" i="5" l="1"/>
  <c r="C3529" i="5"/>
  <c r="K3531" i="5"/>
  <c r="O3532" i="5"/>
  <c r="G3531" i="5" l="1"/>
  <c r="C3530" i="5"/>
  <c r="O3533" i="5"/>
  <c r="K3532" i="5"/>
  <c r="G3532" i="5" l="1"/>
  <c r="C3531" i="5"/>
  <c r="O3534" i="5"/>
  <c r="K3533" i="5"/>
  <c r="C3532" i="5" l="1"/>
  <c r="G3533" i="5"/>
  <c r="O3535" i="5"/>
  <c r="K3534" i="5"/>
  <c r="C3533" i="5" l="1"/>
  <c r="G3534" i="5"/>
  <c r="K3535" i="5"/>
  <c r="O3536" i="5"/>
  <c r="C3534" i="5" l="1"/>
  <c r="G3535" i="5"/>
  <c r="K3536" i="5"/>
  <c r="O3537" i="5"/>
  <c r="G3536" i="5" l="1"/>
  <c r="C3535" i="5"/>
  <c r="O3538" i="5"/>
  <c r="K3537" i="5"/>
  <c r="C3536" i="5" l="1"/>
  <c r="G3537" i="5"/>
  <c r="O3539" i="5"/>
  <c r="K3538" i="5"/>
  <c r="G3538" i="5" l="1"/>
  <c r="C3537" i="5"/>
  <c r="K3539" i="5"/>
  <c r="O3540" i="5"/>
  <c r="G3539" i="5" l="1"/>
  <c r="C3538" i="5"/>
  <c r="K3540" i="5"/>
  <c r="O3541" i="5"/>
  <c r="C3539" i="5" l="1"/>
  <c r="G3540" i="5"/>
  <c r="K3541" i="5"/>
  <c r="O3542" i="5"/>
  <c r="C3540" i="5" l="1"/>
  <c r="G3541" i="5"/>
  <c r="O3543" i="5"/>
  <c r="K3542" i="5"/>
  <c r="C3541" i="5" l="1"/>
  <c r="G3542" i="5"/>
  <c r="K3543" i="5"/>
  <c r="O3544" i="5"/>
  <c r="C3542" i="5" l="1"/>
  <c r="G3543" i="5"/>
  <c r="O3545" i="5"/>
  <c r="K3544" i="5"/>
  <c r="G3544" i="5" l="1"/>
  <c r="C3543" i="5"/>
  <c r="K3545" i="5"/>
  <c r="O3546" i="5"/>
  <c r="C3544" i="5" l="1"/>
  <c r="G3545" i="5"/>
  <c r="O3547" i="5"/>
  <c r="K3546" i="5"/>
  <c r="G3546" i="5" l="1"/>
  <c r="C3545" i="5"/>
  <c r="K3547" i="5"/>
  <c r="O3548" i="5"/>
  <c r="G3547" i="5" l="1"/>
  <c r="C3546" i="5"/>
  <c r="O3549" i="5"/>
  <c r="K3548" i="5"/>
  <c r="G3548" i="5" l="1"/>
  <c r="C3547" i="5"/>
  <c r="K3549" i="5"/>
  <c r="O3550" i="5"/>
  <c r="C3548" i="5" l="1"/>
  <c r="G3549" i="5"/>
  <c r="O3551" i="5"/>
  <c r="K3550" i="5"/>
  <c r="C3549" i="5" l="1"/>
  <c r="G3550" i="5"/>
  <c r="K3551" i="5"/>
  <c r="O3552" i="5"/>
  <c r="G3551" i="5" l="1"/>
  <c r="C3550" i="5"/>
  <c r="K3552" i="5"/>
  <c r="O3553" i="5"/>
  <c r="G3552" i="5" l="1"/>
  <c r="C3551" i="5"/>
  <c r="O3554" i="5"/>
  <c r="K3553" i="5"/>
  <c r="C3552" i="5" l="1"/>
  <c r="G3553" i="5"/>
  <c r="O3555" i="5"/>
  <c r="K3554" i="5"/>
  <c r="G3554" i="5" l="1"/>
  <c r="C3553" i="5"/>
  <c r="K3555" i="5"/>
  <c r="O3556" i="5"/>
  <c r="G3555" i="5" l="1"/>
  <c r="C3554" i="5"/>
  <c r="O3557" i="5"/>
  <c r="K3556" i="5"/>
  <c r="G3556" i="5" l="1"/>
  <c r="C3555" i="5"/>
  <c r="K3557" i="5"/>
  <c r="O3558" i="5"/>
  <c r="C3556" i="5" l="1"/>
  <c r="G3557" i="5"/>
  <c r="O3559" i="5"/>
  <c r="K3558" i="5"/>
  <c r="C3557" i="5" l="1"/>
  <c r="G3558" i="5"/>
  <c r="K3559" i="5"/>
  <c r="O3560" i="5"/>
  <c r="G3559" i="5" l="1"/>
  <c r="C3558" i="5"/>
  <c r="O3561" i="5"/>
  <c r="K3560" i="5"/>
  <c r="G3560" i="5" l="1"/>
  <c r="C3559" i="5"/>
  <c r="O3562" i="5"/>
  <c r="K3561" i="5"/>
  <c r="C3560" i="5" l="1"/>
  <c r="G3561" i="5"/>
  <c r="O3563" i="5"/>
  <c r="K3562" i="5"/>
  <c r="G3562" i="5" l="1"/>
  <c r="C3561" i="5"/>
  <c r="K3563" i="5"/>
  <c r="O3564" i="5"/>
  <c r="G3563" i="5" l="1"/>
  <c r="C3562" i="5"/>
  <c r="O3565" i="5"/>
  <c r="K3564" i="5"/>
  <c r="G3564" i="5" l="1"/>
  <c r="C3563" i="5"/>
  <c r="O3566" i="5"/>
  <c r="K3565" i="5"/>
  <c r="C3564" i="5" l="1"/>
  <c r="G3565" i="5"/>
  <c r="O3567" i="5"/>
  <c r="K3566" i="5"/>
  <c r="C3565" i="5" l="1"/>
  <c r="G3566" i="5"/>
  <c r="K3567" i="5"/>
  <c r="O3568" i="5"/>
  <c r="G3567" i="5" l="1"/>
  <c r="C3566" i="5"/>
  <c r="K3568" i="5"/>
  <c r="O3569" i="5"/>
  <c r="G3568" i="5" l="1"/>
  <c r="C3567" i="5"/>
  <c r="O3570" i="5"/>
  <c r="K3569" i="5"/>
  <c r="C3568" i="5" l="1"/>
  <c r="G3569" i="5"/>
  <c r="O3571" i="5"/>
  <c r="K3570" i="5"/>
  <c r="G3570" i="5" l="1"/>
  <c r="C3569" i="5"/>
  <c r="K3571" i="5"/>
  <c r="O3572" i="5"/>
  <c r="G3571" i="5" l="1"/>
  <c r="C3570" i="5"/>
  <c r="O3573" i="5"/>
  <c r="K3572" i="5"/>
  <c r="G3572" i="5" l="1"/>
  <c r="C3571" i="5"/>
  <c r="K3573" i="5"/>
  <c r="O3574" i="5"/>
  <c r="C3572" i="5" l="1"/>
  <c r="G3573" i="5"/>
  <c r="O3575" i="5"/>
  <c r="K3574" i="5"/>
  <c r="C3573" i="5" l="1"/>
  <c r="G3574" i="5"/>
  <c r="K3575" i="5"/>
  <c r="O3576" i="5"/>
  <c r="G3575" i="5" l="1"/>
  <c r="C3574" i="5"/>
  <c r="O3577" i="5"/>
  <c r="K3576" i="5"/>
  <c r="G3576" i="5" l="1"/>
  <c r="C3575" i="5"/>
  <c r="O3578" i="5"/>
  <c r="K3577" i="5"/>
  <c r="C3576" i="5" l="1"/>
  <c r="G3577" i="5"/>
  <c r="O3579" i="5"/>
  <c r="K3578" i="5"/>
  <c r="C3577" i="5" l="1"/>
  <c r="G3578" i="5"/>
  <c r="K3579" i="5"/>
  <c r="O3580" i="5"/>
  <c r="G3579" i="5" l="1"/>
  <c r="C3578" i="5"/>
  <c r="O3581" i="5"/>
  <c r="K3580" i="5"/>
  <c r="G3580" i="5" l="1"/>
  <c r="C3579" i="5"/>
  <c r="K3581" i="5"/>
  <c r="O3582" i="5"/>
  <c r="C3580" i="5" l="1"/>
  <c r="G3581" i="5"/>
  <c r="O3583" i="5"/>
  <c r="K3582" i="5"/>
  <c r="G3582" i="5" l="1"/>
  <c r="C3581" i="5"/>
  <c r="K3583" i="5"/>
  <c r="O3584" i="5"/>
  <c r="C3582" i="5" l="1"/>
  <c r="G3583" i="5"/>
  <c r="K3584" i="5"/>
  <c r="O3585" i="5"/>
  <c r="G3584" i="5" l="1"/>
  <c r="C3583" i="5"/>
  <c r="O3586" i="5"/>
  <c r="K3585" i="5"/>
  <c r="C3584" i="5" l="1"/>
  <c r="G3585" i="5"/>
  <c r="O3587" i="5"/>
  <c r="K3586" i="5"/>
  <c r="G3586" i="5" l="1"/>
  <c r="C3585" i="5"/>
  <c r="K3587" i="5"/>
  <c r="O3588" i="5"/>
  <c r="G3587" i="5" l="1"/>
  <c r="C3586" i="5"/>
  <c r="K3588" i="5"/>
  <c r="O3589" i="5"/>
  <c r="G3588" i="5" l="1"/>
  <c r="C3587" i="5"/>
  <c r="K3589" i="5"/>
  <c r="O3590" i="5"/>
  <c r="G3589" i="5" l="1"/>
  <c r="C3588" i="5"/>
  <c r="O3591" i="5"/>
  <c r="K3590" i="5"/>
  <c r="C3589" i="5" l="1"/>
  <c r="G3590" i="5"/>
  <c r="K3591" i="5"/>
  <c r="O3592" i="5"/>
  <c r="G3591" i="5" l="1"/>
  <c r="C3590" i="5"/>
  <c r="K3592" i="5"/>
  <c r="O3593" i="5"/>
  <c r="G3592" i="5" l="1"/>
  <c r="C3591" i="5"/>
  <c r="O3594" i="5"/>
  <c r="K3593" i="5"/>
  <c r="C3592" i="5" l="1"/>
  <c r="G3593" i="5"/>
  <c r="O3595" i="5"/>
  <c r="K3594" i="5"/>
  <c r="C3593" i="5" l="1"/>
  <c r="G3594" i="5"/>
  <c r="K3595" i="5"/>
  <c r="O3596" i="5"/>
  <c r="C3594" i="5" l="1"/>
  <c r="G3595" i="5"/>
  <c r="O3597" i="5"/>
  <c r="K3596" i="5"/>
  <c r="G3596" i="5" l="1"/>
  <c r="C3595" i="5"/>
  <c r="K3597" i="5"/>
  <c r="O3598" i="5"/>
  <c r="C3596" i="5" l="1"/>
  <c r="G3597" i="5"/>
  <c r="O3599" i="5"/>
  <c r="K3598" i="5"/>
  <c r="C3597" i="5" l="1"/>
  <c r="G3598" i="5"/>
  <c r="K3599" i="5"/>
  <c r="O3600" i="5"/>
  <c r="G3599" i="5" l="1"/>
  <c r="C3598" i="5"/>
  <c r="K3600" i="5"/>
  <c r="O3601" i="5"/>
  <c r="G3600" i="5" l="1"/>
  <c r="C3599" i="5"/>
  <c r="O3602" i="5"/>
  <c r="K3601" i="5"/>
  <c r="C3600" i="5" l="1"/>
  <c r="G3601" i="5"/>
  <c r="O3603" i="5"/>
  <c r="K3602" i="5"/>
  <c r="G3602" i="5" l="1"/>
  <c r="C3601" i="5"/>
  <c r="K3603" i="5"/>
  <c r="O3604" i="5"/>
  <c r="G3603" i="5" l="1"/>
  <c r="C3602" i="5"/>
  <c r="O3605" i="5"/>
  <c r="K3604" i="5"/>
  <c r="G3604" i="5" l="1"/>
  <c r="C3603" i="5"/>
  <c r="K3605" i="5"/>
  <c r="O3606" i="5"/>
  <c r="C3604" i="5" l="1"/>
  <c r="G3605" i="5"/>
  <c r="O3607" i="5"/>
  <c r="K3606" i="5"/>
  <c r="C3605" i="5" l="1"/>
  <c r="G3606" i="5"/>
  <c r="K3607" i="5"/>
  <c r="O3608" i="5"/>
  <c r="C3606" i="5" l="1"/>
  <c r="G3607" i="5"/>
  <c r="O3609" i="5"/>
  <c r="K3608" i="5"/>
  <c r="G3608" i="5" l="1"/>
  <c r="C3607" i="5"/>
  <c r="O3610" i="5"/>
  <c r="K3609" i="5"/>
  <c r="C3608" i="5" l="1"/>
  <c r="G3609" i="5"/>
  <c r="O3611" i="5"/>
  <c r="K3610" i="5"/>
  <c r="G3610" i="5" l="1"/>
  <c r="C3609" i="5"/>
  <c r="K3611" i="5"/>
  <c r="O3612" i="5"/>
  <c r="C3610" i="5" l="1"/>
  <c r="G3611" i="5"/>
  <c r="O3613" i="5"/>
  <c r="K3612" i="5"/>
  <c r="G3612" i="5" l="1"/>
  <c r="C3611" i="5"/>
  <c r="O3614" i="5"/>
  <c r="K3613" i="5"/>
  <c r="G3613" i="5" l="1"/>
  <c r="C3612" i="5"/>
  <c r="O3615" i="5"/>
  <c r="K3614" i="5"/>
  <c r="C3613" i="5" l="1"/>
  <c r="G3614" i="5"/>
  <c r="K3615" i="5"/>
  <c r="O3616" i="5"/>
  <c r="C3614" i="5" l="1"/>
  <c r="G3615" i="5"/>
  <c r="K3616" i="5"/>
  <c r="O3617" i="5"/>
  <c r="G3616" i="5" l="1"/>
  <c r="C3615" i="5"/>
  <c r="O3618" i="5"/>
  <c r="K3617" i="5"/>
  <c r="C3616" i="5" l="1"/>
  <c r="G3617" i="5"/>
  <c r="O3619" i="5"/>
  <c r="K3618" i="5"/>
  <c r="G3618" i="5" l="1"/>
  <c r="C3617" i="5"/>
  <c r="K3619" i="5"/>
  <c r="O3620" i="5"/>
  <c r="C3618" i="5" l="1"/>
  <c r="G3619" i="5"/>
  <c r="O3621" i="5"/>
  <c r="K3620" i="5"/>
  <c r="G3620" i="5" l="1"/>
  <c r="C3619" i="5"/>
  <c r="K3621" i="5"/>
  <c r="O3622" i="5"/>
  <c r="C3620" i="5" l="1"/>
  <c r="G3621" i="5"/>
  <c r="O3623" i="5"/>
  <c r="K3622" i="5"/>
  <c r="C3621" i="5" l="1"/>
  <c r="G3622" i="5"/>
  <c r="K3623" i="5"/>
  <c r="O3624" i="5"/>
  <c r="G3623" i="5" l="1"/>
  <c r="C3622" i="5"/>
  <c r="K3624" i="5"/>
  <c r="O3625" i="5"/>
  <c r="G3624" i="5" l="1"/>
  <c r="C3623" i="5"/>
  <c r="K3625" i="5"/>
  <c r="O3626" i="5"/>
  <c r="C3624" i="5" l="1"/>
  <c r="G3625" i="5"/>
  <c r="O3627" i="5"/>
  <c r="K3626" i="5"/>
  <c r="G3626" i="5" l="1"/>
  <c r="C3625" i="5"/>
  <c r="K3627" i="5"/>
  <c r="O3628" i="5"/>
  <c r="G3627" i="5" l="1"/>
  <c r="C3626" i="5"/>
  <c r="O3629" i="5"/>
  <c r="K3628" i="5"/>
  <c r="G3628" i="5" l="1"/>
  <c r="C3627" i="5"/>
  <c r="O3630" i="5"/>
  <c r="K3629" i="5"/>
  <c r="C3628" i="5" l="1"/>
  <c r="G3629" i="5"/>
  <c r="O3631" i="5"/>
  <c r="K3630" i="5"/>
  <c r="C3629" i="5" l="1"/>
  <c r="G3630" i="5"/>
  <c r="K3631" i="5"/>
  <c r="O3632" i="5"/>
  <c r="G3631" i="5" l="1"/>
  <c r="C3630" i="5"/>
  <c r="K3632" i="5"/>
  <c r="O3633" i="5"/>
  <c r="G3632" i="5" l="1"/>
  <c r="C3631" i="5"/>
  <c r="O3634" i="5"/>
  <c r="K3633" i="5"/>
  <c r="C3632" i="5" l="1"/>
  <c r="G3633" i="5"/>
  <c r="O3635" i="5"/>
  <c r="K3634" i="5"/>
  <c r="G3634" i="5" l="1"/>
  <c r="C3633" i="5"/>
  <c r="K3635" i="5"/>
  <c r="O3636" i="5"/>
  <c r="G3635" i="5" l="1"/>
  <c r="C3634" i="5"/>
  <c r="O3637" i="5"/>
  <c r="K3636" i="5"/>
  <c r="G3636" i="5" l="1"/>
  <c r="C3635" i="5"/>
  <c r="K3637" i="5"/>
  <c r="O3638" i="5"/>
  <c r="C3636" i="5" l="1"/>
  <c r="G3637" i="5"/>
  <c r="O3639" i="5"/>
  <c r="K3638" i="5"/>
  <c r="C3637" i="5" l="1"/>
  <c r="G3638" i="5"/>
  <c r="K3639" i="5"/>
  <c r="O3640" i="5"/>
  <c r="G3639" i="5" l="1"/>
  <c r="C3638" i="5"/>
  <c r="K3640" i="5"/>
  <c r="O3641" i="5"/>
  <c r="G3640" i="5" l="1"/>
  <c r="C3639" i="5"/>
  <c r="O3642" i="5"/>
  <c r="K3641" i="5"/>
  <c r="C3640" i="5" l="1"/>
  <c r="G3641" i="5"/>
  <c r="O3643" i="5"/>
  <c r="K3642" i="5"/>
  <c r="G3642" i="5" l="1"/>
  <c r="C3641" i="5"/>
  <c r="K3643" i="5"/>
  <c r="O3644" i="5"/>
  <c r="G3643" i="5" l="1"/>
  <c r="C3642" i="5"/>
  <c r="O3645" i="5"/>
  <c r="K3644" i="5"/>
  <c r="G3644" i="5" l="1"/>
  <c r="C3643" i="5"/>
  <c r="O3646" i="5"/>
  <c r="K3645" i="5"/>
  <c r="C3644" i="5" l="1"/>
  <c r="G3645" i="5"/>
  <c r="O3647" i="5"/>
  <c r="K3646" i="5"/>
  <c r="C3645" i="5" l="1"/>
  <c r="G3646" i="5"/>
  <c r="K3647" i="5"/>
  <c r="O3648" i="5"/>
  <c r="C3646" i="5" l="1"/>
  <c r="G3647" i="5"/>
  <c r="K3648" i="5"/>
  <c r="O3649" i="5"/>
  <c r="G3648" i="5" l="1"/>
  <c r="C3647" i="5"/>
  <c r="O3650" i="5"/>
  <c r="K3649" i="5"/>
  <c r="C3648" i="5" l="1"/>
  <c r="G3649" i="5"/>
  <c r="O3651" i="5"/>
  <c r="K3650" i="5"/>
  <c r="G3650" i="5" l="1"/>
  <c r="C3649" i="5"/>
  <c r="K3651" i="5"/>
  <c r="O3652" i="5"/>
  <c r="G3651" i="5" l="1"/>
  <c r="C3650" i="5"/>
  <c r="O3653" i="5"/>
  <c r="K3652" i="5"/>
  <c r="G3652" i="5" l="1"/>
  <c r="C3651" i="5"/>
  <c r="K3653" i="5"/>
  <c r="O3654" i="5"/>
  <c r="C3652" i="5" l="1"/>
  <c r="G3653" i="5"/>
  <c r="O3655" i="5"/>
  <c r="K3654" i="5"/>
  <c r="G3654" i="5" l="1"/>
  <c r="C3653" i="5"/>
  <c r="K3655" i="5"/>
  <c r="O3656" i="5"/>
  <c r="G3655" i="5" l="1"/>
  <c r="C3654" i="5"/>
  <c r="O3657" i="5"/>
  <c r="K3656" i="5"/>
  <c r="G3656" i="5" l="1"/>
  <c r="C3655" i="5"/>
  <c r="K3657" i="5"/>
  <c r="O3658" i="5"/>
  <c r="C3656" i="5" l="1"/>
  <c r="G3657" i="5"/>
  <c r="O3659" i="5"/>
  <c r="K3658" i="5"/>
  <c r="G3658" i="5" l="1"/>
  <c r="C3657" i="5"/>
  <c r="K3659" i="5"/>
  <c r="O3660" i="5"/>
  <c r="C3658" i="5" l="1"/>
  <c r="G3659" i="5"/>
  <c r="O3661" i="5"/>
  <c r="K3660" i="5"/>
  <c r="G3660" i="5" l="1"/>
  <c r="C3659" i="5"/>
  <c r="O3662" i="5"/>
  <c r="K3661" i="5"/>
  <c r="C3660" i="5" l="1"/>
  <c r="G3661" i="5"/>
  <c r="O3663" i="5"/>
  <c r="K3662" i="5"/>
  <c r="C3661" i="5" l="1"/>
  <c r="G3662" i="5"/>
  <c r="K3663" i="5"/>
  <c r="O3664" i="5"/>
  <c r="G3663" i="5" l="1"/>
  <c r="C3662" i="5"/>
  <c r="K3664" i="5"/>
  <c r="O3665" i="5"/>
  <c r="G3664" i="5" l="1"/>
  <c r="C3663" i="5"/>
  <c r="O3666" i="5"/>
  <c r="K3665" i="5"/>
  <c r="C3664" i="5" l="1"/>
  <c r="G3665" i="5"/>
  <c r="O3667" i="5"/>
  <c r="K3666" i="5"/>
  <c r="C3665" i="5" l="1"/>
  <c r="G3666" i="5"/>
  <c r="K3667" i="5"/>
  <c r="O3668" i="5"/>
  <c r="C3666" i="5" l="1"/>
  <c r="G3667" i="5"/>
  <c r="K3668" i="5"/>
  <c r="O3669" i="5"/>
  <c r="G3668" i="5" l="1"/>
  <c r="C3667" i="5"/>
  <c r="K3669" i="5"/>
  <c r="O3670" i="5"/>
  <c r="C3668" i="5" l="1"/>
  <c r="G3669" i="5"/>
  <c r="O3671" i="5"/>
  <c r="K3670" i="5"/>
  <c r="C3669" i="5" l="1"/>
  <c r="G3670" i="5"/>
  <c r="K3671" i="5"/>
  <c r="O3672" i="5"/>
  <c r="G3671" i="5" l="1"/>
  <c r="C3670" i="5"/>
  <c r="O3673" i="5"/>
  <c r="K3672" i="5"/>
  <c r="G3672" i="5" l="1"/>
  <c r="C3671" i="5"/>
  <c r="K3673" i="5"/>
  <c r="O3674" i="5"/>
  <c r="C3672" i="5" l="1"/>
  <c r="G3673" i="5"/>
  <c r="O3675" i="5"/>
  <c r="K3674" i="5"/>
  <c r="G3674" i="5" l="1"/>
  <c r="C3673" i="5"/>
  <c r="K3675" i="5"/>
  <c r="O3676" i="5"/>
  <c r="C3674" i="5" l="1"/>
  <c r="G3675" i="5"/>
  <c r="O3677" i="5"/>
  <c r="K3676" i="5"/>
  <c r="G3676" i="5" l="1"/>
  <c r="C3675" i="5"/>
  <c r="K3677" i="5"/>
  <c r="O3678" i="5"/>
  <c r="C3676" i="5" l="1"/>
  <c r="G3677" i="5"/>
  <c r="O3679" i="5"/>
  <c r="K3678" i="5"/>
  <c r="G3678" i="5" l="1"/>
  <c r="C3677" i="5"/>
  <c r="K3679" i="5"/>
  <c r="O3680" i="5"/>
  <c r="C3678" i="5" l="1"/>
  <c r="G3679" i="5"/>
  <c r="K3680" i="5"/>
  <c r="O3681" i="5"/>
  <c r="C3679" i="5" l="1"/>
  <c r="G3680" i="5"/>
  <c r="O3682" i="5"/>
  <c r="K3681" i="5"/>
  <c r="C3680" i="5" l="1"/>
  <c r="G3681" i="5"/>
  <c r="O3683" i="5"/>
  <c r="K3682" i="5"/>
  <c r="G3682" i="5" l="1"/>
  <c r="C3681" i="5"/>
  <c r="K3683" i="5"/>
  <c r="O3684" i="5"/>
  <c r="G3683" i="5" l="1"/>
  <c r="C3682" i="5"/>
  <c r="O3685" i="5"/>
  <c r="K3684" i="5"/>
  <c r="G3684" i="5" l="1"/>
  <c r="C3683" i="5"/>
  <c r="K3685" i="5"/>
  <c r="O3686" i="5"/>
  <c r="C3684" i="5" l="1"/>
  <c r="G3685" i="5"/>
  <c r="O3687" i="5"/>
  <c r="K3686" i="5"/>
  <c r="G3686" i="5" l="1"/>
  <c r="C3685" i="5"/>
  <c r="K3687" i="5"/>
  <c r="O3688" i="5"/>
  <c r="C3686" i="5" l="1"/>
  <c r="G3687" i="5"/>
  <c r="O3689" i="5"/>
  <c r="K3688" i="5"/>
  <c r="G3688" i="5" l="1"/>
  <c r="C3687" i="5"/>
  <c r="O3690" i="5"/>
  <c r="K3689" i="5"/>
  <c r="C3688" i="5" l="1"/>
  <c r="G3689" i="5"/>
  <c r="O3691" i="5"/>
  <c r="K3690" i="5"/>
  <c r="G3690" i="5" l="1"/>
  <c r="C3689" i="5"/>
  <c r="K3691" i="5"/>
  <c r="O3692" i="5"/>
  <c r="C3690" i="5" l="1"/>
  <c r="G3691" i="5"/>
  <c r="O3693" i="5"/>
  <c r="K3692" i="5"/>
  <c r="C3691" i="5" l="1"/>
  <c r="G3692" i="5"/>
  <c r="O3694" i="5"/>
  <c r="K3693" i="5"/>
  <c r="C3692" i="5" l="1"/>
  <c r="G3693" i="5"/>
  <c r="O3695" i="5"/>
  <c r="K3694" i="5"/>
  <c r="C3693" i="5" l="1"/>
  <c r="G3694" i="5"/>
  <c r="K3695" i="5"/>
  <c r="O3696" i="5"/>
  <c r="C3694" i="5" l="1"/>
  <c r="G3695" i="5"/>
  <c r="K3696" i="5"/>
  <c r="O3697" i="5"/>
  <c r="C3695" i="5" l="1"/>
  <c r="G3696" i="5"/>
  <c r="O3698" i="5"/>
  <c r="K3697" i="5"/>
  <c r="C3696" i="5" l="1"/>
  <c r="G3697" i="5"/>
  <c r="O3699" i="5"/>
  <c r="K3698" i="5"/>
  <c r="C3697" i="5" l="1"/>
  <c r="G3698" i="5"/>
  <c r="K3699" i="5"/>
  <c r="O3700" i="5"/>
  <c r="C3698" i="5" l="1"/>
  <c r="G3699" i="5"/>
  <c r="K3700" i="5"/>
  <c r="O3701" i="5"/>
  <c r="G3700" i="5" l="1"/>
  <c r="C3699" i="5"/>
  <c r="K3701" i="5"/>
  <c r="O3702" i="5"/>
  <c r="C3700" i="5" l="1"/>
  <c r="G3701" i="5"/>
  <c r="O3703" i="5"/>
  <c r="K3702" i="5"/>
  <c r="C3701" i="5" l="1"/>
  <c r="G3702" i="5"/>
  <c r="K3703" i="5"/>
  <c r="O3704" i="5"/>
  <c r="G3703" i="5" l="1"/>
  <c r="C3702" i="5"/>
  <c r="O3705" i="5"/>
  <c r="K3704" i="5"/>
  <c r="G3704" i="5" l="1"/>
  <c r="C3703" i="5"/>
  <c r="O3706" i="5"/>
  <c r="K3705" i="5"/>
  <c r="G3705" i="5" l="1"/>
  <c r="C3704" i="5"/>
  <c r="O3707" i="5"/>
  <c r="K3706" i="5"/>
  <c r="G3706" i="5" l="1"/>
  <c r="C3705" i="5"/>
  <c r="K3707" i="5"/>
  <c r="O3708" i="5"/>
  <c r="G3707" i="5" l="1"/>
  <c r="C3706" i="5"/>
  <c r="O3709" i="5"/>
  <c r="K3708" i="5"/>
  <c r="C3707" i="5" l="1"/>
  <c r="G3708" i="5"/>
  <c r="O3710" i="5"/>
  <c r="K3709" i="5"/>
  <c r="G3709" i="5" l="1"/>
  <c r="C3708" i="5"/>
  <c r="O3711" i="5"/>
  <c r="K3710" i="5"/>
  <c r="C3709" i="5" l="1"/>
  <c r="G3710" i="5"/>
  <c r="K3711" i="5"/>
  <c r="O3712" i="5"/>
  <c r="C3710" i="5" l="1"/>
  <c r="G3711" i="5"/>
  <c r="K3712" i="5"/>
  <c r="O3713" i="5"/>
  <c r="C3711" i="5" l="1"/>
  <c r="G3712" i="5"/>
  <c r="O3714" i="5"/>
  <c r="K3713" i="5"/>
  <c r="C3712" i="5" l="1"/>
  <c r="G3713" i="5"/>
  <c r="O3715" i="5"/>
  <c r="K3714" i="5"/>
  <c r="G3714" i="5" l="1"/>
  <c r="C3713" i="5"/>
  <c r="K3715" i="5"/>
  <c r="O3716" i="5"/>
  <c r="C3714" i="5" l="1"/>
  <c r="G3715" i="5"/>
  <c r="K3716" i="5"/>
  <c r="O3717" i="5"/>
  <c r="C3715" i="5" l="1"/>
  <c r="G3716" i="5"/>
  <c r="K3717" i="5"/>
  <c r="O3718" i="5"/>
  <c r="C3716" i="5" l="1"/>
  <c r="G3717" i="5"/>
  <c r="O3719" i="5"/>
  <c r="K3718" i="5"/>
  <c r="C3717" i="5" l="1"/>
  <c r="G3718" i="5"/>
  <c r="K3719" i="5"/>
  <c r="O3720" i="5"/>
  <c r="G3719" i="5" l="1"/>
  <c r="C3718" i="5"/>
  <c r="K3720" i="5"/>
  <c r="O3721" i="5"/>
  <c r="C3719" i="5" l="1"/>
  <c r="G3720" i="5"/>
  <c r="O3722" i="5"/>
  <c r="K3721" i="5"/>
  <c r="C3720" i="5" l="1"/>
  <c r="G3721" i="5"/>
  <c r="O3723" i="5"/>
  <c r="K3722" i="5"/>
  <c r="G3722" i="5" l="1"/>
  <c r="C3721" i="5"/>
  <c r="K3723" i="5"/>
  <c r="O3724" i="5"/>
  <c r="G3723" i="5" l="1"/>
  <c r="C3722" i="5"/>
  <c r="O3725" i="5"/>
  <c r="K3724" i="5"/>
  <c r="C3723" i="5" l="1"/>
  <c r="G3724" i="5"/>
  <c r="K3725" i="5"/>
  <c r="O3726" i="5"/>
  <c r="C3724" i="5" l="1"/>
  <c r="G3725" i="5"/>
  <c r="O3727" i="5"/>
  <c r="K3726" i="5"/>
  <c r="C3725" i="5" l="1"/>
  <c r="G3726" i="5"/>
  <c r="K3727" i="5"/>
  <c r="O3728" i="5"/>
  <c r="C3726" i="5" l="1"/>
  <c r="G3727" i="5"/>
  <c r="K3728" i="5"/>
  <c r="O3729" i="5"/>
  <c r="C3727" i="5" l="1"/>
  <c r="G3728" i="5"/>
  <c r="O3730" i="5"/>
  <c r="K3729" i="5"/>
  <c r="C3728" i="5" l="1"/>
  <c r="G3729" i="5"/>
  <c r="O3731" i="5"/>
  <c r="K3730" i="5"/>
  <c r="G3730" i="5" l="1"/>
  <c r="C3729" i="5"/>
  <c r="K3731" i="5"/>
  <c r="O3732" i="5"/>
  <c r="C3730" i="5" l="1"/>
  <c r="G3731" i="5"/>
  <c r="O3733" i="5"/>
  <c r="K3732" i="5"/>
  <c r="C3731" i="5" l="1"/>
  <c r="G3732" i="5"/>
  <c r="K3733" i="5"/>
  <c r="O3734" i="5"/>
  <c r="C3732" i="5" l="1"/>
  <c r="G3733" i="5"/>
  <c r="O3735" i="5"/>
  <c r="K3734" i="5"/>
  <c r="G3734" i="5" l="1"/>
  <c r="C3733" i="5"/>
  <c r="K3735" i="5"/>
  <c r="O3736" i="5"/>
  <c r="G3735" i="5" l="1"/>
  <c r="C3734" i="5"/>
  <c r="O3737" i="5"/>
  <c r="K3736" i="5"/>
  <c r="C3735" i="5" l="1"/>
  <c r="G3736" i="5"/>
  <c r="O3738" i="5"/>
  <c r="K3737" i="5"/>
  <c r="C3736" i="5" l="1"/>
  <c r="G3737" i="5"/>
  <c r="O3739" i="5"/>
  <c r="K3738" i="5"/>
  <c r="C3737" i="5" l="1"/>
  <c r="G3738" i="5"/>
  <c r="K3739" i="5"/>
  <c r="O3740" i="5"/>
  <c r="C3738" i="5" l="1"/>
  <c r="G3739" i="5"/>
  <c r="O3741" i="5"/>
  <c r="K3740" i="5"/>
  <c r="G3740" i="5" l="1"/>
  <c r="C3739" i="5"/>
  <c r="O3742" i="5"/>
  <c r="K3741" i="5"/>
  <c r="C3740" i="5" l="1"/>
  <c r="G3741" i="5"/>
  <c r="O3743" i="5"/>
  <c r="K3742" i="5"/>
  <c r="C3741" i="5" l="1"/>
  <c r="G3742" i="5"/>
  <c r="K3743" i="5"/>
  <c r="O3744" i="5"/>
  <c r="C3742" i="5" l="1"/>
  <c r="G3743" i="5"/>
  <c r="K3744" i="5"/>
  <c r="O3745" i="5"/>
  <c r="C3743" i="5" l="1"/>
  <c r="G3744" i="5"/>
  <c r="O3746" i="5"/>
  <c r="K3745" i="5"/>
  <c r="G3745" i="5" l="1"/>
  <c r="C3744" i="5"/>
  <c r="O3747" i="5"/>
  <c r="K3746" i="5"/>
  <c r="G3746" i="5" l="1"/>
  <c r="C3745" i="5"/>
  <c r="K3747" i="5"/>
  <c r="O3748" i="5"/>
  <c r="C3746" i="5" l="1"/>
  <c r="G3747" i="5"/>
  <c r="O3749" i="5"/>
  <c r="K3748" i="5"/>
  <c r="C3747" i="5" l="1"/>
  <c r="G3748" i="5"/>
  <c r="K3749" i="5"/>
  <c r="O3750" i="5"/>
  <c r="C3748" i="5" l="1"/>
  <c r="G3749" i="5"/>
  <c r="O3751" i="5"/>
  <c r="K3750" i="5"/>
  <c r="G3750" i="5" l="1"/>
  <c r="C3749" i="5"/>
  <c r="K3751" i="5"/>
  <c r="O3752" i="5"/>
  <c r="G3751" i="5" l="1"/>
  <c r="C3750" i="5"/>
  <c r="K3752" i="5"/>
  <c r="O3753" i="5"/>
  <c r="C3751" i="5" l="1"/>
  <c r="G3752" i="5"/>
  <c r="K3753" i="5"/>
  <c r="O3754" i="5"/>
  <c r="C3752" i="5" l="1"/>
  <c r="G3753" i="5"/>
  <c r="O3755" i="5"/>
  <c r="K3754" i="5"/>
  <c r="G3754" i="5" l="1"/>
  <c r="C3753" i="5"/>
  <c r="K3755" i="5"/>
  <c r="O3756" i="5"/>
  <c r="G3755" i="5" l="1"/>
  <c r="C3754" i="5"/>
  <c r="O3757" i="5"/>
  <c r="K3756" i="5"/>
  <c r="C3755" i="5" l="1"/>
  <c r="G3756" i="5"/>
  <c r="O3758" i="5"/>
  <c r="K3757" i="5"/>
  <c r="C3756" i="5" l="1"/>
  <c r="G3757" i="5"/>
  <c r="O3759" i="5"/>
  <c r="K3758" i="5"/>
  <c r="C3757" i="5" l="1"/>
  <c r="G3758" i="5"/>
  <c r="K3759" i="5"/>
  <c r="O3760" i="5"/>
  <c r="C3758" i="5" l="1"/>
  <c r="G3759" i="5"/>
  <c r="K3760" i="5"/>
  <c r="O3761" i="5"/>
  <c r="G3760" i="5" l="1"/>
  <c r="C3759" i="5"/>
  <c r="O3762" i="5"/>
  <c r="K3761" i="5"/>
  <c r="C3760" i="5" l="1"/>
  <c r="G3761" i="5"/>
  <c r="O3763" i="5"/>
  <c r="K3762" i="5"/>
  <c r="C3761" i="5" l="1"/>
  <c r="G3762" i="5"/>
  <c r="K3763" i="5"/>
  <c r="O3764" i="5"/>
  <c r="C3762" i="5" l="1"/>
  <c r="G3763" i="5"/>
  <c r="O3765" i="5"/>
  <c r="K3764" i="5"/>
  <c r="C3763" i="5" l="1"/>
  <c r="G3764" i="5"/>
  <c r="K3765" i="5"/>
  <c r="O3766" i="5"/>
  <c r="C3764" i="5" l="1"/>
  <c r="G3765" i="5"/>
  <c r="O3767" i="5"/>
  <c r="K3766" i="5"/>
  <c r="C3765" i="5" l="1"/>
  <c r="G3766" i="5"/>
  <c r="K3767" i="5"/>
  <c r="O3768" i="5"/>
  <c r="C3766" i="5" l="1"/>
  <c r="G3767" i="5"/>
  <c r="K3768" i="5"/>
  <c r="O3769" i="5"/>
  <c r="C3767" i="5" l="1"/>
  <c r="G3768" i="5"/>
  <c r="O3770" i="5"/>
  <c r="K3769" i="5"/>
  <c r="C3768" i="5" l="1"/>
  <c r="G3769" i="5"/>
  <c r="O3771" i="5"/>
  <c r="K3770" i="5"/>
  <c r="G3770" i="5" l="1"/>
  <c r="C3769" i="5"/>
  <c r="K3771" i="5"/>
  <c r="O3772" i="5"/>
  <c r="G3771" i="5" l="1"/>
  <c r="C3770" i="5"/>
  <c r="O3773" i="5"/>
  <c r="K3772" i="5"/>
  <c r="C3771" i="5" l="1"/>
  <c r="G3772" i="5"/>
  <c r="O3774" i="5"/>
  <c r="K3773" i="5"/>
  <c r="C3772" i="5" l="1"/>
  <c r="G3773" i="5"/>
  <c r="O3775" i="5"/>
  <c r="K3774" i="5"/>
  <c r="C3773" i="5" l="1"/>
  <c r="G3774" i="5"/>
  <c r="K3775" i="5"/>
  <c r="O3776" i="5"/>
  <c r="G3775" i="5" l="1"/>
  <c r="C3774" i="5"/>
  <c r="K3776" i="5"/>
  <c r="O3777" i="5"/>
  <c r="C3775" i="5" l="1"/>
  <c r="G3776" i="5"/>
  <c r="O3778" i="5"/>
  <c r="K3777" i="5"/>
  <c r="C3776" i="5" l="1"/>
  <c r="G3777" i="5"/>
  <c r="O3779" i="5"/>
  <c r="K3778" i="5"/>
  <c r="G3778" i="5" l="1"/>
  <c r="C3777" i="5"/>
  <c r="K3779" i="5"/>
  <c r="O3780" i="5"/>
  <c r="C3778" i="5" l="1"/>
  <c r="G3779" i="5"/>
  <c r="O3781" i="5"/>
  <c r="K3780" i="5"/>
  <c r="C3779" i="5" l="1"/>
  <c r="G3780" i="5"/>
  <c r="K3781" i="5"/>
  <c r="O3782" i="5"/>
  <c r="C3780" i="5" l="1"/>
  <c r="G3781" i="5"/>
  <c r="O3783" i="5"/>
  <c r="K3782" i="5"/>
  <c r="G3782" i="5" l="1"/>
  <c r="C3781" i="5"/>
  <c r="K3783" i="5"/>
  <c r="O3784" i="5"/>
  <c r="G3783" i="5" l="1"/>
  <c r="C3782" i="5"/>
  <c r="O3785" i="5"/>
  <c r="K3784" i="5"/>
  <c r="C3783" i="5" l="1"/>
  <c r="G3784" i="5"/>
  <c r="K3785" i="5"/>
  <c r="O3786" i="5"/>
  <c r="C3784" i="5" l="1"/>
  <c r="G3785" i="5"/>
  <c r="O3787" i="5"/>
  <c r="K3786" i="5"/>
  <c r="C3785" i="5" l="1"/>
  <c r="G3786" i="5"/>
  <c r="K3787" i="5"/>
  <c r="O3788" i="5"/>
  <c r="G3787" i="5" l="1"/>
  <c r="C3786" i="5"/>
  <c r="O3789" i="5"/>
  <c r="K3788" i="5"/>
  <c r="C3787" i="5" l="1"/>
  <c r="G3788" i="5"/>
  <c r="O3790" i="5"/>
  <c r="K3789" i="5"/>
  <c r="C3788" i="5" l="1"/>
  <c r="G3789" i="5"/>
  <c r="O3791" i="5"/>
  <c r="K3790" i="5"/>
  <c r="C3789" i="5" l="1"/>
  <c r="G3790" i="5"/>
  <c r="K3791" i="5"/>
  <c r="O3792" i="5"/>
  <c r="G3791" i="5" l="1"/>
  <c r="C3790" i="5"/>
  <c r="K3792" i="5"/>
  <c r="O3793" i="5"/>
  <c r="C3791" i="5" l="1"/>
  <c r="G3792" i="5"/>
  <c r="O3794" i="5"/>
  <c r="K3793" i="5"/>
  <c r="C3792" i="5" l="1"/>
  <c r="G3793" i="5"/>
  <c r="O3795" i="5"/>
  <c r="K3794" i="5"/>
  <c r="G3794" i="5" l="1"/>
  <c r="C3793" i="5"/>
  <c r="K3795" i="5"/>
  <c r="O3796" i="5"/>
  <c r="C3794" i="5" l="1"/>
  <c r="G3795" i="5"/>
  <c r="K3796" i="5"/>
  <c r="O3797" i="5"/>
  <c r="C3795" i="5" l="1"/>
  <c r="G3796" i="5"/>
  <c r="K3797" i="5"/>
  <c r="O3798" i="5"/>
  <c r="C3796" i="5" l="1"/>
  <c r="G3797" i="5"/>
  <c r="O3799" i="5"/>
  <c r="K3798" i="5"/>
  <c r="G3798" i="5" l="1"/>
  <c r="C3797" i="5"/>
  <c r="K3799" i="5"/>
  <c r="O3800" i="5"/>
  <c r="G3799" i="5" l="1"/>
  <c r="C3798" i="5"/>
  <c r="O3801" i="5"/>
  <c r="K3800" i="5"/>
  <c r="C3799" i="5" l="1"/>
  <c r="G3800" i="5"/>
  <c r="K3801" i="5"/>
  <c r="O3802" i="5"/>
  <c r="C3800" i="5" l="1"/>
  <c r="G3801" i="5"/>
  <c r="O3803" i="5"/>
  <c r="K3802" i="5"/>
  <c r="C3801" i="5" l="1"/>
  <c r="G3802" i="5"/>
  <c r="K3803" i="5"/>
  <c r="O3804" i="5"/>
  <c r="G3803" i="5" l="1"/>
  <c r="C3802" i="5"/>
  <c r="O3805" i="5"/>
  <c r="K3804" i="5"/>
  <c r="C3803" i="5" l="1"/>
  <c r="G3804" i="5"/>
  <c r="K3805" i="5"/>
  <c r="O3806" i="5"/>
  <c r="C3804" i="5" l="1"/>
  <c r="G3805" i="5"/>
  <c r="O3807" i="5"/>
  <c r="K3806" i="5"/>
  <c r="C3805" i="5" l="1"/>
  <c r="G3806" i="5"/>
  <c r="K3807" i="5"/>
  <c r="O3808" i="5"/>
  <c r="G3807" i="5" l="1"/>
  <c r="C3806" i="5"/>
  <c r="K3808" i="5"/>
  <c r="O3809" i="5"/>
  <c r="C3807" i="5" l="1"/>
  <c r="G3808" i="5"/>
  <c r="O3810" i="5"/>
  <c r="K3809" i="5"/>
  <c r="C3808" i="5" l="1"/>
  <c r="G3809" i="5"/>
  <c r="O3811" i="5"/>
  <c r="K3810" i="5"/>
  <c r="G3810" i="5" l="1"/>
  <c r="C3809" i="5"/>
  <c r="K3811" i="5"/>
  <c r="O3812" i="5"/>
  <c r="C3810" i="5" l="1"/>
  <c r="G3811" i="5"/>
  <c r="O3813" i="5"/>
  <c r="K3812" i="5"/>
  <c r="C3811" i="5" l="1"/>
  <c r="G3812" i="5"/>
  <c r="K3813" i="5"/>
  <c r="O3814" i="5"/>
  <c r="C3812" i="5" l="1"/>
  <c r="G3813" i="5"/>
  <c r="O3815" i="5"/>
  <c r="K3814" i="5"/>
  <c r="G3814" i="5" l="1"/>
  <c r="C3813" i="5"/>
  <c r="K3815" i="5"/>
  <c r="O3816" i="5"/>
  <c r="G3815" i="5" l="1"/>
  <c r="C3814" i="5"/>
  <c r="O3817" i="5"/>
  <c r="K3816" i="5"/>
  <c r="C3815" i="5" l="1"/>
  <c r="G3816" i="5"/>
  <c r="O3818" i="5"/>
  <c r="K3817" i="5"/>
  <c r="C3816" i="5" l="1"/>
  <c r="G3817" i="5"/>
  <c r="O3819" i="5"/>
  <c r="K3818" i="5"/>
  <c r="G3818" i="5" l="1"/>
  <c r="C3817" i="5"/>
  <c r="K3819" i="5"/>
  <c r="O3820" i="5"/>
  <c r="G3819" i="5" l="1"/>
  <c r="C3818" i="5"/>
  <c r="O3821" i="5"/>
  <c r="K3820" i="5"/>
  <c r="C3819" i="5" l="1"/>
  <c r="G3820" i="5"/>
  <c r="O3822" i="5"/>
  <c r="K3821" i="5"/>
  <c r="C3820" i="5" l="1"/>
  <c r="G3821" i="5"/>
  <c r="O3823" i="5"/>
  <c r="K3822" i="5"/>
  <c r="C3821" i="5" l="1"/>
  <c r="G3822" i="5"/>
  <c r="K3823" i="5"/>
  <c r="O3824" i="5"/>
  <c r="G3823" i="5" l="1"/>
  <c r="C3822" i="5"/>
  <c r="K3824" i="5"/>
  <c r="O3825" i="5"/>
  <c r="C3823" i="5" l="1"/>
  <c r="G3824" i="5"/>
  <c r="O3826" i="5"/>
  <c r="K3825" i="5"/>
  <c r="C3824" i="5" l="1"/>
  <c r="G3825" i="5"/>
  <c r="O3827" i="5"/>
  <c r="K3826" i="5"/>
  <c r="G3826" i="5" l="1"/>
  <c r="C3825" i="5"/>
  <c r="K3827" i="5"/>
  <c r="O3828" i="5"/>
  <c r="C3826" i="5" l="1"/>
  <c r="G3827" i="5"/>
  <c r="K3828" i="5"/>
  <c r="O3829" i="5"/>
  <c r="C3827" i="5" l="1"/>
  <c r="G3828" i="5"/>
  <c r="K3829" i="5"/>
  <c r="O3830" i="5"/>
  <c r="C3828" i="5" l="1"/>
  <c r="G3829" i="5"/>
  <c r="O3831" i="5"/>
  <c r="K3830" i="5"/>
  <c r="G3830" i="5" l="1"/>
  <c r="C3829" i="5"/>
  <c r="K3831" i="5"/>
  <c r="O3832" i="5"/>
  <c r="G3831" i="5" l="1"/>
  <c r="C3830" i="5"/>
  <c r="O3833" i="5"/>
  <c r="K3832" i="5"/>
  <c r="C3831" i="5" l="1"/>
  <c r="G3832" i="5"/>
  <c r="O3834" i="5"/>
  <c r="K3833" i="5"/>
  <c r="C3832" i="5" l="1"/>
  <c r="G3833" i="5"/>
  <c r="O3835" i="5"/>
  <c r="K3834" i="5"/>
  <c r="G3834" i="5" l="1"/>
  <c r="C3833" i="5"/>
  <c r="K3835" i="5"/>
  <c r="O3836" i="5"/>
  <c r="G3835" i="5" l="1"/>
  <c r="C3834" i="5"/>
  <c r="O3837" i="5"/>
  <c r="K3836" i="5"/>
  <c r="C3835" i="5" l="1"/>
  <c r="G3836" i="5"/>
  <c r="K3837" i="5"/>
  <c r="O3838" i="5"/>
  <c r="C3836" i="5" l="1"/>
  <c r="G3837" i="5"/>
  <c r="O3839" i="5"/>
  <c r="K3838" i="5"/>
  <c r="C3837" i="5" l="1"/>
  <c r="G3838" i="5"/>
  <c r="K3839" i="5"/>
  <c r="O3840" i="5"/>
  <c r="C3838" i="5" l="1"/>
  <c r="G3839" i="5"/>
  <c r="K3840" i="5"/>
  <c r="O3841" i="5"/>
  <c r="G3840" i="5" l="1"/>
  <c r="C3839" i="5"/>
  <c r="O3842" i="5"/>
  <c r="K3841" i="5"/>
  <c r="C3840" i="5" l="1"/>
  <c r="G3841" i="5"/>
  <c r="O3843" i="5"/>
  <c r="K3842" i="5"/>
  <c r="G3842" i="5" l="1"/>
  <c r="C3841" i="5"/>
  <c r="K3843" i="5"/>
  <c r="O3844" i="5"/>
  <c r="C3842" i="5" l="1"/>
  <c r="G3843" i="5"/>
  <c r="K3844" i="5"/>
  <c r="O3845" i="5"/>
  <c r="C3843" i="5" l="1"/>
  <c r="G3844" i="5"/>
  <c r="K3845" i="5"/>
  <c r="O3846" i="5"/>
  <c r="C3844" i="5" l="1"/>
  <c r="G3845" i="5"/>
  <c r="O3847" i="5"/>
  <c r="K3846" i="5"/>
  <c r="G3846" i="5" l="1"/>
  <c r="C3845" i="5"/>
  <c r="K3847" i="5"/>
  <c r="O3848" i="5"/>
  <c r="G3847" i="5" l="1"/>
  <c r="C3846" i="5"/>
  <c r="K3848" i="5"/>
  <c r="O3849" i="5"/>
  <c r="C3847" i="5" l="1"/>
  <c r="G3848" i="5"/>
  <c r="O3850" i="5"/>
  <c r="K3849" i="5"/>
  <c r="C3848" i="5" l="1"/>
  <c r="G3849" i="5"/>
  <c r="O3851" i="5"/>
  <c r="K3850" i="5"/>
  <c r="G3850" i="5" l="1"/>
  <c r="C3849" i="5"/>
  <c r="K3851" i="5"/>
  <c r="O3852" i="5"/>
  <c r="G3851" i="5" l="1"/>
  <c r="C3850" i="5"/>
  <c r="O3853" i="5"/>
  <c r="K3852" i="5"/>
  <c r="C3851" i="5" l="1"/>
  <c r="G3852" i="5"/>
  <c r="K3853" i="5"/>
  <c r="O3854" i="5"/>
  <c r="C3852" i="5" l="1"/>
  <c r="G3853" i="5"/>
  <c r="O3855" i="5"/>
  <c r="K3854" i="5"/>
  <c r="C3853" i="5" l="1"/>
  <c r="G3854" i="5"/>
  <c r="K3855" i="5"/>
  <c r="O3856" i="5"/>
  <c r="C3854" i="5" l="1"/>
  <c r="G3855" i="5"/>
  <c r="K3856" i="5"/>
  <c r="O3857" i="5"/>
  <c r="C3855" i="5" l="1"/>
  <c r="G3856" i="5"/>
  <c r="O3858" i="5"/>
  <c r="K3857" i="5"/>
  <c r="C3856" i="5" l="1"/>
  <c r="G3857" i="5"/>
  <c r="O3859" i="5"/>
  <c r="K3858" i="5"/>
  <c r="G3858" i="5" l="1"/>
  <c r="C3857" i="5"/>
  <c r="K3859" i="5"/>
  <c r="O3860" i="5"/>
  <c r="C3858" i="5" l="1"/>
  <c r="G3859" i="5"/>
  <c r="O3861" i="5"/>
  <c r="K3860" i="5"/>
  <c r="C3859" i="5" l="1"/>
  <c r="G3860" i="5"/>
  <c r="K3861" i="5"/>
  <c r="O3862" i="5"/>
  <c r="C3860" i="5" l="1"/>
  <c r="G3861" i="5"/>
  <c r="O3863" i="5"/>
  <c r="K3862" i="5"/>
  <c r="G3862" i="5" l="1"/>
  <c r="C3861" i="5"/>
  <c r="K3863" i="5"/>
  <c r="O3864" i="5"/>
  <c r="G3863" i="5" l="1"/>
  <c r="C3862" i="5"/>
  <c r="O3865" i="5"/>
  <c r="K3864" i="5"/>
  <c r="C3863" i="5" l="1"/>
  <c r="G3864" i="5"/>
  <c r="O3866" i="5"/>
  <c r="K3865" i="5"/>
  <c r="C3864" i="5" l="1"/>
  <c r="G3865" i="5"/>
  <c r="O3867" i="5"/>
  <c r="K3866" i="5"/>
  <c r="C3865" i="5" l="1"/>
  <c r="G3866" i="5"/>
  <c r="K3867" i="5"/>
  <c r="O3868" i="5"/>
  <c r="G3867" i="5" l="1"/>
  <c r="C3866" i="5"/>
  <c r="O3869" i="5"/>
  <c r="K3868" i="5"/>
  <c r="C3867" i="5" l="1"/>
  <c r="G3868" i="5"/>
  <c r="O3870" i="5"/>
  <c r="K3869" i="5"/>
  <c r="C3868" i="5" l="1"/>
  <c r="G3869" i="5"/>
  <c r="O3871" i="5"/>
  <c r="K3870" i="5"/>
  <c r="C3869" i="5" l="1"/>
  <c r="G3870" i="5"/>
  <c r="K3871" i="5"/>
  <c r="O3872" i="5"/>
  <c r="C3870" i="5" l="1"/>
  <c r="G3871" i="5"/>
  <c r="K3872" i="5"/>
  <c r="O3873" i="5"/>
  <c r="C3871" i="5" l="1"/>
  <c r="G3872" i="5"/>
  <c r="O3874" i="5"/>
  <c r="K3873" i="5"/>
  <c r="C3872" i="5" l="1"/>
  <c r="G3873" i="5"/>
  <c r="O3875" i="5"/>
  <c r="K3874" i="5"/>
  <c r="G3874" i="5" l="1"/>
  <c r="C3873" i="5"/>
  <c r="K3875" i="5"/>
  <c r="O3876" i="5"/>
  <c r="C3874" i="5" l="1"/>
  <c r="G3875" i="5"/>
  <c r="O3877" i="5"/>
  <c r="K3876" i="5"/>
  <c r="C3875" i="5" l="1"/>
  <c r="G3876" i="5"/>
  <c r="K3877" i="5"/>
  <c r="O3878" i="5"/>
  <c r="C3876" i="5" l="1"/>
  <c r="G3877" i="5"/>
  <c r="O3879" i="5"/>
  <c r="K3878" i="5"/>
  <c r="G3878" i="5" l="1"/>
  <c r="C3877" i="5"/>
  <c r="K3879" i="5"/>
  <c r="O3880" i="5"/>
  <c r="G3879" i="5" l="1"/>
  <c r="C3878" i="5"/>
  <c r="O3881" i="5"/>
  <c r="K3880" i="5"/>
  <c r="C3879" i="5" l="1"/>
  <c r="G3880" i="5"/>
  <c r="K3881" i="5"/>
  <c r="O3882" i="5"/>
  <c r="C3880" i="5" l="1"/>
  <c r="G3881" i="5"/>
  <c r="O3883" i="5"/>
  <c r="K3882" i="5"/>
  <c r="G3882" i="5" l="1"/>
  <c r="C3881" i="5"/>
  <c r="K3883" i="5"/>
  <c r="O3884" i="5"/>
  <c r="G3883" i="5" l="1"/>
  <c r="C3882" i="5"/>
  <c r="O3885" i="5"/>
  <c r="K3884" i="5"/>
  <c r="C3883" i="5" l="1"/>
  <c r="G3884" i="5"/>
  <c r="O3886" i="5"/>
  <c r="K3885" i="5"/>
  <c r="C3884" i="5" l="1"/>
  <c r="G3885" i="5"/>
  <c r="O3887" i="5"/>
  <c r="K3886" i="5"/>
  <c r="C3885" i="5" l="1"/>
  <c r="G3886" i="5"/>
  <c r="K3887" i="5"/>
  <c r="O3888" i="5"/>
  <c r="C3886" i="5" l="1"/>
  <c r="G3887" i="5"/>
  <c r="K3888" i="5"/>
  <c r="O3889" i="5"/>
  <c r="C3887" i="5" l="1"/>
  <c r="G3888" i="5"/>
  <c r="O3890" i="5"/>
  <c r="K3889" i="5"/>
  <c r="C3888" i="5" l="1"/>
  <c r="G3889" i="5"/>
  <c r="O3891" i="5"/>
  <c r="K3890" i="5"/>
  <c r="G3890" i="5" l="1"/>
  <c r="C3889" i="5"/>
  <c r="K3891" i="5"/>
  <c r="O3892" i="5"/>
  <c r="C3890" i="5" l="1"/>
  <c r="G3891" i="5"/>
  <c r="O3893" i="5"/>
  <c r="K3892" i="5"/>
  <c r="C3891" i="5" l="1"/>
  <c r="G3892" i="5"/>
  <c r="K3893" i="5"/>
  <c r="O3894" i="5"/>
  <c r="C3892" i="5" l="1"/>
  <c r="G3893" i="5"/>
  <c r="O3895" i="5"/>
  <c r="K3894" i="5"/>
  <c r="C3893" i="5" l="1"/>
  <c r="G3894" i="5"/>
  <c r="K3895" i="5"/>
  <c r="O3896" i="5"/>
  <c r="G3895" i="5" l="1"/>
  <c r="C3894" i="5"/>
  <c r="K3896" i="5"/>
  <c r="O3897" i="5"/>
  <c r="C3895" i="5" l="1"/>
  <c r="G3896" i="5"/>
  <c r="O3898" i="5"/>
  <c r="K3897" i="5"/>
  <c r="C3896" i="5" l="1"/>
  <c r="G3897" i="5"/>
  <c r="O3899" i="5"/>
  <c r="K3898" i="5"/>
  <c r="G3898" i="5" l="1"/>
  <c r="C3897" i="5"/>
  <c r="K3899" i="5"/>
  <c r="O3900" i="5"/>
  <c r="C3898" i="5" l="1"/>
  <c r="G3899" i="5"/>
  <c r="O3901" i="5"/>
  <c r="K3900" i="5"/>
  <c r="C3899" i="5" l="1"/>
  <c r="G3900" i="5"/>
  <c r="O3902" i="5"/>
  <c r="K3901" i="5"/>
  <c r="C3900" i="5" l="1"/>
  <c r="G3901" i="5"/>
  <c r="O3903" i="5"/>
  <c r="K3902" i="5"/>
  <c r="C3901" i="5" l="1"/>
  <c r="G3902" i="5"/>
  <c r="K3903" i="5"/>
  <c r="O3904" i="5"/>
  <c r="G3903" i="5" l="1"/>
  <c r="C3902" i="5"/>
  <c r="K3904" i="5"/>
  <c r="O3905" i="5"/>
  <c r="C3903" i="5" l="1"/>
  <c r="G3904" i="5"/>
  <c r="O3906" i="5"/>
  <c r="K3905" i="5"/>
  <c r="C3904" i="5" l="1"/>
  <c r="G3905" i="5"/>
  <c r="O3907" i="5"/>
  <c r="K3906" i="5"/>
  <c r="C3905" i="5" l="1"/>
  <c r="G3906" i="5"/>
  <c r="K3907" i="5"/>
  <c r="O3908" i="5"/>
  <c r="C3906" i="5" l="1"/>
  <c r="G3907" i="5"/>
  <c r="O3909" i="5"/>
  <c r="K3908" i="5"/>
  <c r="C3907" i="5" l="1"/>
  <c r="G3908" i="5"/>
  <c r="K3909" i="5"/>
  <c r="O3910" i="5"/>
  <c r="C3908" i="5" l="1"/>
  <c r="G3909" i="5"/>
  <c r="O3911" i="5"/>
  <c r="K3910" i="5"/>
  <c r="G3910" i="5" l="1"/>
  <c r="C3909" i="5"/>
  <c r="K3911" i="5"/>
  <c r="O3912" i="5"/>
  <c r="C3910" i="5" l="1"/>
  <c r="G3911" i="5"/>
  <c r="O3913" i="5"/>
  <c r="K3912" i="5"/>
  <c r="C3911" i="5" l="1"/>
  <c r="G3912" i="5"/>
  <c r="O3914" i="5"/>
  <c r="K3913" i="5"/>
  <c r="C3912" i="5" l="1"/>
  <c r="G3913" i="5"/>
  <c r="O3915" i="5"/>
  <c r="K3914" i="5"/>
  <c r="G3914" i="5" l="1"/>
  <c r="C3913" i="5"/>
  <c r="K3915" i="5"/>
  <c r="O3916" i="5"/>
  <c r="G3915" i="5" l="1"/>
  <c r="C3914" i="5"/>
  <c r="O3917" i="5"/>
  <c r="K3916" i="5"/>
  <c r="C3915" i="5" l="1"/>
  <c r="G3916" i="5"/>
  <c r="O3918" i="5"/>
  <c r="K3917" i="5"/>
  <c r="C3916" i="5" l="1"/>
  <c r="G3917" i="5"/>
  <c r="O3919" i="5"/>
  <c r="K3918" i="5"/>
  <c r="C3917" i="5" l="1"/>
  <c r="G3918" i="5"/>
  <c r="K3919" i="5"/>
  <c r="O3920" i="5"/>
  <c r="G3919" i="5" l="1"/>
  <c r="C3918" i="5"/>
  <c r="K3920" i="5"/>
  <c r="O3921" i="5"/>
  <c r="C3919" i="5" l="1"/>
  <c r="G3920" i="5"/>
  <c r="O3922" i="5"/>
  <c r="K3921" i="5"/>
  <c r="C3920" i="5" l="1"/>
  <c r="G3921" i="5"/>
  <c r="O3923" i="5"/>
  <c r="K3922" i="5"/>
  <c r="G3922" i="5" l="1"/>
  <c r="C3921" i="5"/>
  <c r="K3923" i="5"/>
  <c r="O3924" i="5"/>
  <c r="C3922" i="5" l="1"/>
  <c r="G3923" i="5"/>
  <c r="K3924" i="5"/>
  <c r="O3925" i="5"/>
  <c r="C3923" i="5" l="1"/>
  <c r="G3924" i="5"/>
  <c r="K3925" i="5"/>
  <c r="O3926" i="5"/>
  <c r="C3924" i="5" l="1"/>
  <c r="G3925" i="5"/>
  <c r="O3927" i="5"/>
  <c r="K3926" i="5"/>
  <c r="C3925" i="5" l="1"/>
  <c r="G3926" i="5"/>
  <c r="K3927" i="5"/>
  <c r="O3928" i="5"/>
  <c r="G3927" i="5" l="1"/>
  <c r="C3926" i="5"/>
  <c r="O3929" i="5"/>
  <c r="K3928" i="5"/>
  <c r="C3927" i="5" l="1"/>
  <c r="G3928" i="5"/>
  <c r="K3929" i="5"/>
  <c r="O3930" i="5"/>
  <c r="C3928" i="5" l="1"/>
  <c r="G3929" i="5"/>
  <c r="O3931" i="5"/>
  <c r="K3930" i="5"/>
  <c r="C3929" i="5" l="1"/>
  <c r="G3930" i="5"/>
  <c r="K3931" i="5"/>
  <c r="O3932" i="5"/>
  <c r="C3930" i="5" l="1"/>
  <c r="G3931" i="5"/>
  <c r="O3933" i="5"/>
  <c r="K3932" i="5"/>
  <c r="C3931" i="5" l="1"/>
  <c r="G3932" i="5"/>
  <c r="K3933" i="5"/>
  <c r="O3934" i="5"/>
  <c r="C3932" i="5" l="1"/>
  <c r="G3933" i="5"/>
  <c r="O3935" i="5"/>
  <c r="K3934" i="5"/>
  <c r="C3933" i="5" l="1"/>
  <c r="G3934" i="5"/>
  <c r="K3935" i="5"/>
  <c r="O3936" i="5"/>
  <c r="G3935" i="5" l="1"/>
  <c r="C3934" i="5"/>
  <c r="K3936" i="5"/>
  <c r="O3937" i="5"/>
  <c r="C3935" i="5" l="1"/>
  <c r="G3936" i="5"/>
  <c r="O3938" i="5"/>
  <c r="K3937" i="5"/>
  <c r="C3936" i="5" l="1"/>
  <c r="G3937" i="5"/>
  <c r="O3939" i="5"/>
  <c r="K3938" i="5"/>
  <c r="G3938" i="5" l="1"/>
  <c r="C3937" i="5"/>
  <c r="K3939" i="5"/>
  <c r="O3940" i="5"/>
  <c r="C3938" i="5" l="1"/>
  <c r="G3939" i="5"/>
  <c r="O3941" i="5"/>
  <c r="K3940" i="5"/>
  <c r="C3939" i="5" l="1"/>
  <c r="G3940" i="5"/>
  <c r="K3941" i="5"/>
  <c r="O3942" i="5"/>
  <c r="C3940" i="5" l="1"/>
  <c r="G3941" i="5"/>
  <c r="O3943" i="5"/>
  <c r="K3942" i="5"/>
  <c r="C3941" i="5" l="1"/>
  <c r="G3942" i="5"/>
  <c r="K3943" i="5"/>
  <c r="O3944" i="5"/>
  <c r="G3943" i="5" l="1"/>
  <c r="C3942" i="5"/>
  <c r="O3945" i="5"/>
  <c r="K3944" i="5"/>
  <c r="C3943" i="5" l="1"/>
  <c r="G3944" i="5"/>
  <c r="O3946" i="5"/>
  <c r="K3945" i="5"/>
  <c r="C3944" i="5" l="1"/>
  <c r="G3945" i="5"/>
  <c r="O3947" i="5"/>
  <c r="K3946" i="5"/>
  <c r="C3945" i="5" l="1"/>
  <c r="G3946" i="5"/>
  <c r="K3947" i="5"/>
  <c r="O3948" i="5"/>
  <c r="G3947" i="5" l="1"/>
  <c r="C3946" i="5"/>
  <c r="O3949" i="5"/>
  <c r="K3948" i="5"/>
  <c r="C3947" i="5" l="1"/>
  <c r="G3948" i="5"/>
  <c r="O3950" i="5"/>
  <c r="K3949" i="5"/>
  <c r="C3948" i="5" l="1"/>
  <c r="G3949" i="5"/>
  <c r="O3951" i="5"/>
  <c r="K3950" i="5"/>
  <c r="G3950" i="5" l="1"/>
  <c r="C3949" i="5"/>
  <c r="K3951" i="5"/>
  <c r="O3952" i="5"/>
  <c r="G3951" i="5" l="1"/>
  <c r="C3950" i="5"/>
  <c r="K3952" i="5"/>
  <c r="O3953" i="5"/>
  <c r="C3951" i="5" l="1"/>
  <c r="G3952" i="5"/>
  <c r="O3954" i="5"/>
  <c r="K3953" i="5"/>
  <c r="C3952" i="5" l="1"/>
  <c r="G3953" i="5"/>
  <c r="O3955" i="5"/>
  <c r="K3954" i="5"/>
  <c r="C3953" i="5" l="1"/>
  <c r="G3954" i="5"/>
  <c r="K3955" i="5"/>
  <c r="O3956" i="5"/>
  <c r="C3954" i="5" l="1"/>
  <c r="G3955" i="5"/>
  <c r="K3956" i="5"/>
  <c r="O3957" i="5"/>
  <c r="C3955" i="5" l="1"/>
  <c r="G3956" i="5"/>
  <c r="K3957" i="5"/>
  <c r="O3958" i="5"/>
  <c r="C3956" i="5" l="1"/>
  <c r="G3957" i="5"/>
  <c r="O3959" i="5"/>
  <c r="K3958" i="5"/>
  <c r="G3958" i="5" l="1"/>
  <c r="C3957" i="5"/>
  <c r="K3959" i="5"/>
  <c r="O3960" i="5"/>
  <c r="G3959" i="5" l="1"/>
  <c r="C3958" i="5"/>
  <c r="O3961" i="5"/>
  <c r="K3960" i="5"/>
  <c r="C3959" i="5" l="1"/>
  <c r="G3960" i="5"/>
  <c r="O3962" i="5"/>
  <c r="K3961" i="5"/>
  <c r="C3960" i="5" l="1"/>
  <c r="G3961" i="5"/>
  <c r="O3963" i="5"/>
  <c r="K3962" i="5"/>
  <c r="G3962" i="5" l="1"/>
  <c r="C3961" i="5"/>
  <c r="K3963" i="5"/>
  <c r="O3964" i="5"/>
  <c r="G3963" i="5" l="1"/>
  <c r="C3962" i="5"/>
  <c r="O3965" i="5"/>
  <c r="K3964" i="5"/>
  <c r="C3963" i="5" l="1"/>
  <c r="G3964" i="5"/>
  <c r="K3965" i="5"/>
  <c r="O3966" i="5"/>
  <c r="C3964" i="5" l="1"/>
  <c r="G3965" i="5"/>
  <c r="O3967" i="5"/>
  <c r="K3966" i="5"/>
  <c r="C3965" i="5" l="1"/>
  <c r="G3966" i="5"/>
  <c r="K3967" i="5"/>
  <c r="O3968" i="5"/>
  <c r="C3966" i="5" l="1"/>
  <c r="G3967" i="5"/>
  <c r="K3968" i="5"/>
  <c r="O3969" i="5"/>
  <c r="C3967" i="5" l="1"/>
  <c r="G3968" i="5"/>
  <c r="O3970" i="5"/>
  <c r="K3969" i="5"/>
  <c r="C3968" i="5" l="1"/>
  <c r="G3969" i="5"/>
  <c r="O3971" i="5"/>
  <c r="K3970" i="5"/>
  <c r="G3970" i="5" l="1"/>
  <c r="C3969" i="5"/>
  <c r="K3971" i="5"/>
  <c r="O3972" i="5"/>
  <c r="C3970" i="5" l="1"/>
  <c r="G3971" i="5"/>
  <c r="K3972" i="5"/>
  <c r="O3973" i="5"/>
  <c r="C3971" i="5" l="1"/>
  <c r="G3972" i="5"/>
  <c r="K3973" i="5"/>
  <c r="O3974" i="5"/>
  <c r="C3972" i="5" l="1"/>
  <c r="G3973" i="5"/>
  <c r="O3975" i="5"/>
  <c r="K3974" i="5"/>
  <c r="G3974" i="5" l="1"/>
  <c r="C3973" i="5"/>
  <c r="K3975" i="5"/>
  <c r="O3976" i="5"/>
  <c r="C3974" i="5" l="1"/>
  <c r="G3975" i="5"/>
  <c r="K3976" i="5"/>
  <c r="O3977" i="5"/>
  <c r="C3975" i="5" l="1"/>
  <c r="G3976" i="5"/>
  <c r="O3978" i="5"/>
  <c r="K3977" i="5"/>
  <c r="C3976" i="5" l="1"/>
  <c r="G3977" i="5"/>
  <c r="O3979" i="5"/>
  <c r="K3978" i="5"/>
  <c r="G3978" i="5" l="1"/>
  <c r="C3977" i="5"/>
  <c r="K3979" i="5"/>
  <c r="O3980" i="5"/>
  <c r="C3978" i="5" l="1"/>
  <c r="G3979" i="5"/>
  <c r="O3981" i="5"/>
  <c r="K3980" i="5"/>
  <c r="C3979" i="5" l="1"/>
  <c r="G3980" i="5"/>
  <c r="K3981" i="5"/>
  <c r="O3982" i="5"/>
  <c r="C3980" i="5" l="1"/>
  <c r="G3981" i="5"/>
  <c r="O3983" i="5"/>
  <c r="K3982" i="5"/>
  <c r="C3981" i="5" l="1"/>
  <c r="G3982" i="5"/>
  <c r="K3983" i="5"/>
  <c r="O3984" i="5"/>
  <c r="G3983" i="5" l="1"/>
  <c r="C3982" i="5"/>
  <c r="K3984" i="5"/>
  <c r="O3985" i="5"/>
  <c r="C3983" i="5" l="1"/>
  <c r="G3984" i="5"/>
  <c r="O3986" i="5"/>
  <c r="K3985" i="5"/>
  <c r="C3984" i="5" l="1"/>
  <c r="G3985" i="5"/>
  <c r="O3987" i="5"/>
  <c r="K3986" i="5"/>
  <c r="C3985" i="5" l="1"/>
  <c r="G3986" i="5"/>
  <c r="K3987" i="5"/>
  <c r="O3988" i="5"/>
  <c r="C3986" i="5" l="1"/>
  <c r="G3987" i="5"/>
  <c r="O3989" i="5"/>
  <c r="K3988" i="5"/>
  <c r="C3987" i="5" l="1"/>
  <c r="G3988" i="5"/>
  <c r="K3989" i="5"/>
  <c r="O3990" i="5"/>
  <c r="C3988" i="5" l="1"/>
  <c r="G3989" i="5"/>
  <c r="O3991" i="5"/>
  <c r="K3990" i="5"/>
  <c r="G3990" i="5" l="1"/>
  <c r="C3989" i="5"/>
  <c r="K3991" i="5"/>
  <c r="O3992" i="5"/>
  <c r="C3990" i="5" l="1"/>
  <c r="G3991" i="5"/>
  <c r="O3993" i="5"/>
  <c r="K3992" i="5"/>
  <c r="C3991" i="5" l="1"/>
  <c r="G3992" i="5"/>
  <c r="O3994" i="5"/>
  <c r="K3993" i="5"/>
  <c r="C3992" i="5" l="1"/>
  <c r="G3993" i="5"/>
  <c r="O3995" i="5"/>
  <c r="K3994" i="5"/>
  <c r="G3994" i="5" l="1"/>
  <c r="C3993" i="5"/>
  <c r="K3995" i="5"/>
  <c r="O3996" i="5"/>
  <c r="C3994" i="5" l="1"/>
  <c r="G3995" i="5"/>
  <c r="O3997" i="5"/>
  <c r="K3996" i="5"/>
  <c r="G3996" i="5" l="1"/>
  <c r="C3995" i="5"/>
  <c r="O3998" i="5"/>
  <c r="K3997" i="5"/>
  <c r="C3996" i="5" l="1"/>
  <c r="G3997" i="5"/>
  <c r="O3999" i="5"/>
  <c r="K3998" i="5"/>
  <c r="C3997" i="5" l="1"/>
  <c r="G3998" i="5"/>
  <c r="K3999" i="5"/>
  <c r="O4000" i="5"/>
  <c r="G3999" i="5" l="1"/>
  <c r="C3998" i="5"/>
  <c r="K4000" i="5"/>
  <c r="O4001" i="5"/>
  <c r="C3999" i="5" l="1"/>
  <c r="G4000" i="5"/>
  <c r="Y382" i="5"/>
  <c r="Y356" i="5"/>
  <c r="AA172" i="5"/>
  <c r="AB216" i="5"/>
  <c r="AB110" i="5"/>
  <c r="Y384" i="5"/>
  <c r="S170" i="5"/>
  <c r="Z324" i="5"/>
  <c r="U144" i="5"/>
  <c r="V224" i="5"/>
  <c r="Y358" i="5"/>
  <c r="AB280" i="5"/>
  <c r="S162" i="5"/>
  <c r="Y332" i="5"/>
  <c r="U152" i="5"/>
  <c r="Z276" i="5"/>
  <c r="AA224" i="5"/>
  <c r="S242" i="5"/>
  <c r="Y360" i="5"/>
  <c r="S28" i="5"/>
  <c r="AA240" i="5"/>
  <c r="S44" i="5"/>
  <c r="Y342" i="5"/>
  <c r="T388" i="5"/>
  <c r="T50" i="5"/>
  <c r="AC72" i="5"/>
  <c r="W326" i="5"/>
  <c r="V16" i="5"/>
  <c r="Y340" i="5"/>
  <c r="W200" i="5"/>
  <c r="U66" i="5"/>
  <c r="Y368" i="5"/>
  <c r="AC398" i="5"/>
  <c r="AA236" i="5"/>
  <c r="AC272" i="5"/>
  <c r="AB224" i="5"/>
  <c r="AC208" i="5"/>
  <c r="X166" i="5"/>
  <c r="AB394" i="5"/>
  <c r="U322" i="5"/>
  <c r="AA282" i="5"/>
  <c r="AA88" i="5"/>
  <c r="AD254" i="5"/>
  <c r="W328" i="5"/>
  <c r="S306" i="5"/>
  <c r="V322" i="5"/>
  <c r="S100" i="5"/>
  <c r="AA326" i="5"/>
  <c r="T150" i="5"/>
  <c r="Y362" i="5"/>
  <c r="Y370" i="5"/>
  <c r="S178" i="5"/>
  <c r="AB46" i="5"/>
  <c r="T298" i="5"/>
  <c r="U74" i="5"/>
  <c r="W10" i="5"/>
  <c r="AC368" i="5"/>
  <c r="AA174" i="5"/>
  <c r="U294" i="5"/>
  <c r="AA176" i="5"/>
  <c r="X332" i="5"/>
  <c r="Y376" i="5"/>
  <c r="Z282" i="5"/>
  <c r="U276" i="5"/>
  <c r="Z308" i="5"/>
  <c r="AC394" i="5"/>
  <c r="Z296" i="5"/>
  <c r="AA238" i="5"/>
  <c r="W274" i="5"/>
  <c r="AA166" i="5"/>
  <c r="Y374" i="5"/>
  <c r="AB128" i="5"/>
  <c r="AA230" i="5"/>
  <c r="S234" i="5"/>
  <c r="Y380" i="5"/>
  <c r="AA232" i="5"/>
  <c r="U376" i="5"/>
  <c r="AF278" i="5"/>
  <c r="Y378" i="5"/>
  <c r="S218" i="5"/>
  <c r="Y372" i="5"/>
  <c r="AD126" i="5"/>
  <c r="AB166" i="5"/>
  <c r="Y336" i="5"/>
  <c r="X266" i="5"/>
  <c r="AD122" i="5"/>
  <c r="Y158" i="5"/>
  <c r="AC22" i="5"/>
  <c r="S186" i="5"/>
  <c r="S194" i="5"/>
  <c r="Z272" i="5"/>
  <c r="S12" i="5"/>
  <c r="S20" i="5"/>
  <c r="V304" i="5"/>
  <c r="Y330" i="5"/>
  <c r="W264" i="5"/>
  <c r="AD230" i="5"/>
  <c r="U264" i="5"/>
  <c r="Y252" i="5"/>
  <c r="T88" i="5"/>
  <c r="Y350" i="5"/>
  <c r="AA322" i="5"/>
  <c r="AC166" i="5"/>
  <c r="U304" i="5"/>
  <c r="U168" i="5"/>
  <c r="AC4" i="5"/>
  <c r="W280" i="5"/>
  <c r="Z10" i="5"/>
  <c r="T184" i="5"/>
  <c r="Y236" i="5"/>
  <c r="AA396" i="5"/>
  <c r="AC66" i="5"/>
  <c r="T198" i="5"/>
  <c r="U200" i="5"/>
  <c r="V214" i="5"/>
  <c r="U160" i="5"/>
  <c r="Z262" i="5"/>
  <c r="Y366" i="5"/>
  <c r="AA110" i="5"/>
  <c r="AA228" i="5"/>
  <c r="Y22" i="5"/>
  <c r="S52" i="5"/>
  <c r="V200" i="5"/>
  <c r="X384" i="5"/>
  <c r="Z256" i="5"/>
  <c r="Z286" i="5"/>
  <c r="X348" i="5"/>
  <c r="S210" i="5"/>
  <c r="X340" i="5"/>
  <c r="T328" i="5"/>
  <c r="AD50" i="5"/>
  <c r="AB240" i="5"/>
  <c r="S388" i="5"/>
  <c r="S36" i="5"/>
  <c r="V306" i="5"/>
  <c r="Y346" i="5"/>
  <c r="Y364" i="5"/>
  <c r="U116" i="5"/>
  <c r="S188" i="5"/>
  <c r="T122" i="5"/>
  <c r="Y352" i="5"/>
  <c r="AA74" i="5"/>
  <c r="Y338" i="5"/>
  <c r="U136" i="5"/>
  <c r="AA22" i="5"/>
  <c r="W84" i="5"/>
  <c r="S110" i="5"/>
  <c r="U88" i="5"/>
  <c r="V128" i="5"/>
  <c r="AF108" i="5"/>
  <c r="AF74" i="5"/>
  <c r="U366" i="5"/>
  <c r="S26" i="5"/>
  <c r="AD236" i="5"/>
  <c r="T160" i="5"/>
  <c r="S280" i="5"/>
  <c r="Y14" i="5"/>
  <c r="AC216" i="5"/>
  <c r="T130" i="5"/>
  <c r="Z322" i="5"/>
  <c r="S138" i="5"/>
  <c r="T76" i="5"/>
  <c r="T266" i="5"/>
  <c r="V190" i="5"/>
  <c r="T108" i="5"/>
  <c r="T196" i="5"/>
  <c r="V266" i="5"/>
  <c r="T168" i="5"/>
  <c r="Z190" i="5"/>
  <c r="Y66" i="5"/>
  <c r="V116" i="5"/>
  <c r="AD214" i="5"/>
  <c r="Z398" i="5"/>
  <c r="AF16" i="5"/>
  <c r="AC298" i="5"/>
  <c r="T118" i="5"/>
  <c r="Y270" i="5"/>
  <c r="T102" i="5"/>
  <c r="AF396" i="5"/>
  <c r="S22" i="5"/>
  <c r="Z266" i="5"/>
  <c r="V26" i="5"/>
  <c r="V206" i="5"/>
  <c r="X190" i="5"/>
  <c r="X228" i="5"/>
  <c r="U336" i="5"/>
  <c r="U254" i="5"/>
  <c r="Y128" i="5"/>
  <c r="S116" i="5"/>
  <c r="AB200" i="5"/>
  <c r="AC150" i="5"/>
  <c r="AD140" i="5"/>
  <c r="S154" i="5"/>
  <c r="U224" i="5"/>
  <c r="V30" i="5"/>
  <c r="X390" i="5"/>
  <c r="AA92" i="5"/>
  <c r="T84" i="5"/>
  <c r="AE238" i="5"/>
  <c r="V312" i="5"/>
  <c r="AD188" i="5"/>
  <c r="AA52" i="5"/>
  <c r="S274" i="5"/>
  <c r="U396" i="5"/>
  <c r="W294" i="5"/>
  <c r="U90" i="5"/>
  <c r="AC306" i="5"/>
  <c r="X46" i="5"/>
  <c r="U286" i="5"/>
  <c r="AC350" i="5"/>
  <c r="U204" i="5"/>
  <c r="W72" i="5"/>
  <c r="AC24" i="5"/>
  <c r="S166" i="5"/>
  <c r="T24" i="5"/>
  <c r="AB264" i="5"/>
  <c r="X122" i="5"/>
  <c r="Y276" i="5"/>
  <c r="AC396" i="5"/>
  <c r="AD324" i="5"/>
  <c r="U392" i="5"/>
  <c r="W104" i="5"/>
  <c r="AC30" i="5"/>
  <c r="T138" i="5"/>
  <c r="AD278" i="5"/>
  <c r="U298" i="5"/>
  <c r="AE66" i="5"/>
  <c r="AE192" i="5"/>
  <c r="U306" i="5"/>
  <c r="V92" i="5"/>
  <c r="AB72" i="5"/>
  <c r="U342" i="5"/>
  <c r="AC138" i="5"/>
  <c r="Z126" i="5"/>
  <c r="AA100" i="5"/>
  <c r="U132" i="5"/>
  <c r="X312" i="5"/>
  <c r="AD78" i="5"/>
  <c r="Z132" i="5"/>
  <c r="AD398" i="5"/>
  <c r="AB26" i="5"/>
  <c r="AC362" i="5"/>
  <c r="AA76" i="5"/>
  <c r="V34" i="5"/>
  <c r="S142" i="5"/>
  <c r="X330" i="5"/>
  <c r="T306" i="5"/>
  <c r="AE296" i="5"/>
  <c r="X350" i="5"/>
  <c r="AB130" i="5"/>
  <c r="AF188" i="5"/>
  <c r="W232" i="5"/>
  <c r="AD266" i="5"/>
  <c r="AA234" i="5"/>
  <c r="V66" i="5"/>
  <c r="T26" i="5"/>
  <c r="W58" i="5"/>
  <c r="U106" i="5"/>
  <c r="V256" i="5"/>
  <c r="AE306" i="5"/>
  <c r="W282" i="5"/>
  <c r="AB70" i="5"/>
  <c r="X362" i="5"/>
  <c r="AF384" i="5"/>
  <c r="U360" i="5"/>
  <c r="AB140" i="5"/>
  <c r="V108" i="5"/>
  <c r="AB136" i="5"/>
  <c r="T142" i="5"/>
  <c r="AD14" i="5"/>
  <c r="S390" i="5"/>
  <c r="T30" i="5"/>
  <c r="X88" i="5"/>
  <c r="AA72" i="5"/>
  <c r="AA274" i="5"/>
  <c r="X280" i="5"/>
  <c r="Y132" i="5"/>
  <c r="U280" i="5"/>
  <c r="X180" i="5"/>
  <c r="S76" i="5"/>
  <c r="AA306" i="5"/>
  <c r="AB208" i="5"/>
  <c r="U16" i="5"/>
  <c r="U24" i="5"/>
  <c r="X34" i="5"/>
  <c r="AA218" i="5"/>
  <c r="T264" i="5"/>
  <c r="S270" i="5"/>
  <c r="W16" i="5"/>
  <c r="W118" i="5"/>
  <c r="X396" i="5"/>
  <c r="V110" i="5"/>
  <c r="Z138" i="5"/>
  <c r="W304" i="5"/>
  <c r="W324" i="5"/>
  <c r="AC34" i="5"/>
  <c r="AD66" i="5"/>
  <c r="AF368" i="5"/>
  <c r="Y86" i="5"/>
  <c r="AD196" i="5"/>
  <c r="U130" i="5"/>
  <c r="S190" i="5"/>
  <c r="AC26" i="5"/>
  <c r="AB18" i="5"/>
  <c r="V140" i="5"/>
  <c r="Y204" i="5"/>
  <c r="X364" i="5"/>
  <c r="X278" i="5"/>
  <c r="AD158" i="5"/>
  <c r="AC18" i="5"/>
  <c r="Y396" i="5"/>
  <c r="U340" i="5"/>
  <c r="X92" i="5"/>
  <c r="V196" i="5"/>
  <c r="X244" i="5"/>
  <c r="U362" i="5"/>
  <c r="AA280" i="5"/>
  <c r="S326" i="5"/>
  <c r="AC330" i="5"/>
  <c r="X58" i="5"/>
  <c r="X108" i="5"/>
  <c r="W92" i="5"/>
  <c r="AC304" i="5"/>
  <c r="Z232" i="5"/>
  <c r="Y394" i="5"/>
  <c r="AB398" i="5"/>
  <c r="V298" i="5"/>
  <c r="AA198" i="5"/>
  <c r="Y148" i="5"/>
  <c r="AC338" i="5"/>
  <c r="U378" i="5"/>
  <c r="AC382" i="5"/>
  <c r="X326" i="5"/>
  <c r="AB144" i="5"/>
  <c r="AB22" i="5"/>
  <c r="AB192" i="5"/>
  <c r="AC110" i="5"/>
  <c r="AC372" i="5"/>
  <c r="AF24" i="5"/>
  <c r="W82" i="5"/>
  <c r="T212" i="5"/>
  <c r="AA44" i="5"/>
  <c r="S108" i="5"/>
  <c r="T148" i="5"/>
  <c r="AE130" i="5"/>
  <c r="AC92" i="5"/>
  <c r="W254" i="5"/>
  <c r="AA188" i="5"/>
  <c r="W18" i="5"/>
  <c r="AA78" i="5"/>
  <c r="X366" i="5"/>
  <c r="W214" i="5"/>
  <c r="AB92" i="5"/>
  <c r="AC352" i="5"/>
  <c r="X386" i="5"/>
  <c r="AE326" i="5"/>
  <c r="S126" i="5"/>
  <c r="AA50" i="5"/>
  <c r="T96" i="5"/>
  <c r="AD198" i="5"/>
  <c r="Z270" i="5"/>
  <c r="W148" i="5"/>
  <c r="X118" i="5"/>
  <c r="X380" i="5"/>
  <c r="U96" i="5"/>
  <c r="AD206" i="5"/>
  <c r="AC240" i="5"/>
  <c r="X198" i="5"/>
  <c r="W166" i="5"/>
  <c r="V126" i="5"/>
  <c r="Y328" i="5"/>
  <c r="W78" i="5"/>
  <c r="X252" i="5"/>
  <c r="AC78" i="5"/>
  <c r="V246" i="5"/>
  <c r="AC108" i="5"/>
  <c r="AC238" i="5"/>
  <c r="AA278" i="5"/>
  <c r="W102" i="5"/>
  <c r="Y228" i="5"/>
  <c r="T140" i="5"/>
  <c r="U34" i="5"/>
  <c r="X358" i="5"/>
  <c r="AC346" i="5"/>
  <c r="Y70" i="5"/>
  <c r="X216" i="5"/>
  <c r="Z200" i="5"/>
  <c r="AC144" i="5"/>
  <c r="Z224" i="5"/>
  <c r="S132" i="5"/>
  <c r="U374" i="5"/>
  <c r="AB188" i="5"/>
  <c r="AD164" i="5"/>
  <c r="AE128" i="5"/>
  <c r="Y138" i="5"/>
  <c r="W388" i="5"/>
  <c r="S328" i="5"/>
  <c r="AC152" i="5"/>
  <c r="AA120" i="5"/>
  <c r="AA116" i="5"/>
  <c r="AC120" i="5"/>
  <c r="V106" i="5"/>
  <c r="Z264" i="5"/>
  <c r="AC270" i="5"/>
  <c r="AC192" i="5"/>
  <c r="S24" i="5"/>
  <c r="W322" i="5"/>
  <c r="V388" i="5"/>
  <c r="X78" i="5"/>
  <c r="X172" i="5"/>
  <c r="AC76" i="5"/>
  <c r="U356" i="5"/>
  <c r="Y322" i="5"/>
  <c r="X98" i="5"/>
  <c r="V236" i="5"/>
  <c r="X30" i="5"/>
  <c r="W266" i="5"/>
  <c r="X336" i="5"/>
  <c r="S158" i="5"/>
  <c r="U270" i="5"/>
  <c r="AF348" i="5"/>
  <c r="AB312" i="5"/>
  <c r="W140" i="5"/>
  <c r="AH274" i="5"/>
  <c r="Y296" i="5"/>
  <c r="W212" i="5"/>
  <c r="V278" i="5"/>
  <c r="T164" i="5"/>
  <c r="AD132" i="5"/>
  <c r="W80" i="5"/>
  <c r="Y34" i="5"/>
  <c r="V58" i="5"/>
  <c r="X372" i="5"/>
  <c r="AD294" i="5"/>
  <c r="U18" i="5"/>
  <c r="Z108" i="5"/>
  <c r="AC160" i="5"/>
  <c r="AB134" i="5"/>
  <c r="S90" i="5"/>
  <c r="U166" i="5"/>
  <c r="AB326" i="5"/>
  <c r="U176" i="5"/>
  <c r="Z26" i="5"/>
  <c r="Z198" i="5"/>
  <c r="X196" i="5"/>
  <c r="T398" i="5"/>
  <c r="AC332" i="5"/>
  <c r="W394" i="5"/>
  <c r="Y292" i="5"/>
  <c r="AD142" i="5"/>
  <c r="AD58" i="5"/>
  <c r="Y74" i="5"/>
  <c r="AB388" i="5"/>
  <c r="AC312" i="5"/>
  <c r="AD108" i="5"/>
  <c r="Z158" i="5"/>
  <c r="V22" i="5"/>
  <c r="AB76" i="5"/>
  <c r="AB58" i="5"/>
  <c r="Y102" i="5"/>
  <c r="Z328" i="5"/>
  <c r="Y108" i="5"/>
  <c r="AB232" i="5"/>
  <c r="T304" i="5"/>
  <c r="T190" i="5"/>
  <c r="S92" i="5"/>
  <c r="Y172" i="5"/>
  <c r="U58" i="5"/>
  <c r="S212" i="5"/>
  <c r="AG136" i="5"/>
  <c r="Y266" i="5"/>
  <c r="W230" i="5"/>
  <c r="X204" i="5"/>
  <c r="AB304" i="5"/>
  <c r="T120" i="5"/>
  <c r="S298" i="5"/>
  <c r="AF88" i="5"/>
  <c r="AD114" i="5"/>
  <c r="AC58" i="5"/>
  <c r="AD20" i="5"/>
  <c r="AB108" i="5"/>
  <c r="Z30" i="5"/>
  <c r="AB184" i="5"/>
  <c r="W398" i="5"/>
  <c r="AE322" i="5"/>
  <c r="AE316" i="5"/>
  <c r="U252" i="5"/>
  <c r="AB390" i="5"/>
  <c r="U352" i="5"/>
  <c r="AC326" i="5"/>
  <c r="W158" i="5"/>
  <c r="AB66" i="5"/>
  <c r="Z216" i="5"/>
  <c r="U82" i="5"/>
  <c r="Y386" i="5"/>
  <c r="W262" i="5"/>
  <c r="AC116" i="5"/>
  <c r="Y280" i="5"/>
  <c r="Z278" i="5"/>
  <c r="Z84" i="5"/>
  <c r="U50" i="5"/>
  <c r="T274" i="5"/>
  <c r="X238" i="5"/>
  <c r="X132" i="5"/>
  <c r="Y110" i="5"/>
  <c r="AB120" i="5"/>
  <c r="Y392" i="5"/>
  <c r="AA12" i="5"/>
  <c r="Y398" i="5"/>
  <c r="Y46" i="5"/>
  <c r="AC328" i="5"/>
  <c r="AA26" i="5"/>
  <c r="AD316" i="5"/>
  <c r="X200" i="5"/>
  <c r="AC266" i="5"/>
  <c r="V18" i="5"/>
  <c r="U338" i="5"/>
  <c r="W174" i="5"/>
  <c r="W308" i="5"/>
  <c r="V132" i="5"/>
  <c r="T208" i="5"/>
  <c r="AD276" i="5"/>
  <c r="S72" i="5"/>
  <c r="T16" i="5"/>
  <c r="AA178" i="5"/>
  <c r="AA298" i="5"/>
  <c r="V238" i="5"/>
  <c r="AA60" i="5"/>
  <c r="AD286" i="5"/>
  <c r="AE30" i="5"/>
  <c r="V230" i="5"/>
  <c r="AD110" i="5"/>
  <c r="AC50" i="5"/>
  <c r="Y348" i="5"/>
  <c r="AC388" i="5"/>
  <c r="T270" i="5"/>
  <c r="AD30" i="5"/>
  <c r="U346" i="5"/>
  <c r="U14" i="5"/>
  <c r="Z254" i="5"/>
  <c r="AB248" i="5"/>
  <c r="W192" i="5"/>
  <c r="U348" i="5"/>
  <c r="V158" i="5"/>
  <c r="AD238" i="5"/>
  <c r="T216" i="5"/>
  <c r="AE72" i="5"/>
  <c r="AA132" i="5"/>
  <c r="AB270" i="5"/>
  <c r="S164" i="5"/>
  <c r="X352" i="5"/>
  <c r="X174" i="5"/>
  <c r="U328" i="5"/>
  <c r="V386" i="5"/>
  <c r="U358" i="5"/>
  <c r="U248" i="5"/>
  <c r="U198" i="5"/>
  <c r="AA84" i="5"/>
  <c r="Z252" i="5"/>
  <c r="AE96" i="5"/>
  <c r="Y306" i="5"/>
  <c r="AA190" i="5"/>
  <c r="T144" i="5"/>
  <c r="W150" i="5"/>
  <c r="AD322" i="5"/>
  <c r="AA102" i="5"/>
  <c r="V198" i="5"/>
  <c r="AF128" i="5"/>
  <c r="AA304" i="5"/>
  <c r="AC214" i="5"/>
  <c r="AE216" i="5"/>
  <c r="X306" i="5"/>
  <c r="S264" i="5"/>
  <c r="X14" i="5"/>
  <c r="T158" i="5"/>
  <c r="S66" i="5"/>
  <c r="AB274" i="5"/>
  <c r="V164" i="5"/>
  <c r="U98" i="5"/>
  <c r="Z298" i="5"/>
  <c r="W30" i="5"/>
  <c r="AA36" i="5"/>
  <c r="AC112" i="5"/>
  <c r="AD190" i="5"/>
  <c r="S256" i="5"/>
  <c r="W188" i="5"/>
  <c r="V396" i="5"/>
  <c r="Y192" i="5"/>
  <c r="AC196" i="5"/>
  <c r="V324" i="5"/>
  <c r="AE302" i="5"/>
  <c r="T58" i="5"/>
  <c r="V172" i="5"/>
  <c r="AB176" i="5"/>
  <c r="U118" i="5"/>
  <c r="W136" i="5"/>
  <c r="X236" i="5"/>
  <c r="AD328" i="5"/>
  <c r="X378" i="5"/>
  <c r="T322" i="5"/>
  <c r="X148" i="5"/>
  <c r="T278" i="5"/>
  <c r="AC168" i="5"/>
  <c r="T166" i="5"/>
  <c r="W22" i="5"/>
  <c r="S252" i="5"/>
  <c r="U208" i="5"/>
  <c r="U26" i="5"/>
  <c r="AC336" i="5"/>
  <c r="V216" i="5"/>
  <c r="V174" i="5"/>
  <c r="AF266" i="5"/>
  <c r="Z82" i="5"/>
  <c r="Z24" i="5"/>
  <c r="AC360" i="5"/>
  <c r="V24" i="5"/>
  <c r="AA202" i="5"/>
  <c r="AD106" i="5"/>
  <c r="AC286" i="5"/>
  <c r="Z58" i="5"/>
  <c r="V72" i="5"/>
  <c r="T214" i="5"/>
  <c r="V264" i="5"/>
  <c r="S278" i="5"/>
  <c r="Y30" i="5"/>
  <c r="X50" i="5"/>
  <c r="W238" i="5"/>
  <c r="AA66" i="5"/>
  <c r="V112" i="5"/>
  <c r="AA200" i="5"/>
  <c r="X212" i="5"/>
  <c r="AB278" i="5"/>
  <c r="T176" i="5"/>
  <c r="AC102" i="5"/>
  <c r="AC188" i="5"/>
  <c r="Z46" i="5"/>
  <c r="Z34" i="5"/>
  <c r="T192" i="5"/>
  <c r="S282" i="5"/>
  <c r="AF102" i="5"/>
  <c r="AC114" i="5"/>
  <c r="AE142" i="5"/>
  <c r="AB138" i="5"/>
  <c r="AB82" i="5"/>
  <c r="Y84" i="5"/>
  <c r="AF18" i="5"/>
  <c r="AC74" i="5"/>
  <c r="Y304" i="5"/>
  <c r="U330" i="5"/>
  <c r="V118" i="5"/>
  <c r="AD92" i="5"/>
  <c r="Y78" i="5"/>
  <c r="W26" i="5"/>
  <c r="V296" i="5"/>
  <c r="U274" i="5"/>
  <c r="Z212" i="5"/>
  <c r="U312" i="5"/>
  <c r="S136" i="5"/>
  <c r="AG98" i="5"/>
  <c r="X270" i="5"/>
  <c r="AB328" i="5"/>
  <c r="S134" i="5"/>
  <c r="AA20" i="5"/>
  <c r="Z312" i="5"/>
  <c r="AD116" i="5"/>
  <c r="Z228" i="5"/>
  <c r="U216" i="5"/>
  <c r="AA46" i="5"/>
  <c r="U278" i="5"/>
  <c r="Y188" i="5"/>
  <c r="V390" i="5"/>
  <c r="AC348" i="5"/>
  <c r="AD174" i="5"/>
  <c r="AA390" i="5"/>
  <c r="AC90" i="5"/>
  <c r="AD270" i="5"/>
  <c r="AA264" i="5"/>
  <c r="U272" i="5"/>
  <c r="AC180" i="5"/>
  <c r="AA242" i="5"/>
  <c r="AE112" i="5"/>
  <c r="W190" i="5"/>
  <c r="AD22" i="5"/>
  <c r="S80" i="5"/>
  <c r="AF142" i="5"/>
  <c r="Y278" i="5"/>
  <c r="AC122" i="5"/>
  <c r="AE92" i="5"/>
  <c r="W122" i="5"/>
  <c r="V262" i="5"/>
  <c r="AA154" i="5"/>
  <c r="AD298" i="5"/>
  <c r="AD246" i="5"/>
  <c r="Z214" i="5"/>
  <c r="AC390" i="5"/>
  <c r="AB190" i="5"/>
  <c r="AD148" i="5"/>
  <c r="X388" i="5"/>
  <c r="X356" i="5"/>
  <c r="AC278" i="5"/>
  <c r="Z230" i="5"/>
  <c r="V82" i="5"/>
  <c r="AF392" i="5"/>
  <c r="AC358" i="5"/>
  <c r="U382" i="5"/>
  <c r="W142" i="5"/>
  <c r="AB266" i="5"/>
  <c r="X368" i="5"/>
  <c r="T254" i="5"/>
  <c r="AC100" i="5"/>
  <c r="AF342" i="5"/>
  <c r="S192" i="5"/>
  <c r="AB80" i="5"/>
  <c r="U78" i="5"/>
  <c r="T232" i="5"/>
  <c r="W128" i="5"/>
  <c r="U326" i="5"/>
  <c r="Y142" i="5"/>
  <c r="U398" i="5"/>
  <c r="X394" i="5"/>
  <c r="Y298" i="5"/>
  <c r="T34" i="5"/>
  <c r="Z188" i="5"/>
  <c r="AC130" i="5"/>
  <c r="AF256" i="5"/>
  <c r="AB256" i="5"/>
  <c r="X142" i="5"/>
  <c r="Z50" i="5"/>
  <c r="AA170" i="5"/>
  <c r="X240" i="5"/>
  <c r="AD304" i="5"/>
  <c r="U230" i="5"/>
  <c r="U138" i="5"/>
  <c r="AD182" i="5"/>
  <c r="Z74" i="5"/>
  <c r="S394" i="5"/>
  <c r="AD130" i="5"/>
  <c r="X342" i="5"/>
  <c r="AB126" i="5"/>
  <c r="U372" i="5"/>
  <c r="AA108" i="5"/>
  <c r="AD120" i="5"/>
  <c r="T224" i="5"/>
  <c r="V326" i="5"/>
  <c r="Z120" i="5"/>
  <c r="S130" i="5"/>
  <c r="T92" i="5"/>
  <c r="Z128" i="5"/>
  <c r="X176" i="5"/>
  <c r="AC224" i="5"/>
  <c r="U92" i="5"/>
  <c r="V98" i="5"/>
  <c r="AD96" i="5"/>
  <c r="X360" i="5"/>
  <c r="AE328" i="5"/>
  <c r="T280" i="5"/>
  <c r="U368" i="5"/>
  <c r="S254" i="5"/>
  <c r="AA270" i="5"/>
  <c r="Y196" i="5"/>
  <c r="V150" i="5"/>
  <c r="Z66" i="5"/>
  <c r="AA398" i="5"/>
  <c r="Z274" i="5"/>
  <c r="AA192" i="5"/>
  <c r="W108" i="5"/>
  <c r="W138" i="5"/>
  <c r="S46" i="5"/>
  <c r="W74" i="5"/>
  <c r="U120" i="5"/>
  <c r="S60" i="5"/>
  <c r="AF332" i="5"/>
  <c r="U188" i="5"/>
  <c r="Z148" i="5"/>
  <c r="AA164" i="5"/>
  <c r="AB160" i="5"/>
  <c r="AA196" i="5"/>
  <c r="V212" i="5"/>
  <c r="V188" i="5"/>
  <c r="V308" i="5"/>
  <c r="X24" i="5"/>
  <c r="AC256" i="5"/>
  <c r="X374" i="5"/>
  <c r="T66" i="5"/>
  <c r="S120" i="5"/>
  <c r="X398" i="5"/>
  <c r="AB50" i="5"/>
  <c r="AA28" i="5"/>
  <c r="AB212" i="5"/>
  <c r="AA210" i="5"/>
  <c r="S322" i="5"/>
  <c r="W24" i="5"/>
  <c r="X126" i="5"/>
  <c r="Z76" i="5"/>
  <c r="AC276" i="5"/>
  <c r="V138" i="5"/>
  <c r="S266" i="5"/>
  <c r="Y92" i="5"/>
  <c r="X382" i="5"/>
  <c r="Y224" i="5"/>
  <c r="AA58" i="5"/>
  <c r="U380" i="5"/>
  <c r="W182" i="5"/>
  <c r="U364" i="5"/>
  <c r="AC364" i="5"/>
  <c r="AF164" i="5"/>
  <c r="U296" i="5"/>
  <c r="AD72" i="5"/>
  <c r="AE252" i="5"/>
  <c r="AB164" i="5"/>
  <c r="Y126" i="5"/>
  <c r="Y214" i="5"/>
  <c r="Y120" i="5"/>
  <c r="AE22" i="5"/>
  <c r="AF398" i="5"/>
  <c r="AF196" i="5"/>
  <c r="T312" i="5"/>
  <c r="AB152" i="5"/>
  <c r="V78" i="5"/>
  <c r="X120" i="5"/>
  <c r="X26" i="5"/>
  <c r="X112" i="5"/>
  <c r="Z306" i="5"/>
  <c r="Y326" i="5"/>
  <c r="V254" i="5"/>
  <c r="T200" i="5"/>
  <c r="T110" i="5"/>
  <c r="V274" i="5"/>
  <c r="AB90" i="5"/>
  <c r="AC98" i="5"/>
  <c r="X276" i="5"/>
  <c r="Y94" i="5"/>
  <c r="U148" i="5"/>
  <c r="Y134" i="5"/>
  <c r="AA162" i="5"/>
  <c r="S118" i="5"/>
  <c r="U128" i="5"/>
  <c r="S58" i="5"/>
  <c r="Z304" i="5"/>
  <c r="AA266" i="5"/>
  <c r="AD302" i="5"/>
  <c r="Y118" i="5"/>
  <c r="AE132" i="5"/>
  <c r="AD150" i="5"/>
  <c r="AE16" i="5"/>
  <c r="W312" i="5"/>
  <c r="AC200" i="5"/>
  <c r="V182" i="5"/>
  <c r="W164" i="5"/>
  <c r="U206" i="5"/>
  <c r="AC198" i="5"/>
  <c r="Z98" i="5"/>
  <c r="Y180" i="5"/>
  <c r="U126" i="5"/>
  <c r="AC392" i="5"/>
  <c r="W390" i="5"/>
  <c r="U72" i="5"/>
  <c r="U76" i="5"/>
  <c r="AA194" i="5"/>
  <c r="AA186" i="5"/>
  <c r="AC140" i="5"/>
  <c r="AE278" i="5"/>
  <c r="Y212" i="5"/>
  <c r="S202" i="5"/>
  <c r="X130" i="5"/>
  <c r="T112" i="5"/>
  <c r="AC296" i="5"/>
  <c r="S214" i="5"/>
  <c r="U192" i="5"/>
  <c r="Y390" i="5"/>
  <c r="S312" i="5"/>
  <c r="W96" i="5"/>
  <c r="AA140" i="5"/>
  <c r="AC370" i="5"/>
  <c r="X338" i="5"/>
  <c r="T18" i="5"/>
  <c r="U190" i="5"/>
  <c r="AC356" i="5"/>
  <c r="AC184" i="5"/>
  <c r="S74" i="5"/>
  <c r="Y312" i="5"/>
  <c r="AD228" i="5"/>
  <c r="Y262" i="5"/>
  <c r="T326" i="5"/>
  <c r="U112" i="5"/>
  <c r="W386" i="5"/>
  <c r="AG312" i="5"/>
  <c r="S276" i="5"/>
  <c r="W392" i="5"/>
  <c r="Z332" i="5"/>
  <c r="Z130" i="5"/>
  <c r="Z390" i="5"/>
  <c r="S324" i="5"/>
  <c r="T372" i="5"/>
  <c r="AG72" i="5"/>
  <c r="AH174" i="5"/>
  <c r="Y154" i="5"/>
  <c r="AA244" i="5"/>
  <c r="AE34" i="5"/>
  <c r="AF382" i="5"/>
  <c r="U162" i="5"/>
  <c r="Z106" i="5"/>
  <c r="AA212" i="5"/>
  <c r="Y104" i="5"/>
  <c r="Z122" i="5"/>
  <c r="AA338" i="5"/>
  <c r="AH58" i="5"/>
  <c r="AD346" i="5"/>
  <c r="T22" i="5"/>
  <c r="S248" i="5"/>
  <c r="W240" i="5"/>
  <c r="T182" i="5"/>
  <c r="AB396" i="5"/>
  <c r="X192" i="5"/>
  <c r="U194" i="5"/>
  <c r="AC322" i="5"/>
  <c r="AA142" i="5"/>
  <c r="AE120" i="5"/>
  <c r="Z14" i="5"/>
  <c r="V232" i="5"/>
  <c r="X84" i="5"/>
  <c r="Z152" i="5"/>
  <c r="AF122" i="5"/>
  <c r="AE182" i="5"/>
  <c r="T70" i="5"/>
  <c r="AE172" i="5"/>
  <c r="AH128" i="5"/>
  <c r="AH34" i="5"/>
  <c r="Z302" i="5"/>
  <c r="AD144" i="5"/>
  <c r="AG390" i="5"/>
  <c r="AH66" i="5"/>
  <c r="S376" i="5"/>
  <c r="T82" i="5"/>
  <c r="AB112" i="5"/>
  <c r="U30" i="5"/>
  <c r="AD360" i="5"/>
  <c r="V252" i="5"/>
  <c r="AB178" i="5"/>
  <c r="AH108" i="5"/>
  <c r="X296" i="5"/>
  <c r="Z168" i="5"/>
  <c r="X86" i="5"/>
  <c r="Y234" i="5"/>
  <c r="AB244" i="5"/>
  <c r="Z28" i="5"/>
  <c r="X272" i="5"/>
  <c r="Z370" i="5"/>
  <c r="AH298" i="5"/>
  <c r="V184" i="5"/>
  <c r="Y112" i="5"/>
  <c r="S78" i="5"/>
  <c r="AG270" i="5"/>
  <c r="AG366" i="5"/>
  <c r="T74" i="5"/>
  <c r="U242" i="5"/>
  <c r="Z372" i="5"/>
  <c r="Y194" i="5"/>
  <c r="X94" i="5"/>
  <c r="AF372" i="5"/>
  <c r="X302" i="5"/>
  <c r="AE388" i="5"/>
  <c r="AE102" i="5"/>
  <c r="AA256" i="5"/>
  <c r="AC84" i="5"/>
  <c r="AE312" i="5"/>
  <c r="V270" i="5"/>
  <c r="AF72" i="5"/>
  <c r="S112" i="5"/>
  <c r="AA112" i="5"/>
  <c r="T348" i="5"/>
  <c r="Y18" i="5"/>
  <c r="W44" i="5"/>
  <c r="AA358" i="5"/>
  <c r="Z176" i="5"/>
  <c r="U232" i="5"/>
  <c r="AE324" i="5"/>
  <c r="Z20" i="5"/>
  <c r="AB384" i="5"/>
  <c r="Z294" i="5"/>
  <c r="AC282" i="5"/>
  <c r="Y170" i="5"/>
  <c r="Y160" i="5"/>
  <c r="AA348" i="5"/>
  <c r="W370" i="5"/>
  <c r="AD204" i="5"/>
  <c r="AC178" i="5"/>
  <c r="Z246" i="5"/>
  <c r="AE98" i="5"/>
  <c r="Y242" i="5"/>
  <c r="X100" i="5"/>
  <c r="AB308" i="5"/>
  <c r="AG394" i="5"/>
  <c r="AH388" i="5"/>
  <c r="AA96" i="5"/>
  <c r="AG34" i="5"/>
  <c r="S378" i="5"/>
  <c r="AF148" i="5"/>
  <c r="X294" i="5"/>
  <c r="AA374" i="5"/>
  <c r="Z78" i="5"/>
  <c r="AD170" i="5"/>
  <c r="T28" i="5"/>
  <c r="AF136" i="5"/>
  <c r="X136" i="5"/>
  <c r="AG304" i="5"/>
  <c r="Y116" i="5"/>
  <c r="T180" i="5"/>
  <c r="W172" i="5"/>
  <c r="T162" i="5"/>
  <c r="AF328" i="5"/>
  <c r="AB170" i="5"/>
  <c r="Z140" i="5"/>
  <c r="W278" i="5"/>
  <c r="U350" i="5"/>
  <c r="V120" i="5"/>
  <c r="AB148" i="5"/>
  <c r="W286" i="5"/>
  <c r="AE104" i="5"/>
  <c r="U384" i="5"/>
  <c r="U164" i="5"/>
  <c r="AD76" i="5"/>
  <c r="AE262" i="5"/>
  <c r="AC126" i="5"/>
  <c r="AD34" i="5"/>
  <c r="T104" i="5"/>
  <c r="T132" i="5"/>
  <c r="W376" i="5"/>
  <c r="V204" i="5"/>
  <c r="S374" i="5"/>
  <c r="V384" i="5"/>
  <c r="Y316" i="5"/>
  <c r="Y166" i="5"/>
  <c r="AF34" i="5"/>
  <c r="V14" i="5"/>
  <c r="V332" i="5"/>
  <c r="W52" i="5"/>
  <c r="AD26" i="5"/>
  <c r="V372" i="5"/>
  <c r="Y240" i="5"/>
  <c r="AF242" i="5"/>
  <c r="S200" i="5"/>
  <c r="S356" i="5"/>
  <c r="S232" i="5"/>
  <c r="AD152" i="5"/>
  <c r="AD280" i="5"/>
  <c r="AE308" i="5"/>
  <c r="AG386" i="5"/>
  <c r="AA294" i="5"/>
  <c r="AC244" i="5"/>
  <c r="X254" i="5"/>
  <c r="V50" i="5"/>
  <c r="AB252" i="5"/>
  <c r="U140" i="5"/>
  <c r="AE188" i="5"/>
  <c r="AC342" i="5"/>
  <c r="AF84" i="5"/>
  <c r="W112" i="5"/>
  <c r="Z104" i="5"/>
  <c r="Z88" i="5"/>
  <c r="AC118" i="5"/>
  <c r="Z186" i="5"/>
  <c r="U46" i="5"/>
  <c r="AB370" i="5"/>
  <c r="W292" i="5"/>
  <c r="S366" i="5"/>
  <c r="X106" i="5"/>
  <c r="Z378" i="5"/>
  <c r="AA352" i="5"/>
  <c r="AG278" i="5"/>
  <c r="AG352" i="5"/>
  <c r="AF308" i="5"/>
  <c r="AB78" i="5"/>
  <c r="T324" i="5"/>
  <c r="S182" i="5"/>
  <c r="AH240" i="5"/>
  <c r="AD370" i="5"/>
  <c r="T128" i="5"/>
  <c r="Z194" i="5"/>
  <c r="W362" i="5"/>
  <c r="V234" i="5"/>
  <c r="AB242" i="5"/>
  <c r="AB386" i="5"/>
  <c r="X292" i="5"/>
  <c r="AB24" i="5"/>
  <c r="X160" i="5"/>
  <c r="AH328" i="5"/>
  <c r="AD362" i="5"/>
  <c r="AB302" i="5"/>
  <c r="AC230" i="5"/>
  <c r="AG200" i="5"/>
  <c r="V346" i="5"/>
  <c r="U234" i="5"/>
  <c r="Z242" i="5"/>
  <c r="V382" i="5"/>
  <c r="AB94" i="5"/>
  <c r="W144" i="5"/>
  <c r="AF386" i="5"/>
  <c r="AG378" i="5"/>
  <c r="W162" i="5"/>
  <c r="S14" i="5"/>
  <c r="V124" i="5"/>
  <c r="U114" i="5"/>
  <c r="AB214" i="5"/>
  <c r="Y58" i="5"/>
  <c r="AC378" i="5"/>
  <c r="Y150" i="5"/>
  <c r="U142" i="5"/>
  <c r="S332" i="5"/>
  <c r="AF338" i="5"/>
  <c r="AC262" i="5"/>
  <c r="X18" i="5"/>
  <c r="AA286" i="5"/>
  <c r="AC12" i="5"/>
  <c r="U282" i="5"/>
  <c r="V336" i="5"/>
  <c r="AC218" i="5"/>
  <c r="Z172" i="5"/>
  <c r="AH390" i="5"/>
  <c r="AF356" i="5"/>
  <c r="AC88" i="5"/>
  <c r="AI280" i="5"/>
  <c r="AE298" i="5"/>
  <c r="AA18" i="5"/>
  <c r="AG232" i="5"/>
  <c r="AG134" i="5"/>
  <c r="U150" i="5"/>
  <c r="AD342" i="5"/>
  <c r="AC202" i="5"/>
  <c r="T174" i="5"/>
  <c r="AD104" i="5"/>
  <c r="U154" i="5"/>
  <c r="U228" i="5"/>
  <c r="AG362" i="5"/>
  <c r="AA262" i="5"/>
  <c r="T394" i="5"/>
  <c r="V338" i="5"/>
  <c r="AB294" i="5"/>
  <c r="AF340" i="5"/>
  <c r="T46" i="5"/>
  <c r="S372" i="5"/>
  <c r="V52" i="5"/>
  <c r="AF364" i="5"/>
  <c r="AB168" i="5"/>
  <c r="Y26" i="5"/>
  <c r="AA214" i="5"/>
  <c r="AD384" i="5"/>
  <c r="AC246" i="5"/>
  <c r="AA292" i="5"/>
  <c r="Z180" i="5"/>
  <c r="AF244" i="5"/>
  <c r="AF326" i="5"/>
  <c r="V294" i="5"/>
  <c r="AB198" i="5"/>
  <c r="Z164" i="5"/>
  <c r="W194" i="5"/>
  <c r="AG16" i="5"/>
  <c r="AF138" i="5"/>
  <c r="Z124" i="5"/>
  <c r="V364" i="5"/>
  <c r="V96" i="5"/>
  <c r="U36" i="5"/>
  <c r="T238" i="5"/>
  <c r="V60" i="5"/>
  <c r="V46" i="5"/>
  <c r="X16" i="5"/>
  <c r="T386" i="5"/>
  <c r="AB60" i="5"/>
  <c r="AE244" i="5"/>
  <c r="AD382" i="5"/>
  <c r="W168" i="5"/>
  <c r="AE232" i="5"/>
  <c r="AH304" i="5"/>
  <c r="AH270" i="5"/>
  <c r="V180" i="5"/>
  <c r="S104" i="5"/>
  <c r="Y164" i="5"/>
  <c r="AD118" i="5"/>
  <c r="V28" i="5"/>
  <c r="Y162" i="5"/>
  <c r="AA366" i="5"/>
  <c r="S94" i="5"/>
  <c r="Y176" i="5"/>
  <c r="U134" i="5"/>
  <c r="T376" i="5"/>
  <c r="AB116" i="5"/>
  <c r="AB342" i="5"/>
  <c r="AG126" i="5"/>
  <c r="Y16" i="5"/>
  <c r="U180" i="5"/>
  <c r="V376" i="5"/>
  <c r="V392" i="5"/>
  <c r="T134" i="5"/>
  <c r="T206" i="5"/>
  <c r="T246" i="5"/>
  <c r="S98" i="5"/>
  <c r="X202" i="5"/>
  <c r="X304" i="5"/>
  <c r="T188" i="5"/>
  <c r="Y124" i="5"/>
  <c r="V248" i="5"/>
  <c r="AG368" i="5"/>
  <c r="AG266" i="5"/>
  <c r="AA356" i="5"/>
  <c r="AF46" i="5"/>
  <c r="AG180" i="5"/>
  <c r="W204" i="5"/>
  <c r="Z330" i="5"/>
  <c r="AF272" i="5"/>
  <c r="U52" i="5"/>
  <c r="AG330" i="5"/>
  <c r="S152" i="5"/>
  <c r="AB132" i="5"/>
  <c r="S346" i="5"/>
  <c r="Z382" i="5"/>
  <c r="AB324" i="5"/>
  <c r="AH102" i="5"/>
  <c r="AC280" i="5"/>
  <c r="AD348" i="5"/>
  <c r="AA368" i="5"/>
  <c r="X232" i="5"/>
  <c r="T296" i="5"/>
  <c r="AG364" i="5"/>
  <c r="AH306" i="5"/>
  <c r="Z394" i="5"/>
  <c r="U84" i="5"/>
  <c r="AE24" i="5"/>
  <c r="AB372" i="5"/>
  <c r="Z150" i="5"/>
  <c r="V218" i="5"/>
  <c r="V20" i="5"/>
  <c r="W380" i="5"/>
  <c r="Z366" i="5"/>
  <c r="AA80" i="5"/>
  <c r="AA150" i="5"/>
  <c r="AB196" i="5"/>
  <c r="W202" i="5"/>
  <c r="X242" i="5"/>
  <c r="AD312" i="5"/>
  <c r="S150" i="5"/>
  <c r="AF380" i="5"/>
  <c r="S236" i="5"/>
  <c r="AE180" i="5"/>
  <c r="AB234" i="5"/>
  <c r="Y106" i="5"/>
  <c r="AA184" i="5"/>
  <c r="AF262" i="5"/>
  <c r="AG332" i="5"/>
  <c r="Z114" i="5"/>
  <c r="Y302" i="5"/>
  <c r="Z86" i="5"/>
  <c r="AB362" i="5"/>
  <c r="AG348" i="5"/>
  <c r="AB154" i="5"/>
  <c r="Z364" i="5"/>
  <c r="Z236" i="5"/>
  <c r="AG326" i="5"/>
  <c r="AG138" i="5"/>
  <c r="V358" i="5"/>
  <c r="AD306" i="5"/>
  <c r="AC236" i="5"/>
  <c r="AB366" i="5"/>
  <c r="AA216" i="5"/>
  <c r="W356" i="5"/>
  <c r="Z380" i="5"/>
  <c r="Z154" i="5"/>
  <c r="S304" i="5"/>
  <c r="AF174" i="5"/>
  <c r="S330" i="5"/>
  <c r="Z336" i="5"/>
  <c r="AG384" i="5"/>
  <c r="AF112" i="5"/>
  <c r="AA378" i="5"/>
  <c r="S82" i="5"/>
  <c r="T100" i="5"/>
  <c r="T390" i="5"/>
  <c r="Y24" i="5"/>
  <c r="AF358" i="5"/>
  <c r="AC254" i="5"/>
  <c r="Z102" i="5"/>
  <c r="Y82" i="5"/>
  <c r="W246" i="5"/>
  <c r="AF390" i="5"/>
  <c r="S70" i="5"/>
  <c r="AA312" i="5"/>
  <c r="S124" i="5"/>
  <c r="U70" i="5"/>
  <c r="W114" i="5"/>
  <c r="AF252" i="5"/>
  <c r="W244" i="5"/>
  <c r="W178" i="5"/>
  <c r="AG398" i="5"/>
  <c r="AB346" i="5"/>
  <c r="AE26" i="5"/>
  <c r="X186" i="5"/>
  <c r="V114" i="5"/>
  <c r="W76" i="5"/>
  <c r="X70" i="5"/>
  <c r="Y114" i="5"/>
  <c r="AD216" i="5"/>
  <c r="S244" i="5"/>
  <c r="AC316" i="5"/>
  <c r="AG82" i="5"/>
  <c r="AB206" i="5"/>
  <c r="Y174" i="5"/>
  <c r="W298" i="5"/>
  <c r="AC60" i="5"/>
  <c r="X346" i="5"/>
  <c r="T378" i="5"/>
  <c r="AA144" i="5"/>
  <c r="S316" i="5"/>
  <c r="W358" i="5"/>
  <c r="AB254" i="5"/>
  <c r="AF378" i="5"/>
  <c r="S342" i="5"/>
  <c r="AG382" i="5"/>
  <c r="AB356" i="5"/>
  <c r="T308" i="5"/>
  <c r="AB378" i="5"/>
  <c r="AJ72" i="5"/>
  <c r="T230" i="5"/>
  <c r="AE292" i="5"/>
  <c r="AE256" i="5"/>
  <c r="AE396" i="5"/>
  <c r="AH278" i="5"/>
  <c r="AC174" i="5"/>
  <c r="AF12" i="5"/>
  <c r="Y186" i="5"/>
  <c r="AA330" i="5"/>
  <c r="Z358" i="5"/>
  <c r="AD200" i="5"/>
  <c r="AD396" i="5"/>
  <c r="AH118" i="5"/>
  <c r="AE166" i="5"/>
  <c r="AC380" i="5"/>
  <c r="W270" i="5"/>
  <c r="U316" i="5"/>
  <c r="W252" i="5"/>
  <c r="Z162" i="5"/>
  <c r="AH276" i="5"/>
  <c r="AD282" i="5"/>
  <c r="Z342" i="5"/>
  <c r="AG102" i="5"/>
  <c r="AF228" i="5"/>
  <c r="AB118" i="5"/>
  <c r="X52" i="5"/>
  <c r="X114" i="5"/>
  <c r="S350" i="5"/>
  <c r="AD112" i="5"/>
  <c r="AC148" i="5"/>
  <c r="X124" i="5"/>
  <c r="W176" i="5"/>
  <c r="X20" i="5"/>
  <c r="AF176" i="5"/>
  <c r="AG360" i="5"/>
  <c r="T262" i="5"/>
  <c r="AC94" i="5"/>
  <c r="AF282" i="5"/>
  <c r="AE20" i="5"/>
  <c r="V244" i="5"/>
  <c r="AB236" i="5"/>
  <c r="X60" i="5"/>
  <c r="S340" i="5"/>
  <c r="AA180" i="5"/>
  <c r="V366" i="5"/>
  <c r="AH24" i="5"/>
  <c r="Z248" i="5"/>
  <c r="Y152" i="5"/>
  <c r="AF322" i="5"/>
  <c r="AG94" i="5"/>
  <c r="T114" i="5"/>
  <c r="X208" i="5"/>
  <c r="AD308" i="5"/>
  <c r="W234" i="5"/>
  <c r="S384" i="5"/>
  <c r="S380" i="5"/>
  <c r="AF200" i="5"/>
  <c r="AC172" i="5"/>
  <c r="V272" i="5"/>
  <c r="W46" i="5"/>
  <c r="V154" i="5"/>
  <c r="AF92" i="5"/>
  <c r="X376" i="5"/>
  <c r="AB34" i="5"/>
  <c r="AA158" i="5"/>
  <c r="AC386" i="5"/>
  <c r="AC164" i="5"/>
  <c r="V192" i="5"/>
  <c r="AB368" i="5"/>
  <c r="AD184" i="5"/>
  <c r="AH98" i="5"/>
  <c r="AB122" i="5"/>
  <c r="AD274" i="5"/>
  <c r="AE202" i="5"/>
  <c r="W210" i="5"/>
  <c r="T352" i="5"/>
  <c r="T302" i="5"/>
  <c r="AF312" i="5"/>
  <c r="AE286" i="5"/>
  <c r="AF150" i="5"/>
  <c r="AD168" i="5"/>
  <c r="AD100" i="5"/>
  <c r="Z160" i="5"/>
  <c r="AB210" i="5"/>
  <c r="W154" i="5"/>
  <c r="AG14" i="5"/>
  <c r="AG322" i="5"/>
  <c r="W302" i="5"/>
  <c r="S240" i="5"/>
  <c r="AB322" i="5"/>
  <c r="AC28" i="5"/>
  <c r="AD262" i="5"/>
  <c r="S176" i="5"/>
  <c r="AI312" i="5"/>
  <c r="AA302" i="5"/>
  <c r="T368" i="5"/>
  <c r="AF170" i="5"/>
  <c r="AA324" i="5"/>
  <c r="U182" i="5"/>
  <c r="Z136" i="5"/>
  <c r="Y308" i="5"/>
  <c r="V88" i="5"/>
  <c r="AB336" i="5"/>
  <c r="W368" i="5"/>
  <c r="AB142" i="5"/>
  <c r="X214" i="5"/>
  <c r="U108" i="5"/>
  <c r="Z192" i="5"/>
  <c r="W198" i="5"/>
  <c r="V370" i="5"/>
  <c r="X134" i="5"/>
  <c r="AC82" i="5"/>
  <c r="V170" i="5"/>
  <c r="V342" i="5"/>
  <c r="S286" i="5"/>
  <c r="AF82" i="5"/>
  <c r="AD336" i="5"/>
  <c r="X392" i="5"/>
  <c r="AD272" i="5"/>
  <c r="W134" i="5"/>
  <c r="AD388" i="5"/>
  <c r="X28" i="5"/>
  <c r="W296" i="5"/>
  <c r="W378" i="5"/>
  <c r="AE126" i="5"/>
  <c r="V340" i="5"/>
  <c r="V94" i="5"/>
  <c r="AF192" i="5"/>
  <c r="Z208" i="5"/>
  <c r="V328" i="5"/>
  <c r="X66" i="5"/>
  <c r="AD350" i="5"/>
  <c r="AA16" i="5"/>
  <c r="AG78" i="5"/>
  <c r="AB296" i="5"/>
  <c r="X138" i="5"/>
  <c r="T294" i="5"/>
  <c r="AC16" i="5"/>
  <c r="Z94" i="5"/>
  <c r="AF198" i="5"/>
  <c r="AF120" i="5"/>
  <c r="AA118" i="5"/>
  <c r="X44" i="5"/>
  <c r="AF352" i="5"/>
  <c r="AI78" i="5"/>
  <c r="S102" i="5"/>
  <c r="S230" i="5"/>
  <c r="Y12" i="5"/>
  <c r="AB180" i="5"/>
  <c r="U104" i="5"/>
  <c r="AA106" i="5"/>
  <c r="AG140" i="5"/>
  <c r="AD178" i="5"/>
  <c r="X96" i="5"/>
  <c r="Z170" i="5"/>
  <c r="Z374" i="5"/>
  <c r="AD12" i="5"/>
  <c r="AB238" i="5"/>
  <c r="AA30" i="5"/>
  <c r="X144" i="5"/>
  <c r="V148" i="5"/>
  <c r="S208" i="5"/>
  <c r="S228" i="5"/>
  <c r="W66" i="5"/>
  <c r="AF100" i="5"/>
  <c r="AA342" i="5"/>
  <c r="AB204" i="5"/>
  <c r="X90" i="5"/>
  <c r="X264" i="5"/>
  <c r="AG392" i="5"/>
  <c r="AC142" i="5"/>
  <c r="Z196" i="5"/>
  <c r="Z22" i="5"/>
  <c r="W126" i="5"/>
  <c r="V242" i="5"/>
  <c r="AF254" i="5"/>
  <c r="AA246" i="5"/>
  <c r="W228" i="5"/>
  <c r="V74" i="5"/>
  <c r="AD18" i="5"/>
  <c r="S358" i="5"/>
  <c r="AG92" i="5"/>
  <c r="V380" i="5"/>
  <c r="AG172" i="5"/>
  <c r="AB298" i="5"/>
  <c r="AE266" i="5"/>
  <c r="U184" i="5"/>
  <c r="S368" i="5"/>
  <c r="T94" i="5"/>
  <c r="Y200" i="5"/>
  <c r="X116" i="5"/>
  <c r="W342" i="5"/>
  <c r="S398" i="5"/>
  <c r="T400" i="5"/>
  <c r="AB262" i="5"/>
  <c r="V168" i="5"/>
  <c r="W348" i="5"/>
  <c r="V316" i="5"/>
  <c r="V282" i="5"/>
  <c r="V166" i="5"/>
  <c r="AF236" i="5"/>
  <c r="V360" i="5"/>
  <c r="T336" i="5"/>
  <c r="Z356" i="5"/>
  <c r="U174" i="5"/>
  <c r="T358" i="5"/>
  <c r="AD386" i="5"/>
  <c r="W152" i="5"/>
  <c r="X282" i="5"/>
  <c r="Y182" i="5"/>
  <c r="X182" i="5"/>
  <c r="U94" i="5"/>
  <c r="Y98" i="5"/>
  <c r="AD394" i="5"/>
  <c r="X158" i="5"/>
  <c r="Z396" i="5"/>
  <c r="AG342" i="5"/>
  <c r="Z144" i="5"/>
  <c r="AF360" i="5"/>
  <c r="AF78" i="5"/>
  <c r="S292" i="5"/>
  <c r="S16" i="5"/>
  <c r="W218" i="5"/>
  <c r="AF366" i="5"/>
  <c r="Z280" i="5"/>
  <c r="V348" i="5"/>
  <c r="AA394" i="5"/>
  <c r="AC20" i="5"/>
  <c r="AD392" i="5"/>
  <c r="AC106" i="5"/>
  <c r="AH216" i="5"/>
  <c r="V178" i="5"/>
  <c r="AB376" i="5"/>
  <c r="AA160" i="5"/>
  <c r="AD70" i="5"/>
  <c r="S224" i="5"/>
  <c r="AE246" i="5"/>
  <c r="AB382" i="5"/>
  <c r="Y230" i="5"/>
  <c r="AB14" i="5"/>
  <c r="V330" i="5"/>
  <c r="AH326" i="5"/>
  <c r="Y96" i="5"/>
  <c r="X274" i="5"/>
  <c r="AF286" i="5"/>
  <c r="AG292" i="5"/>
  <c r="AH296" i="5"/>
  <c r="X22" i="5"/>
  <c r="X150" i="5"/>
  <c r="U394" i="5"/>
  <c r="W272" i="5"/>
  <c r="AF58" i="5"/>
  <c r="AD192" i="5"/>
  <c r="AC376" i="5"/>
  <c r="X188" i="5"/>
  <c r="Z326" i="5"/>
  <c r="X322" i="5"/>
  <c r="AB158" i="5"/>
  <c r="AD166" i="5"/>
  <c r="AE82" i="5"/>
  <c r="T86" i="5"/>
  <c r="AF276" i="5"/>
  <c r="AA370" i="5"/>
  <c r="AA168" i="5"/>
  <c r="AB330" i="5"/>
  <c r="AD52" i="5"/>
  <c r="AB292" i="5"/>
  <c r="T392" i="5"/>
  <c r="AG280" i="5"/>
  <c r="X110" i="5"/>
  <c r="AE228" i="5"/>
  <c r="T346" i="5"/>
  <c r="AA98" i="5"/>
  <c r="AF306" i="5"/>
  <c r="U20" i="5"/>
  <c r="AA296" i="5"/>
  <c r="AB98" i="5"/>
  <c r="AB44" i="5"/>
  <c r="Y286" i="5"/>
  <c r="Y232" i="5"/>
  <c r="AD366" i="5"/>
  <c r="AG244" i="5"/>
  <c r="S160" i="5"/>
  <c r="AD224" i="5"/>
  <c r="V368" i="5"/>
  <c r="S34" i="5"/>
  <c r="T364" i="5"/>
  <c r="AC154" i="5"/>
  <c r="Z362" i="5"/>
  <c r="AA372" i="5"/>
  <c r="X72" i="5"/>
  <c r="AE174" i="5"/>
  <c r="AA148" i="5"/>
  <c r="AG230" i="5"/>
  <c r="AH312" i="5"/>
  <c r="S128" i="5"/>
  <c r="AE148" i="5"/>
  <c r="X184" i="5"/>
  <c r="AC248" i="5"/>
  <c r="W340" i="5"/>
  <c r="T116" i="5"/>
  <c r="Z18" i="5"/>
  <c r="S206" i="5"/>
  <c r="S204" i="5"/>
  <c r="W130" i="5"/>
  <c r="AD218" i="5"/>
  <c r="U172" i="5"/>
  <c r="S382" i="5"/>
  <c r="Y44" i="5"/>
  <c r="S84" i="5"/>
  <c r="T272" i="5"/>
  <c r="W216" i="5"/>
  <c r="T36" i="5"/>
  <c r="Z44" i="5"/>
  <c r="S88" i="5"/>
  <c r="Z72" i="5"/>
  <c r="Y36" i="5"/>
  <c r="Z392" i="5"/>
  <c r="AB106" i="5"/>
  <c r="T370" i="5"/>
  <c r="T316" i="5"/>
  <c r="S360" i="5"/>
  <c r="U210" i="5"/>
  <c r="AF350" i="5"/>
  <c r="AE332" i="5"/>
  <c r="T210" i="5"/>
  <c r="AD136" i="5"/>
  <c r="AF210" i="5"/>
  <c r="T384" i="5"/>
  <c r="Y88" i="5"/>
  <c r="S348" i="5"/>
  <c r="Y28" i="5"/>
  <c r="AG372" i="5"/>
  <c r="AA124" i="5"/>
  <c r="V136" i="5"/>
  <c r="AE158" i="5"/>
  <c r="W132" i="5"/>
  <c r="AE164" i="5"/>
  <c r="W20" i="5"/>
  <c r="AD252" i="5"/>
  <c r="AB124" i="5"/>
  <c r="AE392" i="5"/>
  <c r="AF66" i="5"/>
  <c r="U100" i="5"/>
  <c r="AE194" i="5"/>
  <c r="V292" i="5"/>
  <c r="AA276" i="5"/>
  <c r="S338" i="5"/>
  <c r="AD160" i="5"/>
  <c r="AA272" i="5"/>
  <c r="AB340" i="5"/>
  <c r="Z112" i="5"/>
  <c r="W86" i="5"/>
  <c r="AB286" i="5"/>
  <c r="AG254" i="5"/>
  <c r="V280" i="5"/>
  <c r="T178" i="5"/>
  <c r="W256" i="5"/>
  <c r="T382" i="5"/>
  <c r="AF218" i="5"/>
  <c r="AA206" i="5"/>
  <c r="AB282" i="5"/>
  <c r="AB348" i="5"/>
  <c r="AB380" i="5"/>
  <c r="Y52" i="5"/>
  <c r="AD16" i="5"/>
  <c r="AD24" i="5"/>
  <c r="W98" i="5"/>
  <c r="AB104" i="5"/>
  <c r="V350" i="5"/>
  <c r="AF336" i="5"/>
  <c r="AH132" i="5"/>
  <c r="AE294" i="5"/>
  <c r="AA362" i="5"/>
  <c r="V176" i="5"/>
  <c r="AB246" i="5"/>
  <c r="V362" i="5"/>
  <c r="W360" i="5"/>
  <c r="S180" i="5"/>
  <c r="AB202" i="5"/>
  <c r="T202" i="5"/>
  <c r="AF316" i="5"/>
  <c r="T366" i="5"/>
  <c r="S148" i="5"/>
  <c r="V104" i="5"/>
  <c r="AC186" i="5"/>
  <c r="S50" i="5"/>
  <c r="AF302" i="5"/>
  <c r="T228" i="5"/>
  <c r="T256" i="5"/>
  <c r="W224" i="5"/>
  <c r="V160" i="5"/>
  <c r="T252" i="5"/>
  <c r="AC52" i="5"/>
  <c r="AC366" i="5"/>
  <c r="W88" i="5"/>
  <c r="U240" i="5"/>
  <c r="W208" i="5"/>
  <c r="Y190" i="5"/>
  <c r="U388" i="5"/>
  <c r="Z118" i="5"/>
  <c r="X140" i="5"/>
  <c r="Y216" i="5"/>
  <c r="T248" i="5"/>
  <c r="Y248" i="5"/>
  <c r="Y130" i="5"/>
  <c r="T90" i="5"/>
  <c r="S96" i="5"/>
  <c r="T282" i="5"/>
  <c r="AG336" i="5"/>
  <c r="W346" i="5"/>
  <c r="T154" i="5"/>
  <c r="AD186" i="5"/>
  <c r="AH78" i="5"/>
  <c r="V286" i="5"/>
  <c r="AD98" i="5"/>
  <c r="V352" i="5"/>
  <c r="AE196" i="5"/>
  <c r="X248" i="5"/>
  <c r="U44" i="5"/>
  <c r="U244" i="5"/>
  <c r="Z338" i="5"/>
  <c r="X234" i="5"/>
  <c r="AA376" i="5"/>
  <c r="AB338" i="5"/>
  <c r="V398" i="5"/>
  <c r="Z340" i="5"/>
  <c r="AH142" i="5"/>
  <c r="AF130" i="5"/>
  <c r="Y122" i="5"/>
  <c r="U28" i="5"/>
  <c r="AF388" i="5"/>
  <c r="T362" i="5"/>
  <c r="X218" i="5"/>
  <c r="AD88" i="5"/>
  <c r="U332" i="5"/>
  <c r="U22" i="5"/>
  <c r="U266" i="5"/>
  <c r="AH238" i="5"/>
  <c r="AA248" i="5"/>
  <c r="AE118" i="5"/>
  <c r="Y80" i="5"/>
  <c r="AI158" i="5"/>
  <c r="AA126" i="5"/>
  <c r="AC70" i="5"/>
  <c r="AB374" i="5"/>
  <c r="AE338" i="5"/>
  <c r="AB316" i="5"/>
  <c r="AA360" i="5"/>
  <c r="Z134" i="5"/>
  <c r="AG356" i="5"/>
  <c r="AG346" i="5"/>
  <c r="T20" i="5"/>
  <c r="T396" i="5"/>
  <c r="T170" i="5"/>
  <c r="AC228" i="5"/>
  <c r="AD372" i="5"/>
  <c r="AE140" i="5"/>
  <c r="T136" i="5"/>
  <c r="AC176" i="5"/>
  <c r="Z116" i="5"/>
  <c r="AF52" i="5"/>
  <c r="AD176" i="5"/>
  <c r="AB30" i="5"/>
  <c r="S294" i="5"/>
  <c r="U246" i="5"/>
  <c r="W330" i="5"/>
  <c r="Y202" i="5"/>
  <c r="T44" i="5"/>
  <c r="W336" i="5"/>
  <c r="W372" i="5"/>
  <c r="Z110" i="5"/>
  <c r="AC252" i="5"/>
  <c r="U390" i="5"/>
  <c r="T332" i="5"/>
  <c r="AG122" i="5"/>
  <c r="V228" i="5"/>
  <c r="Z346" i="5"/>
  <c r="AH286" i="5"/>
  <c r="AE230" i="5"/>
  <c r="Y264" i="5"/>
  <c r="W100" i="5"/>
  <c r="AG118" i="5"/>
  <c r="AA382" i="5"/>
  <c r="AA340" i="5"/>
  <c r="AA182" i="5"/>
  <c r="Y274" i="5"/>
  <c r="AC128" i="5"/>
  <c r="AF162" i="5"/>
  <c r="Z204" i="5"/>
  <c r="V70" i="5"/>
  <c r="AC158" i="5"/>
  <c r="AG164" i="5"/>
  <c r="T204" i="5"/>
  <c r="AE116" i="5"/>
  <c r="AH76" i="5"/>
  <c r="AE14" i="5"/>
  <c r="AC242" i="5"/>
  <c r="T330" i="5"/>
  <c r="AF370" i="5"/>
  <c r="V194" i="5"/>
  <c r="W50" i="5"/>
  <c r="U122" i="5"/>
  <c r="AG132" i="5"/>
  <c r="AA136" i="5"/>
  <c r="Y184" i="5"/>
  <c r="U124" i="5"/>
  <c r="Y324" i="5"/>
  <c r="V208" i="5"/>
  <c r="W338" i="5"/>
  <c r="T276" i="5"/>
  <c r="T350" i="5"/>
  <c r="AB100" i="5"/>
  <c r="V44" i="5"/>
  <c r="AC206" i="5"/>
  <c r="V76" i="5"/>
  <c r="AF132" i="5"/>
  <c r="X246" i="5"/>
  <c r="AE274" i="5"/>
  <c r="AD332" i="5"/>
  <c r="Z182" i="5"/>
  <c r="S352" i="5"/>
  <c r="AE254" i="5"/>
  <c r="Z238" i="5"/>
  <c r="AD154" i="5"/>
  <c r="AC80" i="5"/>
  <c r="T234" i="5"/>
  <c r="AG130" i="5"/>
  <c r="AE58" i="5"/>
  <c r="Y218" i="5"/>
  <c r="AG338" i="5"/>
  <c r="W382" i="5"/>
  <c r="AG376" i="5"/>
  <c r="AG148" i="5"/>
  <c r="AF214" i="5"/>
  <c r="AF28" i="5"/>
  <c r="AE198" i="5"/>
  <c r="Z100" i="5"/>
  <c r="AC308" i="5"/>
  <c r="AD180" i="5"/>
  <c r="AF126" i="5"/>
  <c r="AE200" i="5"/>
  <c r="X80" i="5"/>
  <c r="X328" i="5"/>
  <c r="AD82" i="5"/>
  <c r="AD172" i="5"/>
  <c r="Z16" i="5"/>
  <c r="AB182" i="5"/>
  <c r="V86" i="5"/>
  <c r="AF140" i="5"/>
  <c r="U308" i="5"/>
  <c r="T186" i="5"/>
  <c r="AG350" i="5"/>
  <c r="AC96" i="5"/>
  <c r="V90" i="5"/>
  <c r="Z386" i="5"/>
  <c r="AB114" i="5"/>
  <c r="U80" i="5"/>
  <c r="AD356" i="5"/>
  <c r="V142" i="5"/>
  <c r="U158" i="5"/>
  <c r="AE108" i="5"/>
  <c r="Z292" i="5"/>
  <c r="V202" i="5"/>
  <c r="W36" i="5"/>
  <c r="T60" i="5"/>
  <c r="AE380" i="5"/>
  <c r="Z348" i="5"/>
  <c r="S184" i="5"/>
  <c r="AC384" i="5"/>
  <c r="Z36" i="5"/>
  <c r="AE270" i="5"/>
  <c r="AC190" i="5"/>
  <c r="W316" i="5"/>
  <c r="V102" i="5"/>
  <c r="W120" i="5"/>
  <c r="T240" i="5"/>
  <c r="AB150" i="5"/>
  <c r="AC232" i="5"/>
  <c r="Y244" i="5"/>
  <c r="W206" i="5"/>
  <c r="Y388" i="5"/>
  <c r="X164" i="5"/>
  <c r="U386" i="5"/>
  <c r="S400" i="5"/>
  <c r="U256" i="5"/>
  <c r="AD84" i="5"/>
  <c r="X370" i="5"/>
  <c r="X224" i="5"/>
  <c r="AG370" i="5"/>
  <c r="T340" i="5"/>
  <c r="AA336" i="5"/>
  <c r="S302" i="5"/>
  <c r="Y90" i="5"/>
  <c r="Z80" i="5"/>
  <c r="AA346" i="5"/>
  <c r="W110" i="5"/>
  <c r="AD376" i="5"/>
  <c r="W196" i="5"/>
  <c r="S396" i="5"/>
  <c r="X76" i="5"/>
  <c r="Z240" i="5"/>
  <c r="AA252" i="5"/>
  <c r="U302" i="5"/>
  <c r="W124" i="5"/>
  <c r="AA24" i="5"/>
  <c r="W160" i="5"/>
  <c r="AE80" i="5"/>
  <c r="X194" i="5"/>
  <c r="AB352" i="5"/>
  <c r="AF204" i="5"/>
  <c r="T292" i="5"/>
  <c r="V378" i="5"/>
  <c r="V144" i="5"/>
  <c r="Z70" i="5"/>
  <c r="S114" i="5"/>
  <c r="S168" i="5"/>
  <c r="AB332" i="5"/>
  <c r="Y238" i="5"/>
  <c r="AD326" i="5"/>
  <c r="AE304" i="5"/>
  <c r="AF324" i="5"/>
  <c r="AD256" i="5"/>
  <c r="AA138" i="5"/>
  <c r="X128" i="5"/>
  <c r="AG74" i="5"/>
  <c r="AD162" i="5"/>
  <c r="AF376" i="5"/>
  <c r="X262" i="5"/>
  <c r="AB306" i="5"/>
  <c r="Y178" i="5"/>
  <c r="AA388" i="5"/>
  <c r="S122" i="5"/>
  <c r="AA328" i="5"/>
  <c r="AD138" i="5"/>
  <c r="AB96" i="5"/>
  <c r="X102" i="5"/>
  <c r="W116" i="5"/>
  <c r="Z316" i="5"/>
  <c r="AB172" i="5"/>
  <c r="Z376" i="5"/>
  <c r="S140" i="5"/>
  <c r="U86" i="5"/>
  <c r="AF346" i="5"/>
  <c r="AD296" i="5"/>
  <c r="AA386" i="5"/>
  <c r="U262" i="5"/>
  <c r="AE88" i="5"/>
  <c r="AA384" i="5"/>
  <c r="AF118" i="5"/>
  <c r="Z202" i="5"/>
  <c r="AB218" i="5"/>
  <c r="X286" i="5"/>
  <c r="S246" i="5"/>
  <c r="AF394" i="5"/>
  <c r="Y136" i="5"/>
  <c r="Y72" i="5"/>
  <c r="AF232" i="5"/>
  <c r="AD80" i="5"/>
  <c r="Z350" i="5"/>
  <c r="Z60" i="5"/>
  <c r="AA122" i="5"/>
  <c r="T78" i="5"/>
  <c r="AE76" i="5"/>
  <c r="AB350" i="5"/>
  <c r="AD340" i="5"/>
  <c r="Y282" i="5"/>
  <c r="W396" i="5"/>
  <c r="AC340" i="5"/>
  <c r="AF14" i="5"/>
  <c r="W60" i="5"/>
  <c r="AB74" i="5"/>
  <c r="AB36" i="5"/>
  <c r="AE204" i="5"/>
  <c r="V80" i="5"/>
  <c r="V240" i="5"/>
  <c r="S386" i="5"/>
  <c r="AF194" i="5"/>
  <c r="AB360" i="5"/>
  <c r="AB228" i="5"/>
  <c r="AE110" i="5"/>
  <c r="AA90" i="5"/>
  <c r="V84" i="5"/>
  <c r="AB186" i="5"/>
  <c r="V356" i="5"/>
  <c r="AD390" i="5"/>
  <c r="Y198" i="5"/>
  <c r="X256" i="5"/>
  <c r="AA308" i="5"/>
  <c r="T12" i="5"/>
  <c r="Y50" i="5"/>
  <c r="T80" i="5"/>
  <c r="S362" i="5"/>
  <c r="AF280" i="5"/>
  <c r="Z96" i="5"/>
  <c r="T286" i="5"/>
  <c r="T172" i="5"/>
  <c r="AC44" i="5"/>
  <c r="U238" i="5"/>
  <c r="AH138" i="5"/>
  <c r="AA128" i="5"/>
  <c r="AG120" i="5"/>
  <c r="W366" i="5"/>
  <c r="AD352" i="5"/>
  <c r="AG18" i="5"/>
  <c r="AE136" i="5"/>
  <c r="T52" i="5"/>
  <c r="AE36" i="5"/>
  <c r="V130" i="5"/>
  <c r="Z178" i="5"/>
  <c r="AC132" i="5"/>
  <c r="AA70" i="5"/>
  <c r="AC104" i="5"/>
  <c r="Y168" i="5"/>
  <c r="AG388" i="5"/>
  <c r="V210" i="5"/>
  <c r="U218" i="5"/>
  <c r="S198" i="5"/>
  <c r="AA254" i="5"/>
  <c r="AE94" i="5"/>
  <c r="T244" i="5"/>
  <c r="AB52" i="5"/>
  <c r="X168" i="5"/>
  <c r="T152" i="5"/>
  <c r="Z234" i="5"/>
  <c r="Y20" i="5"/>
  <c r="W306" i="5"/>
  <c r="S216" i="5"/>
  <c r="AH126" i="5"/>
  <c r="V36" i="5"/>
  <c r="AA14" i="5"/>
  <c r="AG58" i="5"/>
  <c r="Y256" i="5"/>
  <c r="AA364" i="5"/>
  <c r="Y140" i="5"/>
  <c r="W184" i="5"/>
  <c r="AA82" i="5"/>
  <c r="T14" i="5"/>
  <c r="AE376" i="5"/>
  <c r="AF22" i="5"/>
  <c r="AC170" i="5"/>
  <c r="AA350" i="5"/>
  <c r="V134" i="5"/>
  <c r="S392" i="5"/>
  <c r="W248" i="5"/>
  <c r="AD128" i="5"/>
  <c r="AA316" i="5"/>
  <c r="S144" i="5"/>
  <c r="W384" i="5"/>
  <c r="AE280" i="5"/>
  <c r="AG88" i="5"/>
  <c r="X230" i="5"/>
  <c r="Z384" i="5"/>
  <c r="AC274" i="5"/>
  <c r="AE352" i="5"/>
  <c r="Y294" i="5"/>
  <c r="W242" i="5"/>
  <c r="V276" i="5"/>
  <c r="Z174" i="5"/>
  <c r="V12" i="5"/>
  <c r="U196" i="5"/>
  <c r="S196" i="5"/>
  <c r="AC14" i="5"/>
  <c r="AE224" i="5"/>
  <c r="AA204" i="5"/>
  <c r="AJ398" i="5"/>
  <c r="AI272" i="5"/>
  <c r="AE134" i="5"/>
  <c r="AE170" i="5"/>
  <c r="AH236" i="5"/>
  <c r="W106" i="5"/>
  <c r="Y210" i="5"/>
  <c r="AA380" i="5"/>
  <c r="AE342" i="5"/>
  <c r="AI92" i="5"/>
  <c r="AJ256" i="5"/>
  <c r="AG240" i="5"/>
  <c r="AE184" i="5"/>
  <c r="U370" i="5"/>
  <c r="Y208" i="5"/>
  <c r="AD210" i="5"/>
  <c r="S336" i="5"/>
  <c r="AD124" i="5"/>
  <c r="AF330" i="5"/>
  <c r="AE398" i="5"/>
  <c r="AE390" i="5"/>
  <c r="X152" i="5"/>
  <c r="AF294" i="5"/>
  <c r="AE366" i="5"/>
  <c r="AJ184" i="5"/>
  <c r="AH178" i="5"/>
  <c r="AI22" i="5"/>
  <c r="W170" i="5"/>
  <c r="AG108" i="5"/>
  <c r="AB194" i="5"/>
  <c r="AE124" i="5"/>
  <c r="AH214" i="5"/>
  <c r="AH144" i="5"/>
  <c r="AB364" i="5"/>
  <c r="AI324" i="5"/>
  <c r="W94" i="5"/>
  <c r="U12" i="5"/>
  <c r="AH90" i="5"/>
  <c r="AJ144" i="5"/>
  <c r="AJ142" i="5"/>
  <c r="AJ388" i="5"/>
  <c r="V374" i="5"/>
  <c r="W364" i="5"/>
  <c r="AH202" i="5"/>
  <c r="AI166" i="5"/>
  <c r="AF60" i="5"/>
  <c r="AH122" i="5"/>
  <c r="AH246" i="5"/>
  <c r="AF274" i="5"/>
  <c r="AG216" i="5"/>
  <c r="W70" i="5"/>
  <c r="AF362" i="5"/>
  <c r="U202" i="5"/>
  <c r="AG36" i="5"/>
  <c r="AI192" i="5"/>
  <c r="T194" i="5"/>
  <c r="AJ158" i="5"/>
  <c r="AJ192" i="5"/>
  <c r="V186" i="5"/>
  <c r="X178" i="5"/>
  <c r="AI188" i="5"/>
  <c r="AI140" i="5"/>
  <c r="AG26" i="5"/>
  <c r="AH84" i="5"/>
  <c r="AH350" i="5"/>
  <c r="AD208" i="5"/>
  <c r="AH256" i="5"/>
  <c r="AG248" i="5"/>
  <c r="AF296" i="5"/>
  <c r="X206" i="5"/>
  <c r="AI120" i="5"/>
  <c r="AG186" i="5"/>
  <c r="T342" i="5"/>
  <c r="AD378" i="5"/>
  <c r="AG296" i="5"/>
  <c r="AE168" i="5"/>
  <c r="W12" i="5"/>
  <c r="AJ228" i="5"/>
  <c r="S296" i="5"/>
  <c r="AB230" i="5"/>
  <c r="AH228" i="5"/>
  <c r="AH46" i="5"/>
  <c r="AE368" i="5"/>
  <c r="AG124" i="5"/>
  <c r="V152" i="5"/>
  <c r="AI60" i="5"/>
  <c r="AI138" i="5"/>
  <c r="AE152" i="5"/>
  <c r="AH50" i="5"/>
  <c r="AI124" i="5"/>
  <c r="S86" i="5"/>
  <c r="AF184" i="5"/>
  <c r="Y272" i="5"/>
  <c r="AH360" i="5"/>
  <c r="AH366" i="5"/>
  <c r="AH152" i="5"/>
  <c r="AI26" i="5"/>
  <c r="AJ188" i="5"/>
  <c r="V122" i="5"/>
  <c r="AH160" i="5"/>
  <c r="AH12" i="5"/>
  <c r="AI100" i="5"/>
  <c r="AI46" i="5"/>
  <c r="AA114" i="5"/>
  <c r="Z184" i="5"/>
  <c r="AH232" i="5"/>
  <c r="AF292" i="5"/>
  <c r="AI20" i="5"/>
  <c r="AF124" i="5"/>
  <c r="AF160" i="5"/>
  <c r="AE378" i="5"/>
  <c r="AG256" i="5"/>
  <c r="AJ252" i="5"/>
  <c r="AI286" i="5"/>
  <c r="AJ254" i="5"/>
  <c r="AG252" i="5"/>
  <c r="AG128" i="5"/>
  <c r="AG80" i="5"/>
  <c r="AI178" i="5"/>
  <c r="AE340" i="5"/>
  <c r="AF172" i="5"/>
  <c r="AF30" i="5"/>
  <c r="AA134" i="5"/>
  <c r="AE44" i="5"/>
  <c r="T338" i="5"/>
  <c r="AE276" i="5"/>
  <c r="AH60" i="5"/>
  <c r="AH188" i="5"/>
  <c r="W180" i="5"/>
  <c r="AF90" i="5"/>
  <c r="X12" i="5"/>
  <c r="AH166" i="5"/>
  <c r="AG236" i="5"/>
  <c r="AD102" i="5"/>
  <c r="AG60" i="5"/>
  <c r="AE52" i="5"/>
  <c r="X210" i="5"/>
  <c r="AF166" i="5"/>
  <c r="AH200" i="5"/>
  <c r="AJ248" i="5"/>
  <c r="AH338" i="5"/>
  <c r="AG152" i="5"/>
  <c r="AH104" i="5"/>
  <c r="AJ168" i="5"/>
  <c r="AI118" i="5"/>
  <c r="AG112" i="5"/>
  <c r="AE382" i="5"/>
  <c r="Z360" i="5"/>
  <c r="T218" i="5"/>
  <c r="AI386" i="5"/>
  <c r="AE74" i="5"/>
  <c r="AJ266" i="5"/>
  <c r="AI296" i="5"/>
  <c r="AD364" i="5"/>
  <c r="AD46" i="5"/>
  <c r="AB16" i="5"/>
  <c r="AF224" i="5"/>
  <c r="U186" i="5"/>
  <c r="AG380" i="5"/>
  <c r="AH148" i="5"/>
  <c r="AC292" i="5"/>
  <c r="S174" i="5"/>
  <c r="AH396" i="5"/>
  <c r="AG46" i="5"/>
  <c r="U178" i="5"/>
  <c r="AG110" i="5"/>
  <c r="AH176" i="5"/>
  <c r="AH164" i="5"/>
  <c r="S238" i="5"/>
  <c r="AE242" i="5"/>
  <c r="W236" i="5"/>
  <c r="AH196" i="5"/>
  <c r="AG76" i="5"/>
  <c r="AJ152" i="5"/>
  <c r="AJ214" i="5"/>
  <c r="AA152" i="5"/>
  <c r="AF216" i="5"/>
  <c r="AB20" i="5"/>
  <c r="S30" i="5"/>
  <c r="AF80" i="5"/>
  <c r="AI58" i="5"/>
  <c r="AE78" i="5"/>
  <c r="AA130" i="5"/>
  <c r="S18" i="5"/>
  <c r="AJ216" i="5"/>
  <c r="AG272" i="5"/>
  <c r="AG192" i="5"/>
  <c r="AG246" i="5"/>
  <c r="W186" i="5"/>
  <c r="AE178" i="5"/>
  <c r="AB162" i="5"/>
  <c r="AH348" i="5"/>
  <c r="AJ160" i="5"/>
  <c r="AI148" i="5"/>
  <c r="T124" i="5"/>
  <c r="V394" i="5"/>
  <c r="AH100" i="5"/>
  <c r="AH110" i="5"/>
  <c r="AE160" i="5"/>
  <c r="AI12" i="5"/>
  <c r="AH242" i="5"/>
  <c r="AH380" i="5"/>
  <c r="T360" i="5"/>
  <c r="AD134" i="5"/>
  <c r="AH44" i="5"/>
  <c r="AE358" i="5"/>
  <c r="AB102" i="5"/>
  <c r="AB272" i="5"/>
  <c r="S106" i="5"/>
  <c r="AH368" i="5"/>
  <c r="W276" i="5"/>
  <c r="AG396" i="5"/>
  <c r="AH120" i="5"/>
  <c r="U212" i="5"/>
  <c r="AI162" i="5"/>
  <c r="AI282" i="5"/>
  <c r="AG188" i="5"/>
  <c r="AG340" i="5"/>
  <c r="AJ150" i="5"/>
  <c r="AG196" i="5"/>
  <c r="X154" i="5"/>
  <c r="AH382" i="5"/>
  <c r="AG162" i="5"/>
  <c r="AG276" i="5"/>
  <c r="AH18" i="5"/>
  <c r="AI304" i="5"/>
  <c r="AH74" i="5"/>
  <c r="AG298" i="5"/>
  <c r="T126" i="5"/>
  <c r="T236" i="5"/>
  <c r="AI308" i="5"/>
  <c r="AH20" i="5"/>
  <c r="AG24" i="5"/>
  <c r="S308" i="5"/>
  <c r="AE84" i="5"/>
  <c r="AF180" i="5"/>
  <c r="AI164" i="5"/>
  <c r="Z166" i="5"/>
  <c r="AE218" i="5"/>
  <c r="W90" i="5"/>
  <c r="AE46" i="5"/>
  <c r="AF110" i="5"/>
  <c r="AB88" i="5"/>
  <c r="Z12" i="5"/>
  <c r="AI142" i="5"/>
  <c r="AE60" i="5"/>
  <c r="AH172" i="5"/>
  <c r="Y254" i="5"/>
  <c r="AE384" i="5"/>
  <c r="AG52" i="5"/>
  <c r="AJ84" i="5"/>
  <c r="AG44" i="5"/>
  <c r="AD240" i="5"/>
  <c r="AI278" i="5"/>
  <c r="AH96" i="5"/>
  <c r="X74" i="5"/>
  <c r="X298" i="5"/>
  <c r="Z90" i="5"/>
  <c r="AI34" i="5"/>
  <c r="AG30" i="5"/>
  <c r="AH192" i="5"/>
  <c r="AE12" i="5"/>
  <c r="AG262" i="5"/>
  <c r="AA34" i="5"/>
  <c r="AF98" i="5"/>
  <c r="AH266" i="5"/>
  <c r="AH92" i="5"/>
  <c r="Z52" i="5"/>
  <c r="AJ166" i="5"/>
  <c r="AC136" i="5"/>
  <c r="AE106" i="5"/>
  <c r="AJ120" i="5"/>
  <c r="AI116" i="5"/>
  <c r="AJ148" i="5"/>
  <c r="AI202" i="5"/>
  <c r="U292" i="5"/>
  <c r="AG166" i="5"/>
  <c r="AH346" i="5"/>
  <c r="AG160" i="5"/>
  <c r="AC124" i="5"/>
  <c r="AJ46" i="5"/>
  <c r="AE272" i="5"/>
  <c r="AE210" i="5"/>
  <c r="AI194" i="5"/>
  <c r="W28" i="5"/>
  <c r="AA208" i="5"/>
  <c r="AJ326" i="5"/>
  <c r="AG194" i="5"/>
  <c r="AH182" i="5"/>
  <c r="AG302" i="5"/>
  <c r="AH280" i="5"/>
  <c r="T98" i="5"/>
  <c r="AD338" i="5"/>
  <c r="S364" i="5"/>
  <c r="T106" i="5"/>
  <c r="AE214" i="5"/>
  <c r="Z210" i="5"/>
  <c r="AG182" i="5"/>
  <c r="AC46" i="5"/>
  <c r="U214" i="5"/>
  <c r="AE100" i="5"/>
  <c r="U60" i="5"/>
  <c r="AD194" i="5"/>
  <c r="S370" i="5"/>
  <c r="AH206" i="5"/>
  <c r="AE90" i="5"/>
  <c r="AF44" i="5"/>
  <c r="AH322" i="5"/>
  <c r="AH80" i="5"/>
  <c r="AH370" i="5"/>
  <c r="AH282" i="5"/>
  <c r="AF158" i="5"/>
  <c r="AI24" i="5"/>
  <c r="AF246" i="5"/>
  <c r="X308" i="5"/>
  <c r="Y60" i="5"/>
  <c r="AD380" i="5"/>
  <c r="AG198" i="5"/>
  <c r="AJ270" i="5"/>
  <c r="AF248" i="5"/>
  <c r="AF20" i="5"/>
  <c r="AH26" i="5"/>
  <c r="AC162" i="5"/>
  <c r="Y206" i="5"/>
  <c r="AG20" i="5"/>
  <c r="AC210" i="5"/>
  <c r="AH244" i="5"/>
  <c r="AD36" i="5"/>
  <c r="AI326" i="5"/>
  <c r="U236" i="5"/>
  <c r="AB12" i="5"/>
  <c r="W332" i="5"/>
  <c r="Y76" i="5"/>
  <c r="AG106" i="5"/>
  <c r="AF106" i="5"/>
  <c r="AE240" i="5"/>
  <c r="T356" i="5"/>
  <c r="AG228" i="5"/>
  <c r="Z368" i="5"/>
  <c r="AA104" i="5"/>
  <c r="AE394" i="5"/>
  <c r="AE364" i="5"/>
  <c r="AK214" i="5"/>
  <c r="AI216" i="5"/>
  <c r="X316" i="5"/>
  <c r="AD358" i="5"/>
  <c r="AF152" i="5"/>
  <c r="AE162" i="5"/>
  <c r="AJ200" i="5"/>
  <c r="AI276" i="5"/>
  <c r="AG358" i="5"/>
  <c r="X82" i="5"/>
  <c r="V302" i="5"/>
  <c r="AD202" i="5"/>
  <c r="AH392" i="5"/>
  <c r="AF304" i="5"/>
  <c r="AE18" i="5"/>
  <c r="AI132" i="5"/>
  <c r="AC294" i="5"/>
  <c r="AG206" i="5"/>
  <c r="AA332" i="5"/>
  <c r="AD28" i="5"/>
  <c r="AG204" i="5"/>
  <c r="AC302" i="5"/>
  <c r="AG142" i="5"/>
  <c r="AD242" i="5"/>
  <c r="AF36" i="5"/>
  <c r="AE386" i="5"/>
  <c r="Z218" i="5"/>
  <c r="AF104" i="5"/>
  <c r="AH230" i="5"/>
  <c r="AF178" i="5"/>
  <c r="AG90" i="5"/>
  <c r="AE186" i="5"/>
  <c r="Z388" i="5"/>
  <c r="Z244" i="5"/>
  <c r="AJ240" i="5"/>
  <c r="AJ140" i="5"/>
  <c r="AF144" i="5"/>
  <c r="AC324" i="5"/>
  <c r="AH114" i="5"/>
  <c r="AI128" i="5"/>
  <c r="W14" i="5"/>
  <c r="T242" i="5"/>
  <c r="AJ26" i="5"/>
  <c r="AE144" i="5"/>
  <c r="X324" i="5"/>
  <c r="U102" i="5"/>
  <c r="AH30" i="5"/>
  <c r="AE346" i="5"/>
  <c r="AB28" i="5"/>
  <c r="AD74" i="5"/>
  <c r="AC36" i="5"/>
  <c r="AE248" i="5"/>
  <c r="AI262" i="5"/>
  <c r="AH224" i="5"/>
  <c r="S172" i="5"/>
  <c r="AD90" i="5"/>
  <c r="AD232" i="5"/>
  <c r="AF154" i="5"/>
  <c r="S272" i="5"/>
  <c r="AB276" i="5"/>
  <c r="AJ50" i="5"/>
  <c r="AJ224" i="5"/>
  <c r="AH292" i="5"/>
  <c r="AH398" i="5"/>
  <c r="AH88" i="5"/>
  <c r="AD292" i="5"/>
  <c r="AI52" i="5"/>
  <c r="AF168" i="5"/>
  <c r="AH168" i="5"/>
  <c r="AB84" i="5"/>
  <c r="V100" i="5"/>
  <c r="V162" i="5"/>
  <c r="AE150" i="5"/>
  <c r="AH378" i="5"/>
  <c r="AJ278" i="5"/>
  <c r="AH384" i="5"/>
  <c r="AI398" i="5"/>
  <c r="AJ88" i="5"/>
  <c r="AF240" i="5"/>
  <c r="AH218" i="5"/>
  <c r="AH204" i="5"/>
  <c r="AG210" i="5"/>
  <c r="AH332" i="5"/>
  <c r="X104" i="5"/>
  <c r="AB174" i="5"/>
  <c r="AD368" i="5"/>
  <c r="Y144" i="5"/>
  <c r="AE282" i="5"/>
  <c r="T380" i="5"/>
  <c r="W350" i="5"/>
  <c r="AJ230" i="5"/>
  <c r="AJ394" i="5"/>
  <c r="Y100" i="5"/>
  <c r="W352" i="5"/>
  <c r="T374" i="5"/>
  <c r="AF134" i="5"/>
  <c r="AG100" i="5"/>
  <c r="AE176" i="5"/>
  <c r="AI396" i="5"/>
  <c r="AE122" i="5"/>
  <c r="AI66" i="5"/>
  <c r="AF202" i="5"/>
  <c r="U324" i="5"/>
  <c r="AF114" i="5"/>
  <c r="AJ274" i="5"/>
  <c r="AH116" i="5"/>
  <c r="AG168" i="5"/>
  <c r="AJ138" i="5"/>
  <c r="AC194" i="5"/>
  <c r="AG238" i="5"/>
  <c r="AE206" i="5"/>
  <c r="X162" i="5"/>
  <c r="X170" i="5"/>
  <c r="AI186" i="5"/>
  <c r="AI270" i="5"/>
  <c r="AH22" i="5"/>
  <c r="AF230" i="5"/>
  <c r="AI110" i="5"/>
  <c r="AI274" i="5"/>
  <c r="AI210" i="5"/>
  <c r="AI154" i="5"/>
  <c r="AG84" i="5"/>
  <c r="AF94" i="5"/>
  <c r="AA94" i="5"/>
  <c r="Z142" i="5"/>
  <c r="AA392" i="5"/>
  <c r="AE50" i="5"/>
  <c r="S262" i="5"/>
  <c r="X36" i="5"/>
  <c r="Z206" i="5"/>
  <c r="AE138" i="5"/>
  <c r="AH162" i="5"/>
  <c r="AH364" i="5"/>
  <c r="AJ282" i="5"/>
  <c r="AB358" i="5"/>
  <c r="AH362" i="5"/>
  <c r="AF26" i="5"/>
  <c r="AG22" i="5"/>
  <c r="AH154" i="5"/>
  <c r="AH336" i="5"/>
  <c r="AH14" i="5"/>
  <c r="AJ92" i="5"/>
  <c r="AH210" i="5"/>
  <c r="AC134" i="5"/>
  <c r="AH36" i="5"/>
  <c r="AI242" i="5"/>
  <c r="AG66" i="5"/>
  <c r="Z92" i="5"/>
  <c r="U110" i="5"/>
  <c r="W374" i="5"/>
  <c r="AD44" i="5"/>
  <c r="AD248" i="5"/>
  <c r="U170" i="5"/>
  <c r="AD94" i="5"/>
  <c r="AE114" i="5"/>
  <c r="AG308" i="5"/>
  <c r="AF270" i="5"/>
  <c r="AJ76" i="5"/>
  <c r="AH394" i="5"/>
  <c r="AB392" i="5"/>
  <c r="AI30" i="5"/>
  <c r="AI388" i="5"/>
  <c r="AJ58" i="5"/>
  <c r="AI50" i="5"/>
  <c r="AF238" i="5"/>
  <c r="AG150" i="5"/>
  <c r="Z352" i="5"/>
  <c r="AH198" i="5"/>
  <c r="AE370" i="5"/>
  <c r="AC182" i="5"/>
  <c r="AD330" i="5"/>
  <c r="T72" i="5"/>
  <c r="AI266" i="5"/>
  <c r="AH386" i="5"/>
  <c r="AI76" i="5"/>
  <c r="AE360" i="5"/>
  <c r="W34" i="5"/>
  <c r="AF206" i="5"/>
  <c r="AK76" i="5"/>
  <c r="AI224" i="5"/>
  <c r="Y246" i="5"/>
  <c r="AH134" i="5"/>
  <c r="AE336" i="5"/>
  <c r="AI214" i="5"/>
  <c r="AI372" i="5"/>
  <c r="AL298" i="5"/>
  <c r="AF76" i="5"/>
  <c r="AJ132" i="5"/>
  <c r="AI350" i="5"/>
  <c r="AI340" i="5"/>
  <c r="AJ82" i="5"/>
  <c r="AK364" i="5"/>
  <c r="AH52" i="5"/>
  <c r="AK280" i="5"/>
  <c r="AI218" i="5"/>
  <c r="AK376" i="5"/>
  <c r="AK346" i="5"/>
  <c r="AL182" i="5"/>
  <c r="AI72" i="5"/>
  <c r="AL76" i="5"/>
  <c r="AJ22" i="5"/>
  <c r="AJ128" i="5"/>
  <c r="AJ342" i="5"/>
  <c r="AJ360" i="5"/>
  <c r="AK120" i="5"/>
  <c r="AG50" i="5"/>
  <c r="AK158" i="5"/>
  <c r="AI122" i="5"/>
  <c r="AI112" i="5"/>
  <c r="AE348" i="5"/>
  <c r="AI14" i="5"/>
  <c r="AI230" i="5"/>
  <c r="AG242" i="5"/>
  <c r="AL22" i="5"/>
  <c r="AI376" i="5"/>
  <c r="AJ350" i="5"/>
  <c r="AI136" i="5"/>
  <c r="AI348" i="5"/>
  <c r="AJ34" i="5"/>
  <c r="AJ396" i="5"/>
  <c r="AH72" i="5"/>
  <c r="AK266" i="5"/>
  <c r="AL128" i="5"/>
  <c r="AL230" i="5"/>
  <c r="AJ114" i="5"/>
  <c r="AK228" i="5"/>
  <c r="AH254" i="5"/>
  <c r="AE154" i="5"/>
  <c r="AJ164" i="5"/>
  <c r="AK74" i="5"/>
  <c r="AI362" i="5"/>
  <c r="AL100" i="5"/>
  <c r="AJ108" i="5"/>
  <c r="AL158" i="5"/>
  <c r="AK196" i="5"/>
  <c r="AK192" i="5"/>
  <c r="AE28" i="5"/>
  <c r="AL96" i="5"/>
  <c r="AL198" i="5"/>
  <c r="AI342" i="5"/>
  <c r="AJ66" i="5"/>
  <c r="AJ218" i="5"/>
  <c r="AJ348" i="5"/>
  <c r="AK78" i="5"/>
  <c r="AG218" i="5"/>
  <c r="AG324" i="5"/>
  <c r="AL214" i="5"/>
  <c r="AI114" i="5"/>
  <c r="AI336" i="5"/>
  <c r="AE356" i="5"/>
  <c r="AI360" i="5"/>
  <c r="AJ324" i="5"/>
  <c r="AG176" i="5"/>
  <c r="AJ302" i="5"/>
  <c r="AH16" i="5"/>
  <c r="AI330" i="5"/>
  <c r="AK386" i="5"/>
  <c r="AH262" i="5"/>
  <c r="AF96" i="5"/>
  <c r="AL132" i="5"/>
  <c r="AL246" i="5"/>
  <c r="AL224" i="5"/>
  <c r="AI382" i="5"/>
  <c r="AL120" i="5"/>
  <c r="AJ134" i="5"/>
  <c r="AI292" i="5"/>
  <c r="AE350" i="5"/>
  <c r="AF50" i="5"/>
  <c r="AH340" i="5"/>
  <c r="AK378" i="5"/>
  <c r="AI106" i="5"/>
  <c r="AI244" i="5"/>
  <c r="AH82" i="5"/>
  <c r="AH140" i="5"/>
  <c r="AJ244" i="5"/>
  <c r="AJ298" i="5"/>
  <c r="AK224" i="5"/>
  <c r="AK256" i="5"/>
  <c r="AK200" i="5"/>
  <c r="AI80" i="5"/>
  <c r="AJ174" i="5"/>
  <c r="AL140" i="5"/>
  <c r="AK336" i="5"/>
  <c r="AJ292" i="5"/>
  <c r="AI174" i="5"/>
  <c r="AF186" i="5"/>
  <c r="AJ296" i="5"/>
  <c r="AH150" i="5"/>
  <c r="AJ380" i="5"/>
  <c r="AI198" i="5"/>
  <c r="AI96" i="5"/>
  <c r="AJ358" i="5"/>
  <c r="AK338" i="5"/>
  <c r="AJ122" i="5"/>
  <c r="AI94" i="5"/>
  <c r="AG286" i="5"/>
  <c r="AI102" i="5"/>
  <c r="AI240" i="5"/>
  <c r="AJ366" i="5"/>
  <c r="AF298" i="5"/>
  <c r="AG174" i="5"/>
  <c r="AJ130" i="5"/>
  <c r="AI36" i="5"/>
  <c r="AL90" i="5"/>
  <c r="AK394" i="5"/>
  <c r="AK342" i="5"/>
  <c r="AI302" i="5"/>
  <c r="AG116" i="5"/>
  <c r="AJ238" i="5"/>
  <c r="AI18" i="5"/>
  <c r="AI90" i="5"/>
  <c r="AH358" i="5"/>
  <c r="AH376" i="5"/>
  <c r="AK296" i="5"/>
  <c r="AJ276" i="5"/>
  <c r="AL254" i="5"/>
  <c r="AH272" i="5"/>
  <c r="AJ112" i="5"/>
  <c r="AG184" i="5"/>
  <c r="AK330" i="5"/>
  <c r="AH180" i="5"/>
  <c r="AG144" i="5"/>
  <c r="AI306" i="5"/>
  <c r="AJ172" i="5"/>
  <c r="AJ36" i="5"/>
  <c r="AG274" i="5"/>
  <c r="AJ90" i="5"/>
  <c r="AJ204" i="5"/>
  <c r="AL150" i="5"/>
  <c r="AI352" i="5"/>
  <c r="AJ372" i="5"/>
  <c r="AJ340" i="5"/>
  <c r="AI200" i="5"/>
  <c r="AL266" i="5"/>
  <c r="AI236" i="5"/>
  <c r="AI366" i="5"/>
  <c r="AJ262" i="5"/>
  <c r="AI74" i="5"/>
  <c r="AJ280" i="5"/>
  <c r="AK362" i="5"/>
  <c r="AJ12" i="5"/>
  <c r="AI204" i="5"/>
  <c r="AJ308" i="5"/>
  <c r="AE330" i="5"/>
  <c r="AJ96" i="5"/>
  <c r="AL216" i="5"/>
  <c r="AJ332" i="5"/>
  <c r="AJ106" i="5"/>
  <c r="AK350" i="5"/>
  <c r="AI370" i="5"/>
  <c r="AE362" i="5"/>
  <c r="AI130" i="5"/>
  <c r="AJ386" i="5"/>
  <c r="AI108" i="5"/>
  <c r="AK312" i="5"/>
  <c r="AI126" i="5"/>
  <c r="AJ312" i="5"/>
  <c r="AE372" i="5"/>
  <c r="AI254" i="5"/>
  <c r="AI298" i="5"/>
  <c r="AL278" i="5"/>
  <c r="AG306" i="5"/>
  <c r="AD60" i="5"/>
  <c r="AJ94" i="5"/>
  <c r="AK272" i="5"/>
  <c r="AG12" i="5"/>
  <c r="AG178" i="5"/>
  <c r="AL92" i="5"/>
  <c r="AI180" i="5"/>
  <c r="AI196" i="5"/>
  <c r="AL24" i="5"/>
  <c r="AJ246" i="5"/>
  <c r="AJ60" i="5"/>
  <c r="AK356" i="5"/>
  <c r="AK372" i="5"/>
  <c r="AG114" i="5"/>
  <c r="AI168" i="5"/>
  <c r="AK24" i="5"/>
  <c r="AK388" i="5"/>
  <c r="AL192" i="5"/>
  <c r="AL110" i="5"/>
  <c r="AJ196" i="5"/>
  <c r="AJ80" i="5"/>
  <c r="AH248" i="5"/>
  <c r="AJ322" i="5"/>
  <c r="AK150" i="5"/>
  <c r="AJ286" i="5"/>
  <c r="AJ336" i="5"/>
  <c r="AK304" i="5"/>
  <c r="AK198" i="5"/>
  <c r="AK148" i="5"/>
  <c r="AJ352" i="5"/>
  <c r="AK18" i="5"/>
  <c r="AG224" i="5"/>
  <c r="AI104" i="5"/>
  <c r="AJ364" i="5"/>
  <c r="AJ330" i="5"/>
  <c r="AH112" i="5"/>
  <c r="AJ100" i="5"/>
  <c r="AI252" i="5"/>
  <c r="AH342" i="5"/>
  <c r="AK80" i="5"/>
  <c r="AL118" i="5"/>
  <c r="AI206" i="5"/>
  <c r="AJ368" i="5"/>
  <c r="AJ20" i="5"/>
  <c r="AJ304" i="5"/>
  <c r="AL188" i="5"/>
  <c r="AH302" i="5"/>
  <c r="AK172" i="5"/>
  <c r="AI84" i="5"/>
  <c r="AJ18" i="5"/>
  <c r="AE236" i="5"/>
  <c r="AI152" i="5"/>
  <c r="AL142" i="5"/>
  <c r="AI346" i="5"/>
  <c r="AG158" i="5"/>
  <c r="AG282" i="5"/>
  <c r="AH356" i="5"/>
  <c r="AI364" i="5"/>
  <c r="AH124" i="5"/>
  <c r="AJ202" i="5"/>
  <c r="AH352" i="5"/>
  <c r="AK360" i="5"/>
  <c r="AF182" i="5"/>
  <c r="AI176" i="5"/>
  <c r="AK118" i="5"/>
  <c r="AJ306" i="5"/>
  <c r="AH184" i="5"/>
  <c r="AJ328" i="5"/>
  <c r="AK110" i="5"/>
  <c r="AJ14" i="5"/>
  <c r="AJ154" i="5"/>
  <c r="AG328" i="5"/>
  <c r="AK174" i="5"/>
  <c r="AH106" i="5"/>
  <c r="AH94" i="5"/>
  <c r="AH194" i="5"/>
  <c r="AJ24" i="5"/>
  <c r="AJ194" i="5"/>
  <c r="AK164" i="5"/>
  <c r="AJ362" i="5"/>
  <c r="AH186" i="5"/>
  <c r="AJ382" i="5"/>
  <c r="AJ78" i="5"/>
  <c r="AH330" i="5"/>
  <c r="AH294" i="5"/>
  <c r="AJ162" i="5"/>
  <c r="AI184" i="5"/>
  <c r="AJ118" i="5"/>
  <c r="AJ176" i="5"/>
  <c r="AG214" i="5"/>
  <c r="AH252" i="5"/>
  <c r="AJ370" i="5"/>
  <c r="AI82" i="5"/>
  <c r="AL82" i="5"/>
  <c r="AK278" i="5"/>
  <c r="AJ104" i="5"/>
  <c r="AK326" i="5"/>
  <c r="AJ236" i="5"/>
  <c r="AK126" i="5"/>
  <c r="AI378" i="5"/>
  <c r="AK136" i="5"/>
  <c r="AL112" i="5"/>
  <c r="AC204" i="5"/>
  <c r="AL164" i="5"/>
  <c r="AK140" i="5"/>
  <c r="AL148" i="5"/>
  <c r="AH136" i="5"/>
  <c r="AG104" i="5"/>
  <c r="AJ136" i="5"/>
  <c r="AJ52" i="5"/>
  <c r="AI246" i="5"/>
  <c r="AF116" i="5"/>
  <c r="AG154" i="5"/>
  <c r="AI238" i="5"/>
  <c r="AH308" i="5"/>
  <c r="AG202" i="5"/>
  <c r="AI160" i="5"/>
  <c r="AK160" i="5"/>
  <c r="AL280" i="5"/>
  <c r="AI328" i="5"/>
  <c r="AI322" i="5"/>
  <c r="AK358" i="5"/>
  <c r="AJ110" i="5"/>
  <c r="AD244" i="5"/>
  <c r="AI256" i="5"/>
  <c r="AJ126" i="5"/>
  <c r="AK90" i="5"/>
  <c r="AG96" i="5"/>
  <c r="AK92" i="5"/>
  <c r="AK398" i="5"/>
  <c r="AI228" i="5"/>
  <c r="AK176" i="5"/>
  <c r="AH158" i="5"/>
  <c r="AJ182" i="5"/>
  <c r="AH324" i="5"/>
  <c r="AI394" i="5"/>
  <c r="AL256" i="5"/>
  <c r="AJ346" i="5"/>
  <c r="AI338" i="5"/>
  <c r="AH130" i="5"/>
  <c r="AI248" i="5"/>
  <c r="AK128" i="5"/>
  <c r="AK298" i="5"/>
  <c r="AL30" i="5"/>
  <c r="AJ178" i="5"/>
  <c r="AJ210" i="5"/>
  <c r="AL282" i="5"/>
  <c r="AK246" i="5"/>
  <c r="AK306" i="5"/>
  <c r="AK252" i="5"/>
  <c r="AK230" i="5"/>
  <c r="AL270" i="5"/>
  <c r="AL74" i="5"/>
  <c r="AK112" i="5"/>
  <c r="AI380" i="5"/>
  <c r="AJ116" i="5"/>
  <c r="AK382" i="5"/>
  <c r="AL200" i="5"/>
  <c r="AI88" i="5"/>
  <c r="AJ180" i="5"/>
  <c r="AI358" i="5"/>
  <c r="AL58" i="5"/>
  <c r="AK58" i="5"/>
  <c r="AL204" i="5"/>
  <c r="AJ376" i="5"/>
  <c r="AK116" i="5"/>
  <c r="AL296" i="5"/>
  <c r="AK254" i="5"/>
  <c r="AL174" i="5"/>
  <c r="AJ356" i="5"/>
  <c r="AJ186" i="5"/>
  <c r="AK294" i="5"/>
  <c r="AK204" i="5"/>
  <c r="AL172" i="5"/>
  <c r="AJ242" i="5"/>
  <c r="AK352" i="5"/>
  <c r="AJ198" i="5"/>
  <c r="AJ378" i="5"/>
  <c r="AL252" i="5"/>
  <c r="AK36" i="5"/>
  <c r="AK84" i="5"/>
  <c r="AK210" i="5"/>
  <c r="AL116" i="5"/>
  <c r="AI150" i="5"/>
  <c r="AI332" i="5"/>
  <c r="AK154" i="5"/>
  <c r="AJ124" i="5"/>
  <c r="AL178" i="5"/>
  <c r="AJ30" i="5"/>
  <c r="AK106" i="5"/>
  <c r="AG294" i="5"/>
  <c r="AK132" i="5"/>
  <c r="AJ74" i="5"/>
  <c r="AL262" i="5"/>
  <c r="AK30" i="5"/>
  <c r="AL106" i="5"/>
  <c r="AL210" i="5"/>
  <c r="AL52" i="5"/>
  <c r="AL126" i="5"/>
  <c r="AJ338" i="5"/>
  <c r="AL136" i="5"/>
  <c r="AI294" i="5"/>
  <c r="AJ294" i="5"/>
  <c r="AK178" i="5"/>
  <c r="AL292" i="5"/>
  <c r="AL272" i="5"/>
  <c r="AK124" i="5"/>
  <c r="AK12" i="5"/>
  <c r="AK142" i="5"/>
  <c r="AL36" i="5"/>
  <c r="AL194" i="5"/>
  <c r="AK282" i="5"/>
  <c r="AL218" i="5"/>
  <c r="AK324" i="5"/>
  <c r="AI368" i="5"/>
  <c r="AK52" i="5"/>
  <c r="AL162" i="5"/>
  <c r="AI356" i="5"/>
  <c r="AK182" i="5"/>
  <c r="AL228" i="5"/>
  <c r="AK194" i="5"/>
  <c r="AI182" i="5"/>
  <c r="AK46" i="5"/>
  <c r="AJ272" i="5"/>
  <c r="AK88" i="5"/>
  <c r="AI134" i="5"/>
  <c r="AL286" i="5"/>
  <c r="AK262" i="5"/>
  <c r="AL88" i="5"/>
  <c r="AJ102" i="5"/>
  <c r="AK286" i="5"/>
  <c r="AK22" i="5"/>
  <c r="AL294" i="5"/>
  <c r="AL168" i="5"/>
  <c r="AL12" i="5"/>
  <c r="AL80" i="5"/>
  <c r="AK292" i="5"/>
  <c r="AK180" i="5"/>
  <c r="AI144" i="5"/>
  <c r="AI172" i="5"/>
  <c r="AK216" i="5"/>
  <c r="AL46" i="5"/>
  <c r="AL124" i="5"/>
  <c r="AK218" i="5"/>
  <c r="AJ206" i="5"/>
  <c r="AH372" i="5"/>
  <c r="AL78" i="5"/>
  <c r="AL176" i="5"/>
  <c r="AK270" i="5"/>
  <c r="AK186" i="5"/>
  <c r="AL186" i="5"/>
  <c r="AK162" i="5"/>
  <c r="AL154" i="5"/>
  <c r="AK168" i="5"/>
  <c r="AK82" i="5"/>
  <c r="AK96" i="5"/>
  <c r="AL18" i="5"/>
  <c r="AL160" i="5"/>
  <c r="AL180" i="5"/>
  <c r="AK188" i="5"/>
  <c r="AL84" i="5"/>
  <c r="AK302" i="5"/>
  <c r="AL196" i="5"/>
  <c r="K4001" i="5"/>
  <c r="O4002" i="5"/>
  <c r="C4000" i="5" l="1"/>
  <c r="G4001" i="5"/>
  <c r="T435" i="5"/>
  <c r="AA333" i="5"/>
  <c r="X389" i="5"/>
  <c r="AA155" i="5"/>
  <c r="T587" i="5"/>
  <c r="S495" i="5"/>
  <c r="U375" i="5"/>
  <c r="X397" i="5"/>
  <c r="AA375" i="5"/>
  <c r="AB47" i="5"/>
  <c r="AB337" i="5"/>
  <c r="AB185" i="5"/>
  <c r="T601" i="5"/>
  <c r="T547" i="5"/>
  <c r="T523" i="5"/>
  <c r="AD221" i="5"/>
  <c r="AA145" i="5"/>
  <c r="T459" i="5"/>
  <c r="Y15" i="5"/>
  <c r="X197" i="5"/>
  <c r="T499" i="5"/>
  <c r="W237" i="5"/>
  <c r="V391" i="5"/>
  <c r="S381" i="5"/>
  <c r="AA171" i="5"/>
  <c r="X245" i="5"/>
  <c r="V293" i="5"/>
  <c r="AB219" i="5"/>
  <c r="U39" i="5"/>
  <c r="V75" i="5"/>
  <c r="AB221" i="5"/>
  <c r="AA157" i="5"/>
  <c r="T483" i="5"/>
  <c r="V61" i="5"/>
  <c r="AB257" i="5"/>
  <c r="Y353" i="5"/>
  <c r="T423" i="5"/>
  <c r="T259" i="5"/>
  <c r="AB93" i="5"/>
  <c r="AA179" i="5"/>
  <c r="T539" i="5"/>
  <c r="AB95" i="5"/>
  <c r="T419" i="5"/>
  <c r="S351" i="5"/>
  <c r="T551" i="5"/>
  <c r="AB145" i="5"/>
  <c r="Z303" i="5"/>
  <c r="T439" i="5"/>
  <c r="AC237" i="5"/>
  <c r="S515" i="5"/>
  <c r="AA397" i="5"/>
  <c r="AA317" i="5"/>
  <c r="AA169" i="5"/>
  <c r="U157" i="5"/>
  <c r="U317" i="5"/>
  <c r="V355" i="5"/>
  <c r="T245" i="5"/>
  <c r="AA365" i="5"/>
  <c r="V259" i="5"/>
  <c r="AB389" i="5"/>
  <c r="AC201" i="5"/>
  <c r="S451" i="5"/>
  <c r="Y359" i="5"/>
  <c r="Z351" i="5"/>
  <c r="T599" i="5"/>
  <c r="U205" i="5"/>
  <c r="AC61" i="5"/>
  <c r="AA235" i="5"/>
  <c r="AA359" i="5"/>
  <c r="AD315" i="5"/>
  <c r="AC207" i="5"/>
  <c r="X341" i="5"/>
  <c r="T519" i="5"/>
  <c r="AB37" i="5"/>
  <c r="T603" i="5"/>
  <c r="AB361" i="5"/>
  <c r="T579" i="5"/>
  <c r="T443" i="5"/>
  <c r="S297" i="5"/>
  <c r="Z395" i="5"/>
  <c r="AD43" i="5"/>
  <c r="T403" i="5"/>
  <c r="AB335" i="5"/>
  <c r="AD385" i="5"/>
  <c r="AB365" i="5"/>
  <c r="T515" i="5"/>
  <c r="X367" i="5"/>
  <c r="AA101" i="5"/>
  <c r="S197" i="5"/>
  <c r="T563" i="5"/>
  <c r="Z383" i="5"/>
  <c r="S587" i="5"/>
  <c r="T451" i="5"/>
  <c r="AA29" i="5"/>
  <c r="X297" i="5"/>
  <c r="T411" i="5"/>
  <c r="S523" i="5"/>
  <c r="V335" i="5"/>
  <c r="S607" i="5"/>
  <c r="AA83" i="5"/>
  <c r="AB153" i="5"/>
  <c r="AA387" i="5"/>
  <c r="T571" i="5"/>
  <c r="V359" i="5"/>
  <c r="V389" i="5"/>
  <c r="AB137" i="5"/>
  <c r="AF331" i="5"/>
  <c r="S363" i="5"/>
  <c r="S343" i="5"/>
  <c r="AD139" i="5"/>
  <c r="T195" i="5"/>
  <c r="Z93" i="5"/>
  <c r="W393" i="5"/>
  <c r="AC103" i="5"/>
  <c r="S249" i="5"/>
  <c r="AD185" i="5"/>
  <c r="AB355" i="5"/>
  <c r="AC241" i="5"/>
  <c r="T531" i="5"/>
  <c r="W391" i="5"/>
  <c r="U265" i="5"/>
  <c r="X273" i="5"/>
  <c r="T583" i="5"/>
  <c r="V109" i="5"/>
  <c r="Z347" i="5"/>
  <c r="AC161" i="5"/>
  <c r="AD145" i="5"/>
  <c r="T383" i="5"/>
  <c r="AA303" i="5"/>
  <c r="AA367" i="5"/>
  <c r="W297" i="5"/>
  <c r="AC133" i="5"/>
  <c r="Y151" i="5"/>
  <c r="AB333" i="5"/>
  <c r="X381" i="5"/>
  <c r="V367" i="5"/>
  <c r="V179" i="5"/>
  <c r="AD63" i="5"/>
  <c r="U21" i="5"/>
  <c r="S567" i="5"/>
  <c r="S83" i="5"/>
  <c r="S161" i="5"/>
  <c r="S427" i="5"/>
  <c r="AC109" i="5"/>
  <c r="V71" i="5"/>
  <c r="AB209" i="5"/>
  <c r="Z315" i="5"/>
  <c r="T447" i="5"/>
  <c r="AB139" i="5"/>
  <c r="AB231" i="5"/>
  <c r="X201" i="5"/>
  <c r="AD269" i="5"/>
  <c r="Y367" i="5"/>
  <c r="AC323" i="5"/>
  <c r="U145" i="5"/>
  <c r="AD81" i="5"/>
  <c r="Z227" i="5"/>
  <c r="T297" i="5"/>
  <c r="AD331" i="5"/>
  <c r="T345" i="5"/>
  <c r="T589" i="5"/>
  <c r="AD85" i="5"/>
  <c r="U361" i="5"/>
  <c r="AD355" i="5"/>
  <c r="AB135" i="5"/>
  <c r="T341" i="5"/>
  <c r="Y83" i="5"/>
  <c r="AD21" i="5"/>
  <c r="AD129" i="5"/>
  <c r="S559" i="5"/>
  <c r="AC389" i="5"/>
  <c r="T377" i="5"/>
  <c r="Y175" i="5"/>
  <c r="Y337" i="5"/>
  <c r="AC147" i="5"/>
  <c r="AC149" i="5"/>
  <c r="T37" i="5"/>
  <c r="S439" i="5"/>
  <c r="AC89" i="5"/>
  <c r="AA163" i="5"/>
  <c r="V365" i="5"/>
  <c r="V361" i="5"/>
  <c r="AD369" i="5"/>
  <c r="AC335" i="5"/>
  <c r="AD117" i="5"/>
  <c r="AC129" i="5"/>
  <c r="Z283" i="5"/>
  <c r="Y249" i="5"/>
  <c r="Y331" i="5"/>
  <c r="W395" i="5"/>
  <c r="U221" i="5"/>
  <c r="AF359" i="5"/>
  <c r="S389" i="5"/>
  <c r="Y317" i="5"/>
  <c r="AA297" i="5"/>
  <c r="AD109" i="5"/>
  <c r="AC333" i="5"/>
  <c r="AC9" i="5"/>
  <c r="S383" i="5"/>
  <c r="AD365" i="5"/>
  <c r="T373" i="5"/>
  <c r="T479" i="5"/>
  <c r="W93" i="5"/>
  <c r="AC279" i="5"/>
  <c r="V83" i="5"/>
  <c r="AC141" i="5"/>
  <c r="V311" i="5"/>
  <c r="Z381" i="5"/>
  <c r="Z249" i="5"/>
  <c r="AD119" i="5"/>
  <c r="W115" i="5"/>
  <c r="X145" i="5"/>
  <c r="Y397" i="5"/>
  <c r="Z319" i="5"/>
  <c r="Z331" i="5"/>
  <c r="T355" i="5"/>
  <c r="AC225" i="5"/>
  <c r="S431" i="5"/>
  <c r="Z229" i="5"/>
  <c r="AC97" i="5"/>
  <c r="U211" i="5"/>
  <c r="X333" i="5"/>
  <c r="Y205" i="5"/>
  <c r="AD249" i="5"/>
  <c r="AD373" i="5"/>
  <c r="AA89" i="5"/>
  <c r="W399" i="5"/>
  <c r="AA249" i="5"/>
  <c r="AA221" i="5"/>
  <c r="S257" i="5"/>
  <c r="AA377" i="5"/>
  <c r="U209" i="5"/>
  <c r="Z377" i="5"/>
  <c r="V347" i="5"/>
  <c r="S527" i="5"/>
  <c r="T349" i="5"/>
  <c r="S147" i="5"/>
  <c r="AC117" i="5"/>
  <c r="T339" i="5"/>
  <c r="U385" i="5"/>
  <c r="T293" i="5"/>
  <c r="Y19" i="5"/>
  <c r="AD209" i="5"/>
  <c r="X185" i="5"/>
  <c r="V209" i="5"/>
  <c r="Y349" i="5"/>
  <c r="AB15" i="5"/>
  <c r="V43" i="5"/>
  <c r="X293" i="5"/>
  <c r="S303" i="5"/>
  <c r="V337" i="5"/>
  <c r="T467" i="5"/>
  <c r="U175" i="5"/>
  <c r="AD147" i="5"/>
  <c r="Z235" i="5"/>
  <c r="V19" i="5"/>
  <c r="S333" i="5"/>
  <c r="X359" i="5"/>
  <c r="S281" i="5"/>
  <c r="X349" i="5"/>
  <c r="AB363" i="5"/>
  <c r="T299" i="5"/>
  <c r="AA391" i="5"/>
  <c r="Z103" i="5"/>
  <c r="W171" i="5"/>
  <c r="AB273" i="5"/>
  <c r="Z171" i="5"/>
  <c r="U399" i="5"/>
  <c r="Z203" i="5"/>
  <c r="U365" i="5"/>
  <c r="T315" i="5"/>
  <c r="AB353" i="5"/>
  <c r="T11" i="5"/>
  <c r="U337" i="5"/>
  <c r="AB343" i="5"/>
  <c r="AD323" i="5"/>
  <c r="X221" i="5"/>
  <c r="AD187" i="5"/>
  <c r="Y167" i="5"/>
  <c r="Y309" i="5"/>
  <c r="U339" i="5"/>
  <c r="W283" i="5"/>
  <c r="X305" i="5"/>
  <c r="U377" i="5"/>
  <c r="Y357" i="5"/>
  <c r="T227" i="5"/>
  <c r="AD111" i="5"/>
  <c r="T185" i="5"/>
  <c r="U369" i="5"/>
  <c r="AD67" i="5"/>
  <c r="AC121" i="5"/>
  <c r="U389" i="5"/>
  <c r="W39" i="5"/>
  <c r="W349" i="5"/>
  <c r="AD327" i="5"/>
  <c r="AC53" i="5"/>
  <c r="S325" i="5"/>
  <c r="V297" i="5"/>
  <c r="U333" i="5"/>
  <c r="T145" i="5"/>
  <c r="AD267" i="5"/>
  <c r="AD397" i="5"/>
  <c r="V371" i="5"/>
  <c r="X357" i="5"/>
  <c r="U161" i="5"/>
  <c r="X283" i="5"/>
  <c r="AA243" i="5"/>
  <c r="T559" i="5"/>
  <c r="AB383" i="5"/>
  <c r="V363" i="5"/>
  <c r="AC377" i="5"/>
  <c r="T15" i="5"/>
  <c r="T95" i="5"/>
  <c r="Y333" i="5"/>
  <c r="AB197" i="5"/>
  <c r="AC329" i="5"/>
  <c r="T357" i="5"/>
  <c r="W247" i="5"/>
  <c r="AC29" i="5"/>
  <c r="S611" i="5"/>
  <c r="AB295" i="5"/>
  <c r="AD349" i="5"/>
  <c r="AA345" i="5"/>
  <c r="Z321" i="5"/>
  <c r="T503" i="5"/>
  <c r="V273" i="5"/>
  <c r="Y345" i="5"/>
  <c r="W299" i="5"/>
  <c r="U27" i="5"/>
  <c r="Y391" i="5"/>
  <c r="T267" i="5"/>
  <c r="Z293" i="5"/>
  <c r="AB53" i="5"/>
  <c r="W135" i="5"/>
  <c r="AB385" i="5"/>
  <c r="AD235" i="5"/>
  <c r="S571" i="5"/>
  <c r="AC343" i="5"/>
  <c r="AA311" i="5"/>
  <c r="S455" i="5"/>
  <c r="U397" i="5"/>
  <c r="S535" i="5"/>
  <c r="AB391" i="5"/>
  <c r="AC211" i="5"/>
  <c r="AC351" i="5"/>
  <c r="V21" i="5"/>
  <c r="AD279" i="5"/>
  <c r="AD123" i="5"/>
  <c r="Y195" i="5"/>
  <c r="AD35" i="5"/>
  <c r="X257" i="5"/>
  <c r="U199" i="5"/>
  <c r="AB375" i="5"/>
  <c r="AD33" i="5"/>
  <c r="T337" i="5"/>
  <c r="AE357" i="5"/>
  <c r="Y25" i="5"/>
  <c r="AD223" i="5"/>
  <c r="S397" i="5"/>
  <c r="Y89" i="5"/>
  <c r="AA47" i="5"/>
  <c r="X25" i="5"/>
  <c r="V207" i="5"/>
  <c r="U379" i="5"/>
  <c r="V101" i="5"/>
  <c r="AC223" i="5"/>
  <c r="T391" i="5"/>
  <c r="AB91" i="5"/>
  <c r="U171" i="5"/>
  <c r="AD65" i="5"/>
  <c r="W161" i="5"/>
  <c r="AA75" i="5"/>
  <c r="X125" i="5"/>
  <c r="T575" i="5"/>
  <c r="T53" i="5"/>
  <c r="AD127" i="5"/>
  <c r="AC391" i="5"/>
  <c r="W291" i="5"/>
  <c r="V229" i="5"/>
  <c r="V155" i="5"/>
  <c r="AC119" i="5"/>
  <c r="T389" i="5"/>
  <c r="AC101" i="5"/>
  <c r="AA291" i="5"/>
  <c r="AB25" i="5"/>
  <c r="AC317" i="5"/>
  <c r="T101" i="5"/>
  <c r="AC301" i="5"/>
  <c r="AD277" i="5"/>
  <c r="W345" i="5"/>
  <c r="S315" i="5"/>
  <c r="AC299" i="5"/>
  <c r="AA203" i="5"/>
  <c r="T347" i="5"/>
  <c r="Y325" i="5"/>
  <c r="S89" i="5"/>
  <c r="AC27" i="5"/>
  <c r="U335" i="5"/>
  <c r="AA181" i="5"/>
  <c r="AB173" i="5"/>
  <c r="U243" i="5"/>
  <c r="AC369" i="5"/>
  <c r="Y221" i="5"/>
  <c r="U359" i="5"/>
  <c r="S417" i="5"/>
  <c r="AC371" i="5"/>
  <c r="W101" i="5"/>
  <c r="AC365" i="5"/>
  <c r="S423" i="5"/>
  <c r="AD137" i="5"/>
  <c r="V369" i="5"/>
  <c r="U95" i="5"/>
  <c r="T221" i="5"/>
  <c r="U357" i="5"/>
  <c r="AC189" i="5"/>
  <c r="U371" i="5"/>
  <c r="Y341" i="5"/>
  <c r="X377" i="5"/>
  <c r="Y351" i="5"/>
  <c r="AC51" i="5"/>
  <c r="Y327" i="5"/>
  <c r="AC253" i="5"/>
  <c r="S459" i="5"/>
  <c r="U273" i="5"/>
  <c r="AC77" i="5"/>
  <c r="AB83" i="5"/>
  <c r="Y283" i="5"/>
  <c r="S447" i="5"/>
  <c r="T21" i="5"/>
  <c r="AD231" i="5"/>
  <c r="Z345" i="5"/>
  <c r="X375" i="5"/>
  <c r="V197" i="5"/>
  <c r="W157" i="5"/>
  <c r="W335" i="5"/>
  <c r="AC137" i="5"/>
  <c r="X391" i="5"/>
  <c r="AA147" i="5"/>
  <c r="AA319" i="5"/>
  <c r="AB395" i="5"/>
  <c r="Y387" i="5"/>
  <c r="AB19" i="5"/>
  <c r="X217" i="5"/>
  <c r="S293" i="5"/>
  <c r="X27" i="5"/>
  <c r="AB229" i="5"/>
  <c r="AD9" i="5"/>
  <c r="S603" i="5"/>
  <c r="U311" i="5"/>
  <c r="AC115" i="5"/>
  <c r="AB345" i="5"/>
  <c r="W365" i="5"/>
  <c r="AD121" i="5"/>
  <c r="Z297" i="5"/>
  <c r="AD155" i="5"/>
  <c r="T585" i="5"/>
  <c r="AD201" i="5"/>
  <c r="W103" i="5"/>
  <c r="V53" i="5"/>
  <c r="W387" i="5"/>
  <c r="AD265" i="5"/>
  <c r="AD97" i="5"/>
  <c r="S479" i="5"/>
  <c r="W333" i="5"/>
  <c r="AD329" i="5"/>
  <c r="Z361" i="5"/>
  <c r="AD271" i="5"/>
  <c r="T19" i="5"/>
  <c r="V39" i="5"/>
  <c r="AC65" i="5"/>
  <c r="U393" i="5"/>
  <c r="Y361" i="5"/>
  <c r="V353" i="5"/>
  <c r="Z317" i="5"/>
  <c r="AD301" i="5"/>
  <c r="AD247" i="5"/>
  <c r="S145" i="5"/>
  <c r="S245" i="5"/>
  <c r="AD151" i="5"/>
  <c r="S155" i="5"/>
  <c r="Y79" i="5"/>
  <c r="X343" i="5"/>
  <c r="Y305" i="5"/>
  <c r="AD395" i="5"/>
  <c r="Y297" i="5"/>
  <c r="U103" i="5"/>
  <c r="T353" i="5"/>
  <c r="T45" i="5"/>
  <c r="AC25" i="5"/>
  <c r="AC173" i="5"/>
  <c r="X385" i="5"/>
  <c r="U153" i="5"/>
  <c r="V147" i="5"/>
  <c r="AD115" i="5"/>
  <c r="AC357" i="5"/>
  <c r="AC261" i="5"/>
  <c r="U315" i="5"/>
  <c r="Z247" i="5"/>
  <c r="W21" i="5"/>
  <c r="AB205" i="5"/>
  <c r="Z197" i="5"/>
  <c r="U77" i="5"/>
  <c r="X219" i="5"/>
  <c r="T79" i="5"/>
  <c r="AA229" i="5"/>
  <c r="W175" i="5"/>
  <c r="Y281" i="5"/>
  <c r="W83" i="5"/>
  <c r="U249" i="5"/>
  <c r="T269" i="5"/>
  <c r="AD69" i="5"/>
  <c r="Y209" i="5"/>
  <c r="V37" i="5"/>
  <c r="V45" i="5"/>
  <c r="V345" i="5"/>
  <c r="AA227" i="5"/>
  <c r="X155" i="5"/>
  <c r="AC185" i="5"/>
  <c r="AC395" i="5"/>
  <c r="U387" i="5"/>
  <c r="AC381" i="5"/>
  <c r="AC287" i="5"/>
  <c r="Z389" i="5"/>
  <c r="Y53" i="5"/>
  <c r="T463" i="5"/>
  <c r="Y153" i="5"/>
  <c r="T407" i="5"/>
  <c r="T507" i="5"/>
  <c r="T475" i="5"/>
  <c r="Y93" i="5"/>
  <c r="AD375" i="5"/>
  <c r="AA13" i="5"/>
  <c r="AC315" i="5"/>
  <c r="AC259" i="5"/>
  <c r="AC39" i="5"/>
  <c r="Y207" i="5"/>
  <c r="T85" i="5"/>
  <c r="S295" i="5"/>
  <c r="W257" i="5"/>
  <c r="Z83" i="5"/>
  <c r="AB293" i="5"/>
  <c r="AD125" i="5"/>
  <c r="X169" i="5"/>
  <c r="S229" i="5"/>
  <c r="W397" i="5"/>
  <c r="U25" i="5"/>
  <c r="AC79" i="5"/>
  <c r="AB331" i="5"/>
  <c r="U179" i="5"/>
  <c r="W383" i="5"/>
  <c r="S115" i="5"/>
  <c r="W343" i="5"/>
  <c r="V291" i="5"/>
  <c r="AF347" i="5"/>
  <c r="V351" i="5"/>
  <c r="V13" i="5"/>
  <c r="AA35" i="5"/>
  <c r="T361" i="5"/>
  <c r="S467" i="5"/>
  <c r="T343" i="5"/>
  <c r="Y393" i="5"/>
  <c r="T209" i="5"/>
  <c r="X279" i="5"/>
  <c r="W273" i="5"/>
  <c r="AB315" i="5"/>
  <c r="AB31" i="5"/>
  <c r="X157" i="5"/>
  <c r="T535" i="5"/>
  <c r="V85" i="5"/>
  <c r="AD383" i="5"/>
  <c r="AB277" i="5"/>
  <c r="Y355" i="5"/>
  <c r="AD333" i="5"/>
  <c r="Y315" i="5"/>
  <c r="AD335" i="5"/>
  <c r="T83" i="5"/>
  <c r="S331" i="5"/>
  <c r="T555" i="5"/>
  <c r="T231" i="5"/>
  <c r="S221" i="5"/>
  <c r="AB99" i="5"/>
  <c r="V341" i="5"/>
  <c r="AC255" i="5"/>
  <c r="AB371" i="5"/>
  <c r="AB349" i="5"/>
  <c r="AA15" i="5"/>
  <c r="AC205" i="5"/>
  <c r="U163" i="5"/>
  <c r="Z53" i="5"/>
  <c r="AD377" i="5"/>
  <c r="AB79" i="5"/>
  <c r="AD359" i="5"/>
  <c r="V283" i="5"/>
  <c r="W29" i="5"/>
  <c r="AA103" i="5"/>
  <c r="U219" i="5"/>
  <c r="T331" i="5"/>
  <c r="T543" i="5"/>
  <c r="S109" i="5"/>
  <c r="T401" i="5"/>
  <c r="AA315" i="5"/>
  <c r="AC233" i="5"/>
  <c r="AB309" i="5"/>
  <c r="AD177" i="5"/>
  <c r="V235" i="5"/>
  <c r="V221" i="5"/>
  <c r="T365" i="5"/>
  <c r="X59" i="5"/>
  <c r="T203" i="5"/>
  <c r="S575" i="5"/>
  <c r="S61" i="5"/>
  <c r="X67" i="5"/>
  <c r="S169" i="5"/>
  <c r="AE135" i="5"/>
  <c r="AC57" i="5"/>
  <c r="V385" i="5"/>
  <c r="W245" i="5"/>
  <c r="S135" i="5"/>
  <c r="V269" i="5"/>
  <c r="AB369" i="5"/>
  <c r="AB181" i="5"/>
  <c r="S445" i="5"/>
  <c r="Z393" i="5"/>
  <c r="X65" i="5"/>
  <c r="X121" i="5"/>
  <c r="AA93" i="5"/>
  <c r="W65" i="5"/>
  <c r="T217" i="5"/>
  <c r="U233" i="5"/>
  <c r="S373" i="5"/>
  <c r="Y191" i="5"/>
  <c r="AF19" i="5"/>
  <c r="AD153" i="5"/>
  <c r="AB39" i="5"/>
  <c r="W359" i="5"/>
  <c r="AC153" i="5"/>
  <c r="AC73" i="5"/>
  <c r="AA265" i="5"/>
  <c r="AE241" i="5"/>
  <c r="AF253" i="5"/>
  <c r="S117" i="5"/>
  <c r="AC319" i="5"/>
  <c r="Z187" i="5"/>
  <c r="AB177" i="5"/>
  <c r="AE27" i="5"/>
  <c r="Z371" i="5"/>
  <c r="AE191" i="5"/>
  <c r="Y17" i="5"/>
  <c r="X113" i="5"/>
  <c r="Y183" i="5"/>
  <c r="T577" i="5"/>
  <c r="AE127" i="5"/>
  <c r="AF273" i="5"/>
  <c r="AA349" i="5"/>
  <c r="AC91" i="5"/>
  <c r="AA7" i="5"/>
  <c r="S183" i="5"/>
  <c r="S137" i="5"/>
  <c r="U351" i="5"/>
  <c r="AE343" i="5"/>
  <c r="AC31" i="5"/>
  <c r="Y147" i="5"/>
  <c r="AE361" i="5"/>
  <c r="AF249" i="5"/>
  <c r="S493" i="5"/>
  <c r="S379" i="5"/>
  <c r="T273" i="5"/>
  <c r="AB297" i="5"/>
  <c r="U217" i="5"/>
  <c r="AE233" i="5"/>
  <c r="S585" i="5"/>
  <c r="Z343" i="5"/>
  <c r="X53" i="5"/>
  <c r="X19" i="5"/>
  <c r="AD13" i="5"/>
  <c r="V315" i="5"/>
  <c r="AC37" i="5"/>
  <c r="S347" i="5"/>
  <c r="Z35" i="5"/>
  <c r="X91" i="5"/>
  <c r="AD295" i="5"/>
  <c r="AD275" i="5"/>
  <c r="V395" i="5"/>
  <c r="AD379" i="5"/>
  <c r="T237" i="5"/>
  <c r="V111" i="5"/>
  <c r="S179" i="5"/>
  <c r="Z219" i="5"/>
  <c r="AD161" i="5"/>
  <c r="T295" i="5"/>
  <c r="AF289" i="5"/>
  <c r="W11" i="5"/>
  <c r="X347" i="5"/>
  <c r="Y85" i="5"/>
  <c r="U121" i="5"/>
  <c r="Y313" i="5"/>
  <c r="S121" i="5"/>
  <c r="AA361" i="5"/>
  <c r="AB187" i="5"/>
  <c r="W27" i="5"/>
  <c r="T167" i="5"/>
  <c r="AC99" i="5"/>
  <c r="T181" i="5"/>
  <c r="AD239" i="5"/>
  <c r="X373" i="5"/>
  <c r="Y145" i="5"/>
  <c r="Z221" i="5"/>
  <c r="AD225" i="5"/>
  <c r="S463" i="5"/>
  <c r="AD211" i="5"/>
  <c r="AC275" i="5"/>
  <c r="AD293" i="5"/>
  <c r="S349" i="5"/>
  <c r="AA293" i="5"/>
  <c r="Y363" i="5"/>
  <c r="AC139" i="5"/>
  <c r="AC349" i="5"/>
  <c r="Y335" i="5"/>
  <c r="T397" i="5"/>
  <c r="T595" i="5"/>
  <c r="AD227" i="5"/>
  <c r="T573" i="5"/>
  <c r="U201" i="5"/>
  <c r="U73" i="5"/>
  <c r="AC273" i="5"/>
  <c r="X321" i="5"/>
  <c r="X35" i="5"/>
  <c r="Z43" i="5"/>
  <c r="AA53" i="5"/>
  <c r="V219" i="5"/>
  <c r="AC245" i="5"/>
  <c r="S181" i="5"/>
  <c r="AA205" i="5"/>
  <c r="Y321" i="5"/>
  <c r="Y247" i="5"/>
  <c r="V377" i="5"/>
  <c r="AC359" i="5"/>
  <c r="S103" i="5"/>
  <c r="X115" i="5"/>
  <c r="X311" i="5"/>
  <c r="AB161" i="5"/>
  <c r="W249" i="5"/>
  <c r="Y319" i="5"/>
  <c r="AB195" i="5"/>
  <c r="AD203" i="5"/>
  <c r="AB157" i="5"/>
  <c r="W211" i="5"/>
  <c r="AD263" i="5"/>
  <c r="W185" i="5"/>
  <c r="Z45" i="5"/>
  <c r="S335" i="5"/>
  <c r="X147" i="5"/>
  <c r="U29" i="5"/>
  <c r="S237" i="5"/>
  <c r="T47" i="5"/>
  <c r="AA173" i="5"/>
  <c r="T333" i="5"/>
  <c r="AC361" i="5"/>
  <c r="W45" i="5"/>
  <c r="X85" i="5"/>
  <c r="S317" i="5"/>
  <c r="AD59" i="5"/>
  <c r="T381" i="5"/>
  <c r="X345" i="5"/>
  <c r="U323" i="5"/>
  <c r="AF255" i="5"/>
  <c r="V11" i="5"/>
  <c r="AD205" i="5"/>
  <c r="AB303" i="5"/>
  <c r="AA223" i="5"/>
  <c r="AE33" i="5"/>
  <c r="T61" i="5"/>
  <c r="V131" i="5"/>
  <c r="S415" i="5"/>
  <c r="AC387" i="5"/>
  <c r="AD143" i="5"/>
  <c r="AB367" i="5"/>
  <c r="AE185" i="5"/>
  <c r="S537" i="5"/>
  <c r="S253" i="5"/>
  <c r="X179" i="5"/>
  <c r="V77" i="5"/>
  <c r="S131" i="5"/>
  <c r="X395" i="5"/>
  <c r="V387" i="5"/>
  <c r="AB285" i="5"/>
  <c r="T351" i="5"/>
  <c r="U133" i="5"/>
  <c r="AC325" i="5"/>
  <c r="T455" i="5"/>
  <c r="V323" i="5"/>
  <c r="Z239" i="5"/>
  <c r="V25" i="5"/>
  <c r="S375" i="5"/>
  <c r="V205" i="5"/>
  <c r="S419" i="5"/>
  <c r="AA121" i="5"/>
  <c r="Z373" i="5"/>
  <c r="X361" i="5"/>
  <c r="W295" i="5"/>
  <c r="T263" i="5"/>
  <c r="W287" i="5"/>
  <c r="X239" i="5"/>
  <c r="W89" i="5"/>
  <c r="T57" i="5"/>
  <c r="V133" i="5"/>
  <c r="V91" i="5"/>
  <c r="X103" i="5"/>
  <c r="AB103" i="5"/>
  <c r="T125" i="5"/>
  <c r="Y213" i="5"/>
  <c r="S299" i="5"/>
  <c r="U285" i="5"/>
  <c r="T199" i="5"/>
  <c r="Y159" i="5"/>
  <c r="U81" i="5"/>
  <c r="AA263" i="5"/>
  <c r="V217" i="5"/>
  <c r="V195" i="5"/>
  <c r="W145" i="5"/>
  <c r="S555" i="5"/>
  <c r="V333" i="5"/>
  <c r="W187" i="5"/>
  <c r="V51" i="5"/>
  <c r="AA151" i="5"/>
  <c r="AC175" i="5"/>
  <c r="X95" i="5"/>
  <c r="AC293" i="5"/>
  <c r="X33" i="5"/>
  <c r="AD163" i="5"/>
  <c r="AC307" i="5"/>
  <c r="Y227" i="5"/>
  <c r="V203" i="5"/>
  <c r="AE147" i="5"/>
  <c r="Z295" i="5"/>
  <c r="U289" i="5"/>
  <c r="W113" i="5"/>
  <c r="Y211" i="5"/>
  <c r="S157" i="5"/>
  <c r="U241" i="5"/>
  <c r="W213" i="5"/>
  <c r="S283" i="5"/>
  <c r="S99" i="5"/>
  <c r="U225" i="5"/>
  <c r="Z91" i="5"/>
  <c r="AE145" i="5"/>
  <c r="T239" i="5"/>
  <c r="T139" i="5"/>
  <c r="X51" i="5"/>
  <c r="Z167" i="5"/>
  <c r="X325" i="5"/>
  <c r="U109" i="5"/>
  <c r="X205" i="5"/>
  <c r="V331" i="5"/>
  <c r="AE205" i="5"/>
  <c r="AC231" i="5"/>
  <c r="V15" i="5"/>
  <c r="X335" i="5"/>
  <c r="T387" i="5"/>
  <c r="X131" i="5"/>
  <c r="AD341" i="5"/>
  <c r="S259" i="5"/>
  <c r="Y73" i="5"/>
  <c r="U89" i="5"/>
  <c r="AC35" i="5"/>
  <c r="AB341" i="5"/>
  <c r="T265" i="5"/>
  <c r="AA351" i="5"/>
  <c r="T393" i="5"/>
  <c r="AC363" i="5"/>
  <c r="S33" i="5"/>
  <c r="AD337" i="5"/>
  <c r="V379" i="5"/>
  <c r="AC239" i="5"/>
  <c r="U383" i="5"/>
  <c r="W53" i="5"/>
  <c r="T173" i="5"/>
  <c r="W377" i="5"/>
  <c r="AD45" i="5"/>
  <c r="AC63" i="5"/>
  <c r="S19" i="5"/>
  <c r="S163" i="5"/>
  <c r="AC171" i="5"/>
  <c r="Y47" i="5"/>
  <c r="V145" i="5"/>
  <c r="Y219" i="5"/>
  <c r="AC85" i="5"/>
  <c r="W259" i="5"/>
  <c r="S139" i="5"/>
  <c r="T417" i="5"/>
  <c r="AC397" i="5"/>
  <c r="T317" i="5"/>
  <c r="S361" i="5"/>
  <c r="T27" i="5"/>
  <c r="T591" i="5"/>
  <c r="T415" i="5"/>
  <c r="AC159" i="5"/>
  <c r="S345" i="5"/>
  <c r="T445" i="5"/>
  <c r="S311" i="5"/>
  <c r="AC75" i="5"/>
  <c r="Y37" i="5"/>
  <c r="U321" i="5"/>
  <c r="S591" i="5"/>
  <c r="V29" i="5"/>
  <c r="W315" i="5"/>
  <c r="X277" i="5"/>
  <c r="T157" i="5"/>
  <c r="AC345" i="5"/>
  <c r="X203" i="5"/>
  <c r="AD131" i="5"/>
  <c r="AA31" i="5"/>
  <c r="AB351" i="5"/>
  <c r="AC305" i="5"/>
  <c r="W209" i="5"/>
  <c r="Y229" i="5"/>
  <c r="Z95" i="5"/>
  <c r="AC375" i="5"/>
  <c r="V381" i="5"/>
  <c r="Z333" i="5"/>
  <c r="Z211" i="5"/>
  <c r="X17" i="5"/>
  <c r="U105" i="5"/>
  <c r="AD339" i="5"/>
  <c r="AF15" i="5"/>
  <c r="AA371" i="5"/>
  <c r="AC283" i="5"/>
  <c r="T225" i="5"/>
  <c r="Z63" i="5"/>
  <c r="T359" i="5"/>
  <c r="Y293" i="5"/>
  <c r="AD325" i="5"/>
  <c r="T183" i="5"/>
  <c r="AA133" i="5"/>
  <c r="AF21" i="5"/>
  <c r="U127" i="5"/>
  <c r="S393" i="5"/>
  <c r="V175" i="5"/>
  <c r="AF131" i="5"/>
  <c r="S409" i="5"/>
  <c r="V95" i="5"/>
  <c r="X309" i="5"/>
  <c r="AA111" i="5"/>
  <c r="U173" i="5"/>
  <c r="AA209" i="5"/>
  <c r="S599" i="5"/>
  <c r="AD259" i="5"/>
  <c r="AC355" i="5"/>
  <c r="AA199" i="5"/>
  <c r="AF141" i="5"/>
  <c r="AE15" i="5"/>
  <c r="S425" i="5"/>
  <c r="AF397" i="5"/>
  <c r="T369" i="5"/>
  <c r="X355" i="5"/>
  <c r="AF349" i="5"/>
  <c r="AC13" i="5"/>
  <c r="T277" i="5"/>
  <c r="S465" i="5"/>
  <c r="Z353" i="5"/>
  <c r="Y23" i="5"/>
  <c r="T249" i="5"/>
  <c r="X13" i="5"/>
  <c r="AE121" i="5"/>
  <c r="AC17" i="5"/>
  <c r="Y103" i="5"/>
  <c r="T123" i="5"/>
  <c r="Z309" i="5"/>
  <c r="AB71" i="5"/>
  <c r="U37" i="5"/>
  <c r="AB299" i="5"/>
  <c r="U297" i="5"/>
  <c r="AF51" i="5"/>
  <c r="AF49" i="5"/>
  <c r="X141" i="5"/>
  <c r="T279" i="5"/>
  <c r="AC213" i="5"/>
  <c r="AF175" i="5"/>
  <c r="V113" i="5"/>
  <c r="T469" i="5"/>
  <c r="AE351" i="5"/>
  <c r="S247" i="5"/>
  <c r="U235" i="5"/>
  <c r="AC289" i="5"/>
  <c r="AC167" i="5"/>
  <c r="Z313" i="5"/>
  <c r="AA55" i="5"/>
  <c r="S385" i="5"/>
  <c r="AA161" i="5"/>
  <c r="T363" i="5"/>
  <c r="V399" i="5"/>
  <c r="S551" i="5"/>
  <c r="AD101" i="5"/>
  <c r="AB245" i="5"/>
  <c r="S531" i="5"/>
  <c r="U61" i="5"/>
  <c r="T335" i="5"/>
  <c r="AA43" i="5"/>
  <c r="Z109" i="5"/>
  <c r="AB109" i="5"/>
  <c r="AE189" i="5"/>
  <c r="S377" i="5"/>
  <c r="T251" i="5"/>
  <c r="AG317" i="5"/>
  <c r="U147" i="5"/>
  <c r="AF335" i="5"/>
  <c r="AC191" i="5"/>
  <c r="AD31" i="5"/>
  <c r="AF299" i="5"/>
  <c r="U355" i="5"/>
  <c r="AE73" i="5"/>
  <c r="V397" i="5"/>
  <c r="T281" i="5"/>
  <c r="X263" i="5"/>
  <c r="X37" i="5"/>
  <c r="AD27" i="5"/>
  <c r="T505" i="5"/>
  <c r="Y155" i="5"/>
  <c r="U93" i="5"/>
  <c r="V57" i="5"/>
  <c r="AB339" i="5"/>
  <c r="AC11" i="5"/>
  <c r="Z359" i="5"/>
  <c r="AC217" i="5"/>
  <c r="V139" i="5"/>
  <c r="AC179" i="5"/>
  <c r="AB203" i="5"/>
  <c r="W381" i="5"/>
  <c r="W151" i="5"/>
  <c r="AE373" i="5"/>
  <c r="Z27" i="5"/>
  <c r="Z363" i="5"/>
  <c r="AC321" i="5"/>
  <c r="X195" i="5"/>
  <c r="AC383" i="5"/>
  <c r="Y399" i="5"/>
  <c r="W139" i="5"/>
  <c r="AD297" i="5"/>
  <c r="AD167" i="5"/>
  <c r="V375" i="5"/>
  <c r="AD73" i="5"/>
  <c r="Z47" i="5"/>
  <c r="V227" i="5"/>
  <c r="V343" i="5"/>
  <c r="AA195" i="5"/>
  <c r="S31" i="5"/>
  <c r="U135" i="5"/>
  <c r="U155" i="5"/>
  <c r="Y45" i="5"/>
  <c r="X135" i="5"/>
  <c r="AD51" i="5"/>
  <c r="AD357" i="5"/>
  <c r="Y61" i="5"/>
  <c r="Z71" i="5"/>
  <c r="AC157" i="5"/>
  <c r="U291" i="5"/>
  <c r="Z379" i="5"/>
  <c r="X247" i="5"/>
  <c r="W351" i="5"/>
  <c r="Z305" i="5"/>
  <c r="AA185" i="5"/>
  <c r="AC277" i="5"/>
  <c r="AC123" i="5"/>
  <c r="T527" i="5"/>
  <c r="T379" i="5"/>
  <c r="Z173" i="5"/>
  <c r="AE341" i="5"/>
  <c r="AB35" i="5"/>
  <c r="Y371" i="5"/>
  <c r="Y375" i="5"/>
  <c r="AD93" i="5"/>
  <c r="AD307" i="5"/>
  <c r="AC127" i="5"/>
  <c r="Y125" i="5"/>
  <c r="AC399" i="5"/>
  <c r="X365" i="5"/>
  <c r="U367" i="5"/>
  <c r="AA39" i="5"/>
  <c r="AD19" i="5"/>
  <c r="U101" i="5"/>
  <c r="AD257" i="5"/>
  <c r="T309" i="5"/>
  <c r="U45" i="5"/>
  <c r="AC69" i="5"/>
  <c r="Z335" i="5"/>
  <c r="S45" i="5"/>
  <c r="X61" i="5"/>
  <c r="AF287" i="5"/>
  <c r="U187" i="5"/>
  <c r="Y109" i="5"/>
  <c r="S5" i="5"/>
  <c r="T541" i="5"/>
  <c r="Z169" i="5"/>
  <c r="T7" i="5"/>
  <c r="U279" i="5"/>
  <c r="V233" i="5"/>
  <c r="U259" i="5"/>
  <c r="AE217" i="5"/>
  <c r="T141" i="5"/>
  <c r="Z301" i="5"/>
  <c r="AA237" i="5"/>
  <c r="S185" i="5"/>
  <c r="Y185" i="5"/>
  <c r="AA245" i="5"/>
  <c r="Y347" i="5"/>
  <c r="Y35" i="5"/>
  <c r="V127" i="5"/>
  <c r="AE61" i="5"/>
  <c r="S111" i="5"/>
  <c r="X379" i="5"/>
  <c r="AF265" i="5"/>
  <c r="W201" i="5"/>
  <c r="AE303" i="5"/>
  <c r="Y9" i="5"/>
  <c r="Z231" i="5"/>
  <c r="Y275" i="5"/>
  <c r="Y165" i="5"/>
  <c r="AF89" i="5"/>
  <c r="AE183" i="5"/>
  <c r="S487" i="5"/>
  <c r="AD57" i="5"/>
  <c r="AC327" i="5"/>
  <c r="AB73" i="5"/>
  <c r="X243" i="5"/>
  <c r="U129" i="5"/>
  <c r="Y97" i="5"/>
  <c r="T255" i="5"/>
  <c r="Y197" i="5"/>
  <c r="X47" i="5"/>
  <c r="AD171" i="5"/>
  <c r="X251" i="5"/>
  <c r="AE291" i="5"/>
  <c r="AA143" i="5"/>
  <c r="AF65" i="5"/>
  <c r="Y377" i="5"/>
  <c r="U149" i="5"/>
  <c r="Y27" i="5"/>
  <c r="AB89" i="5"/>
  <c r="S399" i="5"/>
  <c r="W313" i="5"/>
  <c r="AA135" i="5"/>
  <c r="AD317" i="5"/>
  <c r="AB147" i="5"/>
  <c r="AD133" i="5"/>
  <c r="W223" i="5"/>
  <c r="AC247" i="5"/>
  <c r="AE97" i="5"/>
  <c r="AF209" i="5"/>
  <c r="AB291" i="5"/>
  <c r="AF67" i="5"/>
  <c r="X299" i="5"/>
  <c r="AE287" i="5"/>
  <c r="AE325" i="5"/>
  <c r="U115" i="5"/>
  <c r="T13" i="5"/>
  <c r="X371" i="5"/>
  <c r="AC105" i="5"/>
  <c r="S69" i="5"/>
  <c r="AF149" i="5"/>
  <c r="W225" i="5"/>
  <c r="S273" i="5"/>
  <c r="S219" i="5"/>
  <c r="W265" i="5"/>
  <c r="AD91" i="5"/>
  <c r="U349" i="5"/>
  <c r="Y381" i="5"/>
  <c r="AD215" i="5"/>
  <c r="AC195" i="5"/>
  <c r="W33" i="5"/>
  <c r="S589" i="5"/>
  <c r="T197" i="5"/>
  <c r="AD273" i="5"/>
  <c r="V115" i="5"/>
  <c r="S13" i="5"/>
  <c r="Z327" i="5"/>
  <c r="Y99" i="5"/>
  <c r="AC341" i="5"/>
  <c r="T71" i="5"/>
  <c r="S573" i="5"/>
  <c r="W317" i="5"/>
  <c r="AB151" i="5"/>
  <c r="AF379" i="5"/>
  <c r="AE209" i="5"/>
  <c r="AD207" i="5"/>
  <c r="T427" i="5"/>
  <c r="AC265" i="5"/>
  <c r="S337" i="5"/>
  <c r="Z165" i="5"/>
  <c r="V87" i="5"/>
  <c r="W243" i="5"/>
  <c r="X105" i="5"/>
  <c r="AC81" i="5"/>
  <c r="X31" i="5"/>
  <c r="W341" i="5"/>
  <c r="AD149" i="5"/>
  <c r="Z349" i="5"/>
  <c r="AB237" i="5"/>
  <c r="AA79" i="5"/>
  <c r="S583" i="5"/>
  <c r="AD159" i="5"/>
  <c r="AA383" i="5"/>
  <c r="AF309" i="5"/>
  <c r="S233" i="5"/>
  <c r="Z195" i="5"/>
  <c r="AD253" i="5"/>
  <c r="S471" i="5"/>
  <c r="AD195" i="5"/>
  <c r="AC313" i="5"/>
  <c r="U15" i="5"/>
  <c r="AC165" i="5"/>
  <c r="S279" i="5"/>
  <c r="W321" i="5"/>
  <c r="S15" i="5"/>
  <c r="AB233" i="5"/>
  <c r="AE47" i="5"/>
  <c r="AA59" i="5"/>
  <c r="AF23" i="5"/>
  <c r="AD371" i="5"/>
  <c r="AA327" i="5"/>
  <c r="Z69" i="5"/>
  <c r="AB165" i="5"/>
  <c r="X271" i="5"/>
  <c r="V211" i="5"/>
  <c r="AB223" i="5"/>
  <c r="AE275" i="5"/>
  <c r="AE195" i="5"/>
  <c r="AE319" i="5"/>
  <c r="AA45" i="5"/>
  <c r="S189" i="5"/>
  <c r="AB13" i="5"/>
  <c r="T413" i="5"/>
  <c r="T171" i="5"/>
  <c r="V103" i="5"/>
  <c r="T87" i="5"/>
  <c r="V73" i="5"/>
  <c r="S195" i="5"/>
  <c r="AB175" i="5"/>
  <c r="Y29" i="5"/>
  <c r="AE89" i="5"/>
  <c r="AC169" i="5"/>
  <c r="AC367" i="5"/>
  <c r="Y81" i="5"/>
  <c r="W305" i="5"/>
  <c r="X315" i="5"/>
  <c r="Z185" i="5"/>
  <c r="U31" i="5"/>
  <c r="S217" i="5"/>
  <c r="W197" i="5"/>
  <c r="T385" i="5"/>
  <c r="Z9" i="5"/>
  <c r="AC23" i="5"/>
  <c r="Y115" i="5"/>
  <c r="AD319" i="5"/>
  <c r="AB107" i="5"/>
  <c r="T205" i="5"/>
  <c r="S21" i="5"/>
  <c r="AF169" i="5"/>
  <c r="U5" i="5"/>
  <c r="AC197" i="5"/>
  <c r="X383" i="5"/>
  <c r="AB45" i="5"/>
  <c r="V55" i="5"/>
  <c r="T33" i="5"/>
  <c r="W375" i="5"/>
  <c r="S319" i="5"/>
  <c r="AF329" i="5"/>
  <c r="AF291" i="5"/>
  <c r="AC145" i="5"/>
  <c r="AD283" i="5"/>
  <c r="V185" i="5"/>
  <c r="U185" i="5"/>
  <c r="S579" i="5"/>
  <c r="U395" i="5"/>
  <c r="W169" i="5"/>
  <c r="AD107" i="5"/>
  <c r="AC187" i="5"/>
  <c r="AC203" i="5"/>
  <c r="V251" i="5"/>
  <c r="AA183" i="5"/>
  <c r="Y273" i="5"/>
  <c r="S309" i="5"/>
  <c r="W173" i="5"/>
  <c r="AB393" i="5"/>
  <c r="AF59" i="5"/>
  <c r="AD77" i="5"/>
  <c r="AF197" i="5"/>
  <c r="T329" i="5"/>
  <c r="V17" i="5"/>
  <c r="X139" i="5"/>
  <c r="AD285" i="5"/>
  <c r="AB65" i="5"/>
  <c r="Z77" i="5"/>
  <c r="T73" i="5"/>
  <c r="Z175" i="5"/>
  <c r="AD219" i="5"/>
  <c r="Z201" i="5"/>
  <c r="X269" i="5"/>
  <c r="V35" i="5"/>
  <c r="V151" i="5"/>
  <c r="Y131" i="5"/>
  <c r="AB249" i="5"/>
  <c r="V303" i="5"/>
  <c r="AE133" i="5"/>
  <c r="Y107" i="5"/>
  <c r="AD347" i="5"/>
  <c r="Y63" i="5"/>
  <c r="AC45" i="5"/>
  <c r="Y95" i="5"/>
  <c r="AE263" i="5"/>
  <c r="AC379" i="5"/>
  <c r="T431" i="5"/>
  <c r="AB381" i="5"/>
  <c r="W217" i="5"/>
  <c r="AD367" i="5"/>
  <c r="AA287" i="5"/>
  <c r="AH95" i="5"/>
  <c r="AE55" i="5"/>
  <c r="AB113" i="5"/>
  <c r="X289" i="5"/>
  <c r="Z129" i="5"/>
  <c r="Y189" i="5"/>
  <c r="AC19" i="5"/>
  <c r="AH229" i="5"/>
  <c r="AA217" i="5"/>
  <c r="AE81" i="5"/>
  <c r="AD95" i="5"/>
  <c r="U53" i="5"/>
  <c r="AC33" i="5"/>
  <c r="S411" i="5"/>
  <c r="AB319" i="5"/>
  <c r="X107" i="5"/>
  <c r="V201" i="5"/>
  <c r="W105" i="5"/>
  <c r="X101" i="5"/>
  <c r="AB235" i="5"/>
  <c r="AA309" i="5"/>
  <c r="AC219" i="5"/>
  <c r="T511" i="5"/>
  <c r="AC131" i="5"/>
  <c r="AC385" i="5"/>
  <c r="AA197" i="5"/>
  <c r="AA273" i="5"/>
  <c r="AD103" i="5"/>
  <c r="AF33" i="5"/>
  <c r="V177" i="5"/>
  <c r="U169" i="5"/>
  <c r="W367" i="5"/>
  <c r="U293" i="5"/>
  <c r="U381" i="5"/>
  <c r="X79" i="5"/>
  <c r="AC271" i="5"/>
  <c r="Y383" i="5"/>
  <c r="T135" i="5"/>
  <c r="X43" i="5"/>
  <c r="S205" i="5"/>
  <c r="V243" i="5"/>
  <c r="Y157" i="5"/>
  <c r="AC249" i="5"/>
  <c r="AA85" i="5"/>
  <c r="AC229" i="5"/>
  <c r="Z199" i="5"/>
  <c r="V47" i="5"/>
  <c r="AF269" i="5"/>
  <c r="T565" i="5"/>
  <c r="AE367" i="5"/>
  <c r="AF129" i="5"/>
  <c r="T187" i="5"/>
  <c r="T93" i="5"/>
  <c r="AD343" i="5"/>
  <c r="U281" i="5"/>
  <c r="AF327" i="5"/>
  <c r="AA277" i="5"/>
  <c r="Y179" i="5"/>
  <c r="AF103" i="5"/>
  <c r="S153" i="5"/>
  <c r="AA381" i="5"/>
  <c r="U43" i="5"/>
  <c r="W153" i="5"/>
  <c r="AF165" i="5"/>
  <c r="AB159" i="5"/>
  <c r="AA325" i="5"/>
  <c r="AA295" i="5"/>
  <c r="W325" i="5"/>
  <c r="U307" i="5"/>
  <c r="AE31" i="5"/>
  <c r="S413" i="5"/>
  <c r="S57" i="5"/>
  <c r="S367" i="5"/>
  <c r="AA137" i="5"/>
  <c r="U269" i="5"/>
  <c r="AC339" i="5"/>
  <c r="AD229" i="5"/>
  <c r="S595" i="5"/>
  <c r="AF161" i="5"/>
  <c r="AC107" i="5"/>
  <c r="AA63" i="5"/>
  <c r="S449" i="5"/>
  <c r="W63" i="5"/>
  <c r="AB143" i="5"/>
  <c r="T481" i="5"/>
  <c r="T471" i="5"/>
  <c r="Z207" i="5"/>
  <c r="S173" i="5"/>
  <c r="AC337" i="5"/>
  <c r="T39" i="5"/>
  <c r="AD313" i="5"/>
  <c r="W339" i="5"/>
  <c r="AB359" i="5"/>
  <c r="AC267" i="5"/>
  <c r="Z29" i="5"/>
  <c r="V339" i="5"/>
  <c r="Z61" i="5"/>
  <c r="AA153" i="5"/>
  <c r="U391" i="5"/>
  <c r="AF323" i="5"/>
  <c r="T567" i="5"/>
  <c r="U345" i="5"/>
  <c r="AB373" i="5"/>
  <c r="T495" i="5"/>
  <c r="AB347" i="5"/>
  <c r="AA99" i="5"/>
  <c r="T611" i="5"/>
  <c r="AC143" i="5"/>
  <c r="AF343" i="5"/>
  <c r="AE13" i="5"/>
  <c r="AA281" i="5"/>
  <c r="AC209" i="5"/>
  <c r="Y303" i="5"/>
  <c r="S407" i="5"/>
  <c r="S37" i="5"/>
  <c r="S491" i="5"/>
  <c r="AC181" i="5"/>
  <c r="V265" i="5"/>
  <c r="AD29" i="5"/>
  <c r="AD175" i="5"/>
  <c r="AD351" i="5"/>
  <c r="AB379" i="5"/>
  <c r="AA139" i="5"/>
  <c r="AD79" i="5"/>
  <c r="U353" i="5"/>
  <c r="Y135" i="5"/>
  <c r="Z145" i="5"/>
  <c r="T465" i="5"/>
  <c r="V255" i="5"/>
  <c r="AA71" i="5"/>
  <c r="Z341" i="5"/>
  <c r="V9" i="5"/>
  <c r="AD251" i="5"/>
  <c r="S403" i="5"/>
  <c r="AA247" i="5"/>
  <c r="S475" i="5"/>
  <c r="AD179" i="5"/>
  <c r="AC67" i="5"/>
  <c r="V187" i="5"/>
  <c r="AA275" i="5"/>
  <c r="S581" i="5"/>
  <c r="AB43" i="5"/>
  <c r="Y343" i="5"/>
  <c r="W307" i="5"/>
  <c r="AA329" i="5"/>
  <c r="AD191" i="5"/>
  <c r="AF17" i="5"/>
  <c r="T283" i="5"/>
  <c r="AB357" i="5"/>
  <c r="AC353" i="5"/>
  <c r="AD189" i="5"/>
  <c r="AD11" i="5"/>
  <c r="AD89" i="5"/>
  <c r="Z73" i="5"/>
  <c r="S75" i="5"/>
  <c r="AC331" i="5"/>
  <c r="X351" i="5"/>
  <c r="U347" i="5"/>
  <c r="T229" i="5"/>
  <c r="V317" i="5"/>
  <c r="S39" i="5"/>
  <c r="T367" i="5"/>
  <c r="T371" i="5"/>
  <c r="Z79" i="5"/>
  <c r="S269" i="5"/>
  <c r="V135" i="5"/>
  <c r="X71" i="5"/>
  <c r="S209" i="5"/>
  <c r="S557" i="5"/>
  <c r="AF257" i="5"/>
  <c r="Z189" i="5"/>
  <c r="W19" i="5"/>
  <c r="T537" i="5"/>
  <c r="S469" i="5"/>
  <c r="AF45" i="5"/>
  <c r="AF351" i="5"/>
  <c r="W323" i="5"/>
  <c r="W379" i="5"/>
  <c r="AD15" i="5"/>
  <c r="X189" i="5"/>
  <c r="Y101" i="5"/>
  <c r="V373" i="5"/>
  <c r="AD53" i="5"/>
  <c r="X275" i="5"/>
  <c r="AE141" i="5"/>
  <c r="V129" i="5"/>
  <c r="S207" i="5"/>
  <c r="Z217" i="5"/>
  <c r="Z213" i="5"/>
  <c r="Y55" i="5"/>
  <c r="Z365" i="5"/>
  <c r="AE159" i="5"/>
  <c r="AA57" i="5"/>
  <c r="Z205" i="5"/>
  <c r="X161" i="5"/>
  <c r="T109" i="5"/>
  <c r="W95" i="5"/>
  <c r="V173" i="5"/>
  <c r="W235" i="5"/>
  <c r="T151" i="5"/>
  <c r="AE151" i="5"/>
  <c r="W331" i="5"/>
  <c r="X181" i="5"/>
  <c r="U107" i="5"/>
  <c r="X363" i="5"/>
  <c r="Y271" i="5"/>
  <c r="X137" i="5"/>
  <c r="AA115" i="5"/>
  <c r="V261" i="5"/>
  <c r="S81" i="5"/>
  <c r="W35" i="5"/>
  <c r="U191" i="5"/>
  <c r="Z263" i="5"/>
  <c r="U341" i="5"/>
  <c r="S435" i="5"/>
  <c r="AD75" i="5"/>
  <c r="W51" i="5"/>
  <c r="S231" i="5"/>
  <c r="W167" i="5"/>
  <c r="Z267" i="5"/>
  <c r="AC163" i="5"/>
  <c r="AE79" i="5"/>
  <c r="AB279" i="5"/>
  <c r="AA355" i="5"/>
  <c r="AH25" i="5"/>
  <c r="AA241" i="5"/>
  <c r="T165" i="5"/>
  <c r="W301" i="5"/>
  <c r="AB189" i="5"/>
  <c r="S521" i="5"/>
  <c r="AF301" i="5"/>
  <c r="W347" i="5"/>
  <c r="AF177" i="5"/>
  <c r="AF271" i="5"/>
  <c r="AA211" i="5"/>
  <c r="AG365" i="5"/>
  <c r="T179" i="5"/>
  <c r="AD321" i="5"/>
  <c r="AF383" i="5"/>
  <c r="AB77" i="5"/>
  <c r="U59" i="5"/>
  <c r="AH327" i="5"/>
  <c r="AH287" i="5"/>
  <c r="AF399" i="5"/>
  <c r="AH115" i="5"/>
  <c r="AG301" i="5"/>
  <c r="S187" i="5"/>
  <c r="U137" i="5"/>
  <c r="Y223" i="5"/>
  <c r="Z143" i="5"/>
  <c r="AE321" i="5"/>
  <c r="U257" i="5"/>
  <c r="AE271" i="5"/>
  <c r="T561" i="5"/>
  <c r="AB67" i="5"/>
  <c r="Z127" i="5"/>
  <c r="T509" i="5"/>
  <c r="AA107" i="5"/>
  <c r="X211" i="5"/>
  <c r="Y243" i="5"/>
  <c r="T111" i="5"/>
  <c r="Y177" i="5"/>
  <c r="AC43" i="5"/>
  <c r="T191" i="5"/>
  <c r="AF157" i="5"/>
  <c r="AG143" i="5"/>
  <c r="AF279" i="5"/>
  <c r="AH377" i="5"/>
  <c r="S239" i="5"/>
  <c r="AH285" i="5"/>
  <c r="AE389" i="5"/>
  <c r="AH55" i="5"/>
  <c r="AB141" i="5"/>
  <c r="U267" i="5"/>
  <c r="X123" i="5"/>
  <c r="S497" i="5"/>
  <c r="AA219" i="5"/>
  <c r="V121" i="5"/>
  <c r="AE289" i="5"/>
  <c r="Z273" i="5"/>
  <c r="AC235" i="5"/>
  <c r="V299" i="5"/>
  <c r="W13" i="5"/>
  <c r="U239" i="5"/>
  <c r="T289" i="5"/>
  <c r="AE9" i="5"/>
  <c r="AC83" i="5"/>
  <c r="W99" i="5"/>
  <c r="AH225" i="5"/>
  <c r="W229" i="5"/>
  <c r="S113" i="5"/>
  <c r="AG309" i="5"/>
  <c r="AF281" i="5"/>
  <c r="AH131" i="5"/>
  <c r="AA177" i="5"/>
  <c r="S565" i="5"/>
  <c r="Y287" i="5"/>
  <c r="Y5" i="5"/>
  <c r="AB21" i="5"/>
  <c r="X117" i="5"/>
  <c r="AB115" i="5"/>
  <c r="S323" i="5"/>
  <c r="S105" i="5"/>
  <c r="AC111" i="5"/>
  <c r="AD25" i="5"/>
  <c r="AE305" i="5"/>
  <c r="X387" i="5"/>
  <c r="AE273" i="5"/>
  <c r="Z265" i="5"/>
  <c r="W191" i="5"/>
  <c r="AB5" i="5"/>
  <c r="AD165" i="5"/>
  <c r="Y291" i="5"/>
  <c r="W147" i="5"/>
  <c r="S613" i="5"/>
  <c r="AF391" i="5"/>
  <c r="T175" i="5"/>
  <c r="AE11" i="5"/>
  <c r="W311" i="5"/>
  <c r="T43" i="5"/>
  <c r="T461" i="5"/>
  <c r="AG55" i="5"/>
  <c r="T549" i="5"/>
  <c r="S227" i="5"/>
  <c r="S359" i="5"/>
  <c r="U19" i="5"/>
  <c r="S141" i="5"/>
  <c r="S577" i="5"/>
  <c r="T305" i="5"/>
  <c r="U327" i="5"/>
  <c r="AE111" i="5"/>
  <c r="U119" i="5"/>
  <c r="AH109" i="5"/>
  <c r="T223" i="5"/>
  <c r="T119" i="5"/>
  <c r="S483" i="5"/>
  <c r="T253" i="5"/>
  <c r="X83" i="5"/>
  <c r="AA271" i="5"/>
  <c r="AD61" i="5"/>
  <c r="AB199" i="5"/>
  <c r="AA81" i="5"/>
  <c r="U299" i="5"/>
  <c r="AE115" i="5"/>
  <c r="U313" i="5"/>
  <c r="AD87" i="5"/>
  <c r="Z243" i="5"/>
  <c r="AF305" i="5"/>
  <c r="AF137" i="5"/>
  <c r="V23" i="5"/>
  <c r="AC373" i="5"/>
  <c r="AF363" i="5"/>
  <c r="AE199" i="5"/>
  <c r="X119" i="5"/>
  <c r="V189" i="5"/>
  <c r="AE221" i="5"/>
  <c r="AF73" i="5"/>
  <c r="AH291" i="5"/>
  <c r="Y111" i="5"/>
  <c r="Z81" i="5"/>
  <c r="AE329" i="5"/>
  <c r="V97" i="5"/>
  <c r="Y233" i="5"/>
  <c r="AA109" i="5"/>
  <c r="AA191" i="5"/>
  <c r="AD173" i="5"/>
  <c r="V183" i="5"/>
  <c r="AF25" i="5"/>
  <c r="W31" i="5"/>
  <c r="S339" i="5"/>
  <c r="W119" i="5"/>
  <c r="AA73" i="5"/>
  <c r="X151" i="5"/>
  <c r="X369" i="5"/>
  <c r="AD241" i="5"/>
  <c r="AF27" i="5"/>
  <c r="AA305" i="5"/>
  <c r="AF105" i="5"/>
  <c r="U303" i="5"/>
  <c r="W5" i="5"/>
  <c r="W373" i="5"/>
  <c r="Z59" i="5"/>
  <c r="W91" i="5"/>
  <c r="AB207" i="5"/>
  <c r="Z111" i="5"/>
  <c r="AH111" i="5"/>
  <c r="X215" i="5"/>
  <c r="T489" i="5"/>
  <c r="S225" i="5"/>
  <c r="V93" i="5"/>
  <c r="S501" i="5"/>
  <c r="S119" i="5"/>
  <c r="Z329" i="5"/>
  <c r="AE25" i="5"/>
  <c r="S175" i="5"/>
  <c r="V271" i="5"/>
  <c r="Y251" i="5"/>
  <c r="X207" i="5"/>
  <c r="X57" i="5"/>
  <c r="T321" i="5"/>
  <c r="AF35" i="5"/>
  <c r="W55" i="5"/>
  <c r="Z75" i="5"/>
  <c r="S93" i="5"/>
  <c r="AA187" i="5"/>
  <c r="T323" i="5"/>
  <c r="U195" i="5"/>
  <c r="AA97" i="5"/>
  <c r="AE229" i="5"/>
  <c r="X109" i="5"/>
  <c r="AD255" i="5"/>
  <c r="T97" i="5"/>
  <c r="T487" i="5"/>
  <c r="AB215" i="5"/>
  <c r="X75" i="5"/>
  <c r="T605" i="5"/>
  <c r="AF205" i="5"/>
  <c r="AA113" i="5"/>
  <c r="Z299" i="5"/>
  <c r="S561" i="5"/>
  <c r="W107" i="5"/>
  <c r="AE177" i="5"/>
  <c r="AC291" i="5"/>
  <c r="T169" i="5"/>
  <c r="S353" i="5"/>
  <c r="AA87" i="5"/>
  <c r="T155" i="5"/>
  <c r="U151" i="5"/>
  <c r="Z391" i="5"/>
  <c r="S405" i="5"/>
  <c r="AE117" i="5"/>
  <c r="Z13" i="5"/>
  <c r="Z399" i="5"/>
  <c r="AA27" i="5"/>
  <c r="AH107" i="5"/>
  <c r="Y257" i="5"/>
  <c r="Z159" i="5"/>
  <c r="AG61" i="5"/>
  <c r="Z115" i="5"/>
  <c r="Z259" i="5"/>
  <c r="Y91" i="5"/>
  <c r="S519" i="5"/>
  <c r="V319" i="5"/>
  <c r="AC15" i="5"/>
  <c r="Z339" i="5"/>
  <c r="AF91" i="5"/>
  <c r="S525" i="5"/>
  <c r="AD391" i="5"/>
  <c r="AF263" i="5"/>
  <c r="T501" i="5"/>
  <c r="AF377" i="5"/>
  <c r="AD99" i="5"/>
  <c r="T75" i="5"/>
  <c r="T395" i="5"/>
  <c r="AF111" i="5"/>
  <c r="S241" i="5"/>
  <c r="AE213" i="5"/>
  <c r="V245" i="5"/>
  <c r="Z311" i="5"/>
  <c r="T31" i="5"/>
  <c r="AB397" i="5"/>
  <c r="X29" i="5"/>
  <c r="W25" i="5"/>
  <c r="Z87" i="5"/>
  <c r="AF47" i="5"/>
  <c r="AE103" i="5"/>
  <c r="U125" i="5"/>
  <c r="W75" i="5"/>
  <c r="Z369" i="5"/>
  <c r="Y39" i="5"/>
  <c r="W85" i="5"/>
  <c r="AB59" i="5"/>
  <c r="Y385" i="5"/>
  <c r="Z279" i="5"/>
  <c r="AA255" i="5"/>
  <c r="AB61" i="5"/>
  <c r="V161" i="5"/>
  <c r="U237" i="5"/>
  <c r="U13" i="5"/>
  <c r="AB313" i="5"/>
  <c r="U35" i="5"/>
  <c r="AB85" i="5"/>
  <c r="Y113" i="5"/>
  <c r="Y171" i="5"/>
  <c r="X303" i="5"/>
  <c r="AE161" i="5"/>
  <c r="T421" i="5"/>
  <c r="W149" i="5"/>
  <c r="AH319" i="5"/>
  <c r="AH335" i="5"/>
  <c r="AG85" i="5"/>
  <c r="X87" i="5"/>
  <c r="V67" i="5"/>
  <c r="AC297" i="5"/>
  <c r="V321" i="5"/>
  <c r="S395" i="5"/>
  <c r="S73" i="5"/>
  <c r="Y21" i="5"/>
  <c r="Y269" i="5"/>
  <c r="Z233" i="5"/>
  <c r="X199" i="5"/>
  <c r="U263" i="5"/>
  <c r="AH201" i="5"/>
  <c r="AD245" i="5"/>
  <c r="AA379" i="5"/>
  <c r="AG73" i="5"/>
  <c r="AH191" i="5"/>
  <c r="W181" i="5"/>
  <c r="U159" i="5"/>
  <c r="AB149" i="5"/>
  <c r="T113" i="5"/>
  <c r="W15" i="5"/>
  <c r="Y57" i="5"/>
  <c r="AC135" i="5"/>
  <c r="W137" i="5"/>
  <c r="U79" i="5"/>
  <c r="Z251" i="5"/>
  <c r="X23" i="5"/>
  <c r="S159" i="5"/>
  <c r="AB227" i="5"/>
  <c r="X11" i="5"/>
  <c r="AF189" i="5"/>
  <c r="AH283" i="5"/>
  <c r="AE299" i="5"/>
  <c r="U223" i="5"/>
  <c r="W199" i="5"/>
  <c r="AF227" i="5"/>
  <c r="S387" i="5"/>
  <c r="AB247" i="5"/>
  <c r="X241" i="5"/>
  <c r="AF375" i="5"/>
  <c r="AA37" i="5"/>
  <c r="AC151" i="5"/>
  <c r="AB217" i="5"/>
  <c r="AE397" i="5"/>
  <c r="W277" i="5"/>
  <c r="X163" i="5"/>
  <c r="T189" i="5"/>
  <c r="X93" i="5"/>
  <c r="AG237" i="5"/>
  <c r="W227" i="5"/>
  <c r="Y123" i="5"/>
  <c r="T271" i="5"/>
  <c r="AB329" i="5"/>
  <c r="S47" i="5"/>
  <c r="AA11" i="5"/>
  <c r="Z5" i="5"/>
  <c r="AE57" i="5"/>
  <c r="S203" i="5"/>
  <c r="AA175" i="5"/>
  <c r="T99" i="5"/>
  <c r="X81" i="5"/>
  <c r="AA337" i="5"/>
  <c r="Z97" i="5"/>
  <c r="S193" i="5"/>
  <c r="X259" i="5"/>
  <c r="AA301" i="5"/>
  <c r="W67" i="5"/>
  <c r="AB125" i="5"/>
  <c r="X39" i="5"/>
  <c r="AA253" i="5"/>
  <c r="AB11" i="5"/>
  <c r="W205" i="5"/>
  <c r="V65" i="5"/>
  <c r="AD213" i="5"/>
  <c r="AF315" i="5"/>
  <c r="AB251" i="5"/>
  <c r="Y307" i="5"/>
  <c r="W195" i="5"/>
  <c r="T23" i="5"/>
  <c r="AA141" i="5"/>
  <c r="AG311" i="5"/>
  <c r="AH143" i="5"/>
  <c r="V5" i="5"/>
  <c r="S251" i="5"/>
  <c r="W43" i="5"/>
  <c r="Z337" i="5"/>
  <c r="S165" i="5"/>
  <c r="AE315" i="5"/>
  <c r="T517" i="5"/>
  <c r="AE259" i="5"/>
  <c r="AE295" i="5"/>
  <c r="Y231" i="5"/>
  <c r="Z285" i="5"/>
  <c r="S505" i="5"/>
  <c r="U165" i="5"/>
  <c r="T25" i="5"/>
  <c r="Z119" i="5"/>
  <c r="W57" i="5"/>
  <c r="S167" i="5"/>
  <c r="V289" i="5"/>
  <c r="X229" i="5"/>
  <c r="AA167" i="5"/>
  <c r="Z31" i="5"/>
  <c r="U271" i="5"/>
  <c r="S97" i="5"/>
  <c r="S23" i="5"/>
  <c r="AD233" i="5"/>
  <c r="S65" i="5"/>
  <c r="T133" i="5"/>
  <c r="Z21" i="5"/>
  <c r="V263" i="5"/>
  <c r="AA279" i="5"/>
  <c r="Y121" i="5"/>
  <c r="AC199" i="5"/>
  <c r="AF99" i="5"/>
  <c r="AC221" i="5"/>
  <c r="AC311" i="5"/>
  <c r="Y129" i="5"/>
  <c r="AB253" i="5"/>
  <c r="AF153" i="5"/>
  <c r="X69" i="5"/>
  <c r="S129" i="5"/>
  <c r="S543" i="5"/>
  <c r="Z291" i="5"/>
  <c r="S541" i="5"/>
  <c r="AA357" i="5"/>
  <c r="S289" i="5"/>
  <c r="AF213" i="5"/>
  <c r="S67" i="5"/>
  <c r="W163" i="5"/>
  <c r="AA207" i="5"/>
  <c r="T159" i="5"/>
  <c r="U183" i="5"/>
  <c r="Y65" i="5"/>
  <c r="S605" i="5"/>
  <c r="AF119" i="5"/>
  <c r="Z289" i="5"/>
  <c r="T597" i="5"/>
  <c r="T327" i="5"/>
  <c r="Z191" i="5"/>
  <c r="W207" i="5"/>
  <c r="T477" i="5"/>
  <c r="AF333" i="5"/>
  <c r="Z161" i="5"/>
  <c r="S243" i="5"/>
  <c r="Z307" i="5"/>
  <c r="U141" i="5"/>
  <c r="AG117" i="5"/>
  <c r="T613" i="5"/>
  <c r="Y267" i="5"/>
  <c r="X165" i="5"/>
  <c r="AA389" i="5"/>
  <c r="AE69" i="5"/>
  <c r="S191" i="5"/>
  <c r="AE143" i="5"/>
  <c r="U123" i="5"/>
  <c r="V63" i="5"/>
  <c r="AB127" i="5"/>
  <c r="AH301" i="5"/>
  <c r="AH233" i="5"/>
  <c r="AA259" i="5"/>
  <c r="AE311" i="5"/>
  <c r="AE307" i="5"/>
  <c r="AE23" i="5"/>
  <c r="AG171" i="5"/>
  <c r="AF313" i="5"/>
  <c r="AF207" i="5"/>
  <c r="V279" i="5"/>
  <c r="Z253" i="5"/>
  <c r="S215" i="5"/>
  <c r="S511" i="5"/>
  <c r="U91" i="5"/>
  <c r="AE255" i="5"/>
  <c r="T513" i="5"/>
  <c r="AE219" i="5"/>
  <c r="S503" i="5"/>
  <c r="AB119" i="5"/>
  <c r="T257" i="5"/>
  <c r="Y31" i="5"/>
  <c r="AE123" i="5"/>
  <c r="AB201" i="5"/>
  <c r="X313" i="5"/>
  <c r="AA165" i="5"/>
  <c r="T117" i="5"/>
  <c r="AE375" i="5"/>
  <c r="AA21" i="5"/>
  <c r="V167" i="5"/>
  <c r="Y161" i="5"/>
  <c r="AF81" i="5"/>
  <c r="Y255" i="5"/>
  <c r="AA65" i="5"/>
  <c r="S391" i="5"/>
  <c r="W357" i="5"/>
  <c r="Y173" i="5"/>
  <c r="T287" i="5"/>
  <c r="T243" i="5"/>
  <c r="AE169" i="5"/>
  <c r="AB311" i="5"/>
  <c r="S593" i="5"/>
  <c r="AA269" i="5"/>
  <c r="T9" i="5"/>
  <c r="S433" i="5"/>
  <c r="V199" i="5"/>
  <c r="AC87" i="5"/>
  <c r="W47" i="5"/>
  <c r="S509" i="5"/>
  <c r="AF215" i="5"/>
  <c r="T453" i="5"/>
  <c r="AE43" i="5"/>
  <c r="T291" i="5"/>
  <c r="S287" i="5"/>
  <c r="AB241" i="5"/>
  <c r="AD363" i="5"/>
  <c r="AD113" i="5"/>
  <c r="AF183" i="5"/>
  <c r="AD289" i="5"/>
  <c r="W165" i="5"/>
  <c r="W61" i="5"/>
  <c r="T533" i="5"/>
  <c r="Y261" i="5"/>
  <c r="AD5" i="5"/>
  <c r="Z209" i="5"/>
  <c r="Y285" i="5"/>
  <c r="AD71" i="5"/>
  <c r="AE207" i="5"/>
  <c r="S401" i="5"/>
  <c r="AD305" i="5"/>
  <c r="X233" i="5"/>
  <c r="AA369" i="5"/>
  <c r="W241" i="5"/>
  <c r="AA335" i="5"/>
  <c r="V137" i="5"/>
  <c r="U331" i="5"/>
  <c r="X153" i="5"/>
  <c r="V357" i="5"/>
  <c r="X209" i="5"/>
  <c r="Z375" i="5"/>
  <c r="AD39" i="5"/>
  <c r="T497" i="5"/>
  <c r="V275" i="5"/>
  <c r="V157" i="5"/>
  <c r="V107" i="5"/>
  <c r="U227" i="5"/>
  <c r="AC155" i="5"/>
  <c r="Y71" i="5"/>
  <c r="T425" i="5"/>
  <c r="AF109" i="5"/>
  <c r="V125" i="5"/>
  <c r="T211" i="5"/>
  <c r="Z255" i="5"/>
  <c r="W79" i="5"/>
  <c r="Z357" i="5"/>
  <c r="W203" i="5"/>
  <c r="U47" i="5"/>
  <c r="AG241" i="5"/>
  <c r="AF353" i="5"/>
  <c r="AH135" i="5"/>
  <c r="AE63" i="5"/>
  <c r="AE365" i="5"/>
  <c r="V141" i="5"/>
  <c r="AH273" i="5"/>
  <c r="AB163" i="5"/>
  <c r="Y253" i="5"/>
  <c r="AE157" i="5"/>
  <c r="Z137" i="5"/>
  <c r="U301" i="5"/>
  <c r="W389" i="5"/>
  <c r="AC113" i="5"/>
  <c r="S291" i="5"/>
  <c r="AE239" i="5"/>
  <c r="AE253" i="5"/>
  <c r="AA17" i="5"/>
  <c r="AF85" i="5"/>
  <c r="U231" i="5"/>
  <c r="AA77" i="5"/>
  <c r="AB63" i="5"/>
  <c r="S261" i="5"/>
  <c r="AE37" i="5"/>
  <c r="T59" i="5"/>
  <c r="U57" i="5"/>
  <c r="AF199" i="5"/>
  <c r="AD353" i="5"/>
  <c r="W123" i="5"/>
  <c r="Y289" i="5"/>
  <c r="S443" i="5"/>
  <c r="AE193" i="5"/>
  <c r="T485" i="5"/>
  <c r="T153" i="5"/>
  <c r="AA189" i="5"/>
  <c r="AG173" i="5"/>
  <c r="W231" i="5"/>
  <c r="T285" i="5"/>
  <c r="Z65" i="5"/>
  <c r="AE149" i="5"/>
  <c r="U113" i="5"/>
  <c r="X173" i="5"/>
  <c r="AF219" i="5"/>
  <c r="AG139" i="5"/>
  <c r="Y69" i="5"/>
  <c r="AG327" i="5"/>
  <c r="X327" i="5"/>
  <c r="AE85" i="5"/>
  <c r="AA323" i="5"/>
  <c r="Z67" i="5"/>
  <c r="AF71" i="5"/>
  <c r="S85" i="5"/>
  <c r="T429" i="5"/>
  <c r="AF123" i="5"/>
  <c r="Y59" i="5"/>
  <c r="AE249" i="5"/>
  <c r="AE99" i="5"/>
  <c r="S285" i="5"/>
  <c r="AB399" i="5"/>
  <c r="AG339" i="5"/>
  <c r="AE5" i="5"/>
  <c r="Y201" i="5"/>
  <c r="AB261" i="5"/>
  <c r="AA239" i="5"/>
  <c r="Z23" i="5"/>
  <c r="AE87" i="5"/>
  <c r="S171" i="5"/>
  <c r="AD237" i="5"/>
  <c r="AD389" i="5"/>
  <c r="T17" i="5"/>
  <c r="W303" i="5"/>
  <c r="AB117" i="5"/>
  <c r="T89" i="5"/>
  <c r="T65" i="5"/>
  <c r="X21" i="5"/>
  <c r="AF297" i="5"/>
  <c r="V31" i="5"/>
  <c r="AB243" i="5"/>
  <c r="AB387" i="5"/>
  <c r="X99" i="5"/>
  <c r="X319" i="5"/>
  <c r="AF43" i="5"/>
  <c r="X249" i="5"/>
  <c r="AC243" i="5"/>
  <c r="X187" i="5"/>
  <c r="U69" i="5"/>
  <c r="AE201" i="5"/>
  <c r="AF97" i="5"/>
  <c r="AB305" i="5"/>
  <c r="AE261" i="5"/>
  <c r="AB377" i="5"/>
  <c r="U203" i="5"/>
  <c r="S263" i="5"/>
  <c r="W193" i="5"/>
  <c r="AB239" i="5"/>
  <c r="Z179" i="5"/>
  <c r="AE49" i="5"/>
  <c r="S77" i="5"/>
  <c r="AE277" i="5"/>
  <c r="AC183" i="5"/>
  <c r="Y395" i="5"/>
  <c r="Z25" i="5"/>
  <c r="AH343" i="5"/>
  <c r="S255" i="5"/>
  <c r="AC263" i="5"/>
  <c r="AA149" i="5"/>
  <c r="Z385" i="5"/>
  <c r="U83" i="5"/>
  <c r="AE339" i="5"/>
  <c r="AF357" i="5"/>
  <c r="Z241" i="5"/>
  <c r="AA299" i="5"/>
  <c r="U99" i="5"/>
  <c r="V213" i="5"/>
  <c r="S101" i="5"/>
  <c r="T607" i="5"/>
  <c r="AE203" i="5"/>
  <c r="AG11" i="5"/>
  <c r="AB193" i="5"/>
  <c r="T103" i="5"/>
  <c r="Z397" i="5"/>
  <c r="AF57" i="5"/>
  <c r="S489" i="5"/>
  <c r="Y75" i="5"/>
  <c r="W17" i="5"/>
  <c r="Y379" i="5"/>
  <c r="T261" i="5"/>
  <c r="AE45" i="5"/>
  <c r="S461" i="5"/>
  <c r="Y217" i="5"/>
  <c r="U251" i="5"/>
  <c r="V309" i="5"/>
  <c r="AB213" i="5"/>
  <c r="V383" i="5"/>
  <c r="AD141" i="5"/>
  <c r="W319" i="5"/>
  <c r="W361" i="5"/>
  <c r="U197" i="5"/>
  <c r="Z225" i="5"/>
  <c r="AF13" i="5"/>
  <c r="T457" i="5"/>
  <c r="X223" i="5"/>
  <c r="S29" i="5"/>
  <c r="X9" i="5"/>
  <c r="AE279" i="5"/>
  <c r="V119" i="5"/>
  <c r="W129" i="5"/>
  <c r="V171" i="5"/>
  <c r="W327" i="5"/>
  <c r="W255" i="5"/>
  <c r="AC93" i="5"/>
  <c r="AB255" i="5"/>
  <c r="AC281" i="5"/>
  <c r="Z287" i="5"/>
  <c r="X235" i="5"/>
  <c r="AE113" i="5"/>
  <c r="AG267" i="5"/>
  <c r="Z39" i="5"/>
  <c r="U193" i="5"/>
  <c r="X225" i="5"/>
  <c r="T545" i="5"/>
  <c r="AA261" i="5"/>
  <c r="W355" i="5"/>
  <c r="AG357" i="5"/>
  <c r="W269" i="5"/>
  <c r="AE313" i="5"/>
  <c r="AE67" i="5"/>
  <c r="W121" i="5"/>
  <c r="S271" i="5"/>
  <c r="Z257" i="5"/>
  <c r="Z261" i="5"/>
  <c r="U213" i="5"/>
  <c r="V241" i="5"/>
  <c r="AA363" i="5"/>
  <c r="AB29" i="5"/>
  <c r="AG269" i="5"/>
  <c r="AE77" i="5"/>
  <c r="AB129" i="5"/>
  <c r="X167" i="5"/>
  <c r="T553" i="5"/>
  <c r="AA285" i="5"/>
  <c r="AF191" i="5"/>
  <c r="Y199" i="5"/>
  <c r="AD83" i="5"/>
  <c r="Y279" i="5"/>
  <c r="AB101" i="5"/>
  <c r="X291" i="5"/>
  <c r="AA105" i="5"/>
  <c r="T77" i="5"/>
  <c r="AB51" i="5"/>
  <c r="S91" i="5"/>
  <c r="AE105" i="5"/>
  <c r="Y139" i="5"/>
  <c r="AA19" i="5"/>
  <c r="AE71" i="5"/>
  <c r="T219" i="5"/>
  <c r="AF195" i="5"/>
  <c r="U167" i="5"/>
  <c r="Y373" i="5"/>
  <c r="Y51" i="5"/>
  <c r="AE335" i="5"/>
  <c r="X265" i="5"/>
  <c r="T207" i="5"/>
  <c r="W81" i="5"/>
  <c r="X295" i="5"/>
  <c r="V143" i="5"/>
  <c r="W285" i="5"/>
  <c r="AE65" i="5"/>
  <c r="Y137" i="5"/>
  <c r="AB97" i="5"/>
  <c r="U71" i="5"/>
  <c r="U261" i="5"/>
  <c r="AF225" i="5"/>
  <c r="AA321" i="5"/>
  <c r="X329" i="5"/>
  <c r="Y277" i="5"/>
  <c r="W279" i="5"/>
  <c r="V27" i="5"/>
  <c r="AF53" i="5"/>
  <c r="T233" i="5"/>
  <c r="AG379" i="5"/>
  <c r="V159" i="5"/>
  <c r="AF75" i="5"/>
  <c r="S71" i="5"/>
  <c r="S517" i="5"/>
  <c r="S553" i="5"/>
  <c r="Y127" i="5"/>
  <c r="AE281" i="5"/>
  <c r="U17" i="5"/>
  <c r="U247" i="5"/>
  <c r="S563" i="5"/>
  <c r="T375" i="5"/>
  <c r="AF151" i="5"/>
  <c r="AF37" i="5"/>
  <c r="Z325" i="5"/>
  <c r="Z237" i="5"/>
  <c r="X399" i="5"/>
  <c r="S87" i="5"/>
  <c r="Y87" i="5"/>
  <c r="AF233" i="5"/>
  <c r="AA343" i="5"/>
  <c r="W23" i="5"/>
  <c r="AE139" i="5"/>
  <c r="V225" i="5"/>
  <c r="Z135" i="5"/>
  <c r="V301" i="5"/>
  <c r="AB269" i="5"/>
  <c r="U363" i="5"/>
  <c r="AB133" i="5"/>
  <c r="AB27" i="5"/>
  <c r="AE29" i="5"/>
  <c r="AC227" i="5"/>
  <c r="X133" i="5"/>
  <c r="T491" i="5"/>
  <c r="S473" i="5"/>
  <c r="S17" i="5"/>
  <c r="W233" i="5"/>
  <c r="U181" i="5"/>
  <c r="S127" i="5"/>
  <c r="U309" i="5"/>
  <c r="X307" i="5"/>
  <c r="AB131" i="5"/>
  <c r="AE359" i="5"/>
  <c r="S55" i="5"/>
  <c r="AD291" i="5"/>
  <c r="AD399" i="5"/>
  <c r="U33" i="5"/>
  <c r="AF259" i="5"/>
  <c r="AD381" i="5"/>
  <c r="U85" i="5"/>
  <c r="X63" i="5"/>
  <c r="AE223" i="5"/>
  <c r="AD299" i="5"/>
  <c r="T493" i="5"/>
  <c r="AF181" i="5"/>
  <c r="AF229" i="5"/>
  <c r="S125" i="5"/>
  <c r="AH325" i="5"/>
  <c r="AF285" i="5"/>
  <c r="AA395" i="5"/>
  <c r="AE349" i="5"/>
  <c r="T449" i="5"/>
  <c r="Z85" i="5"/>
  <c r="X127" i="5"/>
  <c r="U255" i="5"/>
  <c r="V69" i="5"/>
  <c r="AE215" i="5"/>
  <c r="T609" i="5"/>
  <c r="S201" i="5"/>
  <c r="V223" i="5"/>
  <c r="S371" i="5"/>
  <c r="AE237" i="5"/>
  <c r="AD135" i="5"/>
  <c r="T129" i="5"/>
  <c r="V257" i="5"/>
  <c r="AH67" i="5"/>
  <c r="AF393" i="5"/>
  <c r="AH157" i="5"/>
  <c r="Z117" i="5"/>
  <c r="Y265" i="5"/>
  <c r="U75" i="5"/>
  <c r="AF307" i="5"/>
  <c r="X5" i="5"/>
  <c r="AH85" i="5"/>
  <c r="AF145" i="5"/>
  <c r="V305" i="5"/>
  <c r="T473" i="5"/>
  <c r="V307" i="5"/>
  <c r="X261" i="5"/>
  <c r="AE231" i="5"/>
  <c r="X97" i="5"/>
  <c r="S107" i="5"/>
  <c r="T313" i="5"/>
  <c r="U55" i="5"/>
  <c r="AF63" i="5"/>
  <c r="Z133" i="5"/>
  <c r="W263" i="5"/>
  <c r="AB307" i="5"/>
  <c r="X191" i="5"/>
  <c r="W177" i="5"/>
  <c r="W9" i="5"/>
  <c r="S199" i="5"/>
  <c r="Y187" i="5"/>
  <c r="W281" i="5"/>
  <c r="V285" i="5"/>
  <c r="AD287" i="5"/>
  <c r="AF95" i="5"/>
  <c r="X111" i="5"/>
  <c r="AA91" i="5"/>
  <c r="AC71" i="5"/>
  <c r="U11" i="5"/>
  <c r="Z123" i="5"/>
  <c r="T307" i="5"/>
  <c r="AG349" i="5"/>
  <c r="AA385" i="5"/>
  <c r="AA159" i="5"/>
  <c r="W329" i="5"/>
  <c r="U97" i="5"/>
  <c r="Z323" i="5"/>
  <c r="X213" i="5"/>
  <c r="T319" i="5"/>
  <c r="U143" i="5"/>
  <c r="T5" i="5"/>
  <c r="AE59" i="5"/>
  <c r="Y369" i="5"/>
  <c r="AB191" i="5"/>
  <c r="U131" i="5"/>
  <c r="Z101" i="5"/>
  <c r="V295" i="5"/>
  <c r="Y389" i="5"/>
  <c r="S329" i="5"/>
  <c r="Y339" i="5"/>
  <c r="X231" i="5"/>
  <c r="Y241" i="5"/>
  <c r="Z277" i="5"/>
  <c r="AF121" i="5"/>
  <c r="X45" i="5"/>
  <c r="AE285" i="5"/>
  <c r="AF321" i="5"/>
  <c r="AC193" i="5"/>
  <c r="U275" i="5"/>
  <c r="S305" i="5"/>
  <c r="AA25" i="5"/>
  <c r="T105" i="5"/>
  <c r="X317" i="5"/>
  <c r="T215" i="5"/>
  <c r="AE131" i="5"/>
  <c r="X337" i="5"/>
  <c r="S35" i="5"/>
  <c r="AA307" i="5"/>
  <c r="S25" i="5"/>
  <c r="S313" i="5"/>
  <c r="AD243" i="5"/>
  <c r="T161" i="5"/>
  <c r="AB283" i="5"/>
  <c r="W183" i="5"/>
  <c r="AG119" i="5"/>
  <c r="Z55" i="5"/>
  <c r="AA127" i="5"/>
  <c r="AE225" i="5"/>
  <c r="Y133" i="5"/>
  <c r="W189" i="5"/>
  <c r="U325" i="5"/>
  <c r="AF139" i="5"/>
  <c r="W239" i="5"/>
  <c r="V215" i="5"/>
  <c r="AA129" i="5"/>
  <c r="AC393" i="5"/>
  <c r="T409" i="5"/>
  <c r="Y299" i="5"/>
  <c r="Z121" i="5"/>
  <c r="AH199" i="5"/>
  <c r="T29" i="5"/>
  <c r="T163" i="5"/>
  <c r="AB9" i="5"/>
  <c r="X339" i="5"/>
  <c r="T325" i="5"/>
  <c r="S265" i="5"/>
  <c r="W251" i="5"/>
  <c r="T399" i="5"/>
  <c r="AA251" i="5"/>
  <c r="AA257" i="5"/>
  <c r="Y215" i="5"/>
  <c r="V393" i="5"/>
  <c r="Y149" i="5"/>
  <c r="W71" i="5"/>
  <c r="T35" i="5"/>
  <c r="Z215" i="5"/>
  <c r="X193" i="5"/>
  <c r="U9" i="5"/>
  <c r="Y203" i="5"/>
  <c r="AF143" i="5"/>
  <c r="U319" i="5"/>
  <c r="AD217" i="5"/>
  <c r="AG175" i="5"/>
  <c r="AE197" i="5"/>
  <c r="AF31" i="5"/>
  <c r="S549" i="5"/>
  <c r="AF133" i="5"/>
  <c r="AG397" i="5"/>
  <c r="Y235" i="5"/>
  <c r="AF127" i="5"/>
  <c r="S341" i="5"/>
  <c r="S539" i="5"/>
  <c r="AG277" i="5"/>
  <c r="AG197" i="5"/>
  <c r="T127" i="5"/>
  <c r="Z125" i="5"/>
  <c r="U229" i="5"/>
  <c r="AJ27" i="5"/>
  <c r="AH375" i="5"/>
  <c r="AJ69" i="5"/>
  <c r="AJ349" i="5"/>
  <c r="AJ339" i="5"/>
  <c r="Z37" i="5"/>
  <c r="AH321" i="5"/>
  <c r="AH69" i="5"/>
  <c r="AG35" i="5"/>
  <c r="AG383" i="5"/>
  <c r="AH303" i="5"/>
  <c r="AG19" i="5"/>
  <c r="S513" i="5"/>
  <c r="Z89" i="5"/>
  <c r="S149" i="5"/>
  <c r="V33" i="5"/>
  <c r="Z139" i="5"/>
  <c r="AE399" i="5"/>
  <c r="AB123" i="5"/>
  <c r="Z147" i="5"/>
  <c r="AG351" i="5"/>
  <c r="X227" i="5"/>
  <c r="AF77" i="5"/>
  <c r="AC347" i="5"/>
  <c r="AD311" i="5"/>
  <c r="AE129" i="5"/>
  <c r="AB75" i="5"/>
  <c r="Y141" i="5"/>
  <c r="Y311" i="5"/>
  <c r="U305" i="5"/>
  <c r="S327" i="5"/>
  <c r="Z245" i="5"/>
  <c r="AF193" i="5"/>
  <c r="AA267" i="5"/>
  <c r="Z107" i="5"/>
  <c r="U253" i="5"/>
  <c r="T91" i="5"/>
  <c r="X177" i="5"/>
  <c r="Z17" i="5"/>
  <c r="AH151" i="5"/>
  <c r="T107" i="5"/>
  <c r="V191" i="5"/>
  <c r="AE35" i="5"/>
  <c r="AF115" i="5"/>
  <c r="AF385" i="5"/>
  <c r="AH215" i="5"/>
  <c r="V89" i="5"/>
  <c r="AB321" i="5"/>
  <c r="AF9" i="5"/>
  <c r="AH315" i="5"/>
  <c r="AF275" i="5"/>
  <c r="AB183" i="5"/>
  <c r="AA61" i="5"/>
  <c r="AH389" i="5"/>
  <c r="AB33" i="5"/>
  <c r="AH119" i="5"/>
  <c r="T143" i="5"/>
  <c r="AB55" i="5"/>
  <c r="T69" i="5"/>
  <c r="T63" i="5"/>
  <c r="AE107" i="5"/>
  <c r="Z387" i="5"/>
  <c r="AE125" i="5"/>
  <c r="AG307" i="5"/>
  <c r="AB17" i="5"/>
  <c r="AE363" i="5"/>
  <c r="AC125" i="5"/>
  <c r="AI297" i="5"/>
  <c r="AF29" i="5"/>
  <c r="AH329" i="5"/>
  <c r="AH239" i="5"/>
  <c r="AG275" i="5"/>
  <c r="W59" i="5"/>
  <c r="Z131" i="5"/>
  <c r="W261" i="5"/>
  <c r="AJ225" i="5"/>
  <c r="T247" i="5"/>
  <c r="AH243" i="5"/>
  <c r="AG295" i="5"/>
  <c r="AH205" i="5"/>
  <c r="U329" i="5"/>
  <c r="AB325" i="5"/>
  <c r="AG323" i="5"/>
  <c r="AI209" i="5"/>
  <c r="AJ259" i="5"/>
  <c r="AI63" i="5"/>
  <c r="AI147" i="5"/>
  <c r="AG233" i="5"/>
  <c r="AI217" i="5"/>
  <c r="X393" i="5"/>
  <c r="AD197" i="5"/>
  <c r="S457" i="5"/>
  <c r="W109" i="5"/>
  <c r="AB263" i="5"/>
  <c r="AG191" i="5"/>
  <c r="AH71" i="5"/>
  <c r="AE257" i="5"/>
  <c r="Z155" i="5"/>
  <c r="V149" i="5"/>
  <c r="AA95" i="5"/>
  <c r="Z275" i="5"/>
  <c r="X15" i="5"/>
  <c r="S275" i="5"/>
  <c r="Z281" i="5"/>
  <c r="AH43" i="5"/>
  <c r="U215" i="5"/>
  <c r="AF277" i="5"/>
  <c r="Y225" i="5"/>
  <c r="Z269" i="5"/>
  <c r="X331" i="5"/>
  <c r="Z355" i="5"/>
  <c r="T137" i="5"/>
  <c r="S59" i="5"/>
  <c r="V253" i="5"/>
  <c r="AH163" i="5"/>
  <c r="AA233" i="5"/>
  <c r="AH113" i="5"/>
  <c r="AJ367" i="5"/>
  <c r="AJ293" i="5"/>
  <c r="AB271" i="5"/>
  <c r="AB211" i="5"/>
  <c r="T275" i="5"/>
  <c r="AC309" i="5"/>
  <c r="AF217" i="5"/>
  <c r="AB225" i="5"/>
  <c r="AB289" i="5"/>
  <c r="V169" i="5"/>
  <c r="AA193" i="5"/>
  <c r="AD281" i="5"/>
  <c r="U343" i="5"/>
  <c r="AE265" i="5"/>
  <c r="AE297" i="5"/>
  <c r="Y119" i="5"/>
  <c r="AF187" i="5"/>
  <c r="W155" i="5"/>
  <c r="AG79" i="5"/>
  <c r="AF125" i="5"/>
  <c r="AG83" i="5"/>
  <c r="AG69" i="5"/>
  <c r="S369" i="5"/>
  <c r="W117" i="5"/>
  <c r="AH245" i="5"/>
  <c r="AE387" i="5"/>
  <c r="S177" i="5"/>
  <c r="U283" i="5"/>
  <c r="AJ261" i="5"/>
  <c r="Y67" i="5"/>
  <c r="AF303" i="5"/>
  <c r="S95" i="5"/>
  <c r="U111" i="5"/>
  <c r="AA9" i="5"/>
  <c r="Z113" i="5"/>
  <c r="AA283" i="5"/>
  <c r="T311" i="5"/>
  <c r="AH323" i="5"/>
  <c r="AG67" i="5"/>
  <c r="AG105" i="5"/>
  <c r="AJ399" i="5"/>
  <c r="AG231" i="5"/>
  <c r="AH65" i="5"/>
  <c r="W363" i="5"/>
  <c r="X255" i="5"/>
  <c r="V153" i="5"/>
  <c r="T55" i="5"/>
  <c r="Z367" i="5"/>
  <c r="U65" i="5"/>
  <c r="AA339" i="5"/>
  <c r="Y163" i="5"/>
  <c r="S321" i="5"/>
  <c r="U63" i="5"/>
  <c r="V193" i="5"/>
  <c r="AF319" i="5"/>
  <c r="AH345" i="5"/>
  <c r="AI167" i="5"/>
  <c r="AE163" i="5"/>
  <c r="AI151" i="5"/>
  <c r="AG167" i="5"/>
  <c r="AI275" i="5"/>
  <c r="AF283" i="5"/>
  <c r="S477" i="5"/>
  <c r="AA23" i="5"/>
  <c r="AF163" i="5"/>
  <c r="AG347" i="5"/>
  <c r="AG177" i="5"/>
  <c r="Y33" i="5"/>
  <c r="Z163" i="5"/>
  <c r="AG149" i="5"/>
  <c r="AH125" i="5"/>
  <c r="AG321" i="5"/>
  <c r="Y43" i="5"/>
  <c r="AF159" i="5"/>
  <c r="AF101" i="5"/>
  <c r="S133" i="5"/>
  <c r="AA123" i="5"/>
  <c r="AE83" i="5"/>
  <c r="AE391" i="5"/>
  <c r="AF365" i="5"/>
  <c r="AD105" i="5"/>
  <c r="Z181" i="5"/>
  <c r="AF167" i="5"/>
  <c r="AE53" i="5"/>
  <c r="AF39" i="5"/>
  <c r="AF311" i="5"/>
  <c r="T433" i="5"/>
  <c r="X159" i="5"/>
  <c r="AF93" i="5"/>
  <c r="AD261" i="5"/>
  <c r="V165" i="5"/>
  <c r="T121" i="5"/>
  <c r="AB281" i="5"/>
  <c r="T301" i="5"/>
  <c r="X89" i="5"/>
  <c r="AB179" i="5"/>
  <c r="Y237" i="5"/>
  <c r="AF267" i="5"/>
  <c r="AA5" i="5"/>
  <c r="Z271" i="5"/>
  <c r="Y263" i="5"/>
  <c r="AA69" i="5"/>
  <c r="W87" i="5"/>
  <c r="AB267" i="5"/>
  <c r="AD181" i="5"/>
  <c r="AF135" i="5"/>
  <c r="AH79" i="5"/>
  <c r="U51" i="5"/>
  <c r="AA353" i="5"/>
  <c r="AB87" i="5"/>
  <c r="T557" i="5"/>
  <c r="V163" i="5"/>
  <c r="AF261" i="5"/>
  <c r="AG249" i="5"/>
  <c r="S307" i="5"/>
  <c r="Z151" i="5"/>
  <c r="AA399" i="5"/>
  <c r="AH51" i="5"/>
  <c r="AH189" i="5"/>
  <c r="AB111" i="5"/>
  <c r="W127" i="5"/>
  <c r="V287" i="5"/>
  <c r="S143" i="5"/>
  <c r="AC215" i="5"/>
  <c r="AJ63" i="5"/>
  <c r="AI109" i="5"/>
  <c r="AH29" i="5"/>
  <c r="AI9" i="5"/>
  <c r="X143" i="5"/>
  <c r="AJ81" i="5"/>
  <c r="AF371" i="5"/>
  <c r="AB23" i="5"/>
  <c r="AG325" i="5"/>
  <c r="AH45" i="5"/>
  <c r="AG399" i="5"/>
  <c r="W143" i="5"/>
  <c r="AF339" i="5"/>
  <c r="AI39" i="5"/>
  <c r="AG99" i="5"/>
  <c r="AH117" i="5"/>
  <c r="V181" i="5"/>
  <c r="AE153" i="5"/>
  <c r="AG109" i="5"/>
  <c r="AG21" i="5"/>
  <c r="AJ137" i="5"/>
  <c r="AJ89" i="5"/>
  <c r="S51" i="5"/>
  <c r="AG107" i="5"/>
  <c r="AD55" i="5"/>
  <c r="AF107" i="5"/>
  <c r="AA213" i="5"/>
  <c r="AB265" i="5"/>
  <c r="AC95" i="5"/>
  <c r="S79" i="5"/>
  <c r="Z99" i="5"/>
  <c r="S355" i="5"/>
  <c r="Z223" i="5"/>
  <c r="V99" i="5"/>
  <c r="X129" i="5"/>
  <c r="T303" i="5"/>
  <c r="W131" i="5"/>
  <c r="AD199" i="5"/>
  <c r="S441" i="5"/>
  <c r="AG71" i="5"/>
  <c r="AE251" i="5"/>
  <c r="S437" i="5"/>
  <c r="S547" i="5"/>
  <c r="AH275" i="5"/>
  <c r="Y193" i="5"/>
  <c r="AB69" i="5"/>
  <c r="AA215" i="5"/>
  <c r="AA201" i="5"/>
  <c r="AG341" i="5"/>
  <c r="AF325" i="5"/>
  <c r="AG87" i="5"/>
  <c r="AH145" i="5"/>
  <c r="AE235" i="5"/>
  <c r="AG141" i="5"/>
  <c r="AG333" i="5"/>
  <c r="X183" i="5"/>
  <c r="AG381" i="5"/>
  <c r="T81" i="5"/>
  <c r="AF369" i="5"/>
  <c r="U139" i="5"/>
  <c r="X55" i="5"/>
  <c r="X285" i="5"/>
  <c r="AA373" i="5"/>
  <c r="AG77" i="5"/>
  <c r="S609" i="5"/>
  <c r="V247" i="5"/>
  <c r="AA119" i="5"/>
  <c r="AD309" i="5"/>
  <c r="AC269" i="5"/>
  <c r="AF117" i="5"/>
  <c r="AG335" i="5"/>
  <c r="AH61" i="5"/>
  <c r="AI277" i="5"/>
  <c r="AC285" i="5"/>
  <c r="AI233" i="5"/>
  <c r="AI293" i="5"/>
  <c r="T525" i="5"/>
  <c r="AH281" i="5"/>
  <c r="AC55" i="5"/>
  <c r="W125" i="5"/>
  <c r="AA289" i="5"/>
  <c r="AB169" i="5"/>
  <c r="AB317" i="5"/>
  <c r="V123" i="5"/>
  <c r="V237" i="5"/>
  <c r="T437" i="5"/>
  <c r="Y181" i="5"/>
  <c r="S453" i="5"/>
  <c r="AJ159" i="5"/>
  <c r="AH39" i="5"/>
  <c r="AA125" i="5"/>
  <c r="W267" i="5"/>
  <c r="AJ17" i="5"/>
  <c r="AI231" i="5"/>
  <c r="AJ197" i="5"/>
  <c r="AG223" i="5"/>
  <c r="AG265" i="5"/>
  <c r="AH381" i="5"/>
  <c r="AE91" i="5"/>
  <c r="S53" i="5"/>
  <c r="AE17" i="5"/>
  <c r="AD47" i="5"/>
  <c r="Z157" i="5"/>
  <c r="AH195" i="5"/>
  <c r="AF185" i="5"/>
  <c r="AE293" i="5"/>
  <c r="AC257" i="5"/>
  <c r="AE109" i="5"/>
  <c r="AG133" i="5"/>
  <c r="AF61" i="5"/>
  <c r="S27" i="5"/>
  <c r="AG373" i="5"/>
  <c r="AG337" i="5"/>
  <c r="Y117" i="5"/>
  <c r="AG129" i="5"/>
  <c r="V105" i="5"/>
  <c r="AH97" i="5"/>
  <c r="Y143" i="5"/>
  <c r="AH53" i="5"/>
  <c r="AJ129" i="5"/>
  <c r="AH169" i="5"/>
  <c r="AF251" i="5"/>
  <c r="U67" i="5"/>
  <c r="AG27" i="5"/>
  <c r="W309" i="5"/>
  <c r="AF79" i="5"/>
  <c r="AI247" i="5"/>
  <c r="AB105" i="5"/>
  <c r="AJ121" i="5"/>
  <c r="AJ31" i="5"/>
  <c r="AI173" i="5"/>
  <c r="AG213" i="5"/>
  <c r="AJ299" i="5"/>
  <c r="AH175" i="5"/>
  <c r="AH257" i="5"/>
  <c r="AG33" i="5"/>
  <c r="AG345" i="5"/>
  <c r="S277" i="5"/>
  <c r="AE267" i="5"/>
  <c r="U177" i="5"/>
  <c r="AD17" i="5"/>
  <c r="X267" i="5"/>
  <c r="AD361" i="5"/>
  <c r="AF69" i="5"/>
  <c r="AD37" i="5"/>
  <c r="U277" i="5"/>
  <c r="Y169" i="5"/>
  <c r="AE301" i="5"/>
  <c r="AB287" i="5"/>
  <c r="AE383" i="5"/>
  <c r="V59" i="5"/>
  <c r="U373" i="5"/>
  <c r="AE137" i="5"/>
  <c r="AF247" i="5"/>
  <c r="AE211" i="5"/>
  <c r="Z15" i="5"/>
  <c r="T193" i="5"/>
  <c r="S429" i="5"/>
  <c r="AE347" i="5"/>
  <c r="W337" i="5"/>
  <c r="T521" i="5"/>
  <c r="Z11" i="5"/>
  <c r="AE323" i="5"/>
  <c r="AB121" i="5"/>
  <c r="AG259" i="5"/>
  <c r="AG371" i="5"/>
  <c r="W219" i="5"/>
  <c r="AH193" i="5"/>
  <c r="W221" i="5"/>
  <c r="S485" i="5"/>
  <c r="AG391" i="5"/>
  <c r="W353" i="5"/>
  <c r="U295" i="5"/>
  <c r="W179" i="5"/>
  <c r="V249" i="5"/>
  <c r="AF55" i="5"/>
  <c r="S235" i="5"/>
  <c r="AG395" i="5"/>
  <c r="Y365" i="5"/>
  <c r="T115" i="5"/>
  <c r="X175" i="5"/>
  <c r="AD193" i="5"/>
  <c r="AA33" i="5"/>
  <c r="T131" i="5"/>
  <c r="U117" i="5"/>
  <c r="AE119" i="5"/>
  <c r="AD183" i="5"/>
  <c r="Y11" i="5"/>
  <c r="AJ359" i="5"/>
  <c r="AI159" i="5"/>
  <c r="AE283" i="5"/>
  <c r="S9" i="5"/>
  <c r="AG31" i="5"/>
  <c r="AJ265" i="5"/>
  <c r="AH105" i="5"/>
  <c r="AJ301" i="5"/>
  <c r="AG159" i="5"/>
  <c r="U87" i="5"/>
  <c r="AE155" i="5"/>
  <c r="AG389" i="5"/>
  <c r="S301" i="5"/>
  <c r="AJ79" i="5"/>
  <c r="Z105" i="5"/>
  <c r="AJ43" i="5"/>
  <c r="AH27" i="5"/>
  <c r="AJ145" i="5"/>
  <c r="AA67" i="5"/>
  <c r="Y77" i="5"/>
  <c r="U287" i="5"/>
  <c r="AH293" i="5"/>
  <c r="AG359" i="5"/>
  <c r="AJ101" i="5"/>
  <c r="AH223" i="5"/>
  <c r="AH129" i="5"/>
  <c r="AH185" i="5"/>
  <c r="AE337" i="5"/>
  <c r="AF147" i="5"/>
  <c r="AG125" i="5"/>
  <c r="AI81" i="5"/>
  <c r="AE181" i="5"/>
  <c r="AK209" i="5"/>
  <c r="AF293" i="5"/>
  <c r="AJ233" i="5"/>
  <c r="AG75" i="5"/>
  <c r="AJ87" i="5"/>
  <c r="AG145" i="5"/>
  <c r="AH307" i="5"/>
  <c r="AD303" i="5"/>
  <c r="S529" i="5"/>
  <c r="V281" i="5"/>
  <c r="AF83" i="5"/>
  <c r="AE95" i="5"/>
  <c r="AA331" i="5"/>
  <c r="Z149" i="5"/>
  <c r="W271" i="5"/>
  <c r="AA393" i="5"/>
  <c r="W275" i="5"/>
  <c r="V239" i="5"/>
  <c r="AB275" i="5"/>
  <c r="AE19" i="5"/>
  <c r="S211" i="5"/>
  <c r="AE93" i="5"/>
  <c r="T213" i="5"/>
  <c r="AG297" i="5"/>
  <c r="Z193" i="5"/>
  <c r="AF201" i="5"/>
  <c r="AB301" i="5"/>
  <c r="AC251" i="5"/>
  <c r="AE167" i="5"/>
  <c r="S601" i="5"/>
  <c r="S499" i="5"/>
  <c r="AE381" i="5"/>
  <c r="AG185" i="5"/>
  <c r="AF381" i="5"/>
  <c r="AG261" i="5"/>
  <c r="AI65" i="5"/>
  <c r="AE331" i="5"/>
  <c r="AI367" i="5"/>
  <c r="AD393" i="5"/>
  <c r="AJ127" i="5"/>
  <c r="AJ15" i="5"/>
  <c r="X287" i="5"/>
  <c r="AG287" i="5"/>
  <c r="AE345" i="5"/>
  <c r="W293" i="5"/>
  <c r="AF203" i="5"/>
  <c r="AB155" i="5"/>
  <c r="S545" i="5"/>
  <c r="AC21" i="5"/>
  <c r="Y323" i="5"/>
  <c r="V267" i="5"/>
  <c r="U207" i="5"/>
  <c r="V313" i="5"/>
  <c r="AE51" i="5"/>
  <c r="X253" i="5"/>
  <c r="AH123" i="5"/>
  <c r="AG207" i="5"/>
  <c r="AH255" i="5"/>
  <c r="AH207" i="5"/>
  <c r="AJ333" i="5"/>
  <c r="AJ45" i="5"/>
  <c r="AE171" i="5"/>
  <c r="W253" i="5"/>
  <c r="AG103" i="5"/>
  <c r="AF235" i="5"/>
  <c r="W97" i="5"/>
  <c r="AF239" i="5"/>
  <c r="S151" i="5"/>
  <c r="AA231" i="5"/>
  <c r="AF367" i="5"/>
  <c r="U23" i="5"/>
  <c r="AF223" i="5"/>
  <c r="T147" i="5"/>
  <c r="Y245" i="5"/>
  <c r="AB327" i="5"/>
  <c r="X353" i="5"/>
  <c r="S421" i="5"/>
  <c r="AJ109" i="5"/>
  <c r="X237" i="5"/>
  <c r="AG89" i="5"/>
  <c r="AC47" i="5"/>
  <c r="Z57" i="5"/>
  <c r="W111" i="5"/>
  <c r="AH261" i="5"/>
  <c r="AH49" i="5"/>
  <c r="AA347" i="5"/>
  <c r="X77" i="5"/>
  <c r="AG393" i="5"/>
  <c r="AE101" i="5"/>
  <c r="AG63" i="5"/>
  <c r="AG135" i="5"/>
  <c r="AG229" i="5"/>
  <c r="AI185" i="5"/>
  <c r="AJ355" i="5"/>
  <c r="AH165" i="5"/>
  <c r="AG315" i="5"/>
  <c r="AG25" i="5"/>
  <c r="AE39" i="5"/>
  <c r="AF241" i="5"/>
  <c r="AG113" i="5"/>
  <c r="AF87" i="5"/>
  <c r="AE269" i="5"/>
  <c r="T241" i="5"/>
  <c r="AF295" i="5"/>
  <c r="AB81" i="5"/>
  <c r="AD345" i="5"/>
  <c r="X149" i="5"/>
  <c r="Z177" i="5"/>
  <c r="AF345" i="5"/>
  <c r="W141" i="5"/>
  <c r="AE317" i="5"/>
  <c r="W385" i="5"/>
  <c r="AG281" i="5"/>
  <c r="S267" i="5"/>
  <c r="X301" i="5"/>
  <c r="AA341" i="5"/>
  <c r="AE75" i="5"/>
  <c r="AC295" i="5"/>
  <c r="W371" i="5"/>
  <c r="V117" i="5"/>
  <c r="AH63" i="5"/>
  <c r="W77" i="5"/>
  <c r="Z33" i="5"/>
  <c r="T593" i="5"/>
  <c r="AE175" i="5"/>
  <c r="T405" i="5"/>
  <c r="S43" i="5"/>
  <c r="S63" i="5"/>
  <c r="AE165" i="5"/>
  <c r="S223" i="5"/>
  <c r="W69" i="5"/>
  <c r="V81" i="5"/>
  <c r="AG329" i="5"/>
  <c r="AD23" i="5"/>
  <c r="Y239" i="5"/>
  <c r="AG49" i="5"/>
  <c r="T51" i="5"/>
  <c r="T441" i="5"/>
  <c r="AB167" i="5"/>
  <c r="AE333" i="5"/>
  <c r="AJ215" i="5"/>
  <c r="AE371" i="5"/>
  <c r="AI213" i="5"/>
  <c r="AI99" i="5"/>
  <c r="Y301" i="5"/>
  <c r="AH173" i="5"/>
  <c r="AH19" i="5"/>
  <c r="AB323" i="5"/>
  <c r="AG239" i="5"/>
  <c r="AH309" i="5"/>
  <c r="AH391" i="5"/>
  <c r="AE247" i="5"/>
  <c r="T569" i="5"/>
  <c r="AG299" i="5"/>
  <c r="AH57" i="5"/>
  <c r="AH149" i="5"/>
  <c r="AH93" i="5"/>
  <c r="V329" i="5"/>
  <c r="AH31" i="5"/>
  <c r="AG283" i="5"/>
  <c r="AJ275" i="5"/>
  <c r="S213" i="5"/>
  <c r="AB171" i="5"/>
  <c r="Z183" i="5"/>
  <c r="V231" i="5"/>
  <c r="AJ311" i="5"/>
  <c r="AH167" i="5"/>
  <c r="Y259" i="5"/>
  <c r="S357" i="5"/>
  <c r="S597" i="5"/>
  <c r="S481" i="5"/>
  <c r="AG215" i="5"/>
  <c r="AD387" i="5"/>
  <c r="V277" i="5"/>
  <c r="Z141" i="5"/>
  <c r="AB259" i="5"/>
  <c r="T177" i="5"/>
  <c r="T149" i="5"/>
  <c r="AE395" i="5"/>
  <c r="AE353" i="5"/>
  <c r="AH91" i="5"/>
  <c r="W133" i="5"/>
  <c r="AG127" i="5"/>
  <c r="AH121" i="5"/>
  <c r="AG205" i="5"/>
  <c r="AG257" i="5"/>
  <c r="AA131" i="5"/>
  <c r="AE327" i="5"/>
  <c r="AG279" i="5"/>
  <c r="W73" i="5"/>
  <c r="AC177" i="5"/>
  <c r="AF231" i="5"/>
  <c r="AA51" i="5"/>
  <c r="AC59" i="5"/>
  <c r="AA225" i="5"/>
  <c r="T67" i="5"/>
  <c r="Y295" i="5"/>
  <c r="V79" i="5"/>
  <c r="V349" i="5"/>
  <c r="Y13" i="5"/>
  <c r="T201" i="5"/>
  <c r="AF361" i="5"/>
  <c r="AG95" i="5"/>
  <c r="AH269" i="5"/>
  <c r="AG195" i="5"/>
  <c r="AH267" i="5"/>
  <c r="AF171" i="5"/>
  <c r="AH311" i="5"/>
  <c r="AI391" i="5"/>
  <c r="AG377" i="5"/>
  <c r="AI59" i="5"/>
  <c r="AI381" i="5"/>
  <c r="AH87" i="5"/>
  <c r="S365" i="5"/>
  <c r="AG293" i="5"/>
  <c r="AH77" i="5"/>
  <c r="S123" i="5"/>
  <c r="AD157" i="5"/>
  <c r="AG111" i="5"/>
  <c r="X73" i="5"/>
  <c r="AH17" i="5"/>
  <c r="AI363" i="5"/>
  <c r="AL71" i="5"/>
  <c r="AK357" i="5"/>
  <c r="AG225" i="5"/>
  <c r="AH253" i="5"/>
  <c r="AG303" i="5"/>
  <c r="AG291" i="5"/>
  <c r="AK177" i="5"/>
  <c r="AJ23" i="5"/>
  <c r="AE179" i="5"/>
  <c r="AH251" i="5"/>
  <c r="AJ307" i="5"/>
  <c r="AJ157" i="5"/>
  <c r="AL283" i="5"/>
  <c r="AL253" i="5"/>
  <c r="AG189" i="5"/>
  <c r="AH351" i="5"/>
  <c r="AK59" i="5"/>
  <c r="AK105" i="5"/>
  <c r="AG221" i="5"/>
  <c r="AK345" i="5"/>
  <c r="AI133" i="5"/>
  <c r="AI207" i="5"/>
  <c r="AI163" i="5"/>
  <c r="AF243" i="5"/>
  <c r="AE393" i="5"/>
  <c r="AG169" i="5"/>
  <c r="AK339" i="5"/>
  <c r="AI19" i="5"/>
  <c r="AH313" i="5"/>
  <c r="AH183" i="5"/>
  <c r="U245" i="5"/>
  <c r="AH399" i="5"/>
  <c r="AH367" i="5"/>
  <c r="AJ53" i="5"/>
  <c r="AI83" i="5"/>
  <c r="AG155" i="5"/>
  <c r="AL227" i="5"/>
  <c r="AI301" i="5"/>
  <c r="AH159" i="5"/>
  <c r="AJ271" i="5"/>
  <c r="S533" i="5"/>
  <c r="AI177" i="5"/>
  <c r="AJ371" i="5"/>
  <c r="AE21" i="5"/>
  <c r="AH349" i="5"/>
  <c r="AL281" i="5"/>
  <c r="AJ393" i="5"/>
  <c r="AJ199" i="5"/>
  <c r="AI183" i="5"/>
  <c r="AI355" i="5"/>
  <c r="AL229" i="5"/>
  <c r="AI229" i="5"/>
  <c r="AK115" i="5"/>
  <c r="AH221" i="5"/>
  <c r="AI361" i="5"/>
  <c r="AJ361" i="5"/>
  <c r="AJ253" i="5"/>
  <c r="AG47" i="5"/>
  <c r="AI345" i="5"/>
  <c r="AJ385" i="5"/>
  <c r="T529" i="5"/>
  <c r="AG101" i="5"/>
  <c r="AI299" i="5"/>
  <c r="W289" i="5"/>
  <c r="AG151" i="5"/>
  <c r="AJ191" i="5"/>
  <c r="AI269" i="5"/>
  <c r="AI291" i="5"/>
  <c r="AH33" i="5"/>
  <c r="AI263" i="5"/>
  <c r="X323" i="5"/>
  <c r="T235" i="5"/>
  <c r="AG199" i="5"/>
  <c r="AI141" i="5"/>
  <c r="AJ373" i="5"/>
  <c r="AI241" i="5"/>
  <c r="AK331" i="5"/>
  <c r="AI289" i="5"/>
  <c r="AC303" i="5"/>
  <c r="T581" i="5"/>
  <c r="AG273" i="5"/>
  <c r="AI197" i="5"/>
  <c r="AG243" i="5"/>
  <c r="AI201" i="5"/>
  <c r="AG271" i="5"/>
  <c r="AJ175" i="5"/>
  <c r="AG211" i="5"/>
  <c r="AG165" i="5"/>
  <c r="AH9" i="5"/>
  <c r="AG115" i="5"/>
  <c r="AJ269" i="5"/>
  <c r="V325" i="5"/>
  <c r="AB57" i="5"/>
  <c r="X171" i="5"/>
  <c r="AH299" i="5"/>
  <c r="AH339" i="5"/>
  <c r="AG385" i="5"/>
  <c r="AG247" i="5"/>
  <c r="AJ91" i="5"/>
  <c r="AG183" i="5"/>
  <c r="AL113" i="5"/>
  <c r="AJ363" i="5"/>
  <c r="AJ181" i="5"/>
  <c r="AJ193" i="5"/>
  <c r="AI261" i="5"/>
  <c r="AK241" i="5"/>
  <c r="AI161" i="5"/>
  <c r="AI257" i="5"/>
  <c r="AH393" i="5"/>
  <c r="AI223" i="5"/>
  <c r="AJ273" i="5"/>
  <c r="AK69" i="5"/>
  <c r="AI33" i="5"/>
  <c r="AL103" i="5"/>
  <c r="AK185" i="5"/>
  <c r="AK381" i="5"/>
  <c r="AE173" i="5"/>
  <c r="AJ315" i="5"/>
  <c r="AJ115" i="5"/>
  <c r="AH219" i="5"/>
  <c r="AG123" i="5"/>
  <c r="X281" i="5"/>
  <c r="AI245" i="5"/>
  <c r="AL17" i="5"/>
  <c r="AI129" i="5"/>
  <c r="AK343" i="5"/>
  <c r="AH379" i="5"/>
  <c r="AG157" i="5"/>
  <c r="AF373" i="5"/>
  <c r="AJ149" i="5"/>
  <c r="AJ55" i="5"/>
  <c r="AG255" i="5"/>
  <c r="AJ61" i="5"/>
  <c r="AJ345" i="5"/>
  <c r="AI165" i="5"/>
  <c r="AG23" i="5"/>
  <c r="AI349" i="5"/>
  <c r="AE377" i="5"/>
  <c r="AG161" i="5"/>
  <c r="AJ227" i="5"/>
  <c r="AH137" i="5"/>
  <c r="AI393" i="5"/>
  <c r="AK217" i="5"/>
  <c r="AK191" i="5"/>
  <c r="AH147" i="5"/>
  <c r="AE243" i="5"/>
  <c r="AI37" i="5"/>
  <c r="AH363" i="5"/>
  <c r="AI55" i="5"/>
  <c r="AJ391" i="5"/>
  <c r="W37" i="5"/>
  <c r="AG153" i="5"/>
  <c r="AJ73" i="5"/>
  <c r="AH101" i="5"/>
  <c r="AI91" i="5"/>
  <c r="AG51" i="5"/>
  <c r="AI271" i="5"/>
  <c r="AJ195" i="5"/>
  <c r="AE385" i="5"/>
  <c r="AE355" i="5"/>
  <c r="AH231" i="5"/>
  <c r="AJ245" i="5"/>
  <c r="AH81" i="5"/>
  <c r="AG137" i="5"/>
  <c r="AH277" i="5"/>
  <c r="U189" i="5"/>
  <c r="AH295" i="5"/>
  <c r="W369" i="5"/>
  <c r="AF113" i="5"/>
  <c r="AI203" i="5"/>
  <c r="AH333" i="5"/>
  <c r="AH83" i="5"/>
  <c r="AH133" i="5"/>
  <c r="AK321" i="5"/>
  <c r="AK113" i="5"/>
  <c r="AK351" i="5"/>
  <c r="AL105" i="5"/>
  <c r="AK247" i="5"/>
  <c r="AJ343" i="5"/>
  <c r="AI323" i="5"/>
  <c r="AJ9" i="5"/>
  <c r="AJ255" i="5"/>
  <c r="AI69" i="5"/>
  <c r="AK207" i="5"/>
  <c r="AI325" i="5"/>
  <c r="AJ13" i="5"/>
  <c r="AJ239" i="5"/>
  <c r="AJ249" i="5"/>
  <c r="AL301" i="5"/>
  <c r="AJ331" i="5"/>
  <c r="AL125" i="5"/>
  <c r="AJ201" i="5"/>
  <c r="AJ281" i="5"/>
  <c r="AI143" i="5"/>
  <c r="AF387" i="5"/>
  <c r="AK235" i="5"/>
  <c r="AL21" i="5"/>
  <c r="AK263" i="5"/>
  <c r="AH355" i="5"/>
  <c r="AI175" i="5"/>
  <c r="AG209" i="5"/>
  <c r="AJ165" i="5"/>
  <c r="AH341" i="5"/>
  <c r="AG179" i="5"/>
  <c r="AL133" i="5"/>
  <c r="AI49" i="5"/>
  <c r="AL207" i="5"/>
  <c r="AK385" i="5"/>
  <c r="AG29" i="5"/>
  <c r="AI341" i="5"/>
  <c r="AI145" i="5"/>
  <c r="AI287" i="5"/>
  <c r="AJ207" i="5"/>
  <c r="AJ375" i="5"/>
  <c r="AH177" i="5"/>
  <c r="AE245" i="5"/>
  <c r="AI189" i="5"/>
  <c r="AH139" i="5"/>
  <c r="AI101" i="5"/>
  <c r="AG253" i="5"/>
  <c r="AI227" i="5"/>
  <c r="AL57" i="5"/>
  <c r="AK57" i="5"/>
  <c r="AG217" i="5"/>
  <c r="AJ237" i="5"/>
  <c r="AK375" i="5"/>
  <c r="AL245" i="5"/>
  <c r="AG367" i="5"/>
  <c r="AJ389" i="5"/>
  <c r="AH289" i="5"/>
  <c r="AG285" i="5"/>
  <c r="V327" i="5"/>
  <c r="AL279" i="5"/>
  <c r="AI397" i="5"/>
  <c r="AI377" i="5"/>
  <c r="AE187" i="5"/>
  <c r="AK297" i="5"/>
  <c r="AL33" i="5"/>
  <c r="AH213" i="5"/>
  <c r="AL131" i="5"/>
  <c r="AI315" i="5"/>
  <c r="AH305" i="5"/>
  <c r="S569" i="5"/>
  <c r="Y329" i="5"/>
  <c r="AJ35" i="5"/>
  <c r="AI97" i="5"/>
  <c r="AJ107" i="5"/>
  <c r="AJ155" i="5"/>
  <c r="AI395" i="5"/>
  <c r="AJ221" i="5"/>
  <c r="AG203" i="5"/>
  <c r="AI331" i="5"/>
  <c r="AH249" i="5"/>
  <c r="Z51" i="5"/>
  <c r="Z19" i="5"/>
  <c r="AH89" i="5"/>
  <c r="AI375" i="5"/>
  <c r="AH397" i="5"/>
  <c r="AF245" i="5"/>
  <c r="S507" i="5"/>
  <c r="AJ347" i="5"/>
  <c r="AH383" i="5"/>
  <c r="AL185" i="5"/>
  <c r="AE379" i="5"/>
  <c r="AH103" i="5"/>
  <c r="AG131" i="5"/>
  <c r="Z153" i="5"/>
  <c r="AH241" i="5"/>
  <c r="AF317" i="5"/>
  <c r="AA313" i="5"/>
  <c r="AI47" i="5"/>
  <c r="AG17" i="5"/>
  <c r="AI347" i="5"/>
  <c r="AL41" i="5"/>
  <c r="AK109" i="5"/>
  <c r="AG81" i="5"/>
  <c r="AH127" i="5"/>
  <c r="AJ105" i="5"/>
  <c r="AH209" i="5"/>
  <c r="AK25" i="5"/>
  <c r="AK117" i="5"/>
  <c r="AL273" i="5"/>
  <c r="AJ125" i="5"/>
  <c r="AH369" i="5"/>
  <c r="AJ241" i="5"/>
  <c r="AJ323" i="5"/>
  <c r="AK333" i="5"/>
  <c r="AF179" i="5"/>
  <c r="AI255" i="5"/>
  <c r="AI79" i="5"/>
  <c r="AH317" i="5"/>
  <c r="AF389" i="5"/>
  <c r="AJ295" i="5"/>
  <c r="AJ67" i="5"/>
  <c r="AI89" i="5"/>
  <c r="AJ381" i="5"/>
  <c r="AH73" i="5"/>
  <c r="AE369" i="5"/>
  <c r="AI121" i="5"/>
  <c r="AG361" i="5"/>
  <c r="AH297" i="5"/>
  <c r="AJ213" i="5"/>
  <c r="AH359" i="5"/>
  <c r="AJ25" i="5"/>
  <c r="AJ223" i="5"/>
  <c r="AI285" i="5"/>
  <c r="AI73" i="5"/>
  <c r="AI15" i="5"/>
  <c r="W215" i="5"/>
  <c r="AH181" i="5"/>
  <c r="W159" i="5"/>
  <c r="AG313" i="5"/>
  <c r="AJ329" i="5"/>
  <c r="AK279" i="5"/>
  <c r="AL9" i="5"/>
  <c r="AG53" i="5"/>
  <c r="AG57" i="5"/>
  <c r="AJ297" i="5"/>
  <c r="AF395" i="5"/>
  <c r="AE309" i="5"/>
  <c r="AG353" i="5"/>
  <c r="AH23" i="5"/>
  <c r="AI305" i="5"/>
  <c r="AJ369" i="5"/>
  <c r="AJ267" i="5"/>
  <c r="Y105" i="5"/>
  <c r="AH279" i="5"/>
  <c r="AA117" i="5"/>
  <c r="AK225" i="5"/>
  <c r="AI279" i="5"/>
  <c r="AJ327" i="5"/>
  <c r="AK305" i="5"/>
  <c r="AI281" i="5"/>
  <c r="AK243" i="5"/>
  <c r="AH387" i="5"/>
  <c r="AL157" i="5"/>
  <c r="AG9" i="5"/>
  <c r="AL31" i="5"/>
  <c r="AK139" i="5"/>
  <c r="AL193" i="5"/>
  <c r="AL259" i="5"/>
  <c r="AJ177" i="5"/>
  <c r="AL251" i="5"/>
  <c r="AL63" i="5"/>
  <c r="AK239" i="5"/>
  <c r="AI111" i="5"/>
  <c r="AI103" i="5"/>
  <c r="AG369" i="5"/>
  <c r="AH35" i="5"/>
  <c r="AK187" i="5"/>
  <c r="AI149" i="5"/>
  <c r="AK227" i="5"/>
  <c r="AJ319" i="5"/>
  <c r="AL299" i="5"/>
  <c r="AK51" i="5"/>
  <c r="AK37" i="5"/>
  <c r="AL275" i="5"/>
  <c r="AL225" i="5"/>
  <c r="AK205" i="5"/>
  <c r="AI321" i="5"/>
  <c r="AJ173" i="5"/>
  <c r="AH75" i="5"/>
  <c r="AG319" i="5"/>
  <c r="AI155" i="5"/>
  <c r="AG39" i="5"/>
  <c r="AL39" i="5"/>
  <c r="AI225" i="5"/>
  <c r="AJ257" i="5"/>
  <c r="AL35" i="5"/>
  <c r="AI195" i="5"/>
  <c r="AK233" i="5"/>
  <c r="AL235" i="5"/>
  <c r="AL121" i="5"/>
  <c r="AJ209" i="5"/>
  <c r="AG343" i="5"/>
  <c r="AK145" i="5"/>
  <c r="AJ135" i="5"/>
  <c r="AK393" i="5"/>
  <c r="AD169" i="5"/>
  <c r="AL81" i="5"/>
  <c r="AJ179" i="5"/>
  <c r="AG235" i="5"/>
  <c r="AK27" i="5"/>
  <c r="AK141" i="5"/>
  <c r="AF341" i="5"/>
  <c r="AL141" i="5"/>
  <c r="AG263" i="5"/>
  <c r="AG59" i="5"/>
  <c r="AI267" i="5"/>
  <c r="AJ305" i="5"/>
  <c r="AI327" i="5"/>
  <c r="AJ49" i="5"/>
  <c r="AI181" i="5"/>
  <c r="AK157" i="5"/>
  <c r="AI95" i="5"/>
  <c r="AG37" i="5"/>
  <c r="AG147" i="5"/>
  <c r="AJ387" i="5"/>
  <c r="AL171" i="5"/>
  <c r="AK257" i="5"/>
  <c r="AJ119" i="5"/>
  <c r="AJ161" i="5"/>
  <c r="AJ251" i="5"/>
  <c r="AL293" i="5"/>
  <c r="AI383" i="5"/>
  <c r="AH217" i="5"/>
  <c r="AH179" i="5"/>
  <c r="AJ183" i="5"/>
  <c r="AG251" i="5"/>
  <c r="AF355" i="5"/>
  <c r="AJ123" i="5"/>
  <c r="AK21" i="5"/>
  <c r="AK175" i="5"/>
  <c r="AH235" i="5"/>
  <c r="AK15" i="5"/>
  <c r="AL255" i="5"/>
  <c r="AI313" i="5"/>
  <c r="AK323" i="5"/>
  <c r="AJ147" i="5"/>
  <c r="AG355" i="5"/>
  <c r="AL167" i="5"/>
  <c r="AJ167" i="5"/>
  <c r="AL139" i="5"/>
  <c r="AJ111" i="5"/>
  <c r="AL191" i="5"/>
  <c r="AH203" i="5"/>
  <c r="AJ397" i="5"/>
  <c r="AG289" i="5"/>
  <c r="AJ219" i="5"/>
  <c r="AK121" i="5"/>
  <c r="AI75" i="5"/>
  <c r="AJ141" i="5"/>
  <c r="AG121" i="5"/>
  <c r="AJ335" i="5"/>
  <c r="AI25" i="5"/>
  <c r="AJ95" i="5"/>
  <c r="AL25" i="5"/>
  <c r="AH187" i="5"/>
  <c r="AL289" i="5"/>
  <c r="AJ263" i="5"/>
  <c r="AH47" i="5"/>
  <c r="AL233" i="5"/>
  <c r="AK307" i="5"/>
  <c r="AL29" i="5"/>
  <c r="AK87" i="5"/>
  <c r="AJ247" i="5"/>
  <c r="AK41" i="5"/>
  <c r="AI205" i="5"/>
  <c r="AK229" i="5"/>
  <c r="AK371" i="5"/>
  <c r="AK167" i="5"/>
  <c r="AG97" i="5"/>
  <c r="AI27" i="5"/>
  <c r="AL221" i="5"/>
  <c r="AI239" i="5"/>
  <c r="AJ131" i="5"/>
  <c r="AJ97" i="5"/>
  <c r="AH365" i="5"/>
  <c r="AL23" i="5"/>
  <c r="AL19" i="5"/>
  <c r="AG193" i="5"/>
  <c r="AI399" i="5"/>
  <c r="AJ205" i="5"/>
  <c r="AL291" i="5"/>
  <c r="AJ321" i="5"/>
  <c r="AL65" i="5"/>
  <c r="AK101" i="5"/>
  <c r="AI21" i="5"/>
  <c r="AL55" i="5"/>
  <c r="AH15" i="5"/>
  <c r="AJ71" i="5"/>
  <c r="AF221" i="5"/>
  <c r="AK397" i="5"/>
  <c r="AJ47" i="5"/>
  <c r="AK149" i="5"/>
  <c r="AK379" i="5"/>
  <c r="AI191" i="5"/>
  <c r="AK75" i="5"/>
  <c r="AH271" i="5"/>
  <c r="AG13" i="5"/>
  <c r="AK395" i="5"/>
  <c r="AI157" i="5"/>
  <c r="AI45" i="5"/>
  <c r="AL263" i="5"/>
  <c r="AK65" i="5"/>
  <c r="AK67" i="5"/>
  <c r="AK195" i="5"/>
  <c r="AK103" i="5"/>
  <c r="AI249" i="5"/>
  <c r="AK299" i="5"/>
  <c r="AK183" i="5"/>
  <c r="AL49" i="5"/>
  <c r="AK341" i="5"/>
  <c r="AG45" i="5"/>
  <c r="AI307" i="5"/>
  <c r="AI23" i="5"/>
  <c r="AH59" i="5"/>
  <c r="AK273" i="5"/>
  <c r="AK93" i="5"/>
  <c r="AI329" i="5"/>
  <c r="AJ279" i="5"/>
  <c r="AF337" i="5"/>
  <c r="AL219" i="5"/>
  <c r="AI253" i="5"/>
  <c r="AK129" i="5"/>
  <c r="AL27" i="5"/>
  <c r="AG201" i="5"/>
  <c r="AI303" i="5"/>
  <c r="AJ287" i="5"/>
  <c r="AJ77" i="5"/>
  <c r="AG331" i="5"/>
  <c r="AJ93" i="5"/>
  <c r="AJ303" i="5"/>
  <c r="AK391" i="5"/>
  <c r="AH263" i="5"/>
  <c r="AI67" i="5"/>
  <c r="AJ39" i="5"/>
  <c r="AK349" i="5"/>
  <c r="AF237" i="5"/>
  <c r="AJ51" i="5"/>
  <c r="AI135" i="5"/>
  <c r="AI317" i="5"/>
  <c r="AJ57" i="5"/>
  <c r="AL197" i="5"/>
  <c r="AK107" i="5"/>
  <c r="AJ351" i="5"/>
  <c r="AJ383" i="5"/>
  <c r="AI169" i="5"/>
  <c r="AK253" i="5"/>
  <c r="AK127" i="5"/>
  <c r="AK335" i="5"/>
  <c r="AG363" i="5"/>
  <c r="AK373" i="5"/>
  <c r="AJ33" i="5"/>
  <c r="AL79" i="5"/>
  <c r="AI117" i="5"/>
  <c r="AL89" i="5"/>
  <c r="AH259" i="5"/>
  <c r="AJ365" i="5"/>
  <c r="AJ283" i="5"/>
  <c r="AL231" i="5"/>
  <c r="AL189" i="5"/>
  <c r="AI17" i="5"/>
  <c r="AH99" i="5"/>
  <c r="AJ171" i="5"/>
  <c r="AK201" i="5"/>
  <c r="AI51" i="5"/>
  <c r="AK63" i="5"/>
  <c r="AJ113" i="5"/>
  <c r="AI387" i="5"/>
  <c r="AK97" i="5"/>
  <c r="AJ117" i="5"/>
  <c r="AG387" i="5"/>
  <c r="AK165" i="5"/>
  <c r="AL271" i="5"/>
  <c r="AJ139" i="5"/>
  <c r="AG375" i="5"/>
  <c r="AI137" i="5"/>
  <c r="AL87" i="5"/>
  <c r="AG65" i="5"/>
  <c r="AK79" i="5"/>
  <c r="AL215" i="5"/>
  <c r="AK43" i="5"/>
  <c r="AK223" i="5"/>
  <c r="AH265" i="5"/>
  <c r="AJ217" i="5"/>
  <c r="AF155" i="5"/>
  <c r="AJ277" i="5"/>
  <c r="AL269" i="5"/>
  <c r="AJ231" i="5"/>
  <c r="AL241" i="5"/>
  <c r="AI93" i="5"/>
  <c r="AK281" i="5"/>
  <c r="AH361" i="5"/>
  <c r="AI339" i="5"/>
  <c r="AL97" i="5"/>
  <c r="AI389" i="5"/>
  <c r="AI215" i="5"/>
  <c r="AL297" i="5"/>
  <c r="AK55" i="5"/>
  <c r="AI31" i="5"/>
  <c r="AI131" i="5"/>
  <c r="AH247" i="5"/>
  <c r="AJ379" i="5"/>
  <c r="AJ229" i="5"/>
  <c r="AJ151" i="5"/>
  <c r="AL243" i="5"/>
  <c r="AH13" i="5"/>
  <c r="AI199" i="5"/>
  <c r="AI221" i="5"/>
  <c r="AI105" i="5"/>
  <c r="AL249" i="5"/>
  <c r="AH37" i="5"/>
  <c r="AI193" i="5"/>
  <c r="AI311" i="5"/>
  <c r="AJ395" i="5"/>
  <c r="AJ143" i="5"/>
  <c r="AG305" i="5"/>
  <c r="AI237" i="5"/>
  <c r="AL111" i="5"/>
  <c r="AK367" i="5"/>
  <c r="AI113" i="5"/>
  <c r="AI119" i="5"/>
  <c r="AK193" i="5"/>
  <c r="AL205" i="5"/>
  <c r="AJ313" i="5"/>
  <c r="AH357" i="5"/>
  <c r="AI385" i="5"/>
  <c r="AJ291" i="5"/>
  <c r="AI373" i="5"/>
  <c r="AI219" i="5"/>
  <c r="AL175" i="5"/>
  <c r="AJ21" i="5"/>
  <c r="AJ341" i="5"/>
  <c r="AL217" i="5"/>
  <c r="AJ59" i="5"/>
  <c r="AL61" i="5"/>
  <c r="AI379" i="5"/>
  <c r="AF173" i="5"/>
  <c r="AH331" i="5"/>
  <c r="AL99" i="5"/>
  <c r="AL73" i="5"/>
  <c r="AI35" i="5"/>
  <c r="AK163" i="5"/>
  <c r="AH237" i="5"/>
  <c r="AL165" i="5"/>
  <c r="AH141" i="5"/>
  <c r="AI265" i="5"/>
  <c r="AL117" i="5"/>
  <c r="AK99" i="5"/>
  <c r="AK53" i="5"/>
  <c r="AL85" i="5"/>
  <c r="AL183" i="5"/>
  <c r="AJ65" i="5"/>
  <c r="AJ309" i="5"/>
  <c r="AF211" i="5"/>
  <c r="AJ337" i="5"/>
  <c r="AE227" i="5"/>
  <c r="AK365" i="5"/>
  <c r="AH155" i="5"/>
  <c r="AL153" i="5"/>
  <c r="AI127" i="5"/>
  <c r="AL43" i="5"/>
  <c r="AI335" i="5"/>
  <c r="AK313" i="5"/>
  <c r="AI107" i="5"/>
  <c r="AG91" i="5"/>
  <c r="AH395" i="5"/>
  <c r="AI359" i="5"/>
  <c r="AI87" i="5"/>
  <c r="AI309" i="5"/>
  <c r="AK319" i="5"/>
  <c r="AK137" i="5"/>
  <c r="AK19" i="5"/>
  <c r="AK327" i="5"/>
  <c r="AK267" i="5"/>
  <c r="AH21" i="5"/>
  <c r="AK49" i="5"/>
  <c r="AK389" i="5"/>
  <c r="AJ19" i="5"/>
  <c r="AK213" i="5"/>
  <c r="AJ189" i="5"/>
  <c r="AK91" i="5"/>
  <c r="AL11" i="5"/>
  <c r="AK71" i="5"/>
  <c r="AL53" i="5"/>
  <c r="AK31" i="5"/>
  <c r="AJ99" i="5"/>
  <c r="AJ211" i="5"/>
  <c r="AK277" i="5"/>
  <c r="AI43" i="5"/>
  <c r="AJ203" i="5"/>
  <c r="AG227" i="5"/>
  <c r="AL267" i="5"/>
  <c r="AG163" i="5"/>
  <c r="AI13" i="5"/>
  <c r="AJ83" i="5"/>
  <c r="AG245" i="5"/>
  <c r="AH153" i="5"/>
  <c r="AK301" i="5"/>
  <c r="AL135" i="5"/>
  <c r="AK199" i="5"/>
  <c r="AL177" i="5"/>
  <c r="AK119" i="5"/>
  <c r="AI357" i="5"/>
  <c r="AK61" i="5"/>
  <c r="AK203" i="5"/>
  <c r="AL77" i="5"/>
  <c r="AK271" i="5"/>
  <c r="AK159" i="5"/>
  <c r="AK169" i="5"/>
  <c r="AK215" i="5"/>
  <c r="AJ37" i="5"/>
  <c r="AG181" i="5"/>
  <c r="AL151" i="5"/>
  <c r="AH385" i="5"/>
  <c r="AI153" i="5"/>
  <c r="AL143" i="5"/>
  <c r="AK249" i="5"/>
  <c r="AI171" i="5"/>
  <c r="AL223" i="5"/>
  <c r="AI259" i="5"/>
  <c r="AL265" i="5"/>
  <c r="AH337" i="5"/>
  <c r="AK353" i="5"/>
  <c r="AI139" i="5"/>
  <c r="AK85" i="5"/>
  <c r="AJ85" i="5"/>
  <c r="AL187" i="5"/>
  <c r="AK161" i="5"/>
  <c r="AK329" i="5"/>
  <c r="AI243" i="5"/>
  <c r="AJ153" i="5"/>
  <c r="AH161" i="5"/>
  <c r="AL127" i="5"/>
  <c r="AI319" i="5"/>
  <c r="AL199" i="5"/>
  <c r="AL145" i="5"/>
  <c r="AL129" i="5"/>
  <c r="AK89" i="5"/>
  <c r="AJ235" i="5"/>
  <c r="AI371" i="5"/>
  <c r="AL75" i="5"/>
  <c r="AK219" i="5"/>
  <c r="AK369" i="5"/>
  <c r="AI125" i="5"/>
  <c r="AL239" i="5"/>
  <c r="AH347" i="5"/>
  <c r="AK259" i="5"/>
  <c r="AL137" i="5"/>
  <c r="AI251" i="5"/>
  <c r="AH211" i="5"/>
  <c r="AK45" i="5"/>
  <c r="AG15" i="5"/>
  <c r="AI123" i="5"/>
  <c r="AK131" i="5"/>
  <c r="AK111" i="5"/>
  <c r="AJ75" i="5"/>
  <c r="AK275" i="5"/>
  <c r="AL59" i="5"/>
  <c r="AI337" i="5"/>
  <c r="AK13" i="5"/>
  <c r="AK359" i="5"/>
  <c r="AL195" i="5"/>
  <c r="AG93" i="5"/>
  <c r="AL237" i="5"/>
  <c r="AK293" i="5"/>
  <c r="AL101" i="5"/>
  <c r="AL149" i="5"/>
  <c r="AL69" i="5"/>
  <c r="AK125" i="5"/>
  <c r="AK255" i="5"/>
  <c r="AK337" i="5"/>
  <c r="AJ325" i="5"/>
  <c r="AL277" i="5"/>
  <c r="AH353" i="5"/>
  <c r="AK287" i="5"/>
  <c r="AK347" i="5"/>
  <c r="AK269" i="5"/>
  <c r="AL67" i="5"/>
  <c r="AK29" i="5"/>
  <c r="AK83" i="5"/>
  <c r="AI273" i="5"/>
  <c r="AK35" i="5"/>
  <c r="AI179" i="5"/>
  <c r="AK81" i="5"/>
  <c r="AJ169" i="5"/>
  <c r="AJ353" i="5"/>
  <c r="AJ185" i="5"/>
  <c r="AK285" i="5"/>
  <c r="AL147" i="5"/>
  <c r="AL91" i="5"/>
  <c r="AK151" i="5"/>
  <c r="AL51" i="5"/>
  <c r="AK289" i="5"/>
  <c r="AL155" i="5"/>
  <c r="AH373" i="5"/>
  <c r="AK143" i="5"/>
  <c r="AL287" i="5"/>
  <c r="AK261" i="5"/>
  <c r="AL13" i="5"/>
  <c r="AI187" i="5"/>
  <c r="AL247" i="5"/>
  <c r="AH197" i="5"/>
  <c r="AK265" i="5"/>
  <c r="AL161" i="5"/>
  <c r="AI369" i="5"/>
  <c r="AK355" i="5"/>
  <c r="AK361" i="5"/>
  <c r="AL211" i="5"/>
  <c r="AJ289" i="5"/>
  <c r="AI57" i="5"/>
  <c r="AK11" i="5"/>
  <c r="AI71" i="5"/>
  <c r="AJ29" i="5"/>
  <c r="AK17" i="5"/>
  <c r="AI295" i="5"/>
  <c r="AL295" i="5"/>
  <c r="AK211" i="5"/>
  <c r="AI343" i="5"/>
  <c r="AJ357" i="5"/>
  <c r="AJ133" i="5"/>
  <c r="AL115" i="5"/>
  <c r="AJ377" i="5"/>
  <c r="AL119" i="5"/>
  <c r="AI85" i="5"/>
  <c r="AL123" i="5"/>
  <c r="AL213" i="5"/>
  <c r="AL109" i="5"/>
  <c r="AI61" i="5"/>
  <c r="AK23" i="5"/>
  <c r="AI29" i="5"/>
  <c r="AK123" i="5"/>
  <c r="AH171" i="5"/>
  <c r="AK283" i="5"/>
  <c r="AL173" i="5"/>
  <c r="AK95" i="5"/>
  <c r="AL95" i="5"/>
  <c r="AK295" i="5"/>
  <c r="AL285" i="5"/>
  <c r="AJ285" i="5"/>
  <c r="AK9" i="5"/>
  <c r="AK363" i="5"/>
  <c r="AI77" i="5"/>
  <c r="AK153" i="5"/>
  <c r="AG187" i="5"/>
  <c r="AI283" i="5"/>
  <c r="AL107" i="5"/>
  <c r="AJ103" i="5"/>
  <c r="AL201" i="5"/>
  <c r="AK133" i="5"/>
  <c r="AL37" i="5"/>
  <c r="AI365" i="5"/>
  <c r="AI353" i="5"/>
  <c r="AK311" i="5"/>
  <c r="AI115" i="5"/>
  <c r="AL179" i="5"/>
  <c r="AI53" i="5"/>
  <c r="AH371" i="5"/>
  <c r="AK387" i="5"/>
  <c r="AK383" i="5"/>
  <c r="AK377" i="5"/>
  <c r="AI351" i="5"/>
  <c r="AL45" i="5"/>
  <c r="AK221" i="5"/>
  <c r="AG219" i="5"/>
  <c r="AH227" i="5"/>
  <c r="AG43" i="5"/>
  <c r="AK179" i="5"/>
  <c r="AK173" i="5"/>
  <c r="AJ163" i="5"/>
  <c r="AL159" i="5"/>
  <c r="AK251" i="5"/>
  <c r="AL93" i="5"/>
  <c r="AK291" i="5"/>
  <c r="AL203" i="5"/>
  <c r="AJ187" i="5"/>
  <c r="AK39" i="5"/>
  <c r="AK33" i="5"/>
  <c r="AL257" i="5"/>
  <c r="AJ243" i="5"/>
  <c r="AI333" i="5"/>
  <c r="AL83" i="5"/>
  <c r="AK47" i="5"/>
  <c r="AK147" i="5"/>
  <c r="AK315" i="5"/>
  <c r="AK73" i="5"/>
  <c r="AK197" i="5"/>
  <c r="AL209" i="5"/>
  <c r="AK171" i="5"/>
  <c r="AK245" i="5"/>
  <c r="AI211" i="5"/>
  <c r="AJ317" i="5"/>
  <c r="AK135" i="5"/>
  <c r="AK77" i="5"/>
  <c r="AK303" i="5"/>
  <c r="AL15" i="5"/>
  <c r="AK399" i="5"/>
  <c r="AI235" i="5"/>
  <c r="AL47" i="5"/>
  <c r="AK181" i="5"/>
  <c r="AK231" i="5"/>
  <c r="AK155" i="5"/>
  <c r="AK189" i="5"/>
  <c r="AL261" i="5"/>
  <c r="AL163" i="5"/>
  <c r="AL181" i="5"/>
  <c r="AK325" i="5"/>
  <c r="AK317" i="5"/>
  <c r="AK237" i="5"/>
  <c r="AL169" i="5"/>
  <c r="AK309" i="5"/>
  <c r="K4002" i="5"/>
  <c r="O4003" i="5"/>
  <c r="C4001" i="5" l="1"/>
  <c r="G4002" i="5"/>
  <c r="T424" i="5"/>
  <c r="S502" i="5"/>
  <c r="T588" i="5"/>
  <c r="T608" i="5"/>
  <c r="S406" i="5"/>
  <c r="S566" i="5"/>
  <c r="S486" i="5"/>
  <c r="AB32" i="5"/>
  <c r="S430" i="5"/>
  <c r="S520" i="5"/>
  <c r="X38" i="5"/>
  <c r="S598" i="5"/>
  <c r="AA56" i="5"/>
  <c r="Y310" i="5"/>
  <c r="S258" i="5"/>
  <c r="S268" i="5"/>
  <c r="T534" i="5"/>
  <c r="S510" i="5"/>
  <c r="S454" i="5"/>
  <c r="Y334" i="5"/>
  <c r="S612" i="5"/>
  <c r="T510" i="5"/>
  <c r="S494" i="5"/>
  <c r="S534" i="5"/>
  <c r="AB8" i="5"/>
  <c r="S504" i="5"/>
  <c r="T502" i="5"/>
  <c r="S288" i="5"/>
  <c r="AC264" i="5"/>
  <c r="T612" i="5"/>
  <c r="X320" i="5"/>
  <c r="W290" i="5"/>
  <c r="X288" i="5"/>
  <c r="X32" i="5"/>
  <c r="AD222" i="5"/>
  <c r="AD68" i="5"/>
  <c r="S464" i="5"/>
  <c r="S604" i="5"/>
  <c r="U300" i="5"/>
  <c r="V310" i="5"/>
  <c r="W314" i="5"/>
  <c r="Y320" i="5"/>
  <c r="AA8" i="5"/>
  <c r="T440" i="5"/>
  <c r="W220" i="5"/>
  <c r="AF212" i="5"/>
  <c r="S310" i="5"/>
  <c r="W8" i="5"/>
  <c r="U38" i="5"/>
  <c r="AA260" i="5"/>
  <c r="T414" i="5"/>
  <c r="W38" i="5"/>
  <c r="Z54" i="5"/>
  <c r="X62" i="5"/>
  <c r="AD268" i="5"/>
  <c r="X334" i="5"/>
  <c r="S64" i="5"/>
  <c r="AB64" i="5"/>
  <c r="T558" i="5"/>
  <c r="AB310" i="5"/>
  <c r="Z64" i="5"/>
  <c r="Z320" i="5"/>
  <c r="AA64" i="5"/>
  <c r="W310" i="5"/>
  <c r="AD156" i="5"/>
  <c r="T468" i="5"/>
  <c r="W32" i="5"/>
  <c r="T492" i="5"/>
  <c r="S416" i="5"/>
  <c r="AD220" i="5"/>
  <c r="U68" i="5"/>
  <c r="T542" i="5"/>
  <c r="S56" i="5"/>
  <c r="AC42" i="5"/>
  <c r="AC268" i="5"/>
  <c r="T568" i="5"/>
  <c r="X344" i="5"/>
  <c r="T574" i="5"/>
  <c r="S440" i="5"/>
  <c r="AB62" i="5"/>
  <c r="X64" i="5"/>
  <c r="Y54" i="5"/>
  <c r="AC374" i="5"/>
  <c r="T268" i="5"/>
  <c r="AE8" i="5"/>
  <c r="AE62" i="5"/>
  <c r="AG68" i="5"/>
  <c r="AG8" i="5"/>
  <c r="AA86" i="5"/>
  <c r="AF222" i="5"/>
  <c r="T522" i="5"/>
  <c r="S222" i="5"/>
  <c r="AA156" i="5"/>
  <c r="T432" i="5"/>
  <c r="Y220" i="5"/>
  <c r="T556" i="5"/>
  <c r="AB68" i="5"/>
  <c r="S470" i="5"/>
  <c r="S250" i="5"/>
  <c r="W288" i="5"/>
  <c r="S600" i="5"/>
  <c r="Y32" i="5"/>
  <c r="T300" i="5"/>
  <c r="S582" i="5"/>
  <c r="S608" i="5"/>
  <c r="T552" i="5"/>
  <c r="S32" i="5"/>
  <c r="T592" i="5"/>
  <c r="AC300" i="5"/>
  <c r="S550" i="5"/>
  <c r="S146" i="5"/>
  <c r="AF68" i="5"/>
  <c r="Y354" i="5"/>
  <c r="T412" i="5"/>
  <c r="S526" i="5"/>
  <c r="Z38" i="5"/>
  <c r="T596" i="5"/>
  <c r="S552" i="5"/>
  <c r="Y38" i="5"/>
  <c r="AA226" i="5"/>
  <c r="W320" i="5"/>
  <c r="T476" i="5"/>
  <c r="T452" i="5"/>
  <c r="AA146" i="5"/>
  <c r="AF344" i="5"/>
  <c r="AD8" i="5"/>
  <c r="T220" i="5"/>
  <c r="AA38" i="5"/>
  <c r="Y288" i="5"/>
  <c r="S408" i="5"/>
  <c r="AC334" i="5"/>
  <c r="V62" i="5"/>
  <c r="T288" i="5"/>
  <c r="AF190" i="5"/>
  <c r="V288" i="5"/>
  <c r="Z220" i="5"/>
  <c r="W260" i="5"/>
  <c r="V64" i="5"/>
  <c r="W42" i="5"/>
  <c r="T484" i="5"/>
  <c r="Y290" i="5"/>
  <c r="T584" i="5"/>
  <c r="X300" i="5"/>
  <c r="T320" i="5"/>
  <c r="AC222" i="5"/>
  <c r="AC62" i="5"/>
  <c r="AA32" i="5"/>
  <c r="W68" i="5"/>
  <c r="AE32" i="5"/>
  <c r="AA288" i="5"/>
  <c r="AA220" i="5"/>
  <c r="AB56" i="5"/>
  <c r="T508" i="5"/>
  <c r="Y42" i="5"/>
  <c r="AC86" i="5"/>
  <c r="AA68" i="5"/>
  <c r="Y156" i="5"/>
  <c r="T504" i="5"/>
  <c r="AD62" i="5"/>
  <c r="T56" i="5"/>
  <c r="T260" i="5"/>
  <c r="U32" i="5"/>
  <c r="AA290" i="5"/>
  <c r="S488" i="5"/>
  <c r="S456" i="5"/>
  <c r="T518" i="5"/>
  <c r="Y268" i="5"/>
  <c r="X260" i="5"/>
  <c r="T456" i="5"/>
  <c r="AI268" i="5"/>
  <c r="S482" i="5"/>
  <c r="AC64" i="5"/>
  <c r="T354" i="5"/>
  <c r="AC250" i="5"/>
  <c r="U146" i="5"/>
  <c r="S68" i="5"/>
  <c r="S478" i="5"/>
  <c r="AD64" i="5"/>
  <c r="S542" i="5"/>
  <c r="AD260" i="5"/>
  <c r="AC288" i="5"/>
  <c r="S462" i="5"/>
  <c r="S422" i="5"/>
  <c r="S226" i="5"/>
  <c r="S606" i="5"/>
  <c r="T488" i="5"/>
  <c r="S590" i="5"/>
  <c r="Y314" i="5"/>
  <c r="W62" i="5"/>
  <c r="S558" i="5"/>
  <c r="Z314" i="5"/>
  <c r="U314" i="5"/>
  <c r="AD32" i="5"/>
  <c r="AE318" i="5"/>
  <c r="X8" i="5"/>
  <c r="W64" i="5"/>
  <c r="T494" i="5"/>
  <c r="T516" i="5"/>
  <c r="Z288" i="5"/>
  <c r="T32" i="5"/>
  <c r="AE264" i="5"/>
  <c r="AF260" i="5"/>
  <c r="X220" i="5"/>
  <c r="V54" i="5"/>
  <c r="AA258" i="5"/>
  <c r="V320" i="5"/>
  <c r="S472" i="5"/>
  <c r="T436" i="5"/>
  <c r="S496" i="5"/>
  <c r="AB42" i="5"/>
  <c r="AD264" i="5"/>
  <c r="AC68" i="5"/>
  <c r="S512" i="5"/>
  <c r="AC56" i="5"/>
  <c r="U284" i="5"/>
  <c r="T520" i="5"/>
  <c r="U354" i="5"/>
  <c r="T540" i="5"/>
  <c r="V68" i="5"/>
  <c r="S54" i="5"/>
  <c r="Z62" i="5"/>
  <c r="AD86" i="5"/>
  <c r="S536" i="5"/>
  <c r="AB288" i="5"/>
  <c r="AD288" i="5"/>
  <c r="Z8" i="5"/>
  <c r="AF64" i="5"/>
  <c r="AC290" i="5"/>
  <c r="AB260" i="5"/>
  <c r="Y64" i="5"/>
  <c r="AC320" i="5"/>
  <c r="S528" i="5"/>
  <c r="AE310" i="5"/>
  <c r="U260" i="5"/>
  <c r="V32" i="5"/>
  <c r="V222" i="5"/>
  <c r="AD284" i="5"/>
  <c r="W300" i="5"/>
  <c r="AC258" i="5"/>
  <c r="W156" i="5"/>
  <c r="AA268" i="5"/>
  <c r="T430" i="5"/>
  <c r="S424" i="5"/>
  <c r="AC8" i="5"/>
  <c r="U62" i="5"/>
  <c r="T564" i="5"/>
  <c r="T454" i="5"/>
  <c r="S448" i="5"/>
  <c r="AA300" i="5"/>
  <c r="AA42" i="5"/>
  <c r="T404" i="5"/>
  <c r="S516" i="5"/>
  <c r="S532" i="5"/>
  <c r="V258" i="5"/>
  <c r="S334" i="5"/>
  <c r="AE64" i="5"/>
  <c r="AB354" i="5"/>
  <c r="S438" i="5"/>
  <c r="T496" i="5"/>
  <c r="AA222" i="5"/>
  <c r="S518" i="5"/>
  <c r="V8" i="5"/>
  <c r="S414" i="5"/>
  <c r="S446" i="5"/>
  <c r="AA54" i="5"/>
  <c r="T572" i="5"/>
  <c r="T524" i="5"/>
  <c r="AD310" i="5"/>
  <c r="S574" i="5"/>
  <c r="AD38" i="5"/>
  <c r="T472" i="5"/>
  <c r="U8" i="5"/>
  <c r="T462" i="5"/>
  <c r="T544" i="5"/>
  <c r="AB156" i="5"/>
  <c r="Y344" i="5"/>
  <c r="S592" i="5"/>
  <c r="U56" i="5"/>
  <c r="T486" i="5"/>
  <c r="Y260" i="5"/>
  <c r="AC260" i="5"/>
  <c r="V260" i="5"/>
  <c r="Y284" i="5"/>
  <c r="T428" i="5"/>
  <c r="T470" i="5"/>
  <c r="S544" i="5"/>
  <c r="V268" i="5"/>
  <c r="W318" i="5"/>
  <c r="Z260" i="5"/>
  <c r="S560" i="5"/>
  <c r="S480" i="5"/>
  <c r="T444" i="5"/>
  <c r="Y222" i="5"/>
  <c r="T550" i="5"/>
  <c r="T422" i="5"/>
  <c r="U288" i="5"/>
  <c r="T580" i="5"/>
  <c r="X268" i="5"/>
  <c r="U268" i="5"/>
  <c r="T8" i="5"/>
  <c r="T460" i="5"/>
  <c r="W222" i="5"/>
  <c r="Z310" i="5"/>
  <c r="T222" i="5"/>
  <c r="AE288" i="5"/>
  <c r="T560" i="5"/>
  <c r="Y8" i="5"/>
  <c r="AC354" i="5"/>
  <c r="AF288" i="5"/>
  <c r="AE260" i="5"/>
  <c r="AC344" i="5"/>
  <c r="S8" i="5"/>
  <c r="S260" i="5"/>
  <c r="T290" i="5"/>
  <c r="Z300" i="5"/>
  <c r="AD300" i="5"/>
  <c r="AF38" i="5"/>
  <c r="T526" i="5"/>
  <c r="Y300" i="5"/>
  <c r="AC32" i="5"/>
  <c r="X54" i="5"/>
  <c r="AF54" i="5"/>
  <c r="AA250" i="5"/>
  <c r="T406" i="5"/>
  <c r="Z32" i="5"/>
  <c r="Z42" i="5"/>
  <c r="AA62" i="5"/>
  <c r="X290" i="5"/>
  <c r="AD320" i="5"/>
  <c r="S570" i="5"/>
  <c r="S572" i="5"/>
  <c r="S586" i="5"/>
  <c r="V334" i="5"/>
  <c r="S290" i="5"/>
  <c r="T600" i="5"/>
  <c r="S602" i="5"/>
  <c r="AH260" i="5"/>
  <c r="T566" i="5"/>
  <c r="T68" i="5"/>
  <c r="AB320" i="5"/>
  <c r="S442" i="5"/>
  <c r="U318" i="5"/>
  <c r="X68" i="5"/>
  <c r="S434" i="5"/>
  <c r="AB250" i="5"/>
  <c r="T438" i="5"/>
  <c r="T570" i="5"/>
  <c r="AE226" i="5"/>
  <c r="AD314" i="5"/>
  <c r="AB284" i="5"/>
  <c r="AG212" i="5"/>
  <c r="V146" i="5"/>
  <c r="AF32" i="5"/>
  <c r="AE156" i="5"/>
  <c r="AC156" i="5"/>
  <c r="T530" i="5"/>
  <c r="AA314" i="5"/>
  <c r="AG190" i="5"/>
  <c r="S318" i="5"/>
  <c r="AE56" i="5"/>
  <c r="AA318" i="5"/>
  <c r="AE48" i="5"/>
  <c r="S314" i="5"/>
  <c r="AE284" i="5"/>
  <c r="V314" i="5"/>
  <c r="T318" i="5"/>
  <c r="AG32" i="5"/>
  <c r="X314" i="5"/>
  <c r="T528" i="5"/>
  <c r="AG268" i="5"/>
  <c r="AE54" i="5"/>
  <c r="AF284" i="5"/>
  <c r="AG334" i="5"/>
  <c r="S404" i="5"/>
  <c r="U42" i="5"/>
  <c r="T416" i="5"/>
  <c r="AG264" i="5"/>
  <c r="AE222" i="5"/>
  <c r="T42" i="5"/>
  <c r="AA320" i="5"/>
  <c r="U310" i="5"/>
  <c r="U290" i="5"/>
  <c r="AC226" i="5"/>
  <c r="AF290" i="5"/>
  <c r="T506" i="5"/>
  <c r="AA334" i="5"/>
  <c r="AG354" i="5"/>
  <c r="S432" i="5"/>
  <c r="W250" i="5"/>
  <c r="X258" i="5"/>
  <c r="X310" i="5"/>
  <c r="AF264" i="5"/>
  <c r="AG310" i="5"/>
  <c r="AG284" i="5"/>
  <c r="AG208" i="5"/>
  <c r="AB146" i="5"/>
  <c r="T226" i="5"/>
  <c r="S436" i="5"/>
  <c r="S468" i="5"/>
  <c r="AG62" i="5"/>
  <c r="AG42" i="5"/>
  <c r="Z56" i="5"/>
  <c r="S476" i="5"/>
  <c r="AG320" i="5"/>
  <c r="S522" i="5"/>
  <c r="T314" i="5"/>
  <c r="AH320" i="5"/>
  <c r="AF310" i="5"/>
  <c r="V290" i="5"/>
  <c r="V220" i="5"/>
  <c r="AH8" i="5"/>
  <c r="V156" i="5"/>
  <c r="AC314" i="5"/>
  <c r="AH32" i="5"/>
  <c r="S568" i="5"/>
  <c r="AH220" i="5"/>
  <c r="AF234" i="5"/>
  <c r="AG344" i="5"/>
  <c r="AE258" i="5"/>
  <c r="S594" i="5"/>
  <c r="AD318" i="5"/>
  <c r="AI190" i="5"/>
  <c r="AF374" i="5"/>
  <c r="AF70" i="5"/>
  <c r="AH334" i="5"/>
  <c r="AJ48" i="5"/>
  <c r="AH28" i="5"/>
  <c r="AH344" i="5"/>
  <c r="AH354" i="5"/>
  <c r="AG156" i="5"/>
  <c r="AH222" i="5"/>
  <c r="AJ212" i="5"/>
  <c r="AE290" i="5"/>
  <c r="AJ32" i="5"/>
  <c r="AH234" i="5"/>
  <c r="AH288" i="5"/>
  <c r="S524" i="5"/>
  <c r="S584" i="5"/>
  <c r="T446" i="5"/>
  <c r="S578" i="5"/>
  <c r="T420" i="5"/>
  <c r="AF42" i="5"/>
  <c r="T562" i="5"/>
  <c r="V344" i="5"/>
  <c r="AG374" i="5"/>
  <c r="AH212" i="5"/>
  <c r="T586" i="5"/>
  <c r="AE314" i="5"/>
  <c r="AA344" i="5"/>
  <c r="T156" i="5"/>
  <c r="AH268" i="5"/>
  <c r="AB86" i="5"/>
  <c r="V226" i="5"/>
  <c r="S484" i="5"/>
  <c r="T578" i="5"/>
  <c r="AF354" i="5"/>
  <c r="AF56" i="5"/>
  <c r="S354" i="5"/>
  <c r="S460" i="5"/>
  <c r="AB290" i="5"/>
  <c r="AB226" i="5"/>
  <c r="W56" i="5"/>
  <c r="T480" i="5"/>
  <c r="S474" i="5"/>
  <c r="T62" i="5"/>
  <c r="AC234" i="5"/>
  <c r="T310" i="5"/>
  <c r="T464" i="5"/>
  <c r="AF48" i="5"/>
  <c r="S62" i="5"/>
  <c r="AF156" i="5"/>
  <c r="AD234" i="5"/>
  <c r="AG290" i="5"/>
  <c r="Z354" i="5"/>
  <c r="S556" i="5"/>
  <c r="X156" i="5"/>
  <c r="X354" i="5"/>
  <c r="W268" i="5"/>
  <c r="AB258" i="5"/>
  <c r="W226" i="5"/>
  <c r="T250" i="5"/>
  <c r="V38" i="5"/>
  <c r="T442" i="5"/>
  <c r="T514" i="5"/>
  <c r="AB54" i="5"/>
  <c r="Y146" i="5"/>
  <c r="S220" i="5"/>
  <c r="Z290" i="5"/>
  <c r="AD250" i="5"/>
  <c r="AC212" i="5"/>
  <c r="T498" i="5"/>
  <c r="X42" i="5"/>
  <c r="T64" i="5"/>
  <c r="S508" i="5"/>
  <c r="AG48" i="5"/>
  <c r="AD56" i="5"/>
  <c r="T482" i="5"/>
  <c r="AC146" i="5"/>
  <c r="X222" i="5"/>
  <c r="X250" i="5"/>
  <c r="V318" i="5"/>
  <c r="S500" i="5"/>
  <c r="W334" i="5"/>
  <c r="AH70" i="5"/>
  <c r="AH208" i="5"/>
  <c r="AI170" i="5"/>
  <c r="T54" i="5"/>
  <c r="AH68" i="5"/>
  <c r="W146" i="5"/>
  <c r="AI264" i="5"/>
  <c r="X56" i="5"/>
  <c r="AI220" i="5"/>
  <c r="AI48" i="5"/>
  <c r="AH146" i="5"/>
  <c r="AB334" i="5"/>
  <c r="T38" i="5"/>
  <c r="S444" i="5"/>
  <c r="AE86" i="5"/>
  <c r="T594" i="5"/>
  <c r="AE70" i="5"/>
  <c r="U220" i="5"/>
  <c r="S576" i="5"/>
  <c r="AF62" i="5"/>
  <c r="S452" i="5"/>
  <c r="AB220" i="5"/>
  <c r="U156" i="5"/>
  <c r="S596" i="5"/>
  <c r="AC284" i="5"/>
  <c r="AC38" i="5"/>
  <c r="S412" i="5"/>
  <c r="AF226" i="5"/>
  <c r="Y318" i="5"/>
  <c r="AE190" i="5"/>
  <c r="S548" i="5"/>
  <c r="Z68" i="5"/>
  <c r="AC220" i="5"/>
  <c r="U64" i="5"/>
  <c r="S42" i="5"/>
  <c r="AD354" i="5"/>
  <c r="T604" i="5"/>
  <c r="S498" i="5"/>
  <c r="S450" i="5"/>
  <c r="S466" i="5"/>
  <c r="AE320" i="5"/>
  <c r="T478" i="5"/>
  <c r="U54" i="5"/>
  <c r="S284" i="5"/>
  <c r="X318" i="5"/>
  <c r="T582" i="5"/>
  <c r="AH48" i="5"/>
  <c r="V300" i="5"/>
  <c r="T258" i="5"/>
  <c r="Y258" i="5"/>
  <c r="Z156" i="5"/>
  <c r="AF220" i="5"/>
  <c r="W54" i="5"/>
  <c r="Z250" i="5"/>
  <c r="S514" i="5"/>
  <c r="T606" i="5"/>
  <c r="AE220" i="5"/>
  <c r="S562" i="5"/>
  <c r="W344" i="5"/>
  <c r="AC54" i="5"/>
  <c r="S610" i="5"/>
  <c r="X146" i="5"/>
  <c r="AD226" i="5"/>
  <c r="AB300" i="5"/>
  <c r="V56" i="5"/>
  <c r="S344" i="5"/>
  <c r="Z146" i="5"/>
  <c r="S300" i="5"/>
  <c r="AD290" i="5"/>
  <c r="Z258" i="5"/>
  <c r="T610" i="5"/>
  <c r="T434" i="5"/>
  <c r="Y226" i="5"/>
  <c r="T536" i="5"/>
  <c r="AB268" i="5"/>
  <c r="T500" i="5"/>
  <c r="T512" i="5"/>
  <c r="U334" i="5"/>
  <c r="S540" i="5"/>
  <c r="T418" i="5"/>
  <c r="V284" i="5"/>
  <c r="S538" i="5"/>
  <c r="AD212" i="5"/>
  <c r="AG64" i="5"/>
  <c r="AG316" i="5"/>
  <c r="AE68" i="5"/>
  <c r="V42" i="5"/>
  <c r="AG54" i="5"/>
  <c r="T410" i="5"/>
  <c r="AJ156" i="5"/>
  <c r="AG146" i="5"/>
  <c r="T602" i="5"/>
  <c r="AF300" i="5"/>
  <c r="AJ42" i="5"/>
  <c r="W354" i="5"/>
  <c r="S458" i="5"/>
  <c r="AD258" i="5"/>
  <c r="AF268" i="5"/>
  <c r="AE212" i="5"/>
  <c r="AJ38" i="5"/>
  <c r="S320" i="5"/>
  <c r="AD344" i="5"/>
  <c r="T554" i="5"/>
  <c r="AH300" i="5"/>
  <c r="S402" i="5"/>
  <c r="AH290" i="5"/>
  <c r="S38" i="5"/>
  <c r="S580" i="5"/>
  <c r="AH190" i="5"/>
  <c r="T576" i="5"/>
  <c r="T448" i="5"/>
  <c r="S546" i="5"/>
  <c r="T408" i="5"/>
  <c r="AG38" i="5"/>
  <c r="S506" i="5"/>
  <c r="Z334" i="5"/>
  <c r="AF314" i="5"/>
  <c r="U250" i="5"/>
  <c r="S426" i="5"/>
  <c r="AA284" i="5"/>
  <c r="W284" i="5"/>
  <c r="AB222" i="5"/>
  <c r="Z222" i="5"/>
  <c r="V250" i="5"/>
  <c r="U226" i="5"/>
  <c r="Y56" i="5"/>
  <c r="AC318" i="5"/>
  <c r="Y62" i="5"/>
  <c r="X226" i="5"/>
  <c r="S420" i="5"/>
  <c r="T450" i="5"/>
  <c r="S564" i="5"/>
  <c r="AB318" i="5"/>
  <c r="T538" i="5"/>
  <c r="T344" i="5"/>
  <c r="U320" i="5"/>
  <c r="U344" i="5"/>
  <c r="T402" i="5"/>
  <c r="S530" i="5"/>
  <c r="U222" i="5"/>
  <c r="T532" i="5"/>
  <c r="AD334" i="5"/>
  <c r="AD374" i="5"/>
  <c r="AB38" i="5"/>
  <c r="Z344" i="5"/>
  <c r="Z226" i="5"/>
  <c r="T474" i="5"/>
  <c r="Y250" i="5"/>
  <c r="T548" i="5"/>
  <c r="AE374" i="5"/>
  <c r="AE38" i="5"/>
  <c r="AD54" i="5"/>
  <c r="S410" i="5"/>
  <c r="AG86" i="5"/>
  <c r="Z284" i="5"/>
  <c r="AD146" i="5"/>
  <c r="W258" i="5"/>
  <c r="Z268" i="5"/>
  <c r="T490" i="5"/>
  <c r="AD42" i="5"/>
  <c r="AF8" i="5"/>
  <c r="S588" i="5"/>
  <c r="U258" i="5"/>
  <c r="AH64" i="5"/>
  <c r="AB314" i="5"/>
  <c r="AI32" i="5"/>
  <c r="AJ300" i="5"/>
  <c r="AI38" i="5"/>
  <c r="T590" i="5"/>
  <c r="AG220" i="5"/>
  <c r="AH310" i="5"/>
  <c r="AH62" i="5"/>
  <c r="AK212" i="5"/>
  <c r="AE250" i="5"/>
  <c r="AF318" i="5"/>
  <c r="AF86" i="5"/>
  <c r="AI250" i="5"/>
  <c r="AG250" i="5"/>
  <c r="AG222" i="5"/>
  <c r="AE208" i="5"/>
  <c r="AI28" i="5"/>
  <c r="S156" i="5"/>
  <c r="AB344" i="5"/>
  <c r="AH38" i="5"/>
  <c r="Y68" i="5"/>
  <c r="AC310" i="5"/>
  <c r="T598" i="5"/>
  <c r="V354" i="5"/>
  <c r="X284" i="5"/>
  <c r="S428" i="5"/>
  <c r="AI226" i="5"/>
  <c r="AH284" i="5"/>
  <c r="AJ222" i="5"/>
  <c r="AI64" i="5"/>
  <c r="AJ190" i="5"/>
  <c r="AJ334" i="5"/>
  <c r="AI42" i="5"/>
  <c r="AI310" i="5"/>
  <c r="AK98" i="5"/>
  <c r="AK354" i="5"/>
  <c r="AK42" i="5"/>
  <c r="AK322" i="5"/>
  <c r="AH86" i="5"/>
  <c r="AI44" i="5"/>
  <c r="AK368" i="5"/>
  <c r="AK348" i="5"/>
  <c r="AI334" i="5"/>
  <c r="AI258" i="5"/>
  <c r="AK32" i="5"/>
  <c r="AJ316" i="5"/>
  <c r="AI68" i="5"/>
  <c r="AJ310" i="5"/>
  <c r="AI392" i="5"/>
  <c r="AK328" i="5"/>
  <c r="AK134" i="5"/>
  <c r="AL72" i="5"/>
  <c r="AL274" i="5"/>
  <c r="AK208" i="5"/>
  <c r="AJ354" i="5"/>
  <c r="AJ268" i="5"/>
  <c r="AJ170" i="5"/>
  <c r="AL102" i="5"/>
  <c r="AI212" i="5"/>
  <c r="AG226" i="5"/>
  <c r="AG28" i="5"/>
  <c r="AJ250" i="5"/>
  <c r="AG56" i="5"/>
  <c r="AL42" i="5"/>
  <c r="AI284" i="5"/>
  <c r="AJ264" i="5"/>
  <c r="AL26" i="5"/>
  <c r="AL122" i="5"/>
  <c r="AK392" i="5"/>
  <c r="AK130" i="5"/>
  <c r="AJ258" i="5"/>
  <c r="AK8" i="5"/>
  <c r="AI354" i="5"/>
  <c r="AL28" i="5"/>
  <c r="AJ226" i="5"/>
  <c r="AK156" i="5"/>
  <c r="AL184" i="5"/>
  <c r="AL94" i="5"/>
  <c r="AL14" i="5"/>
  <c r="AL44" i="5"/>
  <c r="AL98" i="5"/>
  <c r="AL70" i="5"/>
  <c r="AK40" i="5"/>
  <c r="AL242" i="5"/>
  <c r="AK60" i="5"/>
  <c r="AK206" i="5"/>
  <c r="AK102" i="5"/>
  <c r="AI16" i="5"/>
  <c r="AK14" i="5"/>
  <c r="AL60" i="5"/>
  <c r="AL284" i="5"/>
  <c r="AH42" i="5"/>
  <c r="S492" i="5"/>
  <c r="AG260" i="5"/>
  <c r="AA354" i="5"/>
  <c r="AI288" i="5"/>
  <c r="AJ62" i="5"/>
  <c r="AH316" i="5"/>
  <c r="AE334" i="5"/>
  <c r="T466" i="5"/>
  <c r="AE300" i="5"/>
  <c r="AI234" i="5"/>
  <c r="AE344" i="5"/>
  <c r="AE234" i="5"/>
  <c r="AE146" i="5"/>
  <c r="AF208" i="5"/>
  <c r="AG318" i="5"/>
  <c r="AL190" i="5"/>
  <c r="AK390" i="5"/>
  <c r="AK236" i="5"/>
  <c r="AK260" i="5"/>
  <c r="AI300" i="5"/>
  <c r="AL268" i="5"/>
  <c r="AJ288" i="5"/>
  <c r="AK138" i="5"/>
  <c r="AI70" i="5"/>
  <c r="AI374" i="5"/>
  <c r="AL66" i="5"/>
  <c r="AJ318" i="5"/>
  <c r="AJ390" i="5"/>
  <c r="AH374" i="5"/>
  <c r="AG314" i="5"/>
  <c r="AI208" i="5"/>
  <c r="AK50" i="5"/>
  <c r="AI384" i="5"/>
  <c r="AK56" i="5"/>
  <c r="AL300" i="5"/>
  <c r="AK332" i="5"/>
  <c r="AK114" i="5"/>
  <c r="AK190" i="5"/>
  <c r="AK26" i="5"/>
  <c r="AK232" i="5"/>
  <c r="AK384" i="5"/>
  <c r="AK222" i="5"/>
  <c r="AJ56" i="5"/>
  <c r="AJ98" i="5"/>
  <c r="AL62" i="5"/>
  <c r="AI86" i="5"/>
  <c r="AK70" i="5"/>
  <c r="AK284" i="5"/>
  <c r="AL104" i="5"/>
  <c r="AL240" i="5"/>
  <c r="AL220" i="5"/>
  <c r="AK94" i="5"/>
  <c r="AJ68" i="5"/>
  <c r="AK264" i="5"/>
  <c r="AL54" i="5"/>
  <c r="AK86" i="5"/>
  <c r="AK54" i="5"/>
  <c r="AJ384" i="5"/>
  <c r="AL202" i="5"/>
  <c r="AK258" i="5"/>
  <c r="AL258" i="5"/>
  <c r="AK104" i="5"/>
  <c r="AL152" i="5"/>
  <c r="AK234" i="5"/>
  <c r="AK242" i="5"/>
  <c r="AJ392" i="5"/>
  <c r="AL236" i="5"/>
  <c r="AL146" i="5"/>
  <c r="AI344" i="5"/>
  <c r="AK38" i="5"/>
  <c r="AK28" i="5"/>
  <c r="AL276" i="5"/>
  <c r="AK244" i="5"/>
  <c r="AK166" i="5"/>
  <c r="AI222" i="5"/>
  <c r="AJ260" i="5"/>
  <c r="AF258" i="5"/>
  <c r="AG300" i="5"/>
  <c r="AJ8" i="5"/>
  <c r="AH314" i="5"/>
  <c r="T426" i="5"/>
  <c r="AJ232" i="5"/>
  <c r="AI260" i="5"/>
  <c r="AE268" i="5"/>
  <c r="T146" i="5"/>
  <c r="AG288" i="5"/>
  <c r="AH56" i="5"/>
  <c r="T334" i="5"/>
  <c r="S490" i="5"/>
  <c r="AI54" i="5"/>
  <c r="AG70" i="5"/>
  <c r="AG258" i="5"/>
  <c r="AA310" i="5"/>
  <c r="Z318" i="5"/>
  <c r="AI56" i="5"/>
  <c r="AL8" i="5"/>
  <c r="AK396" i="5"/>
  <c r="AJ86" i="5"/>
  <c r="AL108" i="5"/>
  <c r="AL238" i="5"/>
  <c r="AK380" i="5"/>
  <c r="AJ70" i="5"/>
  <c r="AK122" i="5"/>
  <c r="AK108" i="5"/>
  <c r="AH250" i="5"/>
  <c r="AK48" i="5"/>
  <c r="AF250" i="5"/>
  <c r="AJ284" i="5"/>
  <c r="AK268" i="5"/>
  <c r="AL40" i="5"/>
  <c r="AL10" i="5"/>
  <c r="AG234" i="5"/>
  <c r="AK152" i="5"/>
  <c r="AH54" i="5"/>
  <c r="AL32" i="5"/>
  <c r="AL50" i="5"/>
  <c r="AL290" i="5"/>
  <c r="AI232" i="5"/>
  <c r="AK10" i="5"/>
  <c r="AL56" i="5"/>
  <c r="AK366" i="5"/>
  <c r="AJ64" i="5"/>
  <c r="AJ208" i="5"/>
  <c r="AL156" i="5"/>
  <c r="AJ146" i="5"/>
  <c r="AL264" i="5"/>
  <c r="AJ374" i="5"/>
  <c r="AH156" i="5"/>
  <c r="AG170" i="5"/>
  <c r="AL138" i="5"/>
  <c r="AK310" i="5"/>
  <c r="AL16" i="5"/>
  <c r="AK62" i="5"/>
  <c r="AK144" i="5"/>
  <c r="AK220" i="5"/>
  <c r="AJ16" i="5"/>
  <c r="AK170" i="5"/>
  <c r="AK320" i="5"/>
  <c r="AJ28" i="5"/>
  <c r="AL34" i="5"/>
  <c r="AL144" i="5"/>
  <c r="AL260" i="5"/>
  <c r="AL244" i="5"/>
  <c r="AL212" i="5"/>
  <c r="AK290" i="5"/>
  <c r="AK276" i="5"/>
  <c r="AK146" i="5"/>
  <c r="AK44" i="5"/>
  <c r="AL234" i="5"/>
  <c r="AK250" i="5"/>
  <c r="AK316" i="5"/>
  <c r="AK226" i="5"/>
  <c r="AL226" i="5"/>
  <c r="AF146" i="5"/>
  <c r="AH318" i="5"/>
  <c r="T284" i="5"/>
  <c r="S418" i="5"/>
  <c r="T458" i="5"/>
  <c r="AJ220" i="5"/>
  <c r="AF334" i="5"/>
  <c r="AI314" i="5"/>
  <c r="AF320" i="5"/>
  <c r="AI146" i="5"/>
  <c r="S554" i="5"/>
  <c r="AE42" i="5"/>
  <c r="T546" i="5"/>
  <c r="AI320" i="5"/>
  <c r="AH264" i="5"/>
  <c r="AI8" i="5"/>
  <c r="AI390" i="5"/>
  <c r="AH226" i="5"/>
  <c r="AL86" i="5"/>
  <c r="AL166" i="5"/>
  <c r="AJ344" i="5"/>
  <c r="AI316" i="5"/>
  <c r="AK334" i="5"/>
  <c r="AK300" i="5"/>
  <c r="AI318" i="5"/>
  <c r="AL130" i="5"/>
  <c r="AL288" i="5"/>
  <c r="AK344" i="5"/>
  <c r="AK370" i="5"/>
  <c r="AJ234" i="5"/>
  <c r="AL48" i="5"/>
  <c r="AK340" i="5"/>
  <c r="AJ290" i="5"/>
  <c r="AE354" i="5"/>
  <c r="AK72" i="5"/>
  <c r="AI156" i="5"/>
  <c r="AH170" i="5"/>
  <c r="AJ314" i="5"/>
  <c r="AI98" i="5"/>
  <c r="AK288" i="5"/>
  <c r="AK248" i="5"/>
  <c r="AI290" i="5"/>
  <c r="AL222" i="5"/>
  <c r="AH258" i="5"/>
  <c r="AK240" i="5"/>
  <c r="AJ320" i="5"/>
  <c r="AK66" i="5"/>
  <c r="AK238" i="5"/>
  <c r="AL64" i="5"/>
  <c r="AK68" i="5"/>
  <c r="AK374" i="5"/>
  <c r="AL232" i="5"/>
  <c r="AK64" i="5"/>
  <c r="AL134" i="5"/>
  <c r="AL248" i="5"/>
  <c r="AK314" i="5"/>
  <c r="AK34" i="5"/>
  <c r="AJ54" i="5"/>
  <c r="AK318" i="5"/>
  <c r="AK20" i="5"/>
  <c r="AL206" i="5"/>
  <c r="AK308" i="5"/>
  <c r="AI62" i="5"/>
  <c r="AL114" i="5"/>
  <c r="AL38" i="5"/>
  <c r="AL20" i="5"/>
  <c r="AJ44" i="5"/>
  <c r="AK184" i="5"/>
  <c r="AK274" i="5"/>
  <c r="AL250" i="5"/>
  <c r="AK16" i="5"/>
  <c r="AL170" i="5"/>
  <c r="AL68" i="5"/>
  <c r="AL208" i="5"/>
  <c r="AK202" i="5"/>
  <c r="O4004" i="5"/>
  <c r="K4003" i="5"/>
  <c r="G4003" i="5" l="1"/>
  <c r="C4002" i="5"/>
  <c r="O4005" i="5"/>
  <c r="K4004" i="5"/>
  <c r="G4004" i="5" l="1"/>
  <c r="C4003" i="5"/>
  <c r="O4006" i="5"/>
  <c r="K4005" i="5"/>
  <c r="C4004" i="5" l="1"/>
  <c r="G4005" i="5"/>
  <c r="K4006" i="5"/>
  <c r="O4007" i="5"/>
  <c r="G4006" i="5" l="1"/>
  <c r="C4005" i="5"/>
  <c r="O4008" i="5"/>
  <c r="K4007" i="5"/>
  <c r="G4007" i="5" l="1"/>
  <c r="C4006" i="5"/>
  <c r="O4009" i="5"/>
  <c r="K4008" i="5"/>
  <c r="G4008" i="5" l="1"/>
  <c r="C4007" i="5"/>
  <c r="K4009" i="5"/>
  <c r="O4010" i="5"/>
  <c r="C4008" i="5" l="1"/>
  <c r="G4009" i="5"/>
  <c r="K4010" i="5"/>
  <c r="O4011" i="5"/>
  <c r="C4009" i="5" l="1"/>
  <c r="G4010" i="5"/>
  <c r="O4012" i="5"/>
  <c r="K4011" i="5"/>
  <c r="G4011" i="5" l="1"/>
  <c r="C4010" i="5"/>
  <c r="K4012" i="5"/>
  <c r="O4013" i="5"/>
  <c r="C4011" i="5" l="1"/>
  <c r="G4012" i="5"/>
  <c r="O4014" i="5"/>
  <c r="K4013" i="5"/>
  <c r="G4013" i="5" l="1"/>
  <c r="C4012" i="5"/>
  <c r="K4014" i="5"/>
  <c r="O4015" i="5"/>
  <c r="G4014" i="5" l="1"/>
  <c r="C4013" i="5"/>
  <c r="O4016" i="5"/>
  <c r="K4015" i="5"/>
  <c r="C4014" i="5" l="1"/>
  <c r="G4015" i="5"/>
  <c r="O4017" i="5"/>
  <c r="K4016" i="5"/>
  <c r="C4015" i="5" l="1"/>
  <c r="G4016" i="5"/>
  <c r="K4017" i="5"/>
  <c r="O4018" i="5"/>
  <c r="G4017" i="5" l="1"/>
  <c r="C4016" i="5"/>
  <c r="K4018" i="5"/>
  <c r="O4019" i="5"/>
  <c r="G4018" i="5" l="1"/>
  <c r="C4017" i="5"/>
  <c r="O4020" i="5"/>
  <c r="K4019" i="5"/>
  <c r="G4019" i="5" l="1"/>
  <c r="C4018" i="5"/>
  <c r="K4020" i="5"/>
  <c r="O4021" i="5"/>
  <c r="G4020" i="5" l="1"/>
  <c r="C4019" i="5"/>
  <c r="O4022" i="5"/>
  <c r="K4021" i="5"/>
  <c r="G4021" i="5" l="1"/>
  <c r="C4020" i="5"/>
  <c r="K4022" i="5"/>
  <c r="O4023" i="5"/>
  <c r="C4021" i="5" l="1"/>
  <c r="G4022" i="5"/>
  <c r="O4024" i="5"/>
  <c r="K4023" i="5"/>
  <c r="G4023" i="5" l="1"/>
  <c r="C4022" i="5"/>
  <c r="O4025" i="5"/>
  <c r="K4024" i="5"/>
  <c r="C4023" i="5" l="1"/>
  <c r="G4024" i="5"/>
  <c r="O4026" i="5"/>
  <c r="K4025" i="5"/>
  <c r="C4024" i="5" l="1"/>
  <c r="G4025" i="5"/>
  <c r="K4026" i="5"/>
  <c r="O4027" i="5"/>
  <c r="G4026" i="5" l="1"/>
  <c r="C4025" i="5"/>
  <c r="O4028" i="5"/>
  <c r="K4027" i="5"/>
  <c r="G4027" i="5" l="1"/>
  <c r="C4026" i="5"/>
  <c r="K4028" i="5"/>
  <c r="O4029" i="5"/>
  <c r="C4027" i="5" l="1"/>
  <c r="G4028" i="5"/>
  <c r="O4030" i="5"/>
  <c r="K4029" i="5"/>
  <c r="C4028" i="5" l="1"/>
  <c r="G4029" i="5"/>
  <c r="K4030" i="5"/>
  <c r="O4031" i="5"/>
  <c r="G4030" i="5" l="1"/>
  <c r="C4029" i="5"/>
  <c r="O4032" i="5"/>
  <c r="K4031" i="5"/>
  <c r="C4030" i="5" l="1"/>
  <c r="G4031" i="5"/>
  <c r="O4033" i="5"/>
  <c r="K4032" i="5"/>
  <c r="G4032" i="5" l="1"/>
  <c r="C4031" i="5"/>
  <c r="K4033" i="5"/>
  <c r="O4034" i="5"/>
  <c r="C4032" i="5" l="1"/>
  <c r="G4033" i="5"/>
  <c r="K4034" i="5"/>
  <c r="O4035" i="5"/>
  <c r="C4033" i="5" l="1"/>
  <c r="G4034" i="5"/>
  <c r="O4036" i="5"/>
  <c r="K4035" i="5"/>
  <c r="G4035" i="5" l="1"/>
  <c r="C4034" i="5"/>
  <c r="O4037" i="5"/>
  <c r="K4036" i="5"/>
  <c r="C4035" i="5" l="1"/>
  <c r="G4036" i="5"/>
  <c r="O4038" i="5"/>
  <c r="K4037" i="5"/>
  <c r="C4036" i="5" l="1"/>
  <c r="G4037" i="5"/>
  <c r="K4038" i="5"/>
  <c r="O4039" i="5"/>
  <c r="G4038" i="5" l="1"/>
  <c r="C4037" i="5"/>
  <c r="O4040" i="5"/>
  <c r="K4039" i="5"/>
  <c r="C4038" i="5" l="1"/>
  <c r="G4039" i="5"/>
  <c r="O4041" i="5"/>
  <c r="K4040" i="5"/>
  <c r="C4039" i="5" l="1"/>
  <c r="G4040" i="5"/>
  <c r="K4041" i="5"/>
  <c r="O4042" i="5"/>
  <c r="C4040" i="5" l="1"/>
  <c r="G4041" i="5"/>
  <c r="K4042" i="5"/>
  <c r="O4043" i="5"/>
  <c r="G4042" i="5" l="1"/>
  <c r="C4041" i="5"/>
  <c r="O4044" i="5"/>
  <c r="K4043" i="5"/>
  <c r="C4042" i="5" l="1"/>
  <c r="G4043" i="5"/>
  <c r="K4044" i="5"/>
  <c r="O4045" i="5"/>
  <c r="G4044" i="5" l="1"/>
  <c r="C4043" i="5"/>
  <c r="O4046" i="5"/>
  <c r="K4045" i="5"/>
  <c r="C4044" i="5" l="1"/>
  <c r="G4045" i="5"/>
  <c r="K4046" i="5"/>
  <c r="O4047" i="5"/>
  <c r="G4046" i="5" l="1"/>
  <c r="C4045" i="5"/>
  <c r="O4048" i="5"/>
  <c r="K4047" i="5"/>
  <c r="C4046" i="5" l="1"/>
  <c r="G4047" i="5"/>
  <c r="O4049" i="5"/>
  <c r="K4048" i="5"/>
  <c r="C4047" i="5" l="1"/>
  <c r="G4048" i="5"/>
  <c r="K4049" i="5"/>
  <c r="O4050" i="5"/>
  <c r="C4048" i="5" l="1"/>
  <c r="G4049" i="5"/>
  <c r="K4050" i="5"/>
  <c r="O4051" i="5"/>
  <c r="G4050" i="5" l="1"/>
  <c r="C4049" i="5"/>
  <c r="O4052" i="5"/>
  <c r="K4051" i="5"/>
  <c r="G4051" i="5" l="1"/>
  <c r="C4050" i="5"/>
  <c r="K4052" i="5"/>
  <c r="O4053" i="5"/>
  <c r="C4051" i="5" l="1"/>
  <c r="G4052" i="5"/>
  <c r="O4054" i="5"/>
  <c r="K4053" i="5"/>
  <c r="G4053" i="5" l="1"/>
  <c r="C4052" i="5"/>
  <c r="K4054" i="5"/>
  <c r="O4055" i="5"/>
  <c r="C4053" i="5" l="1"/>
  <c r="G4054" i="5"/>
  <c r="O4056" i="5"/>
  <c r="K4055" i="5"/>
  <c r="C4054" i="5" l="1"/>
  <c r="G4055" i="5"/>
  <c r="O4057" i="5"/>
  <c r="K4056" i="5"/>
  <c r="C4055" i="5" l="1"/>
  <c r="G4056" i="5"/>
  <c r="O4058" i="5"/>
  <c r="K4057" i="5"/>
  <c r="C4056" i="5" l="1"/>
  <c r="G4057" i="5"/>
  <c r="K4058" i="5"/>
  <c r="O4059" i="5"/>
  <c r="G4058" i="5" l="1"/>
  <c r="C4057" i="5"/>
  <c r="O4060" i="5"/>
  <c r="K4059" i="5"/>
  <c r="C4058" i="5" l="1"/>
  <c r="G4059" i="5"/>
  <c r="K4060" i="5"/>
  <c r="O4061" i="5"/>
  <c r="G4060" i="5" l="1"/>
  <c r="C4059" i="5"/>
  <c r="O4062" i="5"/>
  <c r="K4061" i="5"/>
  <c r="G4061" i="5" l="1"/>
  <c r="C4060" i="5"/>
  <c r="K4062" i="5"/>
  <c r="O4063" i="5"/>
  <c r="G4062" i="5" l="1"/>
  <c r="C4061" i="5"/>
  <c r="O4064" i="5"/>
  <c r="K4063" i="5"/>
  <c r="C4062" i="5" l="1"/>
  <c r="G4063" i="5"/>
  <c r="O4065" i="5"/>
  <c r="K4064" i="5"/>
  <c r="G4064" i="5" l="1"/>
  <c r="C4063" i="5"/>
  <c r="K4065" i="5"/>
  <c r="O4066" i="5"/>
  <c r="C4064" i="5" l="1"/>
  <c r="G4065" i="5"/>
  <c r="K4066" i="5"/>
  <c r="O4067" i="5"/>
  <c r="C4065" i="5" l="1"/>
  <c r="G4066" i="5"/>
  <c r="O4068" i="5"/>
  <c r="K4067" i="5"/>
  <c r="C4066" i="5" l="1"/>
  <c r="G4067" i="5"/>
  <c r="O4069" i="5"/>
  <c r="K4068" i="5"/>
  <c r="G4068" i="5" l="1"/>
  <c r="C4067" i="5"/>
  <c r="O4070" i="5"/>
  <c r="K4069" i="5"/>
  <c r="C4068" i="5" l="1"/>
  <c r="G4069" i="5"/>
  <c r="K4070" i="5"/>
  <c r="O4071" i="5"/>
  <c r="G4070" i="5" l="1"/>
  <c r="C4069" i="5"/>
  <c r="O4072" i="5"/>
  <c r="K4071" i="5"/>
  <c r="G4071" i="5" l="1"/>
  <c r="C4070" i="5"/>
  <c r="O4073" i="5"/>
  <c r="K4072" i="5"/>
  <c r="C4071" i="5" l="1"/>
  <c r="G4072" i="5"/>
  <c r="K4073" i="5"/>
  <c r="O4074" i="5"/>
  <c r="C4072" i="5" l="1"/>
  <c r="G4073" i="5"/>
  <c r="K4074" i="5"/>
  <c r="O4075" i="5"/>
  <c r="C4073" i="5" l="1"/>
  <c r="G4074" i="5"/>
  <c r="O4076" i="5"/>
  <c r="K4075" i="5"/>
  <c r="C4074" i="5" l="1"/>
  <c r="G4075" i="5"/>
  <c r="K4076" i="5"/>
  <c r="O4077" i="5"/>
  <c r="G4076" i="5" l="1"/>
  <c r="C4075" i="5"/>
  <c r="O4078" i="5"/>
  <c r="K4077" i="5"/>
  <c r="C4076" i="5" l="1"/>
  <c r="G4077" i="5"/>
  <c r="K4078" i="5"/>
  <c r="O4079" i="5"/>
  <c r="G4078" i="5" l="1"/>
  <c r="C4077" i="5"/>
  <c r="O4080" i="5"/>
  <c r="K4079" i="5"/>
  <c r="G4079" i="5" l="1"/>
  <c r="C4078" i="5"/>
  <c r="O4081" i="5"/>
  <c r="K4080" i="5"/>
  <c r="C4079" i="5" l="1"/>
  <c r="G4080" i="5"/>
  <c r="K4081" i="5"/>
  <c r="O4082" i="5"/>
  <c r="C4080" i="5" l="1"/>
  <c r="G4081" i="5"/>
  <c r="K4082" i="5"/>
  <c r="O4083" i="5"/>
  <c r="G4082" i="5" l="1"/>
  <c r="C4081" i="5"/>
  <c r="O4084" i="5"/>
  <c r="K4083" i="5"/>
  <c r="G4083" i="5" l="1"/>
  <c r="C4082" i="5"/>
  <c r="K4084" i="5"/>
  <c r="O4085" i="5"/>
  <c r="C4083" i="5" l="1"/>
  <c r="G4084" i="5"/>
  <c r="O4086" i="5"/>
  <c r="K4085" i="5"/>
  <c r="G4085" i="5" l="1"/>
  <c r="C4084" i="5"/>
  <c r="K4086" i="5"/>
  <c r="O4087" i="5"/>
  <c r="G4086" i="5" l="1"/>
  <c r="C4085" i="5"/>
  <c r="O4088" i="5"/>
  <c r="K4087" i="5"/>
  <c r="G4087" i="5" l="1"/>
  <c r="C4086" i="5"/>
  <c r="O4089" i="5"/>
  <c r="K4088" i="5"/>
  <c r="G4088" i="5" l="1"/>
  <c r="C4087" i="5"/>
  <c r="O4090" i="5"/>
  <c r="K4089" i="5"/>
  <c r="C4088" i="5" l="1"/>
  <c r="G4089" i="5"/>
  <c r="K4090" i="5"/>
  <c r="O4091" i="5"/>
  <c r="G4090" i="5" l="1"/>
  <c r="C4089" i="5"/>
  <c r="O4092" i="5"/>
  <c r="K4091" i="5"/>
  <c r="C4090" i="5" l="1"/>
  <c r="G4091" i="5"/>
  <c r="K4092" i="5"/>
  <c r="O4093" i="5"/>
  <c r="G4092" i="5" l="1"/>
  <c r="C4091" i="5"/>
  <c r="O4094" i="5"/>
  <c r="K4093" i="5"/>
  <c r="C4092" i="5" l="1"/>
  <c r="G4093" i="5"/>
  <c r="K4094" i="5"/>
  <c r="O4095" i="5"/>
  <c r="G4094" i="5" l="1"/>
  <c r="C4093" i="5"/>
  <c r="O4096" i="5"/>
  <c r="K4095" i="5"/>
  <c r="G4095" i="5" l="1"/>
  <c r="C4094" i="5"/>
  <c r="O4097" i="5"/>
  <c r="K4096" i="5"/>
  <c r="C4095" i="5" l="1"/>
  <c r="G4096" i="5"/>
  <c r="K4097" i="5"/>
  <c r="O4098" i="5"/>
  <c r="C4096" i="5" l="1"/>
  <c r="G4097" i="5"/>
  <c r="K4098" i="5"/>
  <c r="O4099" i="5"/>
  <c r="C4097" i="5" l="1"/>
  <c r="G4098" i="5"/>
  <c r="O4100" i="5"/>
  <c r="K4099" i="5"/>
  <c r="C4098" i="5" l="1"/>
  <c r="G4099" i="5"/>
  <c r="O4101" i="5"/>
  <c r="K4100" i="5"/>
  <c r="G4100" i="5" l="1"/>
  <c r="C4099" i="5"/>
  <c r="O4102" i="5"/>
  <c r="K4101" i="5"/>
  <c r="G4101" i="5" l="1"/>
  <c r="C4100" i="5"/>
  <c r="K4102" i="5"/>
  <c r="O4103" i="5"/>
  <c r="C4101" i="5" l="1"/>
  <c r="G4102" i="5"/>
  <c r="O4104" i="5"/>
  <c r="K4103" i="5"/>
  <c r="C4102" i="5" l="1"/>
  <c r="G4103" i="5"/>
  <c r="O4105" i="5"/>
  <c r="K4104" i="5"/>
  <c r="G4104" i="5" l="1"/>
  <c r="C4103" i="5"/>
  <c r="K4105" i="5"/>
  <c r="O4106" i="5"/>
  <c r="C4104" i="5" l="1"/>
  <c r="G4105" i="5"/>
  <c r="K4106" i="5"/>
  <c r="O4107" i="5"/>
  <c r="G4106" i="5" l="1"/>
  <c r="C4105" i="5"/>
  <c r="O4108" i="5"/>
  <c r="K4107" i="5"/>
  <c r="C4106" i="5" l="1"/>
  <c r="G4107" i="5"/>
  <c r="K4108" i="5"/>
  <c r="O4109" i="5"/>
  <c r="G4108" i="5" l="1"/>
  <c r="C4107" i="5"/>
  <c r="O4110" i="5"/>
  <c r="K4109" i="5"/>
  <c r="G4109" i="5" l="1"/>
  <c r="C4108" i="5"/>
  <c r="K4110" i="5"/>
  <c r="O4111" i="5"/>
  <c r="G4110" i="5" l="1"/>
  <c r="C4109" i="5"/>
  <c r="O4112" i="5"/>
  <c r="K4111" i="5"/>
  <c r="G4111" i="5" l="1"/>
  <c r="C4110" i="5"/>
  <c r="O4113" i="5"/>
  <c r="K4112" i="5"/>
  <c r="C4111" i="5" l="1"/>
  <c r="G4112" i="5"/>
  <c r="K4113" i="5"/>
  <c r="O4114" i="5"/>
  <c r="C4112" i="5" l="1"/>
  <c r="G4113" i="5"/>
  <c r="K4114" i="5"/>
  <c r="O4115" i="5"/>
  <c r="G4114" i="5" l="1"/>
  <c r="C4113" i="5"/>
  <c r="O4116" i="5"/>
  <c r="K4115" i="5"/>
  <c r="G4115" i="5" l="1"/>
  <c r="C4114" i="5"/>
  <c r="K4116" i="5"/>
  <c r="O4117" i="5"/>
  <c r="C4115" i="5" l="1"/>
  <c r="G4116" i="5"/>
  <c r="O4118" i="5"/>
  <c r="K4117" i="5"/>
  <c r="G4117" i="5" l="1"/>
  <c r="C4116" i="5"/>
  <c r="K4118" i="5"/>
  <c r="O4119" i="5"/>
  <c r="C4117" i="5" l="1"/>
  <c r="G4118" i="5"/>
  <c r="O4120" i="5"/>
  <c r="K4119" i="5"/>
  <c r="C4118" i="5" l="1"/>
  <c r="G4119" i="5"/>
  <c r="O4121" i="5"/>
  <c r="K4120" i="5"/>
  <c r="C4119" i="5" l="1"/>
  <c r="G4120" i="5"/>
  <c r="O4122" i="5"/>
  <c r="K4121" i="5"/>
  <c r="G4121" i="5" l="1"/>
  <c r="C4120" i="5"/>
  <c r="K4122" i="5"/>
  <c r="O4123" i="5"/>
  <c r="C4121" i="5" l="1"/>
  <c r="G4122" i="5"/>
  <c r="O4124" i="5"/>
  <c r="K4123" i="5"/>
  <c r="G4123" i="5" l="1"/>
  <c r="C4122" i="5"/>
  <c r="K4124" i="5"/>
  <c r="O4125" i="5"/>
  <c r="C4123" i="5" l="1"/>
  <c r="G4124" i="5"/>
  <c r="O4126" i="5"/>
  <c r="K4125" i="5"/>
  <c r="G4125" i="5" l="1"/>
  <c r="C4124" i="5"/>
  <c r="K4126" i="5"/>
  <c r="O4127" i="5"/>
  <c r="C4125" i="5" l="1"/>
  <c r="G4126" i="5"/>
  <c r="O4128" i="5"/>
  <c r="K4127" i="5"/>
  <c r="C4126" i="5" l="1"/>
  <c r="G4127" i="5"/>
  <c r="O4129" i="5"/>
  <c r="K4128" i="5"/>
  <c r="G4128" i="5" l="1"/>
  <c r="C4127" i="5"/>
  <c r="K4129" i="5"/>
  <c r="O4130" i="5"/>
  <c r="C4128" i="5" l="1"/>
  <c r="G4129" i="5"/>
  <c r="K4130" i="5"/>
  <c r="O4131" i="5"/>
  <c r="C4129" i="5" l="1"/>
  <c r="G4130" i="5"/>
  <c r="O4132" i="5"/>
  <c r="K4131" i="5"/>
  <c r="C4130" i="5" l="1"/>
  <c r="G4131" i="5"/>
  <c r="O4133" i="5"/>
  <c r="K4132" i="5"/>
  <c r="C4131" i="5" l="1"/>
  <c r="G4132" i="5"/>
  <c r="O4134" i="5"/>
  <c r="K4133" i="5"/>
  <c r="G4133" i="5" l="1"/>
  <c r="C4132" i="5"/>
  <c r="K4134" i="5"/>
  <c r="O4135" i="5"/>
  <c r="G4134" i="5" l="1"/>
  <c r="C4133" i="5"/>
  <c r="O4136" i="5"/>
  <c r="K4135" i="5"/>
  <c r="C4134" i="5" l="1"/>
  <c r="G4135" i="5"/>
  <c r="O4137" i="5"/>
  <c r="K4136" i="5"/>
  <c r="C4135" i="5" l="1"/>
  <c r="G4136" i="5"/>
  <c r="K4137" i="5"/>
  <c r="O4138" i="5"/>
  <c r="C4136" i="5" l="1"/>
  <c r="G4137" i="5"/>
  <c r="K4138" i="5"/>
  <c r="O4139" i="5"/>
  <c r="G4138" i="5" l="1"/>
  <c r="C4137" i="5"/>
  <c r="O4140" i="5"/>
  <c r="K4139" i="5"/>
  <c r="C4138" i="5" l="1"/>
  <c r="G4139" i="5"/>
  <c r="K4140" i="5"/>
  <c r="O4141" i="5"/>
  <c r="C4139" i="5" l="1"/>
  <c r="G4140" i="5"/>
  <c r="O4142" i="5"/>
  <c r="K4141" i="5"/>
  <c r="G4141" i="5" l="1"/>
  <c r="C4140" i="5"/>
  <c r="K4142" i="5"/>
  <c r="O4143" i="5"/>
  <c r="G4142" i="5" l="1"/>
  <c r="C4141" i="5"/>
  <c r="O4144" i="5"/>
  <c r="K4143" i="5"/>
  <c r="G4143" i="5" l="1"/>
  <c r="C4142" i="5"/>
  <c r="O4145" i="5"/>
  <c r="K4144" i="5"/>
  <c r="C4143" i="5" l="1"/>
  <c r="G4144" i="5"/>
  <c r="K4145" i="5"/>
  <c r="O4146" i="5"/>
  <c r="G4145" i="5" l="1"/>
  <c r="C4144" i="5"/>
  <c r="K4146" i="5"/>
  <c r="O4147" i="5"/>
  <c r="G4146" i="5" l="1"/>
  <c r="C4145" i="5"/>
  <c r="O4148" i="5"/>
  <c r="K4147" i="5"/>
  <c r="G4147" i="5" l="1"/>
  <c r="C4146" i="5"/>
  <c r="K4148" i="5"/>
  <c r="O4149" i="5"/>
  <c r="C4147" i="5" l="1"/>
  <c r="G4148" i="5"/>
  <c r="O4150" i="5"/>
  <c r="K4149" i="5"/>
  <c r="G4149" i="5" l="1"/>
  <c r="C4148" i="5"/>
  <c r="K4150" i="5"/>
  <c r="O4151" i="5"/>
  <c r="G4150" i="5" l="1"/>
  <c r="C4149" i="5"/>
  <c r="O4152" i="5"/>
  <c r="K4151" i="5"/>
  <c r="C4150" i="5" l="1"/>
  <c r="G4151" i="5"/>
  <c r="O4153" i="5"/>
  <c r="K4152" i="5"/>
  <c r="G4152" i="5" l="1"/>
  <c r="C4151" i="5"/>
  <c r="O4154" i="5"/>
  <c r="K4153" i="5"/>
  <c r="C4152" i="5" l="1"/>
  <c r="G4153" i="5"/>
  <c r="K4154" i="5"/>
  <c r="O4155" i="5"/>
  <c r="G4154" i="5" l="1"/>
  <c r="C4153" i="5"/>
  <c r="O4156" i="5"/>
  <c r="K4155" i="5"/>
  <c r="G4155" i="5" l="1"/>
  <c r="C4154" i="5"/>
  <c r="K4156" i="5"/>
  <c r="O4157" i="5"/>
  <c r="G4156" i="5" l="1"/>
  <c r="C4155" i="5"/>
  <c r="O4158" i="5"/>
  <c r="K4157" i="5"/>
  <c r="C4156" i="5" l="1"/>
  <c r="G4157" i="5"/>
  <c r="K4158" i="5"/>
  <c r="O4159" i="5"/>
  <c r="G4158" i="5" l="1"/>
  <c r="C4157" i="5"/>
  <c r="O4160" i="5"/>
  <c r="K4159" i="5"/>
  <c r="C4158" i="5" l="1"/>
  <c r="G4159" i="5"/>
  <c r="O4161" i="5"/>
  <c r="K4160" i="5"/>
  <c r="G4160" i="5" l="1"/>
  <c r="C4159" i="5"/>
  <c r="K4161" i="5"/>
  <c r="O4162" i="5"/>
  <c r="C4160" i="5" l="1"/>
  <c r="G4161" i="5"/>
  <c r="K4162" i="5"/>
  <c r="O4163" i="5"/>
  <c r="C4161" i="5" l="1"/>
  <c r="G4162" i="5"/>
  <c r="O4164" i="5"/>
  <c r="K4163" i="5"/>
  <c r="C4162" i="5" l="1"/>
  <c r="G4163" i="5"/>
  <c r="O4165" i="5"/>
  <c r="K4164" i="5"/>
  <c r="C4163" i="5" l="1"/>
  <c r="G4164" i="5"/>
  <c r="O4166" i="5"/>
  <c r="K4165" i="5"/>
  <c r="G4165" i="5" l="1"/>
  <c r="C4164" i="5"/>
  <c r="K4166" i="5"/>
  <c r="O4167" i="5"/>
  <c r="C4165" i="5" l="1"/>
  <c r="G4166" i="5"/>
  <c r="O4168" i="5"/>
  <c r="K4167" i="5"/>
  <c r="C4166" i="5" l="1"/>
  <c r="G4167" i="5"/>
  <c r="O4169" i="5"/>
  <c r="K4168" i="5"/>
  <c r="C4167" i="5" l="1"/>
  <c r="G4168" i="5"/>
  <c r="K4169" i="5"/>
  <c r="O4170" i="5"/>
  <c r="G4169" i="5" l="1"/>
  <c r="C4168" i="5"/>
  <c r="K4170" i="5"/>
  <c r="O4171" i="5"/>
  <c r="G4170" i="5" l="1"/>
  <c r="C4169" i="5"/>
  <c r="O4172" i="5"/>
  <c r="K4171" i="5"/>
  <c r="C4170" i="5" l="1"/>
  <c r="G4171" i="5"/>
  <c r="K4172" i="5"/>
  <c r="O4173" i="5"/>
  <c r="G4172" i="5" l="1"/>
  <c r="C4171" i="5"/>
  <c r="O4174" i="5"/>
  <c r="K4173" i="5"/>
  <c r="C4172" i="5" l="1"/>
  <c r="G4173" i="5"/>
  <c r="K4174" i="5"/>
  <c r="O4175" i="5"/>
  <c r="G4174" i="5" l="1"/>
  <c r="C4173" i="5"/>
  <c r="O4176" i="5"/>
  <c r="K4175" i="5"/>
  <c r="C4174" i="5" l="1"/>
  <c r="G4175" i="5"/>
  <c r="O4177" i="5"/>
  <c r="K4176" i="5"/>
  <c r="C4175" i="5" l="1"/>
  <c r="G4176" i="5"/>
  <c r="K4177" i="5"/>
  <c r="O4178" i="5"/>
  <c r="G4177" i="5" l="1"/>
  <c r="C4176" i="5"/>
  <c r="K4178" i="5"/>
  <c r="O4179" i="5"/>
  <c r="G4178" i="5" l="1"/>
  <c r="C4177" i="5"/>
  <c r="O4180" i="5"/>
  <c r="K4179" i="5"/>
  <c r="G4179" i="5" l="1"/>
  <c r="C4178" i="5"/>
  <c r="K4180" i="5"/>
  <c r="O4181" i="5"/>
  <c r="C4179" i="5" l="1"/>
  <c r="G4180" i="5"/>
  <c r="O4182" i="5"/>
  <c r="K4181" i="5"/>
  <c r="G4181" i="5" l="1"/>
  <c r="C4180" i="5"/>
  <c r="K4182" i="5"/>
  <c r="O4183" i="5"/>
  <c r="G4182" i="5" l="1"/>
  <c r="C4181" i="5"/>
  <c r="O4184" i="5"/>
  <c r="K4183" i="5"/>
  <c r="C4182" i="5" l="1"/>
  <c r="G4183" i="5"/>
  <c r="O4185" i="5"/>
  <c r="K4184" i="5"/>
  <c r="G4184" i="5" l="1"/>
  <c r="C4183" i="5"/>
  <c r="O4186" i="5"/>
  <c r="K4185" i="5"/>
  <c r="C4184" i="5" l="1"/>
  <c r="G4185" i="5"/>
  <c r="K4186" i="5"/>
  <c r="O4187" i="5"/>
  <c r="G4186" i="5" l="1"/>
  <c r="C4185" i="5"/>
  <c r="O4188" i="5"/>
  <c r="K4187" i="5"/>
  <c r="G4187" i="5" l="1"/>
  <c r="C4186" i="5"/>
  <c r="K4188" i="5"/>
  <c r="O4189" i="5"/>
  <c r="G4188" i="5" l="1"/>
  <c r="C4187" i="5"/>
  <c r="O4190" i="5"/>
  <c r="K4189" i="5"/>
  <c r="C4188" i="5" l="1"/>
  <c r="G4189" i="5"/>
  <c r="K4190" i="5"/>
  <c r="O4191" i="5"/>
  <c r="G4190" i="5" l="1"/>
  <c r="C4189" i="5"/>
  <c r="O4192" i="5"/>
  <c r="K4191" i="5"/>
  <c r="C4190" i="5" l="1"/>
  <c r="G4191" i="5"/>
  <c r="O4193" i="5"/>
  <c r="K4192" i="5"/>
  <c r="G4192" i="5" l="1"/>
  <c r="C4191" i="5"/>
  <c r="K4193" i="5"/>
  <c r="O4194" i="5"/>
  <c r="G4193" i="5" l="1"/>
  <c r="C4192" i="5"/>
  <c r="K4194" i="5"/>
  <c r="O4195" i="5"/>
  <c r="G4194" i="5" l="1"/>
  <c r="C4193" i="5"/>
  <c r="O4196" i="5"/>
  <c r="K4195" i="5"/>
  <c r="C4194" i="5" l="1"/>
  <c r="G4195" i="5"/>
  <c r="O4197" i="5"/>
  <c r="K4196" i="5"/>
  <c r="G4196" i="5" l="1"/>
  <c r="C4195" i="5"/>
  <c r="O4198" i="5"/>
  <c r="K4197" i="5"/>
  <c r="G4197" i="5" l="1"/>
  <c r="C4196" i="5"/>
  <c r="K4198" i="5"/>
  <c r="O4199" i="5"/>
  <c r="G4198" i="5" l="1"/>
  <c r="C4197" i="5"/>
  <c r="O4200" i="5"/>
  <c r="K4199" i="5"/>
  <c r="G4199" i="5" l="1"/>
  <c r="C4198" i="5"/>
  <c r="O4201" i="5"/>
  <c r="K4200" i="5"/>
  <c r="C4199" i="5" l="1"/>
  <c r="G4200" i="5"/>
  <c r="K4201" i="5"/>
  <c r="O4202" i="5"/>
  <c r="G4201" i="5" l="1"/>
  <c r="C4200" i="5"/>
  <c r="K4202" i="5"/>
  <c r="O4203" i="5"/>
  <c r="C4201" i="5" l="1"/>
  <c r="G4202" i="5"/>
  <c r="O4204" i="5"/>
  <c r="K4203" i="5"/>
  <c r="C4202" i="5" l="1"/>
  <c r="G4203" i="5"/>
  <c r="K4204" i="5"/>
  <c r="O4205" i="5"/>
  <c r="C4203" i="5" l="1"/>
  <c r="G4204" i="5"/>
  <c r="O4206" i="5"/>
  <c r="K4205" i="5"/>
  <c r="G4205" i="5" l="1"/>
  <c r="C4204" i="5"/>
  <c r="K4206" i="5"/>
  <c r="O4207" i="5"/>
  <c r="G4206" i="5" l="1"/>
  <c r="C4205" i="5"/>
  <c r="O4208" i="5"/>
  <c r="K4207" i="5"/>
  <c r="C4206" i="5" l="1"/>
  <c r="G4207" i="5"/>
  <c r="O4209" i="5"/>
  <c r="K4208" i="5"/>
  <c r="G4208" i="5" l="1"/>
  <c r="C4207" i="5"/>
  <c r="K4209" i="5"/>
  <c r="O4210" i="5"/>
  <c r="C4208" i="5" l="1"/>
  <c r="G4209" i="5"/>
  <c r="K4210" i="5"/>
  <c r="O4211" i="5"/>
  <c r="C4209" i="5" l="1"/>
  <c r="G4210" i="5"/>
  <c r="O4212" i="5"/>
  <c r="K4211" i="5"/>
  <c r="C4210" i="5" l="1"/>
  <c r="G4211" i="5"/>
  <c r="K4212" i="5"/>
  <c r="O4213" i="5"/>
  <c r="C4211" i="5" l="1"/>
  <c r="G4212" i="5"/>
  <c r="O4214" i="5"/>
  <c r="K4213" i="5"/>
  <c r="C4212" i="5" l="1"/>
  <c r="G4213" i="5"/>
  <c r="K4214" i="5"/>
  <c r="O4215" i="5"/>
  <c r="G4214" i="5" l="1"/>
  <c r="C4213" i="5"/>
  <c r="O4216" i="5"/>
  <c r="K4215" i="5"/>
  <c r="G4215" i="5" l="1"/>
  <c r="C4214" i="5"/>
  <c r="O4217" i="5"/>
  <c r="K4216" i="5"/>
  <c r="G4216" i="5" l="1"/>
  <c r="C4215" i="5"/>
  <c r="O4218" i="5"/>
  <c r="K4217" i="5"/>
  <c r="G4217" i="5" l="1"/>
  <c r="C4216" i="5"/>
  <c r="K4218" i="5"/>
  <c r="O4219" i="5"/>
  <c r="C4217" i="5" l="1"/>
  <c r="G4218" i="5"/>
  <c r="O4220" i="5"/>
  <c r="K4219" i="5"/>
  <c r="G4219" i="5" l="1"/>
  <c r="C4218" i="5"/>
  <c r="K4220" i="5"/>
  <c r="O4221" i="5"/>
  <c r="C4219" i="5" l="1"/>
  <c r="G4220" i="5"/>
  <c r="O4222" i="5"/>
  <c r="K4221" i="5"/>
  <c r="G4221" i="5" l="1"/>
  <c r="C4220" i="5"/>
  <c r="K4222" i="5"/>
  <c r="O4223" i="5"/>
  <c r="C4221" i="5" l="1"/>
  <c r="G4222" i="5"/>
  <c r="O4224" i="5"/>
  <c r="K4223" i="5"/>
  <c r="C4222" i="5" l="1"/>
  <c r="G4223" i="5"/>
  <c r="O4225" i="5"/>
  <c r="K4224" i="5"/>
  <c r="C4223" i="5" l="1"/>
  <c r="G4224" i="5"/>
  <c r="K4225" i="5"/>
  <c r="O4226" i="5"/>
  <c r="G4225" i="5" l="1"/>
  <c r="C4224" i="5"/>
  <c r="K4226" i="5"/>
  <c r="O4227" i="5"/>
  <c r="G4226" i="5" l="1"/>
  <c r="C4225" i="5"/>
  <c r="O4228" i="5"/>
  <c r="K4227" i="5"/>
  <c r="G4227" i="5" l="1"/>
  <c r="C4226" i="5"/>
  <c r="O4229" i="5"/>
  <c r="K4228" i="5"/>
  <c r="C4227" i="5" l="1"/>
  <c r="G4228" i="5"/>
  <c r="O4230" i="5"/>
  <c r="K4229" i="5"/>
  <c r="C4228" i="5" l="1"/>
  <c r="G4229" i="5"/>
  <c r="K4230" i="5"/>
  <c r="O4231" i="5"/>
  <c r="G4230" i="5" l="1"/>
  <c r="C4229" i="5"/>
  <c r="O4232" i="5"/>
  <c r="K4231" i="5"/>
  <c r="C4230" i="5" l="1"/>
  <c r="G4231" i="5"/>
  <c r="O4233" i="5"/>
  <c r="K4232" i="5"/>
  <c r="C4231" i="5" l="1"/>
  <c r="G4232" i="5"/>
  <c r="K4233" i="5"/>
  <c r="O4234" i="5"/>
  <c r="G4233" i="5" l="1"/>
  <c r="C4232" i="5"/>
  <c r="K4234" i="5"/>
  <c r="O4235" i="5"/>
  <c r="G4234" i="5" l="1"/>
  <c r="C4233" i="5"/>
  <c r="O4236" i="5"/>
  <c r="K4235" i="5"/>
  <c r="C4234" i="5" l="1"/>
  <c r="G4235" i="5"/>
  <c r="K4236" i="5"/>
  <c r="O4237" i="5"/>
  <c r="G4236" i="5" l="1"/>
  <c r="C4235" i="5"/>
  <c r="O4238" i="5"/>
  <c r="K4237" i="5"/>
  <c r="G4237" i="5" l="1"/>
  <c r="C4236" i="5"/>
  <c r="K4238" i="5"/>
  <c r="O4239" i="5"/>
  <c r="C4237" i="5" l="1"/>
  <c r="G4238" i="5"/>
  <c r="O4240" i="5"/>
  <c r="K4239" i="5"/>
  <c r="C4238" i="5" l="1"/>
  <c r="G4239" i="5"/>
  <c r="O4241" i="5"/>
  <c r="K4240" i="5"/>
  <c r="C4239" i="5" l="1"/>
  <c r="G4240" i="5"/>
  <c r="K4241" i="5"/>
  <c r="O4242" i="5"/>
  <c r="G4241" i="5" l="1"/>
  <c r="C4240" i="5"/>
  <c r="K4242" i="5"/>
  <c r="O4243" i="5"/>
  <c r="G4242" i="5" l="1"/>
  <c r="C4241" i="5"/>
  <c r="O4244" i="5"/>
  <c r="K4243" i="5"/>
  <c r="G4243" i="5" l="1"/>
  <c r="C4242" i="5"/>
  <c r="K4244" i="5"/>
  <c r="O4245" i="5"/>
  <c r="C4243" i="5" l="1"/>
  <c r="G4244" i="5"/>
  <c r="O4246" i="5"/>
  <c r="K4245" i="5"/>
  <c r="C4244" i="5" l="1"/>
  <c r="G4245" i="5"/>
  <c r="K4246" i="5"/>
  <c r="O4247" i="5"/>
  <c r="G4246" i="5" l="1"/>
  <c r="C4245" i="5"/>
  <c r="O4248" i="5"/>
  <c r="K4247" i="5"/>
  <c r="G4247" i="5" l="1"/>
  <c r="C4246" i="5"/>
  <c r="O4249" i="5"/>
  <c r="K4248" i="5"/>
  <c r="G4248" i="5" l="1"/>
  <c r="C4247" i="5"/>
  <c r="O4250" i="5"/>
  <c r="K4249" i="5"/>
  <c r="G4249" i="5" l="1"/>
  <c r="C4248" i="5"/>
  <c r="K4250" i="5"/>
  <c r="O4251" i="5"/>
  <c r="C4249" i="5" l="1"/>
  <c r="G4250" i="5"/>
  <c r="O4252" i="5"/>
  <c r="K4251" i="5"/>
  <c r="C4250" i="5" l="1"/>
  <c r="G4251" i="5"/>
  <c r="K4252" i="5"/>
  <c r="O4253" i="5"/>
  <c r="C4251" i="5" l="1"/>
  <c r="G4252" i="5"/>
  <c r="O4254" i="5"/>
  <c r="K4253" i="5"/>
  <c r="C4252" i="5" l="1"/>
  <c r="G4253" i="5"/>
  <c r="K4254" i="5"/>
  <c r="O4255" i="5"/>
  <c r="G4254" i="5" l="1"/>
  <c r="C4253" i="5"/>
  <c r="O4256" i="5"/>
  <c r="K4255" i="5"/>
  <c r="G4255" i="5" l="1"/>
  <c r="C4254" i="5"/>
  <c r="O4257" i="5"/>
  <c r="K4256" i="5"/>
  <c r="C4255" i="5" l="1"/>
  <c r="G4256" i="5"/>
  <c r="K4257" i="5"/>
  <c r="O4258" i="5"/>
  <c r="G4257" i="5" l="1"/>
  <c r="C4256" i="5"/>
  <c r="K4258" i="5"/>
  <c r="O4259" i="5"/>
  <c r="G4258" i="5" l="1"/>
  <c r="C4257" i="5"/>
  <c r="O4260" i="5"/>
  <c r="K4259" i="5"/>
  <c r="G4259" i="5" l="1"/>
  <c r="C4258" i="5"/>
  <c r="O4261" i="5"/>
  <c r="K4260" i="5"/>
  <c r="G4260" i="5" l="1"/>
  <c r="C4259" i="5"/>
  <c r="O4262" i="5"/>
  <c r="K4261" i="5"/>
  <c r="G4261" i="5" l="1"/>
  <c r="C4260" i="5"/>
  <c r="K4262" i="5"/>
  <c r="O4263" i="5"/>
  <c r="G4262" i="5" l="1"/>
  <c r="C4261" i="5"/>
  <c r="O4264" i="5"/>
  <c r="K4263" i="5"/>
  <c r="C4262" i="5" l="1"/>
  <c r="G4263" i="5"/>
  <c r="O4265" i="5"/>
  <c r="K4264" i="5"/>
  <c r="C4263" i="5" l="1"/>
  <c r="G4264" i="5"/>
  <c r="K4265" i="5"/>
  <c r="O4266" i="5"/>
  <c r="G4265" i="5" l="1"/>
  <c r="C4264" i="5"/>
  <c r="K4266" i="5"/>
  <c r="O4267" i="5"/>
  <c r="G4266" i="5" l="1"/>
  <c r="C4265" i="5"/>
  <c r="O4268" i="5"/>
  <c r="K4267" i="5"/>
  <c r="C4266" i="5" l="1"/>
  <c r="G4267" i="5"/>
  <c r="K4268" i="5"/>
  <c r="O4269" i="5"/>
  <c r="G4268" i="5" l="1"/>
  <c r="C4267" i="5"/>
  <c r="O4270" i="5"/>
  <c r="K4269" i="5"/>
  <c r="G4269" i="5" l="1"/>
  <c r="C4268" i="5"/>
  <c r="K4270" i="5"/>
  <c r="O4271" i="5"/>
  <c r="G4270" i="5" l="1"/>
  <c r="C4269" i="5"/>
  <c r="O4272" i="5"/>
  <c r="K4271" i="5"/>
  <c r="G4271" i="5" l="1"/>
  <c r="C4270" i="5"/>
  <c r="O4273" i="5"/>
  <c r="K4272" i="5"/>
  <c r="C4271" i="5" l="1"/>
  <c r="G4272" i="5"/>
  <c r="K4273" i="5"/>
  <c r="O4274" i="5"/>
  <c r="G4273" i="5" l="1"/>
  <c r="C4272" i="5"/>
  <c r="K4274" i="5"/>
  <c r="O4275" i="5"/>
  <c r="G4274" i="5" l="1"/>
  <c r="C4273" i="5"/>
  <c r="O4276" i="5"/>
  <c r="K4275" i="5"/>
  <c r="G4275" i="5" l="1"/>
  <c r="C4274" i="5"/>
  <c r="K4276" i="5"/>
  <c r="O4277" i="5"/>
  <c r="C4275" i="5" l="1"/>
  <c r="G4276" i="5"/>
  <c r="O4278" i="5"/>
  <c r="K4277" i="5"/>
  <c r="G4277" i="5" l="1"/>
  <c r="C4276" i="5"/>
  <c r="K4278" i="5"/>
  <c r="O4279" i="5"/>
  <c r="G4278" i="5" l="1"/>
  <c r="C4277" i="5"/>
  <c r="O4280" i="5"/>
  <c r="K4279" i="5"/>
  <c r="G4279" i="5" l="1"/>
  <c r="C4278" i="5"/>
  <c r="O4281" i="5"/>
  <c r="K4280" i="5"/>
  <c r="G4280" i="5" l="1"/>
  <c r="C4279" i="5"/>
  <c r="O4282" i="5"/>
  <c r="K4281" i="5"/>
  <c r="C4280" i="5" l="1"/>
  <c r="G4281" i="5"/>
  <c r="K4282" i="5"/>
  <c r="O4283" i="5"/>
  <c r="G4282" i="5" l="1"/>
  <c r="C4281" i="5"/>
  <c r="O4284" i="5"/>
  <c r="K4283" i="5"/>
  <c r="G4283" i="5" l="1"/>
  <c r="C4282" i="5"/>
  <c r="K4284" i="5"/>
  <c r="O4285" i="5"/>
  <c r="G4284" i="5" l="1"/>
  <c r="C4283" i="5"/>
  <c r="O4286" i="5"/>
  <c r="K4285" i="5"/>
  <c r="G4285" i="5" l="1"/>
  <c r="C4284" i="5"/>
  <c r="K4286" i="5"/>
  <c r="O4287" i="5"/>
  <c r="C4285" i="5" l="1"/>
  <c r="G4286" i="5"/>
  <c r="O4288" i="5"/>
  <c r="K4287" i="5"/>
  <c r="G4287" i="5" l="1"/>
  <c r="C4286" i="5"/>
  <c r="O4289" i="5"/>
  <c r="K4288" i="5"/>
  <c r="G4288" i="5" l="1"/>
  <c r="C4287" i="5"/>
  <c r="K4289" i="5"/>
  <c r="O4290" i="5"/>
  <c r="G4289" i="5" l="1"/>
  <c r="C4288" i="5"/>
  <c r="K4290" i="5"/>
  <c r="O4291" i="5"/>
  <c r="C4289" i="5" l="1"/>
  <c r="G4290" i="5"/>
  <c r="O4292" i="5"/>
  <c r="K4291" i="5"/>
  <c r="C4290" i="5" l="1"/>
  <c r="G4291" i="5"/>
  <c r="O4293" i="5"/>
  <c r="K4292" i="5"/>
  <c r="C4291" i="5" l="1"/>
  <c r="G4292" i="5"/>
  <c r="O4294" i="5"/>
  <c r="K4293" i="5"/>
  <c r="C4292" i="5" l="1"/>
  <c r="G4293" i="5"/>
  <c r="K4294" i="5"/>
  <c r="O4295" i="5"/>
  <c r="C4293" i="5" l="1"/>
  <c r="G4294" i="5"/>
  <c r="O4296" i="5"/>
  <c r="K4295" i="5"/>
  <c r="C4294" i="5" l="1"/>
  <c r="G4295" i="5"/>
  <c r="O4297" i="5"/>
  <c r="K4296" i="5"/>
  <c r="C4295" i="5" l="1"/>
  <c r="G4296" i="5"/>
  <c r="K4297" i="5"/>
  <c r="O4298" i="5"/>
  <c r="C4296" i="5" l="1"/>
  <c r="G4297" i="5"/>
  <c r="K4298" i="5"/>
  <c r="O4299" i="5"/>
  <c r="G4298" i="5" l="1"/>
  <c r="C4297" i="5"/>
  <c r="O4300" i="5"/>
  <c r="K4299" i="5"/>
  <c r="C4298" i="5" l="1"/>
  <c r="G4299" i="5"/>
  <c r="K4300" i="5"/>
  <c r="O4301" i="5"/>
  <c r="C4299" i="5" l="1"/>
  <c r="G4300" i="5"/>
  <c r="O4302" i="5"/>
  <c r="K4301" i="5"/>
  <c r="C4300" i="5" l="1"/>
  <c r="G4301" i="5"/>
  <c r="K4302" i="5"/>
  <c r="O4303" i="5"/>
  <c r="G4302" i="5" l="1"/>
  <c r="C4301" i="5"/>
  <c r="O4304" i="5"/>
  <c r="K4303" i="5"/>
  <c r="G4303" i="5" l="1"/>
  <c r="C4302" i="5"/>
  <c r="O4305" i="5"/>
  <c r="K4304" i="5"/>
  <c r="C4303" i="5" l="1"/>
  <c r="G4304" i="5"/>
  <c r="K4305" i="5"/>
  <c r="O4306" i="5"/>
  <c r="G4305" i="5" l="1"/>
  <c r="C4304" i="5"/>
  <c r="K4306" i="5"/>
  <c r="O4307" i="5"/>
  <c r="G4306" i="5" l="1"/>
  <c r="C4305" i="5"/>
  <c r="O4308" i="5"/>
  <c r="K4307" i="5"/>
  <c r="G4307" i="5" l="1"/>
  <c r="C4306" i="5"/>
  <c r="K4308" i="5"/>
  <c r="O4309" i="5"/>
  <c r="G4308" i="5" l="1"/>
  <c r="C4307" i="5"/>
  <c r="O4310" i="5"/>
  <c r="K4309" i="5"/>
  <c r="G4309" i="5" l="1"/>
  <c r="C4308" i="5"/>
  <c r="K4310" i="5"/>
  <c r="O4311" i="5"/>
  <c r="C4309" i="5" l="1"/>
  <c r="G4310" i="5"/>
  <c r="O4312" i="5"/>
  <c r="K4311" i="5"/>
  <c r="C4310" i="5" l="1"/>
  <c r="G4311" i="5"/>
  <c r="O4313" i="5"/>
  <c r="K4312" i="5"/>
  <c r="G4312" i="5" l="1"/>
  <c r="C4311" i="5"/>
  <c r="O4314" i="5"/>
  <c r="K4313" i="5"/>
  <c r="C4312" i="5" l="1"/>
  <c r="G4313" i="5"/>
  <c r="K4314" i="5"/>
  <c r="O4315" i="5"/>
  <c r="G4314" i="5" l="1"/>
  <c r="C4313" i="5"/>
  <c r="O4316" i="5"/>
  <c r="K4315" i="5"/>
  <c r="G4315" i="5" l="1"/>
  <c r="C4314" i="5"/>
  <c r="K4316" i="5"/>
  <c r="O4317" i="5"/>
  <c r="C4315" i="5" l="1"/>
  <c r="G4316" i="5"/>
  <c r="O4318" i="5"/>
  <c r="K4317" i="5"/>
  <c r="G4317" i="5" l="1"/>
  <c r="C4316" i="5"/>
  <c r="K4318" i="5"/>
  <c r="O4319" i="5"/>
  <c r="C4317" i="5" l="1"/>
  <c r="G4318" i="5"/>
  <c r="O4320" i="5"/>
  <c r="K4319" i="5"/>
  <c r="G4319" i="5" l="1"/>
  <c r="C4318" i="5"/>
  <c r="O4321" i="5"/>
  <c r="K4320" i="5"/>
  <c r="C4319" i="5" l="1"/>
  <c r="G4320" i="5"/>
  <c r="K4321" i="5"/>
  <c r="O4322" i="5"/>
  <c r="G4321" i="5" l="1"/>
  <c r="C4320" i="5"/>
  <c r="K4322" i="5"/>
  <c r="O4323" i="5"/>
  <c r="C4321" i="5" l="1"/>
  <c r="G4322" i="5"/>
  <c r="O4324" i="5"/>
  <c r="K4323" i="5"/>
  <c r="C4322" i="5" l="1"/>
  <c r="G4323" i="5"/>
  <c r="O4325" i="5"/>
  <c r="K4324" i="5"/>
  <c r="G4324" i="5" l="1"/>
  <c r="C4323" i="5"/>
  <c r="O4326" i="5"/>
  <c r="K4325" i="5"/>
  <c r="G4325" i="5" l="1"/>
  <c r="C4324" i="5"/>
  <c r="K4326" i="5"/>
  <c r="O4327" i="5"/>
  <c r="G4326" i="5" l="1"/>
  <c r="C4325" i="5"/>
  <c r="O4328" i="5"/>
  <c r="K4327" i="5"/>
  <c r="G4327" i="5" l="1"/>
  <c r="C4326" i="5"/>
  <c r="O4329" i="5"/>
  <c r="K4328" i="5"/>
  <c r="C4327" i="5" l="1"/>
  <c r="G4328" i="5"/>
  <c r="K4329" i="5"/>
  <c r="O4330" i="5"/>
  <c r="G4329" i="5" l="1"/>
  <c r="C4328" i="5"/>
  <c r="K4330" i="5"/>
  <c r="O4331" i="5"/>
  <c r="C4329" i="5" l="1"/>
  <c r="G4330" i="5"/>
  <c r="O4332" i="5"/>
  <c r="K4331" i="5"/>
  <c r="C4330" i="5" l="1"/>
  <c r="G4331" i="5"/>
  <c r="K4332" i="5"/>
  <c r="O4333" i="5"/>
  <c r="G4332" i="5" l="1"/>
  <c r="C4331" i="5"/>
  <c r="O4334" i="5"/>
  <c r="K4333" i="5"/>
  <c r="G4333" i="5" l="1"/>
  <c r="C4332" i="5"/>
  <c r="K4334" i="5"/>
  <c r="O4335" i="5"/>
  <c r="G4334" i="5" l="1"/>
  <c r="C4333" i="5"/>
  <c r="O4336" i="5"/>
  <c r="K4335" i="5"/>
  <c r="C4334" i="5" l="1"/>
  <c r="G4335" i="5"/>
  <c r="O4337" i="5"/>
  <c r="K4336" i="5"/>
  <c r="C4335" i="5" l="1"/>
  <c r="G4336" i="5"/>
  <c r="K4337" i="5"/>
  <c r="O4338" i="5"/>
  <c r="C4336" i="5" l="1"/>
  <c r="G4337" i="5"/>
  <c r="K4338" i="5"/>
  <c r="O4339" i="5"/>
  <c r="G4338" i="5" l="1"/>
  <c r="C4337" i="5"/>
  <c r="O4340" i="5"/>
  <c r="K4339" i="5"/>
  <c r="G4339" i="5" l="1"/>
  <c r="C4338" i="5"/>
  <c r="K4340" i="5"/>
  <c r="O4341" i="5"/>
  <c r="C4339" i="5" l="1"/>
  <c r="G4340" i="5"/>
  <c r="O4342" i="5"/>
  <c r="K4341" i="5"/>
  <c r="G4341" i="5" l="1"/>
  <c r="C4340" i="5"/>
  <c r="K4342" i="5"/>
  <c r="O4343" i="5"/>
  <c r="G4342" i="5" l="1"/>
  <c r="C4341" i="5"/>
  <c r="O4344" i="5"/>
  <c r="K4343" i="5"/>
  <c r="G4343" i="5" l="1"/>
  <c r="C4342" i="5"/>
  <c r="O4345" i="5"/>
  <c r="K4344" i="5"/>
  <c r="G4344" i="5" l="1"/>
  <c r="C4343" i="5"/>
  <c r="O4346" i="5"/>
  <c r="K4345" i="5"/>
  <c r="C4344" i="5" l="1"/>
  <c r="G4345" i="5"/>
  <c r="K4346" i="5"/>
  <c r="O4347" i="5"/>
  <c r="G4346" i="5" l="1"/>
  <c r="C4345" i="5"/>
  <c r="O4348" i="5"/>
  <c r="K4347" i="5"/>
  <c r="C4346" i="5" l="1"/>
  <c r="G4347" i="5"/>
  <c r="K4348" i="5"/>
  <c r="O4349" i="5"/>
  <c r="G4348" i="5" l="1"/>
  <c r="C4347" i="5"/>
  <c r="O4350" i="5"/>
  <c r="K4349" i="5"/>
  <c r="C4348" i="5" l="1"/>
  <c r="G4349" i="5"/>
  <c r="K4350" i="5"/>
  <c r="O4351" i="5"/>
  <c r="G4350" i="5" l="1"/>
  <c r="C4349" i="5"/>
  <c r="O4352" i="5"/>
  <c r="K4351" i="5"/>
  <c r="G4351" i="5" l="1"/>
  <c r="C4350" i="5"/>
  <c r="O4353" i="5"/>
  <c r="K4352" i="5"/>
  <c r="G4352" i="5" l="1"/>
  <c r="C4351" i="5"/>
  <c r="K4353" i="5"/>
  <c r="O4354" i="5"/>
  <c r="G4353" i="5" l="1"/>
  <c r="C4352" i="5"/>
  <c r="K4354" i="5"/>
  <c r="O4355" i="5"/>
  <c r="C4353" i="5" l="1"/>
  <c r="G4354" i="5"/>
  <c r="O4356" i="5"/>
  <c r="K4355" i="5"/>
  <c r="G4355" i="5" l="1"/>
  <c r="C4354" i="5"/>
  <c r="O4357" i="5"/>
  <c r="K4356" i="5"/>
  <c r="C4355" i="5" l="1"/>
  <c r="G4356" i="5"/>
  <c r="O4358" i="5"/>
  <c r="K4357" i="5"/>
  <c r="G4357" i="5" l="1"/>
  <c r="C4356" i="5"/>
  <c r="K4358" i="5"/>
  <c r="O4359" i="5"/>
  <c r="C4357" i="5" l="1"/>
  <c r="G4358" i="5"/>
  <c r="O4360" i="5"/>
  <c r="K4359" i="5"/>
  <c r="C4358" i="5" l="1"/>
  <c r="G4359" i="5"/>
  <c r="O4361" i="5"/>
  <c r="K4360" i="5"/>
  <c r="C4359" i="5" l="1"/>
  <c r="G4360" i="5"/>
  <c r="K4361" i="5"/>
  <c r="O4362" i="5"/>
  <c r="C4360" i="5" l="1"/>
  <c r="G4361" i="5"/>
  <c r="K4362" i="5"/>
  <c r="O4363" i="5"/>
  <c r="C4361" i="5" l="1"/>
  <c r="G4362" i="5"/>
  <c r="O4364" i="5"/>
  <c r="K4363" i="5"/>
  <c r="C4362" i="5" l="1"/>
  <c r="G4363" i="5"/>
  <c r="K4364" i="5"/>
  <c r="O4365" i="5"/>
  <c r="G4364" i="5" l="1"/>
  <c r="C4363" i="5"/>
  <c r="O4366" i="5"/>
  <c r="K4365" i="5"/>
  <c r="G4365" i="5" l="1"/>
  <c r="C4364" i="5"/>
  <c r="K4366" i="5"/>
  <c r="O4367" i="5"/>
  <c r="G4366" i="5" l="1"/>
  <c r="C4365" i="5"/>
  <c r="O4368" i="5"/>
  <c r="K4367" i="5"/>
  <c r="G4367" i="5" l="1"/>
  <c r="C4366" i="5"/>
  <c r="O4369" i="5"/>
  <c r="K4368" i="5"/>
  <c r="C4367" i="5" l="1"/>
  <c r="G4368" i="5"/>
  <c r="K4369" i="5"/>
  <c r="O4370" i="5"/>
  <c r="C4368" i="5" l="1"/>
  <c r="G4369" i="5"/>
  <c r="K4370" i="5"/>
  <c r="O4371" i="5"/>
  <c r="C4369" i="5" l="1"/>
  <c r="G4370" i="5"/>
  <c r="O4372" i="5"/>
  <c r="K4371" i="5"/>
  <c r="G4371" i="5" l="1"/>
  <c r="C4370" i="5"/>
  <c r="K4372" i="5"/>
  <c r="O4373" i="5"/>
  <c r="C4371" i="5" l="1"/>
  <c r="G4372" i="5"/>
  <c r="O4374" i="5"/>
  <c r="K4373" i="5"/>
  <c r="G4373" i="5" l="1"/>
  <c r="C4372" i="5"/>
  <c r="K4374" i="5"/>
  <c r="O4375" i="5"/>
  <c r="G4374" i="5" l="1"/>
  <c r="C4373" i="5"/>
  <c r="O4376" i="5"/>
  <c r="K4375" i="5"/>
  <c r="C4374" i="5" l="1"/>
  <c r="G4375" i="5"/>
  <c r="O4377" i="5"/>
  <c r="K4376" i="5"/>
  <c r="G4376" i="5" l="1"/>
  <c r="C4375" i="5"/>
  <c r="O4378" i="5"/>
  <c r="K4377" i="5"/>
  <c r="C4376" i="5" l="1"/>
  <c r="G4377" i="5"/>
  <c r="K4378" i="5"/>
  <c r="O4379" i="5"/>
  <c r="G4378" i="5" l="1"/>
  <c r="C4377" i="5"/>
  <c r="O4380" i="5"/>
  <c r="K4379" i="5"/>
  <c r="G4379" i="5" l="1"/>
  <c r="C4378" i="5"/>
  <c r="K4380" i="5"/>
  <c r="O4381" i="5"/>
  <c r="G4380" i="5" l="1"/>
  <c r="C4379" i="5"/>
  <c r="O4382" i="5"/>
  <c r="K4381" i="5"/>
  <c r="C4380" i="5" l="1"/>
  <c r="G4381" i="5"/>
  <c r="K4382" i="5"/>
  <c r="O4383" i="5"/>
  <c r="G4382" i="5" l="1"/>
  <c r="C4381" i="5"/>
  <c r="O4384" i="5"/>
  <c r="K4383" i="5"/>
  <c r="G4383" i="5" l="1"/>
  <c r="C4382" i="5"/>
  <c r="O4385" i="5"/>
  <c r="K4384" i="5"/>
  <c r="G4384" i="5" l="1"/>
  <c r="C4383" i="5"/>
  <c r="K4385" i="5"/>
  <c r="O4386" i="5"/>
  <c r="C4384" i="5" l="1"/>
  <c r="G4385" i="5"/>
  <c r="O4387" i="5"/>
  <c r="K4386" i="5"/>
  <c r="G4386" i="5" l="1"/>
  <c r="C4385" i="5"/>
  <c r="O4388" i="5"/>
  <c r="K4387" i="5"/>
  <c r="G4387" i="5" l="1"/>
  <c r="C4386" i="5"/>
  <c r="O4389" i="5"/>
  <c r="K4388" i="5"/>
  <c r="G4388" i="5" l="1"/>
  <c r="C4387" i="5"/>
  <c r="O4390" i="5"/>
  <c r="K4389" i="5"/>
  <c r="C4388" i="5" l="1"/>
  <c r="G4389" i="5"/>
  <c r="O4391" i="5"/>
  <c r="K4390" i="5"/>
  <c r="G4390" i="5" l="1"/>
  <c r="C4389" i="5"/>
  <c r="K4391" i="5"/>
  <c r="O4392" i="5"/>
  <c r="G4391" i="5" l="1"/>
  <c r="C4390" i="5"/>
  <c r="O4393" i="5"/>
  <c r="K4392" i="5"/>
  <c r="C4391" i="5" l="1"/>
  <c r="G4392" i="5"/>
  <c r="O4394" i="5"/>
  <c r="K4393" i="5"/>
  <c r="G4393" i="5" l="1"/>
  <c r="C4392" i="5"/>
  <c r="K4394" i="5"/>
  <c r="O4395" i="5"/>
  <c r="G4394" i="5" l="1"/>
  <c r="C4393" i="5"/>
  <c r="K4395" i="5"/>
  <c r="O4396" i="5"/>
  <c r="C4394" i="5" l="1"/>
  <c r="G4395" i="5"/>
  <c r="O4397" i="5"/>
  <c r="K4396" i="5"/>
  <c r="C4395" i="5" l="1"/>
  <c r="G4396" i="5"/>
  <c r="O4398" i="5"/>
  <c r="K4397" i="5"/>
  <c r="G4397" i="5" l="1"/>
  <c r="C4396" i="5"/>
  <c r="O4399" i="5"/>
  <c r="K4398" i="5"/>
  <c r="G4398" i="5" l="1"/>
  <c r="C4397" i="5"/>
  <c r="K4399" i="5"/>
  <c r="O4400" i="5"/>
  <c r="C4398" i="5" l="1"/>
  <c r="G4399" i="5"/>
  <c r="O4401" i="5"/>
  <c r="K4400" i="5"/>
  <c r="C4399" i="5" l="1"/>
  <c r="G4400" i="5"/>
  <c r="O4402" i="5"/>
  <c r="K4401" i="5"/>
  <c r="G4401" i="5" l="1"/>
  <c r="C4400" i="5"/>
  <c r="O4403" i="5"/>
  <c r="K4402" i="5"/>
  <c r="C4401" i="5" l="1"/>
  <c r="G4402" i="5"/>
  <c r="K4403" i="5"/>
  <c r="O4404" i="5"/>
  <c r="G4403" i="5" l="1"/>
  <c r="C4402" i="5"/>
  <c r="O4405" i="5"/>
  <c r="K4404" i="5"/>
  <c r="G4404" i="5" l="1"/>
  <c r="C4403" i="5"/>
  <c r="O4406" i="5"/>
  <c r="K4405" i="5"/>
  <c r="G4405" i="5" l="1"/>
  <c r="C4404" i="5"/>
  <c r="O4407" i="5"/>
  <c r="K4406" i="5"/>
  <c r="G4406" i="5" l="1"/>
  <c r="C4405" i="5"/>
  <c r="K4407" i="5"/>
  <c r="O4408" i="5"/>
  <c r="C4406" i="5" l="1"/>
  <c r="G4407" i="5"/>
  <c r="O4409" i="5"/>
  <c r="K4408" i="5"/>
  <c r="C4407" i="5" l="1"/>
  <c r="G4408" i="5"/>
  <c r="O4410" i="5"/>
  <c r="K4409" i="5"/>
  <c r="G4409" i="5" l="1"/>
  <c r="C4408" i="5"/>
  <c r="O4411" i="5"/>
  <c r="K4410" i="5"/>
  <c r="C4409" i="5" l="1"/>
  <c r="G4410" i="5"/>
  <c r="K4411" i="5"/>
  <c r="O4412" i="5"/>
  <c r="G4411" i="5" l="1"/>
  <c r="C4410" i="5"/>
  <c r="O4413" i="5"/>
  <c r="K4412" i="5"/>
  <c r="C4411" i="5" l="1"/>
  <c r="G4412" i="5"/>
  <c r="O4414" i="5"/>
  <c r="K4413" i="5"/>
  <c r="C4412" i="5" l="1"/>
  <c r="G4413" i="5"/>
  <c r="O4415" i="5"/>
  <c r="K4414" i="5"/>
  <c r="C4413" i="5" l="1"/>
  <c r="G4414" i="5"/>
  <c r="K4415" i="5"/>
  <c r="O4416" i="5"/>
  <c r="G4415" i="5" l="1"/>
  <c r="C4414" i="5"/>
  <c r="O4417" i="5"/>
  <c r="K4416" i="5"/>
  <c r="G4416" i="5" l="1"/>
  <c r="C4415" i="5"/>
  <c r="O4418" i="5"/>
  <c r="K4417" i="5"/>
  <c r="G4417" i="5" l="1"/>
  <c r="C4416" i="5"/>
  <c r="O4419" i="5"/>
  <c r="K4418" i="5"/>
  <c r="G4418" i="5" l="1"/>
  <c r="C4417" i="5"/>
  <c r="K4419" i="5"/>
  <c r="O4420" i="5"/>
  <c r="G4419" i="5" l="1"/>
  <c r="C4418" i="5"/>
  <c r="O4421" i="5"/>
  <c r="K4420" i="5"/>
  <c r="C4419" i="5" l="1"/>
  <c r="G4420" i="5"/>
  <c r="O4422" i="5"/>
  <c r="K4421" i="5"/>
  <c r="G4421" i="5" l="1"/>
  <c r="C4420" i="5"/>
  <c r="O4423" i="5"/>
  <c r="K4422" i="5"/>
  <c r="G4422" i="5" l="1"/>
  <c r="C4421" i="5"/>
  <c r="K4423" i="5"/>
  <c r="O4424" i="5"/>
  <c r="C4422" i="5" l="1"/>
  <c r="G4423" i="5"/>
  <c r="O4425" i="5"/>
  <c r="K4424" i="5"/>
  <c r="C4423" i="5" l="1"/>
  <c r="G4424" i="5"/>
  <c r="O4426" i="5"/>
  <c r="K4425" i="5"/>
  <c r="C4424" i="5" l="1"/>
  <c r="G4425" i="5"/>
  <c r="O4427" i="5"/>
  <c r="K4426" i="5"/>
  <c r="C4425" i="5" l="1"/>
  <c r="G4426" i="5"/>
  <c r="K4427" i="5"/>
  <c r="O4428" i="5"/>
  <c r="G4427" i="5" l="1"/>
  <c r="C4426" i="5"/>
  <c r="O4429" i="5"/>
  <c r="K4428" i="5"/>
  <c r="G4428" i="5" l="1"/>
  <c r="C4427" i="5"/>
  <c r="O4430" i="5"/>
  <c r="K4429" i="5"/>
  <c r="C4428" i="5" l="1"/>
  <c r="G4429" i="5"/>
  <c r="O4431" i="5"/>
  <c r="K4430" i="5"/>
  <c r="C4429" i="5" l="1"/>
  <c r="G4430" i="5"/>
  <c r="K4431" i="5"/>
  <c r="O4432" i="5"/>
  <c r="C4430" i="5" l="1"/>
  <c r="G4431" i="5"/>
  <c r="O4433" i="5"/>
  <c r="K4432" i="5"/>
  <c r="C4431" i="5" l="1"/>
  <c r="G4432" i="5"/>
  <c r="O4434" i="5"/>
  <c r="K4433" i="5"/>
  <c r="C4432" i="5" l="1"/>
  <c r="G4433" i="5"/>
  <c r="O4435" i="5"/>
  <c r="K4434" i="5"/>
  <c r="C4433" i="5" l="1"/>
  <c r="G4434" i="5"/>
  <c r="K4435" i="5"/>
  <c r="O4436" i="5"/>
  <c r="C4434" i="5" l="1"/>
  <c r="G4435" i="5"/>
  <c r="O4437" i="5"/>
  <c r="K4436" i="5"/>
  <c r="C4435" i="5" l="1"/>
  <c r="G4436" i="5"/>
  <c r="O4438" i="5"/>
  <c r="K4437" i="5"/>
  <c r="G4437" i="5" l="1"/>
  <c r="C4436" i="5"/>
  <c r="O4439" i="5"/>
  <c r="K4438" i="5"/>
  <c r="G4438" i="5" l="1"/>
  <c r="C4437" i="5"/>
  <c r="K4439" i="5"/>
  <c r="O4440" i="5"/>
  <c r="C4438" i="5" l="1"/>
  <c r="G4439" i="5"/>
  <c r="O4441" i="5"/>
  <c r="K4440" i="5"/>
  <c r="G4440" i="5" l="1"/>
  <c r="C4439" i="5"/>
  <c r="O4442" i="5"/>
  <c r="K4441" i="5"/>
  <c r="C4440" i="5" l="1"/>
  <c r="G4441" i="5"/>
  <c r="O4443" i="5"/>
  <c r="K4442" i="5"/>
  <c r="C4441" i="5" l="1"/>
  <c r="G4442" i="5"/>
  <c r="K4443" i="5"/>
  <c r="O4444" i="5"/>
  <c r="G4443" i="5" l="1"/>
  <c r="C4442" i="5"/>
  <c r="O4445" i="5"/>
  <c r="K4444" i="5"/>
  <c r="G4444" i="5" l="1"/>
  <c r="C4443" i="5"/>
  <c r="O4446" i="5"/>
  <c r="K4445" i="5"/>
  <c r="C4444" i="5" l="1"/>
  <c r="G4445" i="5"/>
  <c r="O4447" i="5"/>
  <c r="K4446" i="5"/>
  <c r="G4446" i="5" l="1"/>
  <c r="C4445" i="5"/>
  <c r="K4447" i="5"/>
  <c r="O4448" i="5"/>
  <c r="C4446" i="5" l="1"/>
  <c r="G4447" i="5"/>
  <c r="O4449" i="5"/>
  <c r="K4448" i="5"/>
  <c r="G4448" i="5" l="1"/>
  <c r="C4447" i="5"/>
  <c r="O4450" i="5"/>
  <c r="K4449" i="5"/>
  <c r="G4449" i="5" l="1"/>
  <c r="C4448" i="5"/>
  <c r="K4450" i="5"/>
  <c r="O4451" i="5"/>
  <c r="G4450" i="5" l="1"/>
  <c r="C4449" i="5"/>
  <c r="K4451" i="5"/>
  <c r="O4452" i="5"/>
  <c r="G4451" i="5" l="1"/>
  <c r="C4450" i="5"/>
  <c r="O4453" i="5"/>
  <c r="K4452" i="5"/>
  <c r="G4452" i="5" l="1"/>
  <c r="C4451" i="5"/>
  <c r="O4454" i="5"/>
  <c r="K4453" i="5"/>
  <c r="G4453" i="5" l="1"/>
  <c r="C4452" i="5"/>
  <c r="O4455" i="5"/>
  <c r="K4454" i="5"/>
  <c r="G4454" i="5" l="1"/>
  <c r="C4453" i="5"/>
  <c r="K4455" i="5"/>
  <c r="O4456" i="5"/>
  <c r="C4454" i="5" l="1"/>
  <c r="G4455" i="5"/>
  <c r="O4457" i="5"/>
  <c r="K4456" i="5"/>
  <c r="G4456" i="5" l="1"/>
  <c r="C4455" i="5"/>
  <c r="O4458" i="5"/>
  <c r="K4457" i="5"/>
  <c r="G4457" i="5" l="1"/>
  <c r="C4456" i="5"/>
  <c r="K4458" i="5"/>
  <c r="O4459" i="5"/>
  <c r="G4458" i="5" l="1"/>
  <c r="C4457" i="5"/>
  <c r="K4459" i="5"/>
  <c r="O4460" i="5"/>
  <c r="C4458" i="5" l="1"/>
  <c r="G4459" i="5"/>
  <c r="O4461" i="5"/>
  <c r="K4460" i="5"/>
  <c r="G4460" i="5" l="1"/>
  <c r="C4459" i="5"/>
  <c r="O4462" i="5"/>
  <c r="K4461" i="5"/>
  <c r="C4460" i="5" l="1"/>
  <c r="G4461" i="5"/>
  <c r="O4463" i="5"/>
  <c r="K4462" i="5"/>
  <c r="G4462" i="5" l="1"/>
  <c r="C4461" i="5"/>
  <c r="K4463" i="5"/>
  <c r="O4464" i="5"/>
  <c r="G4463" i="5" l="1"/>
  <c r="C4462" i="5"/>
  <c r="O4465" i="5"/>
  <c r="K4464" i="5"/>
  <c r="C4463" i="5" l="1"/>
  <c r="G4464" i="5"/>
  <c r="O4466" i="5"/>
  <c r="K4465" i="5"/>
  <c r="G4465" i="5" l="1"/>
  <c r="C4464" i="5"/>
  <c r="K4466" i="5"/>
  <c r="O4467" i="5"/>
  <c r="G4466" i="5" l="1"/>
  <c r="C4465" i="5"/>
  <c r="K4467" i="5"/>
  <c r="O4468" i="5"/>
  <c r="G4467" i="5" l="1"/>
  <c r="C4466" i="5"/>
  <c r="O4469" i="5"/>
  <c r="K4468" i="5"/>
  <c r="C4467" i="5" l="1"/>
  <c r="G4468" i="5"/>
  <c r="O4470" i="5"/>
  <c r="K4469" i="5"/>
  <c r="C4468" i="5" l="1"/>
  <c r="G4469" i="5"/>
  <c r="O4471" i="5"/>
  <c r="K4470" i="5"/>
  <c r="G4470" i="5" l="1"/>
  <c r="C4469" i="5"/>
  <c r="K4471" i="5"/>
  <c r="O4472" i="5"/>
  <c r="C4470" i="5" l="1"/>
  <c r="G4471" i="5"/>
  <c r="O4473" i="5"/>
  <c r="K4472" i="5"/>
  <c r="G4472" i="5" l="1"/>
  <c r="C4471" i="5"/>
  <c r="O4474" i="5"/>
  <c r="K4473" i="5"/>
  <c r="G4473" i="5" l="1"/>
  <c r="C4472" i="5"/>
  <c r="O4475" i="5"/>
  <c r="K4474" i="5"/>
  <c r="C4473" i="5" l="1"/>
  <c r="G4474" i="5"/>
  <c r="K4475" i="5"/>
  <c r="O4476" i="5"/>
  <c r="C4474" i="5" l="1"/>
  <c r="G4475" i="5"/>
  <c r="O4477" i="5"/>
  <c r="K4476" i="5"/>
  <c r="C4475" i="5" l="1"/>
  <c r="G4476" i="5"/>
  <c r="O4478" i="5"/>
  <c r="K4477" i="5"/>
  <c r="C4476" i="5" l="1"/>
  <c r="G4477" i="5"/>
  <c r="O4479" i="5"/>
  <c r="K4478" i="5"/>
  <c r="C4477" i="5" l="1"/>
  <c r="G4478" i="5"/>
  <c r="K4479" i="5"/>
  <c r="O4480" i="5"/>
  <c r="C4478" i="5" l="1"/>
  <c r="G4479" i="5"/>
  <c r="O4481" i="5"/>
  <c r="K4480" i="5"/>
  <c r="C4479" i="5" l="1"/>
  <c r="G4480" i="5"/>
  <c r="O4482" i="5"/>
  <c r="K4481" i="5"/>
  <c r="G4481" i="5" l="1"/>
  <c r="C4480" i="5"/>
  <c r="O4483" i="5"/>
  <c r="K4482" i="5"/>
  <c r="C4481" i="5" l="1"/>
  <c r="G4482" i="5"/>
  <c r="K4483" i="5"/>
  <c r="O4484" i="5"/>
  <c r="G4483" i="5" l="1"/>
  <c r="C4482" i="5"/>
  <c r="O4485" i="5"/>
  <c r="K4484" i="5"/>
  <c r="G4484" i="5" l="1"/>
  <c r="C4483" i="5"/>
  <c r="O4486" i="5"/>
  <c r="K4485" i="5"/>
  <c r="G4485" i="5" l="1"/>
  <c r="C4484" i="5"/>
  <c r="O4487" i="5"/>
  <c r="K4486" i="5"/>
  <c r="C4485" i="5" l="1"/>
  <c r="G4486" i="5"/>
  <c r="K4487" i="5"/>
  <c r="O4488" i="5"/>
  <c r="C4486" i="5" l="1"/>
  <c r="G4487" i="5"/>
  <c r="O4489" i="5"/>
  <c r="K4488" i="5"/>
  <c r="C4487" i="5" l="1"/>
  <c r="G4488" i="5"/>
  <c r="O4490" i="5"/>
  <c r="K4489" i="5"/>
  <c r="G4489" i="5" l="1"/>
  <c r="C4488" i="5"/>
  <c r="O4491" i="5"/>
  <c r="K4490" i="5"/>
  <c r="G4490" i="5" l="1"/>
  <c r="C4489" i="5"/>
  <c r="K4491" i="5"/>
  <c r="O4492" i="5"/>
  <c r="C4490" i="5" l="1"/>
  <c r="G4491" i="5"/>
  <c r="O4493" i="5"/>
  <c r="K4492" i="5"/>
  <c r="C4491" i="5" l="1"/>
  <c r="G4492" i="5"/>
  <c r="O4494" i="5"/>
  <c r="K4493" i="5"/>
  <c r="C4492" i="5" l="1"/>
  <c r="G4493" i="5"/>
  <c r="O4495" i="5"/>
  <c r="K4494" i="5"/>
  <c r="G4494" i="5" l="1"/>
  <c r="C4493" i="5"/>
  <c r="K4495" i="5"/>
  <c r="O4496" i="5"/>
  <c r="C4494" i="5" l="1"/>
  <c r="G4495" i="5"/>
  <c r="O4497" i="5"/>
  <c r="K4496" i="5"/>
  <c r="C4495" i="5" l="1"/>
  <c r="G4496" i="5"/>
  <c r="O4498" i="5"/>
  <c r="K4497" i="5"/>
  <c r="G4497" i="5" l="1"/>
  <c r="C4496" i="5"/>
  <c r="O4499" i="5"/>
  <c r="K4498" i="5"/>
  <c r="G4498" i="5" l="1"/>
  <c r="C4497" i="5"/>
  <c r="K4499" i="5"/>
  <c r="O4500" i="5"/>
  <c r="G4499" i="5" l="1"/>
  <c r="C4498" i="5"/>
  <c r="O4501" i="5"/>
  <c r="K4500" i="5"/>
  <c r="C4499" i="5" l="1"/>
  <c r="G4500" i="5"/>
  <c r="O4502" i="5"/>
  <c r="K4501" i="5"/>
  <c r="C4500" i="5" l="1"/>
  <c r="G4501" i="5"/>
  <c r="O4503" i="5"/>
  <c r="K4502" i="5"/>
  <c r="G4502" i="5" l="1"/>
  <c r="C4501" i="5"/>
  <c r="K4503" i="5"/>
  <c r="O4504" i="5"/>
  <c r="G4503" i="5" l="1"/>
  <c r="C4502" i="5"/>
  <c r="O4505" i="5"/>
  <c r="K4504" i="5"/>
  <c r="G4504" i="5" l="1"/>
  <c r="C4503" i="5"/>
  <c r="O4506" i="5"/>
  <c r="K4505" i="5"/>
  <c r="C4504" i="5" l="1"/>
  <c r="G4505" i="5"/>
  <c r="K4506" i="5"/>
  <c r="O4507" i="5"/>
  <c r="G4506" i="5" l="1"/>
  <c r="C4505" i="5"/>
  <c r="K4507" i="5"/>
  <c r="O4508" i="5"/>
  <c r="G4507" i="5" l="1"/>
  <c r="C4506" i="5"/>
  <c r="O4509" i="5"/>
  <c r="K4508" i="5"/>
  <c r="G4508" i="5" l="1"/>
  <c r="C4507" i="5"/>
  <c r="O4510" i="5"/>
  <c r="K4509" i="5"/>
  <c r="C4508" i="5" l="1"/>
  <c r="G4509" i="5"/>
  <c r="O4511" i="5"/>
  <c r="K4510" i="5"/>
  <c r="G4510" i="5" l="1"/>
  <c r="C4509" i="5"/>
  <c r="K4511" i="5"/>
  <c r="O4512" i="5"/>
  <c r="G4511" i="5" l="1"/>
  <c r="C4510" i="5"/>
  <c r="O4513" i="5"/>
  <c r="K4512" i="5"/>
  <c r="C4511" i="5" l="1"/>
  <c r="G4512" i="5"/>
  <c r="O4514" i="5"/>
  <c r="K4513" i="5"/>
  <c r="G4513" i="5" l="1"/>
  <c r="C4512" i="5"/>
  <c r="K4514" i="5"/>
  <c r="O4515" i="5"/>
  <c r="G4514" i="5" l="1"/>
  <c r="C4513" i="5"/>
  <c r="K4515" i="5"/>
  <c r="O4516" i="5"/>
  <c r="G4515" i="5" l="1"/>
  <c r="C4514" i="5"/>
  <c r="O4517" i="5"/>
  <c r="K4516" i="5"/>
  <c r="G4516" i="5" l="1"/>
  <c r="C4515" i="5"/>
  <c r="O4518" i="5"/>
  <c r="K4517" i="5"/>
  <c r="G4517" i="5" l="1"/>
  <c r="C4516" i="5"/>
  <c r="O4519" i="5"/>
  <c r="K4518" i="5"/>
  <c r="G4518" i="5" l="1"/>
  <c r="C4517" i="5"/>
  <c r="K4519" i="5"/>
  <c r="O4520" i="5"/>
  <c r="C4518" i="5" l="1"/>
  <c r="G4519" i="5"/>
  <c r="O4521" i="5"/>
  <c r="K4520" i="5"/>
  <c r="C4519" i="5" l="1"/>
  <c r="G4520" i="5"/>
  <c r="O4522" i="5"/>
  <c r="K4521" i="5"/>
  <c r="G4521" i="5" l="1"/>
  <c r="C4520" i="5"/>
  <c r="K4522" i="5"/>
  <c r="O4523" i="5"/>
  <c r="G4522" i="5" l="1"/>
  <c r="C4521" i="5"/>
  <c r="K4523" i="5"/>
  <c r="O4524" i="5"/>
  <c r="C4522" i="5" l="1"/>
  <c r="G4523" i="5"/>
  <c r="O4525" i="5"/>
  <c r="K4524" i="5"/>
  <c r="G4524" i="5" l="1"/>
  <c r="C4523" i="5"/>
  <c r="O4526" i="5"/>
  <c r="K4525" i="5"/>
  <c r="C4524" i="5" l="1"/>
  <c r="G4525" i="5"/>
  <c r="O4527" i="5"/>
  <c r="K4526" i="5"/>
  <c r="G4526" i="5" l="1"/>
  <c r="C4525" i="5"/>
  <c r="K4527" i="5"/>
  <c r="O4528" i="5"/>
  <c r="G4527" i="5" l="1"/>
  <c r="C4526" i="5"/>
  <c r="O4529" i="5"/>
  <c r="K4528" i="5"/>
  <c r="C4527" i="5" l="1"/>
  <c r="G4528" i="5"/>
  <c r="O4530" i="5"/>
  <c r="K4529" i="5"/>
  <c r="G4529" i="5" l="1"/>
  <c r="C4528" i="5"/>
  <c r="K4530" i="5"/>
  <c r="O4531" i="5"/>
  <c r="G4530" i="5" l="1"/>
  <c r="C4529" i="5"/>
  <c r="K4531" i="5"/>
  <c r="O4532" i="5"/>
  <c r="G4531" i="5" l="1"/>
  <c r="C4530" i="5"/>
  <c r="O4533" i="5"/>
  <c r="K4532" i="5"/>
  <c r="C4531" i="5" l="1"/>
  <c r="G4532" i="5"/>
  <c r="O4534" i="5"/>
  <c r="K4533" i="5"/>
  <c r="C4532" i="5" l="1"/>
  <c r="G4533" i="5"/>
  <c r="O4535" i="5"/>
  <c r="K4534" i="5"/>
  <c r="G4534" i="5" l="1"/>
  <c r="C4533" i="5"/>
  <c r="K4535" i="5"/>
  <c r="O4536" i="5"/>
  <c r="G4535" i="5" l="1"/>
  <c r="C4534" i="5"/>
  <c r="O4537" i="5"/>
  <c r="K4536" i="5"/>
  <c r="G4536" i="5" l="1"/>
  <c r="C4535" i="5"/>
  <c r="O4538" i="5"/>
  <c r="K4537" i="5"/>
  <c r="C4536" i="5" l="1"/>
  <c r="G4537" i="5"/>
  <c r="O4539" i="5"/>
  <c r="K4538" i="5"/>
  <c r="G4538" i="5" l="1"/>
  <c r="C4537" i="5"/>
  <c r="K4539" i="5"/>
  <c r="O4540" i="5"/>
  <c r="G4539" i="5" l="1"/>
  <c r="C4538" i="5"/>
  <c r="O4541" i="5"/>
  <c r="K4540" i="5"/>
  <c r="G4540" i="5" l="1"/>
  <c r="C4539" i="5"/>
  <c r="O4542" i="5"/>
  <c r="K4541" i="5"/>
  <c r="C4540" i="5" l="1"/>
  <c r="G4541" i="5"/>
  <c r="O4543" i="5"/>
  <c r="K4542" i="5"/>
  <c r="G4542" i="5" l="1"/>
  <c r="C4541" i="5"/>
  <c r="K4543" i="5"/>
  <c r="O4544" i="5"/>
  <c r="G4543" i="5" l="1"/>
  <c r="C4542" i="5"/>
  <c r="O4545" i="5"/>
  <c r="K4544" i="5"/>
  <c r="C4543" i="5" l="1"/>
  <c r="G4544" i="5"/>
  <c r="O4546" i="5"/>
  <c r="K4545" i="5"/>
  <c r="C4544" i="5" l="1"/>
  <c r="G4545" i="5"/>
  <c r="O4547" i="5"/>
  <c r="K4546" i="5"/>
  <c r="G4546" i="5" l="1"/>
  <c r="C4545" i="5"/>
  <c r="K4547" i="5"/>
  <c r="O4548" i="5"/>
  <c r="C4546" i="5" l="1"/>
  <c r="G4547" i="5"/>
  <c r="O4549" i="5"/>
  <c r="K4548" i="5"/>
  <c r="G4548" i="5" l="1"/>
  <c r="C4547" i="5"/>
  <c r="O4550" i="5"/>
  <c r="K4549" i="5"/>
  <c r="G4549" i="5" l="1"/>
  <c r="C4548" i="5"/>
  <c r="O4551" i="5"/>
  <c r="K4550" i="5"/>
  <c r="G4550" i="5" l="1"/>
  <c r="C4549" i="5"/>
  <c r="K4551" i="5"/>
  <c r="O4552" i="5"/>
  <c r="C4550" i="5" l="1"/>
  <c r="G4551" i="5"/>
  <c r="O4553" i="5"/>
  <c r="K4552" i="5"/>
  <c r="C4551" i="5" l="1"/>
  <c r="G4552" i="5"/>
  <c r="O4554" i="5"/>
  <c r="K4553" i="5"/>
  <c r="G4553" i="5" l="1"/>
  <c r="C4552" i="5"/>
  <c r="K4554" i="5"/>
  <c r="O4555" i="5"/>
  <c r="G4554" i="5" l="1"/>
  <c r="C4553" i="5"/>
  <c r="K4555" i="5"/>
  <c r="O4556" i="5"/>
  <c r="C4554" i="5" l="1"/>
  <c r="G4555" i="5"/>
  <c r="O4557" i="5"/>
  <c r="K4556" i="5"/>
  <c r="G4556" i="5" l="1"/>
  <c r="C4555" i="5"/>
  <c r="O4558" i="5"/>
  <c r="K4557" i="5"/>
  <c r="G4557" i="5" l="1"/>
  <c r="C4556" i="5"/>
  <c r="O4559" i="5"/>
  <c r="K4558" i="5"/>
  <c r="G4558" i="5" l="1"/>
  <c r="C4557" i="5"/>
  <c r="K4559" i="5"/>
  <c r="O4560" i="5"/>
  <c r="G4559" i="5" l="1"/>
  <c r="C4558" i="5"/>
  <c r="O4561" i="5"/>
  <c r="K4560" i="5"/>
  <c r="C4559" i="5" l="1"/>
  <c r="G4560" i="5"/>
  <c r="O4562" i="5"/>
  <c r="K4561" i="5"/>
  <c r="G4561" i="5" l="1"/>
  <c r="C4560" i="5"/>
  <c r="O4563" i="5"/>
  <c r="K4562" i="5"/>
  <c r="G4562" i="5" l="1"/>
  <c r="C4561" i="5"/>
  <c r="K4563" i="5"/>
  <c r="O4564" i="5"/>
  <c r="G4563" i="5" l="1"/>
  <c r="C4562" i="5"/>
  <c r="O4565" i="5"/>
  <c r="K4564" i="5"/>
  <c r="C4563" i="5" l="1"/>
  <c r="G4564" i="5"/>
  <c r="O4566" i="5"/>
  <c r="K4565" i="5"/>
  <c r="G4565" i="5" l="1"/>
  <c r="C4564" i="5"/>
  <c r="O4567" i="5"/>
  <c r="K4566" i="5"/>
  <c r="G4566" i="5" l="1"/>
  <c r="C4565" i="5"/>
  <c r="K4567" i="5"/>
  <c r="O4568" i="5"/>
  <c r="G4567" i="5" l="1"/>
  <c r="C4566" i="5"/>
  <c r="O4569" i="5"/>
  <c r="K4568" i="5"/>
  <c r="G4568" i="5" l="1"/>
  <c r="C4567" i="5"/>
  <c r="O4570" i="5"/>
  <c r="K4569" i="5"/>
  <c r="C4568" i="5" l="1"/>
  <c r="G4569" i="5"/>
  <c r="K4570" i="5"/>
  <c r="O4571" i="5"/>
  <c r="G4570" i="5" l="1"/>
  <c r="C4569" i="5"/>
  <c r="K4571" i="5"/>
  <c r="O4572" i="5"/>
  <c r="C4570" i="5" l="1"/>
  <c r="G4571" i="5"/>
  <c r="O4573" i="5"/>
  <c r="K4572" i="5"/>
  <c r="G4572" i="5" l="1"/>
  <c r="C4571" i="5"/>
  <c r="O4574" i="5"/>
  <c r="K4573" i="5"/>
  <c r="C4572" i="5" l="1"/>
  <c r="G4573" i="5"/>
  <c r="O4575" i="5"/>
  <c r="K4574" i="5"/>
  <c r="G4574" i="5" l="1"/>
  <c r="C4573" i="5"/>
  <c r="K4575" i="5"/>
  <c r="O4576" i="5"/>
  <c r="G4575" i="5" l="1"/>
  <c r="C4574" i="5"/>
  <c r="O4577" i="5"/>
  <c r="K4576" i="5"/>
  <c r="C4575" i="5" l="1"/>
  <c r="G4576" i="5"/>
  <c r="O4578" i="5"/>
  <c r="K4577" i="5"/>
  <c r="G4577" i="5" l="1"/>
  <c r="C4576" i="5"/>
  <c r="K4578" i="5"/>
  <c r="O4579" i="5"/>
  <c r="G4578" i="5" l="1"/>
  <c r="C4577" i="5"/>
  <c r="K4579" i="5"/>
  <c r="O4580" i="5"/>
  <c r="C4578" i="5" l="1"/>
  <c r="G4579" i="5"/>
  <c r="O4581" i="5"/>
  <c r="K4580" i="5"/>
  <c r="G4580" i="5" l="1"/>
  <c r="C4579" i="5"/>
  <c r="O4582" i="5"/>
  <c r="K4581" i="5"/>
  <c r="G4581" i="5" l="1"/>
  <c r="C4580" i="5"/>
  <c r="O4583" i="5"/>
  <c r="K4582" i="5"/>
  <c r="C4581" i="5" l="1"/>
  <c r="G4582" i="5"/>
  <c r="K4583" i="5"/>
  <c r="O4584" i="5"/>
  <c r="C4582" i="5" l="1"/>
  <c r="G4583" i="5"/>
  <c r="O4585" i="5"/>
  <c r="K4584" i="5"/>
  <c r="G4584" i="5" l="1"/>
  <c r="C4583" i="5"/>
  <c r="O4586" i="5"/>
  <c r="K4585" i="5"/>
  <c r="C4584" i="5" l="1"/>
  <c r="G4585" i="5"/>
  <c r="K4586" i="5"/>
  <c r="O4587" i="5"/>
  <c r="G4586" i="5" l="1"/>
  <c r="C4585" i="5"/>
  <c r="K4587" i="5"/>
  <c r="O4588" i="5"/>
  <c r="C4586" i="5" l="1"/>
  <c r="G4587" i="5"/>
  <c r="O4589" i="5"/>
  <c r="K4588" i="5"/>
  <c r="G4588" i="5" l="1"/>
  <c r="C4587" i="5"/>
  <c r="O4590" i="5"/>
  <c r="K4589" i="5"/>
  <c r="G4589" i="5" l="1"/>
  <c r="C4588" i="5"/>
  <c r="O4591" i="5"/>
  <c r="K4590" i="5"/>
  <c r="G4590" i="5" l="1"/>
  <c r="C4589" i="5"/>
  <c r="K4591" i="5"/>
  <c r="O4592" i="5"/>
  <c r="C4590" i="5" l="1"/>
  <c r="G4591" i="5"/>
  <c r="O4593" i="5"/>
  <c r="K4592" i="5"/>
  <c r="C4591" i="5" l="1"/>
  <c r="G4592" i="5"/>
  <c r="O4594" i="5"/>
  <c r="K4593" i="5"/>
  <c r="C4592" i="5" l="1"/>
  <c r="G4593" i="5"/>
  <c r="K4594" i="5"/>
  <c r="O4595" i="5"/>
  <c r="G4594" i="5" l="1"/>
  <c r="C4593" i="5"/>
  <c r="K4595" i="5"/>
  <c r="O4596" i="5"/>
  <c r="C4594" i="5" l="1"/>
  <c r="G4595" i="5"/>
  <c r="O4597" i="5"/>
  <c r="K4596" i="5"/>
  <c r="C4595" i="5" l="1"/>
  <c r="G4596" i="5"/>
  <c r="O4598" i="5"/>
  <c r="K4597" i="5"/>
  <c r="G4597" i="5" l="1"/>
  <c r="C4596" i="5"/>
  <c r="O4599" i="5"/>
  <c r="K4598" i="5"/>
  <c r="C4597" i="5" l="1"/>
  <c r="G4598" i="5"/>
  <c r="K4599" i="5"/>
  <c r="O4600" i="5"/>
  <c r="C4598" i="5" l="1"/>
  <c r="G4599" i="5"/>
  <c r="O4601" i="5"/>
  <c r="K4600" i="5"/>
  <c r="C4599" i="5" l="1"/>
  <c r="G4600" i="5"/>
  <c r="O4602" i="5"/>
  <c r="K4601" i="5"/>
  <c r="C4600" i="5" l="1"/>
  <c r="G4601" i="5"/>
  <c r="O4603" i="5"/>
  <c r="K4602" i="5"/>
  <c r="G4602" i="5" l="1"/>
  <c r="C4601" i="5"/>
  <c r="K4603" i="5"/>
  <c r="O4604" i="5"/>
  <c r="G4603" i="5" l="1"/>
  <c r="C4602" i="5"/>
  <c r="O4605" i="5"/>
  <c r="K4604" i="5"/>
  <c r="C4603" i="5" l="1"/>
  <c r="G4604" i="5"/>
  <c r="O4606" i="5"/>
  <c r="K4605" i="5"/>
  <c r="C4604" i="5" l="1"/>
  <c r="G4605" i="5"/>
  <c r="O4607" i="5"/>
  <c r="K4606" i="5"/>
  <c r="G4606" i="5" l="1"/>
  <c r="C4605" i="5"/>
  <c r="K4607" i="5"/>
  <c r="O4608" i="5"/>
  <c r="G4607" i="5" l="1"/>
  <c r="C4606" i="5"/>
  <c r="O4609" i="5"/>
  <c r="K4608" i="5"/>
  <c r="G4608" i="5" l="1"/>
  <c r="C4607" i="5"/>
  <c r="O4610" i="5"/>
  <c r="K4609" i="5"/>
  <c r="C4608" i="5" l="1"/>
  <c r="G4609" i="5"/>
  <c r="K4610" i="5"/>
  <c r="O4611" i="5"/>
  <c r="G4610" i="5" l="1"/>
  <c r="C4609" i="5"/>
  <c r="K4611" i="5"/>
  <c r="O4612" i="5"/>
  <c r="G4611" i="5" l="1"/>
  <c r="C4610" i="5"/>
  <c r="O4613" i="5"/>
  <c r="K4612" i="5"/>
  <c r="C4611" i="5" l="1"/>
  <c r="G4612" i="5"/>
  <c r="O4614" i="5"/>
  <c r="K4613" i="5"/>
  <c r="C4612" i="5" l="1"/>
  <c r="G4613" i="5"/>
  <c r="O4615" i="5"/>
  <c r="K4614" i="5"/>
  <c r="G4614" i="5" l="1"/>
  <c r="C4613" i="5"/>
  <c r="K4615" i="5"/>
  <c r="O4616" i="5"/>
  <c r="C4614" i="5" l="1"/>
  <c r="G4615" i="5"/>
  <c r="O4617" i="5"/>
  <c r="K4616" i="5"/>
  <c r="C4615" i="5" l="1"/>
  <c r="G4616" i="5"/>
  <c r="O4618" i="5"/>
  <c r="K4617" i="5"/>
  <c r="G4617" i="5" l="1"/>
  <c r="C4616" i="5"/>
  <c r="K4618" i="5"/>
  <c r="O4619" i="5"/>
  <c r="C4617" i="5" l="1"/>
  <c r="G4618" i="5"/>
  <c r="K4619" i="5"/>
  <c r="O4620" i="5"/>
  <c r="G4619" i="5" l="1"/>
  <c r="C4618" i="5"/>
  <c r="O4621" i="5"/>
  <c r="K4620" i="5"/>
  <c r="C4619" i="5" l="1"/>
  <c r="G4620" i="5"/>
  <c r="O4622" i="5"/>
  <c r="K4621" i="5"/>
  <c r="G4621" i="5" l="1"/>
  <c r="C4620" i="5"/>
  <c r="O4623" i="5"/>
  <c r="K4622" i="5"/>
  <c r="C4621" i="5" l="1"/>
  <c r="G4622" i="5"/>
  <c r="K4623" i="5"/>
  <c r="O4624" i="5"/>
  <c r="G4623" i="5" l="1"/>
  <c r="C4622" i="5"/>
  <c r="O4625" i="5"/>
  <c r="K4624" i="5"/>
  <c r="G4624" i="5" l="1"/>
  <c r="C4623" i="5"/>
  <c r="O4626" i="5"/>
  <c r="K4625" i="5"/>
  <c r="G4625" i="5" l="1"/>
  <c r="C4624" i="5"/>
  <c r="O4627" i="5"/>
  <c r="K4626" i="5"/>
  <c r="C4625" i="5" l="1"/>
  <c r="G4626" i="5"/>
  <c r="K4627" i="5"/>
  <c r="O4628" i="5"/>
  <c r="G4627" i="5" l="1"/>
  <c r="C4626" i="5"/>
  <c r="O4629" i="5"/>
  <c r="K4628" i="5"/>
  <c r="C4627" i="5" l="1"/>
  <c r="G4628" i="5"/>
  <c r="O4630" i="5"/>
  <c r="K4629" i="5"/>
  <c r="G4629" i="5" l="1"/>
  <c r="C4628" i="5"/>
  <c r="O4631" i="5"/>
  <c r="K4630" i="5"/>
  <c r="C4629" i="5" l="1"/>
  <c r="G4630" i="5"/>
  <c r="K4631" i="5"/>
  <c r="O4632" i="5"/>
  <c r="G4631" i="5" l="1"/>
  <c r="C4630" i="5"/>
  <c r="O4633" i="5"/>
  <c r="K4632" i="5"/>
  <c r="G4632" i="5" l="1"/>
  <c r="C4631" i="5"/>
  <c r="O4634" i="5"/>
  <c r="K4633" i="5"/>
  <c r="C4632" i="5" l="1"/>
  <c r="G4633" i="5"/>
  <c r="O4635" i="5"/>
  <c r="K4634" i="5"/>
  <c r="G4634" i="5" l="1"/>
  <c r="C4633" i="5"/>
  <c r="K4635" i="5"/>
  <c r="O4636" i="5"/>
  <c r="C4634" i="5" l="1"/>
  <c r="G4635" i="5"/>
  <c r="O4637" i="5"/>
  <c r="K4636" i="5"/>
  <c r="G4636" i="5" l="1"/>
  <c r="C4635" i="5"/>
  <c r="O4638" i="5"/>
  <c r="K4637" i="5"/>
  <c r="C4636" i="5" l="1"/>
  <c r="G4637" i="5"/>
  <c r="O4639" i="5"/>
  <c r="K4638" i="5"/>
  <c r="C4637" i="5" l="1"/>
  <c r="G4638" i="5"/>
  <c r="K4639" i="5"/>
  <c r="O4640" i="5"/>
  <c r="G4639" i="5" l="1"/>
  <c r="C4638" i="5"/>
  <c r="O4641" i="5"/>
  <c r="K4640" i="5"/>
  <c r="C4639" i="5" l="1"/>
  <c r="G4640" i="5"/>
  <c r="O4642" i="5"/>
  <c r="K4641" i="5"/>
  <c r="G4641" i="5" l="1"/>
  <c r="C4640" i="5"/>
  <c r="O4643" i="5"/>
  <c r="K4642" i="5"/>
  <c r="C4641" i="5" l="1"/>
  <c r="G4642" i="5"/>
  <c r="K4643" i="5"/>
  <c r="O4644" i="5"/>
  <c r="C4642" i="5" l="1"/>
  <c r="G4643" i="5"/>
  <c r="O4645" i="5"/>
  <c r="K4644" i="5"/>
  <c r="G4644" i="5" l="1"/>
  <c r="C4643" i="5"/>
  <c r="O4646" i="5"/>
  <c r="K4645" i="5"/>
  <c r="C4644" i="5" l="1"/>
  <c r="G4645" i="5"/>
  <c r="O4647" i="5"/>
  <c r="K4646" i="5"/>
  <c r="G4646" i="5" l="1"/>
  <c r="C4645" i="5"/>
  <c r="K4647" i="5"/>
  <c r="O4648" i="5"/>
  <c r="G4647" i="5" l="1"/>
  <c r="C4646" i="5"/>
  <c r="O4649" i="5"/>
  <c r="K4648" i="5"/>
  <c r="G4648" i="5" l="1"/>
  <c r="C4647" i="5"/>
  <c r="O4650" i="5"/>
  <c r="K4649" i="5"/>
  <c r="G4649" i="5" l="1"/>
  <c r="C4648" i="5"/>
  <c r="K4650" i="5"/>
  <c r="O4651" i="5"/>
  <c r="C4649" i="5" l="1"/>
  <c r="G4650" i="5"/>
  <c r="K4651" i="5"/>
  <c r="O4652" i="5"/>
  <c r="G4651" i="5" l="1"/>
  <c r="C4650" i="5"/>
  <c r="O4653" i="5"/>
  <c r="K4652" i="5"/>
  <c r="C4651" i="5" l="1"/>
  <c r="G4652" i="5"/>
  <c r="O4654" i="5"/>
  <c r="K4653" i="5"/>
  <c r="C4652" i="5" l="1"/>
  <c r="G4653" i="5"/>
  <c r="O4655" i="5"/>
  <c r="K4654" i="5"/>
  <c r="C4653" i="5" l="1"/>
  <c r="G4654" i="5"/>
  <c r="K4655" i="5"/>
  <c r="O4656" i="5"/>
  <c r="C4654" i="5" l="1"/>
  <c r="G4655" i="5"/>
  <c r="O4657" i="5"/>
  <c r="K4656" i="5"/>
  <c r="G4656" i="5" l="1"/>
  <c r="C4655" i="5"/>
  <c r="O4658" i="5"/>
  <c r="K4657" i="5"/>
  <c r="C4656" i="5" l="1"/>
  <c r="G4657" i="5"/>
  <c r="K4658" i="5"/>
  <c r="O4659" i="5"/>
  <c r="C4657" i="5" l="1"/>
  <c r="G4658" i="5"/>
  <c r="K4659" i="5"/>
  <c r="O4660" i="5"/>
  <c r="G4659" i="5" l="1"/>
  <c r="C4658" i="5"/>
  <c r="O4661" i="5"/>
  <c r="K4660" i="5"/>
  <c r="C4659" i="5" l="1"/>
  <c r="G4660" i="5"/>
  <c r="O4662" i="5"/>
  <c r="K4661" i="5"/>
  <c r="G4661" i="5" l="1"/>
  <c r="C4660" i="5"/>
  <c r="O4663" i="5"/>
  <c r="K4662" i="5"/>
  <c r="C4661" i="5" l="1"/>
  <c r="G4662" i="5"/>
  <c r="K4663" i="5"/>
  <c r="O4664" i="5"/>
  <c r="G4663" i="5" l="1"/>
  <c r="C4662" i="5"/>
  <c r="O4665" i="5"/>
  <c r="K4664" i="5"/>
  <c r="G4664" i="5" l="1"/>
  <c r="C4663" i="5"/>
  <c r="O4666" i="5"/>
  <c r="K4665" i="5"/>
  <c r="G4665" i="5" l="1"/>
  <c r="C4664" i="5"/>
  <c r="O4667" i="5"/>
  <c r="K4666" i="5"/>
  <c r="C4665" i="5" l="1"/>
  <c r="G4666" i="5"/>
  <c r="K4667" i="5"/>
  <c r="O4668" i="5"/>
  <c r="C4666" i="5" l="1"/>
  <c r="G4667" i="5"/>
  <c r="O4669" i="5"/>
  <c r="K4668" i="5"/>
  <c r="G4668" i="5" l="1"/>
  <c r="C4667" i="5"/>
  <c r="O4670" i="5"/>
  <c r="K4669" i="5"/>
  <c r="G4669" i="5" l="1"/>
  <c r="C4668" i="5"/>
  <c r="O4671" i="5"/>
  <c r="K4670" i="5"/>
  <c r="G4670" i="5" l="1"/>
  <c r="C4669" i="5"/>
  <c r="K4671" i="5"/>
  <c r="O4672" i="5"/>
  <c r="G4671" i="5" l="1"/>
  <c r="C4670" i="5"/>
  <c r="O4673" i="5"/>
  <c r="K4672" i="5"/>
  <c r="C4671" i="5" l="1"/>
  <c r="G4672" i="5"/>
  <c r="O4674" i="5"/>
  <c r="K4673" i="5"/>
  <c r="G4673" i="5" l="1"/>
  <c r="C4672" i="5"/>
  <c r="O4675" i="5"/>
  <c r="K4674" i="5"/>
  <c r="G4674" i="5" l="1"/>
  <c r="C4673" i="5"/>
  <c r="K4675" i="5"/>
  <c r="O4676" i="5"/>
  <c r="G4675" i="5" l="1"/>
  <c r="C4674" i="5"/>
  <c r="O4677" i="5"/>
  <c r="K4676" i="5"/>
  <c r="C4675" i="5" l="1"/>
  <c r="G4676" i="5"/>
  <c r="O4678" i="5"/>
  <c r="K4677" i="5"/>
  <c r="C4676" i="5" l="1"/>
  <c r="G4677" i="5"/>
  <c r="O4679" i="5"/>
  <c r="K4678" i="5"/>
  <c r="C4677" i="5" l="1"/>
  <c r="G4678" i="5"/>
  <c r="K4679" i="5"/>
  <c r="O4680" i="5"/>
  <c r="C4678" i="5" l="1"/>
  <c r="G4679" i="5"/>
  <c r="O4681" i="5"/>
  <c r="K4680" i="5"/>
  <c r="G4680" i="5" l="1"/>
  <c r="C4679" i="5"/>
  <c r="O4682" i="5"/>
  <c r="K4681" i="5"/>
  <c r="G4681" i="5" l="1"/>
  <c r="C4680" i="5"/>
  <c r="O4683" i="5"/>
  <c r="K4682" i="5"/>
  <c r="C4681" i="5" l="1"/>
  <c r="G4682" i="5"/>
  <c r="K4683" i="5"/>
  <c r="O4684" i="5"/>
  <c r="C4682" i="5" l="1"/>
  <c r="G4683" i="5"/>
  <c r="O4685" i="5"/>
  <c r="K4684" i="5"/>
  <c r="G4684" i="5" l="1"/>
  <c r="C4683" i="5"/>
  <c r="O4686" i="5"/>
  <c r="K4685" i="5"/>
  <c r="C4684" i="5" l="1"/>
  <c r="G4685" i="5"/>
  <c r="O4687" i="5"/>
  <c r="K4686" i="5"/>
  <c r="C4685" i="5" l="1"/>
  <c r="G4686" i="5"/>
  <c r="K4687" i="5"/>
  <c r="O4688" i="5"/>
  <c r="G4687" i="5" l="1"/>
  <c r="C4686" i="5"/>
  <c r="O4689" i="5"/>
  <c r="K4688" i="5"/>
  <c r="C4687" i="5" l="1"/>
  <c r="G4688" i="5"/>
  <c r="O4690" i="5"/>
  <c r="K4689" i="5"/>
  <c r="C4688" i="5" l="1"/>
  <c r="G4689" i="5"/>
  <c r="O4691" i="5"/>
  <c r="K4690" i="5"/>
  <c r="G4690" i="5" l="1"/>
  <c r="C4689" i="5"/>
  <c r="K4691" i="5"/>
  <c r="O4692" i="5"/>
  <c r="C4690" i="5" l="1"/>
  <c r="G4691" i="5"/>
  <c r="O4693" i="5"/>
  <c r="K4692" i="5"/>
  <c r="C4691" i="5" l="1"/>
  <c r="G4692" i="5"/>
  <c r="O4694" i="5"/>
  <c r="K4693" i="5"/>
  <c r="C4692" i="5" l="1"/>
  <c r="G4693" i="5"/>
  <c r="O4695" i="5"/>
  <c r="K4694" i="5"/>
  <c r="G4694" i="5" l="1"/>
  <c r="C4693" i="5"/>
  <c r="K4695" i="5"/>
  <c r="O4696" i="5"/>
  <c r="C4694" i="5" l="1"/>
  <c r="G4695" i="5"/>
  <c r="O4697" i="5"/>
  <c r="K4696" i="5"/>
  <c r="C4695" i="5" l="1"/>
  <c r="G4696" i="5"/>
  <c r="O4698" i="5"/>
  <c r="K4697" i="5"/>
  <c r="G4697" i="5" l="1"/>
  <c r="C4696" i="5"/>
  <c r="O4699" i="5"/>
  <c r="K4698" i="5"/>
  <c r="G4698" i="5" l="1"/>
  <c r="C4697" i="5"/>
  <c r="K4699" i="5"/>
  <c r="O4700" i="5"/>
  <c r="C4698" i="5" l="1"/>
  <c r="G4699" i="5"/>
  <c r="O4701" i="5"/>
  <c r="K4700" i="5"/>
  <c r="C4699" i="5" l="1"/>
  <c r="G4700" i="5"/>
  <c r="O4702" i="5"/>
  <c r="K4701" i="5"/>
  <c r="C4700" i="5" l="1"/>
  <c r="G4701" i="5"/>
  <c r="O4703" i="5"/>
  <c r="K4702" i="5"/>
  <c r="G4702" i="5" l="1"/>
  <c r="C4701" i="5"/>
  <c r="K4703" i="5"/>
  <c r="O4704" i="5"/>
  <c r="G4703" i="5" l="1"/>
  <c r="C4702" i="5"/>
  <c r="O4705" i="5"/>
  <c r="K4704" i="5"/>
  <c r="C4703" i="5" l="1"/>
  <c r="G4704" i="5"/>
  <c r="O4706" i="5"/>
  <c r="K4705" i="5"/>
  <c r="G4705" i="5" l="1"/>
  <c r="C4704" i="5"/>
  <c r="O4707" i="5"/>
  <c r="K4706" i="5"/>
  <c r="C4705" i="5" l="1"/>
  <c r="G4706" i="5"/>
  <c r="K4707" i="5"/>
  <c r="O4708" i="5"/>
  <c r="C4706" i="5" l="1"/>
  <c r="G4707" i="5"/>
  <c r="O4709" i="5"/>
  <c r="K4708" i="5"/>
  <c r="C4707" i="5" l="1"/>
  <c r="G4708" i="5"/>
  <c r="O4710" i="5"/>
  <c r="K4709" i="5"/>
  <c r="G4709" i="5" l="1"/>
  <c r="C4708" i="5"/>
  <c r="O4711" i="5"/>
  <c r="K4710" i="5"/>
  <c r="C4709" i="5" l="1"/>
  <c r="G4710" i="5"/>
  <c r="K4711" i="5"/>
  <c r="O4712" i="5"/>
  <c r="C4710" i="5" l="1"/>
  <c r="G4711" i="5"/>
  <c r="O4713" i="5"/>
  <c r="K4712" i="5"/>
  <c r="C4711" i="5" l="1"/>
  <c r="G4712" i="5"/>
  <c r="O4714" i="5"/>
  <c r="K4713" i="5"/>
  <c r="G4713" i="5" l="1"/>
  <c r="C4712" i="5"/>
  <c r="K4714" i="5"/>
  <c r="O4715" i="5"/>
  <c r="G4714" i="5" l="1"/>
  <c r="C4713" i="5"/>
  <c r="K4715" i="5"/>
  <c r="O4716" i="5"/>
  <c r="G4715" i="5" l="1"/>
  <c r="C4714" i="5"/>
  <c r="O4717" i="5"/>
  <c r="K4716" i="5"/>
  <c r="C4715" i="5" l="1"/>
  <c r="G4716" i="5"/>
  <c r="O4718" i="5"/>
  <c r="K4717" i="5"/>
  <c r="G4717" i="5" l="1"/>
  <c r="C4716" i="5"/>
  <c r="O4719" i="5"/>
  <c r="K4718" i="5"/>
  <c r="C4717" i="5" l="1"/>
  <c r="G4718" i="5"/>
  <c r="K4719" i="5"/>
  <c r="O4720" i="5"/>
  <c r="C4718" i="5" l="1"/>
  <c r="G4719" i="5"/>
  <c r="O4721" i="5"/>
  <c r="K4720" i="5"/>
  <c r="C4719" i="5" l="1"/>
  <c r="G4720" i="5"/>
  <c r="O4722" i="5"/>
  <c r="K4721" i="5"/>
  <c r="C4720" i="5" l="1"/>
  <c r="G4721" i="5"/>
  <c r="K4722" i="5"/>
  <c r="O4723" i="5"/>
  <c r="C4721" i="5" l="1"/>
  <c r="G4722" i="5"/>
  <c r="K4723" i="5"/>
  <c r="O4724" i="5"/>
  <c r="C4722" i="5" l="1"/>
  <c r="G4723" i="5"/>
  <c r="O4725" i="5"/>
  <c r="K4724" i="5"/>
  <c r="G4724" i="5" l="1"/>
  <c r="C4723" i="5"/>
  <c r="O4726" i="5"/>
  <c r="K4725" i="5"/>
  <c r="C4724" i="5" l="1"/>
  <c r="G4725" i="5"/>
  <c r="O4727" i="5"/>
  <c r="K4726" i="5"/>
  <c r="C4725" i="5" l="1"/>
  <c r="G4726" i="5"/>
  <c r="K4727" i="5"/>
  <c r="O4728" i="5"/>
  <c r="C4726" i="5" l="1"/>
  <c r="G4727" i="5"/>
  <c r="O4729" i="5"/>
  <c r="K4728" i="5"/>
  <c r="C4727" i="5" l="1"/>
  <c r="G4728" i="5"/>
  <c r="O4730" i="5"/>
  <c r="K4729" i="5"/>
  <c r="G4729" i="5" l="1"/>
  <c r="C4728" i="5"/>
  <c r="O4731" i="5"/>
  <c r="K4730" i="5"/>
  <c r="G4730" i="5" l="1"/>
  <c r="C4729" i="5"/>
  <c r="K4731" i="5"/>
  <c r="O4732" i="5"/>
  <c r="C4730" i="5" l="1"/>
  <c r="G4731" i="5"/>
  <c r="O4733" i="5"/>
  <c r="K4732" i="5"/>
  <c r="C4731" i="5" l="1"/>
  <c r="G4732" i="5"/>
  <c r="O4734" i="5"/>
  <c r="K4733" i="5"/>
  <c r="G4733" i="5" l="1"/>
  <c r="C4732" i="5"/>
  <c r="O4735" i="5"/>
  <c r="K4734" i="5"/>
  <c r="G4734" i="5" l="1"/>
  <c r="C4733" i="5"/>
  <c r="K4735" i="5"/>
  <c r="O4736" i="5"/>
  <c r="C4734" i="5" l="1"/>
  <c r="G4735" i="5"/>
  <c r="O4737" i="5"/>
  <c r="K4736" i="5"/>
  <c r="C4735" i="5" l="1"/>
  <c r="G4736" i="5"/>
  <c r="O4738" i="5"/>
  <c r="K4737" i="5"/>
  <c r="C4736" i="5" l="1"/>
  <c r="G4737" i="5"/>
  <c r="O4739" i="5"/>
  <c r="K4738" i="5"/>
  <c r="G4738" i="5" l="1"/>
  <c r="C4737" i="5"/>
  <c r="K4739" i="5"/>
  <c r="O4740" i="5"/>
  <c r="C4738" i="5" l="1"/>
  <c r="G4739" i="5"/>
  <c r="O4741" i="5"/>
  <c r="K4740" i="5"/>
  <c r="G4740" i="5" l="1"/>
  <c r="C4739" i="5"/>
  <c r="O4742" i="5"/>
  <c r="K4741" i="5"/>
  <c r="G4741" i="5" l="1"/>
  <c r="C4740" i="5"/>
  <c r="O4743" i="5"/>
  <c r="K4742" i="5"/>
  <c r="G4742" i="5" l="1"/>
  <c r="C4741" i="5"/>
  <c r="K4743" i="5"/>
  <c r="O4744" i="5"/>
  <c r="C4742" i="5" l="1"/>
  <c r="G4743" i="5"/>
  <c r="O4745" i="5"/>
  <c r="K4744" i="5"/>
  <c r="G4744" i="5" l="1"/>
  <c r="C4743" i="5"/>
  <c r="O4746" i="5"/>
  <c r="K4745" i="5"/>
  <c r="C4744" i="5" l="1"/>
  <c r="G4745" i="5"/>
  <c r="O4747" i="5"/>
  <c r="K4746" i="5"/>
  <c r="G4746" i="5" l="1"/>
  <c r="C4745" i="5"/>
  <c r="K4747" i="5"/>
  <c r="O4748" i="5"/>
  <c r="C4746" i="5" l="1"/>
  <c r="G4747" i="5"/>
  <c r="O4749" i="5"/>
  <c r="K4748" i="5"/>
  <c r="G4748" i="5" l="1"/>
  <c r="C4747" i="5"/>
  <c r="O4750" i="5"/>
  <c r="K4749" i="5"/>
  <c r="C4748" i="5" l="1"/>
  <c r="G4749" i="5"/>
  <c r="O4751" i="5"/>
  <c r="K4750" i="5"/>
  <c r="G4750" i="5" l="1"/>
  <c r="C4749" i="5"/>
  <c r="K4751" i="5"/>
  <c r="O4752" i="5"/>
  <c r="C4750" i="5" l="1"/>
  <c r="G4751" i="5"/>
  <c r="O4753" i="5"/>
  <c r="K4752" i="5"/>
  <c r="C4751" i="5" l="1"/>
  <c r="G4752" i="5"/>
  <c r="O4754" i="5"/>
  <c r="K4753" i="5"/>
  <c r="C4752" i="5" l="1"/>
  <c r="G4753" i="5"/>
  <c r="O4755" i="5"/>
  <c r="K4754" i="5"/>
  <c r="G4754" i="5" l="1"/>
  <c r="C4753" i="5"/>
  <c r="K4755" i="5"/>
  <c r="O4756" i="5"/>
  <c r="C4754" i="5" l="1"/>
  <c r="G4755" i="5"/>
  <c r="O4757" i="5"/>
  <c r="K4756" i="5"/>
  <c r="C4755" i="5" l="1"/>
  <c r="G4756" i="5"/>
  <c r="O4758" i="5"/>
  <c r="K4757" i="5"/>
  <c r="G4757" i="5" l="1"/>
  <c r="C4756" i="5"/>
  <c r="O4759" i="5"/>
  <c r="K4758" i="5"/>
  <c r="G4758" i="5" l="1"/>
  <c r="C4757" i="5"/>
  <c r="K4759" i="5"/>
  <c r="O4760" i="5"/>
  <c r="C4758" i="5" l="1"/>
  <c r="G4759" i="5"/>
  <c r="O4761" i="5"/>
  <c r="K4760" i="5"/>
  <c r="C4759" i="5" l="1"/>
  <c r="G4760" i="5"/>
  <c r="O4762" i="5"/>
  <c r="K4761" i="5"/>
  <c r="G4761" i="5" l="1"/>
  <c r="C4760" i="5"/>
  <c r="K4762" i="5"/>
  <c r="O4763" i="5"/>
  <c r="G4762" i="5" l="1"/>
  <c r="C4761" i="5"/>
  <c r="K4763" i="5"/>
  <c r="O4764" i="5"/>
  <c r="C4762" i="5" l="1"/>
  <c r="G4763" i="5"/>
  <c r="O4765" i="5"/>
  <c r="K4764" i="5"/>
  <c r="G4764" i="5" l="1"/>
  <c r="C4763" i="5"/>
  <c r="O4766" i="5"/>
  <c r="K4765" i="5"/>
  <c r="G4765" i="5" l="1"/>
  <c r="C4764" i="5"/>
  <c r="O4767" i="5"/>
  <c r="K4766" i="5"/>
  <c r="G4766" i="5" l="1"/>
  <c r="C4765" i="5"/>
  <c r="K4767" i="5"/>
  <c r="O4768" i="5"/>
  <c r="C4766" i="5" l="1"/>
  <c r="G4767" i="5"/>
  <c r="O4769" i="5"/>
  <c r="K4768" i="5"/>
  <c r="G4768" i="5" l="1"/>
  <c r="C4767" i="5"/>
  <c r="O4770" i="5"/>
  <c r="K4769" i="5"/>
  <c r="G4769" i="5" l="1"/>
  <c r="C4768" i="5"/>
  <c r="K4770" i="5"/>
  <c r="O4771" i="5"/>
  <c r="G4770" i="5" l="1"/>
  <c r="C4769" i="5"/>
  <c r="K4771" i="5"/>
  <c r="O4772" i="5"/>
  <c r="C4770" i="5" l="1"/>
  <c r="G4771" i="5"/>
  <c r="O4773" i="5"/>
  <c r="K4772" i="5"/>
  <c r="G4772" i="5" l="1"/>
  <c r="C4771" i="5"/>
  <c r="O4774" i="5"/>
  <c r="K4773" i="5"/>
  <c r="G4773" i="5" l="1"/>
  <c r="C4772" i="5"/>
  <c r="O4775" i="5"/>
  <c r="K4774" i="5"/>
  <c r="G4774" i="5" l="1"/>
  <c r="C4773" i="5"/>
  <c r="K4775" i="5"/>
  <c r="O4776" i="5"/>
  <c r="C4774" i="5" l="1"/>
  <c r="G4775" i="5"/>
  <c r="O4777" i="5"/>
  <c r="K4776" i="5"/>
  <c r="C4775" i="5" l="1"/>
  <c r="G4776" i="5"/>
  <c r="O4778" i="5"/>
  <c r="K4777" i="5"/>
  <c r="G4777" i="5" l="1"/>
  <c r="C4776" i="5"/>
  <c r="K4778" i="5"/>
  <c r="O4779" i="5"/>
  <c r="G4778" i="5" l="1"/>
  <c r="C4777" i="5"/>
  <c r="K4779" i="5"/>
  <c r="O4780" i="5"/>
  <c r="C4778" i="5" l="1"/>
  <c r="G4779" i="5"/>
  <c r="O4781" i="5"/>
  <c r="K4780" i="5"/>
  <c r="C4779" i="5" l="1"/>
  <c r="G4780" i="5"/>
  <c r="O4782" i="5"/>
  <c r="K4781" i="5"/>
  <c r="G4781" i="5" l="1"/>
  <c r="C4780" i="5"/>
  <c r="O4783" i="5"/>
  <c r="K4782" i="5"/>
  <c r="G4782" i="5" l="1"/>
  <c r="C4781" i="5"/>
  <c r="K4783" i="5"/>
  <c r="O4784" i="5"/>
  <c r="G4783" i="5" l="1"/>
  <c r="C4782" i="5"/>
  <c r="O4785" i="5"/>
  <c r="K4784" i="5"/>
  <c r="C4783" i="5" l="1"/>
  <c r="G4784" i="5"/>
  <c r="O4786" i="5"/>
  <c r="K4785" i="5"/>
  <c r="G4785" i="5" l="1"/>
  <c r="C4784" i="5"/>
  <c r="O4787" i="5"/>
  <c r="K4786" i="5"/>
  <c r="C4785" i="5" l="1"/>
  <c r="G4786" i="5"/>
  <c r="K4787" i="5"/>
  <c r="O4788" i="5"/>
  <c r="C4786" i="5" l="1"/>
  <c r="G4787" i="5"/>
  <c r="O4789" i="5"/>
  <c r="K4788" i="5"/>
  <c r="G4788" i="5" l="1"/>
  <c r="C4787" i="5"/>
  <c r="O4790" i="5"/>
  <c r="K4789" i="5"/>
  <c r="C4788" i="5" l="1"/>
  <c r="G4789" i="5"/>
  <c r="O4791" i="5"/>
  <c r="K4790" i="5"/>
  <c r="G4790" i="5" l="1"/>
  <c r="C4789" i="5"/>
  <c r="K4791" i="5"/>
  <c r="O4792" i="5"/>
  <c r="C4790" i="5" l="1"/>
  <c r="G4791" i="5"/>
  <c r="O4793" i="5"/>
  <c r="K4792" i="5"/>
  <c r="C4791" i="5" l="1"/>
  <c r="G4792" i="5"/>
  <c r="O4794" i="5"/>
  <c r="K4793" i="5"/>
  <c r="G4793" i="5" l="1"/>
  <c r="C4792" i="5"/>
  <c r="O4795" i="5"/>
  <c r="K4794" i="5"/>
  <c r="C4793" i="5" l="1"/>
  <c r="G4794" i="5"/>
  <c r="K4795" i="5"/>
  <c r="O4796" i="5"/>
  <c r="C4794" i="5" l="1"/>
  <c r="G4795" i="5"/>
  <c r="O4797" i="5"/>
  <c r="K4796" i="5"/>
  <c r="G4796" i="5" l="1"/>
  <c r="C4795" i="5"/>
  <c r="O4798" i="5"/>
  <c r="K4797" i="5"/>
  <c r="G4797" i="5" l="1"/>
  <c r="C4796" i="5"/>
  <c r="O4799" i="5"/>
  <c r="K4798" i="5"/>
  <c r="G4798" i="5" l="1"/>
  <c r="C4797" i="5"/>
  <c r="K4799" i="5"/>
  <c r="O4800" i="5"/>
  <c r="C4798" i="5" l="1"/>
  <c r="G4799" i="5"/>
  <c r="O4801" i="5"/>
  <c r="K4800" i="5"/>
  <c r="G4800" i="5" l="1"/>
  <c r="C4799" i="5"/>
  <c r="O4802" i="5"/>
  <c r="K4801" i="5"/>
  <c r="G4801" i="5" l="1"/>
  <c r="C4800" i="5"/>
  <c r="O4803" i="5"/>
  <c r="K4802" i="5"/>
  <c r="G4802" i="5" l="1"/>
  <c r="C4801" i="5"/>
  <c r="K4803" i="5"/>
  <c r="O4804" i="5"/>
  <c r="C4802" i="5" l="1"/>
  <c r="G4803" i="5"/>
  <c r="O4805" i="5"/>
  <c r="K4804" i="5"/>
  <c r="G4804" i="5" l="1"/>
  <c r="C4803" i="5"/>
  <c r="O4806" i="5"/>
  <c r="K4805" i="5"/>
  <c r="G4805" i="5" l="1"/>
  <c r="C4804" i="5"/>
  <c r="O4807" i="5"/>
  <c r="K4806" i="5"/>
  <c r="G4806" i="5" l="1"/>
  <c r="C4805" i="5"/>
  <c r="K4807" i="5"/>
  <c r="O4808" i="5"/>
  <c r="C4806" i="5" l="1"/>
  <c r="G4807" i="5"/>
  <c r="O4809" i="5"/>
  <c r="K4808" i="5"/>
  <c r="C4807" i="5" l="1"/>
  <c r="G4808" i="5"/>
  <c r="O4810" i="5"/>
  <c r="K4809" i="5"/>
  <c r="G4809" i="5" l="1"/>
  <c r="C4808" i="5"/>
  <c r="O4811" i="5"/>
  <c r="K4810" i="5"/>
  <c r="G4810" i="5" l="1"/>
  <c r="C4809" i="5"/>
  <c r="K4811" i="5"/>
  <c r="O4812" i="5"/>
  <c r="C4810" i="5" l="1"/>
  <c r="G4811" i="5"/>
  <c r="O4813" i="5"/>
  <c r="K4812" i="5"/>
  <c r="G4812" i="5" l="1"/>
  <c r="C4811" i="5"/>
  <c r="O4814" i="5"/>
  <c r="K4813" i="5"/>
  <c r="C4812" i="5" l="1"/>
  <c r="G4813" i="5"/>
  <c r="O4815" i="5"/>
  <c r="K4814" i="5"/>
  <c r="G4814" i="5" l="1"/>
  <c r="C4813" i="5"/>
  <c r="K4815" i="5"/>
  <c r="O4816" i="5"/>
  <c r="C4814" i="5" l="1"/>
  <c r="G4815" i="5"/>
  <c r="O4817" i="5"/>
  <c r="K4816" i="5"/>
  <c r="C4815" i="5" l="1"/>
  <c r="G4816" i="5"/>
  <c r="O4818" i="5"/>
  <c r="K4817" i="5"/>
  <c r="C4816" i="5" l="1"/>
  <c r="G4817" i="5"/>
  <c r="O4819" i="5"/>
  <c r="K4818" i="5"/>
  <c r="G4818" i="5" l="1"/>
  <c r="C4817" i="5"/>
  <c r="K4819" i="5"/>
  <c r="O4820" i="5"/>
  <c r="C4818" i="5" l="1"/>
  <c r="G4819" i="5"/>
  <c r="O4821" i="5"/>
  <c r="K4820" i="5"/>
  <c r="C4819" i="5" l="1"/>
  <c r="G4820" i="5"/>
  <c r="O4822" i="5"/>
  <c r="K4821" i="5"/>
  <c r="G4821" i="5" l="1"/>
  <c r="C4820" i="5"/>
  <c r="O4823" i="5"/>
  <c r="K4822" i="5"/>
  <c r="G4822" i="5" l="1"/>
  <c r="C4821" i="5"/>
  <c r="K4823" i="5"/>
  <c r="O4824" i="5"/>
  <c r="C4822" i="5" l="1"/>
  <c r="G4823" i="5"/>
  <c r="O4825" i="5"/>
  <c r="K4824" i="5"/>
  <c r="C4823" i="5" l="1"/>
  <c r="G4824" i="5"/>
  <c r="O4826" i="5"/>
  <c r="K4825" i="5"/>
  <c r="G4825" i="5" l="1"/>
  <c r="C4824" i="5"/>
  <c r="O4827" i="5"/>
  <c r="K4826" i="5"/>
  <c r="G4826" i="5" l="1"/>
  <c r="C4825" i="5"/>
  <c r="K4827" i="5"/>
  <c r="O4828" i="5"/>
  <c r="C4826" i="5" l="1"/>
  <c r="G4827" i="5"/>
  <c r="O4829" i="5"/>
  <c r="K4828" i="5"/>
  <c r="C4827" i="5" l="1"/>
  <c r="G4828" i="5"/>
  <c r="O4830" i="5"/>
  <c r="K4829" i="5"/>
  <c r="G4829" i="5" l="1"/>
  <c r="C4828" i="5"/>
  <c r="O4831" i="5"/>
  <c r="K4830" i="5"/>
  <c r="G4830" i="5" l="1"/>
  <c r="C4829" i="5"/>
  <c r="K4831" i="5"/>
  <c r="O4832" i="5"/>
  <c r="C4830" i="5" l="1"/>
  <c r="G4831" i="5"/>
  <c r="O4833" i="5"/>
  <c r="K4832" i="5"/>
  <c r="G4832" i="5" l="1"/>
  <c r="C4831" i="5"/>
  <c r="O4834" i="5"/>
  <c r="K4833" i="5"/>
  <c r="G4833" i="5" l="1"/>
  <c r="C4832" i="5"/>
  <c r="K4834" i="5"/>
  <c r="O4835" i="5"/>
  <c r="G4834" i="5" l="1"/>
  <c r="C4833" i="5"/>
  <c r="K4835" i="5"/>
  <c r="O4836" i="5"/>
  <c r="C4834" i="5" l="1"/>
  <c r="G4835" i="5"/>
  <c r="O4837" i="5"/>
  <c r="K4836" i="5"/>
  <c r="G4836" i="5" l="1"/>
  <c r="C4835" i="5"/>
  <c r="O4838" i="5"/>
  <c r="K4837" i="5"/>
  <c r="C4836" i="5" l="1"/>
  <c r="G4837" i="5"/>
  <c r="O4839" i="5"/>
  <c r="K4838" i="5"/>
  <c r="C4837" i="5" l="1"/>
  <c r="G4838" i="5"/>
  <c r="K4839" i="5"/>
  <c r="O4840" i="5"/>
  <c r="C4838" i="5" l="1"/>
  <c r="G4839" i="5"/>
  <c r="O4841" i="5"/>
  <c r="K4840" i="5"/>
  <c r="G4840" i="5" l="1"/>
  <c r="C4839" i="5"/>
  <c r="O4842" i="5"/>
  <c r="K4841" i="5"/>
  <c r="C4840" i="5" l="1"/>
  <c r="G4841" i="5"/>
  <c r="K4842" i="5"/>
  <c r="O4843" i="5"/>
  <c r="C4841" i="5" l="1"/>
  <c r="G4842" i="5"/>
  <c r="K4843" i="5"/>
  <c r="O4844" i="5"/>
  <c r="C4842" i="5" l="1"/>
  <c r="G4843" i="5"/>
  <c r="O4845" i="5"/>
  <c r="K4844" i="5"/>
  <c r="G4844" i="5" l="1"/>
  <c r="C4843" i="5"/>
  <c r="O4846" i="5"/>
  <c r="K4845" i="5"/>
  <c r="C4844" i="5" l="1"/>
  <c r="G4845" i="5"/>
  <c r="O4847" i="5"/>
  <c r="K4846" i="5"/>
  <c r="G4846" i="5" l="1"/>
  <c r="C4845" i="5"/>
  <c r="K4847" i="5"/>
  <c r="O4848" i="5"/>
  <c r="C4846" i="5" l="1"/>
  <c r="G4847" i="5"/>
  <c r="O4849" i="5"/>
  <c r="K4848" i="5"/>
  <c r="C4847" i="5" l="1"/>
  <c r="G4848" i="5"/>
  <c r="O4850" i="5"/>
  <c r="K4849" i="5"/>
  <c r="C4848" i="5" l="1"/>
  <c r="G4849" i="5"/>
  <c r="K4850" i="5"/>
  <c r="O4851" i="5"/>
  <c r="G4850" i="5" l="1"/>
  <c r="C4849" i="5"/>
  <c r="K4851" i="5"/>
  <c r="O4852" i="5"/>
  <c r="C4850" i="5" l="1"/>
  <c r="G4851" i="5"/>
  <c r="O4853" i="5"/>
  <c r="K4852" i="5"/>
  <c r="C4851" i="5" l="1"/>
  <c r="G4852" i="5"/>
  <c r="O4854" i="5"/>
  <c r="K4853" i="5"/>
  <c r="G4853" i="5" l="1"/>
  <c r="C4852" i="5"/>
  <c r="O4855" i="5"/>
  <c r="K4854" i="5"/>
  <c r="G4854" i="5" l="1"/>
  <c r="C4853" i="5"/>
  <c r="K4855" i="5"/>
  <c r="O4856" i="5"/>
  <c r="C4854" i="5" l="1"/>
  <c r="G4855" i="5"/>
  <c r="O4857" i="5"/>
  <c r="K4856" i="5"/>
  <c r="C4855" i="5" l="1"/>
  <c r="G4856" i="5"/>
  <c r="O4858" i="5"/>
  <c r="K4857" i="5"/>
  <c r="G4857" i="5" l="1"/>
  <c r="C4856" i="5"/>
  <c r="O4859" i="5"/>
  <c r="K4858" i="5"/>
  <c r="G4858" i="5" l="1"/>
  <c r="C4857" i="5"/>
  <c r="K4859" i="5"/>
  <c r="O4860" i="5"/>
  <c r="C4858" i="5" l="1"/>
  <c r="G4859" i="5"/>
  <c r="O4861" i="5"/>
  <c r="K4860" i="5"/>
  <c r="G4860" i="5" l="1"/>
  <c r="C4859" i="5"/>
  <c r="O4862" i="5"/>
  <c r="K4861" i="5"/>
  <c r="C4860" i="5" l="1"/>
  <c r="G4861" i="5"/>
  <c r="O4863" i="5"/>
  <c r="K4862" i="5"/>
  <c r="C4861" i="5" l="1"/>
  <c r="G4862" i="5"/>
  <c r="K4863" i="5"/>
  <c r="O4864" i="5"/>
  <c r="C4862" i="5" l="1"/>
  <c r="G4863" i="5"/>
  <c r="O4865" i="5"/>
  <c r="K4864" i="5"/>
  <c r="G4864" i="5" l="1"/>
  <c r="C4863" i="5"/>
  <c r="O4866" i="5"/>
  <c r="K4865" i="5"/>
  <c r="C4864" i="5" l="1"/>
  <c r="G4865" i="5"/>
  <c r="K4866" i="5"/>
  <c r="O4867" i="5"/>
  <c r="G4866" i="5" l="1"/>
  <c r="C4865" i="5"/>
  <c r="K4867" i="5"/>
  <c r="O4868" i="5"/>
  <c r="G4867" i="5" l="1"/>
  <c r="C4866" i="5"/>
  <c r="O4869" i="5"/>
  <c r="K4868" i="5"/>
  <c r="C4867" i="5" l="1"/>
  <c r="G4868" i="5"/>
  <c r="O4870" i="5"/>
  <c r="K4869" i="5"/>
  <c r="C4868" i="5" l="1"/>
  <c r="G4869" i="5"/>
  <c r="O4871" i="5"/>
  <c r="K4870" i="5"/>
  <c r="C4869" i="5" l="1"/>
  <c r="G4870" i="5"/>
  <c r="K4871" i="5"/>
  <c r="O4872" i="5"/>
  <c r="G4871" i="5" l="1"/>
  <c r="C4870" i="5"/>
  <c r="O4873" i="5"/>
  <c r="K4872" i="5"/>
  <c r="C4871" i="5" l="1"/>
  <c r="G4872" i="5"/>
  <c r="O4874" i="5"/>
  <c r="K4873" i="5"/>
  <c r="G4873" i="5" l="1"/>
  <c r="C4872" i="5"/>
  <c r="K4874" i="5"/>
  <c r="O4875" i="5"/>
  <c r="C4873" i="5" l="1"/>
  <c r="G4874" i="5"/>
  <c r="K4875" i="5"/>
  <c r="O4876" i="5"/>
  <c r="C4874" i="5" l="1"/>
  <c r="G4875" i="5"/>
  <c r="O4877" i="5"/>
  <c r="K4876" i="5"/>
  <c r="G4876" i="5" l="1"/>
  <c r="C4875" i="5"/>
  <c r="O4878" i="5"/>
  <c r="K4877" i="5"/>
  <c r="C4876" i="5" l="1"/>
  <c r="G4877" i="5"/>
  <c r="O4879" i="5"/>
  <c r="K4878" i="5"/>
  <c r="G4878" i="5" l="1"/>
  <c r="C4877" i="5"/>
  <c r="K4879" i="5"/>
  <c r="O4880" i="5"/>
  <c r="G4879" i="5" l="1"/>
  <c r="C4878" i="5"/>
  <c r="O4881" i="5"/>
  <c r="K4880" i="5"/>
  <c r="C4879" i="5" l="1"/>
  <c r="G4880" i="5"/>
  <c r="O4882" i="5"/>
  <c r="K4881" i="5"/>
  <c r="G4881" i="5" l="1"/>
  <c r="C4880" i="5"/>
  <c r="O4883" i="5"/>
  <c r="K4882" i="5"/>
  <c r="C4881" i="5" l="1"/>
  <c r="G4882" i="5"/>
  <c r="K4883" i="5"/>
  <c r="O4884" i="5"/>
  <c r="G4883" i="5" l="1"/>
  <c r="C4882" i="5"/>
  <c r="O4885" i="5"/>
  <c r="K4884" i="5"/>
  <c r="C4883" i="5" l="1"/>
  <c r="G4884" i="5"/>
  <c r="O4886" i="5"/>
  <c r="K4885" i="5"/>
  <c r="C4884" i="5" l="1"/>
  <c r="G4885" i="5"/>
  <c r="O4887" i="5"/>
  <c r="K4886" i="5"/>
  <c r="C4885" i="5" l="1"/>
  <c r="G4886" i="5"/>
  <c r="K4887" i="5"/>
  <c r="O4888" i="5"/>
  <c r="C4886" i="5" l="1"/>
  <c r="G4887" i="5"/>
  <c r="O4889" i="5"/>
  <c r="K4888" i="5"/>
  <c r="C4887" i="5" l="1"/>
  <c r="G4888" i="5"/>
  <c r="O4890" i="5"/>
  <c r="K4889" i="5"/>
  <c r="G4889" i="5" l="1"/>
  <c r="C4888" i="5"/>
  <c r="O4891" i="5"/>
  <c r="K4890" i="5"/>
  <c r="G4890" i="5" l="1"/>
  <c r="C4889" i="5"/>
  <c r="K4891" i="5"/>
  <c r="O4892" i="5"/>
  <c r="C4890" i="5" l="1"/>
  <c r="G4891" i="5"/>
  <c r="O4893" i="5"/>
  <c r="K4892" i="5"/>
  <c r="G4892" i="5" l="1"/>
  <c r="C4891" i="5"/>
  <c r="O4894" i="5"/>
  <c r="K4893" i="5"/>
  <c r="G4893" i="5" l="1"/>
  <c r="C4892" i="5"/>
  <c r="O4895" i="5"/>
  <c r="K4894" i="5"/>
  <c r="G4894" i="5" l="1"/>
  <c r="C4893" i="5"/>
  <c r="K4895" i="5"/>
  <c r="O4896" i="5"/>
  <c r="C4894" i="5" l="1"/>
  <c r="G4895" i="5"/>
  <c r="O4897" i="5"/>
  <c r="K4896" i="5"/>
  <c r="G4896" i="5" l="1"/>
  <c r="C4895" i="5"/>
  <c r="O4898" i="5"/>
  <c r="K4897" i="5"/>
  <c r="G4897" i="5" l="1"/>
  <c r="C4896" i="5"/>
  <c r="O4899" i="5"/>
  <c r="K4898" i="5"/>
  <c r="G4898" i="5" l="1"/>
  <c r="C4897" i="5"/>
  <c r="K4899" i="5"/>
  <c r="O4900" i="5"/>
  <c r="C4898" i="5" l="1"/>
  <c r="G4899" i="5"/>
  <c r="O4901" i="5"/>
  <c r="K4900" i="5"/>
  <c r="G4900" i="5" l="1"/>
  <c r="C4899" i="5"/>
  <c r="O4902" i="5"/>
  <c r="K4901" i="5"/>
  <c r="C4900" i="5" l="1"/>
  <c r="G4901" i="5"/>
  <c r="O4903" i="5"/>
  <c r="K4902" i="5"/>
  <c r="G4902" i="5" l="1"/>
  <c r="C4901" i="5"/>
  <c r="K4903" i="5"/>
  <c r="O4904" i="5"/>
  <c r="G4903" i="5" l="1"/>
  <c r="C4902" i="5"/>
  <c r="O4905" i="5"/>
  <c r="K4904" i="5"/>
  <c r="G4904" i="5" l="1"/>
  <c r="C4903" i="5"/>
  <c r="O4906" i="5"/>
  <c r="K4905" i="5"/>
  <c r="G4905" i="5" l="1"/>
  <c r="C4904" i="5"/>
  <c r="K4906" i="5"/>
  <c r="O4907" i="5"/>
  <c r="C4905" i="5" l="1"/>
  <c r="G4906" i="5"/>
  <c r="K4907" i="5"/>
  <c r="O4908" i="5"/>
  <c r="C4906" i="5" l="1"/>
  <c r="G4907" i="5"/>
  <c r="O4909" i="5"/>
  <c r="K4908" i="5"/>
  <c r="G4908" i="5" l="1"/>
  <c r="C4907" i="5"/>
  <c r="O4910" i="5"/>
  <c r="K4909" i="5"/>
  <c r="C4908" i="5" l="1"/>
  <c r="G4909" i="5"/>
  <c r="O4911" i="5"/>
  <c r="K4910" i="5"/>
  <c r="G4910" i="5" l="1"/>
  <c r="C4909" i="5"/>
  <c r="K4911" i="5"/>
  <c r="O4912" i="5"/>
  <c r="C4910" i="5" l="1"/>
  <c r="G4911" i="5"/>
  <c r="O4913" i="5"/>
  <c r="K4912" i="5"/>
  <c r="G4912" i="5" l="1"/>
  <c r="C4911" i="5"/>
  <c r="O4914" i="5"/>
  <c r="K4913" i="5"/>
  <c r="G4913" i="5" l="1"/>
  <c r="C4912" i="5"/>
  <c r="O4915" i="5"/>
  <c r="K4914" i="5"/>
  <c r="C4913" i="5" l="1"/>
  <c r="G4914" i="5"/>
  <c r="K4915" i="5"/>
  <c r="O4916" i="5"/>
  <c r="C4914" i="5" l="1"/>
  <c r="G4915" i="5"/>
  <c r="O4917" i="5"/>
  <c r="K4916" i="5"/>
  <c r="C4915" i="5" l="1"/>
  <c r="G4916" i="5"/>
  <c r="O4918" i="5"/>
  <c r="K4917" i="5"/>
  <c r="G4917" i="5" l="1"/>
  <c r="C4916" i="5"/>
  <c r="O4919" i="5"/>
  <c r="K4918" i="5"/>
  <c r="G4918" i="5" l="1"/>
  <c r="C4917" i="5"/>
  <c r="K4919" i="5"/>
  <c r="O4920" i="5"/>
  <c r="C4918" i="5" l="1"/>
  <c r="G4919" i="5"/>
  <c r="O4921" i="5"/>
  <c r="K4920" i="5"/>
  <c r="C4919" i="5" l="1"/>
  <c r="G4920" i="5"/>
  <c r="O4922" i="5"/>
  <c r="K4921" i="5"/>
  <c r="G4921" i="5" l="1"/>
  <c r="C4920" i="5"/>
  <c r="O4923" i="5"/>
  <c r="K4922" i="5"/>
  <c r="G4922" i="5" l="1"/>
  <c r="C4921" i="5"/>
  <c r="K4923" i="5"/>
  <c r="O4924" i="5"/>
  <c r="C4922" i="5" l="1"/>
  <c r="G4923" i="5"/>
  <c r="O4925" i="5"/>
  <c r="K4924" i="5"/>
  <c r="G4924" i="5" l="1"/>
  <c r="C4923" i="5"/>
  <c r="O4926" i="5"/>
  <c r="K4925" i="5"/>
  <c r="C4924" i="5" l="1"/>
  <c r="G4925" i="5"/>
  <c r="O4927" i="5"/>
  <c r="K4926" i="5"/>
  <c r="G4926" i="5" l="1"/>
  <c r="C4925" i="5"/>
  <c r="K4927" i="5"/>
  <c r="O4928" i="5"/>
  <c r="C4926" i="5" l="1"/>
  <c r="G4927" i="5"/>
  <c r="O4929" i="5"/>
  <c r="K4928" i="5"/>
  <c r="G4928" i="5" l="1"/>
  <c r="C4927" i="5"/>
  <c r="O4930" i="5"/>
  <c r="K4929" i="5"/>
  <c r="G4929" i="5" l="1"/>
  <c r="C4928" i="5"/>
  <c r="O4931" i="5"/>
  <c r="K4930" i="5"/>
  <c r="G4930" i="5" l="1"/>
  <c r="C4929" i="5"/>
  <c r="K4931" i="5"/>
  <c r="O4932" i="5"/>
  <c r="C4930" i="5" l="1"/>
  <c r="G4931" i="5"/>
  <c r="O4933" i="5"/>
  <c r="K4932" i="5"/>
  <c r="G4932" i="5" l="1"/>
  <c r="C4931" i="5"/>
  <c r="O4934" i="5"/>
  <c r="K4933" i="5"/>
  <c r="G4933" i="5" l="1"/>
  <c r="C4932" i="5"/>
  <c r="O4935" i="5"/>
  <c r="K4934" i="5"/>
  <c r="G4934" i="5" l="1"/>
  <c r="C4933" i="5"/>
  <c r="K4935" i="5"/>
  <c r="O4936" i="5"/>
  <c r="C4934" i="5" l="1"/>
  <c r="G4935" i="5"/>
  <c r="O4937" i="5"/>
  <c r="K4936" i="5"/>
  <c r="G4936" i="5" l="1"/>
  <c r="C4935" i="5"/>
  <c r="O4938" i="5"/>
  <c r="K4937" i="5"/>
  <c r="C4936" i="5" l="1"/>
  <c r="G4937" i="5"/>
  <c r="K4938" i="5"/>
  <c r="O4939" i="5"/>
  <c r="G4938" i="5" l="1"/>
  <c r="C4937" i="5"/>
  <c r="K4939" i="5"/>
  <c r="O4940" i="5"/>
  <c r="G4939" i="5" l="1"/>
  <c r="C4938" i="5"/>
  <c r="O4941" i="5"/>
  <c r="K4940" i="5"/>
  <c r="G4940" i="5" l="1"/>
  <c r="C4939" i="5"/>
  <c r="O4942" i="5"/>
  <c r="K4941" i="5"/>
  <c r="G4941" i="5" l="1"/>
  <c r="C4940" i="5"/>
  <c r="O4943" i="5"/>
  <c r="K4942" i="5"/>
  <c r="G4942" i="5" l="1"/>
  <c r="C4941" i="5"/>
  <c r="K4943" i="5"/>
  <c r="O4944" i="5"/>
  <c r="C4942" i="5" l="1"/>
  <c r="G4943" i="5"/>
  <c r="O4945" i="5"/>
  <c r="K4944" i="5"/>
  <c r="G4944" i="5" l="1"/>
  <c r="C4943" i="5"/>
  <c r="O4946" i="5"/>
  <c r="K4945" i="5"/>
  <c r="G4945" i="5" l="1"/>
  <c r="C4944" i="5"/>
  <c r="O4947" i="5"/>
  <c r="K4946" i="5"/>
  <c r="C4945" i="5" l="1"/>
  <c r="G4946" i="5"/>
  <c r="K4947" i="5"/>
  <c r="O4948" i="5"/>
  <c r="C4946" i="5" l="1"/>
  <c r="G4947" i="5"/>
  <c r="O4949" i="5"/>
  <c r="K4948" i="5"/>
  <c r="C4947" i="5" l="1"/>
  <c r="G4948" i="5"/>
  <c r="O4950" i="5"/>
  <c r="K4949" i="5"/>
  <c r="G4949" i="5" l="1"/>
  <c r="C4948" i="5"/>
  <c r="O4951" i="5"/>
  <c r="K4950" i="5"/>
  <c r="C4949" i="5" l="1"/>
  <c r="G4950" i="5"/>
  <c r="K4951" i="5"/>
  <c r="O4952" i="5"/>
  <c r="G4951" i="5" l="1"/>
  <c r="C4950" i="5"/>
  <c r="O4953" i="5"/>
  <c r="K4952" i="5"/>
  <c r="C4951" i="5" l="1"/>
  <c r="G4952" i="5"/>
  <c r="O4954" i="5"/>
  <c r="K4953" i="5"/>
  <c r="G4953" i="5" l="1"/>
  <c r="C4952" i="5"/>
  <c r="O4955" i="5"/>
  <c r="K4954" i="5"/>
  <c r="C4953" i="5" l="1"/>
  <c r="G4954" i="5"/>
  <c r="K4955" i="5"/>
  <c r="O4956" i="5"/>
  <c r="C4954" i="5" l="1"/>
  <c r="G4955" i="5"/>
  <c r="O4957" i="5"/>
  <c r="K4956" i="5"/>
  <c r="G4956" i="5" l="1"/>
  <c r="C4955" i="5"/>
  <c r="O4958" i="5"/>
  <c r="K4957" i="5"/>
  <c r="C4956" i="5" l="1"/>
  <c r="G4957" i="5"/>
  <c r="O4959" i="5"/>
  <c r="K4958" i="5"/>
  <c r="C4957" i="5" l="1"/>
  <c r="G4958" i="5"/>
  <c r="K4959" i="5"/>
  <c r="O4960" i="5"/>
  <c r="C4958" i="5" l="1"/>
  <c r="G4959" i="5"/>
  <c r="O4961" i="5"/>
  <c r="K4960" i="5"/>
  <c r="G4960" i="5" l="1"/>
  <c r="C4959" i="5"/>
  <c r="O4962" i="5"/>
  <c r="K4961" i="5"/>
  <c r="G4961" i="5" l="1"/>
  <c r="C4960" i="5"/>
  <c r="O4963" i="5"/>
  <c r="K4962" i="5"/>
  <c r="G4962" i="5" l="1"/>
  <c r="C4961" i="5"/>
  <c r="K4963" i="5"/>
  <c r="O4964" i="5"/>
  <c r="C4962" i="5" l="1"/>
  <c r="G4963" i="5"/>
  <c r="O4965" i="5"/>
  <c r="K4964" i="5"/>
  <c r="G4964" i="5" l="1"/>
  <c r="C4963" i="5"/>
  <c r="O4966" i="5"/>
  <c r="K4965" i="5"/>
  <c r="C4964" i="5" l="1"/>
  <c r="G4965" i="5"/>
  <c r="O4967" i="5"/>
  <c r="K4966" i="5"/>
  <c r="C4965" i="5" l="1"/>
  <c r="G4966" i="5"/>
  <c r="K4967" i="5"/>
  <c r="O4968" i="5"/>
  <c r="C4966" i="5" l="1"/>
  <c r="G4967" i="5"/>
  <c r="O4969" i="5"/>
  <c r="K4968" i="5"/>
  <c r="C4967" i="5" l="1"/>
  <c r="G4968" i="5"/>
  <c r="O4970" i="5"/>
  <c r="K4969" i="5"/>
  <c r="G4969" i="5" l="1"/>
  <c r="C4968" i="5"/>
  <c r="O4971" i="5"/>
  <c r="K4970" i="5"/>
  <c r="G4970" i="5" l="1"/>
  <c r="C4969" i="5"/>
  <c r="K4971" i="5"/>
  <c r="O4972" i="5"/>
  <c r="C4970" i="5" l="1"/>
  <c r="G4971" i="5"/>
  <c r="O4973" i="5"/>
  <c r="K4972" i="5"/>
  <c r="G4972" i="5" l="1"/>
  <c r="C4971" i="5"/>
  <c r="O4974" i="5"/>
  <c r="K4973" i="5"/>
  <c r="G4973" i="5" l="1"/>
  <c r="C4972" i="5"/>
  <c r="O4975" i="5"/>
  <c r="K4974" i="5"/>
  <c r="C4973" i="5" l="1"/>
  <c r="G4974" i="5"/>
  <c r="K4975" i="5"/>
  <c r="O4976" i="5"/>
  <c r="C4974" i="5" l="1"/>
  <c r="G4975" i="5"/>
  <c r="O4977" i="5"/>
  <c r="K4976" i="5"/>
  <c r="G4976" i="5" l="1"/>
  <c r="C4975" i="5"/>
  <c r="O4978" i="5"/>
  <c r="K4977" i="5"/>
  <c r="G4977" i="5" l="1"/>
  <c r="C4976" i="5"/>
  <c r="O4979" i="5"/>
  <c r="K4978" i="5"/>
  <c r="G4978" i="5" l="1"/>
  <c r="C4977" i="5"/>
  <c r="K4979" i="5"/>
  <c r="O4980" i="5"/>
  <c r="G4979" i="5" l="1"/>
  <c r="C4978" i="5"/>
  <c r="O4981" i="5"/>
  <c r="K4980" i="5"/>
  <c r="G4980" i="5" l="1"/>
  <c r="C4979" i="5"/>
  <c r="O4982" i="5"/>
  <c r="K4981" i="5"/>
  <c r="C4980" i="5" l="1"/>
  <c r="G4981" i="5"/>
  <c r="O4983" i="5"/>
  <c r="K4982" i="5"/>
  <c r="C4981" i="5" l="1"/>
  <c r="G4982" i="5"/>
  <c r="K4983" i="5"/>
  <c r="O4984" i="5"/>
  <c r="C4982" i="5" l="1"/>
  <c r="G4983" i="5"/>
  <c r="O4985" i="5"/>
  <c r="K4984" i="5"/>
  <c r="C4983" i="5" l="1"/>
  <c r="G4984" i="5"/>
  <c r="O4986" i="5"/>
  <c r="K4985" i="5"/>
  <c r="G4985" i="5" l="1"/>
  <c r="C4984" i="5"/>
  <c r="O4987" i="5"/>
  <c r="K4986" i="5"/>
  <c r="G4986" i="5" l="1"/>
  <c r="C4985" i="5"/>
  <c r="K4987" i="5"/>
  <c r="O4988" i="5"/>
  <c r="C4986" i="5" l="1"/>
  <c r="G4987" i="5"/>
  <c r="O4989" i="5"/>
  <c r="K4988" i="5"/>
  <c r="C4987" i="5" l="1"/>
  <c r="G4988" i="5"/>
  <c r="O4990" i="5"/>
  <c r="K4989" i="5"/>
  <c r="G4989" i="5" l="1"/>
  <c r="C4988" i="5"/>
  <c r="O4991" i="5"/>
  <c r="K4990" i="5"/>
  <c r="G4990" i="5" l="1"/>
  <c r="C4989" i="5"/>
  <c r="K4991" i="5"/>
  <c r="O4992" i="5"/>
  <c r="C4990" i="5" l="1"/>
  <c r="G4991" i="5"/>
  <c r="O4993" i="5"/>
  <c r="K4992" i="5"/>
  <c r="G4992" i="5" l="1"/>
  <c r="C4991" i="5"/>
  <c r="O4994" i="5"/>
  <c r="K4993" i="5"/>
  <c r="G4993" i="5" l="1"/>
  <c r="C4992" i="5"/>
  <c r="O4995" i="5"/>
  <c r="K4994" i="5"/>
  <c r="G4994" i="5" l="1"/>
  <c r="C4993" i="5"/>
  <c r="K4995" i="5"/>
  <c r="O4996" i="5"/>
  <c r="C4994" i="5" l="1"/>
  <c r="G4995" i="5"/>
  <c r="O4997" i="5"/>
  <c r="K4996" i="5"/>
  <c r="G4996" i="5" l="1"/>
  <c r="C4995" i="5"/>
  <c r="O4998" i="5"/>
  <c r="K4997" i="5"/>
  <c r="G4997" i="5" l="1"/>
  <c r="C4996" i="5"/>
  <c r="O4999" i="5"/>
  <c r="K4998" i="5"/>
  <c r="G4998" i="5" l="1"/>
  <c r="C4997" i="5"/>
  <c r="K4999" i="5"/>
  <c r="O5000" i="5"/>
  <c r="C4998" i="5" l="1"/>
  <c r="G4999" i="5"/>
  <c r="O5001" i="5"/>
  <c r="K5000" i="5"/>
  <c r="G5000" i="5" l="1"/>
  <c r="C4999" i="5"/>
  <c r="K5001" i="5"/>
  <c r="O5002" i="5"/>
  <c r="C5000" i="5" l="1"/>
  <c r="G5001" i="5"/>
  <c r="O5003" i="5"/>
  <c r="K5002" i="5"/>
  <c r="G5002" i="5" l="1"/>
  <c r="C5001" i="5"/>
  <c r="O5004" i="5"/>
  <c r="K5003" i="5"/>
  <c r="C5002" i="5" l="1"/>
  <c r="G5003" i="5"/>
  <c r="K5004" i="5"/>
  <c r="O5005" i="5"/>
  <c r="G5004" i="5" l="1"/>
  <c r="C5003" i="5"/>
  <c r="K5005" i="5"/>
  <c r="O5006" i="5"/>
  <c r="C5004" i="5" l="1"/>
  <c r="G5005" i="5"/>
  <c r="O5007" i="5"/>
  <c r="K5006" i="5"/>
  <c r="G5006" i="5" l="1"/>
  <c r="C5005" i="5"/>
  <c r="O5008" i="5"/>
  <c r="K5007" i="5"/>
  <c r="C5006" i="5" l="1"/>
  <c r="G5007" i="5"/>
  <c r="O5009" i="5"/>
  <c r="K5008" i="5"/>
  <c r="C5007" i="5" l="1"/>
  <c r="G5008" i="5"/>
  <c r="K5009" i="5"/>
  <c r="O5010" i="5"/>
  <c r="C5008" i="5" l="1"/>
  <c r="G5009" i="5"/>
  <c r="O5011" i="5"/>
  <c r="K5010" i="5"/>
  <c r="G5010" i="5" l="1"/>
  <c r="C5009" i="5"/>
  <c r="O5012" i="5"/>
  <c r="K5011" i="5"/>
  <c r="C5010" i="5" l="1"/>
  <c r="G5011" i="5"/>
  <c r="K5012" i="5"/>
  <c r="O5013" i="5"/>
  <c r="G5012" i="5" l="1"/>
  <c r="C5011" i="5"/>
  <c r="K5013" i="5"/>
  <c r="O5014" i="5"/>
  <c r="C5012" i="5" l="1"/>
  <c r="G5013" i="5"/>
  <c r="O5015" i="5"/>
  <c r="K5014" i="5"/>
  <c r="G5014" i="5" l="1"/>
  <c r="C5013" i="5"/>
  <c r="O5016" i="5"/>
  <c r="K5015" i="5"/>
  <c r="G5015" i="5" l="1"/>
  <c r="C5014" i="5"/>
  <c r="O5017" i="5"/>
  <c r="K5016" i="5"/>
  <c r="G5016" i="5" l="1"/>
  <c r="C5015" i="5"/>
  <c r="K5017" i="5"/>
  <c r="O5018" i="5"/>
  <c r="G5017" i="5" l="1"/>
  <c r="C5016" i="5"/>
  <c r="O5019" i="5"/>
  <c r="K5018" i="5"/>
  <c r="G5018" i="5" l="1"/>
  <c r="C5017" i="5"/>
  <c r="O5020" i="5"/>
  <c r="K5019" i="5"/>
  <c r="G5019" i="5" l="1"/>
  <c r="C5018" i="5"/>
  <c r="K5020" i="5"/>
  <c r="O5021" i="5"/>
  <c r="G5020" i="5" l="1"/>
  <c r="C5019" i="5"/>
  <c r="K5021" i="5"/>
  <c r="O5022" i="5"/>
  <c r="G5021" i="5" l="1"/>
  <c r="C5020" i="5"/>
  <c r="O5023" i="5"/>
  <c r="K5022" i="5"/>
  <c r="G5022" i="5" l="1"/>
  <c r="C5021" i="5"/>
  <c r="O5024" i="5"/>
  <c r="K5023" i="5"/>
  <c r="C5022" i="5" l="1"/>
  <c r="G5023" i="5"/>
  <c r="O5025" i="5"/>
  <c r="K5024" i="5"/>
  <c r="G5024" i="5" l="1"/>
  <c r="C5023" i="5"/>
  <c r="K5025" i="5"/>
  <c r="O5026" i="5"/>
  <c r="G5025" i="5" l="1"/>
  <c r="C5024" i="5"/>
  <c r="O5027" i="5"/>
  <c r="K5026" i="5"/>
  <c r="G5026" i="5" l="1"/>
  <c r="C5025" i="5"/>
  <c r="O5028" i="5"/>
  <c r="K5027" i="5"/>
  <c r="C5026" i="5" l="1"/>
  <c r="G5027" i="5"/>
  <c r="K5028" i="5"/>
  <c r="O5029" i="5"/>
  <c r="G5028" i="5" l="1"/>
  <c r="C5027" i="5"/>
  <c r="K5029" i="5"/>
  <c r="O5030" i="5"/>
  <c r="G5029" i="5" l="1"/>
  <c r="C5028" i="5"/>
  <c r="O5031" i="5"/>
  <c r="K5030" i="5"/>
  <c r="G5030" i="5" l="1"/>
  <c r="C5029" i="5"/>
  <c r="O5032" i="5"/>
  <c r="K5031" i="5"/>
  <c r="C5030" i="5" l="1"/>
  <c r="G5031" i="5"/>
  <c r="O5033" i="5"/>
  <c r="K5032" i="5"/>
  <c r="G5032" i="5" l="1"/>
  <c r="C5031" i="5"/>
  <c r="K5033" i="5"/>
  <c r="O5034" i="5"/>
  <c r="G5033" i="5" l="1"/>
  <c r="C5032" i="5"/>
  <c r="O5035" i="5"/>
  <c r="K5034" i="5"/>
  <c r="G5034" i="5" l="1"/>
  <c r="C5033" i="5"/>
  <c r="O5036" i="5"/>
  <c r="K5035" i="5"/>
  <c r="C5034" i="5" l="1"/>
  <c r="G5035" i="5"/>
  <c r="K5036" i="5"/>
  <c r="O5037" i="5"/>
  <c r="G5036" i="5" l="1"/>
  <c r="C5035" i="5"/>
  <c r="K5037" i="5"/>
  <c r="O5038" i="5"/>
  <c r="G5037" i="5" l="1"/>
  <c r="C5036" i="5"/>
  <c r="O5039" i="5"/>
  <c r="K5038" i="5"/>
  <c r="C5037" i="5" l="1"/>
  <c r="G5038" i="5"/>
  <c r="O5040" i="5"/>
  <c r="K5039" i="5"/>
  <c r="G5039" i="5" l="1"/>
  <c r="C5038" i="5"/>
  <c r="O5041" i="5"/>
  <c r="K5040" i="5"/>
  <c r="C5039" i="5" l="1"/>
  <c r="G5040" i="5"/>
  <c r="K5041" i="5"/>
  <c r="O5042" i="5"/>
  <c r="C5040" i="5" l="1"/>
  <c r="G5041" i="5"/>
  <c r="O5043" i="5"/>
  <c r="K5042" i="5"/>
  <c r="G5042" i="5" l="1"/>
  <c r="C5041" i="5"/>
  <c r="O5044" i="5"/>
  <c r="K5043" i="5"/>
  <c r="C5042" i="5" l="1"/>
  <c r="G5043" i="5"/>
  <c r="K5044" i="5"/>
  <c r="O5045" i="5"/>
  <c r="C5043" i="5" l="1"/>
  <c r="G5044" i="5"/>
  <c r="K5045" i="5"/>
  <c r="O5046" i="5"/>
  <c r="G5045" i="5" l="1"/>
  <c r="C5044" i="5"/>
  <c r="O5047" i="5"/>
  <c r="K5046" i="5"/>
  <c r="G5046" i="5" l="1"/>
  <c r="C5045" i="5"/>
  <c r="O5048" i="5"/>
  <c r="K5047" i="5"/>
  <c r="C5046" i="5" l="1"/>
  <c r="G5047" i="5"/>
  <c r="O5049" i="5"/>
  <c r="K5048" i="5"/>
  <c r="C5047" i="5" l="1"/>
  <c r="G5048" i="5"/>
  <c r="K5049" i="5"/>
  <c r="O5050" i="5"/>
  <c r="G5049" i="5" l="1"/>
  <c r="C5048" i="5"/>
  <c r="O5051" i="5"/>
  <c r="K5050" i="5"/>
  <c r="G5050" i="5" l="1"/>
  <c r="C5049" i="5"/>
  <c r="O5052" i="5"/>
  <c r="K5051" i="5"/>
  <c r="C5050" i="5" l="1"/>
  <c r="G5051" i="5"/>
  <c r="K5052" i="5"/>
  <c r="O5053" i="5"/>
  <c r="G5052" i="5" l="1"/>
  <c r="C5051" i="5"/>
  <c r="K5053" i="5"/>
  <c r="O5054" i="5"/>
  <c r="G5053" i="5" l="1"/>
  <c r="C5052" i="5"/>
  <c r="O5055" i="5"/>
  <c r="K5054" i="5"/>
  <c r="G5054" i="5" l="1"/>
  <c r="C5053" i="5"/>
  <c r="O5056" i="5"/>
  <c r="K5055" i="5"/>
  <c r="C5054" i="5" l="1"/>
  <c r="G5055" i="5"/>
  <c r="O5057" i="5"/>
  <c r="K5056" i="5"/>
  <c r="G5056" i="5" l="1"/>
  <c r="C5055" i="5"/>
  <c r="K5057" i="5"/>
  <c r="O5058" i="5"/>
  <c r="C5056" i="5" l="1"/>
  <c r="G5057" i="5"/>
  <c r="O5059" i="5"/>
  <c r="K5058" i="5"/>
  <c r="G5058" i="5" l="1"/>
  <c r="C5057" i="5"/>
  <c r="O5060" i="5"/>
  <c r="K5059" i="5"/>
  <c r="C5058" i="5" l="1"/>
  <c r="G5059" i="5"/>
  <c r="K5060" i="5"/>
  <c r="O5061" i="5"/>
  <c r="C5059" i="5" l="1"/>
  <c r="G5060" i="5"/>
  <c r="K5061" i="5"/>
  <c r="O5062" i="5"/>
  <c r="G5061" i="5" l="1"/>
  <c r="C5060" i="5"/>
  <c r="O5063" i="5"/>
  <c r="K5062" i="5"/>
  <c r="G5062" i="5" l="1"/>
  <c r="C5061" i="5"/>
  <c r="O5064" i="5"/>
  <c r="K5063" i="5"/>
  <c r="C5062" i="5" l="1"/>
  <c r="G5063" i="5"/>
  <c r="O5065" i="5"/>
  <c r="K5064" i="5"/>
  <c r="G5064" i="5" l="1"/>
  <c r="C5063" i="5"/>
  <c r="K5065" i="5"/>
  <c r="O5066" i="5"/>
  <c r="G5065" i="5" l="1"/>
  <c r="C5064" i="5"/>
  <c r="O5067" i="5"/>
  <c r="K5066" i="5"/>
  <c r="G5066" i="5" l="1"/>
  <c r="C5065" i="5"/>
  <c r="O5068" i="5"/>
  <c r="K5067" i="5"/>
  <c r="C5066" i="5" l="1"/>
  <c r="G5067" i="5"/>
  <c r="K5068" i="5"/>
  <c r="O5069" i="5"/>
  <c r="C5067" i="5" l="1"/>
  <c r="G5068" i="5"/>
  <c r="K5069" i="5"/>
  <c r="O5070" i="5"/>
  <c r="G5069" i="5" l="1"/>
  <c r="C5068" i="5"/>
  <c r="O5071" i="5"/>
  <c r="K5070" i="5"/>
  <c r="G5070" i="5" l="1"/>
  <c r="C5069" i="5"/>
  <c r="O5072" i="5"/>
  <c r="K5071" i="5"/>
  <c r="C5070" i="5" l="1"/>
  <c r="G5071" i="5"/>
  <c r="O5073" i="5"/>
  <c r="K5072" i="5"/>
  <c r="C5071" i="5" l="1"/>
  <c r="G5072" i="5"/>
  <c r="K5073" i="5"/>
  <c r="O5074" i="5"/>
  <c r="C5072" i="5" l="1"/>
  <c r="G5073" i="5"/>
  <c r="O5075" i="5"/>
  <c r="K5074" i="5"/>
  <c r="G5074" i="5" l="1"/>
  <c r="C5073" i="5"/>
  <c r="O5076" i="5"/>
  <c r="K5075" i="5"/>
  <c r="C5074" i="5" l="1"/>
  <c r="G5075" i="5"/>
  <c r="K5076" i="5"/>
  <c r="O5077" i="5"/>
  <c r="C5075" i="5" l="1"/>
  <c r="G5076" i="5"/>
  <c r="K5077" i="5"/>
  <c r="O5078" i="5"/>
  <c r="G5077" i="5" l="1"/>
  <c r="C5076" i="5"/>
  <c r="O5079" i="5"/>
  <c r="K5078" i="5"/>
  <c r="G5078" i="5" l="1"/>
  <c r="C5077" i="5"/>
  <c r="O5080" i="5"/>
  <c r="K5079" i="5"/>
  <c r="C5078" i="5" l="1"/>
  <c r="G5079" i="5"/>
  <c r="O5081" i="5"/>
  <c r="K5080" i="5"/>
  <c r="G5080" i="5" l="1"/>
  <c r="C5079" i="5"/>
  <c r="K5081" i="5"/>
  <c r="O5082" i="5"/>
  <c r="C5080" i="5" l="1"/>
  <c r="G5081" i="5"/>
  <c r="O5083" i="5"/>
  <c r="K5082" i="5"/>
  <c r="G5082" i="5" l="1"/>
  <c r="C5081" i="5"/>
  <c r="O5084" i="5"/>
  <c r="K5083" i="5"/>
  <c r="C5082" i="5" l="1"/>
  <c r="G5083" i="5"/>
  <c r="K5084" i="5"/>
  <c r="O5085" i="5"/>
  <c r="G5084" i="5" l="1"/>
  <c r="C5083" i="5"/>
  <c r="K5085" i="5"/>
  <c r="O5086" i="5"/>
  <c r="C5084" i="5" l="1"/>
  <c r="G5085" i="5"/>
  <c r="O5087" i="5"/>
  <c r="K5086" i="5"/>
  <c r="G5086" i="5" l="1"/>
  <c r="C5085" i="5"/>
  <c r="O5088" i="5"/>
  <c r="K5087" i="5"/>
  <c r="G5087" i="5" l="1"/>
  <c r="C5086" i="5"/>
  <c r="O5089" i="5"/>
  <c r="K5088" i="5"/>
  <c r="G5088" i="5" l="1"/>
  <c r="C5087" i="5"/>
  <c r="K5089" i="5"/>
  <c r="O5090" i="5"/>
  <c r="C5088" i="5" l="1"/>
  <c r="G5089" i="5"/>
  <c r="O5091" i="5"/>
  <c r="K5090" i="5"/>
  <c r="G5090" i="5" l="1"/>
  <c r="C5089" i="5"/>
  <c r="O5092" i="5"/>
  <c r="K5091" i="5"/>
  <c r="C5090" i="5" l="1"/>
  <c r="G5091" i="5"/>
  <c r="K5092" i="5"/>
  <c r="O5093" i="5"/>
  <c r="G5092" i="5" l="1"/>
  <c r="C5091" i="5"/>
  <c r="K5093" i="5"/>
  <c r="O5094" i="5"/>
  <c r="C5092" i="5" l="1"/>
  <c r="G5093" i="5"/>
  <c r="O5095" i="5"/>
  <c r="K5094" i="5"/>
  <c r="G5094" i="5" l="1"/>
  <c r="C5093" i="5"/>
  <c r="O5096" i="5"/>
  <c r="K5095" i="5"/>
  <c r="G5095" i="5" l="1"/>
  <c r="C5094" i="5"/>
  <c r="O5097" i="5"/>
  <c r="K5096" i="5"/>
  <c r="C5095" i="5" l="1"/>
  <c r="G5096" i="5"/>
  <c r="K5097" i="5"/>
  <c r="O5098" i="5"/>
  <c r="C5096" i="5" l="1"/>
  <c r="G5097" i="5"/>
  <c r="O5099" i="5"/>
  <c r="K5098" i="5"/>
  <c r="C5097" i="5" l="1"/>
  <c r="G5098" i="5"/>
  <c r="O5100" i="5"/>
  <c r="K5099" i="5"/>
  <c r="C5098" i="5" l="1"/>
  <c r="G5099" i="5"/>
  <c r="K5100" i="5"/>
  <c r="O5101" i="5"/>
  <c r="C5099" i="5" l="1"/>
  <c r="G5100" i="5"/>
  <c r="K5101" i="5"/>
  <c r="O5102" i="5"/>
  <c r="C5100" i="5" l="1"/>
  <c r="G5101" i="5"/>
  <c r="O5103" i="5"/>
  <c r="K5102" i="5"/>
  <c r="G5102" i="5" l="1"/>
  <c r="C5101" i="5"/>
  <c r="O5104" i="5"/>
  <c r="K5103" i="5"/>
  <c r="C5102" i="5" l="1"/>
  <c r="G5103" i="5"/>
  <c r="O5105" i="5"/>
  <c r="K5104" i="5"/>
  <c r="G5104" i="5" l="1"/>
  <c r="C5103" i="5"/>
  <c r="K5105" i="5"/>
  <c r="O5106" i="5"/>
  <c r="G5105" i="5" l="1"/>
  <c r="C5104" i="5"/>
  <c r="O5107" i="5"/>
  <c r="K5106" i="5"/>
  <c r="C5105" i="5" l="1"/>
  <c r="G5106" i="5"/>
  <c r="O5108" i="5"/>
  <c r="K5107" i="5"/>
  <c r="C5106" i="5" l="1"/>
  <c r="G5107" i="5"/>
  <c r="K5108" i="5"/>
  <c r="O5109" i="5"/>
  <c r="C5107" i="5" l="1"/>
  <c r="G5108" i="5"/>
  <c r="K5109" i="5"/>
  <c r="O5110" i="5"/>
  <c r="G5109" i="5" l="1"/>
  <c r="C5108" i="5"/>
  <c r="O5111" i="5"/>
  <c r="K5110" i="5"/>
  <c r="C5109" i="5" l="1"/>
  <c r="G5110" i="5"/>
  <c r="O5112" i="5"/>
  <c r="K5111" i="5"/>
  <c r="C5110" i="5" l="1"/>
  <c r="G5111" i="5"/>
  <c r="O5113" i="5"/>
  <c r="K5112" i="5"/>
  <c r="G5112" i="5" l="1"/>
  <c r="C5111" i="5"/>
  <c r="K5113" i="5"/>
  <c r="O5114" i="5"/>
  <c r="C5112" i="5" l="1"/>
  <c r="G5113" i="5"/>
  <c r="O5115" i="5"/>
  <c r="K5114" i="5"/>
  <c r="C5113" i="5" l="1"/>
  <c r="G5114" i="5"/>
  <c r="O5116" i="5"/>
  <c r="K5115" i="5"/>
  <c r="G5115" i="5" l="1"/>
  <c r="C5114" i="5"/>
  <c r="K5116" i="5"/>
  <c r="O5117" i="5"/>
  <c r="C5115" i="5" l="1"/>
  <c r="G5116" i="5"/>
  <c r="K5117" i="5"/>
  <c r="O5118" i="5"/>
  <c r="G5117" i="5" l="1"/>
  <c r="C5116" i="5"/>
  <c r="O5119" i="5"/>
  <c r="K5118" i="5"/>
  <c r="C5117" i="5" l="1"/>
  <c r="G5118" i="5"/>
  <c r="O5120" i="5"/>
  <c r="K5119" i="5"/>
  <c r="C5118" i="5" l="1"/>
  <c r="G5119" i="5"/>
  <c r="O5121" i="5"/>
  <c r="K5120" i="5"/>
  <c r="C5119" i="5" l="1"/>
  <c r="G5120" i="5"/>
  <c r="K5121" i="5"/>
  <c r="O5122" i="5"/>
  <c r="C5120" i="5" l="1"/>
  <c r="G5121" i="5"/>
  <c r="O5123" i="5"/>
  <c r="K5122" i="5"/>
  <c r="G5122" i="5" l="1"/>
  <c r="C5121" i="5"/>
  <c r="O5124" i="5"/>
  <c r="K5123" i="5"/>
  <c r="C5122" i="5" l="1"/>
  <c r="G5123" i="5"/>
  <c r="K5124" i="5"/>
  <c r="O5125" i="5"/>
  <c r="G5124" i="5" l="1"/>
  <c r="C5123" i="5"/>
  <c r="K5125" i="5"/>
  <c r="O5126" i="5"/>
  <c r="C5124" i="5" l="1"/>
  <c r="G5125" i="5"/>
  <c r="O5127" i="5"/>
  <c r="K5126" i="5"/>
  <c r="C5125" i="5" l="1"/>
  <c r="G5126" i="5"/>
  <c r="O5128" i="5"/>
  <c r="K5127" i="5"/>
  <c r="G5127" i="5" l="1"/>
  <c r="C5126" i="5"/>
  <c r="O5129" i="5"/>
  <c r="K5128" i="5"/>
  <c r="C5127" i="5" l="1"/>
  <c r="G5128" i="5"/>
  <c r="K5129" i="5"/>
  <c r="O5130" i="5"/>
  <c r="G5129" i="5" l="1"/>
  <c r="C5128" i="5"/>
  <c r="O5131" i="5"/>
  <c r="K5130" i="5"/>
  <c r="G5130" i="5" l="1"/>
  <c r="C5129" i="5"/>
  <c r="O5132" i="5"/>
  <c r="K5131" i="5"/>
  <c r="C5130" i="5" l="1"/>
  <c r="G5131" i="5"/>
  <c r="K5132" i="5"/>
  <c r="O5133" i="5"/>
  <c r="G5132" i="5" l="1"/>
  <c r="C5131" i="5"/>
  <c r="K5133" i="5"/>
  <c r="O5134" i="5"/>
  <c r="C5132" i="5" l="1"/>
  <c r="G5133" i="5"/>
  <c r="O5135" i="5"/>
  <c r="K5134" i="5"/>
  <c r="G5134" i="5" l="1"/>
  <c r="C5133" i="5"/>
  <c r="O5136" i="5"/>
  <c r="K5135" i="5"/>
  <c r="C5134" i="5" l="1"/>
  <c r="G5135" i="5"/>
  <c r="O5137" i="5"/>
  <c r="K5136" i="5"/>
  <c r="G5136" i="5" l="1"/>
  <c r="C5135" i="5"/>
  <c r="K5137" i="5"/>
  <c r="O5138" i="5"/>
  <c r="G5137" i="5" l="1"/>
  <c r="C5136" i="5"/>
  <c r="O5139" i="5"/>
  <c r="K5138" i="5"/>
  <c r="C5137" i="5" l="1"/>
  <c r="G5138" i="5"/>
  <c r="O5140" i="5"/>
  <c r="K5139" i="5"/>
  <c r="C5138" i="5" l="1"/>
  <c r="G5139" i="5"/>
  <c r="K5140" i="5"/>
  <c r="O5141" i="5"/>
  <c r="C5139" i="5" l="1"/>
  <c r="G5140" i="5"/>
  <c r="K5141" i="5"/>
  <c r="O5142" i="5"/>
  <c r="C5140" i="5" l="1"/>
  <c r="G5141" i="5"/>
  <c r="O5143" i="5"/>
  <c r="K5142" i="5"/>
  <c r="C5141" i="5" l="1"/>
  <c r="G5142" i="5"/>
  <c r="O5144" i="5"/>
  <c r="K5143" i="5"/>
  <c r="G5143" i="5" l="1"/>
  <c r="C5142" i="5"/>
  <c r="O5145" i="5"/>
  <c r="K5144" i="5"/>
  <c r="G5144" i="5" l="1"/>
  <c r="C5143" i="5"/>
  <c r="K5145" i="5"/>
  <c r="O5146" i="5"/>
  <c r="C5144" i="5" l="1"/>
  <c r="G5145" i="5"/>
  <c r="O5147" i="5"/>
  <c r="K5146" i="5"/>
  <c r="C5145" i="5" l="1"/>
  <c r="G5146" i="5"/>
  <c r="O5148" i="5"/>
  <c r="K5147" i="5"/>
  <c r="C5146" i="5" l="1"/>
  <c r="G5147" i="5"/>
  <c r="K5148" i="5"/>
  <c r="O5149" i="5"/>
  <c r="G5148" i="5" l="1"/>
  <c r="C5147" i="5"/>
  <c r="K5149" i="5"/>
  <c r="O5150" i="5"/>
  <c r="G5149" i="5" l="1"/>
  <c r="C5148" i="5"/>
  <c r="O5151" i="5"/>
  <c r="K5150" i="5"/>
  <c r="G5150" i="5" l="1"/>
  <c r="C5149" i="5"/>
  <c r="O5152" i="5"/>
  <c r="K5151" i="5"/>
  <c r="C5150" i="5" l="1"/>
  <c r="G5151" i="5"/>
  <c r="O5153" i="5"/>
  <c r="K5152" i="5"/>
  <c r="G5152" i="5" l="1"/>
  <c r="C5151" i="5"/>
  <c r="K5153" i="5"/>
  <c r="O5154" i="5"/>
  <c r="G5153" i="5" l="1"/>
  <c r="C5152" i="5"/>
  <c r="O5155" i="5"/>
  <c r="K5154" i="5"/>
  <c r="G5154" i="5" l="1"/>
  <c r="C5153" i="5"/>
  <c r="O5156" i="5"/>
  <c r="K5155" i="5"/>
  <c r="G5155" i="5" l="1"/>
  <c r="C5154" i="5"/>
  <c r="K5156" i="5"/>
  <c r="O5157" i="5"/>
  <c r="C5155" i="5" l="1"/>
  <c r="G5156" i="5"/>
  <c r="K5157" i="5"/>
  <c r="O5158" i="5"/>
  <c r="C5156" i="5" l="1"/>
  <c r="G5157" i="5"/>
  <c r="O5159" i="5"/>
  <c r="K5158" i="5"/>
  <c r="G5158" i="5" l="1"/>
  <c r="C5157" i="5"/>
  <c r="O5160" i="5"/>
  <c r="K5159" i="5"/>
  <c r="C5158" i="5" l="1"/>
  <c r="G5159" i="5"/>
  <c r="O5161" i="5"/>
  <c r="K5160" i="5"/>
  <c r="G5160" i="5" l="1"/>
  <c r="C5159" i="5"/>
  <c r="K5161" i="5"/>
  <c r="O5162" i="5"/>
  <c r="G5161" i="5" l="1"/>
  <c r="C5160" i="5"/>
  <c r="O5163" i="5"/>
  <c r="K5162" i="5"/>
  <c r="C5161" i="5" l="1"/>
  <c r="G5162" i="5"/>
  <c r="O5164" i="5"/>
  <c r="K5163" i="5"/>
  <c r="C5162" i="5" l="1"/>
  <c r="G5163" i="5"/>
  <c r="K5164" i="5"/>
  <c r="O5165" i="5"/>
  <c r="G5164" i="5" l="1"/>
  <c r="C5163" i="5"/>
  <c r="K5165" i="5"/>
  <c r="O5166" i="5"/>
  <c r="C5164" i="5" l="1"/>
  <c r="G5165" i="5"/>
  <c r="O5167" i="5"/>
  <c r="K5166" i="5"/>
  <c r="G5166" i="5" l="1"/>
  <c r="C5165" i="5"/>
  <c r="O5168" i="5"/>
  <c r="K5167" i="5"/>
  <c r="C5166" i="5" l="1"/>
  <c r="G5167" i="5"/>
  <c r="O5169" i="5"/>
  <c r="K5168" i="5"/>
  <c r="G5168" i="5" l="1"/>
  <c r="C5167" i="5"/>
  <c r="K5169" i="5"/>
  <c r="O5170" i="5"/>
  <c r="C5168" i="5" l="1"/>
  <c r="G5169" i="5"/>
  <c r="O5171" i="5"/>
  <c r="K5170" i="5"/>
  <c r="G5170" i="5" l="1"/>
  <c r="C5169" i="5"/>
  <c r="O5172" i="5"/>
  <c r="K5171" i="5"/>
  <c r="G5171" i="5" l="1"/>
  <c r="C5170" i="5"/>
  <c r="K5172" i="5"/>
  <c r="O5173" i="5"/>
  <c r="G5172" i="5" l="1"/>
  <c r="C5171" i="5"/>
  <c r="K5173" i="5"/>
  <c r="O5174" i="5"/>
  <c r="C5172" i="5" l="1"/>
  <c r="G5173" i="5"/>
  <c r="O5175" i="5"/>
  <c r="K5174" i="5"/>
  <c r="C5173" i="5" l="1"/>
  <c r="G5174" i="5"/>
  <c r="O5176" i="5"/>
  <c r="K5175" i="5"/>
  <c r="C5174" i="5" l="1"/>
  <c r="G5175" i="5"/>
  <c r="O5177" i="5"/>
  <c r="K5176" i="5"/>
  <c r="G5176" i="5" l="1"/>
  <c r="C5175" i="5"/>
  <c r="K5177" i="5"/>
  <c r="O5178" i="5"/>
  <c r="C5176" i="5" l="1"/>
  <c r="G5177" i="5"/>
  <c r="O5179" i="5"/>
  <c r="K5178" i="5"/>
  <c r="G5178" i="5" l="1"/>
  <c r="C5177" i="5"/>
  <c r="O5180" i="5"/>
  <c r="K5179" i="5"/>
  <c r="C5178" i="5" l="1"/>
  <c r="G5179" i="5"/>
  <c r="K5180" i="5"/>
  <c r="O5181" i="5"/>
  <c r="G5180" i="5" l="1"/>
  <c r="C5179" i="5"/>
  <c r="K5181" i="5"/>
  <c r="O5182" i="5"/>
  <c r="G5181" i="5" l="1"/>
  <c r="C5180" i="5"/>
  <c r="O5183" i="5"/>
  <c r="K5182" i="5"/>
  <c r="G5182" i="5" l="1"/>
  <c r="C5181" i="5"/>
  <c r="O5184" i="5"/>
  <c r="K5183" i="5"/>
  <c r="C5182" i="5" l="1"/>
  <c r="G5183" i="5"/>
  <c r="O5185" i="5"/>
  <c r="K5184" i="5"/>
  <c r="G5184" i="5" l="1"/>
  <c r="C5183" i="5"/>
  <c r="K5185" i="5"/>
  <c r="O5186" i="5"/>
  <c r="G5185" i="5" l="1"/>
  <c r="C5184" i="5"/>
  <c r="O5187" i="5"/>
  <c r="K5186" i="5"/>
  <c r="G5186" i="5" l="1"/>
  <c r="C5185" i="5"/>
  <c r="O5188" i="5"/>
  <c r="K5187" i="5"/>
  <c r="G5187" i="5" l="1"/>
  <c r="C5186" i="5"/>
  <c r="K5188" i="5"/>
  <c r="O5189" i="5"/>
  <c r="C5187" i="5" l="1"/>
  <c r="G5188" i="5"/>
  <c r="K5189" i="5"/>
  <c r="O5190" i="5"/>
  <c r="G5189" i="5" l="1"/>
  <c r="C5188" i="5"/>
  <c r="O5191" i="5"/>
  <c r="K5190" i="5"/>
  <c r="C5189" i="5" l="1"/>
  <c r="G5190" i="5"/>
  <c r="O5192" i="5"/>
  <c r="K5191" i="5"/>
  <c r="C5190" i="5" l="1"/>
  <c r="G5191" i="5"/>
  <c r="O5193" i="5"/>
  <c r="K5192" i="5"/>
  <c r="C5191" i="5" l="1"/>
  <c r="G5192" i="5"/>
  <c r="K5193" i="5"/>
  <c r="O5194" i="5"/>
  <c r="G5193" i="5" l="1"/>
  <c r="C5192" i="5"/>
  <c r="O5195" i="5"/>
  <c r="K5194" i="5"/>
  <c r="G5194" i="5" l="1"/>
  <c r="C5193" i="5"/>
  <c r="O5196" i="5"/>
  <c r="K5195" i="5"/>
  <c r="C5194" i="5" l="1"/>
  <c r="G5195" i="5"/>
  <c r="K5196" i="5"/>
  <c r="O5197" i="5"/>
  <c r="C5195" i="5" l="1"/>
  <c r="G5196" i="5"/>
  <c r="K5197" i="5"/>
  <c r="O5198" i="5"/>
  <c r="C5196" i="5" l="1"/>
  <c r="G5197" i="5"/>
  <c r="O5199" i="5"/>
  <c r="K5198" i="5"/>
  <c r="G5198" i="5" l="1"/>
  <c r="C5197" i="5"/>
  <c r="O5200" i="5"/>
  <c r="K5199" i="5"/>
  <c r="C5198" i="5" l="1"/>
  <c r="G5199" i="5"/>
  <c r="O5201" i="5"/>
  <c r="K5200" i="5"/>
  <c r="G5200" i="5" l="1"/>
  <c r="C5199" i="5"/>
  <c r="K5201" i="5"/>
  <c r="O5202" i="5"/>
  <c r="G5201" i="5" l="1"/>
  <c r="C5200" i="5"/>
  <c r="O5203" i="5"/>
  <c r="K5202" i="5"/>
  <c r="G5202" i="5" l="1"/>
  <c r="C5201" i="5"/>
  <c r="O5204" i="5"/>
  <c r="K5203" i="5"/>
  <c r="G5203" i="5" l="1"/>
  <c r="C5202" i="5"/>
  <c r="K5204" i="5"/>
  <c r="O5205" i="5"/>
  <c r="G5204" i="5" l="1"/>
  <c r="C5203" i="5"/>
  <c r="K5205" i="5"/>
  <c r="O5206" i="5"/>
  <c r="C5204" i="5" l="1"/>
  <c r="G5205" i="5"/>
  <c r="O5207" i="5"/>
  <c r="K5206" i="5"/>
  <c r="C5205" i="5" l="1"/>
  <c r="G5206" i="5"/>
  <c r="O5208" i="5"/>
  <c r="K5207" i="5"/>
  <c r="G5207" i="5" l="1"/>
  <c r="C5206" i="5"/>
  <c r="O5209" i="5"/>
  <c r="K5208" i="5"/>
  <c r="C5207" i="5" l="1"/>
  <c r="G5208" i="5"/>
  <c r="K5209" i="5"/>
  <c r="O5210" i="5"/>
  <c r="C5208" i="5" l="1"/>
  <c r="G5209" i="5"/>
  <c r="O5211" i="5"/>
  <c r="K5210" i="5"/>
  <c r="C5209" i="5" l="1"/>
  <c r="G5210" i="5"/>
  <c r="O5212" i="5"/>
  <c r="K5211" i="5"/>
  <c r="C5210" i="5" l="1"/>
  <c r="G5211" i="5"/>
  <c r="K5212" i="5"/>
  <c r="O5213" i="5"/>
  <c r="C5211" i="5" l="1"/>
  <c r="G5212" i="5"/>
  <c r="K5213" i="5"/>
  <c r="O5214" i="5"/>
  <c r="C5212" i="5" l="1"/>
  <c r="G5213" i="5"/>
  <c r="O5215" i="5"/>
  <c r="K5214" i="5"/>
  <c r="G5214" i="5" l="1"/>
  <c r="C5213" i="5"/>
  <c r="O5216" i="5"/>
  <c r="K5215" i="5"/>
  <c r="G5215" i="5" l="1"/>
  <c r="C5214" i="5"/>
  <c r="O5217" i="5"/>
  <c r="K5216" i="5"/>
  <c r="C5215" i="5" l="1"/>
  <c r="G5216" i="5"/>
  <c r="K5217" i="5"/>
  <c r="O5218" i="5"/>
  <c r="C5216" i="5" l="1"/>
  <c r="G5217" i="5"/>
  <c r="O5219" i="5"/>
  <c r="K5218" i="5"/>
  <c r="C5217" i="5" l="1"/>
  <c r="G5218" i="5"/>
  <c r="O5220" i="5"/>
  <c r="K5219" i="5"/>
  <c r="C5218" i="5" l="1"/>
  <c r="G5219" i="5"/>
  <c r="K5220" i="5"/>
  <c r="O5221" i="5"/>
  <c r="C5219" i="5" l="1"/>
  <c r="G5220" i="5"/>
  <c r="K5221" i="5"/>
  <c r="O5222" i="5"/>
  <c r="G5221" i="5" l="1"/>
  <c r="C5220" i="5"/>
  <c r="O5223" i="5"/>
  <c r="K5222" i="5"/>
  <c r="G5222" i="5" l="1"/>
  <c r="C5221" i="5"/>
  <c r="O5224" i="5"/>
  <c r="K5223" i="5"/>
  <c r="C5222" i="5" l="1"/>
  <c r="G5223" i="5"/>
  <c r="O5225" i="5"/>
  <c r="K5224" i="5"/>
  <c r="G5224" i="5" l="1"/>
  <c r="C5223" i="5"/>
  <c r="K5225" i="5"/>
  <c r="O5226" i="5"/>
  <c r="G5225" i="5" l="1"/>
  <c r="C5224" i="5"/>
  <c r="O5227" i="5"/>
  <c r="K5226" i="5"/>
  <c r="G5226" i="5" l="1"/>
  <c r="C5225" i="5"/>
  <c r="O5228" i="5"/>
  <c r="K5227" i="5"/>
  <c r="C5226" i="5" l="1"/>
  <c r="G5227" i="5"/>
  <c r="K5228" i="5"/>
  <c r="O5229" i="5"/>
  <c r="G5228" i="5" l="1"/>
  <c r="C5227" i="5"/>
  <c r="K5229" i="5"/>
  <c r="O5230" i="5"/>
  <c r="G5229" i="5" l="1"/>
  <c r="C5228" i="5"/>
  <c r="O5231" i="5"/>
  <c r="K5230" i="5"/>
  <c r="C5229" i="5" l="1"/>
  <c r="G5230" i="5"/>
  <c r="O5232" i="5"/>
  <c r="K5231" i="5"/>
  <c r="G5231" i="5" l="1"/>
  <c r="C5230" i="5"/>
  <c r="O5233" i="5"/>
  <c r="K5232" i="5"/>
  <c r="C5231" i="5" l="1"/>
  <c r="G5232" i="5"/>
  <c r="K5233" i="5"/>
  <c r="O5234" i="5"/>
  <c r="G5233" i="5" l="1"/>
  <c r="C5232" i="5"/>
  <c r="O5235" i="5"/>
  <c r="K5234" i="5"/>
  <c r="G5234" i="5" l="1"/>
  <c r="C5233" i="5"/>
  <c r="O5236" i="5"/>
  <c r="K5235" i="5"/>
  <c r="C5234" i="5" l="1"/>
  <c r="G5235" i="5"/>
  <c r="K5236" i="5"/>
  <c r="O5237" i="5"/>
  <c r="G5236" i="5" l="1"/>
  <c r="C5235" i="5"/>
  <c r="K5237" i="5"/>
  <c r="O5238" i="5"/>
  <c r="G5237" i="5" l="1"/>
  <c r="C5236" i="5"/>
  <c r="O5239" i="5"/>
  <c r="K5238" i="5"/>
  <c r="C5237" i="5" l="1"/>
  <c r="G5238" i="5"/>
  <c r="O5240" i="5"/>
  <c r="K5239" i="5"/>
  <c r="C5238" i="5" l="1"/>
  <c r="G5239" i="5"/>
  <c r="O5241" i="5"/>
  <c r="K5240" i="5"/>
  <c r="C5239" i="5" l="1"/>
  <c r="G5240" i="5"/>
  <c r="K5241" i="5"/>
  <c r="O5242" i="5"/>
  <c r="C5240" i="5" l="1"/>
  <c r="G5241" i="5"/>
  <c r="O5243" i="5"/>
  <c r="K5242" i="5"/>
  <c r="C5241" i="5" l="1"/>
  <c r="G5242" i="5"/>
  <c r="O5244" i="5"/>
  <c r="K5243" i="5"/>
  <c r="C5242" i="5" l="1"/>
  <c r="G5243" i="5"/>
  <c r="K5244" i="5"/>
  <c r="O5245" i="5"/>
  <c r="G5244" i="5" l="1"/>
  <c r="C5243" i="5"/>
  <c r="K5245" i="5"/>
  <c r="O5246" i="5"/>
  <c r="C5244" i="5" l="1"/>
  <c r="G5245" i="5"/>
  <c r="O5247" i="5"/>
  <c r="K5246" i="5"/>
  <c r="C5245" i="5" l="1"/>
  <c r="G5246" i="5"/>
  <c r="O5248" i="5"/>
  <c r="K5247" i="5"/>
  <c r="C5246" i="5" l="1"/>
  <c r="G5247" i="5"/>
  <c r="O5249" i="5"/>
  <c r="K5248" i="5"/>
  <c r="G5248" i="5" l="1"/>
  <c r="C5247" i="5"/>
  <c r="K5249" i="5"/>
  <c r="O5250" i="5"/>
  <c r="G5249" i="5" l="1"/>
  <c r="C5248" i="5"/>
  <c r="O5251" i="5"/>
  <c r="K5250" i="5"/>
  <c r="C5249" i="5" l="1"/>
  <c r="G5250" i="5"/>
  <c r="O5252" i="5"/>
  <c r="K5251" i="5"/>
  <c r="C5250" i="5" l="1"/>
  <c r="G5251" i="5"/>
  <c r="K5252" i="5"/>
  <c r="O5253" i="5"/>
  <c r="G5252" i="5" l="1"/>
  <c r="C5251" i="5"/>
  <c r="K5253" i="5"/>
  <c r="O5254" i="5"/>
  <c r="G5253" i="5" l="1"/>
  <c r="C5252" i="5"/>
  <c r="O5255" i="5"/>
  <c r="K5254" i="5"/>
  <c r="C5253" i="5" l="1"/>
  <c r="G5254" i="5"/>
  <c r="O5256" i="5"/>
  <c r="K5255" i="5"/>
  <c r="G5255" i="5" l="1"/>
  <c r="C5254" i="5"/>
  <c r="O5257" i="5"/>
  <c r="K5256" i="5"/>
  <c r="G5256" i="5" l="1"/>
  <c r="C5255" i="5"/>
  <c r="K5257" i="5"/>
  <c r="O5258" i="5"/>
  <c r="C5256" i="5" l="1"/>
  <c r="G5257" i="5"/>
  <c r="O5259" i="5"/>
  <c r="K5258" i="5"/>
  <c r="C5257" i="5" l="1"/>
  <c r="G5258" i="5"/>
  <c r="O5260" i="5"/>
  <c r="K5259" i="5"/>
  <c r="C5258" i="5" l="1"/>
  <c r="G5259" i="5"/>
  <c r="K5260" i="5"/>
  <c r="O5261" i="5"/>
  <c r="G5260" i="5" l="1"/>
  <c r="C5259" i="5"/>
  <c r="K5261" i="5"/>
  <c r="O5262" i="5"/>
  <c r="C5260" i="5" l="1"/>
  <c r="G5261" i="5"/>
  <c r="O5263" i="5"/>
  <c r="K5262" i="5"/>
  <c r="C5261" i="5" l="1"/>
  <c r="G5262" i="5"/>
  <c r="O5264" i="5"/>
  <c r="K5263" i="5"/>
  <c r="G5263" i="5" l="1"/>
  <c r="C5262" i="5"/>
  <c r="O5265" i="5"/>
  <c r="K5264" i="5"/>
  <c r="C5263" i="5" l="1"/>
  <c r="G5264" i="5"/>
  <c r="K5265" i="5"/>
  <c r="O5266" i="5"/>
  <c r="G5265" i="5" l="1"/>
  <c r="C5264" i="5"/>
  <c r="O5267" i="5"/>
  <c r="K5266" i="5"/>
  <c r="C5265" i="5" l="1"/>
  <c r="G5266" i="5"/>
  <c r="O5268" i="5"/>
  <c r="K5267" i="5"/>
  <c r="C5266" i="5" l="1"/>
  <c r="G5267" i="5"/>
  <c r="K5268" i="5"/>
  <c r="O5269" i="5"/>
  <c r="G5268" i="5" l="1"/>
  <c r="C5267" i="5"/>
  <c r="K5269" i="5"/>
  <c r="O5270" i="5"/>
  <c r="G5269" i="5" l="1"/>
  <c r="C5268" i="5"/>
  <c r="O5271" i="5"/>
  <c r="K5270" i="5"/>
  <c r="C5269" i="5" l="1"/>
  <c r="G5270" i="5"/>
  <c r="O5272" i="5"/>
  <c r="K5271" i="5"/>
  <c r="C5270" i="5" l="1"/>
  <c r="G5271" i="5"/>
  <c r="O5273" i="5"/>
  <c r="K5272" i="5"/>
  <c r="C5271" i="5" l="1"/>
  <c r="G5272" i="5"/>
  <c r="K5273" i="5"/>
  <c r="O5274" i="5"/>
  <c r="G5273" i="5" l="1"/>
  <c r="C5272" i="5"/>
  <c r="O5275" i="5"/>
  <c r="K5274" i="5"/>
  <c r="G5274" i="5" l="1"/>
  <c r="C5273" i="5"/>
  <c r="O5276" i="5"/>
  <c r="K5275" i="5"/>
  <c r="G5275" i="5" l="1"/>
  <c r="C5274" i="5"/>
  <c r="K5276" i="5"/>
  <c r="O5277" i="5"/>
  <c r="C5275" i="5" l="1"/>
  <c r="G5276" i="5"/>
  <c r="K5277" i="5"/>
  <c r="O5278" i="5"/>
  <c r="C5276" i="5" l="1"/>
  <c r="G5277" i="5"/>
  <c r="O5279" i="5"/>
  <c r="K5278" i="5"/>
  <c r="G5278" i="5" l="1"/>
  <c r="C5277" i="5"/>
  <c r="O5280" i="5"/>
  <c r="K5279" i="5"/>
  <c r="G5279" i="5" l="1"/>
  <c r="C5278" i="5"/>
  <c r="O5281" i="5"/>
  <c r="K5280" i="5"/>
  <c r="C5279" i="5" l="1"/>
  <c r="G5280" i="5"/>
  <c r="K5281" i="5"/>
  <c r="O5282" i="5"/>
  <c r="G5281" i="5" l="1"/>
  <c r="C5280" i="5"/>
  <c r="O5283" i="5"/>
  <c r="K5282" i="5"/>
  <c r="G5282" i="5" l="1"/>
  <c r="C5281" i="5"/>
  <c r="O5284" i="5"/>
  <c r="K5283" i="5"/>
  <c r="C5282" i="5" l="1"/>
  <c r="G5283" i="5"/>
  <c r="K5284" i="5"/>
  <c r="O5285" i="5"/>
  <c r="G5284" i="5" l="1"/>
  <c r="C5283" i="5"/>
  <c r="K5285" i="5"/>
  <c r="O5286" i="5"/>
  <c r="C5284" i="5" l="1"/>
  <c r="G5285" i="5"/>
  <c r="O5287" i="5"/>
  <c r="K5286" i="5"/>
  <c r="C5285" i="5" l="1"/>
  <c r="G5286" i="5"/>
  <c r="O5288" i="5"/>
  <c r="K5287" i="5"/>
  <c r="G5287" i="5" l="1"/>
  <c r="C5286" i="5"/>
  <c r="O5289" i="5"/>
  <c r="K5288" i="5"/>
  <c r="G5288" i="5" l="1"/>
  <c r="C5287" i="5"/>
  <c r="K5289" i="5"/>
  <c r="O5290" i="5"/>
  <c r="G5289" i="5" l="1"/>
  <c r="C5288" i="5"/>
  <c r="O5291" i="5"/>
  <c r="K5290" i="5"/>
  <c r="C5289" i="5" l="1"/>
  <c r="G5290" i="5"/>
  <c r="O5292" i="5"/>
  <c r="K5291" i="5"/>
  <c r="C5290" i="5" l="1"/>
  <c r="G5291" i="5"/>
  <c r="K5292" i="5"/>
  <c r="O5293" i="5"/>
  <c r="G5292" i="5" l="1"/>
  <c r="C5291" i="5"/>
  <c r="K5293" i="5"/>
  <c r="O5294" i="5"/>
  <c r="C5292" i="5" l="1"/>
  <c r="G5293" i="5"/>
  <c r="O5295" i="5"/>
  <c r="K5294" i="5"/>
  <c r="C5293" i="5" l="1"/>
  <c r="G5294" i="5"/>
  <c r="O5296" i="5"/>
  <c r="K5295" i="5"/>
  <c r="C5294" i="5" l="1"/>
  <c r="G5295" i="5"/>
  <c r="O5297" i="5"/>
  <c r="K5296" i="5"/>
  <c r="C5295" i="5" l="1"/>
  <c r="G5296" i="5"/>
  <c r="K5297" i="5"/>
  <c r="O5298" i="5"/>
  <c r="C5296" i="5" l="1"/>
  <c r="G5297" i="5"/>
  <c r="O5299" i="5"/>
  <c r="K5298" i="5"/>
  <c r="C5297" i="5" l="1"/>
  <c r="G5298" i="5"/>
  <c r="O5300" i="5"/>
  <c r="K5299" i="5"/>
  <c r="C5298" i="5" l="1"/>
  <c r="G5299" i="5"/>
  <c r="K5300" i="5"/>
  <c r="O5301" i="5"/>
  <c r="G5300" i="5" l="1"/>
  <c r="C5299" i="5"/>
  <c r="K5301" i="5"/>
  <c r="O5302" i="5"/>
  <c r="G5301" i="5" l="1"/>
  <c r="C5300" i="5"/>
  <c r="O5303" i="5"/>
  <c r="K5302" i="5"/>
  <c r="C5301" i="5" l="1"/>
  <c r="G5302" i="5"/>
  <c r="O5304" i="5"/>
  <c r="K5303" i="5"/>
  <c r="C5302" i="5" l="1"/>
  <c r="G5303" i="5"/>
  <c r="O5305" i="5"/>
  <c r="K5304" i="5"/>
  <c r="C5303" i="5" l="1"/>
  <c r="G5304" i="5"/>
  <c r="K5305" i="5"/>
  <c r="O5306" i="5"/>
  <c r="G5305" i="5" l="1"/>
  <c r="C5304" i="5"/>
  <c r="O5307" i="5"/>
  <c r="K5306" i="5"/>
  <c r="C5305" i="5" l="1"/>
  <c r="G5306" i="5"/>
  <c r="O5308" i="5"/>
  <c r="K5307" i="5"/>
  <c r="C5306" i="5" l="1"/>
  <c r="G5307" i="5"/>
  <c r="K5308" i="5"/>
  <c r="O5309" i="5"/>
  <c r="G5308" i="5" l="1"/>
  <c r="C5307" i="5"/>
  <c r="K5309" i="5"/>
  <c r="O5310" i="5"/>
  <c r="C5308" i="5" l="1"/>
  <c r="G5309" i="5"/>
  <c r="O5311" i="5"/>
  <c r="K5310" i="5"/>
  <c r="C5309" i="5" l="1"/>
  <c r="G5310" i="5"/>
  <c r="O5312" i="5"/>
  <c r="K5311" i="5"/>
  <c r="C5310" i="5" l="1"/>
  <c r="G5311" i="5"/>
  <c r="O5313" i="5"/>
  <c r="K5312" i="5"/>
  <c r="G5312" i="5" l="1"/>
  <c r="C5311" i="5"/>
  <c r="K5313" i="5"/>
  <c r="O5314" i="5"/>
  <c r="G5313" i="5" l="1"/>
  <c r="C5312" i="5"/>
  <c r="O5315" i="5"/>
  <c r="K5314" i="5"/>
  <c r="C5313" i="5" l="1"/>
  <c r="G5314" i="5"/>
  <c r="O5316" i="5"/>
  <c r="K5315" i="5"/>
  <c r="C5314" i="5" l="1"/>
  <c r="G5315" i="5"/>
  <c r="K5316" i="5"/>
  <c r="O5317" i="5"/>
  <c r="G5316" i="5" l="1"/>
  <c r="C5315" i="5"/>
  <c r="K5317" i="5"/>
  <c r="O5318" i="5"/>
  <c r="G5317" i="5" l="1"/>
  <c r="C5316" i="5"/>
  <c r="O5319" i="5"/>
  <c r="K5318" i="5"/>
  <c r="C5317" i="5" l="1"/>
  <c r="G5318" i="5"/>
  <c r="O5320" i="5"/>
  <c r="K5319" i="5"/>
  <c r="C5318" i="5" l="1"/>
  <c r="G5319" i="5"/>
  <c r="O5321" i="5"/>
  <c r="K5320" i="5"/>
  <c r="C5319" i="5" l="1"/>
  <c r="G5320" i="5"/>
  <c r="K5321" i="5"/>
  <c r="O5322" i="5"/>
  <c r="C5320" i="5" l="1"/>
  <c r="G5321" i="5"/>
  <c r="O5323" i="5"/>
  <c r="K5322" i="5"/>
  <c r="C5321" i="5" l="1"/>
  <c r="G5322" i="5"/>
  <c r="O5324" i="5"/>
  <c r="K5323" i="5"/>
  <c r="C5322" i="5" l="1"/>
  <c r="G5323" i="5"/>
  <c r="K5324" i="5"/>
  <c r="O5325" i="5"/>
  <c r="G5324" i="5" l="1"/>
  <c r="C5323" i="5"/>
  <c r="K5325" i="5"/>
  <c r="O5326" i="5"/>
  <c r="C5324" i="5" l="1"/>
  <c r="G5325" i="5"/>
  <c r="O5327" i="5"/>
  <c r="K5326" i="5"/>
  <c r="C5325" i="5" l="1"/>
  <c r="G5326" i="5"/>
  <c r="O5328" i="5"/>
  <c r="K5327" i="5"/>
  <c r="C5326" i="5" l="1"/>
  <c r="G5327" i="5"/>
  <c r="O5329" i="5"/>
  <c r="K5328" i="5"/>
  <c r="G5328" i="5" l="1"/>
  <c r="C5327" i="5"/>
  <c r="K5329" i="5"/>
  <c r="O5330" i="5"/>
  <c r="G5329" i="5" l="1"/>
  <c r="C5328" i="5"/>
  <c r="O5331" i="5"/>
  <c r="K5330" i="5"/>
  <c r="C5329" i="5" l="1"/>
  <c r="G5330" i="5"/>
  <c r="O5332" i="5"/>
  <c r="K5331" i="5"/>
  <c r="C5330" i="5" l="1"/>
  <c r="G5331" i="5"/>
  <c r="K5332" i="5"/>
  <c r="O5333" i="5"/>
  <c r="G5332" i="5" l="1"/>
  <c r="C5331" i="5"/>
  <c r="K5333" i="5"/>
  <c r="O5334" i="5"/>
  <c r="G5333" i="5" l="1"/>
  <c r="C5332" i="5"/>
  <c r="O5335" i="5"/>
  <c r="K5334" i="5"/>
  <c r="C5333" i="5" l="1"/>
  <c r="G5334" i="5"/>
  <c r="O5336" i="5"/>
  <c r="K5335" i="5"/>
  <c r="C5334" i="5" l="1"/>
  <c r="G5335" i="5"/>
  <c r="O5337" i="5"/>
  <c r="K5336" i="5"/>
  <c r="C5335" i="5" l="1"/>
  <c r="G5336" i="5"/>
  <c r="K5337" i="5"/>
  <c r="O5338" i="5"/>
  <c r="G5337" i="5" l="1"/>
  <c r="C5336" i="5"/>
  <c r="O5339" i="5"/>
  <c r="K5338" i="5"/>
  <c r="C5337" i="5" l="1"/>
  <c r="G5338" i="5"/>
  <c r="O5340" i="5"/>
  <c r="K5339" i="5"/>
  <c r="C5338" i="5" l="1"/>
  <c r="G5339" i="5"/>
  <c r="K5340" i="5"/>
  <c r="O5341" i="5"/>
  <c r="C5339" i="5" l="1"/>
  <c r="G5340" i="5"/>
  <c r="K5341" i="5"/>
  <c r="O5342" i="5"/>
  <c r="C5340" i="5" l="1"/>
  <c r="G5341" i="5"/>
  <c r="O5343" i="5"/>
  <c r="K5342" i="5"/>
  <c r="C5341" i="5" l="1"/>
  <c r="G5342" i="5"/>
  <c r="O5344" i="5"/>
  <c r="K5343" i="5"/>
  <c r="C5342" i="5" l="1"/>
  <c r="G5343" i="5"/>
  <c r="O5345" i="5"/>
  <c r="K5344" i="5"/>
  <c r="G5344" i="5" l="1"/>
  <c r="C5343" i="5"/>
  <c r="K5345" i="5"/>
  <c r="O5346" i="5"/>
  <c r="G5345" i="5" l="1"/>
  <c r="C5344" i="5"/>
  <c r="O5347" i="5"/>
  <c r="K5346" i="5"/>
  <c r="G5346" i="5" l="1"/>
  <c r="C5345" i="5"/>
  <c r="O5348" i="5"/>
  <c r="K5347" i="5"/>
  <c r="G5347" i="5" l="1"/>
  <c r="C5346" i="5"/>
  <c r="K5348" i="5"/>
  <c r="O5349" i="5"/>
  <c r="C5347" i="5" l="1"/>
  <c r="G5348" i="5"/>
  <c r="K5349" i="5"/>
  <c r="O5350" i="5"/>
  <c r="C5348" i="5" l="1"/>
  <c r="G5349" i="5"/>
  <c r="O5351" i="5"/>
  <c r="K5350" i="5"/>
  <c r="C5349" i="5" l="1"/>
  <c r="G5350" i="5"/>
  <c r="O5352" i="5"/>
  <c r="K5351" i="5"/>
  <c r="C5350" i="5" l="1"/>
  <c r="G5351" i="5"/>
  <c r="O5353" i="5"/>
  <c r="K5352" i="5"/>
  <c r="C5351" i="5" l="1"/>
  <c r="G5352" i="5"/>
  <c r="K5353" i="5"/>
  <c r="O5354" i="5"/>
  <c r="G5353" i="5" l="1"/>
  <c r="C5352" i="5"/>
  <c r="O5355" i="5"/>
  <c r="K5354" i="5"/>
  <c r="C5353" i="5" l="1"/>
  <c r="G5354" i="5"/>
  <c r="O5356" i="5"/>
  <c r="K5355" i="5"/>
  <c r="C5354" i="5" l="1"/>
  <c r="G5355" i="5"/>
  <c r="K5356" i="5"/>
  <c r="O5357" i="5"/>
  <c r="C5355" i="5" l="1"/>
  <c r="G5356" i="5"/>
  <c r="K5357" i="5"/>
  <c r="O5358" i="5"/>
  <c r="C5356" i="5" l="1"/>
  <c r="G5357" i="5"/>
  <c r="O5359" i="5"/>
  <c r="K5358" i="5"/>
  <c r="C5357" i="5" l="1"/>
  <c r="G5358" i="5"/>
  <c r="O5360" i="5"/>
  <c r="K5359" i="5"/>
  <c r="C5358" i="5" l="1"/>
  <c r="G5359" i="5"/>
  <c r="O5361" i="5"/>
  <c r="K5360" i="5"/>
  <c r="C5359" i="5" l="1"/>
  <c r="G5360" i="5"/>
  <c r="K5361" i="5"/>
  <c r="O5362" i="5"/>
  <c r="G5361" i="5" l="1"/>
  <c r="C5360" i="5"/>
  <c r="O5363" i="5"/>
  <c r="K5362" i="5"/>
  <c r="G5362" i="5" l="1"/>
  <c r="C5361" i="5"/>
  <c r="O5364" i="5"/>
  <c r="K5363" i="5"/>
  <c r="C5362" i="5" l="1"/>
  <c r="G5363" i="5"/>
  <c r="K5364" i="5"/>
  <c r="O5365" i="5"/>
  <c r="C5363" i="5" l="1"/>
  <c r="G5364" i="5"/>
  <c r="K5365" i="5"/>
  <c r="O5366" i="5"/>
  <c r="C5364" i="5" l="1"/>
  <c r="G5365" i="5"/>
  <c r="O5367" i="5"/>
  <c r="K5366" i="5"/>
  <c r="C5365" i="5" l="1"/>
  <c r="G5366" i="5"/>
  <c r="O5368" i="5"/>
  <c r="K5367" i="5"/>
  <c r="C5366" i="5" l="1"/>
  <c r="G5367" i="5"/>
  <c r="O5369" i="5"/>
  <c r="K5368" i="5"/>
  <c r="G5368" i="5" l="1"/>
  <c r="C5367" i="5"/>
  <c r="K5369" i="5"/>
  <c r="O5370" i="5"/>
  <c r="C5368" i="5" l="1"/>
  <c r="G5369" i="5"/>
  <c r="O5371" i="5"/>
  <c r="K5370" i="5"/>
  <c r="G5370" i="5" l="1"/>
  <c r="C5369" i="5"/>
  <c r="O5372" i="5"/>
  <c r="K5371" i="5"/>
  <c r="G5371" i="5" l="1"/>
  <c r="C5370" i="5"/>
  <c r="K5372" i="5"/>
  <c r="O5373" i="5"/>
  <c r="C5371" i="5" l="1"/>
  <c r="G5372" i="5"/>
  <c r="K5373" i="5"/>
  <c r="O5374" i="5"/>
  <c r="G5373" i="5" l="1"/>
  <c r="C5372" i="5"/>
  <c r="O5375" i="5"/>
  <c r="K5374" i="5"/>
  <c r="G5374" i="5" l="1"/>
  <c r="C5373" i="5"/>
  <c r="O5376" i="5"/>
  <c r="K5375" i="5"/>
  <c r="C5374" i="5" l="1"/>
  <c r="G5375" i="5"/>
  <c r="O5377" i="5"/>
  <c r="K5376" i="5"/>
  <c r="C5375" i="5" l="1"/>
  <c r="G5376" i="5"/>
  <c r="K5377" i="5"/>
  <c r="O5378" i="5"/>
  <c r="G5377" i="5" l="1"/>
  <c r="C5376" i="5"/>
  <c r="O5379" i="5"/>
  <c r="K5378" i="5"/>
  <c r="C5377" i="5" l="1"/>
  <c r="G5378" i="5"/>
  <c r="O5380" i="5"/>
  <c r="K5379" i="5"/>
  <c r="C5378" i="5" l="1"/>
  <c r="G5379" i="5"/>
  <c r="K5380" i="5"/>
  <c r="O5381" i="5"/>
  <c r="G5380" i="5" l="1"/>
  <c r="C5379" i="5"/>
  <c r="K5381" i="5"/>
  <c r="O5382" i="5"/>
  <c r="C5380" i="5" l="1"/>
  <c r="G5381" i="5"/>
  <c r="O5383" i="5"/>
  <c r="K5382" i="5"/>
  <c r="C5381" i="5" l="1"/>
  <c r="G5382" i="5"/>
  <c r="O5384" i="5"/>
  <c r="K5383" i="5"/>
  <c r="C5382" i="5" l="1"/>
  <c r="G5383" i="5"/>
  <c r="O5385" i="5"/>
  <c r="K5384" i="5"/>
  <c r="G5384" i="5" l="1"/>
  <c r="C5383" i="5"/>
  <c r="K5385" i="5"/>
  <c r="O5386" i="5"/>
  <c r="C5384" i="5" l="1"/>
  <c r="G5385" i="5"/>
  <c r="O5387" i="5"/>
  <c r="K5386" i="5"/>
  <c r="G5386" i="5" l="1"/>
  <c r="C5385" i="5"/>
  <c r="O5388" i="5"/>
  <c r="K5387" i="5"/>
  <c r="G5387" i="5" l="1"/>
  <c r="C5386" i="5"/>
  <c r="K5388" i="5"/>
  <c r="O5389" i="5"/>
  <c r="C5387" i="5" l="1"/>
  <c r="G5388" i="5"/>
  <c r="K5389" i="5"/>
  <c r="O5390" i="5"/>
  <c r="G5389" i="5" l="1"/>
  <c r="C5388" i="5"/>
  <c r="O5391" i="5"/>
  <c r="K5390" i="5"/>
  <c r="G5390" i="5" l="1"/>
  <c r="C5389" i="5"/>
  <c r="O5392" i="5"/>
  <c r="K5391" i="5"/>
  <c r="C5390" i="5" l="1"/>
  <c r="G5391" i="5"/>
  <c r="O5393" i="5"/>
  <c r="K5392" i="5"/>
  <c r="C5391" i="5" l="1"/>
  <c r="G5392" i="5"/>
  <c r="K5393" i="5"/>
  <c r="O5394" i="5"/>
  <c r="G5393" i="5" l="1"/>
  <c r="C5392" i="5"/>
  <c r="O5395" i="5"/>
  <c r="K5394" i="5"/>
  <c r="G5394" i="5" l="1"/>
  <c r="C5393" i="5"/>
  <c r="O5396" i="5"/>
  <c r="K5395" i="5"/>
  <c r="C5394" i="5" l="1"/>
  <c r="G5395" i="5"/>
  <c r="K5396" i="5"/>
  <c r="O5397" i="5"/>
  <c r="C5395" i="5" l="1"/>
  <c r="G5396" i="5"/>
  <c r="K5397" i="5"/>
  <c r="O5398" i="5"/>
  <c r="C5396" i="5" l="1"/>
  <c r="G5397" i="5"/>
  <c r="O5399" i="5"/>
  <c r="K5398" i="5"/>
  <c r="C5397" i="5" l="1"/>
  <c r="G5398" i="5"/>
  <c r="O5400" i="5"/>
  <c r="K5399" i="5"/>
  <c r="C5398" i="5" l="1"/>
  <c r="G5399" i="5"/>
  <c r="O5401" i="5"/>
  <c r="K5400" i="5"/>
  <c r="G5400" i="5" l="1"/>
  <c r="C5399" i="5"/>
  <c r="K5401" i="5"/>
  <c r="O5402" i="5"/>
  <c r="C5400" i="5" l="1"/>
  <c r="G5401" i="5"/>
  <c r="O5403" i="5"/>
  <c r="K5402" i="5"/>
  <c r="G5402" i="5" l="1"/>
  <c r="C5401" i="5"/>
  <c r="O5404" i="5"/>
  <c r="K5403" i="5"/>
  <c r="G5403" i="5" l="1"/>
  <c r="C5402" i="5"/>
  <c r="K5404" i="5"/>
  <c r="O5405" i="5"/>
  <c r="C5403" i="5" l="1"/>
  <c r="G5404" i="5"/>
  <c r="K5405" i="5"/>
  <c r="O5406" i="5"/>
  <c r="G5405" i="5" l="1"/>
  <c r="C5404" i="5"/>
  <c r="O5407" i="5"/>
  <c r="K5406" i="5"/>
  <c r="G5406" i="5" l="1"/>
  <c r="C5405" i="5"/>
  <c r="O5408" i="5"/>
  <c r="K5407" i="5"/>
  <c r="C5406" i="5" l="1"/>
  <c r="G5407" i="5"/>
  <c r="O5409" i="5"/>
  <c r="K5408" i="5"/>
  <c r="C5407" i="5" l="1"/>
  <c r="G5408" i="5"/>
  <c r="K5409" i="5"/>
  <c r="O5410" i="5"/>
  <c r="G5409" i="5" l="1"/>
  <c r="C5408" i="5"/>
  <c r="O5411" i="5"/>
  <c r="K5410" i="5"/>
  <c r="G5410" i="5" l="1"/>
  <c r="C5409" i="5"/>
  <c r="O5412" i="5"/>
  <c r="K5411" i="5"/>
  <c r="C5410" i="5" l="1"/>
  <c r="G5411" i="5"/>
  <c r="K5412" i="5"/>
  <c r="O5413" i="5"/>
  <c r="G5412" i="5" l="1"/>
  <c r="C5411" i="5"/>
  <c r="K5413" i="5"/>
  <c r="O5414" i="5"/>
  <c r="C5412" i="5" l="1"/>
  <c r="G5413" i="5"/>
  <c r="O5415" i="5"/>
  <c r="K5414" i="5"/>
  <c r="C5413" i="5" l="1"/>
  <c r="G5414" i="5"/>
  <c r="O5416" i="5"/>
  <c r="K5415" i="5"/>
  <c r="G5415" i="5" l="1"/>
  <c r="C5414" i="5"/>
  <c r="O5417" i="5"/>
  <c r="K5416" i="5"/>
  <c r="C5415" i="5" l="1"/>
  <c r="G5416" i="5"/>
  <c r="K5417" i="5"/>
  <c r="O5418" i="5"/>
  <c r="C5416" i="5" l="1"/>
  <c r="G5417" i="5"/>
  <c r="O5419" i="5"/>
  <c r="K5418" i="5"/>
  <c r="G5418" i="5" l="1"/>
  <c r="C5417" i="5"/>
  <c r="O5420" i="5"/>
  <c r="K5419" i="5"/>
  <c r="C5418" i="5" l="1"/>
  <c r="G5419" i="5"/>
  <c r="K5420" i="5"/>
  <c r="O5421" i="5"/>
  <c r="G5420" i="5" l="1"/>
  <c r="C5419" i="5"/>
  <c r="K5421" i="5"/>
  <c r="O5422" i="5"/>
  <c r="G5421" i="5" l="1"/>
  <c r="C5420" i="5"/>
  <c r="O5423" i="5"/>
  <c r="K5422" i="5"/>
  <c r="C5421" i="5" l="1"/>
  <c r="G5422" i="5"/>
  <c r="O5424" i="5"/>
  <c r="K5423" i="5"/>
  <c r="G5423" i="5" l="1"/>
  <c r="C5422" i="5"/>
  <c r="O5425" i="5"/>
  <c r="K5424" i="5"/>
  <c r="G5424" i="5" l="1"/>
  <c r="C5423" i="5"/>
  <c r="K5425" i="5"/>
  <c r="O5426" i="5"/>
  <c r="C5424" i="5" l="1"/>
  <c r="G5425" i="5"/>
  <c r="O5427" i="5"/>
  <c r="K5426" i="5"/>
  <c r="C5425" i="5" l="1"/>
  <c r="G5426" i="5"/>
  <c r="O5428" i="5"/>
  <c r="K5427" i="5"/>
  <c r="G5427" i="5" l="1"/>
  <c r="C5426" i="5"/>
  <c r="K5428" i="5"/>
  <c r="O5429" i="5"/>
  <c r="C5427" i="5" l="1"/>
  <c r="G5428" i="5"/>
  <c r="K5429" i="5"/>
  <c r="O5430" i="5"/>
  <c r="G5429" i="5" l="1"/>
  <c r="C5428" i="5"/>
  <c r="O5431" i="5"/>
  <c r="K5430" i="5"/>
  <c r="C5429" i="5" l="1"/>
  <c r="G5430" i="5"/>
  <c r="O5432" i="5"/>
  <c r="K5431" i="5"/>
  <c r="C5430" i="5" l="1"/>
  <c r="G5431" i="5"/>
  <c r="O5433" i="5"/>
  <c r="K5432" i="5"/>
  <c r="G5432" i="5" l="1"/>
  <c r="C5431" i="5"/>
  <c r="K5433" i="5"/>
  <c r="O5434" i="5"/>
  <c r="C5432" i="5" l="1"/>
  <c r="G5433" i="5"/>
  <c r="O5435" i="5"/>
  <c r="K5434" i="5"/>
  <c r="G5434" i="5" l="1"/>
  <c r="C5433" i="5"/>
  <c r="O5436" i="5"/>
  <c r="K5435" i="5"/>
  <c r="G5435" i="5" l="1"/>
  <c r="C5434" i="5"/>
  <c r="K5436" i="5"/>
  <c r="O5437" i="5"/>
  <c r="G5436" i="5" l="1"/>
  <c r="C5435" i="5"/>
  <c r="K5437" i="5"/>
  <c r="O5438" i="5"/>
  <c r="C5436" i="5" l="1"/>
  <c r="G5437" i="5"/>
  <c r="O5439" i="5"/>
  <c r="K5438" i="5"/>
  <c r="C5437" i="5" l="1"/>
  <c r="G5438" i="5"/>
  <c r="O5440" i="5"/>
  <c r="K5439" i="5"/>
  <c r="G5439" i="5" l="1"/>
  <c r="C5438" i="5"/>
  <c r="O5441" i="5"/>
  <c r="K5440" i="5"/>
  <c r="G5440" i="5" l="1"/>
  <c r="C5439" i="5"/>
  <c r="K5441" i="5"/>
  <c r="O5442" i="5"/>
  <c r="G5441" i="5" l="1"/>
  <c r="C5440" i="5"/>
  <c r="O5443" i="5"/>
  <c r="K5442" i="5"/>
  <c r="C5441" i="5" l="1"/>
  <c r="G5442" i="5"/>
  <c r="O5444" i="5"/>
  <c r="K5443" i="5"/>
  <c r="G5443" i="5" l="1"/>
  <c r="C5442" i="5"/>
  <c r="K5444" i="5"/>
  <c r="O5445" i="5"/>
  <c r="G5444" i="5" l="1"/>
  <c r="C5443" i="5"/>
  <c r="K5445" i="5"/>
  <c r="O5446" i="5"/>
  <c r="G5445" i="5" l="1"/>
  <c r="C5444" i="5"/>
  <c r="O5447" i="5"/>
  <c r="K5446" i="5"/>
  <c r="G5446" i="5" l="1"/>
  <c r="C5445" i="5"/>
  <c r="O5448" i="5"/>
  <c r="K5447" i="5"/>
  <c r="G5447" i="5" l="1"/>
  <c r="C5446" i="5"/>
  <c r="O5449" i="5"/>
  <c r="K5448" i="5"/>
  <c r="G5448" i="5" l="1"/>
  <c r="C5447" i="5"/>
  <c r="K5449" i="5"/>
  <c r="O5450" i="5"/>
  <c r="C5448" i="5" l="1"/>
  <c r="G5449" i="5"/>
  <c r="O5451" i="5"/>
  <c r="K5450" i="5"/>
  <c r="G5450" i="5" l="1"/>
  <c r="C5449" i="5"/>
  <c r="O5452" i="5"/>
  <c r="K5451" i="5"/>
  <c r="G5451" i="5" l="1"/>
  <c r="C5450" i="5"/>
  <c r="K5452" i="5"/>
  <c r="O5453" i="5"/>
  <c r="C5451" i="5" l="1"/>
  <c r="G5452" i="5"/>
  <c r="K5453" i="5"/>
  <c r="O5454" i="5"/>
  <c r="G5453" i="5" l="1"/>
  <c r="C5452" i="5"/>
  <c r="O5455" i="5"/>
  <c r="K5454" i="5"/>
  <c r="G5454" i="5" l="1"/>
  <c r="C5453" i="5"/>
  <c r="O5456" i="5"/>
  <c r="K5455" i="5"/>
  <c r="G5455" i="5" l="1"/>
  <c r="C5454" i="5"/>
  <c r="O5457" i="5"/>
  <c r="K5456" i="5"/>
  <c r="C5455" i="5" l="1"/>
  <c r="G5456" i="5"/>
  <c r="K5457" i="5"/>
  <c r="O5458" i="5"/>
  <c r="C5456" i="5" l="1"/>
  <c r="G5457" i="5"/>
  <c r="O5459" i="5"/>
  <c r="K5458" i="5"/>
  <c r="G5458" i="5" l="1"/>
  <c r="C5457" i="5"/>
  <c r="O5460" i="5"/>
  <c r="K5459" i="5"/>
  <c r="C5458" i="5" l="1"/>
  <c r="G5459" i="5"/>
  <c r="K5460" i="5"/>
  <c r="O5461" i="5"/>
  <c r="C5459" i="5" l="1"/>
  <c r="G5460" i="5"/>
  <c r="K5461" i="5"/>
  <c r="O5462" i="5"/>
  <c r="G5461" i="5" l="1"/>
  <c r="C5460" i="5"/>
  <c r="O5463" i="5"/>
  <c r="K5462" i="5"/>
  <c r="C5461" i="5" l="1"/>
  <c r="G5462" i="5"/>
  <c r="O5464" i="5"/>
  <c r="K5463" i="5"/>
  <c r="C5462" i="5" l="1"/>
  <c r="G5463" i="5"/>
  <c r="O5465" i="5"/>
  <c r="K5464" i="5"/>
  <c r="C5463" i="5" l="1"/>
  <c r="G5464" i="5"/>
  <c r="K5465" i="5"/>
  <c r="O5466" i="5"/>
  <c r="G5465" i="5" l="1"/>
  <c r="C5464" i="5"/>
  <c r="O5467" i="5"/>
  <c r="K5466" i="5"/>
  <c r="G5466" i="5" l="1"/>
  <c r="C5465" i="5"/>
  <c r="O5468" i="5"/>
  <c r="K5467" i="5"/>
  <c r="G5467" i="5" l="1"/>
  <c r="C5466" i="5"/>
  <c r="K5468" i="5"/>
  <c r="O5469" i="5"/>
  <c r="C5467" i="5" l="1"/>
  <c r="G5468" i="5"/>
  <c r="K5469" i="5"/>
  <c r="O5470" i="5"/>
  <c r="G5469" i="5" l="1"/>
  <c r="C5468" i="5"/>
  <c r="O5471" i="5"/>
  <c r="K5470" i="5"/>
  <c r="G5470" i="5" l="1"/>
  <c r="C5469" i="5"/>
  <c r="O5472" i="5"/>
  <c r="K5471" i="5"/>
  <c r="C5470" i="5" l="1"/>
  <c r="G5471" i="5"/>
  <c r="O5473" i="5"/>
  <c r="K5472" i="5"/>
  <c r="C5471" i="5" l="1"/>
  <c r="G5472" i="5"/>
  <c r="K5473" i="5"/>
  <c r="O5474" i="5"/>
  <c r="G5473" i="5" l="1"/>
  <c r="C5472" i="5"/>
  <c r="O5475" i="5"/>
  <c r="K5474" i="5"/>
  <c r="G5474" i="5" l="1"/>
  <c r="C5473" i="5"/>
  <c r="O5476" i="5"/>
  <c r="K5475" i="5"/>
  <c r="C5474" i="5" l="1"/>
  <c r="G5475" i="5"/>
  <c r="K5476" i="5"/>
  <c r="O5477" i="5"/>
  <c r="C5475" i="5" l="1"/>
  <c r="G5476" i="5"/>
  <c r="K5477" i="5"/>
  <c r="O5478" i="5"/>
  <c r="C5476" i="5" l="1"/>
  <c r="G5477" i="5"/>
  <c r="O5479" i="5"/>
  <c r="K5478" i="5"/>
  <c r="G5478" i="5" l="1"/>
  <c r="C5477" i="5"/>
  <c r="O5480" i="5"/>
  <c r="K5479" i="5"/>
  <c r="G5479" i="5" l="1"/>
  <c r="C5478" i="5"/>
  <c r="O5481" i="5"/>
  <c r="K5480" i="5"/>
  <c r="C5479" i="5" l="1"/>
  <c r="G5480" i="5"/>
  <c r="K5481" i="5"/>
  <c r="O5482" i="5"/>
  <c r="C5480" i="5" l="1"/>
  <c r="G5481" i="5"/>
  <c r="O5483" i="5"/>
  <c r="K5482" i="5"/>
  <c r="C5481" i="5" l="1"/>
  <c r="G5482" i="5"/>
  <c r="O5484" i="5"/>
  <c r="K5483" i="5"/>
  <c r="C5482" i="5" l="1"/>
  <c r="G5483" i="5"/>
  <c r="K5484" i="5"/>
  <c r="O5485" i="5"/>
  <c r="C5483" i="5" l="1"/>
  <c r="G5484" i="5"/>
  <c r="K5485" i="5"/>
  <c r="O5486" i="5"/>
  <c r="G5485" i="5" l="1"/>
  <c r="C5484" i="5"/>
  <c r="O5487" i="5"/>
  <c r="K5486" i="5"/>
  <c r="G5486" i="5" l="1"/>
  <c r="C5485" i="5"/>
  <c r="O5488" i="5"/>
  <c r="K5487" i="5"/>
  <c r="G5487" i="5" l="1"/>
  <c r="C5486" i="5"/>
  <c r="O5489" i="5"/>
  <c r="K5488" i="5"/>
  <c r="C5487" i="5" l="1"/>
  <c r="G5488" i="5"/>
  <c r="K5489" i="5"/>
  <c r="O5490" i="5"/>
  <c r="G5489" i="5" l="1"/>
  <c r="C5488" i="5"/>
  <c r="O5491" i="5"/>
  <c r="K5490" i="5"/>
  <c r="G5490" i="5" l="1"/>
  <c r="C5489" i="5"/>
  <c r="O5492" i="5"/>
  <c r="K5491" i="5"/>
  <c r="C5490" i="5" l="1"/>
  <c r="G5491" i="5"/>
  <c r="K5492" i="5"/>
  <c r="O5493" i="5"/>
  <c r="C5491" i="5" l="1"/>
  <c r="G5492" i="5"/>
  <c r="K5493" i="5"/>
  <c r="O5494" i="5"/>
  <c r="G5493" i="5" l="1"/>
  <c r="C5492" i="5"/>
  <c r="O5495" i="5"/>
  <c r="K5494" i="5"/>
  <c r="G5494" i="5" l="1"/>
  <c r="C5493" i="5"/>
  <c r="O5496" i="5"/>
  <c r="K5495" i="5"/>
  <c r="C5494" i="5" l="1"/>
  <c r="G5495" i="5"/>
  <c r="O5497" i="5"/>
  <c r="K5496" i="5"/>
  <c r="C5495" i="5" l="1"/>
  <c r="G5496" i="5"/>
  <c r="K5497" i="5"/>
  <c r="O5498" i="5"/>
  <c r="G5497" i="5" l="1"/>
  <c r="C5496" i="5"/>
  <c r="O5499" i="5"/>
  <c r="K5498" i="5"/>
  <c r="G5498" i="5" l="1"/>
  <c r="C5497" i="5"/>
  <c r="O5500" i="5"/>
  <c r="K5499" i="5"/>
  <c r="G5499" i="5" l="1"/>
  <c r="C5498" i="5"/>
  <c r="K5500" i="5"/>
  <c r="O5501" i="5"/>
  <c r="G5500" i="5" l="1"/>
  <c r="C5499" i="5"/>
  <c r="K5501" i="5"/>
  <c r="O5502" i="5"/>
  <c r="G5501" i="5" l="1"/>
  <c r="C5500" i="5"/>
  <c r="O5503" i="5"/>
  <c r="K5502" i="5"/>
  <c r="G5502" i="5" l="1"/>
  <c r="C5501" i="5"/>
  <c r="O5504" i="5"/>
  <c r="K5503" i="5"/>
  <c r="G5503" i="5" l="1"/>
  <c r="C5502" i="5"/>
  <c r="O5505" i="5"/>
  <c r="K5504" i="5"/>
  <c r="C5503" i="5" l="1"/>
  <c r="G5504" i="5"/>
  <c r="K5505" i="5"/>
  <c r="O5506" i="5"/>
  <c r="G5505" i="5" l="1"/>
  <c r="C5504" i="5"/>
  <c r="O5507" i="5"/>
  <c r="K5506" i="5"/>
  <c r="G5506" i="5" l="1"/>
  <c r="C5505" i="5"/>
  <c r="O5508" i="5"/>
  <c r="K5507" i="5"/>
  <c r="G5507" i="5" l="1"/>
  <c r="C5506" i="5"/>
  <c r="K5508" i="5"/>
  <c r="O5509" i="5"/>
  <c r="C5507" i="5" l="1"/>
  <c r="G5508" i="5"/>
  <c r="K5509" i="5"/>
  <c r="O5510" i="5"/>
  <c r="G5509" i="5" l="1"/>
  <c r="C5508" i="5"/>
  <c r="O5511" i="5"/>
  <c r="K5510" i="5"/>
  <c r="G5510" i="5" l="1"/>
  <c r="C5509" i="5"/>
  <c r="O5512" i="5"/>
  <c r="K5511" i="5"/>
  <c r="G5511" i="5" l="1"/>
  <c r="C5510" i="5"/>
  <c r="O5513" i="5"/>
  <c r="K5512" i="5"/>
  <c r="C5511" i="5" l="1"/>
  <c r="G5512" i="5"/>
  <c r="K5513" i="5"/>
  <c r="O5514" i="5"/>
  <c r="C5512" i="5" l="1"/>
  <c r="G5513" i="5"/>
  <c r="O5515" i="5"/>
  <c r="K5514" i="5"/>
  <c r="C5513" i="5" l="1"/>
  <c r="G5514" i="5"/>
  <c r="O5516" i="5"/>
  <c r="K5515" i="5"/>
  <c r="G5515" i="5" l="1"/>
  <c r="C5514" i="5"/>
  <c r="K5516" i="5"/>
  <c r="O5517" i="5"/>
  <c r="C5515" i="5" l="1"/>
  <c r="G5516" i="5"/>
  <c r="K5517" i="5"/>
  <c r="O5518" i="5"/>
  <c r="G5517" i="5" l="1"/>
  <c r="C5516" i="5"/>
  <c r="O5519" i="5"/>
  <c r="K5518" i="5"/>
  <c r="C5517" i="5" l="1"/>
  <c r="G5518" i="5"/>
  <c r="O5520" i="5"/>
  <c r="K5519" i="5"/>
  <c r="C5518" i="5" l="1"/>
  <c r="G5519" i="5"/>
  <c r="O5521" i="5"/>
  <c r="K5520" i="5"/>
  <c r="C5519" i="5" l="1"/>
  <c r="G5520" i="5"/>
  <c r="K5521" i="5"/>
  <c r="O5522" i="5"/>
  <c r="G5521" i="5" l="1"/>
  <c r="C5520" i="5"/>
  <c r="O5523" i="5"/>
  <c r="K5522" i="5"/>
  <c r="G5522" i="5" l="1"/>
  <c r="C5521" i="5"/>
  <c r="O5524" i="5"/>
  <c r="K5523" i="5"/>
  <c r="G5523" i="5" l="1"/>
  <c r="C5522" i="5"/>
  <c r="K5524" i="5"/>
  <c r="O5525" i="5"/>
  <c r="C5523" i="5" l="1"/>
  <c r="G5524" i="5"/>
  <c r="K5525" i="5"/>
  <c r="O5526" i="5"/>
  <c r="G5525" i="5" l="1"/>
  <c r="C5524" i="5"/>
  <c r="O5527" i="5"/>
  <c r="K5526" i="5"/>
  <c r="G5526" i="5" l="1"/>
  <c r="C5525" i="5"/>
  <c r="O5528" i="5"/>
  <c r="K5527" i="5"/>
  <c r="G5527" i="5" l="1"/>
  <c r="C5526" i="5"/>
  <c r="O5529" i="5"/>
  <c r="K5528" i="5"/>
  <c r="C5527" i="5" l="1"/>
  <c r="G5528" i="5"/>
  <c r="K5529" i="5"/>
  <c r="O5530" i="5"/>
  <c r="G5529" i="5" l="1"/>
  <c r="C5528" i="5"/>
  <c r="O5531" i="5"/>
  <c r="K5530" i="5"/>
  <c r="G5530" i="5" l="1"/>
  <c r="C5529" i="5"/>
  <c r="O5532" i="5"/>
  <c r="K5531" i="5"/>
  <c r="G5531" i="5" l="1"/>
  <c r="C5530" i="5"/>
  <c r="K5532" i="5"/>
  <c r="O5533" i="5"/>
  <c r="C5531" i="5" l="1"/>
  <c r="G5532" i="5"/>
  <c r="K5533" i="5"/>
  <c r="O5534" i="5"/>
  <c r="G5533" i="5" l="1"/>
  <c r="C5532" i="5"/>
  <c r="O5535" i="5"/>
  <c r="K5534" i="5"/>
  <c r="G5534" i="5" l="1"/>
  <c r="C5533" i="5"/>
  <c r="O5536" i="5"/>
  <c r="K5535" i="5"/>
  <c r="G5535" i="5" l="1"/>
  <c r="C5534" i="5"/>
  <c r="O5537" i="5"/>
  <c r="K5536" i="5"/>
  <c r="C5535" i="5" l="1"/>
  <c r="G5536" i="5"/>
  <c r="K5537" i="5"/>
  <c r="O5538" i="5"/>
  <c r="G5537" i="5" l="1"/>
  <c r="C5536" i="5"/>
  <c r="O5539" i="5"/>
  <c r="K5538" i="5"/>
  <c r="G5538" i="5" l="1"/>
  <c r="C5537" i="5"/>
  <c r="O5540" i="5"/>
  <c r="K5539" i="5"/>
  <c r="G5539" i="5" l="1"/>
  <c r="C5538" i="5"/>
  <c r="K5540" i="5"/>
  <c r="O5541" i="5"/>
  <c r="C5539" i="5" l="1"/>
  <c r="G5540" i="5"/>
  <c r="K5541" i="5"/>
  <c r="O5542" i="5"/>
  <c r="C5540" i="5" l="1"/>
  <c r="G5541" i="5"/>
  <c r="O5543" i="5"/>
  <c r="K5542" i="5"/>
  <c r="C5541" i="5" l="1"/>
  <c r="G5542" i="5"/>
  <c r="O5544" i="5"/>
  <c r="K5543" i="5"/>
  <c r="C5542" i="5" l="1"/>
  <c r="G5543" i="5"/>
  <c r="O5545" i="5"/>
  <c r="K5544" i="5"/>
  <c r="C5543" i="5" l="1"/>
  <c r="G5544" i="5"/>
  <c r="K5545" i="5"/>
  <c r="O5546" i="5"/>
  <c r="C5544" i="5" l="1"/>
  <c r="G5545" i="5"/>
  <c r="O5547" i="5"/>
  <c r="K5546" i="5"/>
  <c r="C5545" i="5" l="1"/>
  <c r="G5546" i="5"/>
  <c r="O5548" i="5"/>
  <c r="K5547" i="5"/>
  <c r="G5547" i="5" l="1"/>
  <c r="C5546" i="5"/>
  <c r="K5548" i="5"/>
  <c r="O5549" i="5"/>
  <c r="C5547" i="5" l="1"/>
  <c r="G5548" i="5"/>
  <c r="K5549" i="5"/>
  <c r="O5550" i="5"/>
  <c r="G5549" i="5" l="1"/>
  <c r="C5548" i="5"/>
  <c r="O5551" i="5"/>
  <c r="K5550" i="5"/>
  <c r="G5550" i="5" l="1"/>
  <c r="C5549" i="5"/>
  <c r="O5552" i="5"/>
  <c r="K5551" i="5"/>
  <c r="G5551" i="5" l="1"/>
  <c r="C5550" i="5"/>
  <c r="O5553" i="5"/>
  <c r="K5552" i="5"/>
  <c r="G5552" i="5" l="1"/>
  <c r="C5551" i="5"/>
  <c r="K5553" i="5"/>
  <c r="O5554" i="5"/>
  <c r="C5552" i="5" l="1"/>
  <c r="G5553" i="5"/>
  <c r="O5555" i="5"/>
  <c r="K5554" i="5"/>
  <c r="G5554" i="5" l="1"/>
  <c r="C5553" i="5"/>
  <c r="O5556" i="5"/>
  <c r="K5555" i="5"/>
  <c r="C5554" i="5" l="1"/>
  <c r="G5555" i="5"/>
  <c r="K5556" i="5"/>
  <c r="O5557" i="5"/>
  <c r="G5556" i="5" l="1"/>
  <c r="C5555" i="5"/>
  <c r="K5557" i="5"/>
  <c r="O5558" i="5"/>
  <c r="C5556" i="5" l="1"/>
  <c r="G5557" i="5"/>
  <c r="O5559" i="5"/>
  <c r="K5558" i="5"/>
  <c r="G5558" i="5" l="1"/>
  <c r="C5557" i="5"/>
  <c r="O5560" i="5"/>
  <c r="K5559" i="5"/>
  <c r="C5558" i="5" l="1"/>
  <c r="G5559" i="5"/>
  <c r="O5561" i="5"/>
  <c r="K5560" i="5"/>
  <c r="G5560" i="5" l="1"/>
  <c r="C5559" i="5"/>
  <c r="K5561" i="5"/>
  <c r="O5562" i="5"/>
  <c r="G5561" i="5" l="1"/>
  <c r="C5560" i="5"/>
  <c r="O5563" i="5"/>
  <c r="K5562" i="5"/>
  <c r="G5562" i="5" l="1"/>
  <c r="C5561" i="5"/>
  <c r="O5564" i="5"/>
  <c r="K5563" i="5"/>
  <c r="G5563" i="5" l="1"/>
  <c r="C5562" i="5"/>
  <c r="K5564" i="5"/>
  <c r="O5565" i="5"/>
  <c r="C5563" i="5" l="1"/>
  <c r="G5564" i="5"/>
  <c r="K5565" i="5"/>
  <c r="O5566" i="5"/>
  <c r="G5565" i="5" l="1"/>
  <c r="C5564" i="5"/>
  <c r="O5567" i="5"/>
  <c r="K5566" i="5"/>
  <c r="C5565" i="5" l="1"/>
  <c r="G5566" i="5"/>
  <c r="O5568" i="5"/>
  <c r="K5567" i="5"/>
  <c r="G5567" i="5" l="1"/>
  <c r="C5566" i="5"/>
  <c r="O5569" i="5"/>
  <c r="K5568" i="5"/>
  <c r="G5568" i="5" l="1"/>
  <c r="C5567" i="5"/>
  <c r="K5569" i="5"/>
  <c r="O5570" i="5"/>
  <c r="C5568" i="5" l="1"/>
  <c r="G5569" i="5"/>
  <c r="O5571" i="5"/>
  <c r="K5570" i="5"/>
  <c r="G5570" i="5" l="1"/>
  <c r="C5569" i="5"/>
  <c r="O5572" i="5"/>
  <c r="K5571" i="5"/>
  <c r="G5571" i="5" l="1"/>
  <c r="C5570" i="5"/>
  <c r="K5572" i="5"/>
  <c r="O5573" i="5"/>
  <c r="C5571" i="5" l="1"/>
  <c r="G5572" i="5"/>
  <c r="K5573" i="5"/>
  <c r="O5574" i="5"/>
  <c r="C5572" i="5" l="1"/>
  <c r="G5573" i="5"/>
  <c r="O5575" i="5"/>
  <c r="K5574" i="5"/>
  <c r="G5574" i="5" l="1"/>
  <c r="C5573" i="5"/>
  <c r="O5576" i="5"/>
  <c r="K5575" i="5"/>
  <c r="G5575" i="5" l="1"/>
  <c r="C5574" i="5"/>
  <c r="O5577" i="5"/>
  <c r="K5576" i="5"/>
  <c r="C5575" i="5" l="1"/>
  <c r="G5576" i="5"/>
  <c r="K5577" i="5"/>
  <c r="O5578" i="5"/>
  <c r="C5576" i="5" l="1"/>
  <c r="G5577" i="5"/>
  <c r="O5579" i="5"/>
  <c r="K5578" i="5"/>
  <c r="G5578" i="5" l="1"/>
  <c r="C5577" i="5"/>
  <c r="O5580" i="5"/>
  <c r="K5579" i="5"/>
  <c r="G5579" i="5" l="1"/>
  <c r="C5578" i="5"/>
  <c r="K5580" i="5"/>
  <c r="O5581" i="5"/>
  <c r="C5579" i="5" l="1"/>
  <c r="G5580" i="5"/>
  <c r="K5581" i="5"/>
  <c r="O5582" i="5"/>
  <c r="G5581" i="5" l="1"/>
  <c r="C5580" i="5"/>
  <c r="O5583" i="5"/>
  <c r="K5582" i="5"/>
  <c r="G5582" i="5" l="1"/>
  <c r="C5581" i="5"/>
  <c r="O5584" i="5"/>
  <c r="K5583" i="5"/>
  <c r="G5583" i="5" l="1"/>
  <c r="C5582" i="5"/>
  <c r="O5585" i="5"/>
  <c r="K5584" i="5"/>
  <c r="C5583" i="5" l="1"/>
  <c r="G5584" i="5"/>
  <c r="K5585" i="5"/>
  <c r="O5586" i="5"/>
  <c r="C5584" i="5" l="1"/>
  <c r="G5585" i="5"/>
  <c r="O5587" i="5"/>
  <c r="K5586" i="5"/>
  <c r="G5586" i="5" l="1"/>
  <c r="C5585" i="5"/>
  <c r="O5588" i="5"/>
  <c r="K5587" i="5"/>
  <c r="G5587" i="5" l="1"/>
  <c r="C5586" i="5"/>
  <c r="K5588" i="5"/>
  <c r="O5589" i="5"/>
  <c r="C5587" i="5" l="1"/>
  <c r="G5588" i="5"/>
  <c r="K5589" i="5"/>
  <c r="O5590" i="5"/>
  <c r="C5588" i="5" l="1"/>
  <c r="G5589" i="5"/>
  <c r="O5591" i="5"/>
  <c r="K5590" i="5"/>
  <c r="G5590" i="5" l="1"/>
  <c r="C5589" i="5"/>
  <c r="O5592" i="5"/>
  <c r="K5591" i="5"/>
  <c r="G5591" i="5" l="1"/>
  <c r="C5590" i="5"/>
  <c r="O5593" i="5"/>
  <c r="K5592" i="5"/>
  <c r="C5591" i="5" l="1"/>
  <c r="G5592" i="5"/>
  <c r="K5593" i="5"/>
  <c r="O5594" i="5"/>
  <c r="G5593" i="5" l="1"/>
  <c r="C5592" i="5"/>
  <c r="O5595" i="5"/>
  <c r="K5594" i="5"/>
  <c r="C5593" i="5" l="1"/>
  <c r="G5594" i="5"/>
  <c r="O5596" i="5"/>
  <c r="K5595" i="5"/>
  <c r="G5595" i="5" l="1"/>
  <c r="C5594" i="5"/>
  <c r="K5596" i="5"/>
  <c r="O5597" i="5"/>
  <c r="C5595" i="5" l="1"/>
  <c r="G5596" i="5"/>
  <c r="K5597" i="5"/>
  <c r="O5598" i="5"/>
  <c r="G5597" i="5" l="1"/>
  <c r="C5596" i="5"/>
  <c r="O5599" i="5"/>
  <c r="K5598" i="5"/>
  <c r="G5598" i="5" l="1"/>
  <c r="C5597" i="5"/>
  <c r="O5600" i="5"/>
  <c r="K5599" i="5"/>
  <c r="G5599" i="5" l="1"/>
  <c r="C5598" i="5"/>
  <c r="O5601" i="5"/>
  <c r="K5600" i="5"/>
  <c r="C5599" i="5" l="1"/>
  <c r="G5600" i="5"/>
  <c r="K5601" i="5"/>
  <c r="O5602" i="5"/>
  <c r="G5601" i="5" l="1"/>
  <c r="C5600" i="5"/>
  <c r="O5603" i="5"/>
  <c r="K5602" i="5"/>
  <c r="C5601" i="5" l="1"/>
  <c r="G5602" i="5"/>
  <c r="O5604" i="5"/>
  <c r="K5603" i="5"/>
  <c r="G5603" i="5" l="1"/>
  <c r="C5602" i="5"/>
  <c r="K5604" i="5"/>
  <c r="O5605" i="5"/>
  <c r="C5603" i="5" l="1"/>
  <c r="G5604" i="5"/>
  <c r="K5605" i="5"/>
  <c r="O5606" i="5"/>
  <c r="C5604" i="5" l="1"/>
  <c r="G5605" i="5"/>
  <c r="O5607" i="5"/>
  <c r="K5606" i="5"/>
  <c r="G5606" i="5" l="1"/>
  <c r="C5605" i="5"/>
  <c r="O5608" i="5"/>
  <c r="K5607" i="5"/>
  <c r="G5607" i="5" l="1"/>
  <c r="C5606" i="5"/>
  <c r="O5609" i="5"/>
  <c r="K5608" i="5"/>
  <c r="C5607" i="5" l="1"/>
  <c r="G5608" i="5"/>
  <c r="K5609" i="5"/>
  <c r="O5610" i="5"/>
  <c r="C5608" i="5" l="1"/>
  <c r="G5609" i="5"/>
  <c r="O5611" i="5"/>
  <c r="K5610" i="5"/>
  <c r="G5610" i="5" l="1"/>
  <c r="C5609" i="5"/>
  <c r="O5612" i="5"/>
  <c r="K5611" i="5"/>
  <c r="G5611" i="5" l="1"/>
  <c r="C5610" i="5"/>
  <c r="K5612" i="5"/>
  <c r="O5613" i="5"/>
  <c r="C5611" i="5" l="1"/>
  <c r="G5612" i="5"/>
  <c r="K5613" i="5"/>
  <c r="O5614" i="5"/>
  <c r="G5613" i="5" l="1"/>
  <c r="C5612" i="5"/>
  <c r="O5615" i="5"/>
  <c r="K5614" i="5"/>
  <c r="G5614" i="5" l="1"/>
  <c r="C5613" i="5"/>
  <c r="O5616" i="5"/>
  <c r="K5615" i="5"/>
  <c r="G5615" i="5" l="1"/>
  <c r="C5614" i="5"/>
  <c r="O5617" i="5"/>
  <c r="K5616" i="5"/>
  <c r="C5615" i="5" l="1"/>
  <c r="G5616" i="5"/>
  <c r="K5617" i="5"/>
  <c r="O5618" i="5"/>
  <c r="G5617" i="5" l="1"/>
  <c r="C5616" i="5"/>
  <c r="O5619" i="5"/>
  <c r="K5618" i="5"/>
  <c r="G5618" i="5" l="1"/>
  <c r="C5617" i="5"/>
  <c r="O5620" i="5"/>
  <c r="K5619" i="5"/>
  <c r="G5619" i="5" l="1"/>
  <c r="C5618" i="5"/>
  <c r="K5620" i="5"/>
  <c r="O5621" i="5"/>
  <c r="C5619" i="5" l="1"/>
  <c r="G5620" i="5"/>
  <c r="K5621" i="5"/>
  <c r="O5622" i="5"/>
  <c r="G5621" i="5" l="1"/>
  <c r="C5620" i="5"/>
  <c r="O5623" i="5"/>
  <c r="K5622" i="5"/>
  <c r="C5621" i="5" l="1"/>
  <c r="G5622" i="5"/>
  <c r="O5624" i="5"/>
  <c r="K5623" i="5"/>
  <c r="G5623" i="5" l="1"/>
  <c r="C5622" i="5"/>
  <c r="O5625" i="5"/>
  <c r="K5624" i="5"/>
  <c r="G5624" i="5" l="1"/>
  <c r="C5623" i="5"/>
  <c r="K5625" i="5"/>
  <c r="O5626" i="5"/>
  <c r="G5625" i="5" l="1"/>
  <c r="C5624" i="5"/>
  <c r="O5627" i="5"/>
  <c r="K5626" i="5"/>
  <c r="G5626" i="5" l="1"/>
  <c r="C5625" i="5"/>
  <c r="O5628" i="5"/>
  <c r="K5627" i="5"/>
  <c r="G5627" i="5" l="1"/>
  <c r="C5626" i="5"/>
  <c r="K5628" i="5"/>
  <c r="O5629" i="5"/>
  <c r="C5627" i="5" l="1"/>
  <c r="G5628" i="5"/>
  <c r="K5629" i="5"/>
  <c r="O5630" i="5"/>
  <c r="G5629" i="5" l="1"/>
  <c r="C5628" i="5"/>
  <c r="O5631" i="5"/>
  <c r="K5630" i="5"/>
  <c r="C5629" i="5" l="1"/>
  <c r="G5630" i="5"/>
  <c r="O5632" i="5"/>
  <c r="K5631" i="5"/>
  <c r="G5631" i="5" l="1"/>
  <c r="C5630" i="5"/>
  <c r="O5633" i="5"/>
  <c r="K5632" i="5"/>
  <c r="G5632" i="5" l="1"/>
  <c r="C5631" i="5"/>
  <c r="K5633" i="5"/>
  <c r="O5634" i="5"/>
  <c r="C5632" i="5" l="1"/>
  <c r="G5633" i="5"/>
  <c r="O5635" i="5"/>
  <c r="K5634" i="5"/>
  <c r="G5634" i="5" l="1"/>
  <c r="C5633" i="5"/>
  <c r="O5636" i="5"/>
  <c r="K5635" i="5"/>
  <c r="C5634" i="5" l="1"/>
  <c r="G5635" i="5"/>
  <c r="K5636" i="5"/>
  <c r="O5637" i="5"/>
  <c r="G5636" i="5" l="1"/>
  <c r="C5635" i="5"/>
  <c r="K5637" i="5"/>
  <c r="O5638" i="5"/>
  <c r="C5636" i="5" l="1"/>
  <c r="G5637" i="5"/>
  <c r="O5639" i="5"/>
  <c r="K5638" i="5"/>
  <c r="G5638" i="5" l="1"/>
  <c r="C5637" i="5"/>
  <c r="O5640" i="5"/>
  <c r="K5639" i="5"/>
  <c r="C5638" i="5" l="1"/>
  <c r="G5639" i="5"/>
  <c r="O5641" i="5"/>
  <c r="K5640" i="5"/>
  <c r="C5639" i="5" l="1"/>
  <c r="G5640" i="5"/>
  <c r="K5641" i="5"/>
  <c r="O5642" i="5"/>
  <c r="C5640" i="5" l="1"/>
  <c r="G5641" i="5"/>
  <c r="O5643" i="5"/>
  <c r="K5642" i="5"/>
  <c r="G5642" i="5" l="1"/>
  <c r="C5641" i="5"/>
  <c r="O5644" i="5"/>
  <c r="K5643" i="5"/>
  <c r="G5643" i="5" l="1"/>
  <c r="C5642" i="5"/>
  <c r="K5644" i="5"/>
  <c r="O5645" i="5"/>
  <c r="G5644" i="5" l="1"/>
  <c r="C5643" i="5"/>
  <c r="K5645" i="5"/>
  <c r="O5646" i="5"/>
  <c r="G5645" i="5" l="1"/>
  <c r="C5644" i="5"/>
  <c r="O5647" i="5"/>
  <c r="K5646" i="5"/>
  <c r="G5646" i="5" l="1"/>
  <c r="C5645" i="5"/>
  <c r="O5648" i="5"/>
  <c r="K5647" i="5"/>
  <c r="G5647" i="5" l="1"/>
  <c r="C5646" i="5"/>
  <c r="O5649" i="5"/>
  <c r="K5648" i="5"/>
  <c r="C5647" i="5" l="1"/>
  <c r="G5648" i="5"/>
  <c r="K5649" i="5"/>
  <c r="O5650" i="5"/>
  <c r="G5649" i="5" l="1"/>
  <c r="C5648" i="5"/>
  <c r="O5651" i="5"/>
  <c r="K5650" i="5"/>
  <c r="G5650" i="5" l="1"/>
  <c r="C5649" i="5"/>
  <c r="O5652" i="5"/>
  <c r="K5651" i="5"/>
  <c r="C5650" i="5" l="1"/>
  <c r="G5651" i="5"/>
  <c r="K5652" i="5"/>
  <c r="O5653" i="5"/>
  <c r="G5652" i="5" l="1"/>
  <c r="C5651" i="5"/>
  <c r="K5653" i="5"/>
  <c r="O5654" i="5"/>
  <c r="C5652" i="5" l="1"/>
  <c r="G5653" i="5"/>
  <c r="O5655" i="5"/>
  <c r="K5654" i="5"/>
  <c r="G5654" i="5" l="1"/>
  <c r="C5653" i="5"/>
  <c r="O5656" i="5"/>
  <c r="K5655" i="5"/>
  <c r="G5655" i="5" l="1"/>
  <c r="C5654" i="5"/>
  <c r="O5657" i="5"/>
  <c r="K5656" i="5"/>
  <c r="C5655" i="5" l="1"/>
  <c r="G5656" i="5"/>
  <c r="K5657" i="5"/>
  <c r="O5658" i="5"/>
  <c r="G5657" i="5" l="1"/>
  <c r="C5656" i="5"/>
  <c r="O5659" i="5"/>
  <c r="K5658" i="5"/>
  <c r="C5657" i="5" l="1"/>
  <c r="G5658" i="5"/>
  <c r="O5660" i="5"/>
  <c r="K5659" i="5"/>
  <c r="C5658" i="5" l="1"/>
  <c r="G5659" i="5"/>
  <c r="K5660" i="5"/>
  <c r="O5661" i="5"/>
  <c r="C5659" i="5" l="1"/>
  <c r="G5660" i="5"/>
  <c r="K5661" i="5"/>
  <c r="O5662" i="5"/>
  <c r="G5661" i="5" l="1"/>
  <c r="C5660" i="5"/>
  <c r="O5663" i="5"/>
  <c r="K5662" i="5"/>
  <c r="G5662" i="5" l="1"/>
  <c r="C5661" i="5"/>
  <c r="O5664" i="5"/>
  <c r="K5663" i="5"/>
  <c r="G5663" i="5" l="1"/>
  <c r="C5662" i="5"/>
  <c r="O5665" i="5"/>
  <c r="K5664" i="5"/>
  <c r="C5663" i="5" l="1"/>
  <c r="G5664" i="5"/>
  <c r="K5665" i="5"/>
  <c r="O5666" i="5"/>
  <c r="G5665" i="5" l="1"/>
  <c r="C5664" i="5"/>
  <c r="O5667" i="5"/>
  <c r="K5666" i="5"/>
  <c r="G5666" i="5" l="1"/>
  <c r="C5665" i="5"/>
  <c r="O5668" i="5"/>
  <c r="K5667" i="5"/>
  <c r="G5667" i="5" l="1"/>
  <c r="C5666" i="5"/>
  <c r="K5668" i="5"/>
  <c r="O5669" i="5"/>
  <c r="C5667" i="5" l="1"/>
  <c r="G5668" i="5"/>
  <c r="K5669" i="5"/>
  <c r="O5670" i="5"/>
  <c r="C5668" i="5" l="1"/>
  <c r="G5669" i="5"/>
  <c r="O5671" i="5"/>
  <c r="K5670" i="5"/>
  <c r="G5670" i="5" l="1"/>
  <c r="C5669" i="5"/>
  <c r="O5672" i="5"/>
  <c r="K5671" i="5"/>
  <c r="G5671" i="5" l="1"/>
  <c r="C5670" i="5"/>
  <c r="O5673" i="5"/>
  <c r="K5672" i="5"/>
  <c r="C5671" i="5" l="1"/>
  <c r="G5672" i="5"/>
  <c r="K5673" i="5"/>
  <c r="O5674" i="5"/>
  <c r="C5672" i="5" l="1"/>
  <c r="G5673" i="5"/>
  <c r="O5675" i="5"/>
  <c r="K5674" i="5"/>
  <c r="G5674" i="5" l="1"/>
  <c r="C5673" i="5"/>
  <c r="O5676" i="5"/>
  <c r="K5675" i="5"/>
  <c r="G5675" i="5" l="1"/>
  <c r="C5674" i="5"/>
  <c r="K5676" i="5"/>
  <c r="O5677" i="5"/>
  <c r="C5675" i="5" l="1"/>
  <c r="G5676" i="5"/>
  <c r="K5677" i="5"/>
  <c r="O5678" i="5"/>
  <c r="G5677" i="5" l="1"/>
  <c r="C5676" i="5"/>
  <c r="O5679" i="5"/>
  <c r="K5678" i="5"/>
  <c r="C5677" i="5" l="1"/>
  <c r="G5678" i="5"/>
  <c r="O5680" i="5"/>
  <c r="K5679" i="5"/>
  <c r="G5679" i="5" l="1"/>
  <c r="C5678" i="5"/>
  <c r="O5681" i="5"/>
  <c r="K5680" i="5"/>
  <c r="G5680" i="5" l="1"/>
  <c r="C5679" i="5"/>
  <c r="K5681" i="5"/>
  <c r="O5682" i="5"/>
  <c r="C5680" i="5" l="1"/>
  <c r="G5681" i="5"/>
  <c r="O5683" i="5"/>
  <c r="K5682" i="5"/>
  <c r="C5681" i="5" l="1"/>
  <c r="G5682" i="5"/>
  <c r="O5684" i="5"/>
  <c r="K5683" i="5"/>
  <c r="C5682" i="5" l="1"/>
  <c r="G5683" i="5"/>
  <c r="K5684" i="5"/>
  <c r="O5685" i="5"/>
  <c r="C5683" i="5" l="1"/>
  <c r="G5684" i="5"/>
  <c r="K5685" i="5"/>
  <c r="O5686" i="5"/>
  <c r="G5685" i="5" l="1"/>
  <c r="C5684" i="5"/>
  <c r="O5687" i="5"/>
  <c r="K5686" i="5"/>
  <c r="G5686" i="5" l="1"/>
  <c r="C5685" i="5"/>
  <c r="O5688" i="5"/>
  <c r="K5687" i="5"/>
  <c r="G5687" i="5" l="1"/>
  <c r="C5686" i="5"/>
  <c r="O5689" i="5"/>
  <c r="K5688" i="5"/>
  <c r="C5687" i="5" l="1"/>
  <c r="G5688" i="5"/>
  <c r="K5689" i="5"/>
  <c r="O5690" i="5"/>
  <c r="G5689" i="5" l="1"/>
  <c r="C5688" i="5"/>
  <c r="O5691" i="5"/>
  <c r="K5690" i="5"/>
  <c r="G5690" i="5" l="1"/>
  <c r="C5689" i="5"/>
  <c r="O5692" i="5"/>
  <c r="K5691" i="5"/>
  <c r="G5691" i="5" l="1"/>
  <c r="C5690" i="5"/>
  <c r="K5692" i="5"/>
  <c r="O5693" i="5"/>
  <c r="C5691" i="5" l="1"/>
  <c r="G5692" i="5"/>
  <c r="K5693" i="5"/>
  <c r="O5694" i="5"/>
  <c r="G5693" i="5" l="1"/>
  <c r="C5692" i="5"/>
  <c r="O5695" i="5"/>
  <c r="K5694" i="5"/>
  <c r="C5693" i="5" l="1"/>
  <c r="G5694" i="5"/>
  <c r="O5696" i="5"/>
  <c r="K5695" i="5"/>
  <c r="C5694" i="5" l="1"/>
  <c r="G5695" i="5"/>
  <c r="O5697" i="5"/>
  <c r="K5696" i="5"/>
  <c r="G5696" i="5" l="1"/>
  <c r="C5695" i="5"/>
  <c r="K5697" i="5"/>
  <c r="O5698" i="5"/>
  <c r="C5696" i="5" l="1"/>
  <c r="G5697" i="5"/>
  <c r="O5699" i="5"/>
  <c r="K5698" i="5"/>
  <c r="G5698" i="5" l="1"/>
  <c r="C5697" i="5"/>
  <c r="O5700" i="5"/>
  <c r="K5699" i="5"/>
  <c r="C5698" i="5" l="1"/>
  <c r="G5699" i="5"/>
  <c r="K5700" i="5"/>
  <c r="O5701" i="5"/>
  <c r="C5699" i="5" l="1"/>
  <c r="G5700" i="5"/>
  <c r="K5701" i="5"/>
  <c r="O5702" i="5"/>
  <c r="C5700" i="5" l="1"/>
  <c r="G5701" i="5"/>
  <c r="O5703" i="5"/>
  <c r="K5702" i="5"/>
  <c r="G5702" i="5" l="1"/>
  <c r="C5701" i="5"/>
  <c r="O5704" i="5"/>
  <c r="K5703" i="5"/>
  <c r="G5703" i="5" l="1"/>
  <c r="C5702" i="5"/>
  <c r="O5705" i="5"/>
  <c r="K5704" i="5"/>
  <c r="C5703" i="5" l="1"/>
  <c r="G5704" i="5"/>
  <c r="K5705" i="5"/>
  <c r="O5706" i="5"/>
  <c r="C5704" i="5" l="1"/>
  <c r="G5705" i="5"/>
  <c r="O5707" i="5"/>
  <c r="K5706" i="5"/>
  <c r="G5706" i="5" l="1"/>
  <c r="C5705" i="5"/>
  <c r="O5708" i="5"/>
  <c r="K5707" i="5"/>
  <c r="G5707" i="5" l="1"/>
  <c r="C5706" i="5"/>
  <c r="K5708" i="5"/>
  <c r="O5709" i="5"/>
  <c r="C5707" i="5" l="1"/>
  <c r="G5708" i="5"/>
  <c r="K5709" i="5"/>
  <c r="O5710" i="5"/>
  <c r="C5708" i="5" l="1"/>
  <c r="G5709" i="5"/>
  <c r="O5711" i="5"/>
  <c r="K5710" i="5"/>
  <c r="G5710" i="5" l="1"/>
  <c r="C5709" i="5"/>
  <c r="O5712" i="5"/>
  <c r="K5711" i="5"/>
  <c r="G5711" i="5" l="1"/>
  <c r="C5710" i="5"/>
  <c r="O5713" i="5"/>
  <c r="K5712" i="5"/>
  <c r="C5711" i="5" l="1"/>
  <c r="G5712" i="5"/>
  <c r="K5713" i="5"/>
  <c r="O5714" i="5"/>
  <c r="C5712" i="5" l="1"/>
  <c r="G5713" i="5"/>
  <c r="O5715" i="5"/>
  <c r="K5714" i="5"/>
  <c r="G5714" i="5" l="1"/>
  <c r="C5713" i="5"/>
  <c r="O5716" i="5"/>
  <c r="K5715" i="5"/>
  <c r="G5715" i="5" l="1"/>
  <c r="C5714" i="5"/>
  <c r="K5716" i="5"/>
  <c r="O5717" i="5"/>
  <c r="C5715" i="5" l="1"/>
  <c r="G5716" i="5"/>
  <c r="K5717" i="5"/>
  <c r="O5718" i="5"/>
  <c r="C5716" i="5" l="1"/>
  <c r="G5717" i="5"/>
  <c r="O5719" i="5"/>
  <c r="K5718" i="5"/>
  <c r="G5718" i="5" l="1"/>
  <c r="C5717" i="5"/>
  <c r="O5720" i="5"/>
  <c r="K5719" i="5"/>
  <c r="G5719" i="5" l="1"/>
  <c r="C5718" i="5"/>
  <c r="O5721" i="5"/>
  <c r="K5720" i="5"/>
  <c r="C5719" i="5" l="1"/>
  <c r="G5720" i="5"/>
  <c r="K5721" i="5"/>
  <c r="O5722" i="5"/>
  <c r="G5721" i="5" l="1"/>
  <c r="C5720" i="5"/>
  <c r="O5723" i="5"/>
  <c r="K5722" i="5"/>
  <c r="C5721" i="5" l="1"/>
  <c r="G5722" i="5"/>
  <c r="O5724" i="5"/>
  <c r="K5723" i="5"/>
  <c r="G5723" i="5" l="1"/>
  <c r="C5722" i="5"/>
  <c r="K5724" i="5"/>
  <c r="O5725" i="5"/>
  <c r="C5723" i="5" l="1"/>
  <c r="G5724" i="5"/>
  <c r="K5725" i="5"/>
  <c r="O5726" i="5"/>
  <c r="G5725" i="5" l="1"/>
  <c r="C5724" i="5"/>
  <c r="O5727" i="5"/>
  <c r="K5726" i="5"/>
  <c r="C5725" i="5" l="1"/>
  <c r="G5726" i="5"/>
  <c r="O5728" i="5"/>
  <c r="K5727" i="5"/>
  <c r="G5727" i="5" l="1"/>
  <c r="C5726" i="5"/>
  <c r="O5729" i="5"/>
  <c r="K5728" i="5"/>
  <c r="G5728" i="5" l="1"/>
  <c r="C5727" i="5"/>
  <c r="K5729" i="5"/>
  <c r="O5730" i="5"/>
  <c r="C5728" i="5" l="1"/>
  <c r="G5729" i="5"/>
  <c r="O5731" i="5"/>
  <c r="K5730" i="5"/>
  <c r="G5730" i="5" l="1"/>
  <c r="C5729" i="5"/>
  <c r="O5732" i="5"/>
  <c r="K5731" i="5"/>
  <c r="G5731" i="5" l="1"/>
  <c r="C5730" i="5"/>
  <c r="K5732" i="5"/>
  <c r="O5733" i="5"/>
  <c r="C5731" i="5" l="1"/>
  <c r="G5732" i="5"/>
  <c r="K5733" i="5"/>
  <c r="O5734" i="5"/>
  <c r="C5732" i="5" l="1"/>
  <c r="G5733" i="5"/>
  <c r="O5735" i="5"/>
  <c r="K5734" i="5"/>
  <c r="G5734" i="5" l="1"/>
  <c r="C5733" i="5"/>
  <c r="O5736" i="5"/>
  <c r="K5735" i="5"/>
  <c r="G5735" i="5" l="1"/>
  <c r="C5734" i="5"/>
  <c r="O5737" i="5"/>
  <c r="K5736" i="5"/>
  <c r="C5735" i="5" l="1"/>
  <c r="G5736" i="5"/>
  <c r="K5737" i="5"/>
  <c r="O5738" i="5"/>
  <c r="C5736" i="5" l="1"/>
  <c r="G5737" i="5"/>
  <c r="O5739" i="5"/>
  <c r="K5738" i="5"/>
  <c r="G5738" i="5" l="1"/>
  <c r="C5737" i="5"/>
  <c r="O5740" i="5"/>
  <c r="K5739" i="5"/>
  <c r="G5739" i="5" l="1"/>
  <c r="C5738" i="5"/>
  <c r="K5740" i="5"/>
  <c r="O5741" i="5"/>
  <c r="G5740" i="5" l="1"/>
  <c r="C5739" i="5"/>
  <c r="K5741" i="5"/>
  <c r="O5742" i="5"/>
  <c r="C5740" i="5" l="1"/>
  <c r="G5741" i="5"/>
  <c r="O5743" i="5"/>
  <c r="K5742" i="5"/>
  <c r="G5742" i="5" l="1"/>
  <c r="C5741" i="5"/>
  <c r="O5744" i="5"/>
  <c r="K5743" i="5"/>
  <c r="G5743" i="5" l="1"/>
  <c r="C5742" i="5"/>
  <c r="O5745" i="5"/>
  <c r="K5744" i="5"/>
  <c r="C5743" i="5" l="1"/>
  <c r="G5744" i="5"/>
  <c r="K5745" i="5"/>
  <c r="O5746" i="5"/>
  <c r="G5745" i="5" l="1"/>
  <c r="C5744" i="5"/>
  <c r="O5747" i="5"/>
  <c r="K5746" i="5"/>
  <c r="G5746" i="5" l="1"/>
  <c r="C5745" i="5"/>
  <c r="O5748" i="5"/>
  <c r="K5747" i="5"/>
  <c r="G5747" i="5" l="1"/>
  <c r="C5746" i="5"/>
  <c r="K5748" i="5"/>
  <c r="O5749" i="5"/>
  <c r="C5747" i="5" l="1"/>
  <c r="G5748" i="5"/>
  <c r="K5749" i="5"/>
  <c r="O5750" i="5"/>
  <c r="G5749" i="5" l="1"/>
  <c r="C5748" i="5"/>
  <c r="O5751" i="5"/>
  <c r="K5750" i="5"/>
  <c r="G5750" i="5" l="1"/>
  <c r="C5749" i="5"/>
  <c r="O5752" i="5"/>
  <c r="K5751" i="5"/>
  <c r="G5751" i="5" l="1"/>
  <c r="C5750" i="5"/>
  <c r="O5753" i="5"/>
  <c r="K5752" i="5"/>
  <c r="C5751" i="5" l="1"/>
  <c r="G5752" i="5"/>
  <c r="K5753" i="5"/>
  <c r="O5754" i="5"/>
  <c r="G5753" i="5" l="1"/>
  <c r="C5752" i="5"/>
  <c r="O5755" i="5"/>
  <c r="K5754" i="5"/>
  <c r="G5754" i="5" l="1"/>
  <c r="C5753" i="5"/>
  <c r="O5756" i="5"/>
  <c r="K5755" i="5"/>
  <c r="G5755" i="5" l="1"/>
  <c r="C5754" i="5"/>
  <c r="K5756" i="5"/>
  <c r="O5757" i="5"/>
  <c r="G5756" i="5" l="1"/>
  <c r="C5755" i="5"/>
  <c r="K5757" i="5"/>
  <c r="O5758" i="5"/>
  <c r="C5756" i="5" l="1"/>
  <c r="G5757" i="5"/>
  <c r="O5759" i="5"/>
  <c r="K5758" i="5"/>
  <c r="G5758" i="5" l="1"/>
  <c r="C5757" i="5"/>
  <c r="O5760" i="5"/>
  <c r="K5759" i="5"/>
  <c r="G5759" i="5" l="1"/>
  <c r="C5758" i="5"/>
  <c r="O5761" i="5"/>
  <c r="K5760" i="5"/>
  <c r="C5759" i="5" l="1"/>
  <c r="G5760" i="5"/>
  <c r="K5761" i="5"/>
  <c r="O5762" i="5"/>
  <c r="G5761" i="5" l="1"/>
  <c r="C5760" i="5"/>
  <c r="O5763" i="5"/>
  <c r="K5762" i="5"/>
  <c r="C5761" i="5" l="1"/>
  <c r="G5762" i="5"/>
  <c r="O5764" i="5"/>
  <c r="K5763" i="5"/>
  <c r="G5763" i="5" l="1"/>
  <c r="C5762" i="5"/>
  <c r="K5764" i="5"/>
  <c r="O5765" i="5"/>
  <c r="C5763" i="5" l="1"/>
  <c r="G5764" i="5"/>
  <c r="K5765" i="5"/>
  <c r="O5766" i="5"/>
  <c r="G5765" i="5" l="1"/>
  <c r="C5764" i="5"/>
  <c r="O5767" i="5"/>
  <c r="K5766" i="5"/>
  <c r="G5766" i="5" l="1"/>
  <c r="C5765" i="5"/>
  <c r="O5768" i="5"/>
  <c r="K5767" i="5"/>
  <c r="G5767" i="5" l="1"/>
  <c r="C5766" i="5"/>
  <c r="O5769" i="5"/>
  <c r="K5768" i="5"/>
  <c r="C5767" i="5" l="1"/>
  <c r="G5768" i="5"/>
  <c r="K5769" i="5"/>
  <c r="O5770" i="5"/>
  <c r="C5768" i="5" l="1"/>
  <c r="G5769" i="5"/>
  <c r="O5771" i="5"/>
  <c r="K5770" i="5"/>
  <c r="G5770" i="5" l="1"/>
  <c r="C5769" i="5"/>
  <c r="O5772" i="5"/>
  <c r="K5771" i="5"/>
  <c r="G5771" i="5" l="1"/>
  <c r="C5770" i="5"/>
  <c r="K5772" i="5"/>
  <c r="O5773" i="5"/>
  <c r="C5771" i="5" l="1"/>
  <c r="G5772" i="5"/>
  <c r="K5773" i="5"/>
  <c r="O5774" i="5"/>
  <c r="G5773" i="5" l="1"/>
  <c r="C5772" i="5"/>
  <c r="O5775" i="5"/>
  <c r="K5774" i="5"/>
  <c r="C5773" i="5" l="1"/>
  <c r="G5774" i="5"/>
  <c r="O5776" i="5"/>
  <c r="K5775" i="5"/>
  <c r="G5775" i="5" l="1"/>
  <c r="C5774" i="5"/>
  <c r="O5777" i="5"/>
  <c r="K5776" i="5"/>
  <c r="G5776" i="5" l="1"/>
  <c r="C5775" i="5"/>
  <c r="K5777" i="5"/>
  <c r="O5778" i="5"/>
  <c r="C5776" i="5" l="1"/>
  <c r="G5777" i="5"/>
  <c r="O5779" i="5"/>
  <c r="K5778" i="5"/>
  <c r="G5778" i="5" l="1"/>
  <c r="C5777" i="5"/>
  <c r="O5780" i="5"/>
  <c r="K5779" i="5"/>
  <c r="C5778" i="5" l="1"/>
  <c r="G5779" i="5"/>
  <c r="K5780" i="5"/>
  <c r="O5781" i="5"/>
  <c r="G5780" i="5" l="1"/>
  <c r="C5779" i="5"/>
  <c r="K5781" i="5"/>
  <c r="O5782" i="5"/>
  <c r="C5780" i="5" l="1"/>
  <c r="G5781" i="5"/>
  <c r="O5783" i="5"/>
  <c r="K5782" i="5"/>
  <c r="G5782" i="5" l="1"/>
  <c r="C5781" i="5"/>
  <c r="O5784" i="5"/>
  <c r="K5783" i="5"/>
  <c r="G5783" i="5" l="1"/>
  <c r="C5782" i="5"/>
  <c r="O5785" i="5"/>
  <c r="K5784" i="5"/>
  <c r="C5783" i="5" l="1"/>
  <c r="G5784" i="5"/>
  <c r="K5785" i="5"/>
  <c r="O5786" i="5"/>
  <c r="G5785" i="5" l="1"/>
  <c r="C5784" i="5"/>
  <c r="O5787" i="5"/>
  <c r="K5786" i="5"/>
  <c r="G5786" i="5" l="1"/>
  <c r="C5785" i="5"/>
  <c r="O5788" i="5"/>
  <c r="K5787" i="5"/>
  <c r="G5787" i="5" l="1"/>
  <c r="C5786" i="5"/>
  <c r="K5788" i="5"/>
  <c r="O5789" i="5"/>
  <c r="C5787" i="5" l="1"/>
  <c r="G5788" i="5"/>
  <c r="K5789" i="5"/>
  <c r="O5790" i="5"/>
  <c r="G5789" i="5" l="1"/>
  <c r="C5788" i="5"/>
  <c r="O5791" i="5"/>
  <c r="K5790" i="5"/>
  <c r="G5790" i="5" l="1"/>
  <c r="C5789" i="5"/>
  <c r="O5792" i="5"/>
  <c r="K5791" i="5"/>
  <c r="G5791" i="5" l="1"/>
  <c r="C5790" i="5"/>
  <c r="O5793" i="5"/>
  <c r="K5792" i="5"/>
  <c r="C5791" i="5" l="1"/>
  <c r="G5792" i="5"/>
  <c r="K5793" i="5"/>
  <c r="O5794" i="5"/>
  <c r="G5793" i="5" l="1"/>
  <c r="C5792" i="5"/>
  <c r="O5795" i="5"/>
  <c r="K5794" i="5"/>
  <c r="G5794" i="5" l="1"/>
  <c r="C5793" i="5"/>
  <c r="O5796" i="5"/>
  <c r="K5795" i="5"/>
  <c r="G5795" i="5" l="1"/>
  <c r="C5794" i="5"/>
  <c r="K5796" i="5"/>
  <c r="O5797" i="5"/>
  <c r="G5796" i="5" l="1"/>
  <c r="C5795" i="5"/>
  <c r="K5797" i="5"/>
  <c r="O5798" i="5"/>
  <c r="G5797" i="5" l="1"/>
  <c r="C5796" i="5"/>
  <c r="O5799" i="5"/>
  <c r="K5798" i="5"/>
  <c r="C5797" i="5" l="1"/>
  <c r="G5798" i="5"/>
  <c r="O5800" i="5"/>
  <c r="K5799" i="5"/>
  <c r="G5799" i="5" l="1"/>
  <c r="C5798" i="5"/>
  <c r="O5801" i="5"/>
  <c r="K5800" i="5"/>
  <c r="G5800" i="5" l="1"/>
  <c r="C5799" i="5"/>
  <c r="K5801" i="5"/>
  <c r="O5802" i="5"/>
  <c r="G5801" i="5" l="1"/>
  <c r="C5800" i="5"/>
  <c r="O5803" i="5"/>
  <c r="K5802" i="5"/>
  <c r="C5801" i="5" l="1"/>
  <c r="G5802" i="5"/>
  <c r="O5804" i="5"/>
  <c r="K5803" i="5"/>
  <c r="C5802" i="5" l="1"/>
  <c r="G5803" i="5"/>
  <c r="K5804" i="5"/>
  <c r="O5805" i="5"/>
  <c r="C5803" i="5" l="1"/>
  <c r="G5804" i="5"/>
  <c r="K5805" i="5"/>
  <c r="O5806" i="5"/>
  <c r="G5805" i="5" l="1"/>
  <c r="C5804" i="5"/>
  <c r="O5807" i="5"/>
  <c r="K5806" i="5"/>
  <c r="G5806" i="5" l="1"/>
  <c r="C5805" i="5"/>
  <c r="O5808" i="5"/>
  <c r="K5807" i="5"/>
  <c r="G5807" i="5" l="1"/>
  <c r="C5806" i="5"/>
  <c r="O5809" i="5"/>
  <c r="K5808" i="5"/>
  <c r="C5807" i="5" l="1"/>
  <c r="G5808" i="5"/>
  <c r="K5809" i="5"/>
  <c r="O5810" i="5"/>
  <c r="G5809" i="5" l="1"/>
  <c r="C5808" i="5"/>
  <c r="O5811" i="5"/>
  <c r="K5810" i="5"/>
  <c r="C5809" i="5" l="1"/>
  <c r="G5810" i="5"/>
  <c r="O5812" i="5"/>
  <c r="K5811" i="5"/>
  <c r="G5811" i="5" l="1"/>
  <c r="C5810" i="5"/>
  <c r="K5812" i="5"/>
  <c r="O5813" i="5"/>
  <c r="C5811" i="5" l="1"/>
  <c r="G5812" i="5"/>
  <c r="K5813" i="5"/>
  <c r="O5814" i="5"/>
  <c r="G5813" i="5" l="1"/>
  <c r="C5812" i="5"/>
  <c r="O5815" i="5"/>
  <c r="K5814" i="5"/>
  <c r="C5813" i="5" l="1"/>
  <c r="G5814" i="5"/>
  <c r="O5816" i="5"/>
  <c r="K5815" i="5"/>
  <c r="G5815" i="5" l="1"/>
  <c r="C5814" i="5"/>
  <c r="O5817" i="5"/>
  <c r="K5816" i="5"/>
  <c r="G5816" i="5" l="1"/>
  <c r="C5815" i="5"/>
  <c r="K5817" i="5"/>
  <c r="O5818" i="5"/>
  <c r="C5816" i="5" l="1"/>
  <c r="G5817" i="5"/>
  <c r="O5819" i="5"/>
  <c r="K5818" i="5"/>
  <c r="G5818" i="5" l="1"/>
  <c r="C5817" i="5"/>
  <c r="O5820" i="5"/>
  <c r="K5819" i="5"/>
  <c r="G5819" i="5" l="1"/>
  <c r="C5818" i="5"/>
  <c r="K5820" i="5"/>
  <c r="O5821" i="5"/>
  <c r="C5819" i="5" l="1"/>
  <c r="G5820" i="5"/>
  <c r="K5821" i="5"/>
  <c r="O5822" i="5"/>
  <c r="G5821" i="5" l="1"/>
  <c r="C5820" i="5"/>
  <c r="O5823" i="5"/>
  <c r="K5822" i="5"/>
  <c r="C5821" i="5" l="1"/>
  <c r="G5822" i="5"/>
  <c r="O5824" i="5"/>
  <c r="K5823" i="5"/>
  <c r="G5823" i="5" l="1"/>
  <c r="C5822" i="5"/>
  <c r="O5825" i="5"/>
  <c r="K5824" i="5"/>
  <c r="G5824" i="5" l="1"/>
  <c r="C5823" i="5"/>
  <c r="K5825" i="5"/>
  <c r="O5826" i="5"/>
  <c r="C5824" i="5" l="1"/>
  <c r="G5825" i="5"/>
  <c r="O5827" i="5"/>
  <c r="K5826" i="5"/>
  <c r="G5826" i="5" l="1"/>
  <c r="C5825" i="5"/>
  <c r="O5828" i="5"/>
  <c r="K5827" i="5"/>
  <c r="G5827" i="5" l="1"/>
  <c r="C5826" i="5"/>
  <c r="K5828" i="5"/>
  <c r="O5829" i="5"/>
  <c r="C5827" i="5" l="1"/>
  <c r="G5828" i="5"/>
  <c r="K5829" i="5"/>
  <c r="O5830" i="5"/>
  <c r="G5829" i="5" l="1"/>
  <c r="C5828" i="5"/>
  <c r="O5831" i="5"/>
  <c r="K5830" i="5"/>
  <c r="C5829" i="5" l="1"/>
  <c r="G5830" i="5"/>
  <c r="O5832" i="5"/>
  <c r="K5831" i="5"/>
  <c r="G5831" i="5" l="1"/>
  <c r="C5830" i="5"/>
  <c r="O5833" i="5"/>
  <c r="K5832" i="5"/>
  <c r="G5832" i="5" l="1"/>
  <c r="C5831" i="5"/>
  <c r="K5833" i="5"/>
  <c r="O5834" i="5"/>
  <c r="G5833" i="5" l="1"/>
  <c r="C5832" i="5"/>
  <c r="O5835" i="5"/>
  <c r="K5834" i="5"/>
  <c r="G5834" i="5" l="1"/>
  <c r="C5833" i="5"/>
  <c r="O5836" i="5"/>
  <c r="K5835" i="5"/>
  <c r="G5835" i="5" l="1"/>
  <c r="C5834" i="5"/>
  <c r="K5836" i="5"/>
  <c r="O5837" i="5"/>
  <c r="C5835" i="5" l="1"/>
  <c r="G5836" i="5"/>
  <c r="K5837" i="5"/>
  <c r="O5838" i="5"/>
  <c r="G5837" i="5" l="1"/>
  <c r="C5836" i="5"/>
  <c r="O5839" i="5"/>
  <c r="K5838" i="5"/>
  <c r="C5837" i="5" l="1"/>
  <c r="G5838" i="5"/>
  <c r="O5840" i="5"/>
  <c r="K5839" i="5"/>
  <c r="G5839" i="5" l="1"/>
  <c r="C5838" i="5"/>
  <c r="O5841" i="5"/>
  <c r="K5840" i="5"/>
  <c r="G5840" i="5" l="1"/>
  <c r="C5839" i="5"/>
  <c r="K5841" i="5"/>
  <c r="O5842" i="5"/>
  <c r="G5841" i="5" l="1"/>
  <c r="C5840" i="5"/>
  <c r="O5843" i="5"/>
  <c r="K5842" i="5"/>
  <c r="C5841" i="5" l="1"/>
  <c r="G5842" i="5"/>
  <c r="O5844" i="5"/>
  <c r="K5843" i="5"/>
  <c r="C5842" i="5" l="1"/>
  <c r="G5843" i="5"/>
  <c r="K5844" i="5"/>
  <c r="O5845" i="5"/>
  <c r="G5844" i="5" l="1"/>
  <c r="C5843" i="5"/>
  <c r="K5845" i="5"/>
  <c r="O5846" i="5"/>
  <c r="C5844" i="5" l="1"/>
  <c r="G5845" i="5"/>
  <c r="O5847" i="5"/>
  <c r="K5846" i="5"/>
  <c r="G5846" i="5" l="1"/>
  <c r="C5845" i="5"/>
  <c r="O5848" i="5"/>
  <c r="K5847" i="5"/>
  <c r="C5846" i="5" l="1"/>
  <c r="G5847" i="5"/>
  <c r="O5849" i="5"/>
  <c r="K5848" i="5"/>
  <c r="C5847" i="5" l="1"/>
  <c r="G5848" i="5"/>
  <c r="K5849" i="5"/>
  <c r="O5850" i="5"/>
  <c r="C5848" i="5" l="1"/>
  <c r="G5849" i="5"/>
  <c r="O5851" i="5"/>
  <c r="K5850" i="5"/>
  <c r="G5850" i="5" l="1"/>
  <c r="C5849" i="5"/>
  <c r="O5852" i="5"/>
  <c r="K5851" i="5"/>
  <c r="C5850" i="5" l="1"/>
  <c r="G5851" i="5"/>
  <c r="K5852" i="5"/>
  <c r="O5853" i="5"/>
  <c r="G5852" i="5" l="1"/>
  <c r="C5851" i="5"/>
  <c r="K5853" i="5"/>
  <c r="O5854" i="5"/>
  <c r="C5852" i="5" l="1"/>
  <c r="G5853" i="5"/>
  <c r="O5855" i="5"/>
  <c r="K5854" i="5"/>
  <c r="G5854" i="5" l="1"/>
  <c r="C5853" i="5"/>
  <c r="O5856" i="5"/>
  <c r="K5855" i="5"/>
  <c r="G5855" i="5" l="1"/>
  <c r="C5854" i="5"/>
  <c r="O5857" i="5"/>
  <c r="K5856" i="5"/>
  <c r="C5855" i="5" l="1"/>
  <c r="G5856" i="5"/>
  <c r="K5857" i="5"/>
  <c r="O5858" i="5"/>
  <c r="G5857" i="5" l="1"/>
  <c r="C5856" i="5"/>
  <c r="O5859" i="5"/>
  <c r="K5858" i="5"/>
  <c r="G5858" i="5" l="1"/>
  <c r="C5857" i="5"/>
  <c r="O5860" i="5"/>
  <c r="K5859" i="5"/>
  <c r="G5859" i="5" l="1"/>
  <c r="C5858" i="5"/>
  <c r="K5860" i="5"/>
  <c r="O5861" i="5"/>
  <c r="C5859" i="5" l="1"/>
  <c r="G5860" i="5"/>
  <c r="K5861" i="5"/>
  <c r="O5862" i="5"/>
  <c r="C5860" i="5" l="1"/>
  <c r="G5861" i="5"/>
  <c r="O5863" i="5"/>
  <c r="K5862" i="5"/>
  <c r="G5862" i="5" l="1"/>
  <c r="C5861" i="5"/>
  <c r="O5864" i="5"/>
  <c r="K5863" i="5"/>
  <c r="G5863" i="5" l="1"/>
  <c r="C5862" i="5"/>
  <c r="O5865" i="5"/>
  <c r="K5864" i="5"/>
  <c r="C5863" i="5" l="1"/>
  <c r="G5864" i="5"/>
  <c r="K5865" i="5"/>
  <c r="O5866" i="5"/>
  <c r="C5864" i="5" l="1"/>
  <c r="G5865" i="5"/>
  <c r="O5867" i="5"/>
  <c r="K5866" i="5"/>
  <c r="G5866" i="5" l="1"/>
  <c r="C5865" i="5"/>
  <c r="O5868" i="5"/>
  <c r="K5867" i="5"/>
  <c r="G5867" i="5" l="1"/>
  <c r="C5866" i="5"/>
  <c r="K5868" i="5"/>
  <c r="O5869" i="5"/>
  <c r="C5867" i="5" l="1"/>
  <c r="G5868" i="5"/>
  <c r="K5869" i="5"/>
  <c r="O5870" i="5"/>
  <c r="G5869" i="5" l="1"/>
  <c r="C5868" i="5"/>
  <c r="O5871" i="5"/>
  <c r="K5870" i="5"/>
  <c r="G5870" i="5" l="1"/>
  <c r="C5869" i="5"/>
  <c r="O5872" i="5"/>
  <c r="K5871" i="5"/>
  <c r="G5871" i="5" l="1"/>
  <c r="C5870" i="5"/>
  <c r="O5873" i="5"/>
  <c r="K5872" i="5"/>
  <c r="C5871" i="5" l="1"/>
  <c r="G5872" i="5"/>
  <c r="K5873" i="5"/>
  <c r="O5874" i="5"/>
  <c r="G5873" i="5" l="1"/>
  <c r="C5872" i="5"/>
  <c r="O5875" i="5"/>
  <c r="K5874" i="5"/>
  <c r="G5874" i="5" l="1"/>
  <c r="C5873" i="5"/>
  <c r="O5876" i="5"/>
  <c r="K5875" i="5"/>
  <c r="C5874" i="5" l="1"/>
  <c r="G5875" i="5"/>
  <c r="K5876" i="5"/>
  <c r="O5877" i="5"/>
  <c r="G5876" i="5" l="1"/>
  <c r="C5875" i="5"/>
  <c r="K5877" i="5"/>
  <c r="O5878" i="5"/>
  <c r="C5876" i="5" l="1"/>
  <c r="G5877" i="5"/>
  <c r="O5879" i="5"/>
  <c r="K5878" i="5"/>
  <c r="C5877" i="5" l="1"/>
  <c r="G5878" i="5"/>
  <c r="O5880" i="5"/>
  <c r="K5879" i="5"/>
  <c r="C5878" i="5" l="1"/>
  <c r="G5879" i="5"/>
  <c r="O5881" i="5"/>
  <c r="K5880" i="5"/>
  <c r="C5879" i="5" l="1"/>
  <c r="G5880" i="5"/>
  <c r="K5881" i="5"/>
  <c r="O5882" i="5"/>
  <c r="G5881" i="5" l="1"/>
  <c r="C5880" i="5"/>
  <c r="O5883" i="5"/>
  <c r="K5882" i="5"/>
  <c r="G5882" i="5" l="1"/>
  <c r="C5881" i="5"/>
  <c r="O5884" i="5"/>
  <c r="K5883" i="5"/>
  <c r="G5883" i="5" l="1"/>
  <c r="C5882" i="5"/>
  <c r="K5884" i="5"/>
  <c r="O5885" i="5"/>
  <c r="C5883" i="5" l="1"/>
  <c r="G5884" i="5"/>
  <c r="K5885" i="5"/>
  <c r="O5886" i="5"/>
  <c r="G5885" i="5" l="1"/>
  <c r="C5884" i="5"/>
  <c r="O5887" i="5"/>
  <c r="K5886" i="5"/>
  <c r="C5885" i="5" l="1"/>
  <c r="G5886" i="5"/>
  <c r="O5888" i="5"/>
  <c r="K5887" i="5"/>
  <c r="G5887" i="5" l="1"/>
  <c r="C5886" i="5"/>
  <c r="O5889" i="5"/>
  <c r="K5888" i="5"/>
  <c r="G5888" i="5" l="1"/>
  <c r="C5887" i="5"/>
  <c r="K5889" i="5"/>
  <c r="O5890" i="5"/>
  <c r="C5888" i="5" l="1"/>
  <c r="G5889" i="5"/>
  <c r="O5891" i="5"/>
  <c r="K5890" i="5"/>
  <c r="C5889" i="5" l="1"/>
  <c r="G5890" i="5"/>
  <c r="O5892" i="5"/>
  <c r="K5891" i="5"/>
  <c r="C5890" i="5" l="1"/>
  <c r="G5891" i="5"/>
  <c r="K5892" i="5"/>
  <c r="O5893" i="5"/>
  <c r="G5892" i="5" l="1"/>
  <c r="C5891" i="5"/>
  <c r="K5893" i="5"/>
  <c r="O5894" i="5"/>
  <c r="G5893" i="5" l="1"/>
  <c r="C5892" i="5"/>
  <c r="O5895" i="5"/>
  <c r="K5894" i="5"/>
  <c r="G5894" i="5" l="1"/>
  <c r="C5893" i="5"/>
  <c r="O5896" i="5"/>
  <c r="K5895" i="5"/>
  <c r="G5895" i="5" l="1"/>
  <c r="C5894" i="5"/>
  <c r="O5897" i="5"/>
  <c r="K5896" i="5"/>
  <c r="C5895" i="5" l="1"/>
  <c r="G5896" i="5"/>
  <c r="K5897" i="5"/>
  <c r="O5898" i="5"/>
  <c r="C5896" i="5" l="1"/>
  <c r="G5897" i="5"/>
  <c r="O5899" i="5"/>
  <c r="K5898" i="5"/>
  <c r="G5898" i="5" l="1"/>
  <c r="C5897" i="5"/>
  <c r="O5900" i="5"/>
  <c r="K5899" i="5"/>
  <c r="G5899" i="5" l="1"/>
  <c r="C5898" i="5"/>
  <c r="K5900" i="5"/>
  <c r="O5901" i="5"/>
  <c r="C5899" i="5" l="1"/>
  <c r="G5900" i="5"/>
  <c r="K5901" i="5"/>
  <c r="O5902" i="5"/>
  <c r="G5901" i="5" l="1"/>
  <c r="C5900" i="5"/>
  <c r="O5903" i="5"/>
  <c r="K5902" i="5"/>
  <c r="G5902" i="5" l="1"/>
  <c r="C5901" i="5"/>
  <c r="O5904" i="5"/>
  <c r="K5903" i="5"/>
  <c r="G5903" i="5" l="1"/>
  <c r="C5902" i="5"/>
  <c r="O5905" i="5"/>
  <c r="K5904" i="5"/>
  <c r="C5903" i="5" l="1"/>
  <c r="G5904" i="5"/>
  <c r="K5905" i="5"/>
  <c r="O5906" i="5"/>
  <c r="G5905" i="5" l="1"/>
  <c r="C5904" i="5"/>
  <c r="O5907" i="5"/>
  <c r="K5906" i="5"/>
  <c r="G5906" i="5" l="1"/>
  <c r="C5905" i="5"/>
  <c r="O5908" i="5"/>
  <c r="K5907" i="5"/>
  <c r="G5907" i="5" l="1"/>
  <c r="C5906" i="5"/>
  <c r="K5908" i="5"/>
  <c r="O5909" i="5"/>
  <c r="C5907" i="5" l="1"/>
  <c r="G5908" i="5"/>
  <c r="K5909" i="5"/>
  <c r="O5910" i="5"/>
  <c r="G5909" i="5" l="1"/>
  <c r="C5908" i="5"/>
  <c r="O5911" i="5"/>
  <c r="K5910" i="5"/>
  <c r="G5910" i="5" l="1"/>
  <c r="C5909" i="5"/>
  <c r="O5912" i="5"/>
  <c r="K5911" i="5"/>
  <c r="G5911" i="5" l="1"/>
  <c r="C5910" i="5"/>
  <c r="O5913" i="5"/>
  <c r="K5912" i="5"/>
  <c r="C5911" i="5" l="1"/>
  <c r="G5912" i="5"/>
  <c r="K5913" i="5"/>
  <c r="O5914" i="5"/>
  <c r="G5913" i="5" l="1"/>
  <c r="C5912" i="5"/>
  <c r="O5915" i="5"/>
  <c r="K5914" i="5"/>
  <c r="G5914" i="5" l="1"/>
  <c r="C5913" i="5"/>
  <c r="O5916" i="5"/>
  <c r="K5915" i="5"/>
  <c r="G5915" i="5" l="1"/>
  <c r="C5914" i="5"/>
  <c r="K5916" i="5"/>
  <c r="O5917" i="5"/>
  <c r="G5916" i="5" l="1"/>
  <c r="C5915" i="5"/>
  <c r="K5917" i="5"/>
  <c r="O5918" i="5"/>
  <c r="C5916" i="5" l="1"/>
  <c r="G5917" i="5"/>
  <c r="O5919" i="5"/>
  <c r="K5918" i="5"/>
  <c r="C5917" i="5" l="1"/>
  <c r="G5918" i="5"/>
  <c r="O5920" i="5"/>
  <c r="K5919" i="5"/>
  <c r="C5918" i="5" l="1"/>
  <c r="G5919" i="5"/>
  <c r="O5921" i="5"/>
  <c r="K5920" i="5"/>
  <c r="C5919" i="5" l="1"/>
  <c r="G5920" i="5"/>
  <c r="K5921" i="5"/>
  <c r="O5922" i="5"/>
  <c r="G5921" i="5" l="1"/>
  <c r="C5920" i="5"/>
  <c r="O5923" i="5"/>
  <c r="K5922" i="5"/>
  <c r="C5921" i="5" l="1"/>
  <c r="G5922" i="5"/>
  <c r="O5924" i="5"/>
  <c r="K5923" i="5"/>
  <c r="G5923" i="5" l="1"/>
  <c r="C5922" i="5"/>
  <c r="K5924" i="5"/>
  <c r="O5925" i="5"/>
  <c r="C5923" i="5" l="1"/>
  <c r="G5924" i="5"/>
  <c r="K5925" i="5"/>
  <c r="O5926" i="5"/>
  <c r="C5924" i="5" l="1"/>
  <c r="G5925" i="5"/>
  <c r="O5927" i="5"/>
  <c r="K5926" i="5"/>
  <c r="G5926" i="5" l="1"/>
  <c r="C5925" i="5"/>
  <c r="O5928" i="5"/>
  <c r="K5927" i="5"/>
  <c r="G5927" i="5" l="1"/>
  <c r="C5926" i="5"/>
  <c r="O5929" i="5"/>
  <c r="K5928" i="5"/>
  <c r="C5927" i="5" l="1"/>
  <c r="G5928" i="5"/>
  <c r="K5929" i="5"/>
  <c r="O5930" i="5"/>
  <c r="C5928" i="5" l="1"/>
  <c r="G5929" i="5"/>
  <c r="O5931" i="5"/>
  <c r="K5930" i="5"/>
  <c r="G5930" i="5" l="1"/>
  <c r="C5929" i="5"/>
  <c r="O5932" i="5"/>
  <c r="K5931" i="5"/>
  <c r="G5931" i="5" l="1"/>
  <c r="C5930" i="5"/>
  <c r="K5932" i="5"/>
  <c r="O5933" i="5"/>
  <c r="C5931" i="5" l="1"/>
  <c r="G5932" i="5"/>
  <c r="K5933" i="5"/>
  <c r="O5934" i="5"/>
  <c r="G5933" i="5" l="1"/>
  <c r="C5932" i="5"/>
  <c r="O5935" i="5"/>
  <c r="K5934" i="5"/>
  <c r="G5934" i="5" l="1"/>
  <c r="C5933" i="5"/>
  <c r="O5936" i="5"/>
  <c r="K5935" i="5"/>
  <c r="G5935" i="5" l="1"/>
  <c r="C5934" i="5"/>
  <c r="O5937" i="5"/>
  <c r="K5936" i="5"/>
  <c r="C5935" i="5" l="1"/>
  <c r="G5936" i="5"/>
  <c r="K5937" i="5"/>
  <c r="O5938" i="5"/>
  <c r="G5937" i="5" l="1"/>
  <c r="C5936" i="5"/>
  <c r="O5939" i="5"/>
  <c r="K5938" i="5"/>
  <c r="C5937" i="5" l="1"/>
  <c r="G5938" i="5"/>
  <c r="O5940" i="5"/>
  <c r="K5939" i="5"/>
  <c r="G5939" i="5" l="1"/>
  <c r="C5938" i="5"/>
  <c r="K5940" i="5"/>
  <c r="O5941" i="5"/>
  <c r="G5940" i="5" l="1"/>
  <c r="C5939" i="5"/>
  <c r="K5941" i="5"/>
  <c r="O5942" i="5"/>
  <c r="C5940" i="5" l="1"/>
  <c r="G5941" i="5"/>
  <c r="O5943" i="5"/>
  <c r="K5942" i="5"/>
  <c r="C5941" i="5" l="1"/>
  <c r="G5942" i="5"/>
  <c r="O5944" i="5"/>
  <c r="K5943" i="5"/>
  <c r="C5942" i="5" l="1"/>
  <c r="G5943" i="5"/>
  <c r="O5945" i="5"/>
  <c r="K5944" i="5"/>
  <c r="G5944" i="5" l="1"/>
  <c r="C5943" i="5"/>
  <c r="K5945" i="5"/>
  <c r="O5946" i="5"/>
  <c r="C5944" i="5" l="1"/>
  <c r="G5945" i="5"/>
  <c r="O5947" i="5"/>
  <c r="K5946" i="5"/>
  <c r="G5946" i="5" l="1"/>
  <c r="C5945" i="5"/>
  <c r="O5948" i="5"/>
  <c r="K5947" i="5"/>
  <c r="C5946" i="5" l="1"/>
  <c r="G5947" i="5"/>
  <c r="K5948" i="5"/>
  <c r="O5949" i="5"/>
  <c r="C5947" i="5" l="1"/>
  <c r="G5948" i="5"/>
  <c r="K5949" i="5"/>
  <c r="O5950" i="5"/>
  <c r="G5949" i="5" l="1"/>
  <c r="C5948" i="5"/>
  <c r="O5951" i="5"/>
  <c r="K5950" i="5"/>
  <c r="G5950" i="5" l="1"/>
  <c r="C5949" i="5"/>
  <c r="O5952" i="5"/>
  <c r="K5951" i="5"/>
  <c r="G5951" i="5" l="1"/>
  <c r="C5950" i="5"/>
  <c r="O5953" i="5"/>
  <c r="K5952" i="5"/>
  <c r="G5952" i="5" l="1"/>
  <c r="C5951" i="5"/>
  <c r="K5953" i="5"/>
  <c r="O5954" i="5"/>
  <c r="C5952" i="5" l="1"/>
  <c r="G5953" i="5"/>
  <c r="O5955" i="5"/>
  <c r="K5954" i="5"/>
  <c r="C5953" i="5" l="1"/>
  <c r="G5954" i="5"/>
  <c r="O5956" i="5"/>
  <c r="K5955" i="5"/>
  <c r="C5954" i="5" l="1"/>
  <c r="G5955" i="5"/>
  <c r="K5956" i="5"/>
  <c r="O5957" i="5"/>
  <c r="G5956" i="5" l="1"/>
  <c r="C5955" i="5"/>
  <c r="K5957" i="5"/>
  <c r="O5958" i="5"/>
  <c r="C5956" i="5" l="1"/>
  <c r="G5957" i="5"/>
  <c r="O5959" i="5"/>
  <c r="K5958" i="5"/>
  <c r="G5958" i="5" l="1"/>
  <c r="C5957" i="5"/>
  <c r="O5960" i="5"/>
  <c r="K5959" i="5"/>
  <c r="C5958" i="5" l="1"/>
  <c r="G5959" i="5"/>
  <c r="O5961" i="5"/>
  <c r="K5960" i="5"/>
  <c r="C5959" i="5" l="1"/>
  <c r="G5960" i="5"/>
  <c r="K5961" i="5"/>
  <c r="O5962" i="5"/>
  <c r="C5960" i="5" l="1"/>
  <c r="G5961" i="5"/>
  <c r="O5963" i="5"/>
  <c r="K5962" i="5"/>
  <c r="G5962" i="5" l="1"/>
  <c r="C5961" i="5"/>
  <c r="O5964" i="5"/>
  <c r="K5963" i="5"/>
  <c r="G5963" i="5" l="1"/>
  <c r="C5962" i="5"/>
  <c r="K5964" i="5"/>
  <c r="O5965" i="5"/>
  <c r="C5963" i="5" l="1"/>
  <c r="G5964" i="5"/>
  <c r="K5965" i="5"/>
  <c r="O5966" i="5"/>
  <c r="G5965" i="5" l="1"/>
  <c r="C5964" i="5"/>
  <c r="O5967" i="5"/>
  <c r="K5966" i="5"/>
  <c r="G5966" i="5" l="1"/>
  <c r="C5965" i="5"/>
  <c r="O5968" i="5"/>
  <c r="K5967" i="5"/>
  <c r="G5967" i="5" l="1"/>
  <c r="C5966" i="5"/>
  <c r="O5969" i="5"/>
  <c r="K5968" i="5"/>
  <c r="C5967" i="5" l="1"/>
  <c r="G5968" i="5"/>
  <c r="K5969" i="5"/>
  <c r="O5970" i="5"/>
  <c r="C5968" i="5" l="1"/>
  <c r="G5969" i="5"/>
  <c r="O5971" i="5"/>
  <c r="K5970" i="5"/>
  <c r="G5970" i="5" l="1"/>
  <c r="C5969" i="5"/>
  <c r="O5972" i="5"/>
  <c r="K5971" i="5"/>
  <c r="G5971" i="5" l="1"/>
  <c r="C5970" i="5"/>
  <c r="K5972" i="5"/>
  <c r="O5973" i="5"/>
  <c r="C5971" i="5" l="1"/>
  <c r="G5972" i="5"/>
  <c r="K5973" i="5"/>
  <c r="O5974" i="5"/>
  <c r="G5973" i="5" l="1"/>
  <c r="C5972" i="5"/>
  <c r="O5975" i="5"/>
  <c r="K5974" i="5"/>
  <c r="G5974" i="5" l="1"/>
  <c r="C5973" i="5"/>
  <c r="O5976" i="5"/>
  <c r="K5975" i="5"/>
  <c r="G5975" i="5" l="1"/>
  <c r="C5974" i="5"/>
  <c r="O5977" i="5"/>
  <c r="K5976" i="5"/>
  <c r="C5975" i="5" l="1"/>
  <c r="G5976" i="5"/>
  <c r="K5977" i="5"/>
  <c r="O5978" i="5"/>
  <c r="G5977" i="5" l="1"/>
  <c r="C5976" i="5"/>
  <c r="O5979" i="5"/>
  <c r="K5978" i="5"/>
  <c r="G5978" i="5" l="1"/>
  <c r="C5977" i="5"/>
  <c r="O5980" i="5"/>
  <c r="K5979" i="5"/>
  <c r="G5979" i="5" l="1"/>
  <c r="C5978" i="5"/>
  <c r="K5980" i="5"/>
  <c r="O5981" i="5"/>
  <c r="C5979" i="5" l="1"/>
  <c r="G5980" i="5"/>
  <c r="K5981" i="5"/>
  <c r="O5982" i="5"/>
  <c r="G5981" i="5" l="1"/>
  <c r="C5980" i="5"/>
  <c r="O5983" i="5"/>
  <c r="K5982" i="5"/>
  <c r="G5982" i="5" l="1"/>
  <c r="C5981" i="5"/>
  <c r="O5984" i="5"/>
  <c r="K5983" i="5"/>
  <c r="G5983" i="5" l="1"/>
  <c r="C5982" i="5"/>
  <c r="O5985" i="5"/>
  <c r="K5984" i="5"/>
  <c r="C5983" i="5" l="1"/>
  <c r="G5984" i="5"/>
  <c r="K5985" i="5"/>
  <c r="O5986" i="5"/>
  <c r="G5985" i="5" l="1"/>
  <c r="C5984" i="5"/>
  <c r="O5987" i="5"/>
  <c r="K5986" i="5"/>
  <c r="G5986" i="5" l="1"/>
  <c r="C5985" i="5"/>
  <c r="O5988" i="5"/>
  <c r="K5987" i="5"/>
  <c r="G5987" i="5" l="1"/>
  <c r="C5986" i="5"/>
  <c r="K5988" i="5"/>
  <c r="O5989" i="5"/>
  <c r="C5987" i="5" l="1"/>
  <c r="G5988" i="5"/>
  <c r="K5989" i="5"/>
  <c r="O5990" i="5"/>
  <c r="C5988" i="5" l="1"/>
  <c r="G5989" i="5"/>
  <c r="K5990" i="5"/>
  <c r="O5991" i="5"/>
  <c r="G5990" i="5" l="1"/>
  <c r="C5989" i="5"/>
  <c r="O5992" i="5"/>
  <c r="K5991" i="5"/>
  <c r="G5991" i="5" l="1"/>
  <c r="C5990" i="5"/>
  <c r="O5993" i="5"/>
  <c r="K5992" i="5"/>
  <c r="C5991" i="5" l="1"/>
  <c r="G5992" i="5"/>
  <c r="K5993" i="5"/>
  <c r="O5994" i="5"/>
  <c r="C5992" i="5" l="1"/>
  <c r="G5993" i="5"/>
  <c r="O5995" i="5"/>
  <c r="K5994" i="5"/>
  <c r="G5994" i="5" l="1"/>
  <c r="C5993" i="5"/>
  <c r="O5996" i="5"/>
  <c r="K5995" i="5"/>
  <c r="G5995" i="5" l="1"/>
  <c r="C5994" i="5"/>
  <c r="K5996" i="5"/>
  <c r="O5997" i="5"/>
  <c r="C5995" i="5" l="1"/>
  <c r="G5996" i="5"/>
  <c r="K5997" i="5"/>
  <c r="O5998" i="5"/>
  <c r="G5997" i="5" l="1"/>
  <c r="C5996" i="5"/>
  <c r="K5998" i="5"/>
  <c r="O5999" i="5"/>
  <c r="G5998" i="5" l="1"/>
  <c r="C5997" i="5"/>
  <c r="O6000" i="5"/>
  <c r="K5999" i="5"/>
  <c r="G5999" i="5" l="1"/>
  <c r="C5998" i="5"/>
  <c r="J18" i="1"/>
  <c r="K18" i="1" s="1"/>
  <c r="J11" i="1"/>
  <c r="K11" i="1" s="1"/>
  <c r="J10" i="1"/>
  <c r="K10" i="1" s="1"/>
  <c r="J16" i="1"/>
  <c r="K16" i="1" s="1"/>
  <c r="J14" i="1"/>
  <c r="K14" i="1" s="1"/>
  <c r="J15" i="1"/>
  <c r="K15" i="1" s="1"/>
  <c r="J17" i="1"/>
  <c r="K17" i="1" s="1"/>
  <c r="L16" i="1"/>
  <c r="J12" i="1"/>
  <c r="K12" i="1" s="1"/>
  <c r="L15" i="1"/>
  <c r="L10" i="1"/>
  <c r="J9" i="1"/>
  <c r="K9" i="1" s="1"/>
  <c r="E47" i="2" s="1"/>
  <c r="L13" i="1"/>
  <c r="L17" i="1"/>
  <c r="L14" i="1"/>
  <c r="J13" i="1"/>
  <c r="K13" i="1" s="1"/>
  <c r="L11" i="1"/>
  <c r="L18" i="1"/>
  <c r="L9" i="1"/>
  <c r="L12" i="1"/>
  <c r="O6001" i="5"/>
  <c r="K6001" i="5" s="1"/>
  <c r="K6000" i="5"/>
  <c r="C5999" i="5" l="1"/>
  <c r="G6000" i="5"/>
  <c r="C9" i="2"/>
  <c r="E25" i="2" s="1"/>
  <c r="Q49" i="2"/>
  <c r="T49" i="2"/>
  <c r="S49" i="2"/>
  <c r="R49" i="2"/>
  <c r="U49" i="2"/>
  <c r="V49" i="2"/>
  <c r="X49" i="2"/>
  <c r="W49" i="2"/>
  <c r="P49" i="2"/>
  <c r="L48" i="2"/>
  <c r="L49" i="2" s="1"/>
  <c r="M48" i="2"/>
  <c r="M49" i="2" s="1"/>
  <c r="K48" i="2"/>
  <c r="K49" i="2" s="1"/>
  <c r="J48" i="2"/>
  <c r="J49" i="2" s="1"/>
  <c r="E48" i="2"/>
  <c r="E49" i="2" s="1"/>
  <c r="N48" i="2"/>
  <c r="N49" i="2" s="1"/>
  <c r="G48" i="2"/>
  <c r="G49" i="2" s="1"/>
  <c r="I48" i="2"/>
  <c r="I49" i="2" s="1"/>
  <c r="F48" i="2"/>
  <c r="F49" i="2" s="1"/>
  <c r="H48" i="2"/>
  <c r="H49" i="2" s="1"/>
  <c r="O48" i="2"/>
  <c r="O49" i="2" s="1"/>
  <c r="G6001" i="5" l="1"/>
  <c r="C6001" i="5" s="1"/>
  <c r="C6000" i="5"/>
  <c r="L27" i="1"/>
  <c r="J25" i="1"/>
  <c r="K25" i="1" s="1"/>
  <c r="J24" i="1"/>
  <c r="K24" i="1" s="1"/>
  <c r="L23" i="1"/>
  <c r="J20" i="1"/>
  <c r="K20" i="1" s="1"/>
  <c r="J21" i="1"/>
  <c r="K21" i="1" s="1"/>
  <c r="L19" i="1"/>
  <c r="L24" i="1"/>
  <c r="L29" i="1"/>
  <c r="J22" i="1"/>
  <c r="K22" i="1" s="1"/>
  <c r="L28" i="1"/>
  <c r="L20" i="1"/>
  <c r="L21" i="1"/>
  <c r="J23" i="1"/>
  <c r="K23" i="1" s="1"/>
  <c r="L25" i="1"/>
  <c r="J29" i="1"/>
  <c r="K29" i="1" s="1"/>
  <c r="J19" i="1"/>
  <c r="K19" i="1" s="1"/>
  <c r="J26" i="1"/>
  <c r="K26" i="1" s="1"/>
  <c r="L26" i="1"/>
  <c r="L22" i="1"/>
  <c r="J28" i="1"/>
  <c r="K28" i="1" s="1"/>
  <c r="J27" i="1"/>
  <c r="K27" i="1" s="1"/>
  <c r="V8" i="2"/>
  <c r="V57" i="2" s="1"/>
  <c r="V10" i="2"/>
  <c r="V59" i="2" s="1"/>
  <c r="R12" i="2"/>
  <c r="R61" i="2" s="1"/>
  <c r="W13" i="2"/>
  <c r="W62" i="2" s="1"/>
  <c r="N16" i="2"/>
  <c r="N65" i="2" s="1"/>
  <c r="O17" i="2"/>
  <c r="O66" i="2" s="1"/>
  <c r="L18" i="2"/>
  <c r="L67" i="2" s="1"/>
  <c r="K19" i="2"/>
  <c r="K68" i="2" s="1"/>
  <c r="T10" i="2"/>
  <c r="T59" i="2" s="1"/>
  <c r="U13" i="2"/>
  <c r="U62" i="2" s="1"/>
  <c r="X14" i="2"/>
  <c r="X63" i="2" s="1"/>
  <c r="M17" i="2"/>
  <c r="M66" i="2" s="1"/>
  <c r="Y19" i="2"/>
  <c r="Y68" i="2" s="1"/>
  <c r="Y112" i="2" s="1"/>
  <c r="T20" i="2"/>
  <c r="T69" i="2" s="1"/>
  <c r="O21" i="2"/>
  <c r="O70" i="2" s="1"/>
  <c r="J22" i="2"/>
  <c r="J71" i="2" s="1"/>
  <c r="S23" i="2"/>
  <c r="S72" i="2" s="1"/>
  <c r="N24" i="2"/>
  <c r="N73" i="2" s="1"/>
  <c r="K25" i="2"/>
  <c r="K74" i="2" s="1"/>
  <c r="F26" i="2"/>
  <c r="F75" i="2" s="1"/>
  <c r="V26" i="2"/>
  <c r="S27" i="2"/>
  <c r="S76" i="2" s="1"/>
  <c r="P28" i="2"/>
  <c r="P77" i="2" s="1"/>
  <c r="O29" i="2"/>
  <c r="O78" i="2" s="1"/>
  <c r="W9" i="2"/>
  <c r="W58" i="2" s="1"/>
  <c r="U11" i="2"/>
  <c r="U60" i="2" s="1"/>
  <c r="R14" i="2"/>
  <c r="R63" i="2" s="1"/>
  <c r="U15" i="2"/>
  <c r="U64" i="2" s="1"/>
  <c r="V16" i="2"/>
  <c r="V65" i="2" s="1"/>
  <c r="W17" i="2"/>
  <c r="W66" i="2" s="1"/>
  <c r="T18" i="2"/>
  <c r="T67" i="2" s="1"/>
  <c r="S19" i="2"/>
  <c r="S68" i="2" s="1"/>
  <c r="N20" i="2"/>
  <c r="N69" i="2" s="1"/>
  <c r="I21" i="2"/>
  <c r="I70" i="2" s="1"/>
  <c r="Y21" i="2"/>
  <c r="Y70" i="2" s="1"/>
  <c r="Y114" i="2" s="1"/>
  <c r="T22" i="2"/>
  <c r="T71" i="2" s="1"/>
  <c r="M23" i="2"/>
  <c r="M72" i="2" s="1"/>
  <c r="H24" i="2"/>
  <c r="H73" i="2" s="1"/>
  <c r="X24" i="2"/>
  <c r="U25" i="2"/>
  <c r="U74" i="2" s="1"/>
  <c r="P26" i="2"/>
  <c r="P75" i="2" s="1"/>
  <c r="M27" i="2"/>
  <c r="M76" i="2" s="1"/>
  <c r="J28" i="2"/>
  <c r="J77" i="2" s="1"/>
  <c r="I29" i="2"/>
  <c r="I78" i="2" s="1"/>
  <c r="X42" i="2"/>
  <c r="X91" i="2" s="1"/>
  <c r="W7" i="2"/>
  <c r="W56" i="2" s="1"/>
  <c r="S13" i="2"/>
  <c r="S62" i="2" s="1"/>
  <c r="S15" i="2"/>
  <c r="S64" i="2" s="1"/>
  <c r="Q17" i="2"/>
  <c r="Q66" i="2" s="1"/>
  <c r="V18" i="2"/>
  <c r="V67" i="2" s="1"/>
  <c r="H22" i="2"/>
  <c r="H71" i="2" s="1"/>
  <c r="Y23" i="2"/>
  <c r="Y72" i="2" s="1"/>
  <c r="Y116" i="2" s="1"/>
  <c r="G25" i="2"/>
  <c r="G74" i="2" s="1"/>
  <c r="H26" i="2"/>
  <c r="H75" i="2" s="1"/>
  <c r="I27" i="2"/>
  <c r="I76" i="2" s="1"/>
  <c r="L28" i="2"/>
  <c r="L77" i="2" s="1"/>
  <c r="Q29" i="2"/>
  <c r="Q78" i="2" s="1"/>
  <c r="R30" i="2"/>
  <c r="O35" i="2"/>
  <c r="O84" i="2" s="1"/>
  <c r="Y45" i="2"/>
  <c r="Y94" i="2" s="1"/>
  <c r="Y138" i="2" s="1"/>
  <c r="X6" i="2"/>
  <c r="X55" i="2" s="1"/>
  <c r="X10" i="2"/>
  <c r="X59" i="2" s="1"/>
  <c r="Q13" i="2"/>
  <c r="Q62" i="2" s="1"/>
  <c r="Q15" i="2"/>
  <c r="Q64" i="2" s="1"/>
  <c r="R18" i="2"/>
  <c r="R67" i="2" s="1"/>
  <c r="W23" i="2"/>
  <c r="W72" i="2" s="1"/>
  <c r="V24" i="2"/>
  <c r="V73" i="2" s="1"/>
  <c r="G27" i="2"/>
  <c r="G76" i="2" s="1"/>
  <c r="H28" i="2"/>
  <c r="H77" i="2" s="1"/>
  <c r="M29" i="2"/>
  <c r="M78" i="2" s="1"/>
  <c r="P30" i="2"/>
  <c r="P79" i="2" s="1"/>
  <c r="Q31" i="2"/>
  <c r="Y41" i="2"/>
  <c r="Y90" i="2" s="1"/>
  <c r="Y134" i="2" s="1"/>
  <c r="X12" i="2"/>
  <c r="X61" i="2" s="1"/>
  <c r="O15" i="2"/>
  <c r="O64" i="2" s="1"/>
  <c r="X16" i="2"/>
  <c r="X65" i="2" s="1"/>
  <c r="P18" i="2"/>
  <c r="P67" i="2" s="1"/>
  <c r="W19" i="2"/>
  <c r="W68" i="2" s="1"/>
  <c r="X20" i="2"/>
  <c r="X69" i="2" s="1"/>
  <c r="W21" i="2"/>
  <c r="W70" i="2" s="1"/>
  <c r="X22" i="2"/>
  <c r="X71" i="2" s="1"/>
  <c r="X115" i="2" s="1"/>
  <c r="U23" i="2"/>
  <c r="U72" i="2" s="1"/>
  <c r="T24" i="2"/>
  <c r="T73" i="2" s="1"/>
  <c r="W25" i="2"/>
  <c r="K29" i="2"/>
  <c r="K78" i="2" s="1"/>
  <c r="N30" i="2"/>
  <c r="N79" i="2" s="1"/>
  <c r="O31" i="2"/>
  <c r="P36" i="2"/>
  <c r="P85" i="2" s="1"/>
  <c r="X44" i="2"/>
  <c r="X93" i="2" s="1"/>
  <c r="E74" i="2"/>
  <c r="Y7" i="2"/>
  <c r="Y56" i="2" s="1"/>
  <c r="Y100" i="2" s="1"/>
  <c r="S11" i="2"/>
  <c r="S60" i="2" s="1"/>
  <c r="Y13" i="2"/>
  <c r="Y62" i="2" s="1"/>
  <c r="Y106" i="2" s="1"/>
  <c r="W15" i="2"/>
  <c r="W64" i="2" s="1"/>
  <c r="S17" i="2"/>
  <c r="S66" i="2" s="1"/>
  <c r="X18" i="2"/>
  <c r="X67" i="2" s="1"/>
  <c r="J20" i="2"/>
  <c r="J69" i="2" s="1"/>
  <c r="K21" i="2"/>
  <c r="K70" i="2" s="1"/>
  <c r="L22" i="2"/>
  <c r="L71" i="2" s="1"/>
  <c r="G23" i="2"/>
  <c r="G72" i="2" s="1"/>
  <c r="F24" i="2"/>
  <c r="F73" i="2" s="1"/>
  <c r="I25" i="2"/>
  <c r="I74" i="2" s="1"/>
  <c r="J26" i="2"/>
  <c r="J75" i="2" s="1"/>
  <c r="K27" i="2"/>
  <c r="K76" i="2" s="1"/>
  <c r="N28" i="2"/>
  <c r="N77" i="2" s="1"/>
  <c r="S29" i="2"/>
  <c r="R38" i="2"/>
  <c r="R87" i="2" s="1"/>
  <c r="V42" i="2"/>
  <c r="V91" i="2" s="1"/>
  <c r="P14" i="2"/>
  <c r="P63" i="2" s="1"/>
  <c r="Y17" i="2"/>
  <c r="Y66" i="2" s="1"/>
  <c r="Y110" i="2" s="1"/>
  <c r="P20" i="2"/>
  <c r="P69" i="2" s="1"/>
  <c r="K23" i="2"/>
  <c r="K72" i="2" s="1"/>
  <c r="O25" i="2"/>
  <c r="O74" i="2" s="1"/>
  <c r="Q27" i="2"/>
  <c r="Q76" i="2" s="1"/>
  <c r="R26" i="2"/>
  <c r="R75" i="2" s="1"/>
  <c r="Y43" i="2"/>
  <c r="Y92" i="2" s="1"/>
  <c r="Y136" i="2" s="1"/>
  <c r="M21" i="2"/>
  <c r="M70" i="2" s="1"/>
  <c r="M19" i="2"/>
  <c r="M68" i="2" s="1"/>
  <c r="L26" i="2"/>
  <c r="L75" i="2" s="1"/>
  <c r="Y9" i="2"/>
  <c r="Y58" i="2" s="1"/>
  <c r="Y102" i="2" s="1"/>
  <c r="P22" i="2"/>
  <c r="P71" i="2" s="1"/>
  <c r="S25" i="2"/>
  <c r="S74" i="2" s="1"/>
  <c r="X8" i="2"/>
  <c r="X57" i="2" s="1"/>
  <c r="U17" i="2"/>
  <c r="U66" i="2" s="1"/>
  <c r="L20" i="2"/>
  <c r="L69" i="2" s="1"/>
  <c r="U21" i="2"/>
  <c r="U70" i="2" s="1"/>
  <c r="I23" i="2"/>
  <c r="I72" i="2" s="1"/>
  <c r="M25" i="2"/>
  <c r="M74" i="2" s="1"/>
  <c r="O27" i="2"/>
  <c r="O76" i="2" s="1"/>
  <c r="N34" i="2"/>
  <c r="N83" i="2" s="1"/>
  <c r="R16" i="2"/>
  <c r="R65" i="2" s="1"/>
  <c r="K31" i="2"/>
  <c r="K80" i="2" s="1"/>
  <c r="Y11" i="2"/>
  <c r="Y60" i="2" s="1"/>
  <c r="Y104" i="2" s="1"/>
  <c r="V22" i="2"/>
  <c r="V71" i="2" s="1"/>
  <c r="T28" i="2"/>
  <c r="W11" i="2"/>
  <c r="W60" i="2" s="1"/>
  <c r="J24" i="2"/>
  <c r="J73" i="2" s="1"/>
  <c r="V20" i="2"/>
  <c r="V69" i="2" s="1"/>
  <c r="Y5" i="2"/>
  <c r="Y54" i="2" s="1"/>
  <c r="Y98" i="2" s="1"/>
  <c r="V12" i="2"/>
  <c r="V61" i="2" s="1"/>
  <c r="T16" i="2"/>
  <c r="T65" i="2" s="1"/>
  <c r="U19" i="2"/>
  <c r="U68" i="2" s="1"/>
  <c r="S21" i="2"/>
  <c r="S70" i="2" s="1"/>
  <c r="R24" i="2"/>
  <c r="R73" i="2" s="1"/>
  <c r="T26" i="2"/>
  <c r="T75" i="2" s="1"/>
  <c r="M31" i="2"/>
  <c r="M80" i="2" s="1"/>
  <c r="S39" i="2"/>
  <c r="T12" i="2"/>
  <c r="T61" i="2" s="1"/>
  <c r="Q21" i="2"/>
  <c r="Q70" i="2" s="1"/>
  <c r="P16" i="2"/>
  <c r="P65" i="2" s="1"/>
  <c r="L24" i="2"/>
  <c r="L73" i="2" s="1"/>
  <c r="M33" i="2"/>
  <c r="M82" i="2" s="1"/>
  <c r="W43" i="2"/>
  <c r="W92" i="2" s="1"/>
  <c r="R22" i="2"/>
  <c r="R71" i="2" s="1"/>
  <c r="V14" i="2"/>
  <c r="V63" i="2" s="1"/>
  <c r="Q23" i="2"/>
  <c r="Q72" i="2" s="1"/>
  <c r="N32" i="2"/>
  <c r="N81" i="2" s="1"/>
  <c r="U41" i="2"/>
  <c r="U90" i="2" s="1"/>
  <c r="U9" i="2"/>
  <c r="U58" i="2" s="1"/>
  <c r="T14" i="2"/>
  <c r="T63" i="2" s="1"/>
  <c r="R20" i="2"/>
  <c r="R69" i="2" s="1"/>
  <c r="N22" i="2"/>
  <c r="N71" i="2" s="1"/>
  <c r="O23" i="2"/>
  <c r="O72" i="2" s="1"/>
  <c r="Q25" i="2"/>
  <c r="Q74" i="2" s="1"/>
  <c r="U27" i="2"/>
  <c r="J30" i="2"/>
  <c r="J79" i="2" s="1"/>
  <c r="L32" i="2"/>
  <c r="L81" i="2" s="1"/>
  <c r="Q37" i="2"/>
  <c r="Q86" i="2" s="1"/>
  <c r="Q19" i="2"/>
  <c r="Q68" i="2" s="1"/>
  <c r="P24" i="2"/>
  <c r="P73" i="2" s="1"/>
  <c r="O33" i="2"/>
  <c r="O19" i="2"/>
  <c r="O68" i="2" s="1"/>
  <c r="N26" i="2"/>
  <c r="N75" i="2" s="1"/>
  <c r="Y15" i="2"/>
  <c r="Y64" i="2" s="1"/>
  <c r="Y108" i="2" s="1"/>
  <c r="R28" i="2"/>
  <c r="R77" i="2" s="1"/>
  <c r="N18" i="2"/>
  <c r="N67" i="2" s="1"/>
  <c r="L30" i="2"/>
  <c r="L79" i="2" s="1"/>
  <c r="X99" i="2" l="1"/>
  <c r="X137" i="2"/>
  <c r="X111" i="2"/>
  <c r="X109" i="2"/>
  <c r="X135" i="2"/>
  <c r="T40" i="2"/>
  <c r="T89" i="2" s="1"/>
  <c r="S88" i="2"/>
  <c r="X101" i="2"/>
  <c r="P34" i="2"/>
  <c r="O82" i="2"/>
  <c r="W74" i="2"/>
  <c r="X26" i="2"/>
  <c r="W27" i="2"/>
  <c r="V75" i="2"/>
  <c r="X105" i="2"/>
  <c r="X107" i="2"/>
  <c r="X113" i="2"/>
  <c r="W114" i="2" s="1"/>
  <c r="S78" i="2"/>
  <c r="T30" i="2"/>
  <c r="U29" i="2"/>
  <c r="T77" i="2"/>
  <c r="P32" i="2"/>
  <c r="O80" i="2"/>
  <c r="Y25" i="2"/>
  <c r="Y74" i="2" s="1"/>
  <c r="Y118" i="2" s="1"/>
  <c r="X73" i="2"/>
  <c r="X117" i="2" s="1"/>
  <c r="W116" i="2" s="1"/>
  <c r="S31" i="2"/>
  <c r="R79" i="2"/>
  <c r="U76" i="2"/>
  <c r="V28" i="2"/>
  <c r="Q80" i="2"/>
  <c r="R32" i="2"/>
  <c r="X103" i="2"/>
  <c r="W100" i="2" l="1"/>
  <c r="W106" i="2"/>
  <c r="W110" i="2"/>
  <c r="W112" i="2"/>
  <c r="V113" i="2" s="1"/>
  <c r="W136" i="2"/>
  <c r="W108" i="2"/>
  <c r="Y27" i="2"/>
  <c r="Y76" i="2" s="1"/>
  <c r="Y120" i="2" s="1"/>
  <c r="X75" i="2"/>
  <c r="X119" i="2" s="1"/>
  <c r="V30" i="2"/>
  <c r="U78" i="2"/>
  <c r="W76" i="2"/>
  <c r="X28" i="2"/>
  <c r="T32" i="2"/>
  <c r="S80" i="2"/>
  <c r="V77" i="2"/>
  <c r="W29" i="2"/>
  <c r="W102" i="2"/>
  <c r="T79" i="2"/>
  <c r="U31" i="2"/>
  <c r="Q35" i="2"/>
  <c r="P83" i="2"/>
  <c r="V115" i="2"/>
  <c r="Q33" i="2"/>
  <c r="P81" i="2"/>
  <c r="R81" i="2"/>
  <c r="S33" i="2"/>
  <c r="W104" i="2"/>
  <c r="V111" i="2" l="1"/>
  <c r="U112" i="2" s="1"/>
  <c r="V105" i="2"/>
  <c r="V109" i="2"/>
  <c r="V107" i="2"/>
  <c r="V103" i="2"/>
  <c r="U33" i="2"/>
  <c r="T81" i="2"/>
  <c r="W31" i="2"/>
  <c r="V79" i="2"/>
  <c r="V101" i="2"/>
  <c r="V32" i="2"/>
  <c r="U80" i="2"/>
  <c r="X30" i="2"/>
  <c r="W78" i="2"/>
  <c r="Q84" i="2"/>
  <c r="R36" i="2"/>
  <c r="Q82" i="2"/>
  <c r="R34" i="2"/>
  <c r="Y29" i="2"/>
  <c r="Y78" i="2" s="1"/>
  <c r="Y122" i="2" s="1"/>
  <c r="X77" i="2"/>
  <c r="W118" i="2"/>
  <c r="S82" i="2"/>
  <c r="T34" i="2"/>
  <c r="U114" i="2"/>
  <c r="X121" i="2" l="1"/>
  <c r="W120" i="2" s="1"/>
  <c r="U110" i="2"/>
  <c r="T111" i="2" s="1"/>
  <c r="U104" i="2"/>
  <c r="U108" i="2"/>
  <c r="U106" i="2"/>
  <c r="U102" i="2"/>
  <c r="U82" i="2"/>
  <c r="V34" i="2"/>
  <c r="S35" i="2"/>
  <c r="R83" i="2"/>
  <c r="Y31" i="2"/>
  <c r="Y80" i="2" s="1"/>
  <c r="Y124" i="2" s="1"/>
  <c r="X79" i="2"/>
  <c r="T113" i="2"/>
  <c r="W80" i="2"/>
  <c r="X32" i="2"/>
  <c r="V117" i="2"/>
  <c r="T83" i="2"/>
  <c r="U35" i="2"/>
  <c r="S37" i="2"/>
  <c r="R85" i="2"/>
  <c r="W33" i="2"/>
  <c r="V81" i="2"/>
  <c r="X123" i="2" l="1"/>
  <c r="W122" i="2" s="1"/>
  <c r="V121" i="2" s="1"/>
  <c r="T109" i="2"/>
  <c r="S110" i="2" s="1"/>
  <c r="T103" i="2"/>
  <c r="T107" i="2"/>
  <c r="T105" i="2"/>
  <c r="V36" i="2"/>
  <c r="U84" i="2"/>
  <c r="X34" i="2"/>
  <c r="W82" i="2"/>
  <c r="Y33" i="2"/>
  <c r="Y82" i="2" s="1"/>
  <c r="Y126" i="2" s="1"/>
  <c r="X81" i="2"/>
  <c r="V83" i="2"/>
  <c r="W35" i="2"/>
  <c r="T36" i="2"/>
  <c r="S84" i="2"/>
  <c r="V119" i="2"/>
  <c r="U118" i="2" s="1"/>
  <c r="S112" i="2"/>
  <c r="S86" i="2"/>
  <c r="T38" i="2"/>
  <c r="U116" i="2"/>
  <c r="S108" i="2" l="1"/>
  <c r="R109" i="2" s="1"/>
  <c r="X125" i="2"/>
  <c r="W124" i="2" s="1"/>
  <c r="S106" i="2"/>
  <c r="S104" i="2"/>
  <c r="U120" i="2"/>
  <c r="T119" i="2" s="1"/>
  <c r="W37" i="2"/>
  <c r="V85" i="2"/>
  <c r="U39" i="2"/>
  <c r="T87" i="2"/>
  <c r="X83" i="2"/>
  <c r="Y35" i="2"/>
  <c r="Y84" i="2" s="1"/>
  <c r="Y128" i="2" s="1"/>
  <c r="T85" i="2"/>
  <c r="U37" i="2"/>
  <c r="T117" i="2"/>
  <c r="T115" i="2"/>
  <c r="R111" i="2"/>
  <c r="W84" i="2"/>
  <c r="X36" i="2"/>
  <c r="R107" i="2" l="1"/>
  <c r="Q108" i="2" s="1"/>
  <c r="R105" i="2"/>
  <c r="X127" i="2"/>
  <c r="W126" i="2" s="1"/>
  <c r="V125" i="2" s="1"/>
  <c r="S118" i="2"/>
  <c r="V40" i="2"/>
  <c r="U88" i="2"/>
  <c r="X38" i="2"/>
  <c r="W86" i="2"/>
  <c r="Y37" i="2"/>
  <c r="Y86" i="2" s="1"/>
  <c r="Y130" i="2" s="1"/>
  <c r="X85" i="2"/>
  <c r="V123" i="2"/>
  <c r="Q110" i="2"/>
  <c r="S116" i="2"/>
  <c r="S114" i="2"/>
  <c r="U86" i="2"/>
  <c r="V38" i="2"/>
  <c r="Q106" i="2" l="1"/>
  <c r="P107" i="2" s="1"/>
  <c r="R117" i="2"/>
  <c r="W41" i="2"/>
  <c r="W90" i="2" s="1"/>
  <c r="V89" i="2"/>
  <c r="W39" i="2"/>
  <c r="V87" i="2"/>
  <c r="Y39" i="2"/>
  <c r="Y88" i="2" s="1"/>
  <c r="Y132" i="2" s="1"/>
  <c r="X87" i="2"/>
  <c r="P109" i="2"/>
  <c r="U124" i="2"/>
  <c r="U122" i="2"/>
  <c r="R115" i="2"/>
  <c r="R113" i="2"/>
  <c r="X129" i="2"/>
  <c r="Q116" i="2" l="1"/>
  <c r="W88" i="2"/>
  <c r="X40" i="2"/>
  <c r="X89" i="2" s="1"/>
  <c r="X133" i="2" s="1"/>
  <c r="W134" i="2" s="1"/>
  <c r="V135" i="2" s="1"/>
  <c r="Q114" i="2"/>
  <c r="Q112" i="2"/>
  <c r="X131" i="2"/>
  <c r="O108" i="2"/>
  <c r="T123" i="2"/>
  <c r="T121" i="2"/>
  <c r="W130" i="2"/>
  <c r="W128" i="2"/>
  <c r="P115" i="2" l="1"/>
  <c r="P113" i="2"/>
  <c r="P111" i="2"/>
  <c r="S122" i="2"/>
  <c r="S120" i="2"/>
  <c r="V129" i="2"/>
  <c r="V127" i="2"/>
  <c r="W132" i="2"/>
  <c r="V133" i="2" s="1"/>
  <c r="U134" i="2" s="1"/>
  <c r="O114" i="2" l="1"/>
  <c r="V131" i="2"/>
  <c r="U132" i="2" s="1"/>
  <c r="T133" i="2" s="1"/>
  <c r="U128" i="2"/>
  <c r="U126" i="2"/>
  <c r="O112" i="2"/>
  <c r="O110" i="2"/>
  <c r="R121" i="2"/>
  <c r="R119" i="2"/>
  <c r="N113" i="2" l="1"/>
  <c r="U130" i="2"/>
  <c r="T131" i="2" s="1"/>
  <c r="S132" i="2" s="1"/>
  <c r="Q120" i="2"/>
  <c r="Q118" i="2"/>
  <c r="T127" i="2"/>
  <c r="T125" i="2"/>
  <c r="N111" i="2"/>
  <c r="N109" i="2"/>
  <c r="M112" i="2" l="1"/>
  <c r="T129" i="2"/>
  <c r="S130" i="2" s="1"/>
  <c r="R131" i="2" s="1"/>
  <c r="M110" i="2"/>
  <c r="P119" i="2"/>
  <c r="P117" i="2"/>
  <c r="S126" i="2"/>
  <c r="S124" i="2"/>
  <c r="L111" i="2" l="1"/>
  <c r="S128" i="2"/>
  <c r="R129" i="2" s="1"/>
  <c r="Q130" i="2" s="1"/>
  <c r="O118" i="2"/>
  <c r="O116" i="2"/>
  <c r="R125" i="2"/>
  <c r="R123" i="2"/>
  <c r="R127" i="2" l="1"/>
  <c r="Q128" i="2" s="1"/>
  <c r="P129" i="2" s="1"/>
  <c r="N117" i="2"/>
  <c r="N115" i="2"/>
  <c r="Q124" i="2"/>
  <c r="Q122" i="2"/>
  <c r="Q126" i="2" l="1"/>
  <c r="P127" i="2" s="1"/>
  <c r="O128" i="2" s="1"/>
  <c r="M116" i="2"/>
  <c r="M114" i="2"/>
  <c r="P123" i="2"/>
  <c r="P121" i="2"/>
  <c r="P125" i="2" l="1"/>
  <c r="O126" i="2" s="1"/>
  <c r="N127" i="2" s="1"/>
  <c r="L115" i="2"/>
  <c r="L113" i="2"/>
  <c r="O122" i="2"/>
  <c r="O120" i="2"/>
  <c r="O124" i="2" l="1"/>
  <c r="N125" i="2" s="1"/>
  <c r="M126" i="2" s="1"/>
  <c r="K114" i="2"/>
  <c r="K112" i="2"/>
  <c r="N121" i="2"/>
  <c r="N119" i="2"/>
  <c r="N123" i="2" l="1"/>
  <c r="M124" i="2" s="1"/>
  <c r="L125" i="2" s="1"/>
  <c r="M120" i="2"/>
  <c r="M118" i="2"/>
  <c r="J113" i="2"/>
  <c r="M122" i="2" l="1"/>
  <c r="L123" i="2" s="1"/>
  <c r="K124" i="2" s="1"/>
  <c r="L119" i="2"/>
  <c r="L117" i="2"/>
  <c r="L121" i="2" l="1"/>
  <c r="K122" i="2" s="1"/>
  <c r="J123" i="2" s="1"/>
  <c r="K118" i="2"/>
  <c r="K116" i="2"/>
  <c r="K120" i="2" l="1"/>
  <c r="J121" i="2" s="1"/>
  <c r="I122" i="2" s="1"/>
  <c r="J117" i="2"/>
  <c r="J115" i="2"/>
  <c r="J119" i="2" l="1"/>
  <c r="I120" i="2" s="1"/>
  <c r="H121" i="2" s="1"/>
  <c r="I116" i="2"/>
  <c r="I114" i="2"/>
  <c r="I118" i="2" l="1"/>
  <c r="H119" i="2" s="1"/>
  <c r="G120" i="2" s="1"/>
  <c r="H115" i="2"/>
  <c r="H117" i="2" l="1"/>
  <c r="G118" i="2" s="1"/>
  <c r="F119" i="2" s="1"/>
  <c r="G116" i="2" l="1"/>
  <c r="F117" i="2" s="1"/>
  <c r="E118" i="2" s="1"/>
</calcChain>
</file>

<file path=xl/sharedStrings.xml><?xml version="1.0" encoding="utf-8"?>
<sst xmlns="http://schemas.openxmlformats.org/spreadsheetml/2006/main" count="3862" uniqueCount="285">
  <si>
    <t>Expiry date</t>
  </si>
  <si>
    <t>Rate</t>
  </si>
  <si>
    <t>Date</t>
  </si>
  <si>
    <t>strike</t>
  </si>
  <si>
    <t>vol</t>
  </si>
  <si>
    <t>t</t>
  </si>
  <si>
    <t>payoff</t>
  </si>
  <si>
    <t>Delta</t>
  </si>
  <si>
    <t>Gamma</t>
  </si>
  <si>
    <t>Vega</t>
  </si>
  <si>
    <t>Theta</t>
  </si>
  <si>
    <t>style</t>
  </si>
  <si>
    <t>Term (years)</t>
  </si>
  <si>
    <t>Greeks</t>
  </si>
  <si>
    <t>Vol guess</t>
  </si>
  <si>
    <t>Implied vol accuracy</t>
  </si>
  <si>
    <t>Implied vol step size</t>
  </si>
  <si>
    <t>Term (days)</t>
  </si>
  <si>
    <t>Call</t>
  </si>
  <si>
    <t>Put</t>
  </si>
  <si>
    <t>r</t>
  </si>
  <si>
    <t>a</t>
  </si>
  <si>
    <t>Spot</t>
  </si>
  <si>
    <t>Spotstar</t>
  </si>
  <si>
    <t>P Div</t>
  </si>
  <si>
    <t>u</t>
  </si>
  <si>
    <t>dt</t>
  </si>
  <si>
    <t>sigma</t>
  </si>
  <si>
    <t>u CRR</t>
  </si>
  <si>
    <t>d</t>
  </si>
  <si>
    <t>p</t>
  </si>
  <si>
    <t>ex</t>
  </si>
  <si>
    <t>pv div</t>
  </si>
  <si>
    <t>pv fac</t>
  </si>
  <si>
    <t>call/put</t>
  </si>
  <si>
    <t>Rate curve</t>
  </si>
  <si>
    <t>Div curve</t>
  </si>
  <si>
    <t>Time</t>
  </si>
  <si>
    <t>Zero Rates</t>
  </si>
  <si>
    <t>Dividend Strip</t>
  </si>
  <si>
    <t>Div</t>
  </si>
  <si>
    <t>Equities Pricer Sheet</t>
  </si>
  <si>
    <t>Implied Vol</t>
  </si>
  <si>
    <t>Inputs</t>
  </si>
  <si>
    <t>Binomial Tree Price (American/Euro)</t>
  </si>
  <si>
    <t>Black Scholes Price</t>
  </si>
  <si>
    <t>Pricing Outputs</t>
  </si>
  <si>
    <t>Value Date:</t>
  </si>
  <si>
    <t>Term</t>
  </si>
  <si>
    <t>Currency:</t>
  </si>
  <si>
    <t>AUD</t>
  </si>
  <si>
    <t>New data</t>
  </si>
  <si>
    <t>Old data</t>
  </si>
  <si>
    <t>New dividend data as at:</t>
  </si>
  <si>
    <t>Old data as at:</t>
  </si>
  <si>
    <t>Ticker</t>
  </si>
  <si>
    <t>XD Date</t>
  </si>
  <si>
    <t>I/B/E/S Gross Amount</t>
  </si>
  <si>
    <t>#</t>
  </si>
  <si>
    <t>Valuedate:</t>
  </si>
  <si>
    <t>Dividend #</t>
  </si>
  <si>
    <t>AAX</t>
  </si>
  <si>
    <t>Stock</t>
  </si>
  <si>
    <t>Gross Amount</t>
  </si>
  <si>
    <t>New</t>
  </si>
  <si>
    <t>Old</t>
  </si>
  <si>
    <t>ABB</t>
  </si>
  <si>
    <t>ABC</t>
  </si>
  <si>
    <t>ABP</t>
  </si>
  <si>
    <t>AEZ</t>
  </si>
  <si>
    <t>AGK</t>
  </si>
  <si>
    <t>AIO</t>
  </si>
  <si>
    <t>AIX</t>
  </si>
  <si>
    <t>ALL</t>
  </si>
  <si>
    <t>ALS</t>
  </si>
  <si>
    <t>ALZ</t>
  </si>
  <si>
    <t>AMC</t>
  </si>
  <si>
    <t>AMP</t>
  </si>
  <si>
    <t>ANN</t>
  </si>
  <si>
    <t>ANZ</t>
  </si>
  <si>
    <t>APA</t>
  </si>
  <si>
    <t>APN</t>
  </si>
  <si>
    <t>AQP</t>
  </si>
  <si>
    <t>ASX</t>
  </si>
  <si>
    <t>AUW</t>
  </si>
  <si>
    <t>AWB</t>
  </si>
  <si>
    <t>AWC</t>
  </si>
  <si>
    <t>AXA</t>
  </si>
  <si>
    <t>BBG</t>
  </si>
  <si>
    <t>BBP</t>
  </si>
  <si>
    <t>BBW</t>
  </si>
  <si>
    <t>BEN</t>
  </si>
  <si>
    <t>BHP</t>
  </si>
  <si>
    <t>BJT</t>
  </si>
  <si>
    <t>BKN</t>
  </si>
  <si>
    <t>BLD</t>
  </si>
  <si>
    <t>BLY</t>
  </si>
  <si>
    <t>BOQ</t>
  </si>
  <si>
    <t>BPT</t>
  </si>
  <si>
    <t>BSL</t>
  </si>
  <si>
    <t>BWP</t>
  </si>
  <si>
    <t>BXB</t>
  </si>
  <si>
    <t>CAB</t>
  </si>
  <si>
    <t>CBA</t>
  </si>
  <si>
    <t>CCL</t>
  </si>
  <si>
    <t>CER</t>
  </si>
  <si>
    <t>CEU</t>
  </si>
  <si>
    <t>CEY</t>
  </si>
  <si>
    <t>CFX</t>
  </si>
  <si>
    <t>CGF</t>
  </si>
  <si>
    <t>CMJ</t>
  </si>
  <si>
    <t>CNP</t>
  </si>
  <si>
    <t>COH</t>
  </si>
  <si>
    <t>CPA</t>
  </si>
  <si>
    <t>CPU</t>
  </si>
  <si>
    <t>CRG</t>
  </si>
  <si>
    <t>CSL</t>
  </si>
  <si>
    <t>CSR</t>
  </si>
  <si>
    <t>CTX</t>
  </si>
  <si>
    <t>CWN</t>
  </si>
  <si>
    <t>CXP</t>
  </si>
  <si>
    <t>DJS</t>
  </si>
  <si>
    <t>DOW</t>
  </si>
  <si>
    <t>DUE</t>
  </si>
  <si>
    <t>DXL</t>
  </si>
  <si>
    <t>DXS</t>
  </si>
  <si>
    <t>EHL</t>
  </si>
  <si>
    <t>ENV</t>
  </si>
  <si>
    <t>ERA</t>
  </si>
  <si>
    <t>FCL</t>
  </si>
  <si>
    <t>FGL</t>
  </si>
  <si>
    <t>FKP</t>
  </si>
  <si>
    <t>FLT</t>
  </si>
  <si>
    <t>FLX</t>
  </si>
  <si>
    <t>FXJ</t>
  </si>
  <si>
    <t>GFF</t>
  </si>
  <si>
    <t>GMG</t>
  </si>
  <si>
    <t>GNS</t>
  </si>
  <si>
    <t>GPT</t>
  </si>
  <si>
    <t>GTP</t>
  </si>
  <si>
    <t>GUD</t>
  </si>
  <si>
    <t>GWT</t>
  </si>
  <si>
    <t>HDF</t>
  </si>
  <si>
    <t>HFA</t>
  </si>
  <si>
    <t>HGI</t>
  </si>
  <si>
    <t>HIL</t>
  </si>
  <si>
    <t>HSP</t>
  </si>
  <si>
    <t>HVN</t>
  </si>
  <si>
    <t>IAG</t>
  </si>
  <si>
    <t>IFL</t>
  </si>
  <si>
    <t>IGO</t>
  </si>
  <si>
    <t>IIF</t>
  </si>
  <si>
    <t>ILU</t>
  </si>
  <si>
    <t>IOF</t>
  </si>
  <si>
    <t>IPL</t>
  </si>
  <si>
    <t>IRE</t>
  </si>
  <si>
    <t>IVC</t>
  </si>
  <si>
    <t>JBH</t>
  </si>
  <si>
    <t>JHX</t>
  </si>
  <si>
    <t>JST</t>
  </si>
  <si>
    <t>KZL</t>
  </si>
  <si>
    <t>LEI</t>
  </si>
  <si>
    <t>LLC</t>
  </si>
  <si>
    <t>LNN</t>
  </si>
  <si>
    <t>MAH</t>
  </si>
  <si>
    <t>MAP</t>
  </si>
  <si>
    <t>MCC</t>
  </si>
  <si>
    <t>MCG</t>
  </si>
  <si>
    <t>MCR</t>
  </si>
  <si>
    <t>MCW</t>
  </si>
  <si>
    <t>MDT</t>
  </si>
  <si>
    <t>MGR</t>
  </si>
  <si>
    <t>MIG</t>
  </si>
  <si>
    <t>MMG</t>
  </si>
  <si>
    <t>MND</t>
  </si>
  <si>
    <t>MOF</t>
  </si>
  <si>
    <t>MQG</t>
  </si>
  <si>
    <t>MTS</t>
  </si>
  <si>
    <t>NAB</t>
  </si>
  <si>
    <t>NCM</t>
  </si>
  <si>
    <t>NUF</t>
  </si>
  <si>
    <t>NWH</t>
  </si>
  <si>
    <t>NWS</t>
  </si>
  <si>
    <t>OCV</t>
  </si>
  <si>
    <t>ORG</t>
  </si>
  <si>
    <t>ORI</t>
  </si>
  <si>
    <t>OSH</t>
  </si>
  <si>
    <t>OST</t>
  </si>
  <si>
    <t>OXR</t>
  </si>
  <si>
    <t>PAN</t>
  </si>
  <si>
    <t>PBG</t>
  </si>
  <si>
    <t>PEM</t>
  </si>
  <si>
    <t>PMP</t>
  </si>
  <si>
    <t>PMV</t>
  </si>
  <si>
    <t>PPT</t>
  </si>
  <si>
    <t>PPX</t>
  </si>
  <si>
    <t>PTM</t>
  </si>
  <si>
    <t>QAN</t>
  </si>
  <si>
    <t>QBE</t>
  </si>
  <si>
    <t>RHC</t>
  </si>
  <si>
    <t>RIO</t>
  </si>
  <si>
    <t>SDG</t>
  </si>
  <si>
    <t>SEK</t>
  </si>
  <si>
    <t>SEV</t>
  </si>
  <si>
    <t>SGB</t>
  </si>
  <si>
    <t>SGM</t>
  </si>
  <si>
    <t>SGP</t>
  </si>
  <si>
    <t>SGT</t>
  </si>
  <si>
    <t>SHL</t>
  </si>
  <si>
    <t>SIP</t>
  </si>
  <si>
    <t>SKI</t>
  </si>
  <si>
    <t>SMY</t>
  </si>
  <si>
    <t>SPN</t>
  </si>
  <si>
    <t>SPT</t>
  </si>
  <si>
    <t>SRL</t>
  </si>
  <si>
    <t>STO</t>
  </si>
  <si>
    <t>SUN</t>
  </si>
  <si>
    <t>TAH</t>
  </si>
  <si>
    <t>TAL</t>
  </si>
  <si>
    <t>TCL</t>
  </si>
  <si>
    <t>TEL</t>
  </si>
  <si>
    <t>TEN</t>
  </si>
  <si>
    <t>TIM</t>
  </si>
  <si>
    <t>TLS</t>
  </si>
  <si>
    <t>TLSCA</t>
  </si>
  <si>
    <t>TOL</t>
  </si>
  <si>
    <t>TPI</t>
  </si>
  <si>
    <t>TSE</t>
  </si>
  <si>
    <t>TSI</t>
  </si>
  <si>
    <t>TSO</t>
  </si>
  <si>
    <t>TTS</t>
  </si>
  <si>
    <t>UGL</t>
  </si>
  <si>
    <t>VBA</t>
  </si>
  <si>
    <t>VPG</t>
  </si>
  <si>
    <t>WAN</t>
  </si>
  <si>
    <t>WBC</t>
  </si>
  <si>
    <t>WDC</t>
  </si>
  <si>
    <t>WES</t>
  </si>
  <si>
    <t>WOR</t>
  </si>
  <si>
    <t>WOW</t>
  </si>
  <si>
    <t>WPL</t>
  </si>
  <si>
    <t>WSA</t>
  </si>
  <si>
    <t>WTF</t>
  </si>
  <si>
    <t>ZFX</t>
  </si>
  <si>
    <t>Underlying</t>
  </si>
  <si>
    <t>Valuation date</t>
  </si>
  <si>
    <t>AAC</t>
  </si>
  <si>
    <t>KCN</t>
  </si>
  <si>
    <t>OMH</t>
  </si>
  <si>
    <t>PRY</t>
  </si>
  <si>
    <t>HGG</t>
  </si>
  <si>
    <t>GCL</t>
  </si>
  <si>
    <t>vol offset</t>
  </si>
  <si>
    <t>rate offset</t>
  </si>
  <si>
    <t>Div rate (optional)</t>
  </si>
  <si>
    <t>Black Scholes Price (Cts div)</t>
  </si>
  <si>
    <t>ABS</t>
  </si>
  <si>
    <t>AOE</t>
  </si>
  <si>
    <t>AGO</t>
  </si>
  <si>
    <t>AUN</t>
  </si>
  <si>
    <t>AWE</t>
  </si>
  <si>
    <t>AVO</t>
  </si>
  <si>
    <t>BCM</t>
  </si>
  <si>
    <t>BBI</t>
  </si>
  <si>
    <t>BNB</t>
  </si>
  <si>
    <t>EQN</t>
  </si>
  <si>
    <t>FMG</t>
  </si>
  <si>
    <t>LGL</t>
  </si>
  <si>
    <t>LNC</t>
  </si>
  <si>
    <t>LYC</t>
  </si>
  <si>
    <t>MRE</t>
  </si>
  <si>
    <t>MGX</t>
  </si>
  <si>
    <t>MMX</t>
  </si>
  <si>
    <t>NXS</t>
  </si>
  <si>
    <t>OZL</t>
  </si>
  <si>
    <t>PDN</t>
  </si>
  <si>
    <t>PNA</t>
  </si>
  <si>
    <t>PLA</t>
  </si>
  <si>
    <t>QGC</t>
  </si>
  <si>
    <t>RMD</t>
  </si>
  <si>
    <t>RIV</t>
  </si>
  <si>
    <t>ROC</t>
  </si>
  <si>
    <t>SGX</t>
  </si>
  <si>
    <t>SBM</t>
  </si>
  <si>
    <t>SDL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</si>
</sst>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00"/>
    <numFmt numFmtId="165" formatCode="0.0000%"/>
    <numFmt numFmtId="166" formatCode="0.00000%"/>
    <numFmt numFmtId="167" formatCode="_-* #,##0.000_-;\-* #,##0.000_-;_-* &quot;-&quot;??_-;_-@_-"/>
    <numFmt numFmtId="168" formatCode="_-* #,##0.0000_-;\-* #,##0.0000_-;_-* &quot;-&quot;??_-;_-@_-"/>
    <numFmt numFmtId="169" formatCode="_-* #,##0.0_-;\-* #,##0.0_-;_-* &quot;-&quot;??_-;_-@_-"/>
    <numFmt numFmtId="170" formatCode="_-* #,##0_-;\-* #,##0_-;_-* &quot;-&quot;??_-;_-@_-"/>
    <numFmt numFmtId="171" formatCode="_-* #,##0.00000_-;\-* #,##0.00000_-;_-* &quot;-&quot;??_-;_-@_-"/>
    <numFmt numFmtId="172" formatCode="_-* #,##0.000000_-;\-* #,##0.000000_-;_-* &quot;-&quot;??_-;_-@_-"/>
    <numFmt numFmtId="173" formatCode="0.000"/>
    <numFmt numFmtId="174" formatCode="0.0000"/>
    <numFmt numFmtId="175" formatCode="0.0000000000"/>
    <numFmt numFmtId="176" formatCode="0.00000"/>
    <numFmt numFmtId="177" formatCode="0.0000000"/>
    <numFmt numFmtId="178" formatCode="dd\-mmm\-yy"/>
    <numFmt numFmtId="179" formatCode="d/mm/yyyy;@"/>
  </numFmts>
  <fonts count="21" x14ac:knownFonts="1">
    <font>
      <sz val="10"/>
      <name val="Arial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2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17"/>
      <name val="Arial"/>
      <family val="2"/>
    </font>
    <font>
      <sz val="12"/>
      <color indexed="17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0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12"/>
      <name val="Arial"/>
      <family val="2"/>
    </font>
    <font>
      <b/>
      <sz val="14"/>
      <color indexed="10"/>
      <name val="Arial"/>
      <family val="2"/>
    </font>
    <font>
      <i/>
      <sz val="12"/>
      <color indexed="12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43" fontId="0" fillId="0" borderId="0" xfId="0" applyNumberFormat="1"/>
    <xf numFmtId="173" fontId="2" fillId="0" borderId="0" xfId="0" applyNumberFormat="1" applyFont="1"/>
    <xf numFmtId="168" fontId="0" fillId="0" borderId="0" xfId="1" applyNumberFormat="1" applyFont="1"/>
    <xf numFmtId="165" fontId="0" fillId="0" borderId="0" xfId="2" applyNumberFormat="1" applyFont="1"/>
    <xf numFmtId="169" fontId="0" fillId="0" borderId="0" xfId="1" applyNumberFormat="1" applyFont="1"/>
    <xf numFmtId="169" fontId="3" fillId="0" borderId="0" xfId="1" applyNumberFormat="1" applyFont="1"/>
    <xf numFmtId="43" fontId="3" fillId="0" borderId="0" xfId="0" applyNumberFormat="1" applyFont="1"/>
    <xf numFmtId="0" fontId="3" fillId="0" borderId="0" xfId="0" applyFont="1"/>
    <xf numFmtId="43" fontId="3" fillId="0" borderId="0" xfId="1" applyFont="1"/>
    <xf numFmtId="10" fontId="3" fillId="0" borderId="0" xfId="0" applyNumberFormat="1" applyFont="1"/>
    <xf numFmtId="2" fontId="3" fillId="0" borderId="0" xfId="0" applyNumberFormat="1" applyFont="1"/>
    <xf numFmtId="173" fontId="3" fillId="0" borderId="0" xfId="0" applyNumberFormat="1" applyFont="1"/>
    <xf numFmtId="0" fontId="2" fillId="0" borderId="0" xfId="0" applyFont="1" applyAlignment="1">
      <alignment horizontal="right"/>
    </xf>
    <xf numFmtId="164" fontId="3" fillId="0" borderId="0" xfId="0" applyNumberFormat="1" applyFont="1"/>
    <xf numFmtId="0" fontId="4" fillId="0" borderId="0" xfId="0" applyFont="1"/>
    <xf numFmtId="14" fontId="4" fillId="0" borderId="0" xfId="0" applyNumberFormat="1" applyFont="1"/>
    <xf numFmtId="2" fontId="4" fillId="0" borderId="0" xfId="0" applyNumberFormat="1" applyFont="1"/>
    <xf numFmtId="170" fontId="4" fillId="0" borderId="0" xfId="1" applyNumberFormat="1" applyFont="1"/>
    <xf numFmtId="10" fontId="4" fillId="0" borderId="0" xfId="2" applyNumberFormat="1" applyFont="1"/>
    <xf numFmtId="168" fontId="4" fillId="0" borderId="0" xfId="1" applyNumberFormat="1" applyFont="1"/>
    <xf numFmtId="0" fontId="4" fillId="0" borderId="0" xfId="0" applyFont="1" applyAlignment="1">
      <alignment horizontal="center"/>
    </xf>
    <xf numFmtId="167" fontId="5" fillId="0" borderId="0" xfId="1" applyNumberFormat="1" applyFont="1"/>
    <xf numFmtId="0" fontId="6" fillId="0" borderId="0" xfId="0" applyFont="1"/>
    <xf numFmtId="168" fontId="6" fillId="0" borderId="0" xfId="1" applyNumberFormat="1" applyFont="1"/>
    <xf numFmtId="172" fontId="5" fillId="0" borderId="0" xfId="1" applyNumberFormat="1" applyFont="1"/>
    <xf numFmtId="176" fontId="4" fillId="0" borderId="0" xfId="0" applyNumberFormat="1" applyFont="1"/>
    <xf numFmtId="166" fontId="4" fillId="0" borderId="0" xfId="2" applyNumberFormat="1" applyFont="1"/>
    <xf numFmtId="174" fontId="6" fillId="0" borderId="0" xfId="0" applyNumberFormat="1" applyFont="1"/>
    <xf numFmtId="168" fontId="4" fillId="0" borderId="0" xfId="0" applyNumberFormat="1" applyFont="1"/>
    <xf numFmtId="2" fontId="5" fillId="0" borderId="0" xfId="0" applyNumberFormat="1" applyFont="1"/>
    <xf numFmtId="3" fontId="5" fillId="0" borderId="0" xfId="0" applyNumberFormat="1" applyFont="1"/>
    <xf numFmtId="177" fontId="5" fillId="0" borderId="0" xfId="0" applyNumberFormat="1" applyFont="1"/>
    <xf numFmtId="14" fontId="6" fillId="0" borderId="0" xfId="0" applyNumberFormat="1" applyFont="1"/>
    <xf numFmtId="174" fontId="5" fillId="0" borderId="0" xfId="0" applyNumberFormat="1" applyFont="1"/>
    <xf numFmtId="170" fontId="6" fillId="0" borderId="0" xfId="1" applyNumberFormat="1" applyFont="1"/>
    <xf numFmtId="2" fontId="6" fillId="0" borderId="0" xfId="0" applyNumberFormat="1" applyFont="1"/>
    <xf numFmtId="170" fontId="4" fillId="0" borderId="0" xfId="1" applyNumberFormat="1" applyFont="1" applyAlignment="1"/>
    <xf numFmtId="175" fontId="4" fillId="0" borderId="0" xfId="0" quotePrefix="1" applyNumberFormat="1" applyFont="1"/>
    <xf numFmtId="14" fontId="5" fillId="2" borderId="0" xfId="0" applyNumberFormat="1" applyFont="1" applyFill="1"/>
    <xf numFmtId="2" fontId="5" fillId="2" borderId="0" xfId="1" applyNumberFormat="1" applyFont="1" applyFill="1"/>
    <xf numFmtId="10" fontId="5" fillId="2" borderId="0" xfId="2" applyNumberFormat="1" applyFont="1" applyFill="1"/>
    <xf numFmtId="1" fontId="5" fillId="2" borderId="0" xfId="1" applyNumberFormat="1" applyFont="1" applyFill="1"/>
    <xf numFmtId="0" fontId="5" fillId="2" borderId="0" xfId="0" applyFont="1" applyFill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5" fillId="2" borderId="0" xfId="0" applyNumberFormat="1" applyFont="1" applyFill="1"/>
    <xf numFmtId="0" fontId="4" fillId="0" borderId="1" xfId="0" applyFont="1" applyBorder="1"/>
    <xf numFmtId="0" fontId="8" fillId="0" borderId="0" xfId="0" applyFont="1" applyBorder="1"/>
    <xf numFmtId="0" fontId="4" fillId="0" borderId="0" xfId="0" applyFont="1" applyBorder="1"/>
    <xf numFmtId="174" fontId="4" fillId="0" borderId="0" xfId="0" applyNumberFormat="1" applyFont="1" applyBorder="1"/>
    <xf numFmtId="168" fontId="6" fillId="0" borderId="0" xfId="1" applyNumberFormat="1" applyFont="1" applyAlignment="1">
      <alignment horizontal="right"/>
    </xf>
    <xf numFmtId="0" fontId="4" fillId="0" borderId="2" xfId="0" applyFont="1" applyBorder="1"/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68" fontId="6" fillId="0" borderId="0" xfId="1" applyNumberFormat="1" applyFont="1" applyBorder="1" applyAlignment="1">
      <alignment horizontal="right"/>
    </xf>
    <xf numFmtId="10" fontId="4" fillId="0" borderId="0" xfId="2" applyNumberFormat="1" applyFont="1" applyBorder="1"/>
    <xf numFmtId="166" fontId="4" fillId="0" borderId="0" xfId="2" applyNumberFormat="1" applyFont="1" applyBorder="1"/>
    <xf numFmtId="174" fontId="4" fillId="0" borderId="0" xfId="2" applyNumberFormat="1" applyFont="1" applyBorder="1"/>
    <xf numFmtId="168" fontId="4" fillId="0" borderId="0" xfId="1" applyNumberFormat="1" applyFont="1" applyBorder="1"/>
    <xf numFmtId="0" fontId="9" fillId="0" borderId="0" xfId="0" applyFont="1" applyBorder="1"/>
    <xf numFmtId="168" fontId="6" fillId="0" borderId="3" xfId="1" applyNumberFormat="1" applyFont="1" applyBorder="1" applyAlignment="1">
      <alignment horizontal="right"/>
    </xf>
    <xf numFmtId="168" fontId="6" fillId="0" borderId="4" xfId="1" applyNumberFormat="1" applyFont="1" applyBorder="1" applyAlignment="1">
      <alignment horizontal="right"/>
    </xf>
    <xf numFmtId="168" fontId="6" fillId="0" borderId="5" xfId="1" applyNumberFormat="1" applyFont="1" applyBorder="1" applyAlignment="1">
      <alignment horizontal="right"/>
    </xf>
    <xf numFmtId="168" fontId="6" fillId="0" borderId="6" xfId="1" applyNumberFormat="1" applyFont="1" applyBorder="1" applyAlignment="1">
      <alignment horizontal="right"/>
    </xf>
    <xf numFmtId="168" fontId="6" fillId="0" borderId="7" xfId="1" applyNumberFormat="1" applyFont="1" applyBorder="1" applyAlignment="1">
      <alignment horizontal="right"/>
    </xf>
    <xf numFmtId="0" fontId="8" fillId="0" borderId="2" xfId="0" applyFont="1" applyBorder="1"/>
    <xf numFmtId="174" fontId="4" fillId="0" borderId="2" xfId="0" applyNumberFormat="1" applyFont="1" applyBorder="1"/>
    <xf numFmtId="2" fontId="5" fillId="0" borderId="1" xfId="0" applyNumberFormat="1" applyFont="1" applyBorder="1"/>
    <xf numFmtId="2" fontId="5" fillId="0" borderId="2" xfId="0" applyNumberFormat="1" applyFont="1" applyBorder="1"/>
    <xf numFmtId="14" fontId="10" fillId="0" borderId="0" xfId="0" applyNumberFormat="1" applyFont="1"/>
    <xf numFmtId="0" fontId="10" fillId="0" borderId="0" xfId="0" applyFont="1"/>
    <xf numFmtId="170" fontId="0" fillId="0" borderId="0" xfId="1" applyNumberFormat="1" applyFont="1"/>
    <xf numFmtId="0" fontId="11" fillId="3" borderId="0" xfId="0" applyFont="1" applyFill="1"/>
    <xf numFmtId="171" fontId="11" fillId="3" borderId="0" xfId="1" applyNumberFormat="1" applyFont="1" applyFill="1"/>
    <xf numFmtId="171" fontId="10" fillId="3" borderId="0" xfId="1" applyNumberFormat="1" applyFont="1" applyFill="1"/>
    <xf numFmtId="14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7" fillId="0" borderId="0" xfId="0" applyFont="1"/>
    <xf numFmtId="19" fontId="0" fillId="0" borderId="0" xfId="0" applyNumberFormat="1"/>
    <xf numFmtId="167" fontId="10" fillId="0" borderId="0" xfId="1" applyNumberFormat="1" applyFont="1"/>
    <xf numFmtId="178" fontId="0" fillId="0" borderId="0" xfId="0" applyNumberFormat="1"/>
    <xf numFmtId="43" fontId="1" fillId="0" borderId="0" xfId="1"/>
    <xf numFmtId="0" fontId="16" fillId="0" borderId="0" xfId="0" applyFont="1"/>
    <xf numFmtId="178" fontId="16" fillId="0" borderId="0" xfId="0" applyNumberFormat="1" applyFont="1"/>
    <xf numFmtId="178" fontId="17" fillId="0" borderId="0" xfId="0" applyNumberFormat="1" applyFont="1" applyAlignment="1">
      <alignment horizontal="left"/>
    </xf>
    <xf numFmtId="0" fontId="0" fillId="0" borderId="8" xfId="0" applyBorder="1"/>
    <xf numFmtId="14" fontId="0" fillId="0" borderId="8" xfId="0" applyNumberFormat="1" applyBorder="1"/>
    <xf numFmtId="14" fontId="15" fillId="0" borderId="8" xfId="0" applyNumberFormat="1" applyFont="1" applyBorder="1" applyAlignment="1">
      <alignment horizontal="center"/>
    </xf>
    <xf numFmtId="14" fontId="15" fillId="0" borderId="0" xfId="0" applyNumberFormat="1" applyFont="1"/>
    <xf numFmtId="14" fontId="10" fillId="0" borderId="8" xfId="0" applyNumberFormat="1" applyFont="1" applyBorder="1"/>
    <xf numFmtId="167" fontId="10" fillId="0" borderId="8" xfId="1" applyNumberFormat="1" applyFont="1" applyBorder="1"/>
    <xf numFmtId="0" fontId="15" fillId="0" borderId="0" xfId="0" applyFont="1"/>
    <xf numFmtId="0" fontId="0" fillId="0" borderId="2" xfId="0" applyBorder="1"/>
    <xf numFmtId="0" fontId="15" fillId="0" borderId="2" xfId="0" applyFont="1" applyBorder="1" applyAlignment="1">
      <alignment horizontal="centerContinuous"/>
    </xf>
    <xf numFmtId="14" fontId="15" fillId="0" borderId="0" xfId="0" applyNumberFormat="1" applyFont="1" applyAlignment="1">
      <alignment horizontal="left"/>
    </xf>
    <xf numFmtId="14" fontId="10" fillId="0" borderId="0" xfId="0" applyNumberFormat="1" applyFont="1" applyAlignment="1">
      <alignment horizontal="right"/>
    </xf>
    <xf numFmtId="174" fontId="10" fillId="0" borderId="0" xfId="0" applyNumberFormat="1" applyFont="1"/>
    <xf numFmtId="173" fontId="15" fillId="0" borderId="0" xfId="0" applyNumberFormat="1" applyFont="1"/>
    <xf numFmtId="0" fontId="15" fillId="0" borderId="1" xfId="0" applyFont="1" applyBorder="1"/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14" fontId="15" fillId="0" borderId="0" xfId="1" applyNumberFormat="1" applyFont="1"/>
    <xf numFmtId="167" fontId="15" fillId="0" borderId="0" xfId="1" applyNumberFormat="1" applyFont="1"/>
    <xf numFmtId="14" fontId="16" fillId="0" borderId="0" xfId="1" applyNumberFormat="1" applyFont="1"/>
    <xf numFmtId="167" fontId="16" fillId="0" borderId="0" xfId="1" applyNumberFormat="1" applyFont="1"/>
    <xf numFmtId="15" fontId="0" fillId="0" borderId="0" xfId="0" applyNumberFormat="1"/>
    <xf numFmtId="14" fontId="18" fillId="0" borderId="0" xfId="0" applyNumberFormat="1" applyFont="1" applyAlignment="1">
      <alignment horizontal="right"/>
    </xf>
    <xf numFmtId="174" fontId="18" fillId="0" borderId="0" xfId="0" applyNumberFormat="1" applyFont="1"/>
    <xf numFmtId="168" fontId="10" fillId="0" borderId="0" xfId="1" applyNumberFormat="1" applyFont="1"/>
    <xf numFmtId="14" fontId="0" fillId="0" borderId="0" xfId="0" applyNumberFormat="1"/>
    <xf numFmtId="0" fontId="5" fillId="2" borderId="0" xfId="0" applyFont="1" applyFill="1" applyAlignment="1">
      <alignment horizontal="right"/>
    </xf>
    <xf numFmtId="2" fontId="11" fillId="3" borderId="0" xfId="0" applyNumberFormat="1" applyFont="1" applyFill="1"/>
    <xf numFmtId="2" fontId="11" fillId="3" borderId="0" xfId="1" applyNumberFormat="1" applyFont="1" applyFill="1"/>
    <xf numFmtId="173" fontId="11" fillId="3" borderId="0" xfId="0" applyNumberFormat="1" applyFont="1" applyFill="1"/>
    <xf numFmtId="168" fontId="11" fillId="3" borderId="0" xfId="1" applyNumberFormat="1" applyFont="1" applyFill="1"/>
    <xf numFmtId="179" fontId="11" fillId="3" borderId="0" xfId="0" applyNumberFormat="1" applyFont="1" applyFill="1"/>
    <xf numFmtId="179" fontId="5" fillId="2" borderId="0" xfId="0" applyNumberFormat="1" applyFont="1" applyFill="1"/>
    <xf numFmtId="2" fontId="19" fillId="2" borderId="0" xfId="1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2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190500</xdr:colOff>
          <xdr:row>6</xdr:row>
          <xdr:rowOff>9525</xdr:rowOff>
        </xdr:from>
        <xdr:to>
          <xdr:col>5</xdr:col>
          <xdr:colOff>28575</xdr:colOff>
          <xdr:row>7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Zero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200025</xdr:colOff>
          <xdr:row>6</xdr:row>
          <xdr:rowOff>0</xdr:rowOff>
        </xdr:from>
        <xdr:to>
          <xdr:col>11</xdr:col>
          <xdr:colOff>257175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Div Curve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D133"/>
  <sheetViews>
    <sheetView showGridLines="0" tabSelected="1" zoomScale="75" zoomScaleNormal="70" workbookViewId="0">
      <selection activeCell="Q15" sqref="Q15"/>
    </sheetView>
  </sheetViews>
  <sheetFormatPr defaultColWidth="9.140625" defaultRowHeight="15" outlineLevelCol="1" x14ac:dyDescent="0.2"/>
  <cols>
    <col min="1" max="1" width="9.140625" style="17"/>
    <col min="2" max="2" width="21.85546875" style="17" customWidth="1"/>
    <col min="3" max="3" width="18.140625" style="17" customWidth="1"/>
    <col min="4" max="4" width="4.7109375" style="17" customWidth="1"/>
    <col min="5" max="5" width="15.7109375" style="17" customWidth="1"/>
    <col min="6" max="6" width="15.140625" style="17" customWidth="1"/>
    <col min="7" max="7" width="13.7109375" style="17" bestFit="1" customWidth="1"/>
    <col min="8" max="8" width="7.140625" style="17" customWidth="1"/>
    <col min="9" max="9" width="9.85546875" style="17" hidden="1" customWidth="1" outlineLevel="1"/>
    <col min="10" max="10" width="18.5703125" style="17" bestFit="1" customWidth="1" collapsed="1"/>
    <col min="11" max="11" width="15.28515625" style="17" customWidth="1"/>
    <col min="12" max="12" width="13" style="17" customWidth="1"/>
    <col min="13" max="13" width="4.7109375" style="17" customWidth="1"/>
    <col min="14" max="14" width="10.28515625" style="17" bestFit="1" customWidth="1"/>
    <col min="15" max="15" width="14.28515625" style="17" customWidth="1"/>
    <col min="16" max="16" width="22.7109375" style="17" customWidth="1"/>
    <col min="17" max="18" width="14.7109375" style="17" customWidth="1"/>
    <col min="19" max="19" width="10.28515625" style="17" customWidth="1"/>
    <col min="20" max="20" width="13" style="17" customWidth="1"/>
    <col min="21" max="21" width="12.42578125" style="17" bestFit="1" customWidth="1"/>
    <col min="22" max="22" width="9.140625" style="17"/>
    <col min="23" max="25" width="8.7109375"/>
    <col min="26" max="26" width="10.42578125" style="17" bestFit="1" customWidth="1"/>
    <col min="27" max="27" width="9.140625" style="17"/>
    <col min="28" max="28" width="8" style="17" customWidth="1"/>
    <col min="29" max="16384" width="9.140625" style="17"/>
  </cols>
  <sheetData>
    <row r="3" spans="1:30" ht="23.25" x14ac:dyDescent="0.35">
      <c r="B3" s="50" t="s">
        <v>41</v>
      </c>
      <c r="C3" s="51"/>
      <c r="D3" s="51"/>
      <c r="E3" s="51"/>
      <c r="F3" s="51"/>
      <c r="G3" s="51"/>
      <c r="H3" s="51"/>
      <c r="I3" s="51"/>
      <c r="J3" s="52"/>
      <c r="K3" s="51"/>
      <c r="L3" s="51"/>
    </row>
    <row r="4" spans="1:30" ht="23.25" x14ac:dyDescent="0.35">
      <c r="B4" s="50"/>
      <c r="C4" s="51"/>
      <c r="D4" s="51"/>
      <c r="E4" s="51"/>
      <c r="F4" s="51"/>
      <c r="G4" s="51"/>
      <c r="H4" s="51"/>
      <c r="I4" s="51"/>
      <c r="J4" s="52"/>
      <c r="K4" s="51"/>
      <c r="L4" s="51"/>
    </row>
    <row r="5" spans="1:30" ht="16.5" customHeight="1" x14ac:dyDescent="0.35">
      <c r="B5" s="68"/>
      <c r="C5" s="54"/>
      <c r="D5" s="54"/>
      <c r="E5" s="54"/>
      <c r="F5" s="54"/>
      <c r="G5" s="54"/>
      <c r="H5" s="54"/>
      <c r="I5" s="54"/>
      <c r="J5" s="69"/>
      <c r="K5" s="54"/>
      <c r="L5" s="54"/>
      <c r="N5" s="54"/>
      <c r="O5" s="71"/>
      <c r="P5" s="71"/>
      <c r="Q5" s="54"/>
      <c r="R5" s="54"/>
      <c r="S5" s="54"/>
      <c r="T5" s="54"/>
      <c r="U5" s="54"/>
      <c r="V5" s="54"/>
    </row>
    <row r="6" spans="1:30" ht="15.75" thickBot="1" x14ac:dyDescent="0.25">
      <c r="B6" s="49" t="s">
        <v>43</v>
      </c>
      <c r="C6" s="70"/>
      <c r="D6" s="70"/>
      <c r="E6" s="49"/>
      <c r="F6" s="49"/>
      <c r="G6" s="49"/>
      <c r="H6" s="49"/>
      <c r="I6" s="49"/>
      <c r="J6" s="49"/>
      <c r="K6" s="49"/>
      <c r="L6" s="49"/>
      <c r="N6" s="49" t="s">
        <v>46</v>
      </c>
      <c r="O6" s="70"/>
      <c r="P6" s="70"/>
      <c r="Q6" s="49"/>
      <c r="R6" s="49"/>
      <c r="S6" s="49"/>
      <c r="T6" s="49"/>
      <c r="U6" s="49"/>
      <c r="V6" s="49"/>
    </row>
    <row r="7" spans="1:30" ht="18" x14ac:dyDescent="0.25">
      <c r="C7" s="18"/>
      <c r="D7" s="18"/>
      <c r="E7" s="18"/>
      <c r="F7" s="46" t="s">
        <v>38</v>
      </c>
      <c r="J7" s="47" t="s">
        <v>39</v>
      </c>
      <c r="K7" s="46"/>
      <c r="O7" s="32"/>
      <c r="P7" s="32"/>
    </row>
    <row r="8" spans="1:30" ht="15.75" x14ac:dyDescent="0.25">
      <c r="B8" s="17" t="s">
        <v>244</v>
      </c>
      <c r="C8" s="115" t="s">
        <v>92</v>
      </c>
      <c r="D8"/>
      <c r="E8" s="23" t="s">
        <v>17</v>
      </c>
      <c r="F8" s="17" t="s">
        <v>12</v>
      </c>
      <c r="G8" s="23" t="s">
        <v>1</v>
      </c>
      <c r="H8" s="23"/>
      <c r="J8" s="23" t="s">
        <v>2</v>
      </c>
      <c r="K8" s="23" t="s">
        <v>12</v>
      </c>
      <c r="L8" s="23" t="s">
        <v>40</v>
      </c>
      <c r="N8" s="62" t="s">
        <v>44</v>
      </c>
      <c r="O8" s="51"/>
      <c r="P8" s="51"/>
      <c r="Q8" s="62" t="s">
        <v>45</v>
      </c>
      <c r="R8" s="51"/>
      <c r="T8" s="62" t="s">
        <v>255</v>
      </c>
      <c r="U8" s="51"/>
      <c r="Z8"/>
      <c r="AA8"/>
      <c r="AB8"/>
      <c r="AC8"/>
      <c r="AD8"/>
    </row>
    <row r="9" spans="1:30" x14ac:dyDescent="0.2">
      <c r="B9" s="17" t="s">
        <v>0</v>
      </c>
      <c r="C9" s="121">
        <f>C10+30</f>
        <v>39884</v>
      </c>
      <c r="D9">
        <v>1</v>
      </c>
      <c r="E9" s="75">
        <f>Zero_Curves!C2</f>
        <v>30</v>
      </c>
      <c r="F9" s="26">
        <f t="shared" ref="F9:F72" si="0">E9/365</f>
        <v>8.2191780821917804E-2</v>
      </c>
      <c r="G9" s="76">
        <f>Zero_Curves!D2+$C$18</f>
        <v>3.2497100000000001E-2</v>
      </c>
      <c r="H9" s="76"/>
      <c r="I9" s="27" t="str">
        <f>$C$8&amp;"1"</f>
        <v>BHP1</v>
      </c>
      <c r="J9" s="120">
        <f>IF(ISNA(VLOOKUP($I9,'Dividend Data'!$C$3:$F$6001,3,0)),"",(VLOOKUP($I9,'Dividend Data'!$C$3:$F$6001,3,0)))</f>
        <v>39867</v>
      </c>
      <c r="K9" s="22">
        <f>IF(J9&lt;&gt;"",(J9-$C$10)/365,"")</f>
        <v>3.5616438356164383E-2</v>
      </c>
      <c r="L9" s="116">
        <f>IF(ISNA(VLOOKUP($I9,'Dividend Data'!$C$3:$F$6001,4,0)),"",VLOOKUP($I9,'Dividend Data'!$C$3:$F$6001,4,0))</f>
        <v>0</v>
      </c>
      <c r="N9" s="55" t="s">
        <v>18</v>
      </c>
      <c r="O9" s="63">
        <f>_xll.HLV5r3.Analytics.Equity.BinomialPricer($C$21, $C$13, $C$15, $C$16+$C$17, $C$10, $C$9,$C$20, Zero_Curves!$B$2:$B$126, Zero_Curves!$D$2:$D$126, $J$9:$J$18, $L$9:$L$18,20,"y",TRUE)</f>
        <v>3.553957348847594</v>
      </c>
      <c r="P9" s="53"/>
      <c r="Q9" s="55" t="s">
        <v>18</v>
      </c>
      <c r="R9" s="63">
        <f>_xll.HLV5r3.Analytics.Equity.BlackScholesPricer($C$13, $C$15, $C$16+$C$17, $C$20,$C$10, $C$9, Zero_Curves!$B$2:$B$126, Zero_Curves!$D$2:$D$126, $J$9:$J$18, $L$9:$L$18)</f>
        <v>3.5478631847787945</v>
      </c>
      <c r="T9" s="55" t="s">
        <v>18</v>
      </c>
      <c r="U9" s="63">
        <f>_xll.HLV5r3.Analytics.Equity.BlackScholesPricerContDiv($C$13,$C$15, $C$16+$C$17,$C$20,$C$10,$C$9,Zero_Curves!$B$2:$B$126,Zero_Curves!$D$2:$D$126,$C$14)</f>
        <v>3.4825604142198254</v>
      </c>
      <c r="V9" s="39"/>
      <c r="Z9"/>
      <c r="AA9"/>
      <c r="AB9"/>
      <c r="AC9"/>
      <c r="AD9"/>
    </row>
    <row r="10" spans="1:30" x14ac:dyDescent="0.2">
      <c r="B10" s="17" t="s">
        <v>245</v>
      </c>
      <c r="C10" s="41">
        <v>39854</v>
      </c>
      <c r="D10">
        <f>D9+1</f>
        <v>2</v>
      </c>
      <c r="E10" s="75">
        <f>Zero_Curves!C3</f>
        <v>64</v>
      </c>
      <c r="F10" s="26">
        <f t="shared" si="0"/>
        <v>0.17534246575342466</v>
      </c>
      <c r="G10" s="76">
        <f>Zero_Curves!D3+$C$18</f>
        <v>3.3177659999999998E-2</v>
      </c>
      <c r="H10" s="76"/>
      <c r="I10" s="27" t="str">
        <f>$C$8&amp;"2"</f>
        <v>BHP2</v>
      </c>
      <c r="J10" s="120">
        <f>IF(ISNA(VLOOKUP($I10,'Dividend Data'!$C$3:$F$6001,3,0)),"",(VLOOKUP($I10,'Dividend Data'!$C$3:$F$6001,3,0)))</f>
        <v>40063</v>
      </c>
      <c r="K10" s="22">
        <f t="shared" ref="K10:K29" si="1">IF(J10&lt;&gt;"",(J10-$C$10)/365,"")</f>
        <v>0.57260273972602738</v>
      </c>
      <c r="L10" s="116">
        <f>IF(ISNA(VLOOKUP($I10,'Dividend Data'!$C$3:$F$6001,4,0)),"",VLOOKUP($I10,'Dividend Data'!$C$3:$F$6001,4,0))</f>
        <v>0.442</v>
      </c>
      <c r="M10"/>
      <c r="N10" s="55" t="s">
        <v>19</v>
      </c>
      <c r="O10" s="64">
        <f>_xll.HLV5r3.Analytics.Equity.BinomialPricer($C$21, $C$13, $C$15, $C$16+$C$17, $C$10, $C$9,"Put", Zero_Curves!$B$2:$B$126, Zero_Curves!$D$2:$D$126, $J$9:$J$18, $L$9:$L$18,20,"y",TRUE)</f>
        <v>0.978303492839249</v>
      </c>
      <c r="P10" s="53"/>
      <c r="Q10" s="55" t="s">
        <v>19</v>
      </c>
      <c r="R10" s="64">
        <f>_xll.HLV5r3.Analytics.Equity.BlackScholesPricer($C$13, $C$15, $C$16+$C$17, "Put",$C$10, $C$9, Zero_Curves!$B$2:$B$126, Zero_Curves!$D$2:$D$126, $J$9:$J$18, $L$9:$L$18)</f>
        <v>0.97046011452516923</v>
      </c>
      <c r="T10" s="55" t="s">
        <v>19</v>
      </c>
      <c r="U10" s="64">
        <f>_xll.HLV5r3.Analytics.Equity.BlackScholesPricerContDiv($C$13,$C$15, $C$16+$C$17,"Put",$C$10,$C$9,Zero_Curves!$B$2:$B$126,Zero_Curves!$D$2:$D$126,$C$14)</f>
        <v>0.99564356850215019</v>
      </c>
      <c r="V10" s="39"/>
      <c r="Z10"/>
      <c r="AA10"/>
      <c r="AB10"/>
      <c r="AC10"/>
      <c r="AD10"/>
    </row>
    <row r="11" spans="1:30" x14ac:dyDescent="0.2">
      <c r="C11" s="18"/>
      <c r="D11">
        <f t="shared" ref="D11:D23" si="2">D10+1</f>
        <v>3</v>
      </c>
      <c r="E11" s="75">
        <f>Zero_Curves!C4</f>
        <v>91</v>
      </c>
      <c r="F11" s="26">
        <f t="shared" si="0"/>
        <v>0.24931506849315069</v>
      </c>
      <c r="G11" s="76">
        <f>Zero_Curves!D4+$C$18</f>
        <v>3.2656659999999997E-2</v>
      </c>
      <c r="H11" s="76"/>
      <c r="I11" s="27" t="str">
        <f>$C$8&amp;"3"</f>
        <v>BHP3</v>
      </c>
      <c r="J11" s="120">
        <f>IF(ISNA(VLOOKUP($I11,'Dividend Data'!$C$3:$F$6001,3,0)),"",(VLOOKUP($I11,'Dividend Data'!$C$3:$F$6001,3,0)))</f>
        <v>40231</v>
      </c>
      <c r="K11" s="22">
        <f t="shared" si="1"/>
        <v>1.0328767123287672</v>
      </c>
      <c r="L11" s="116">
        <f>IF(ISNA(VLOOKUP($I11,'Dividend Data'!$C$3:$F$6001,4,0)),"",VLOOKUP($I11,'Dividend Data'!$C$3:$F$6001,4,0))</f>
        <v>0.34399999999999997</v>
      </c>
      <c r="M11"/>
      <c r="R11" s="21"/>
      <c r="S11" s="29"/>
      <c r="V11" s="39"/>
      <c r="Z11"/>
      <c r="AA11"/>
      <c r="AB11"/>
      <c r="AC11"/>
      <c r="AD11"/>
    </row>
    <row r="12" spans="1:30" x14ac:dyDescent="0.2">
      <c r="B12" s="19"/>
      <c r="C12" s="24"/>
      <c r="D12">
        <f t="shared" si="2"/>
        <v>4</v>
      </c>
      <c r="E12" s="75">
        <f>Zero_Curves!C5</f>
        <v>121</v>
      </c>
      <c r="F12" s="26">
        <f t="shared" si="0"/>
        <v>0.33150684931506852</v>
      </c>
      <c r="G12" s="76">
        <f>Zero_Curves!D5+$C$18</f>
        <v>3.1927419999999998E-2</v>
      </c>
      <c r="H12" s="76"/>
      <c r="I12" s="27" t="str">
        <f>$C$8&amp;"4"</f>
        <v>BHP4</v>
      </c>
      <c r="J12" s="120">
        <f>IF(ISNA(VLOOKUP($I12,'Dividend Data'!$C$3:$F$6001,3,0)),"",(VLOOKUP($I12,'Dividend Data'!$C$3:$F$6001,3,0)))</f>
        <v>40427</v>
      </c>
      <c r="K12" s="22">
        <f t="shared" si="1"/>
        <v>1.5698630136986302</v>
      </c>
      <c r="L12" s="116">
        <f>IF(ISNA(VLOOKUP($I12,'Dividend Data'!$C$3:$F$6001,4,0)),"",VLOOKUP($I12,'Dividend Data'!$C$3:$F$6001,4,0))</f>
        <v>0.48599999999999999</v>
      </c>
      <c r="M12"/>
      <c r="N12" s="56"/>
      <c r="O12" s="57"/>
      <c r="P12" s="57"/>
      <c r="Q12" s="51"/>
      <c r="R12" s="58"/>
      <c r="S12" s="59"/>
      <c r="T12" s="51"/>
      <c r="V12" s="39"/>
      <c r="Z12"/>
      <c r="AA12"/>
      <c r="AB12"/>
      <c r="AC12"/>
      <c r="AD12"/>
    </row>
    <row r="13" spans="1:30" ht="15.75" x14ac:dyDescent="0.25">
      <c r="B13" s="25" t="s">
        <v>22</v>
      </c>
      <c r="C13" s="42">
        <v>31.5</v>
      </c>
      <c r="D13">
        <f t="shared" si="2"/>
        <v>5</v>
      </c>
      <c r="E13" s="75">
        <f>Zero_Curves!C6</f>
        <v>151</v>
      </c>
      <c r="F13" s="26">
        <f t="shared" si="0"/>
        <v>0.41369863013698632</v>
      </c>
      <c r="G13" s="76">
        <f>Zero_Curves!D6+$C$18</f>
        <v>3.1344770000000001E-2</v>
      </c>
      <c r="H13" s="76"/>
      <c r="I13" s="27" t="str">
        <f>$C$8&amp;"5"</f>
        <v>BHP5</v>
      </c>
      <c r="J13" s="120">
        <f>IF(ISNA(VLOOKUP($I13,'Dividend Data'!$C$3:$F$6001,3,0)),"",(VLOOKUP($I13,'Dividend Data'!$C$3:$F$6001,3,0)))</f>
        <v>40595</v>
      </c>
      <c r="K13" s="28">
        <f t="shared" si="1"/>
        <v>2.0301369863013701</v>
      </c>
      <c r="L13" s="117">
        <f>IF(ISNA(VLOOKUP($I13,'Dividend Data'!$C$3:$F$6001,4,0)),"",VLOOKUP($I13,'Dividend Data'!$C$3:$F$6001,4,0))</f>
        <v>0.37799999999999995</v>
      </c>
      <c r="M13"/>
      <c r="N13" s="62" t="s">
        <v>42</v>
      </c>
      <c r="O13" s="51"/>
      <c r="P13" s="51"/>
      <c r="Q13" s="62" t="s">
        <v>13</v>
      </c>
      <c r="R13" s="51"/>
      <c r="S13" s="51"/>
      <c r="T13" s="51"/>
      <c r="V13" s="39"/>
      <c r="Z13"/>
      <c r="AA13"/>
      <c r="AB13"/>
      <c r="AC13"/>
      <c r="AD13"/>
    </row>
    <row r="14" spans="1:30" x14ac:dyDescent="0.2">
      <c r="B14" s="25" t="s">
        <v>254</v>
      </c>
      <c r="C14" s="122">
        <v>3.5000000000000003E-2</v>
      </c>
      <c r="D14">
        <f t="shared" si="2"/>
        <v>6</v>
      </c>
      <c r="E14" s="75">
        <f>Zero_Curves!C7</f>
        <v>182</v>
      </c>
      <c r="F14" s="26">
        <f t="shared" si="0"/>
        <v>0.49863013698630138</v>
      </c>
      <c r="G14" s="76">
        <f>Zero_Curves!D7+$C$18</f>
        <v>3.0615170000000001E-2</v>
      </c>
      <c r="H14" s="76"/>
      <c r="I14" s="27" t="str">
        <f>$C$8&amp;"6"</f>
        <v>BHP6</v>
      </c>
      <c r="J14" s="120">
        <f>IF(ISNA(VLOOKUP($I14,'Dividend Data'!$C$3:$F$6001,3,0)),"",(VLOOKUP($I14,'Dividend Data'!$C$3:$F$6001,3,0)))</f>
        <v>40791</v>
      </c>
      <c r="K14" s="28">
        <f t="shared" si="1"/>
        <v>2.5671232876712327</v>
      </c>
      <c r="L14" s="116">
        <f>IF(ISNA(VLOOKUP($I14,'Dividend Data'!$C$3:$F$6001,4,0)),"",VLOOKUP($I14,'Dividend Data'!$C$3:$F$6001,4,0))</f>
        <v>0.53400000000000003</v>
      </c>
      <c r="M14"/>
      <c r="N14" s="60" t="s">
        <v>18</v>
      </c>
      <c r="O14" s="63">
        <f>_xll.HLV5r3.Analytics.Equity.BinomialImpVol($O$9, $C$21, $C$13, $C$15, $C$23,$C$10,$C$9,$C$20,Zero_Curves!$B$2:$B$126,Zero_Curves!$D$2:$D$126,$J$9:$J$18,$L$9:$L$18,$C$24,$C$25,20,Y,TRUE)</f>
        <v>0.57851284060982266</v>
      </c>
      <c r="P14" s="61"/>
      <c r="Q14" s="51" t="s">
        <v>7</v>
      </c>
      <c r="R14" s="51" t="s">
        <v>8</v>
      </c>
      <c r="S14" s="51" t="s">
        <v>9</v>
      </c>
      <c r="T14" s="51" t="s">
        <v>10</v>
      </c>
      <c r="V14" s="39"/>
      <c r="Z14"/>
      <c r="AA14"/>
      <c r="AB14"/>
      <c r="AC14"/>
      <c r="AD14"/>
    </row>
    <row r="15" spans="1:30" x14ac:dyDescent="0.2">
      <c r="A15" s="19"/>
      <c r="B15" s="25" t="s">
        <v>3</v>
      </c>
      <c r="C15" s="42">
        <v>29</v>
      </c>
      <c r="D15">
        <f t="shared" si="2"/>
        <v>7</v>
      </c>
      <c r="E15" s="75">
        <f>Zero_Curves!C8</f>
        <v>213</v>
      </c>
      <c r="F15" s="26">
        <f t="shared" si="0"/>
        <v>0.58356164383561648</v>
      </c>
      <c r="G15" s="76">
        <f>Zero_Curves!D8+$C$18</f>
        <v>2.9839109999999999E-2</v>
      </c>
      <c r="H15" s="76"/>
      <c r="I15" s="27" t="str">
        <f>$C$8&amp;"7"</f>
        <v>BHP7</v>
      </c>
      <c r="J15" s="120">
        <f>IF(ISNA(VLOOKUP($I15,'Dividend Data'!$C$3:$F$6001,3,0)),"",(VLOOKUP($I15,'Dividend Data'!$C$3:$F$6001,3,0)))</f>
        <v>40959</v>
      </c>
      <c r="K15" s="28">
        <f t="shared" si="1"/>
        <v>3.0273972602739727</v>
      </c>
      <c r="L15" s="116">
        <f>IF(ISNA(VLOOKUP($I15,'Dividend Data'!$C$3:$F$6001,4,0)),"",VLOOKUP($I15,'Dividend Data'!$C$3:$F$6001,4,0))</f>
        <v>0.41600000000000004</v>
      </c>
      <c r="M15"/>
      <c r="N15" s="51" t="s">
        <v>19</v>
      </c>
      <c r="O15" s="64">
        <f>_xll.HLV5r3.Analytics.Equity.BinomialImpVol($O$10, $C$21, $C$13, $C$15, $C$23,$C$10,$C$9,"Put",Zero_Curves!$B$2:$B$126,Zero_Curves!$D$2:$D$126,$J$9:$J$18,$L$9:$L$18,$C$24,$C$25,20,Y,TRUE)</f>
        <v>0.57858592760917815</v>
      </c>
      <c r="P15" s="51"/>
      <c r="Q15" s="65">
        <f t="array" ref="Q15:T15">TRANSPOSE(_xll.HLV5r3.Analytics.Equity.BinomialGetGreeks(C21, $C$13, $C$15, $C$16+$C$17,$C$10,$C$9,$C$20,Zero_Curves!$B$2:$B$126,Zero_Curves!$D$2:$D$126,Pricer!$J$9:$J$18,Pricer!$L$9:$L$18,100,"y",TRUE))</f>
        <v>0.72424535828811065</v>
      </c>
      <c r="R15" s="66">
        <v>0</v>
      </c>
      <c r="S15" s="66">
        <v>3.0197635460760264E-2</v>
      </c>
      <c r="T15" s="67">
        <v>-3.1132202528940667E-2</v>
      </c>
      <c r="V15" s="39"/>
      <c r="Z15"/>
      <c r="AA15"/>
      <c r="AB15"/>
      <c r="AC15"/>
      <c r="AD15"/>
    </row>
    <row r="16" spans="1:30" x14ac:dyDescent="0.2">
      <c r="B16" s="25" t="s">
        <v>4</v>
      </c>
      <c r="C16" s="43">
        <v>0.57999999999999996</v>
      </c>
      <c r="D16">
        <f t="shared" si="2"/>
        <v>8</v>
      </c>
      <c r="E16" s="75">
        <f>Zero_Curves!C9</f>
        <v>304</v>
      </c>
      <c r="F16" s="26">
        <f t="shared" si="0"/>
        <v>0.83287671232876714</v>
      </c>
      <c r="G16" s="76">
        <f>Zero_Curves!D9+$C$18</f>
        <v>2.8422599999999999E-2</v>
      </c>
      <c r="H16" s="76"/>
      <c r="I16" s="27" t="str">
        <f>$C$8&amp;"8"</f>
        <v>BHP8</v>
      </c>
      <c r="J16" s="120">
        <f>IF(ISNA(VLOOKUP($I16,'Dividend Data'!$C$3:$F$6001,3,0)),"",(VLOOKUP($I16,'Dividend Data'!$C$3:$F$6001,3,0)))</f>
        <v>41155</v>
      </c>
      <c r="K16" s="28">
        <f t="shared" si="1"/>
        <v>3.5643835616438357</v>
      </c>
      <c r="L16" s="116">
        <f>IF(ISNA(VLOOKUP($I16,'Dividend Data'!$C$3:$F$6001,4,0)),"",VLOOKUP($I16,'Dividend Data'!$C$3:$F$6001,4,0))</f>
        <v>0.58799999999999997</v>
      </c>
      <c r="M16"/>
      <c r="N16" s="51"/>
      <c r="O16" s="51"/>
      <c r="P16" s="51"/>
      <c r="Q16" s="51"/>
      <c r="R16" s="51"/>
      <c r="S16" s="51"/>
      <c r="T16" s="51"/>
      <c r="V16" s="39"/>
      <c r="Z16"/>
      <c r="AA16"/>
      <c r="AB16"/>
      <c r="AC16"/>
      <c r="AD16"/>
    </row>
    <row r="17" spans="2:30" x14ac:dyDescent="0.2">
      <c r="B17" s="17" t="s">
        <v>252</v>
      </c>
      <c r="C17" s="43">
        <v>0</v>
      </c>
      <c r="D17">
        <f>D16+1</f>
        <v>9</v>
      </c>
      <c r="E17" s="75">
        <f>Zero_Curves!C10</f>
        <v>394</v>
      </c>
      <c r="F17" s="26">
        <f t="shared" si="0"/>
        <v>1.0794520547945206</v>
      </c>
      <c r="G17" s="76">
        <f>Zero_Curves!D10+$C$18</f>
        <v>2.7018210000000001E-2</v>
      </c>
      <c r="H17" s="76"/>
      <c r="I17" s="27" t="str">
        <f>$C$8&amp;"9"</f>
        <v>BHP9</v>
      </c>
      <c r="J17" s="120">
        <f>IF(ISNA(VLOOKUP($I17,'Dividend Data'!$C$3:$F$6001,3,0)),"",(VLOOKUP($I17,'Dividend Data'!$C$3:$F$6001,3,0)))</f>
        <v>41324</v>
      </c>
      <c r="K17" s="28">
        <f t="shared" si="1"/>
        <v>4.0273972602739727</v>
      </c>
      <c r="L17" s="116">
        <f>IF(ISNA(VLOOKUP($I17,'Dividend Data'!$C$3:$F$6001,4,0)),"",VLOOKUP($I17,'Dividend Data'!$C$3:$F$6001,4,0))</f>
        <v>0.56999999999999995</v>
      </c>
      <c r="M17"/>
      <c r="N17"/>
      <c r="O17"/>
      <c r="P17"/>
      <c r="Q17"/>
      <c r="R17"/>
      <c r="S17"/>
      <c r="T17"/>
      <c r="U17"/>
      <c r="Z17"/>
      <c r="AA17"/>
      <c r="AB17"/>
      <c r="AC17"/>
      <c r="AD17"/>
    </row>
    <row r="18" spans="2:30" x14ac:dyDescent="0.2">
      <c r="B18" s="17" t="s">
        <v>253</v>
      </c>
      <c r="C18" s="43">
        <v>0</v>
      </c>
      <c r="D18">
        <f t="shared" si="2"/>
        <v>10</v>
      </c>
      <c r="E18" s="75">
        <f>Zero_Curves!C11</f>
        <v>486</v>
      </c>
      <c r="F18" s="26">
        <f t="shared" si="0"/>
        <v>1.3315068493150686</v>
      </c>
      <c r="G18" s="76">
        <f>Zero_Curves!D11+$C$18</f>
        <v>2.7670549999999999E-2</v>
      </c>
      <c r="H18" s="76"/>
      <c r="I18" s="27" t="str">
        <f>$C$8&amp;"10"</f>
        <v>BHP10</v>
      </c>
      <c r="J18" s="120">
        <f>IF(ISNA(VLOOKUP($I18,'Dividend Data'!$C$3:$F$6001,3,0)),"",(VLOOKUP($I18,'Dividend Data'!$C$3:$F$6001,3,0)))</f>
        <v>41520</v>
      </c>
      <c r="K18" s="28">
        <f t="shared" si="1"/>
        <v>4.5643835616438357</v>
      </c>
      <c r="L18" s="118">
        <f>IF(ISNA(VLOOKUP($I18,'Dividend Data'!$C$3:$F$6001,4,0)),"",VLOOKUP($I18,'Dividend Data'!$C$3:$F$6001,4,0))</f>
        <v>0.69</v>
      </c>
      <c r="M18"/>
      <c r="N18"/>
      <c r="O18"/>
      <c r="P18"/>
      <c r="Q18"/>
      <c r="R18"/>
      <c r="S18"/>
      <c r="T18"/>
      <c r="U18"/>
      <c r="Z18"/>
      <c r="AA18"/>
      <c r="AB18"/>
      <c r="AC18"/>
      <c r="AD18"/>
    </row>
    <row r="19" spans="2:30" x14ac:dyDescent="0.2">
      <c r="B19" s="25" t="s">
        <v>5</v>
      </c>
      <c r="C19" s="44">
        <f>(C9-C10)/365</f>
        <v>8.2191780821917804E-2</v>
      </c>
      <c r="D19">
        <f t="shared" si="2"/>
        <v>11</v>
      </c>
      <c r="E19" s="75">
        <f>Zero_Curves!C12</f>
        <v>578</v>
      </c>
      <c r="F19" s="26">
        <f t="shared" si="0"/>
        <v>1.5835616438356164</v>
      </c>
      <c r="G19" s="76">
        <f>Zero_Curves!D12+$C$18</f>
        <v>2.8323999999999998E-2</v>
      </c>
      <c r="H19" s="76"/>
      <c r="I19" s="27" t="str">
        <f>$C$8&amp;"11"</f>
        <v>BHP11</v>
      </c>
      <c r="J19" s="120" t="str">
        <f>IF(ISNA(VLOOKUP($I19,'Dividend Data'!$C$3:$F$6001,3,0)),"",(VLOOKUP($I19,'Dividend Data'!$C$3:$F$6001,3,0)))</f>
        <v/>
      </c>
      <c r="K19" s="17" t="str">
        <f t="shared" si="1"/>
        <v/>
      </c>
      <c r="L19" s="118" t="str">
        <f>IF(ISNA(VLOOKUP($I19,'Dividend Data'!$C$3:$F$6001,4,0)),"",VLOOKUP($I19,'Dividend Data'!$C$3:$F$6001,4,0))</f>
        <v/>
      </c>
      <c r="M19"/>
      <c r="N19"/>
      <c r="O19"/>
      <c r="P19"/>
      <c r="Q19"/>
      <c r="R19"/>
      <c r="S19"/>
      <c r="T19"/>
      <c r="U19"/>
      <c r="Z19"/>
      <c r="AA19"/>
      <c r="AB19"/>
      <c r="AC19"/>
      <c r="AD19"/>
    </row>
    <row r="20" spans="2:30" x14ac:dyDescent="0.2">
      <c r="B20" s="25" t="s">
        <v>6</v>
      </c>
      <c r="C20" s="45" t="s">
        <v>18</v>
      </c>
      <c r="D20">
        <f t="shared" si="2"/>
        <v>12</v>
      </c>
      <c r="E20" s="75">
        <f>Zero_Curves!C13</f>
        <v>669</v>
      </c>
      <c r="F20" s="26">
        <f t="shared" si="0"/>
        <v>1.832876712328767</v>
      </c>
      <c r="G20" s="76">
        <f>Zero_Curves!D13+$C$18</f>
        <v>2.8972040000000001E-2</v>
      </c>
      <c r="H20" s="76"/>
      <c r="I20" s="27" t="str">
        <f>$C$8&amp;"12"</f>
        <v>BHP12</v>
      </c>
      <c r="J20" s="120" t="str">
        <f>IF(ISNA(VLOOKUP($I20,'Dividend Data'!$C$3:$F$6001,3,0)),"",(VLOOKUP($I20,'Dividend Data'!$C$3:$F$6001,3,0)))</f>
        <v/>
      </c>
      <c r="K20" s="17" t="str">
        <f t="shared" si="1"/>
        <v/>
      </c>
      <c r="L20" s="75" t="str">
        <f>IF(ISNA(VLOOKUP($I20,'Dividend Data'!$C$3:$F$6001,4,0)),"",VLOOKUP($I20,'Dividend Data'!$C$3:$F$6001,4,0))</f>
        <v/>
      </c>
      <c r="M20"/>
      <c r="N20"/>
      <c r="O20"/>
      <c r="P20"/>
      <c r="Q20"/>
      <c r="R20"/>
      <c r="S20"/>
      <c r="T20"/>
      <c r="U20"/>
      <c r="Z20"/>
      <c r="AA20"/>
      <c r="AB20"/>
      <c r="AC20"/>
      <c r="AD20"/>
    </row>
    <row r="21" spans="2:30" x14ac:dyDescent="0.2">
      <c r="B21" s="25" t="s">
        <v>11</v>
      </c>
      <c r="C21" s="48" t="s">
        <v>21</v>
      </c>
      <c r="D21">
        <f t="shared" si="2"/>
        <v>13</v>
      </c>
      <c r="E21" s="75">
        <f>Zero_Curves!C14</f>
        <v>759</v>
      </c>
      <c r="F21" s="26">
        <f t="shared" si="0"/>
        <v>2.0794520547945203</v>
      </c>
      <c r="G21" s="76">
        <f>Zero_Curves!D14+$C$18</f>
        <v>2.9614830000000002E-2</v>
      </c>
      <c r="H21" s="76"/>
      <c r="I21" s="27" t="str">
        <f>$C$8&amp;"13"</f>
        <v>BHP13</v>
      </c>
      <c r="J21" s="120" t="str">
        <f>IF(ISNA(VLOOKUP($I21,'Dividend Data'!$C$3:$F$6001,3,0)),"",(VLOOKUP($I21,'Dividend Data'!$C$3:$F$6001,3,0)))</f>
        <v/>
      </c>
      <c r="K21" s="20" t="str">
        <f t="shared" si="1"/>
        <v/>
      </c>
      <c r="L21" s="119" t="str">
        <f>IF(ISNA(VLOOKUP($I21,'Dividend Data'!$C$3:$F$6001,4,0)),"",VLOOKUP($I21,'Dividend Data'!$C$3:$F$6001,4,0))</f>
        <v/>
      </c>
      <c r="M21"/>
      <c r="N21"/>
      <c r="O21"/>
      <c r="P21"/>
      <c r="Q21"/>
      <c r="R21"/>
      <c r="S21"/>
      <c r="T21"/>
      <c r="U21"/>
      <c r="Z21"/>
      <c r="AA21"/>
      <c r="AB21"/>
      <c r="AC21"/>
      <c r="AD21"/>
    </row>
    <row r="22" spans="2:30" x14ac:dyDescent="0.2">
      <c r="B22" s="25"/>
      <c r="D22">
        <f t="shared" si="2"/>
        <v>14</v>
      </c>
      <c r="E22" s="75">
        <f>Zero_Curves!C15</f>
        <v>851</v>
      </c>
      <c r="F22" s="26">
        <f t="shared" si="0"/>
        <v>2.3315068493150686</v>
      </c>
      <c r="G22" s="76">
        <f>Zero_Curves!D15+$C$18</f>
        <v>3.068276E-2</v>
      </c>
      <c r="H22" s="76"/>
      <c r="I22" s="27" t="str">
        <f>$C$8&amp;"14"</f>
        <v>BHP14</v>
      </c>
      <c r="J22" s="120" t="str">
        <f>IF(ISNA(VLOOKUP($I22,'Dividend Data'!$C$3:$F$6001,3,0)),"",(VLOOKUP($I22,'Dividend Data'!$C$3:$F$6001,3,0)))</f>
        <v/>
      </c>
      <c r="K22" s="20" t="str">
        <f t="shared" si="1"/>
        <v/>
      </c>
      <c r="L22" s="119" t="str">
        <f>IF(ISNA(VLOOKUP($I22,'Dividend Data'!$C$3:$F$6001,4,0)),"",VLOOKUP($I22,'Dividend Data'!$C$3:$F$6001,4,0))</f>
        <v/>
      </c>
      <c r="M22"/>
      <c r="N22"/>
      <c r="O22"/>
      <c r="P22"/>
      <c r="Q22"/>
      <c r="R22"/>
      <c r="S22"/>
      <c r="T22"/>
      <c r="U22"/>
      <c r="Z22"/>
      <c r="AA22"/>
      <c r="AB22"/>
      <c r="AC22"/>
      <c r="AD22"/>
    </row>
    <row r="23" spans="2:30" x14ac:dyDescent="0.2">
      <c r="B23" s="25" t="s">
        <v>14</v>
      </c>
      <c r="C23" s="45">
        <v>0.4</v>
      </c>
      <c r="D23">
        <f t="shared" si="2"/>
        <v>15</v>
      </c>
      <c r="E23" s="75">
        <f>Zero_Curves!C16</f>
        <v>945</v>
      </c>
      <c r="F23" s="26">
        <f t="shared" si="0"/>
        <v>2.5890410958904111</v>
      </c>
      <c r="G23" s="76">
        <f>Zero_Curves!D16+$C$18</f>
        <v>3.1777510000000002E-2</v>
      </c>
      <c r="H23" s="76"/>
      <c r="I23" s="27" t="str">
        <f>$C$8&amp;"15"</f>
        <v>BHP15</v>
      </c>
      <c r="J23" s="120" t="str">
        <f>IF(ISNA(VLOOKUP($I23,'Dividend Data'!$C$3:$F$6001,3,0)),"",(VLOOKUP($I23,'Dividend Data'!$C$3:$F$6001,3,0)))</f>
        <v/>
      </c>
      <c r="K23" s="20" t="str">
        <f t="shared" si="1"/>
        <v/>
      </c>
      <c r="L23" s="119" t="str">
        <f>IF(ISNA(VLOOKUP($I23,'Dividend Data'!$C$3:$F$6001,4,0)),"",VLOOKUP($I23,'Dividend Data'!$C$3:$F$6001,4,0))</f>
        <v/>
      </c>
      <c r="M23"/>
      <c r="N23"/>
      <c r="O23"/>
      <c r="P23"/>
      <c r="Q23"/>
      <c r="R23"/>
      <c r="S23"/>
      <c r="T23"/>
      <c r="U23"/>
      <c r="Z23"/>
      <c r="AA23"/>
      <c r="AB23"/>
      <c r="AC23"/>
      <c r="AD23"/>
    </row>
    <row r="24" spans="2:30" x14ac:dyDescent="0.2">
      <c r="B24" s="25" t="s">
        <v>15</v>
      </c>
      <c r="C24" s="45">
        <v>2.5000000000000001E-2</v>
      </c>
      <c r="D24"/>
      <c r="E24" s="75">
        <f>Zero_Curves!C17</f>
        <v>1036</v>
      </c>
      <c r="F24" s="26">
        <f t="shared" si="0"/>
        <v>2.8383561643835615</v>
      </c>
      <c r="G24" s="76">
        <f>Zero_Curves!D17+$C$18</f>
        <v>3.2842179999999999E-2</v>
      </c>
      <c r="H24" s="76"/>
      <c r="I24" s="27" t="str">
        <f>$C$8&amp;"16"</f>
        <v>BHP16</v>
      </c>
      <c r="J24" s="120" t="str">
        <f>IF(ISNA(VLOOKUP($I24,'Dividend Data'!$C$3:$F$6001,3,0)),"",(VLOOKUP($I24,'Dividend Data'!$C$3:$F$6001,3,0)))</f>
        <v/>
      </c>
      <c r="K24" s="20" t="str">
        <f t="shared" si="1"/>
        <v/>
      </c>
      <c r="L24" s="119" t="str">
        <f>IF(ISNA(VLOOKUP($I24,'Dividend Data'!$C$3:$F$6001,4,0)),"",VLOOKUP($I24,'Dividend Data'!$C$3:$F$6001,4,0))</f>
        <v/>
      </c>
      <c r="M24"/>
      <c r="N24"/>
      <c r="O24"/>
      <c r="P24"/>
      <c r="Q24"/>
      <c r="R24"/>
      <c r="S24"/>
      <c r="T24"/>
      <c r="U24"/>
      <c r="Z24"/>
      <c r="AA24"/>
      <c r="AB24"/>
      <c r="AC24"/>
      <c r="AD24"/>
    </row>
    <row r="25" spans="2:30" x14ac:dyDescent="0.2">
      <c r="B25" s="25" t="s">
        <v>16</v>
      </c>
      <c r="C25" s="45">
        <v>9.9999999999999995E-8</v>
      </c>
      <c r="D25"/>
      <c r="E25" s="75">
        <f>Zero_Curves!C18</f>
        <v>1127</v>
      </c>
      <c r="F25" s="26">
        <f t="shared" si="0"/>
        <v>3.0876712328767124</v>
      </c>
      <c r="G25" s="76">
        <f>Zero_Curves!D18+$C$18</f>
        <v>3.3911499999999997E-2</v>
      </c>
      <c r="H25" s="76"/>
      <c r="I25" s="27" t="str">
        <f>$C$8&amp;"17"</f>
        <v>BHP17</v>
      </c>
      <c r="J25" s="120" t="str">
        <f>IF(ISNA(VLOOKUP($I25,'Dividend Data'!$C$3:$F$6001,3,0)),"",(VLOOKUP($I25,'Dividend Data'!$C$3:$F$6001,3,0)))</f>
        <v/>
      </c>
      <c r="K25" s="20" t="str">
        <f t="shared" si="1"/>
        <v/>
      </c>
      <c r="L25" s="119" t="str">
        <f>IF(ISNA(VLOOKUP($I25,'Dividend Data'!$C$3:$F$6001,4,0)),"",VLOOKUP($I25,'Dividend Data'!$C$3:$F$6001,4,0))</f>
        <v/>
      </c>
      <c r="M25"/>
      <c r="N25"/>
      <c r="O25"/>
      <c r="P25"/>
      <c r="Q25"/>
      <c r="R25"/>
      <c r="S25"/>
      <c r="T25"/>
      <c r="U25"/>
      <c r="Z25"/>
      <c r="AA25"/>
      <c r="AB25"/>
      <c r="AC25"/>
      <c r="AD25"/>
    </row>
    <row r="26" spans="2:30" x14ac:dyDescent="0.2">
      <c r="B26" s="25"/>
      <c r="C26" s="32"/>
      <c r="D26"/>
      <c r="E26" s="75">
        <f>Zero_Curves!C19</f>
        <v>1219</v>
      </c>
      <c r="F26" s="26">
        <f t="shared" si="0"/>
        <v>3.3397260273972602</v>
      </c>
      <c r="G26" s="76">
        <f>Zero_Curves!D19+$C$18</f>
        <v>3.4930370000000002E-2</v>
      </c>
      <c r="H26" s="76"/>
      <c r="I26" s="27" t="str">
        <f>$C$8&amp;"18"</f>
        <v>BHP18</v>
      </c>
      <c r="J26" s="120" t="str">
        <f>IF(ISNA(VLOOKUP($I26,'Dividend Data'!$C$3:$F$6001,3,0)),"",(VLOOKUP($I26,'Dividend Data'!$C$3:$F$6001,3,0)))</f>
        <v/>
      </c>
      <c r="K26" s="20" t="str">
        <f t="shared" si="1"/>
        <v/>
      </c>
      <c r="L26" s="119" t="str">
        <f>IF(ISNA(VLOOKUP($I26,'Dividend Data'!$C$3:$F$6001,4,0)),"",VLOOKUP($I26,'Dividend Data'!$C$3:$F$6001,4,0))</f>
        <v/>
      </c>
      <c r="M26" s="31"/>
      <c r="Z26"/>
      <c r="AA26"/>
      <c r="AB26"/>
      <c r="AC26"/>
      <c r="AD26"/>
    </row>
    <row r="27" spans="2:30" x14ac:dyDescent="0.2">
      <c r="B27" s="33"/>
      <c r="C27" s="34"/>
      <c r="D27" s="34"/>
      <c r="E27" s="75">
        <f>Zero_Curves!C20</f>
        <v>1309</v>
      </c>
      <c r="F27" s="26">
        <f t="shared" si="0"/>
        <v>3.5863013698630137</v>
      </c>
      <c r="G27" s="76">
        <f>Zero_Curves!D20+$C$18</f>
        <v>3.5932440000000003E-2</v>
      </c>
      <c r="H27" s="76"/>
      <c r="I27" s="27" t="str">
        <f>$C$8&amp;"19"</f>
        <v>BHP19</v>
      </c>
      <c r="J27" s="120" t="str">
        <f>IF(ISNA(VLOOKUP($I27,'Dividend Data'!$C$3:$F$6001,3,0)),"",(VLOOKUP($I27,'Dividend Data'!$C$3:$F$6001,3,0)))</f>
        <v/>
      </c>
      <c r="K27" s="20" t="str">
        <f t="shared" si="1"/>
        <v/>
      </c>
      <c r="L27" s="119" t="str">
        <f>IF(ISNA(VLOOKUP($I27,'Dividend Data'!$C$3:$F$6001,4,0)),"",VLOOKUP($I27,'Dividend Data'!$C$3:$F$6001,4,0))</f>
        <v/>
      </c>
      <c r="Z27"/>
      <c r="AA27"/>
      <c r="AB27"/>
      <c r="AC27"/>
      <c r="AD27"/>
    </row>
    <row r="28" spans="2:30" x14ac:dyDescent="0.2">
      <c r="B28" s="35"/>
      <c r="C28" s="36"/>
      <c r="D28" s="36"/>
      <c r="E28" s="75">
        <f>Zero_Curves!C21</f>
        <v>1400</v>
      </c>
      <c r="F28" s="26">
        <f t="shared" si="0"/>
        <v>3.8356164383561642</v>
      </c>
      <c r="G28" s="76">
        <f>Zero_Curves!D21+$C$18</f>
        <v>3.6950839999999999E-2</v>
      </c>
      <c r="H28" s="76"/>
      <c r="I28" s="27" t="str">
        <f>$C$8&amp;"20"</f>
        <v>BHP20</v>
      </c>
      <c r="J28" s="120" t="str">
        <f>IF(ISNA(VLOOKUP($I28,'Dividend Data'!$C$3:$F$6001,3,0)),"",(VLOOKUP($I28,'Dividend Data'!$C$3:$F$6001,3,0)))</f>
        <v/>
      </c>
      <c r="K28" s="20" t="str">
        <f t="shared" si="1"/>
        <v/>
      </c>
      <c r="L28" s="119" t="str">
        <f>IF(ISNA(VLOOKUP($I28,'Dividend Data'!$C$3:$F$6001,4,0)),"",VLOOKUP($I28,'Dividend Data'!$C$3:$F$6001,4,0))</f>
        <v/>
      </c>
      <c r="M28" s="21"/>
      <c r="Z28"/>
      <c r="AA28"/>
      <c r="AB28"/>
      <c r="AC28"/>
      <c r="AD28"/>
    </row>
    <row r="29" spans="2:30" x14ac:dyDescent="0.2">
      <c r="B29" s="37"/>
      <c r="C29" s="32"/>
      <c r="D29" s="32"/>
      <c r="E29" s="75">
        <f>Zero_Curves!C22</f>
        <v>1491</v>
      </c>
      <c r="F29" s="26">
        <f t="shared" si="0"/>
        <v>4.0849315068493155</v>
      </c>
      <c r="G29" s="76">
        <f>Zero_Curves!D22+$C$18</f>
        <v>3.7975019999999998E-2</v>
      </c>
      <c r="H29" s="76"/>
      <c r="I29" s="27"/>
      <c r="J29" t="str">
        <f>IF(ISNA(VLOOKUP($I29,'Dividend Data'!$C$3:$F$6001,3,0)),"",(VLOOKUP($I29,'Dividend Data'!$C$3:$F$6001,3,0)))</f>
        <v/>
      </c>
      <c r="K29" t="str">
        <f t="shared" si="1"/>
        <v/>
      </c>
      <c r="L29" t="str">
        <f>IF(ISNA(VLOOKUP($I29,'Dividend Data'!$C$3:$F$6001,4,0)),"",VLOOKUP($I29,'Dividend Data'!$C$3:$F$6001,4,0))</f>
        <v/>
      </c>
      <c r="Z29"/>
      <c r="AA29"/>
      <c r="AB29"/>
      <c r="AC29"/>
      <c r="AD29"/>
    </row>
    <row r="30" spans="2:30" x14ac:dyDescent="0.2">
      <c r="B30" s="25"/>
      <c r="C30" s="32"/>
      <c r="D30" s="32"/>
      <c r="E30" s="75">
        <f>Zero_Curves!C23</f>
        <v>1583</v>
      </c>
      <c r="F30" s="26">
        <f t="shared" si="0"/>
        <v>4.3369863013698629</v>
      </c>
      <c r="G30" s="76">
        <f>Zero_Curves!D23+$C$18</f>
        <v>3.8493489999999998E-2</v>
      </c>
      <c r="H30" s="76"/>
      <c r="I30" s="27"/>
      <c r="J30"/>
      <c r="K30"/>
      <c r="L30"/>
      <c r="Z30"/>
      <c r="AA30"/>
      <c r="AB30"/>
      <c r="AC30"/>
      <c r="AD30"/>
    </row>
    <row r="31" spans="2:30" x14ac:dyDescent="0.2">
      <c r="B31" s="30"/>
      <c r="C31" s="32"/>
      <c r="D31" s="32"/>
      <c r="E31" s="75">
        <f>Zero_Curves!C24</f>
        <v>1674</v>
      </c>
      <c r="F31" s="26">
        <f t="shared" si="0"/>
        <v>4.5863013698630137</v>
      </c>
      <c r="G31" s="76">
        <f>Zero_Curves!D24+$C$18</f>
        <v>3.900994E-2</v>
      </c>
      <c r="H31" s="76"/>
      <c r="I31" s="27"/>
      <c r="J31"/>
      <c r="K31"/>
      <c r="L31"/>
      <c r="Z31"/>
      <c r="AA31"/>
      <c r="AB31"/>
      <c r="AC31"/>
      <c r="AD31"/>
    </row>
    <row r="32" spans="2:30" x14ac:dyDescent="0.2">
      <c r="B32" s="38"/>
      <c r="C32" s="32"/>
      <c r="D32" s="32"/>
      <c r="E32" s="75">
        <f>Zero_Curves!C25</f>
        <v>1765</v>
      </c>
      <c r="F32" s="26">
        <f t="shared" si="0"/>
        <v>4.8356164383561646</v>
      </c>
      <c r="G32" s="76">
        <f>Zero_Curves!D25+$C$18</f>
        <v>3.9529799999999997E-2</v>
      </c>
      <c r="H32" s="76"/>
      <c r="I32" s="27"/>
      <c r="J32"/>
      <c r="K32"/>
      <c r="L32"/>
      <c r="Z32"/>
      <c r="AA32"/>
      <c r="AB32"/>
      <c r="AC32"/>
      <c r="AD32"/>
    </row>
    <row r="33" spans="1:30" x14ac:dyDescent="0.2">
      <c r="B33" s="25"/>
      <c r="C33" s="32"/>
      <c r="D33" s="32"/>
      <c r="E33" s="75">
        <f>Zero_Curves!C26</f>
        <v>1855</v>
      </c>
      <c r="F33" s="26">
        <f t="shared" si="0"/>
        <v>5.0821917808219181</v>
      </c>
      <c r="G33" s="76">
        <f>Zero_Curves!D26+$C$18</f>
        <v>4.0047430000000002E-2</v>
      </c>
      <c r="H33" s="76"/>
      <c r="I33" s="27"/>
      <c r="J33"/>
      <c r="K33"/>
      <c r="L33"/>
      <c r="Z33"/>
      <c r="AA33"/>
      <c r="AB33"/>
      <c r="AC33"/>
      <c r="AD33"/>
    </row>
    <row r="34" spans="1:30" x14ac:dyDescent="0.2">
      <c r="B34" s="25"/>
      <c r="C34" s="32"/>
      <c r="D34" s="32"/>
      <c r="E34" s="75">
        <f>Zero_Curves!C27</f>
        <v>1947</v>
      </c>
      <c r="F34" s="26">
        <f t="shared" si="0"/>
        <v>5.3342465753424655</v>
      </c>
      <c r="G34" s="76">
        <f>Zero_Curves!D27+$C$18</f>
        <v>4.0554899999999998E-2</v>
      </c>
      <c r="H34" s="76"/>
      <c r="I34" s="27"/>
      <c r="J34"/>
      <c r="K34"/>
      <c r="L34"/>
      <c r="M34" s="28"/>
      <c r="Z34"/>
      <c r="AA34"/>
      <c r="AB34"/>
      <c r="AC34"/>
      <c r="AD34"/>
    </row>
    <row r="35" spans="1:30" x14ac:dyDescent="0.2">
      <c r="B35" s="25"/>
      <c r="C35" s="32"/>
      <c r="D35" s="32"/>
      <c r="E35" s="75">
        <f>Zero_Curves!C28</f>
        <v>2039</v>
      </c>
      <c r="F35" s="26">
        <f t="shared" si="0"/>
        <v>5.5863013698630137</v>
      </c>
      <c r="G35" s="76">
        <f>Zero_Curves!D28+$C$18</f>
        <v>4.1065780000000003E-2</v>
      </c>
      <c r="H35" s="76"/>
      <c r="I35" s="27"/>
      <c r="J35"/>
      <c r="K35"/>
      <c r="L35"/>
      <c r="M35" s="28"/>
      <c r="Z35"/>
      <c r="AA35"/>
      <c r="AB35"/>
      <c r="AC35"/>
      <c r="AD35"/>
    </row>
    <row r="36" spans="1:30" x14ac:dyDescent="0.2">
      <c r="C36" s="32"/>
      <c r="D36" s="32"/>
      <c r="E36" s="75">
        <f>Zero_Curves!C29</f>
        <v>2130</v>
      </c>
      <c r="F36" s="26">
        <f t="shared" si="0"/>
        <v>5.8356164383561646</v>
      </c>
      <c r="G36" s="76">
        <f>Zero_Curves!D29+$C$18</f>
        <v>4.1574630000000001E-2</v>
      </c>
      <c r="H36" s="76"/>
      <c r="Z36"/>
      <c r="AA36"/>
      <c r="AB36"/>
      <c r="AC36"/>
      <c r="AD36"/>
    </row>
    <row r="37" spans="1:30" x14ac:dyDescent="0.2">
      <c r="E37" s="75">
        <f>Zero_Curves!C30</f>
        <v>2220</v>
      </c>
      <c r="F37" s="26">
        <f t="shared" si="0"/>
        <v>6.0821917808219181</v>
      </c>
      <c r="G37" s="76">
        <f>Zero_Curves!D30+$C$18</f>
        <v>4.208137E-2</v>
      </c>
      <c r="H37" s="76"/>
      <c r="Z37"/>
      <c r="AA37"/>
      <c r="AB37"/>
      <c r="AC37"/>
      <c r="AD37"/>
    </row>
    <row r="38" spans="1:30" x14ac:dyDescent="0.2">
      <c r="E38" s="75">
        <f>Zero_Curves!C31</f>
        <v>2312</v>
      </c>
      <c r="F38" s="26">
        <f t="shared" si="0"/>
        <v>6.3342465753424655</v>
      </c>
      <c r="G38" s="76">
        <f>Zero_Curves!D31+$C$18</f>
        <v>4.2602639999999997E-2</v>
      </c>
      <c r="H38" s="76"/>
      <c r="Z38"/>
      <c r="AA38"/>
      <c r="AB38"/>
      <c r="AC38"/>
      <c r="AD38"/>
    </row>
    <row r="39" spans="1:30" x14ac:dyDescent="0.2">
      <c r="E39" s="75">
        <f>Zero_Curves!C32</f>
        <v>2404</v>
      </c>
      <c r="F39" s="26">
        <f t="shared" si="0"/>
        <v>6.5863013698630137</v>
      </c>
      <c r="G39" s="76">
        <f>Zero_Curves!D32+$C$18</f>
        <v>4.3127550000000001E-2</v>
      </c>
      <c r="H39" s="76"/>
      <c r="Z39"/>
      <c r="AA39"/>
      <c r="AB39"/>
      <c r="AC39"/>
      <c r="AD39"/>
    </row>
    <row r="40" spans="1:30" x14ac:dyDescent="0.2">
      <c r="A40" s="51"/>
      <c r="E40" s="75">
        <f>Zero_Curves!C33</f>
        <v>2495</v>
      </c>
      <c r="F40" s="26">
        <f t="shared" si="0"/>
        <v>6.8356164383561646</v>
      </c>
      <c r="G40" s="76">
        <f>Zero_Curves!D33+$C$18</f>
        <v>4.3650559999999998E-2</v>
      </c>
      <c r="H40" s="76"/>
      <c r="Z40"/>
      <c r="AA40"/>
      <c r="AB40"/>
      <c r="AC40"/>
      <c r="AD40"/>
    </row>
    <row r="41" spans="1:30" x14ac:dyDescent="0.2">
      <c r="E41" s="75">
        <f>Zero_Curves!C34</f>
        <v>2586</v>
      </c>
      <c r="F41" s="26">
        <f t="shared" si="0"/>
        <v>7.0849315068493155</v>
      </c>
      <c r="G41" s="76">
        <f>Zero_Curves!D34+$C$18</f>
        <v>4.4177309999999997E-2</v>
      </c>
      <c r="H41" s="76"/>
      <c r="Z41"/>
      <c r="AA41"/>
      <c r="AB41"/>
      <c r="AC41"/>
      <c r="AD41"/>
    </row>
    <row r="42" spans="1:30" x14ac:dyDescent="0.2">
      <c r="E42" s="75">
        <f>Zero_Curves!C35</f>
        <v>2678</v>
      </c>
      <c r="F42" s="26">
        <f t="shared" si="0"/>
        <v>7.3369863013698629</v>
      </c>
      <c r="G42" s="76">
        <f>Zero_Curves!D35+$C$18</f>
        <v>4.4448809999999998E-2</v>
      </c>
      <c r="H42" s="76"/>
      <c r="Z42"/>
      <c r="AA42"/>
      <c r="AB42"/>
      <c r="AC42"/>
      <c r="AD42"/>
    </row>
    <row r="43" spans="1:30" x14ac:dyDescent="0.2">
      <c r="E43" s="75">
        <f>Zero_Curves!C36</f>
        <v>2772</v>
      </c>
      <c r="F43" s="26">
        <f t="shared" si="0"/>
        <v>7.5945205479452058</v>
      </c>
      <c r="G43" s="76">
        <f>Zero_Curves!D36+$C$18</f>
        <v>4.4728610000000002E-2</v>
      </c>
      <c r="H43" s="76"/>
      <c r="Z43"/>
      <c r="AA43"/>
      <c r="AB43"/>
      <c r="AC43"/>
      <c r="AD43"/>
    </row>
    <row r="44" spans="1:30" x14ac:dyDescent="0.2">
      <c r="A44" s="51"/>
      <c r="E44" s="75">
        <f>Zero_Curves!C37</f>
        <v>2863</v>
      </c>
      <c r="F44" s="26">
        <f t="shared" si="0"/>
        <v>7.8438356164383558</v>
      </c>
      <c r="G44" s="76">
        <f>Zero_Curves!D37+$C$18</f>
        <v>4.500229E-2</v>
      </c>
      <c r="H44" s="76"/>
      <c r="Z44"/>
      <c r="AA44"/>
      <c r="AB44"/>
      <c r="AC44"/>
      <c r="AD44"/>
    </row>
    <row r="45" spans="1:30" x14ac:dyDescent="0.2">
      <c r="A45" s="51"/>
      <c r="E45" s="75">
        <f>Zero_Curves!C38</f>
        <v>2951</v>
      </c>
      <c r="F45" s="26">
        <f t="shared" si="0"/>
        <v>8.0849315068493155</v>
      </c>
      <c r="G45" s="76">
        <f>Zero_Curves!D38+$C$18</f>
        <v>4.5269530000000002E-2</v>
      </c>
      <c r="H45" s="76"/>
      <c r="Z45"/>
      <c r="AA45"/>
      <c r="AB45"/>
      <c r="AC45"/>
      <c r="AD45"/>
    </row>
    <row r="46" spans="1:30" x14ac:dyDescent="0.2">
      <c r="A46" s="51"/>
      <c r="E46" s="75">
        <f>Zero_Curves!C39</f>
        <v>3046</v>
      </c>
      <c r="F46" s="26">
        <f t="shared" si="0"/>
        <v>8.3452054794520549</v>
      </c>
      <c r="G46" s="76">
        <f>Zero_Curves!D39+$C$18</f>
        <v>4.5559790000000003E-2</v>
      </c>
      <c r="H46" s="76"/>
      <c r="Z46"/>
      <c r="AA46"/>
      <c r="AB46"/>
      <c r="AC46"/>
      <c r="AD46"/>
    </row>
    <row r="47" spans="1:30" x14ac:dyDescent="0.2">
      <c r="A47" s="51"/>
      <c r="E47" s="75">
        <f>Zero_Curves!C40</f>
        <v>3136</v>
      </c>
      <c r="F47" s="26">
        <f t="shared" si="0"/>
        <v>8.5917808219178085</v>
      </c>
      <c r="G47" s="76">
        <f>Zero_Curves!D40+$C$18</f>
        <v>4.5837660000000002E-2</v>
      </c>
      <c r="H47" s="76"/>
    </row>
    <row r="48" spans="1:30" x14ac:dyDescent="0.2">
      <c r="A48" s="51"/>
      <c r="E48" s="75">
        <f>Zero_Curves!C41</f>
        <v>3227</v>
      </c>
      <c r="F48" s="26">
        <f t="shared" si="0"/>
        <v>8.8410958904109584</v>
      </c>
      <c r="G48" s="76">
        <f>Zero_Curves!D41+$C$18</f>
        <v>4.6120880000000003E-2</v>
      </c>
      <c r="H48" s="76"/>
    </row>
    <row r="49" spans="2:11" x14ac:dyDescent="0.2">
      <c r="B49"/>
      <c r="E49" s="75">
        <f>Zero_Curves!C42</f>
        <v>3318</v>
      </c>
      <c r="F49" s="26">
        <f t="shared" si="0"/>
        <v>9.0904109589041102</v>
      </c>
      <c r="G49" s="76">
        <f>Zero_Curves!D42+$C$18</f>
        <v>4.640648E-2</v>
      </c>
      <c r="H49" s="76"/>
      <c r="K49" s="39"/>
    </row>
    <row r="50" spans="2:11" x14ac:dyDescent="0.2">
      <c r="E50" s="75">
        <f>Zero_Curves!C43</f>
        <v>3410</v>
      </c>
      <c r="F50" s="26">
        <f t="shared" si="0"/>
        <v>9.3424657534246567</v>
      </c>
      <c r="G50" s="76">
        <f>Zero_Curves!D43+$C$18</f>
        <v>4.6697540000000003E-2</v>
      </c>
      <c r="H50" s="76"/>
      <c r="K50" s="39"/>
    </row>
    <row r="51" spans="2:11" x14ac:dyDescent="0.2">
      <c r="E51" s="75">
        <f>Zero_Curves!C44</f>
        <v>3500</v>
      </c>
      <c r="F51" s="26">
        <f t="shared" si="0"/>
        <v>9.5890410958904102</v>
      </c>
      <c r="G51" s="76">
        <f>Zero_Curves!D44+$C$18</f>
        <v>4.698484E-2</v>
      </c>
      <c r="H51" s="76"/>
      <c r="K51" s="39"/>
    </row>
    <row r="52" spans="2:11" x14ac:dyDescent="0.2">
      <c r="E52" s="75">
        <f>Zero_Curves!C45</f>
        <v>3591</v>
      </c>
      <c r="F52" s="26">
        <f t="shared" si="0"/>
        <v>9.838356164383562</v>
      </c>
      <c r="G52" s="76">
        <f>Zero_Curves!D45+$C$18</f>
        <v>4.7277649999999997E-2</v>
      </c>
      <c r="H52" s="76"/>
      <c r="K52" s="39"/>
    </row>
    <row r="53" spans="2:11" x14ac:dyDescent="0.2">
      <c r="B53"/>
      <c r="E53" s="75">
        <f>Zero_Curves!C46</f>
        <v>3682</v>
      </c>
      <c r="F53" s="26">
        <f t="shared" si="0"/>
        <v>10.087671232876712</v>
      </c>
      <c r="G53" s="76">
        <f>Zero_Curves!D46+$C$18</f>
        <v>4.7572910000000003E-2</v>
      </c>
      <c r="H53" s="76"/>
      <c r="K53" s="39"/>
    </row>
    <row r="54" spans="2:11" x14ac:dyDescent="0.2">
      <c r="B54" s="40"/>
      <c r="E54" s="75">
        <f>Zero_Curves!C47</f>
        <v>3774</v>
      </c>
      <c r="F54" s="26">
        <f t="shared" si="0"/>
        <v>10.33972602739726</v>
      </c>
      <c r="G54" s="76">
        <f>Zero_Curves!D47+$C$18</f>
        <v>4.7563429999999997E-2</v>
      </c>
      <c r="H54" s="76"/>
      <c r="K54" s="39"/>
    </row>
    <row r="55" spans="2:11" x14ac:dyDescent="0.2">
      <c r="B55"/>
      <c r="C55"/>
      <c r="D55"/>
      <c r="E55" s="75">
        <f>Zero_Curves!C48</f>
        <v>3865</v>
      </c>
      <c r="F55" s="26">
        <f t="shared" si="0"/>
        <v>10.58904109589041</v>
      </c>
      <c r="G55" s="77">
        <f>Zero_Curves!D48+$C$18</f>
        <v>4.7555569999999998E-2</v>
      </c>
      <c r="H55" s="77"/>
      <c r="I55"/>
      <c r="J55"/>
      <c r="K55"/>
    </row>
    <row r="56" spans="2:11" x14ac:dyDescent="0.2">
      <c r="B56"/>
      <c r="C56"/>
      <c r="D56"/>
      <c r="E56" s="75">
        <f>Zero_Curves!C49</f>
        <v>3956</v>
      </c>
      <c r="F56" s="26">
        <f t="shared" si="0"/>
        <v>10.838356164383562</v>
      </c>
      <c r="G56" s="77">
        <f>Zero_Curves!D49+$C$18</f>
        <v>4.7549069999999999E-2</v>
      </c>
      <c r="H56" s="77"/>
      <c r="I56"/>
      <c r="J56"/>
      <c r="K56"/>
    </row>
    <row r="57" spans="2:11" x14ac:dyDescent="0.2">
      <c r="B57"/>
      <c r="C57"/>
      <c r="D57"/>
      <c r="E57" s="75">
        <f>Zero_Curves!C50</f>
        <v>4047</v>
      </c>
      <c r="F57" s="26">
        <f t="shared" si="0"/>
        <v>11.087671232876712</v>
      </c>
      <c r="G57" s="77">
        <f>Zero_Curves!D50+$C$18</f>
        <v>4.7543839999999997E-2</v>
      </c>
      <c r="H57" s="77"/>
      <c r="I57"/>
      <c r="J57"/>
      <c r="K57"/>
    </row>
    <row r="58" spans="2:11" x14ac:dyDescent="0.2">
      <c r="B58"/>
      <c r="C58"/>
      <c r="D58"/>
      <c r="E58" s="75">
        <f>Zero_Curves!C51</f>
        <v>4139</v>
      </c>
      <c r="F58" s="26">
        <f t="shared" si="0"/>
        <v>11.33972602739726</v>
      </c>
      <c r="G58" s="77">
        <f>Zero_Curves!D51+$C$18</f>
        <v>4.7539699999999997E-2</v>
      </c>
      <c r="H58" s="77"/>
      <c r="I58"/>
      <c r="J58"/>
      <c r="K58"/>
    </row>
    <row r="59" spans="2:11" x14ac:dyDescent="0.2">
      <c r="B59"/>
      <c r="C59"/>
      <c r="D59"/>
      <c r="E59" s="75">
        <f>Zero_Curves!C52</f>
        <v>4231</v>
      </c>
      <c r="F59" s="26">
        <f t="shared" si="0"/>
        <v>11.591780821917808</v>
      </c>
      <c r="G59" s="77">
        <f>Zero_Curves!D52+$C$18</f>
        <v>4.7536710000000003E-2</v>
      </c>
      <c r="H59" s="77"/>
      <c r="I59"/>
      <c r="J59"/>
      <c r="K59"/>
    </row>
    <row r="60" spans="2:11" x14ac:dyDescent="0.2">
      <c r="B60"/>
      <c r="C60"/>
      <c r="D60"/>
      <c r="E60" s="75">
        <f>Zero_Curves!C53</f>
        <v>4322</v>
      </c>
      <c r="F60" s="26">
        <f t="shared" si="0"/>
        <v>11.841095890410958</v>
      </c>
      <c r="G60" s="77">
        <f>Zero_Curves!D53+$C$18</f>
        <v>4.753487E-2</v>
      </c>
      <c r="H60" s="77"/>
      <c r="I60"/>
      <c r="J60"/>
      <c r="K60"/>
    </row>
    <row r="61" spans="2:11" x14ac:dyDescent="0.2">
      <c r="E61" s="75">
        <f>Zero_Curves!C54</f>
        <v>4412</v>
      </c>
      <c r="F61" s="26">
        <f t="shared" si="0"/>
        <v>12.087671232876712</v>
      </c>
      <c r="G61" s="76">
        <f>Zero_Curves!D54+$C$18</f>
        <v>4.7534109999999997E-2</v>
      </c>
      <c r="H61" s="76"/>
      <c r="K61" s="39"/>
    </row>
    <row r="62" spans="2:11" x14ac:dyDescent="0.2">
      <c r="E62" s="75">
        <f>Zero_Curves!C55</f>
        <v>4504</v>
      </c>
      <c r="F62" s="26">
        <f t="shared" si="0"/>
        <v>12.33972602739726</v>
      </c>
      <c r="G62" s="76">
        <f>Zero_Curves!D55+$C$18</f>
        <v>4.7534149999999997E-2</v>
      </c>
      <c r="H62" s="76"/>
      <c r="K62" s="39"/>
    </row>
    <row r="63" spans="2:11" x14ac:dyDescent="0.2">
      <c r="E63" s="75">
        <f>Zero_Curves!C56</f>
        <v>4596</v>
      </c>
      <c r="F63" s="26">
        <f t="shared" si="0"/>
        <v>12.591780821917808</v>
      </c>
      <c r="G63" s="76">
        <f>Zero_Curves!D56+$C$18</f>
        <v>4.7535109999999998E-2</v>
      </c>
      <c r="H63" s="76"/>
    </row>
    <row r="64" spans="2:11" x14ac:dyDescent="0.2">
      <c r="E64" s="75">
        <f>Zero_Curves!C57</f>
        <v>4687</v>
      </c>
      <c r="F64" s="26">
        <f t="shared" si="0"/>
        <v>12.841095890410958</v>
      </c>
      <c r="G64" s="76">
        <f>Zero_Curves!D57+$C$18</f>
        <v>4.7536969999999998E-2</v>
      </c>
      <c r="H64" s="76"/>
    </row>
    <row r="65" spans="5:8" x14ac:dyDescent="0.2">
      <c r="E65" s="75">
        <f>Zero_Curves!C58</f>
        <v>4777</v>
      </c>
      <c r="F65" s="26">
        <f t="shared" si="0"/>
        <v>13.087671232876712</v>
      </c>
      <c r="G65" s="76">
        <f>Zero_Curves!D58+$C$18</f>
        <v>4.7539659999999997E-2</v>
      </c>
      <c r="H65" s="76"/>
    </row>
    <row r="66" spans="5:8" x14ac:dyDescent="0.2">
      <c r="E66" s="75">
        <f>Zero_Curves!C59</f>
        <v>4869</v>
      </c>
      <c r="F66" s="26">
        <f t="shared" si="0"/>
        <v>13.33972602739726</v>
      </c>
      <c r="G66" s="76">
        <f>Zero_Curves!D59+$C$18</f>
        <v>4.7543080000000001E-2</v>
      </c>
      <c r="H66" s="76"/>
    </row>
    <row r="67" spans="5:8" x14ac:dyDescent="0.2">
      <c r="E67" s="75">
        <f>Zero_Curves!C60</f>
        <v>4963</v>
      </c>
      <c r="F67" s="26">
        <f t="shared" si="0"/>
        <v>13.597260273972603</v>
      </c>
      <c r="G67" s="76">
        <f>Zero_Curves!D60+$C$18</f>
        <v>4.7547230000000003E-2</v>
      </c>
      <c r="H67" s="76"/>
    </row>
    <row r="68" spans="5:8" x14ac:dyDescent="0.2">
      <c r="E68" s="75">
        <f>Zero_Curves!C61</f>
        <v>5054</v>
      </c>
      <c r="F68" s="26">
        <f t="shared" si="0"/>
        <v>13.846575342465753</v>
      </c>
      <c r="G68" s="76">
        <f>Zero_Curves!D61+$C$18</f>
        <v>4.7552120000000003E-2</v>
      </c>
      <c r="H68" s="76"/>
    </row>
    <row r="69" spans="5:8" x14ac:dyDescent="0.2">
      <c r="E69" s="75">
        <f>Zero_Curves!C62</f>
        <v>5142</v>
      </c>
      <c r="F69" s="26">
        <f t="shared" si="0"/>
        <v>14.087671232876712</v>
      </c>
      <c r="G69" s="76">
        <f>Zero_Curves!D62+$C$18</f>
        <v>4.755765E-2</v>
      </c>
      <c r="H69" s="76"/>
    </row>
    <row r="70" spans="5:8" x14ac:dyDescent="0.2">
      <c r="E70" s="75">
        <f>Zero_Curves!C63</f>
        <v>5237</v>
      </c>
      <c r="F70" s="26">
        <f t="shared" si="0"/>
        <v>14.347945205479451</v>
      </c>
      <c r="G70" s="76">
        <f>Zero_Curves!D63+$C$18</f>
        <v>4.7563899999999999E-2</v>
      </c>
      <c r="H70" s="76"/>
    </row>
    <row r="71" spans="5:8" x14ac:dyDescent="0.2">
      <c r="E71" s="75">
        <f>Zero_Curves!C64</f>
        <v>5327</v>
      </c>
      <c r="F71" s="26">
        <f t="shared" si="0"/>
        <v>14.594520547945205</v>
      </c>
      <c r="G71" s="76">
        <f>Zero_Curves!D64+$C$18</f>
        <v>4.75707E-2</v>
      </c>
      <c r="H71" s="76"/>
    </row>
    <row r="72" spans="5:8" x14ac:dyDescent="0.2">
      <c r="E72" s="75">
        <f>Zero_Curves!C65</f>
        <v>5418</v>
      </c>
      <c r="F72" s="26">
        <f t="shared" si="0"/>
        <v>14.843835616438357</v>
      </c>
      <c r="G72" s="76">
        <f>Zero_Curves!D65+$C$18</f>
        <v>4.757811E-2</v>
      </c>
      <c r="H72" s="76"/>
    </row>
    <row r="73" spans="5:8" x14ac:dyDescent="0.2">
      <c r="E73" s="75">
        <f>Zero_Curves!C66</f>
        <v>5509</v>
      </c>
      <c r="F73" s="26">
        <f t="shared" ref="F73:F133" si="3">E73/365</f>
        <v>15.093150684931507</v>
      </c>
      <c r="G73" s="76">
        <f>Zero_Curves!D66+$C$18</f>
        <v>4.7586080000000003E-2</v>
      </c>
      <c r="H73" s="76"/>
    </row>
    <row r="74" spans="5:8" x14ac:dyDescent="0.2">
      <c r="E74" s="75">
        <f>Zero_Curves!C67</f>
        <v>5601</v>
      </c>
      <c r="F74" s="26">
        <f t="shared" si="3"/>
        <v>15.345205479452055</v>
      </c>
      <c r="G74" s="76">
        <f>Zero_Curves!D67+$C$18</f>
        <v>4.7432050000000003E-2</v>
      </c>
      <c r="H74" s="76"/>
    </row>
    <row r="75" spans="5:8" x14ac:dyDescent="0.2">
      <c r="E75" s="75">
        <f>Zero_Curves!C68</f>
        <v>5692</v>
      </c>
      <c r="F75" s="26">
        <f t="shared" si="3"/>
        <v>15.594520547945205</v>
      </c>
      <c r="G75" s="76">
        <f>Zero_Curves!D68+$C$18</f>
        <v>4.7280379999999997E-2</v>
      </c>
      <c r="H75" s="76"/>
    </row>
    <row r="76" spans="5:8" x14ac:dyDescent="0.2">
      <c r="E76" s="75">
        <f>Zero_Curves!C69</f>
        <v>5783</v>
      </c>
      <c r="F76" s="26">
        <f t="shared" si="3"/>
        <v>15.843835616438357</v>
      </c>
      <c r="G76" s="76">
        <f>Zero_Curves!D69+$C$18</f>
        <v>4.7129310000000001E-2</v>
      </c>
      <c r="H76" s="76"/>
    </row>
    <row r="77" spans="5:8" x14ac:dyDescent="0.2">
      <c r="E77" s="75">
        <f>Zero_Curves!C70</f>
        <v>5873</v>
      </c>
      <c r="F77" s="26">
        <f t="shared" si="3"/>
        <v>16.090410958904108</v>
      </c>
      <c r="G77" s="76">
        <f>Zero_Curves!D70+$C$18</f>
        <v>4.698049E-2</v>
      </c>
      <c r="H77" s="76"/>
    </row>
    <row r="78" spans="5:8" x14ac:dyDescent="0.2">
      <c r="E78" s="75">
        <f>Zero_Curves!C71</f>
        <v>5965</v>
      </c>
      <c r="F78" s="26">
        <f t="shared" si="3"/>
        <v>16.342465753424658</v>
      </c>
      <c r="G78" s="76">
        <f>Zero_Curves!D71+$C$18</f>
        <v>4.6828799999999997E-2</v>
      </c>
      <c r="H78" s="76"/>
    </row>
    <row r="79" spans="5:8" x14ac:dyDescent="0.2">
      <c r="E79" s="75">
        <f>Zero_Curves!C72</f>
        <v>6057</v>
      </c>
      <c r="F79" s="26">
        <f t="shared" si="3"/>
        <v>16.594520547945205</v>
      </c>
      <c r="G79" s="76">
        <f>Zero_Curves!D72+$C$18</f>
        <v>4.6677610000000001E-2</v>
      </c>
      <c r="H79" s="76"/>
    </row>
    <row r="80" spans="5:8" x14ac:dyDescent="0.2">
      <c r="E80" s="75">
        <f>Zero_Curves!C73</f>
        <v>6148</v>
      </c>
      <c r="F80" s="26">
        <f t="shared" si="3"/>
        <v>16.843835616438355</v>
      </c>
      <c r="G80" s="76">
        <f>Zero_Curves!D73+$C$18</f>
        <v>4.6528529999999999E-2</v>
      </c>
      <c r="H80" s="76"/>
    </row>
    <row r="81" spans="5:8" x14ac:dyDescent="0.2">
      <c r="E81" s="75">
        <f>Zero_Curves!C74</f>
        <v>6238</v>
      </c>
      <c r="F81" s="26">
        <f t="shared" si="3"/>
        <v>17.090410958904108</v>
      </c>
      <c r="G81" s="76">
        <f>Zero_Curves!D74+$C$18</f>
        <v>4.6381520000000002E-2</v>
      </c>
      <c r="H81" s="76"/>
    </row>
    <row r="82" spans="5:8" x14ac:dyDescent="0.2">
      <c r="E82" s="75">
        <f>Zero_Curves!C75</f>
        <v>6330</v>
      </c>
      <c r="F82" s="26">
        <f t="shared" si="3"/>
        <v>17.342465753424658</v>
      </c>
      <c r="G82" s="76">
        <f>Zero_Curves!D75+$C$18</f>
        <v>4.6231559999999998E-2</v>
      </c>
      <c r="H82" s="76"/>
    </row>
    <row r="83" spans="5:8" x14ac:dyDescent="0.2">
      <c r="E83" s="75">
        <f>Zero_Curves!C76</f>
        <v>6422</v>
      </c>
      <c r="F83" s="26">
        <f t="shared" si="3"/>
        <v>17.594520547945205</v>
      </c>
      <c r="G83" s="76">
        <f>Zero_Curves!D76+$C$18</f>
        <v>4.6081940000000002E-2</v>
      </c>
      <c r="H83" s="76"/>
    </row>
    <row r="84" spans="5:8" x14ac:dyDescent="0.2">
      <c r="E84" s="75">
        <f>Zero_Curves!C77</f>
        <v>6513</v>
      </c>
      <c r="F84" s="26">
        <f t="shared" si="3"/>
        <v>17.843835616438355</v>
      </c>
      <c r="G84" s="76">
        <f>Zero_Curves!D77+$C$18</f>
        <v>4.5934309999999999E-2</v>
      </c>
      <c r="H84" s="76"/>
    </row>
    <row r="85" spans="5:8" x14ac:dyDescent="0.2">
      <c r="E85" s="75">
        <f>Zero_Curves!C78</f>
        <v>6603</v>
      </c>
      <c r="F85" s="26">
        <f t="shared" si="3"/>
        <v>18.090410958904108</v>
      </c>
      <c r="G85" s="76">
        <f>Zero_Curves!D78+$C$18</f>
        <v>4.578861E-2</v>
      </c>
      <c r="H85" s="76"/>
    </row>
    <row r="86" spans="5:8" x14ac:dyDescent="0.2">
      <c r="E86" s="75">
        <f>Zero_Curves!C79</f>
        <v>6695</v>
      </c>
      <c r="F86" s="26">
        <f t="shared" si="3"/>
        <v>18.342465753424658</v>
      </c>
      <c r="G86" s="76">
        <f>Zero_Curves!D79+$C$18</f>
        <v>4.5639880000000001E-2</v>
      </c>
      <c r="H86" s="76"/>
    </row>
    <row r="87" spans="5:8" x14ac:dyDescent="0.2">
      <c r="E87" s="75">
        <f>Zero_Curves!C80</f>
        <v>6787</v>
      </c>
      <c r="F87" s="26">
        <f t="shared" si="3"/>
        <v>18.594520547945205</v>
      </c>
      <c r="G87" s="76">
        <f>Zero_Curves!D80+$C$18</f>
        <v>4.549139E-2</v>
      </c>
      <c r="H87" s="76"/>
    </row>
    <row r="88" spans="5:8" x14ac:dyDescent="0.2">
      <c r="E88" s="75">
        <f>Zero_Curves!C81</f>
        <v>6878</v>
      </c>
      <c r="F88" s="26">
        <f t="shared" si="3"/>
        <v>18.843835616438355</v>
      </c>
      <c r="G88" s="76">
        <f>Zero_Curves!D81+$C$18</f>
        <v>4.5344780000000001E-2</v>
      </c>
      <c r="H88" s="76"/>
    </row>
    <row r="89" spans="5:8" x14ac:dyDescent="0.2">
      <c r="E89" s="75">
        <f>Zero_Curves!C82</f>
        <v>6969</v>
      </c>
      <c r="F89" s="26">
        <f t="shared" si="3"/>
        <v>19.093150684931508</v>
      </c>
      <c r="G89" s="76">
        <f>Zero_Curves!D82+$C$18</f>
        <v>4.519836E-2</v>
      </c>
      <c r="H89" s="76"/>
    </row>
    <row r="90" spans="5:8" x14ac:dyDescent="0.2">
      <c r="E90" s="75">
        <f>Zero_Curves!C83</f>
        <v>7064</v>
      </c>
      <c r="F90" s="26">
        <f t="shared" si="3"/>
        <v>19.353424657534248</v>
      </c>
      <c r="G90" s="76">
        <f>Zero_Curves!D83+$C$18</f>
        <v>4.5045590000000003E-2</v>
      </c>
      <c r="H90" s="76"/>
    </row>
    <row r="91" spans="5:8" x14ac:dyDescent="0.2">
      <c r="E91" s="75">
        <f>Zero_Curves!C84</f>
        <v>7154</v>
      </c>
      <c r="F91" s="26">
        <f t="shared" si="3"/>
        <v>19.600000000000001</v>
      </c>
      <c r="G91" s="76">
        <f>Zero_Curves!D84+$C$18</f>
        <v>4.4901160000000002E-2</v>
      </c>
      <c r="H91" s="76"/>
    </row>
    <row r="92" spans="5:8" x14ac:dyDescent="0.2">
      <c r="E92" s="75">
        <f>Zero_Curves!C85</f>
        <v>7245</v>
      </c>
      <c r="F92" s="26">
        <f t="shared" si="3"/>
        <v>19.849315068493151</v>
      </c>
      <c r="G92" s="76">
        <f>Zero_Curves!D85+$C$18</f>
        <v>4.4755240000000002E-2</v>
      </c>
      <c r="H92" s="76"/>
    </row>
    <row r="93" spans="5:8" x14ac:dyDescent="0.2">
      <c r="E93" s="75">
        <f>Zero_Curves!C86</f>
        <v>7336</v>
      </c>
      <c r="F93" s="26">
        <f t="shared" si="3"/>
        <v>20.098630136986301</v>
      </c>
      <c r="G93" s="76">
        <f>Zero_Curves!D86+$C$18</f>
        <v>4.4609459999999997E-2</v>
      </c>
      <c r="H93" s="76"/>
    </row>
    <row r="94" spans="5:8" x14ac:dyDescent="0.2">
      <c r="E94" s="75">
        <f>Zero_Curves!C87</f>
        <v>7428</v>
      </c>
      <c r="F94" s="26">
        <f t="shared" si="3"/>
        <v>20.350684931506848</v>
      </c>
      <c r="G94" s="76">
        <f>Zero_Curves!D87+$C$18</f>
        <v>4.4430190000000001E-2</v>
      </c>
      <c r="H94" s="76"/>
    </row>
    <row r="95" spans="5:8" x14ac:dyDescent="0.2">
      <c r="E95" s="75">
        <f>Zero_Curves!C88</f>
        <v>7518</v>
      </c>
      <c r="F95" s="26">
        <f t="shared" si="3"/>
        <v>20.597260273972601</v>
      </c>
      <c r="G95" s="76">
        <f>Zero_Curves!D88+$C$18</f>
        <v>4.425511E-2</v>
      </c>
      <c r="H95" s="76"/>
    </row>
    <row r="96" spans="5:8" x14ac:dyDescent="0.2">
      <c r="E96" s="75">
        <f>Zero_Curves!C89</f>
        <v>7609</v>
      </c>
      <c r="F96" s="26">
        <f t="shared" si="3"/>
        <v>20.846575342465755</v>
      </c>
      <c r="G96" s="76">
        <f>Zero_Curves!D89+$C$18</f>
        <v>4.4078300000000001E-2</v>
      </c>
      <c r="H96" s="76"/>
    </row>
    <row r="97" spans="5:8" x14ac:dyDescent="0.2">
      <c r="E97" s="75">
        <f>Zero_Curves!C90</f>
        <v>7700</v>
      </c>
      <c r="F97" s="26">
        <f t="shared" si="3"/>
        <v>21.095890410958905</v>
      </c>
      <c r="G97" s="76">
        <f>Zero_Curves!D90+$C$18</f>
        <v>4.3901719999999998E-2</v>
      </c>
      <c r="H97" s="76"/>
    </row>
    <row r="98" spans="5:8" x14ac:dyDescent="0.2">
      <c r="E98" s="75">
        <f>Zero_Curves!C91</f>
        <v>7792</v>
      </c>
      <c r="F98" s="26">
        <f t="shared" si="3"/>
        <v>21.347945205479451</v>
      </c>
      <c r="G98" s="76">
        <f>Zero_Curves!D91+$C$18</f>
        <v>4.3723400000000003E-2</v>
      </c>
      <c r="H98" s="76"/>
    </row>
    <row r="99" spans="5:8" x14ac:dyDescent="0.2">
      <c r="E99" s="75">
        <f>Zero_Curves!C92</f>
        <v>7883</v>
      </c>
      <c r="F99" s="26">
        <f t="shared" si="3"/>
        <v>21.597260273972601</v>
      </c>
      <c r="G99" s="76">
        <f>Zero_Curves!D92+$C$18</f>
        <v>4.3547229999999999E-2</v>
      </c>
      <c r="H99" s="76"/>
    </row>
    <row r="100" spans="5:8" x14ac:dyDescent="0.2">
      <c r="E100" s="75">
        <f>Zero_Curves!C93</f>
        <v>7974</v>
      </c>
      <c r="F100" s="26">
        <f t="shared" si="3"/>
        <v>21.846575342465755</v>
      </c>
      <c r="G100" s="76">
        <f>Zero_Curves!D93+$C$18</f>
        <v>4.3371270000000003E-2</v>
      </c>
      <c r="H100" s="76"/>
    </row>
    <row r="101" spans="5:8" x14ac:dyDescent="0.2">
      <c r="E101" s="75">
        <f>Zero_Curves!C94</f>
        <v>8064</v>
      </c>
      <c r="F101" s="26">
        <f t="shared" si="3"/>
        <v>22.093150684931508</v>
      </c>
      <c r="G101" s="76">
        <f>Zero_Curves!D94+$C$18</f>
        <v>4.3197430000000002E-2</v>
      </c>
      <c r="H101" s="76"/>
    </row>
    <row r="102" spans="5:8" x14ac:dyDescent="0.2">
      <c r="E102" s="75">
        <f>Zero_Curves!C95</f>
        <v>8156</v>
      </c>
      <c r="F102" s="26">
        <f t="shared" si="3"/>
        <v>22.345205479452055</v>
      </c>
      <c r="G102" s="76">
        <f>Zero_Curves!D95+$C$18</f>
        <v>4.3019870000000002E-2</v>
      </c>
      <c r="H102" s="76"/>
    </row>
    <row r="103" spans="5:8" x14ac:dyDescent="0.2">
      <c r="E103" s="75">
        <f>Zero_Curves!C96</f>
        <v>8248</v>
      </c>
      <c r="F103" s="26">
        <f t="shared" si="3"/>
        <v>22.597260273972601</v>
      </c>
      <c r="G103" s="76">
        <f>Zero_Curves!D96+$C$18</f>
        <v>4.2842489999999997E-2</v>
      </c>
      <c r="H103" s="76"/>
    </row>
    <row r="104" spans="5:8" x14ac:dyDescent="0.2">
      <c r="E104" s="75">
        <f>Zero_Curves!C97</f>
        <v>8339</v>
      </c>
      <c r="F104" s="26">
        <f t="shared" si="3"/>
        <v>22.846575342465755</v>
      </c>
      <c r="G104" s="76">
        <f>Zero_Curves!D97+$C$18</f>
        <v>4.2667200000000002E-2</v>
      </c>
      <c r="H104" s="76"/>
    </row>
    <row r="105" spans="5:8" x14ac:dyDescent="0.2">
      <c r="E105" s="75">
        <f>Zero_Curves!C98</f>
        <v>8430</v>
      </c>
      <c r="F105" s="26">
        <f t="shared" si="3"/>
        <v>23.095890410958905</v>
      </c>
      <c r="G105" s="76">
        <f>Zero_Curves!D98+$C$18</f>
        <v>4.2492080000000002E-2</v>
      </c>
      <c r="H105" s="76"/>
    </row>
    <row r="106" spans="5:8" x14ac:dyDescent="0.2">
      <c r="E106" s="75">
        <f>Zero_Curves!C99</f>
        <v>8522</v>
      </c>
      <c r="F106" s="26">
        <f t="shared" si="3"/>
        <v>23.347945205479451</v>
      </c>
      <c r="G106" s="76">
        <f>Zero_Curves!D99+$C$18</f>
        <v>4.2315159999999997E-2</v>
      </c>
      <c r="H106" s="76"/>
    </row>
    <row r="107" spans="5:8" x14ac:dyDescent="0.2">
      <c r="E107" s="75">
        <f>Zero_Curves!C100</f>
        <v>8614</v>
      </c>
      <c r="F107" s="26">
        <f t="shared" si="3"/>
        <v>23.6</v>
      </c>
      <c r="G107" s="76">
        <f>Zero_Curves!D100+$C$18</f>
        <v>4.2138389999999998E-2</v>
      </c>
      <c r="H107" s="76"/>
    </row>
    <row r="108" spans="5:8" x14ac:dyDescent="0.2">
      <c r="E108" s="75">
        <f>Zero_Curves!C101</f>
        <v>8705</v>
      </c>
      <c r="F108" s="26">
        <f t="shared" si="3"/>
        <v>23.849315068493151</v>
      </c>
      <c r="G108" s="76">
        <f>Zero_Curves!D101+$C$18</f>
        <v>4.19637E-2</v>
      </c>
      <c r="H108" s="76"/>
    </row>
    <row r="109" spans="5:8" x14ac:dyDescent="0.2">
      <c r="E109" s="75">
        <f>Zero_Curves!C102</f>
        <v>8795</v>
      </c>
      <c r="F109" s="26">
        <f t="shared" si="3"/>
        <v>24.095890410958905</v>
      </c>
      <c r="G109" s="76">
        <f>Zero_Curves!D102+$C$18</f>
        <v>4.179107E-2</v>
      </c>
      <c r="H109" s="76"/>
    </row>
    <row r="110" spans="5:8" x14ac:dyDescent="0.2">
      <c r="E110" s="75">
        <f>Zero_Curves!C103</f>
        <v>8887</v>
      </c>
      <c r="F110" s="26">
        <f t="shared" si="3"/>
        <v>24.347945205479451</v>
      </c>
      <c r="G110" s="76">
        <f>Zero_Curves!D103+$C$18</f>
        <v>4.1614709999999999E-2</v>
      </c>
      <c r="H110" s="76"/>
    </row>
    <row r="111" spans="5:8" x14ac:dyDescent="0.2">
      <c r="E111" s="75">
        <f>Zero_Curves!C104</f>
        <v>8981</v>
      </c>
      <c r="F111" s="26">
        <f t="shared" si="3"/>
        <v>24.605479452054794</v>
      </c>
      <c r="G111" s="76">
        <f>Zero_Curves!D104+$C$18</f>
        <v>4.1434619999999998E-2</v>
      </c>
      <c r="H111" s="76"/>
    </row>
    <row r="112" spans="5:8" x14ac:dyDescent="0.2">
      <c r="E112" s="75">
        <f>Zero_Curves!C105</f>
        <v>9072</v>
      </c>
      <c r="F112" s="26">
        <f t="shared" si="3"/>
        <v>24.854794520547944</v>
      </c>
      <c r="G112" s="76">
        <f>Zero_Curves!D105+$C$18</f>
        <v>4.1260449999999997E-2</v>
      </c>
      <c r="H112" s="76"/>
    </row>
    <row r="113" spans="5:8" x14ac:dyDescent="0.2">
      <c r="E113" s="75">
        <f>Zero_Curves!C106</f>
        <v>9160</v>
      </c>
      <c r="F113" s="26">
        <f t="shared" si="3"/>
        <v>25.095890410958905</v>
      </c>
      <c r="G113" s="76">
        <f>Zero_Curves!D106+$C$18</f>
        <v>4.1092179999999999E-2</v>
      </c>
      <c r="H113" s="76"/>
    </row>
    <row r="114" spans="5:8" x14ac:dyDescent="0.2">
      <c r="E114" s="75">
        <f>Zero_Curves!C107</f>
        <v>9255</v>
      </c>
      <c r="F114" s="26">
        <f t="shared" si="3"/>
        <v>25.356164383561644</v>
      </c>
      <c r="G114" s="76">
        <f>Zero_Curves!D107+$C$18</f>
        <v>4.0944920000000003E-2</v>
      </c>
      <c r="H114" s="76"/>
    </row>
    <row r="115" spans="5:8" x14ac:dyDescent="0.2">
      <c r="E115" s="75">
        <f>Zero_Curves!C108</f>
        <v>9345</v>
      </c>
      <c r="F115" s="26">
        <f t="shared" si="3"/>
        <v>25.602739726027398</v>
      </c>
      <c r="G115" s="76">
        <f>Zero_Curves!D108+$C$18</f>
        <v>4.0805399999999999E-2</v>
      </c>
      <c r="H115" s="76"/>
    </row>
    <row r="116" spans="5:8" x14ac:dyDescent="0.2">
      <c r="E116" s="75">
        <f>Zero_Curves!C109</f>
        <v>9436</v>
      </c>
      <c r="F116" s="26">
        <f t="shared" si="3"/>
        <v>25.852054794520548</v>
      </c>
      <c r="G116" s="76">
        <f>Zero_Curves!D109+$C$18</f>
        <v>4.0664249999999999E-2</v>
      </c>
      <c r="H116" s="76"/>
    </row>
    <row r="117" spans="5:8" x14ac:dyDescent="0.2">
      <c r="E117" s="75">
        <f>Zero_Curves!C110</f>
        <v>9527</v>
      </c>
      <c r="F117" s="26">
        <f t="shared" si="3"/>
        <v>26.101369863013698</v>
      </c>
      <c r="G117" s="76">
        <f>Zero_Curves!D110+$C$18</f>
        <v>4.052302E-2</v>
      </c>
      <c r="H117" s="76"/>
    </row>
    <row r="118" spans="5:8" x14ac:dyDescent="0.2">
      <c r="E118" s="75">
        <f>Zero_Curves!C111</f>
        <v>9619</v>
      </c>
      <c r="F118" s="26">
        <f t="shared" si="3"/>
        <v>26.353424657534248</v>
      </c>
      <c r="G118" s="76">
        <f>Zero_Curves!D111+$C$18</f>
        <v>4.0380149999999997E-2</v>
      </c>
      <c r="H118" s="76"/>
    </row>
    <row r="119" spans="5:8" x14ac:dyDescent="0.2">
      <c r="E119" s="75">
        <f>Zero_Curves!C112</f>
        <v>9709</v>
      </c>
      <c r="F119" s="26">
        <f t="shared" si="3"/>
        <v>26.6</v>
      </c>
      <c r="G119" s="76">
        <f>Zero_Curves!D112+$C$18</f>
        <v>4.0240339999999999E-2</v>
      </c>
      <c r="H119" s="76"/>
    </row>
    <row r="120" spans="5:8" x14ac:dyDescent="0.2">
      <c r="E120" s="75">
        <f>Zero_Curves!C113</f>
        <v>9800</v>
      </c>
      <c r="F120" s="26">
        <f t="shared" si="3"/>
        <v>26.849315068493151</v>
      </c>
      <c r="G120" s="76">
        <f>Zero_Curves!D113+$C$18</f>
        <v>4.0098889999999998E-2</v>
      </c>
      <c r="H120" s="76"/>
    </row>
    <row r="121" spans="5:8" x14ac:dyDescent="0.2">
      <c r="E121" s="75">
        <f>Zero_Curves!C114</f>
        <v>9891</v>
      </c>
      <c r="F121" s="26">
        <f t="shared" si="3"/>
        <v>27.098630136986301</v>
      </c>
      <c r="G121" s="76">
        <f>Zero_Curves!D114+$C$18</f>
        <v>3.9957369999999999E-2</v>
      </c>
      <c r="H121" s="76"/>
    </row>
    <row r="122" spans="5:8" x14ac:dyDescent="0.2">
      <c r="E122" s="75">
        <f>Zero_Curves!C115</f>
        <v>9983</v>
      </c>
      <c r="F122" s="26">
        <f t="shared" si="3"/>
        <v>27.350684931506848</v>
      </c>
      <c r="G122" s="76">
        <f>Zero_Curves!D115+$C$18</f>
        <v>3.9814219999999997E-2</v>
      </c>
      <c r="H122" s="76"/>
    </row>
    <row r="123" spans="5:8" x14ac:dyDescent="0.2">
      <c r="E123" s="75">
        <f>Zero_Curves!C116</f>
        <v>10075</v>
      </c>
      <c r="F123" s="26">
        <f t="shared" si="3"/>
        <v>27.602739726027398</v>
      </c>
      <c r="G123" s="76">
        <f>Zero_Curves!D116+$C$18</f>
        <v>3.9670999999999998E-2</v>
      </c>
      <c r="H123" s="76"/>
    </row>
    <row r="124" spans="5:8" x14ac:dyDescent="0.2">
      <c r="E124" s="75">
        <f>Zero_Curves!C117</f>
        <v>10166</v>
      </c>
      <c r="F124" s="26">
        <f t="shared" si="3"/>
        <v>27.852054794520548</v>
      </c>
      <c r="G124" s="76">
        <f>Zero_Curves!D117+$C$18</f>
        <v>3.952928E-2</v>
      </c>
      <c r="H124" s="76"/>
    </row>
    <row r="125" spans="5:8" x14ac:dyDescent="0.2">
      <c r="E125" s="75">
        <f>Zero_Curves!C118</f>
        <v>10256</v>
      </c>
      <c r="F125" s="26">
        <f t="shared" si="3"/>
        <v>28.098630136986301</v>
      </c>
      <c r="G125" s="76">
        <f>Zero_Curves!D118+$C$18</f>
        <v>3.938908E-2</v>
      </c>
      <c r="H125" s="76"/>
    </row>
    <row r="126" spans="5:8" x14ac:dyDescent="0.2">
      <c r="E126" s="75">
        <f>Zero_Curves!C119</f>
        <v>10348</v>
      </c>
      <c r="F126" s="26">
        <f t="shared" si="3"/>
        <v>28.350684931506848</v>
      </c>
      <c r="G126" s="76">
        <f>Zero_Curves!D119+$C$18</f>
        <v>3.9245670000000003E-2</v>
      </c>
      <c r="H126" s="76"/>
    </row>
    <row r="127" spans="5:8" x14ac:dyDescent="0.2">
      <c r="E127" s="75">
        <f>Zero_Curves!C120</f>
        <v>10440</v>
      </c>
      <c r="F127" s="26">
        <f t="shared" si="3"/>
        <v>28.602739726027398</v>
      </c>
      <c r="G127" s="76">
        <f>Zero_Curves!D120+$C$18</f>
        <v>3.9102209999999998E-2</v>
      </c>
      <c r="H127" s="76"/>
    </row>
    <row r="128" spans="5:8" x14ac:dyDescent="0.2">
      <c r="E128" s="75">
        <f>Zero_Curves!C121</f>
        <v>10531</v>
      </c>
      <c r="F128" s="26">
        <f t="shared" si="3"/>
        <v>28.852054794520548</v>
      </c>
      <c r="G128" s="76">
        <f>Zero_Curves!D121+$C$18</f>
        <v>3.8960269999999998E-2</v>
      </c>
      <c r="H128" s="76"/>
    </row>
    <row r="129" spans="5:8" x14ac:dyDescent="0.2">
      <c r="E129" s="75">
        <f>Zero_Curves!C122</f>
        <v>10621</v>
      </c>
      <c r="F129" s="26">
        <f t="shared" si="3"/>
        <v>29.098630136986301</v>
      </c>
      <c r="G129" s="76">
        <f>Zero_Curves!D122+$C$18</f>
        <v>3.8819850000000003E-2</v>
      </c>
      <c r="H129" s="76"/>
    </row>
    <row r="130" spans="5:8" x14ac:dyDescent="0.2">
      <c r="E130" s="75">
        <f>Zero_Curves!C123</f>
        <v>10713</v>
      </c>
      <c r="F130" s="26">
        <f t="shared" si="3"/>
        <v>29.350684931506848</v>
      </c>
      <c r="G130" s="76">
        <f>Zero_Curves!D123+$C$18</f>
        <v>3.8676240000000001E-2</v>
      </c>
      <c r="H130" s="76"/>
    </row>
    <row r="131" spans="5:8" x14ac:dyDescent="0.2">
      <c r="E131" s="75">
        <f>Zero_Curves!C124</f>
        <v>10805</v>
      </c>
      <c r="F131" s="26">
        <f t="shared" si="3"/>
        <v>29.602739726027398</v>
      </c>
      <c r="G131" s="76">
        <f>Zero_Curves!D124+$C$18</f>
        <v>3.8532589999999999E-2</v>
      </c>
      <c r="H131" s="76"/>
    </row>
    <row r="132" spans="5:8" x14ac:dyDescent="0.2">
      <c r="E132" s="75">
        <f>Zero_Curves!C125</f>
        <v>10896</v>
      </c>
      <c r="F132" s="26">
        <f t="shared" si="3"/>
        <v>29.852054794520548</v>
      </c>
      <c r="G132" s="76">
        <f>Zero_Curves!D125+$C$18</f>
        <v>3.8390479999999998E-2</v>
      </c>
      <c r="H132" s="76"/>
    </row>
    <row r="133" spans="5:8" x14ac:dyDescent="0.2">
      <c r="E133" s="75">
        <f>Zero_Curves!C126</f>
        <v>10986</v>
      </c>
      <c r="F133" s="26">
        <f t="shared" si="3"/>
        <v>30.098630136986301</v>
      </c>
      <c r="G133" s="76">
        <f>Zero_Curves!D126+$C$18</f>
        <v>3.8249900000000003E-2</v>
      </c>
      <c r="H133" s="76"/>
    </row>
  </sheetData>
  <phoneticPr fontId="0" type="noConversion"/>
  <pageMargins left="0.75" right="0.75" top="1" bottom="1" header="0.5" footer="0.5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_ZC">
                <anchor moveWithCells="1">
                  <from>
                    <xdr:col>3</xdr:col>
                    <xdr:colOff>190500</xdr:colOff>
                    <xdr:row>6</xdr:row>
                    <xdr:rowOff>9525</xdr:rowOff>
                  </from>
                  <to>
                    <xdr:col>5</xdr:col>
                    <xdr:colOff>28575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_DD">
                <anchor moveWithCells="1">
                  <from>
                    <xdr:col>10</xdr:col>
                    <xdr:colOff>200025</xdr:colOff>
                    <xdr:row>6</xdr:row>
                    <xdr:rowOff>0</xdr:rowOff>
                  </from>
                  <to>
                    <xdr:col>11</xdr:col>
                    <xdr:colOff>257175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126"/>
  <sheetViews>
    <sheetView workbookViewId="0">
      <selection activeCell="D2" sqref="D2"/>
    </sheetView>
  </sheetViews>
  <sheetFormatPr defaultRowHeight="12.75" x14ac:dyDescent="0.2"/>
  <cols>
    <col min="1" max="1" width="10.7109375" bestFit="1" customWidth="1"/>
    <col min="2" max="2" width="10.140625" bestFit="1" customWidth="1"/>
  </cols>
  <sheetData>
    <row r="1" spans="1:4" x14ac:dyDescent="0.2">
      <c r="A1" t="s">
        <v>47</v>
      </c>
      <c r="B1" s="78">
        <f>IF(WEEKDAY(Pricer!C10-1)=1,Pricer!C10-3,Pricer!C10-1)</f>
        <v>39853</v>
      </c>
      <c r="C1" t="s">
        <v>48</v>
      </c>
      <c r="D1" t="s">
        <v>1</v>
      </c>
    </row>
    <row r="2" spans="1:4" x14ac:dyDescent="0.2">
      <c r="A2" t="s">
        <v>49</v>
      </c>
      <c r="B2" s="72">
        <v>39883</v>
      </c>
      <c r="C2" s="74">
        <f>B2-$B$1</f>
        <v>30</v>
      </c>
      <c r="D2" s="73">
        <v>3.2497100000000001E-2</v>
      </c>
    </row>
    <row r="3" spans="1:4" x14ac:dyDescent="0.2">
      <c r="A3" t="s">
        <v>50</v>
      </c>
      <c r="B3" s="72">
        <v>39917</v>
      </c>
      <c r="C3">
        <f t="shared" ref="C3:C66" si="0">B3-$B$1</f>
        <v>64</v>
      </c>
      <c r="D3" s="73">
        <v>3.3177659999999998E-2</v>
      </c>
    </row>
    <row r="4" spans="1:4" x14ac:dyDescent="0.2">
      <c r="B4" s="72">
        <v>39944</v>
      </c>
      <c r="C4">
        <f t="shared" si="0"/>
        <v>91</v>
      </c>
      <c r="D4" s="73">
        <v>3.2656659999999997E-2</v>
      </c>
    </row>
    <row r="5" spans="1:4" x14ac:dyDescent="0.2">
      <c r="B5" s="72">
        <v>39974</v>
      </c>
      <c r="C5">
        <f t="shared" si="0"/>
        <v>121</v>
      </c>
      <c r="D5" s="73">
        <v>3.1927419999999998E-2</v>
      </c>
    </row>
    <row r="6" spans="1:4" x14ac:dyDescent="0.2">
      <c r="B6" s="72">
        <v>40004</v>
      </c>
      <c r="C6">
        <f t="shared" si="0"/>
        <v>151</v>
      </c>
      <c r="D6" s="73">
        <v>3.1344770000000001E-2</v>
      </c>
    </row>
    <row r="7" spans="1:4" x14ac:dyDescent="0.2">
      <c r="B7" s="72">
        <v>40035</v>
      </c>
      <c r="C7">
        <f t="shared" si="0"/>
        <v>182</v>
      </c>
      <c r="D7" s="73">
        <v>3.0615170000000001E-2</v>
      </c>
    </row>
    <row r="8" spans="1:4" x14ac:dyDescent="0.2">
      <c r="B8" s="72">
        <v>40066</v>
      </c>
      <c r="C8">
        <f t="shared" si="0"/>
        <v>213</v>
      </c>
      <c r="D8" s="73">
        <v>2.9839109999999999E-2</v>
      </c>
    </row>
    <row r="9" spans="1:4" x14ac:dyDescent="0.2">
      <c r="B9" s="72">
        <v>40157</v>
      </c>
      <c r="C9">
        <f t="shared" si="0"/>
        <v>304</v>
      </c>
      <c r="D9" s="73">
        <v>2.8422599999999999E-2</v>
      </c>
    </row>
    <row r="10" spans="1:4" x14ac:dyDescent="0.2">
      <c r="B10" s="72">
        <v>40247</v>
      </c>
      <c r="C10">
        <f t="shared" si="0"/>
        <v>394</v>
      </c>
      <c r="D10" s="73">
        <v>2.7018210000000001E-2</v>
      </c>
    </row>
    <row r="11" spans="1:4" x14ac:dyDescent="0.2">
      <c r="B11" s="72">
        <v>40339</v>
      </c>
      <c r="C11">
        <f t="shared" si="0"/>
        <v>486</v>
      </c>
      <c r="D11" s="73">
        <v>2.7670549999999999E-2</v>
      </c>
    </row>
    <row r="12" spans="1:4" x14ac:dyDescent="0.2">
      <c r="B12" s="72">
        <v>40431</v>
      </c>
      <c r="C12">
        <f t="shared" si="0"/>
        <v>578</v>
      </c>
      <c r="D12" s="73">
        <v>2.8323999999999998E-2</v>
      </c>
    </row>
    <row r="13" spans="1:4" x14ac:dyDescent="0.2">
      <c r="B13" s="72">
        <v>40522</v>
      </c>
      <c r="C13">
        <f t="shared" si="0"/>
        <v>669</v>
      </c>
      <c r="D13" s="73">
        <v>2.8972040000000001E-2</v>
      </c>
    </row>
    <row r="14" spans="1:4" x14ac:dyDescent="0.2">
      <c r="B14" s="72">
        <v>40612</v>
      </c>
      <c r="C14">
        <f t="shared" si="0"/>
        <v>759</v>
      </c>
      <c r="D14" s="73">
        <v>2.9614830000000002E-2</v>
      </c>
    </row>
    <row r="15" spans="1:4" x14ac:dyDescent="0.2">
      <c r="B15" s="72">
        <v>40704</v>
      </c>
      <c r="C15">
        <f t="shared" si="0"/>
        <v>851</v>
      </c>
      <c r="D15" s="73">
        <v>3.068276E-2</v>
      </c>
    </row>
    <row r="16" spans="1:4" x14ac:dyDescent="0.2">
      <c r="B16" s="72">
        <v>40798</v>
      </c>
      <c r="C16">
        <f t="shared" si="0"/>
        <v>945</v>
      </c>
      <c r="D16" s="73">
        <v>3.1777510000000002E-2</v>
      </c>
    </row>
    <row r="17" spans="2:4" x14ac:dyDescent="0.2">
      <c r="B17" s="72">
        <v>40889</v>
      </c>
      <c r="C17">
        <f t="shared" si="0"/>
        <v>1036</v>
      </c>
      <c r="D17" s="73">
        <v>3.2842179999999999E-2</v>
      </c>
    </row>
    <row r="18" spans="2:4" x14ac:dyDescent="0.2">
      <c r="B18" s="72">
        <v>40980</v>
      </c>
      <c r="C18">
        <f t="shared" si="0"/>
        <v>1127</v>
      </c>
      <c r="D18" s="73">
        <v>3.3911499999999997E-2</v>
      </c>
    </row>
    <row r="19" spans="2:4" x14ac:dyDescent="0.2">
      <c r="B19" s="72">
        <v>41072</v>
      </c>
      <c r="C19">
        <f t="shared" si="0"/>
        <v>1219</v>
      </c>
      <c r="D19" s="73">
        <v>3.4930370000000002E-2</v>
      </c>
    </row>
    <row r="20" spans="2:4" x14ac:dyDescent="0.2">
      <c r="B20" s="72">
        <v>41162</v>
      </c>
      <c r="C20">
        <f t="shared" si="0"/>
        <v>1309</v>
      </c>
      <c r="D20" s="73">
        <v>3.5932440000000003E-2</v>
      </c>
    </row>
    <row r="21" spans="2:4" x14ac:dyDescent="0.2">
      <c r="B21" s="72">
        <v>41253</v>
      </c>
      <c r="C21">
        <f t="shared" si="0"/>
        <v>1400</v>
      </c>
      <c r="D21" s="73">
        <v>3.6950839999999999E-2</v>
      </c>
    </row>
    <row r="22" spans="2:4" x14ac:dyDescent="0.2">
      <c r="B22" s="72">
        <v>41344</v>
      </c>
      <c r="C22">
        <f t="shared" si="0"/>
        <v>1491</v>
      </c>
      <c r="D22" s="73">
        <v>3.7975019999999998E-2</v>
      </c>
    </row>
    <row r="23" spans="2:4" x14ac:dyDescent="0.2">
      <c r="B23" s="72">
        <v>41436</v>
      </c>
      <c r="C23">
        <f t="shared" si="0"/>
        <v>1583</v>
      </c>
      <c r="D23" s="73">
        <v>3.8493489999999998E-2</v>
      </c>
    </row>
    <row r="24" spans="2:4" x14ac:dyDescent="0.2">
      <c r="B24" s="72">
        <v>41527</v>
      </c>
      <c r="C24">
        <f t="shared" si="0"/>
        <v>1674</v>
      </c>
      <c r="D24" s="73">
        <v>3.900994E-2</v>
      </c>
    </row>
    <row r="25" spans="2:4" x14ac:dyDescent="0.2">
      <c r="B25" s="72">
        <v>41618</v>
      </c>
      <c r="C25">
        <f t="shared" si="0"/>
        <v>1765</v>
      </c>
      <c r="D25" s="73">
        <v>3.9529799999999997E-2</v>
      </c>
    </row>
    <row r="26" spans="2:4" x14ac:dyDescent="0.2">
      <c r="B26" s="72">
        <v>41708</v>
      </c>
      <c r="C26">
        <f t="shared" si="0"/>
        <v>1855</v>
      </c>
      <c r="D26" s="73">
        <v>4.0047430000000002E-2</v>
      </c>
    </row>
    <row r="27" spans="2:4" x14ac:dyDescent="0.2">
      <c r="B27" s="72">
        <v>41800</v>
      </c>
      <c r="C27">
        <f t="shared" si="0"/>
        <v>1947</v>
      </c>
      <c r="D27" s="73">
        <v>4.0554899999999998E-2</v>
      </c>
    </row>
    <row r="28" spans="2:4" x14ac:dyDescent="0.2">
      <c r="B28" s="72">
        <v>41892</v>
      </c>
      <c r="C28">
        <f t="shared" si="0"/>
        <v>2039</v>
      </c>
      <c r="D28" s="73">
        <v>4.1065780000000003E-2</v>
      </c>
    </row>
    <row r="29" spans="2:4" x14ac:dyDescent="0.2">
      <c r="B29" s="72">
        <v>41983</v>
      </c>
      <c r="C29">
        <f t="shared" si="0"/>
        <v>2130</v>
      </c>
      <c r="D29" s="73">
        <v>4.1574630000000001E-2</v>
      </c>
    </row>
    <row r="30" spans="2:4" x14ac:dyDescent="0.2">
      <c r="B30" s="72">
        <v>42073</v>
      </c>
      <c r="C30">
        <f t="shared" si="0"/>
        <v>2220</v>
      </c>
      <c r="D30" s="73">
        <v>4.208137E-2</v>
      </c>
    </row>
    <row r="31" spans="2:4" x14ac:dyDescent="0.2">
      <c r="B31" s="72">
        <v>42165</v>
      </c>
      <c r="C31">
        <f t="shared" si="0"/>
        <v>2312</v>
      </c>
      <c r="D31" s="73">
        <v>4.2602639999999997E-2</v>
      </c>
    </row>
    <row r="32" spans="2:4" x14ac:dyDescent="0.2">
      <c r="B32" s="72">
        <v>42257</v>
      </c>
      <c r="C32">
        <f t="shared" si="0"/>
        <v>2404</v>
      </c>
      <c r="D32" s="73">
        <v>4.3127550000000001E-2</v>
      </c>
    </row>
    <row r="33" spans="2:4" x14ac:dyDescent="0.2">
      <c r="B33" s="72">
        <v>42348</v>
      </c>
      <c r="C33">
        <f t="shared" si="0"/>
        <v>2495</v>
      </c>
      <c r="D33" s="73">
        <v>4.3650559999999998E-2</v>
      </c>
    </row>
    <row r="34" spans="2:4" x14ac:dyDescent="0.2">
      <c r="B34" s="72">
        <v>42439</v>
      </c>
      <c r="C34">
        <f t="shared" si="0"/>
        <v>2586</v>
      </c>
      <c r="D34" s="73">
        <v>4.4177309999999997E-2</v>
      </c>
    </row>
    <row r="35" spans="2:4" x14ac:dyDescent="0.2">
      <c r="B35" s="72">
        <v>42531</v>
      </c>
      <c r="C35">
        <f t="shared" si="0"/>
        <v>2678</v>
      </c>
      <c r="D35" s="73">
        <v>4.4448809999999998E-2</v>
      </c>
    </row>
    <row r="36" spans="2:4" x14ac:dyDescent="0.2">
      <c r="B36" s="72">
        <v>42625</v>
      </c>
      <c r="C36">
        <f t="shared" si="0"/>
        <v>2772</v>
      </c>
      <c r="D36" s="73">
        <v>4.4728610000000002E-2</v>
      </c>
    </row>
    <row r="37" spans="2:4" x14ac:dyDescent="0.2">
      <c r="B37" s="72">
        <v>42716</v>
      </c>
      <c r="C37">
        <f t="shared" si="0"/>
        <v>2863</v>
      </c>
      <c r="D37" s="73">
        <v>4.500229E-2</v>
      </c>
    </row>
    <row r="38" spans="2:4" x14ac:dyDescent="0.2">
      <c r="B38" s="72">
        <v>42804</v>
      </c>
      <c r="C38">
        <f t="shared" si="0"/>
        <v>2951</v>
      </c>
      <c r="D38" s="73">
        <v>4.5269530000000002E-2</v>
      </c>
    </row>
    <row r="39" spans="2:4" x14ac:dyDescent="0.2">
      <c r="B39" s="72">
        <v>42899</v>
      </c>
      <c r="C39">
        <f t="shared" si="0"/>
        <v>3046</v>
      </c>
      <c r="D39" s="73">
        <v>4.5559790000000003E-2</v>
      </c>
    </row>
    <row r="40" spans="2:4" x14ac:dyDescent="0.2">
      <c r="B40" s="72">
        <v>42989</v>
      </c>
      <c r="C40">
        <f t="shared" si="0"/>
        <v>3136</v>
      </c>
      <c r="D40" s="73">
        <v>4.5837660000000002E-2</v>
      </c>
    </row>
    <row r="41" spans="2:4" x14ac:dyDescent="0.2">
      <c r="B41" s="72">
        <v>43080</v>
      </c>
      <c r="C41">
        <f t="shared" si="0"/>
        <v>3227</v>
      </c>
      <c r="D41" s="73">
        <v>4.6120880000000003E-2</v>
      </c>
    </row>
    <row r="42" spans="2:4" x14ac:dyDescent="0.2">
      <c r="B42" s="72">
        <v>43171</v>
      </c>
      <c r="C42">
        <f t="shared" si="0"/>
        <v>3318</v>
      </c>
      <c r="D42" s="73">
        <v>4.640648E-2</v>
      </c>
    </row>
    <row r="43" spans="2:4" x14ac:dyDescent="0.2">
      <c r="B43" s="72">
        <v>43263</v>
      </c>
      <c r="C43">
        <f t="shared" si="0"/>
        <v>3410</v>
      </c>
      <c r="D43" s="73">
        <v>4.6697540000000003E-2</v>
      </c>
    </row>
    <row r="44" spans="2:4" x14ac:dyDescent="0.2">
      <c r="B44" s="72">
        <v>43353</v>
      </c>
      <c r="C44">
        <f t="shared" si="0"/>
        <v>3500</v>
      </c>
      <c r="D44" s="73">
        <v>4.698484E-2</v>
      </c>
    </row>
    <row r="45" spans="2:4" x14ac:dyDescent="0.2">
      <c r="B45" s="72">
        <v>43444</v>
      </c>
      <c r="C45">
        <f t="shared" si="0"/>
        <v>3591</v>
      </c>
      <c r="D45" s="73">
        <v>4.7277649999999997E-2</v>
      </c>
    </row>
    <row r="46" spans="2:4" x14ac:dyDescent="0.2">
      <c r="B46" s="72">
        <v>43535</v>
      </c>
      <c r="C46">
        <f t="shared" si="0"/>
        <v>3682</v>
      </c>
      <c r="D46" s="73">
        <v>4.7572910000000003E-2</v>
      </c>
    </row>
    <row r="47" spans="2:4" x14ac:dyDescent="0.2">
      <c r="B47" s="72">
        <v>43627</v>
      </c>
      <c r="C47">
        <f t="shared" si="0"/>
        <v>3774</v>
      </c>
      <c r="D47" s="73">
        <v>4.7563429999999997E-2</v>
      </c>
    </row>
    <row r="48" spans="2:4" x14ac:dyDescent="0.2">
      <c r="B48" s="72">
        <v>43718</v>
      </c>
      <c r="C48">
        <f t="shared" si="0"/>
        <v>3865</v>
      </c>
      <c r="D48" s="73">
        <v>4.7555569999999998E-2</v>
      </c>
    </row>
    <row r="49" spans="2:4" x14ac:dyDescent="0.2">
      <c r="B49" s="72">
        <v>43809</v>
      </c>
      <c r="C49">
        <f t="shared" si="0"/>
        <v>3956</v>
      </c>
      <c r="D49" s="73">
        <v>4.7549069999999999E-2</v>
      </c>
    </row>
    <row r="50" spans="2:4" x14ac:dyDescent="0.2">
      <c r="B50" s="72">
        <v>43900</v>
      </c>
      <c r="C50">
        <f t="shared" si="0"/>
        <v>4047</v>
      </c>
      <c r="D50" s="73">
        <v>4.7543839999999997E-2</v>
      </c>
    </row>
    <row r="51" spans="2:4" x14ac:dyDescent="0.2">
      <c r="B51" s="72">
        <v>43992</v>
      </c>
      <c r="C51">
        <f t="shared" si="0"/>
        <v>4139</v>
      </c>
      <c r="D51" s="73">
        <v>4.7539699999999997E-2</v>
      </c>
    </row>
    <row r="52" spans="2:4" x14ac:dyDescent="0.2">
      <c r="B52" s="72">
        <v>44084</v>
      </c>
      <c r="C52">
        <f t="shared" si="0"/>
        <v>4231</v>
      </c>
      <c r="D52" s="73">
        <v>4.7536710000000003E-2</v>
      </c>
    </row>
    <row r="53" spans="2:4" x14ac:dyDescent="0.2">
      <c r="B53" s="72">
        <v>44175</v>
      </c>
      <c r="C53">
        <f t="shared" si="0"/>
        <v>4322</v>
      </c>
      <c r="D53" s="73">
        <v>4.753487E-2</v>
      </c>
    </row>
    <row r="54" spans="2:4" x14ac:dyDescent="0.2">
      <c r="B54" s="72">
        <v>44265</v>
      </c>
      <c r="C54">
        <f t="shared" si="0"/>
        <v>4412</v>
      </c>
      <c r="D54" s="73">
        <v>4.7534109999999997E-2</v>
      </c>
    </row>
    <row r="55" spans="2:4" x14ac:dyDescent="0.2">
      <c r="B55" s="72">
        <v>44357</v>
      </c>
      <c r="C55">
        <f t="shared" si="0"/>
        <v>4504</v>
      </c>
      <c r="D55" s="73">
        <v>4.7534149999999997E-2</v>
      </c>
    </row>
    <row r="56" spans="2:4" x14ac:dyDescent="0.2">
      <c r="B56" s="72">
        <v>44449</v>
      </c>
      <c r="C56">
        <f t="shared" si="0"/>
        <v>4596</v>
      </c>
      <c r="D56" s="73">
        <v>4.7535109999999998E-2</v>
      </c>
    </row>
    <row r="57" spans="2:4" x14ac:dyDescent="0.2">
      <c r="B57" s="72">
        <v>44540</v>
      </c>
      <c r="C57">
        <f t="shared" si="0"/>
        <v>4687</v>
      </c>
      <c r="D57" s="73">
        <v>4.7536969999999998E-2</v>
      </c>
    </row>
    <row r="58" spans="2:4" x14ac:dyDescent="0.2">
      <c r="B58" s="72">
        <v>44630</v>
      </c>
      <c r="C58">
        <f t="shared" si="0"/>
        <v>4777</v>
      </c>
      <c r="D58" s="73">
        <v>4.7539659999999997E-2</v>
      </c>
    </row>
    <row r="59" spans="2:4" x14ac:dyDescent="0.2">
      <c r="B59" s="72">
        <v>44722</v>
      </c>
      <c r="C59">
        <f t="shared" si="0"/>
        <v>4869</v>
      </c>
      <c r="D59" s="73">
        <v>4.7543080000000001E-2</v>
      </c>
    </row>
    <row r="60" spans="2:4" x14ac:dyDescent="0.2">
      <c r="B60" s="72">
        <v>44816</v>
      </c>
      <c r="C60">
        <f t="shared" si="0"/>
        <v>4963</v>
      </c>
      <c r="D60" s="73">
        <v>4.7547230000000003E-2</v>
      </c>
    </row>
    <row r="61" spans="2:4" x14ac:dyDescent="0.2">
      <c r="B61" s="72">
        <v>44907</v>
      </c>
      <c r="C61">
        <f t="shared" si="0"/>
        <v>5054</v>
      </c>
      <c r="D61" s="73">
        <v>4.7552120000000003E-2</v>
      </c>
    </row>
    <row r="62" spans="2:4" x14ac:dyDescent="0.2">
      <c r="B62" s="72">
        <v>44995</v>
      </c>
      <c r="C62">
        <f t="shared" si="0"/>
        <v>5142</v>
      </c>
      <c r="D62" s="73">
        <v>4.755765E-2</v>
      </c>
    </row>
    <row r="63" spans="2:4" x14ac:dyDescent="0.2">
      <c r="B63" s="72">
        <v>45090</v>
      </c>
      <c r="C63">
        <f t="shared" si="0"/>
        <v>5237</v>
      </c>
      <c r="D63" s="73">
        <v>4.7563899999999999E-2</v>
      </c>
    </row>
    <row r="64" spans="2:4" x14ac:dyDescent="0.2">
      <c r="B64" s="72">
        <v>45180</v>
      </c>
      <c r="C64">
        <f t="shared" si="0"/>
        <v>5327</v>
      </c>
      <c r="D64" s="73">
        <v>4.75707E-2</v>
      </c>
    </row>
    <row r="65" spans="2:4" x14ac:dyDescent="0.2">
      <c r="B65" s="72">
        <v>45271</v>
      </c>
      <c r="C65">
        <f t="shared" si="0"/>
        <v>5418</v>
      </c>
      <c r="D65" s="73">
        <v>4.757811E-2</v>
      </c>
    </row>
    <row r="66" spans="2:4" x14ac:dyDescent="0.2">
      <c r="B66" s="72">
        <v>45362</v>
      </c>
      <c r="C66">
        <f t="shared" si="0"/>
        <v>5509</v>
      </c>
      <c r="D66" s="73">
        <v>4.7586080000000003E-2</v>
      </c>
    </row>
    <row r="67" spans="2:4" x14ac:dyDescent="0.2">
      <c r="B67" s="72">
        <v>45454</v>
      </c>
      <c r="C67">
        <f t="shared" ref="C67:C126" si="1">B67-$B$1</f>
        <v>5601</v>
      </c>
      <c r="D67" s="73">
        <v>4.7432050000000003E-2</v>
      </c>
    </row>
    <row r="68" spans="2:4" x14ac:dyDescent="0.2">
      <c r="B68" s="72">
        <v>45545</v>
      </c>
      <c r="C68">
        <f t="shared" si="1"/>
        <v>5692</v>
      </c>
      <c r="D68" s="73">
        <v>4.7280379999999997E-2</v>
      </c>
    </row>
    <row r="69" spans="2:4" x14ac:dyDescent="0.2">
      <c r="B69" s="72">
        <v>45636</v>
      </c>
      <c r="C69">
        <f t="shared" si="1"/>
        <v>5783</v>
      </c>
      <c r="D69" s="73">
        <v>4.7129310000000001E-2</v>
      </c>
    </row>
    <row r="70" spans="2:4" x14ac:dyDescent="0.2">
      <c r="B70" s="72">
        <v>45726</v>
      </c>
      <c r="C70">
        <f t="shared" si="1"/>
        <v>5873</v>
      </c>
      <c r="D70" s="73">
        <v>4.698049E-2</v>
      </c>
    </row>
    <row r="71" spans="2:4" x14ac:dyDescent="0.2">
      <c r="B71" s="72">
        <v>45818</v>
      </c>
      <c r="C71">
        <f t="shared" si="1"/>
        <v>5965</v>
      </c>
      <c r="D71" s="73">
        <v>4.6828799999999997E-2</v>
      </c>
    </row>
    <row r="72" spans="2:4" x14ac:dyDescent="0.2">
      <c r="B72" s="72">
        <v>45910</v>
      </c>
      <c r="C72">
        <f t="shared" si="1"/>
        <v>6057</v>
      </c>
      <c r="D72" s="73">
        <v>4.6677610000000001E-2</v>
      </c>
    </row>
    <row r="73" spans="2:4" x14ac:dyDescent="0.2">
      <c r="B73" s="72">
        <v>46001</v>
      </c>
      <c r="C73">
        <f t="shared" si="1"/>
        <v>6148</v>
      </c>
      <c r="D73" s="73">
        <v>4.6528529999999999E-2</v>
      </c>
    </row>
    <row r="74" spans="2:4" x14ac:dyDescent="0.2">
      <c r="B74" s="72">
        <v>46091</v>
      </c>
      <c r="C74">
        <f t="shared" si="1"/>
        <v>6238</v>
      </c>
      <c r="D74" s="73">
        <v>4.6381520000000002E-2</v>
      </c>
    </row>
    <row r="75" spans="2:4" x14ac:dyDescent="0.2">
      <c r="B75" s="72">
        <v>46183</v>
      </c>
      <c r="C75">
        <f t="shared" si="1"/>
        <v>6330</v>
      </c>
      <c r="D75" s="73">
        <v>4.6231559999999998E-2</v>
      </c>
    </row>
    <row r="76" spans="2:4" x14ac:dyDescent="0.2">
      <c r="B76" s="72">
        <v>46275</v>
      </c>
      <c r="C76">
        <f t="shared" si="1"/>
        <v>6422</v>
      </c>
      <c r="D76" s="73">
        <v>4.6081940000000002E-2</v>
      </c>
    </row>
    <row r="77" spans="2:4" x14ac:dyDescent="0.2">
      <c r="B77" s="72">
        <v>46366</v>
      </c>
      <c r="C77">
        <f t="shared" si="1"/>
        <v>6513</v>
      </c>
      <c r="D77" s="73">
        <v>4.5934309999999999E-2</v>
      </c>
    </row>
    <row r="78" spans="2:4" x14ac:dyDescent="0.2">
      <c r="B78" s="72">
        <v>46456</v>
      </c>
      <c r="C78">
        <f t="shared" si="1"/>
        <v>6603</v>
      </c>
      <c r="D78" s="73">
        <v>4.578861E-2</v>
      </c>
    </row>
    <row r="79" spans="2:4" x14ac:dyDescent="0.2">
      <c r="B79" s="72">
        <v>46548</v>
      </c>
      <c r="C79">
        <f t="shared" si="1"/>
        <v>6695</v>
      </c>
      <c r="D79" s="73">
        <v>4.5639880000000001E-2</v>
      </c>
    </row>
    <row r="80" spans="2:4" x14ac:dyDescent="0.2">
      <c r="B80" s="72">
        <v>46640</v>
      </c>
      <c r="C80">
        <f t="shared" si="1"/>
        <v>6787</v>
      </c>
      <c r="D80" s="73">
        <v>4.549139E-2</v>
      </c>
    </row>
    <row r="81" spans="2:4" x14ac:dyDescent="0.2">
      <c r="B81" s="72">
        <v>46731</v>
      </c>
      <c r="C81">
        <f t="shared" si="1"/>
        <v>6878</v>
      </c>
      <c r="D81" s="73">
        <v>4.5344780000000001E-2</v>
      </c>
    </row>
    <row r="82" spans="2:4" x14ac:dyDescent="0.2">
      <c r="B82" s="72">
        <v>46822</v>
      </c>
      <c r="C82">
        <f t="shared" si="1"/>
        <v>6969</v>
      </c>
      <c r="D82" s="73">
        <v>4.519836E-2</v>
      </c>
    </row>
    <row r="83" spans="2:4" x14ac:dyDescent="0.2">
      <c r="B83" s="72">
        <v>46917</v>
      </c>
      <c r="C83">
        <f t="shared" si="1"/>
        <v>7064</v>
      </c>
      <c r="D83" s="73">
        <v>4.5045590000000003E-2</v>
      </c>
    </row>
    <row r="84" spans="2:4" x14ac:dyDescent="0.2">
      <c r="B84" s="72">
        <v>47007</v>
      </c>
      <c r="C84">
        <f t="shared" si="1"/>
        <v>7154</v>
      </c>
      <c r="D84" s="73">
        <v>4.4901160000000002E-2</v>
      </c>
    </row>
    <row r="85" spans="2:4" x14ac:dyDescent="0.2">
      <c r="B85" s="72">
        <v>47098</v>
      </c>
      <c r="C85">
        <f t="shared" si="1"/>
        <v>7245</v>
      </c>
      <c r="D85" s="73">
        <v>4.4755240000000002E-2</v>
      </c>
    </row>
    <row r="86" spans="2:4" x14ac:dyDescent="0.2">
      <c r="B86" s="72">
        <v>47189</v>
      </c>
      <c r="C86">
        <f t="shared" si="1"/>
        <v>7336</v>
      </c>
      <c r="D86" s="73">
        <v>4.4609459999999997E-2</v>
      </c>
    </row>
    <row r="87" spans="2:4" x14ac:dyDescent="0.2">
      <c r="B87" s="72">
        <v>47281</v>
      </c>
      <c r="C87">
        <f t="shared" si="1"/>
        <v>7428</v>
      </c>
      <c r="D87" s="73">
        <v>4.4430190000000001E-2</v>
      </c>
    </row>
    <row r="88" spans="2:4" x14ac:dyDescent="0.2">
      <c r="B88" s="72">
        <v>47371</v>
      </c>
      <c r="C88">
        <f t="shared" si="1"/>
        <v>7518</v>
      </c>
      <c r="D88" s="73">
        <v>4.425511E-2</v>
      </c>
    </row>
    <row r="89" spans="2:4" x14ac:dyDescent="0.2">
      <c r="B89" s="72">
        <v>47462</v>
      </c>
      <c r="C89">
        <f t="shared" si="1"/>
        <v>7609</v>
      </c>
      <c r="D89" s="73">
        <v>4.4078300000000001E-2</v>
      </c>
    </row>
    <row r="90" spans="2:4" x14ac:dyDescent="0.2">
      <c r="B90" s="72">
        <v>47553</v>
      </c>
      <c r="C90">
        <f t="shared" si="1"/>
        <v>7700</v>
      </c>
      <c r="D90" s="73">
        <v>4.3901719999999998E-2</v>
      </c>
    </row>
    <row r="91" spans="2:4" x14ac:dyDescent="0.2">
      <c r="B91" s="72">
        <v>47645</v>
      </c>
      <c r="C91">
        <f t="shared" si="1"/>
        <v>7792</v>
      </c>
      <c r="D91" s="73">
        <v>4.3723400000000003E-2</v>
      </c>
    </row>
    <row r="92" spans="2:4" x14ac:dyDescent="0.2">
      <c r="B92" s="72">
        <v>47736</v>
      </c>
      <c r="C92">
        <f t="shared" si="1"/>
        <v>7883</v>
      </c>
      <c r="D92" s="73">
        <v>4.3547229999999999E-2</v>
      </c>
    </row>
    <row r="93" spans="2:4" x14ac:dyDescent="0.2">
      <c r="B93" s="72">
        <v>47827</v>
      </c>
      <c r="C93">
        <f t="shared" si="1"/>
        <v>7974</v>
      </c>
      <c r="D93" s="73">
        <v>4.3371270000000003E-2</v>
      </c>
    </row>
    <row r="94" spans="2:4" x14ac:dyDescent="0.2">
      <c r="B94" s="72">
        <v>47917</v>
      </c>
      <c r="C94">
        <f t="shared" si="1"/>
        <v>8064</v>
      </c>
      <c r="D94" s="73">
        <v>4.3197430000000002E-2</v>
      </c>
    </row>
    <row r="95" spans="2:4" x14ac:dyDescent="0.2">
      <c r="B95" s="72">
        <v>48009</v>
      </c>
      <c r="C95">
        <f t="shared" si="1"/>
        <v>8156</v>
      </c>
      <c r="D95" s="73">
        <v>4.3019870000000002E-2</v>
      </c>
    </row>
    <row r="96" spans="2:4" x14ac:dyDescent="0.2">
      <c r="B96" s="72">
        <v>48101</v>
      </c>
      <c r="C96">
        <f t="shared" si="1"/>
        <v>8248</v>
      </c>
      <c r="D96" s="73">
        <v>4.2842489999999997E-2</v>
      </c>
    </row>
    <row r="97" spans="2:4" x14ac:dyDescent="0.2">
      <c r="B97" s="72">
        <v>48192</v>
      </c>
      <c r="C97">
        <f t="shared" si="1"/>
        <v>8339</v>
      </c>
      <c r="D97" s="73">
        <v>4.2667200000000002E-2</v>
      </c>
    </row>
    <row r="98" spans="2:4" x14ac:dyDescent="0.2">
      <c r="B98" s="72">
        <v>48283</v>
      </c>
      <c r="C98">
        <f t="shared" si="1"/>
        <v>8430</v>
      </c>
      <c r="D98" s="73">
        <v>4.2492080000000002E-2</v>
      </c>
    </row>
    <row r="99" spans="2:4" x14ac:dyDescent="0.2">
      <c r="B99" s="72">
        <v>48375</v>
      </c>
      <c r="C99">
        <f t="shared" si="1"/>
        <v>8522</v>
      </c>
      <c r="D99" s="73">
        <v>4.2315159999999997E-2</v>
      </c>
    </row>
    <row r="100" spans="2:4" x14ac:dyDescent="0.2">
      <c r="B100" s="72">
        <v>48467</v>
      </c>
      <c r="C100">
        <f t="shared" si="1"/>
        <v>8614</v>
      </c>
      <c r="D100" s="73">
        <v>4.2138389999999998E-2</v>
      </c>
    </row>
    <row r="101" spans="2:4" x14ac:dyDescent="0.2">
      <c r="B101" s="72">
        <v>48558</v>
      </c>
      <c r="C101">
        <f t="shared" si="1"/>
        <v>8705</v>
      </c>
      <c r="D101" s="73">
        <v>4.19637E-2</v>
      </c>
    </row>
    <row r="102" spans="2:4" x14ac:dyDescent="0.2">
      <c r="B102" s="72">
        <v>48648</v>
      </c>
      <c r="C102">
        <f t="shared" si="1"/>
        <v>8795</v>
      </c>
      <c r="D102" s="73">
        <v>4.179107E-2</v>
      </c>
    </row>
    <row r="103" spans="2:4" x14ac:dyDescent="0.2">
      <c r="B103" s="72">
        <v>48740</v>
      </c>
      <c r="C103">
        <f t="shared" si="1"/>
        <v>8887</v>
      </c>
      <c r="D103" s="73">
        <v>4.1614709999999999E-2</v>
      </c>
    </row>
    <row r="104" spans="2:4" x14ac:dyDescent="0.2">
      <c r="B104" s="72">
        <v>48834</v>
      </c>
      <c r="C104">
        <f t="shared" si="1"/>
        <v>8981</v>
      </c>
      <c r="D104" s="73">
        <v>4.1434619999999998E-2</v>
      </c>
    </row>
    <row r="105" spans="2:4" x14ac:dyDescent="0.2">
      <c r="B105" s="72">
        <v>48925</v>
      </c>
      <c r="C105">
        <f t="shared" si="1"/>
        <v>9072</v>
      </c>
      <c r="D105" s="73">
        <v>4.1260449999999997E-2</v>
      </c>
    </row>
    <row r="106" spans="2:4" x14ac:dyDescent="0.2">
      <c r="B106" s="72">
        <v>49013</v>
      </c>
      <c r="C106">
        <f t="shared" si="1"/>
        <v>9160</v>
      </c>
      <c r="D106" s="73">
        <v>4.1092179999999999E-2</v>
      </c>
    </row>
    <row r="107" spans="2:4" x14ac:dyDescent="0.2">
      <c r="B107" s="72">
        <v>49108</v>
      </c>
      <c r="C107">
        <f t="shared" si="1"/>
        <v>9255</v>
      </c>
      <c r="D107" s="73">
        <v>4.0944920000000003E-2</v>
      </c>
    </row>
    <row r="108" spans="2:4" x14ac:dyDescent="0.2">
      <c r="B108" s="72">
        <v>49198</v>
      </c>
      <c r="C108">
        <f t="shared" si="1"/>
        <v>9345</v>
      </c>
      <c r="D108" s="73">
        <v>4.0805399999999999E-2</v>
      </c>
    </row>
    <row r="109" spans="2:4" x14ac:dyDescent="0.2">
      <c r="B109" s="72">
        <v>49289</v>
      </c>
      <c r="C109">
        <f t="shared" si="1"/>
        <v>9436</v>
      </c>
      <c r="D109" s="73">
        <v>4.0664249999999999E-2</v>
      </c>
    </row>
    <row r="110" spans="2:4" x14ac:dyDescent="0.2">
      <c r="B110" s="72">
        <v>49380</v>
      </c>
      <c r="C110">
        <f t="shared" si="1"/>
        <v>9527</v>
      </c>
      <c r="D110" s="73">
        <v>4.052302E-2</v>
      </c>
    </row>
    <row r="111" spans="2:4" x14ac:dyDescent="0.2">
      <c r="B111" s="72">
        <v>49472</v>
      </c>
      <c r="C111">
        <f t="shared" si="1"/>
        <v>9619</v>
      </c>
      <c r="D111" s="73">
        <v>4.0380149999999997E-2</v>
      </c>
    </row>
    <row r="112" spans="2:4" x14ac:dyDescent="0.2">
      <c r="B112" s="72">
        <v>49562</v>
      </c>
      <c r="C112">
        <f t="shared" si="1"/>
        <v>9709</v>
      </c>
      <c r="D112" s="73">
        <v>4.0240339999999999E-2</v>
      </c>
    </row>
    <row r="113" spans="2:4" x14ac:dyDescent="0.2">
      <c r="B113" s="72">
        <v>49653</v>
      </c>
      <c r="C113">
        <f t="shared" si="1"/>
        <v>9800</v>
      </c>
      <c r="D113" s="73">
        <v>4.0098889999999998E-2</v>
      </c>
    </row>
    <row r="114" spans="2:4" x14ac:dyDescent="0.2">
      <c r="B114" s="72">
        <v>49744</v>
      </c>
      <c r="C114">
        <f t="shared" si="1"/>
        <v>9891</v>
      </c>
      <c r="D114" s="73">
        <v>3.9957369999999999E-2</v>
      </c>
    </row>
    <row r="115" spans="2:4" x14ac:dyDescent="0.2">
      <c r="B115" s="72">
        <v>49836</v>
      </c>
      <c r="C115">
        <f t="shared" si="1"/>
        <v>9983</v>
      </c>
      <c r="D115" s="73">
        <v>3.9814219999999997E-2</v>
      </c>
    </row>
    <row r="116" spans="2:4" x14ac:dyDescent="0.2">
      <c r="B116" s="72">
        <v>49928</v>
      </c>
      <c r="C116">
        <f t="shared" si="1"/>
        <v>10075</v>
      </c>
      <c r="D116" s="73">
        <v>3.9670999999999998E-2</v>
      </c>
    </row>
    <row r="117" spans="2:4" x14ac:dyDescent="0.2">
      <c r="B117" s="72">
        <v>50019</v>
      </c>
      <c r="C117">
        <f t="shared" si="1"/>
        <v>10166</v>
      </c>
      <c r="D117" s="73">
        <v>3.952928E-2</v>
      </c>
    </row>
    <row r="118" spans="2:4" x14ac:dyDescent="0.2">
      <c r="B118" s="72">
        <v>50109</v>
      </c>
      <c r="C118">
        <f t="shared" si="1"/>
        <v>10256</v>
      </c>
      <c r="D118" s="73">
        <v>3.938908E-2</v>
      </c>
    </row>
    <row r="119" spans="2:4" x14ac:dyDescent="0.2">
      <c r="B119" s="72">
        <v>50201</v>
      </c>
      <c r="C119">
        <f t="shared" si="1"/>
        <v>10348</v>
      </c>
      <c r="D119" s="73">
        <v>3.9245670000000003E-2</v>
      </c>
    </row>
    <row r="120" spans="2:4" x14ac:dyDescent="0.2">
      <c r="B120" s="72">
        <v>50293</v>
      </c>
      <c r="C120">
        <f t="shared" si="1"/>
        <v>10440</v>
      </c>
      <c r="D120" s="73">
        <v>3.9102209999999998E-2</v>
      </c>
    </row>
    <row r="121" spans="2:4" x14ac:dyDescent="0.2">
      <c r="B121" s="72">
        <v>50384</v>
      </c>
      <c r="C121">
        <f t="shared" si="1"/>
        <v>10531</v>
      </c>
      <c r="D121" s="73">
        <v>3.8960269999999998E-2</v>
      </c>
    </row>
    <row r="122" spans="2:4" x14ac:dyDescent="0.2">
      <c r="B122" s="72">
        <v>50474</v>
      </c>
      <c r="C122">
        <f t="shared" si="1"/>
        <v>10621</v>
      </c>
      <c r="D122" s="73">
        <v>3.8819850000000003E-2</v>
      </c>
    </row>
    <row r="123" spans="2:4" x14ac:dyDescent="0.2">
      <c r="B123" s="72">
        <v>50566</v>
      </c>
      <c r="C123">
        <f t="shared" si="1"/>
        <v>10713</v>
      </c>
      <c r="D123" s="73">
        <v>3.8676240000000001E-2</v>
      </c>
    </row>
    <row r="124" spans="2:4" x14ac:dyDescent="0.2">
      <c r="B124" s="72">
        <v>50658</v>
      </c>
      <c r="C124">
        <f t="shared" si="1"/>
        <v>10805</v>
      </c>
      <c r="D124" s="73">
        <v>3.8532589999999999E-2</v>
      </c>
    </row>
    <row r="125" spans="2:4" x14ac:dyDescent="0.2">
      <c r="B125" s="72">
        <v>50749</v>
      </c>
      <c r="C125">
        <f t="shared" si="1"/>
        <v>10896</v>
      </c>
      <c r="D125" s="73">
        <v>3.8390479999999998E-2</v>
      </c>
    </row>
    <row r="126" spans="2:4" x14ac:dyDescent="0.2">
      <c r="B126" s="72">
        <v>50839</v>
      </c>
      <c r="C126">
        <f t="shared" si="1"/>
        <v>10986</v>
      </c>
      <c r="D126" s="73">
        <v>3.8249900000000003E-2</v>
      </c>
    </row>
  </sheetData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L6007"/>
  <sheetViews>
    <sheetView showGridLines="0" zoomScale="90" workbookViewId="0">
      <selection activeCell="B2" sqref="B2"/>
    </sheetView>
  </sheetViews>
  <sheetFormatPr defaultRowHeight="12.75" outlineLevelCol="1" x14ac:dyDescent="0.2"/>
  <cols>
    <col min="1" max="1" width="12.42578125" customWidth="1" outlineLevel="1"/>
    <col min="2" max="3" width="13.5703125" customWidth="1" outlineLevel="1"/>
    <col min="4" max="4" width="11" customWidth="1" outlineLevel="1"/>
    <col min="5" max="5" width="15.42578125" style="114" bestFit="1" customWidth="1" outlineLevel="1"/>
    <col min="6" max="7" width="20" customWidth="1" outlineLevel="1"/>
    <col min="8" max="8" width="5.42578125" customWidth="1" outlineLevel="1"/>
    <col min="9" max="9" width="17.85546875" customWidth="1" outlineLevel="1"/>
    <col min="10" max="11" width="20.5703125" customWidth="1" outlineLevel="1"/>
    <col min="12" max="12" width="10.140625" style="73" customWidth="1" outlineLevel="1"/>
    <col min="13" max="13" width="12.85546875" style="73" customWidth="1" outlineLevel="1"/>
    <col min="14" max="14" width="13.7109375" style="84" customWidth="1" outlineLevel="1"/>
    <col min="15" max="15" width="9.140625" outlineLevel="1"/>
    <col min="16" max="16" width="4.85546875" customWidth="1"/>
    <col min="17" max="17" width="8" customWidth="1"/>
    <col min="18" max="18" width="9.7109375" customWidth="1"/>
    <col min="19" max="19" width="12.140625" bestFit="1" customWidth="1"/>
    <col min="20" max="20" width="13.5703125" customWidth="1"/>
    <col min="21" max="21" width="13.5703125" style="86" customWidth="1"/>
    <col min="22" max="22" width="13.5703125" customWidth="1"/>
    <col min="23" max="23" width="13.140625" customWidth="1"/>
    <col min="24" max="24" width="13.42578125" customWidth="1"/>
    <col min="25" max="25" width="11" bestFit="1" customWidth="1"/>
    <col min="26" max="26" width="13.5703125" bestFit="1" customWidth="1"/>
    <col min="27" max="27" width="13.5703125" customWidth="1"/>
    <col min="28" max="28" width="13.7109375" customWidth="1"/>
    <col min="29" max="29" width="13.140625" customWidth="1"/>
    <col min="30" max="30" width="13.5703125" customWidth="1"/>
    <col min="31" max="31" width="11" bestFit="1" customWidth="1"/>
    <col min="32" max="32" width="13.5703125" customWidth="1"/>
    <col min="33" max="33" width="13.140625" customWidth="1"/>
    <col min="34" max="34" width="13.5703125" bestFit="1" customWidth="1"/>
    <col min="35" max="35" width="11" bestFit="1" customWidth="1"/>
    <col min="36" max="36" width="12.5703125" customWidth="1"/>
    <col min="37" max="37" width="11" bestFit="1" customWidth="1"/>
    <col min="38" max="38" width="13.7109375" customWidth="1"/>
    <col min="39" max="39" width="13.28515625" customWidth="1"/>
    <col min="41" max="41" width="12.5703125" customWidth="1"/>
    <col min="42" max="42" width="12.85546875" customWidth="1"/>
    <col min="43" max="43" width="11" bestFit="1" customWidth="1"/>
    <col min="44" max="44" width="13.5703125" bestFit="1" customWidth="1"/>
    <col min="45" max="45" width="11.7109375" customWidth="1"/>
    <col min="46" max="46" width="15.42578125" customWidth="1"/>
    <col min="47" max="47" width="11.85546875" customWidth="1"/>
    <col min="48" max="48" width="12.85546875" customWidth="1"/>
    <col min="49" max="49" width="11.85546875" customWidth="1"/>
    <col min="50" max="50" width="12.85546875" customWidth="1"/>
    <col min="51" max="51" width="11.85546875" customWidth="1"/>
    <col min="52" max="52" width="12.85546875" customWidth="1"/>
    <col min="53" max="53" width="11.85546875" customWidth="1"/>
    <col min="54" max="54" width="12.85546875" customWidth="1"/>
    <col min="55" max="55" width="11.85546875" customWidth="1"/>
    <col min="56" max="56" width="12.85546875" customWidth="1"/>
    <col min="57" max="57" width="11.85546875" customWidth="1"/>
    <col min="58" max="58" width="12.85546875" customWidth="1"/>
  </cols>
  <sheetData>
    <row r="1" spans="1:38" ht="18" x14ac:dyDescent="0.25">
      <c r="A1" s="79" t="s">
        <v>51</v>
      </c>
      <c r="D1" s="80"/>
      <c r="E1" s="81"/>
      <c r="F1" s="81"/>
      <c r="I1" s="82" t="s">
        <v>52</v>
      </c>
      <c r="J1" s="83"/>
      <c r="R1" t="s">
        <v>53</v>
      </c>
      <c r="T1" s="85">
        <f>B2</f>
        <v>39849</v>
      </c>
      <c r="V1" s="87" t="s">
        <v>54</v>
      </c>
      <c r="W1" s="88">
        <f>K2</f>
        <v>39849</v>
      </c>
    </row>
    <row r="2" spans="1:38" ht="13.5" thickBot="1" x14ac:dyDescent="0.25">
      <c r="A2" t="s">
        <v>47</v>
      </c>
      <c r="B2" s="89">
        <v>39849</v>
      </c>
      <c r="C2" s="89"/>
      <c r="D2" s="90" t="s">
        <v>55</v>
      </c>
      <c r="E2" s="91" t="s">
        <v>56</v>
      </c>
      <c r="F2" s="90" t="s">
        <v>57</v>
      </c>
      <c r="G2" s="92" t="s">
        <v>58</v>
      </c>
      <c r="I2" s="93" t="s">
        <v>59</v>
      </c>
      <c r="J2" s="89"/>
      <c r="K2" s="89">
        <v>39849</v>
      </c>
      <c r="L2" s="94" t="s">
        <v>55</v>
      </c>
      <c r="M2" s="94" t="s">
        <v>56</v>
      </c>
      <c r="N2" s="95" t="s">
        <v>57</v>
      </c>
      <c r="O2" s="92" t="s">
        <v>58</v>
      </c>
      <c r="P2" s="73"/>
      <c r="Q2" s="96"/>
      <c r="R2" s="97" t="s">
        <v>60</v>
      </c>
      <c r="S2" s="98">
        <v>1</v>
      </c>
      <c r="T2" s="98"/>
      <c r="U2" s="98">
        <f>S2+1</f>
        <v>2</v>
      </c>
      <c r="V2" s="98"/>
      <c r="W2" s="98">
        <f>U2+1</f>
        <v>3</v>
      </c>
      <c r="X2" s="98"/>
      <c r="Y2" s="98">
        <f>W2+1</f>
        <v>4</v>
      </c>
      <c r="Z2" s="98"/>
      <c r="AA2" s="98">
        <f>Y2+1</f>
        <v>5</v>
      </c>
      <c r="AB2" s="98"/>
      <c r="AC2" s="98">
        <f>AA2+1</f>
        <v>6</v>
      </c>
      <c r="AD2" s="98"/>
      <c r="AE2" s="98">
        <f>AC2+1</f>
        <v>7</v>
      </c>
      <c r="AF2" s="98"/>
      <c r="AG2" s="98">
        <f>AE2+1</f>
        <v>8</v>
      </c>
      <c r="AH2" s="98"/>
      <c r="AI2" s="98">
        <f>AG2+1</f>
        <v>9</v>
      </c>
      <c r="AJ2" s="98"/>
      <c r="AK2" s="98">
        <f>AI2+1</f>
        <v>10</v>
      </c>
      <c r="AL2" s="98"/>
    </row>
    <row r="3" spans="1:38" ht="13.5" thickBot="1" x14ac:dyDescent="0.25">
      <c r="C3" s="99" t="str">
        <f t="shared" ref="C3:C66" si="0">D3&amp;G3</f>
        <v>AAC1</v>
      </c>
      <c r="D3" s="73" t="s">
        <v>246</v>
      </c>
      <c r="E3" s="100">
        <v>40067</v>
      </c>
      <c r="F3" s="101">
        <v>7.0000000000000007E-2</v>
      </c>
      <c r="G3" s="96">
        <f t="shared" ref="G3:G66" si="1">IF(D3&lt;&gt;D2,1,G2+1)</f>
        <v>1</v>
      </c>
      <c r="I3" s="102"/>
      <c r="K3" t="str">
        <f t="shared" ref="K3:K66" si="2">L3&amp;O3</f>
        <v>AAC1</v>
      </c>
      <c r="L3" s="73" t="s">
        <v>246</v>
      </c>
      <c r="M3" s="72">
        <v>40067</v>
      </c>
      <c r="N3" s="84">
        <v>7.0000000000000007E-2</v>
      </c>
      <c r="O3" s="96">
        <f t="shared" ref="O3:O66" si="3">IF(L3&lt;&gt;L2,1,O2+1)</f>
        <v>1</v>
      </c>
      <c r="P3" s="96"/>
      <c r="Q3" s="96"/>
      <c r="R3" s="103" t="s">
        <v>62</v>
      </c>
      <c r="S3" s="104" t="s">
        <v>2</v>
      </c>
      <c r="T3" s="104" t="s">
        <v>63</v>
      </c>
      <c r="U3" s="104" t="s">
        <v>2</v>
      </c>
      <c r="V3" s="104" t="s">
        <v>63</v>
      </c>
      <c r="W3" s="104" t="s">
        <v>2</v>
      </c>
      <c r="X3" s="104" t="s">
        <v>63</v>
      </c>
      <c r="Y3" s="104" t="s">
        <v>2</v>
      </c>
      <c r="Z3" s="104" t="s">
        <v>63</v>
      </c>
      <c r="AA3" s="104" t="s">
        <v>2</v>
      </c>
      <c r="AB3" s="104" t="s">
        <v>63</v>
      </c>
      <c r="AC3" s="104" t="s">
        <v>2</v>
      </c>
      <c r="AD3" s="104" t="s">
        <v>63</v>
      </c>
      <c r="AE3" s="104" t="s">
        <v>2</v>
      </c>
      <c r="AF3" s="104" t="s">
        <v>63</v>
      </c>
      <c r="AG3" s="104" t="s">
        <v>2</v>
      </c>
      <c r="AH3" s="104" t="s">
        <v>63</v>
      </c>
      <c r="AI3" s="104" t="s">
        <v>2</v>
      </c>
      <c r="AJ3" s="104" t="s">
        <v>63</v>
      </c>
      <c r="AK3" s="104" t="s">
        <v>2</v>
      </c>
      <c r="AL3" s="104" t="s">
        <v>63</v>
      </c>
    </row>
    <row r="4" spans="1:38" x14ac:dyDescent="0.2">
      <c r="C4" s="105" t="str">
        <f t="shared" si="0"/>
        <v>AAC2</v>
      </c>
      <c r="D4" s="73" t="s">
        <v>246</v>
      </c>
      <c r="E4" s="100">
        <v>40434</v>
      </c>
      <c r="F4" s="101">
        <v>7.0000000000000007E-2</v>
      </c>
      <c r="G4" s="96">
        <f t="shared" si="1"/>
        <v>2</v>
      </c>
      <c r="I4" s="102"/>
      <c r="K4" t="str">
        <f t="shared" si="2"/>
        <v>AAC2</v>
      </c>
      <c r="L4" s="73" t="s">
        <v>246</v>
      </c>
      <c r="M4" s="72">
        <v>40434</v>
      </c>
      <c r="N4" s="84">
        <v>7.0000000000000007E-2</v>
      </c>
      <c r="O4" s="96">
        <f t="shared" si="3"/>
        <v>2</v>
      </c>
      <c r="P4" s="96"/>
      <c r="Q4" s="96" t="s">
        <v>64</v>
      </c>
      <c r="R4" s="96" t="s">
        <v>68</v>
      </c>
      <c r="S4" s="106">
        <f>IF(ISNA(VLOOKUP($R4&amp;S$2,$C$3:$F$4001,3,0)),"",VLOOKUP($R4&amp;S$2,$C$3:$F$4001,3,0))</f>
        <v>39897</v>
      </c>
      <c r="T4" s="107">
        <f>IF(ISNA(VLOOKUP($R4&amp;S$2,$C$3:$F$4001,4,0)),"",VLOOKUP($R4&amp;S$2,$C$3:$F$4001,4,0))</f>
        <v>1.7500000000000002E-2</v>
      </c>
      <c r="U4" s="106">
        <f>IF(ISNA(VLOOKUP($R4&amp;U$2,$C$3:$F$4001,3,0)),"",VLOOKUP($R4&amp;U$2,$C$3:$F$4001,3,0))</f>
        <v>39988</v>
      </c>
      <c r="V4" s="107">
        <f>IF(ISNA(VLOOKUP($R4&amp;U$2,$C$3:$F$4001,4,0)),"",VLOOKUP($R4&amp;U$2,$C$3:$F$4001,4,0))</f>
        <v>1.7500000000000002E-2</v>
      </c>
      <c r="W4" s="106">
        <f>IF(ISNA(VLOOKUP($R4&amp;W$2,$C$3:$F$4001,3,0)),"",VLOOKUP($R4&amp;W$2,$C$3:$F$4001,3,0))</f>
        <v>40080</v>
      </c>
      <c r="X4" s="107">
        <f>IF(ISNA(VLOOKUP($R4&amp;W$2,$C$3:$F$4001,4,0)),"",VLOOKUP($R4&amp;W$2,$C$3:$F$4001,4,0))</f>
        <v>2.5000000000000001E-2</v>
      </c>
      <c r="Y4" s="106">
        <f>IF(ISNA(VLOOKUP($R4&amp;Y$2,$C$3:$F$4001,3,0)),"",VLOOKUP($R4&amp;Y$2,$C$3:$F$4001,3,0))</f>
        <v>40170</v>
      </c>
      <c r="Z4" s="107">
        <f>IF(ISNA(VLOOKUP($R4&amp;Y$2,$C$3:$F$4001,4,0)),"",VLOOKUP($R4&amp;Y$2,$C$3:$F$4001,4,0))</f>
        <v>2.5000000000000001E-2</v>
      </c>
      <c r="AA4" s="106">
        <f>IF(ISNA(VLOOKUP($R4&amp;AA$2,$C$3:$F$4001,3,0)),"",VLOOKUP($R4&amp;AA$2,$C$3:$F$4001,3,0))</f>
        <v>40262</v>
      </c>
      <c r="AB4" s="107">
        <f>IF(ISNA(VLOOKUP($R4&amp;AA$2,$C$3:$F$4001,4,0)),"",VLOOKUP($R4&amp;AA$2,$C$3:$F$4001,4,0))</f>
        <v>2.5000000000000001E-2</v>
      </c>
      <c r="AC4" s="106">
        <f>IF(ISNA(VLOOKUP($R4&amp;AC$2,$C$3:$F$4001,3,0)),"",VLOOKUP($R4&amp;AC$2,$C$3:$F$4001,3,0))</f>
        <v>40353</v>
      </c>
      <c r="AD4" s="107">
        <f>IF(ISNA(VLOOKUP($R4&amp;AC$2,$C$3:$F$4001,4,0)),"",VLOOKUP($R4&amp;AC$2,$C$3:$F$4001,4,0))</f>
        <v>2.5000000000000001E-2</v>
      </c>
      <c r="AE4" s="106">
        <f>IF(ISNA(VLOOKUP($R4&amp;AE$2,$C$3:$F$4001,3,0)),"",VLOOKUP($R4&amp;AE$2,$C$3:$F$4001,3,0))</f>
        <v>40445</v>
      </c>
      <c r="AF4" s="107">
        <f>IF(ISNA(VLOOKUP($R4&amp;AE$2,$C$3:$F$4001,4,0)),"",VLOOKUP($R4&amp;AE$2,$C$3:$F$4001,4,0))</f>
        <v>0.03</v>
      </c>
      <c r="AG4" s="106">
        <f>IF(ISNA(VLOOKUP($R4&amp;AG$2,$C$3:$F$4001,3,0)),"",VLOOKUP($R4&amp;AG$2,$C$3:$F$4001,3,0))</f>
        <v>40535</v>
      </c>
      <c r="AH4" s="107">
        <f>IF(ISNA(VLOOKUP($R4&amp;AG$2,$C$3:$F$4001,4,0)),"",VLOOKUP($R4&amp;AG$2,$C$3:$F$4001,4,0))</f>
        <v>0.03</v>
      </c>
      <c r="AI4" s="106">
        <f>IF(ISNA(VLOOKUP($R4&amp;AI$2,$C$3:$F$4001,3,0)),"",VLOOKUP($R4&amp;AI$2,$C$3:$F$4001,3,0))</f>
        <v>40627</v>
      </c>
      <c r="AJ4" s="107">
        <f>IF(ISNA(VLOOKUP($R4&amp;AI$2,$C$3:$F$4001,4,0)),"",VLOOKUP($R4&amp;AI$2,$C$3:$F$4001,4,0))</f>
        <v>0.03</v>
      </c>
      <c r="AK4" s="106">
        <f>IF(ISNA(VLOOKUP($R4&amp;AK$2,$C$3:$F$4001,3,0)),"",VLOOKUP($R4&amp;AK$2,$C$3:$F$4001,3,0))</f>
        <v>40718</v>
      </c>
      <c r="AL4" s="107">
        <f>IF(ISNA(VLOOKUP($R4&amp;AK$2,$C$3:$F$4001,4,0)),"",VLOOKUP($R4&amp;AK$2,$C$3:$F$4001,4,0))</f>
        <v>0.03</v>
      </c>
    </row>
    <row r="5" spans="1:38" x14ac:dyDescent="0.2">
      <c r="C5" s="99" t="str">
        <f t="shared" si="0"/>
        <v>AAC3</v>
      </c>
      <c r="D5" s="73" t="s">
        <v>246</v>
      </c>
      <c r="E5" s="100">
        <v>40799</v>
      </c>
      <c r="F5" s="101">
        <v>7.0000000000000007E-2</v>
      </c>
      <c r="G5" s="96">
        <f t="shared" si="1"/>
        <v>3</v>
      </c>
      <c r="I5" s="102"/>
      <c r="K5" t="str">
        <f t="shared" si="2"/>
        <v>AAC3</v>
      </c>
      <c r="L5" s="73" t="s">
        <v>246</v>
      </c>
      <c r="M5" s="72">
        <v>40799</v>
      </c>
      <c r="N5" s="84">
        <v>7.0000000000000007E-2</v>
      </c>
      <c r="O5" s="96">
        <f t="shared" si="3"/>
        <v>3</v>
      </c>
      <c r="P5" s="73"/>
      <c r="Q5" s="87" t="s">
        <v>65</v>
      </c>
      <c r="R5" s="96" t="str">
        <f>R4</f>
        <v>ABP</v>
      </c>
      <c r="S5" s="108">
        <f>IF(ISNA(VLOOKUP($R5&amp;S$2,$K$3:$N$4001,3,0)),"",VLOOKUP($R5&amp;S$2,$K$3:$N$4001,3,0))</f>
        <v>39897</v>
      </c>
      <c r="T5" s="109">
        <f>IF(ISNA(VLOOKUP($R5&amp;S$2,$K$3:$N$4001,4,0)),"",VLOOKUP($R5&amp;S$2,$K$3:$N$4001,4,0))</f>
        <v>1.7500000000000002E-2</v>
      </c>
      <c r="U5" s="108">
        <f>IF(ISNA(VLOOKUP($R5&amp;U$2,$K$3:$N$4001,3,0)),"",VLOOKUP($R5&amp;U$2,$K$3:$N$4001,3,0))</f>
        <v>39988</v>
      </c>
      <c r="V5" s="109">
        <f>IF(ISNA(VLOOKUP($R5&amp;U$2,$K$3:$N$4001,4,0)),"",VLOOKUP($R5&amp;U$2,$K$3:$N$4001,4,0))</f>
        <v>1.7500000000000002E-2</v>
      </c>
      <c r="W5" s="108">
        <f>IF(ISNA(VLOOKUP($R5&amp;W$2,$K$3:$N$4001,3,0)),"",VLOOKUP($R5&amp;W$2,$K$3:$N$4001,3,0))</f>
        <v>40080</v>
      </c>
      <c r="X5" s="109">
        <f>IF(ISNA(VLOOKUP($R5&amp;W$2,$K$3:$N$4001,4,0)),"",VLOOKUP($R5&amp;W$2,$K$3:$N$4001,4,0))</f>
        <v>2.5000000000000001E-2</v>
      </c>
      <c r="Y5" s="108">
        <f>IF(ISNA(VLOOKUP($R5&amp;Y$2,$K$3:$N$4001,3,0)),"",VLOOKUP($R5&amp;Y$2,$K$3:$N$4001,3,0))</f>
        <v>40170</v>
      </c>
      <c r="Z5" s="109">
        <f>IF(ISNA(VLOOKUP($R5&amp;Y$2,$K$3:$N$4001,4,0)),"",VLOOKUP($R5&amp;Y$2,$K$3:$N$4001,4,0))</f>
        <v>2.5000000000000001E-2</v>
      </c>
      <c r="AA5" s="108">
        <f>IF(ISNA(VLOOKUP($R5&amp;AA$2,$K$3:$N$4001,3,0)),"",VLOOKUP($R5&amp;AA$2,$K$3:$N$4001,3,0))</f>
        <v>40262</v>
      </c>
      <c r="AB5" s="109">
        <f>IF(ISNA(VLOOKUP($R5&amp;AA$2,$K$3:$N$4001,4,0)),"",VLOOKUP($R5&amp;AA$2,$K$3:$N$4001,4,0))</f>
        <v>2.5000000000000001E-2</v>
      </c>
      <c r="AC5" s="108">
        <f>IF(ISNA(VLOOKUP($R5&amp;AC$2,$K$3:$N$4001,3,0)),"",VLOOKUP($R5&amp;AC$2,$K$3:$N$4001,3,0))</f>
        <v>40353</v>
      </c>
      <c r="AD5" s="109">
        <f>IF(ISNA(VLOOKUP($R5&amp;AC$2,$K$3:$N$4001,4,0)),"",VLOOKUP($R5&amp;AC$2,$K$3:$N$4001,4,0))</f>
        <v>2.5000000000000001E-2</v>
      </c>
      <c r="AE5" s="108">
        <f>IF(ISNA(VLOOKUP($R5&amp;AE$2,$K$3:$N$4001,3,0)),"",VLOOKUP($R5&amp;AE$2,$K$3:$N$4001,3,0))</f>
        <v>40445</v>
      </c>
      <c r="AF5" s="109">
        <f>IF(ISNA(VLOOKUP($R5&amp;AE$2,$K$3:$N$4001,4,0)),"",VLOOKUP($R5&amp;AE$2,$K$3:$N$4001,4,0))</f>
        <v>0.03</v>
      </c>
      <c r="AG5" s="108">
        <f>IF(ISNA(VLOOKUP($R5&amp;AG$2,$K$3:$N$4001,3,0)),"",VLOOKUP($R5&amp;AG$2,$K$3:$N$4001,3,0))</f>
        <v>40535</v>
      </c>
      <c r="AH5" s="109">
        <f>IF(ISNA(VLOOKUP($R5&amp;AG$2,$K$3:$N$4001,4,0)),"",VLOOKUP($R5&amp;AG$2,$K$3:$N$4001,4,0))</f>
        <v>0.03</v>
      </c>
      <c r="AI5" s="108">
        <f>IF(ISNA(VLOOKUP($R5&amp;AI$2,$K$3:$N$4001,3,0)),"",VLOOKUP($R5&amp;AI$2,$K$3:$N$4001,3,0))</f>
        <v>40627</v>
      </c>
      <c r="AJ5" s="109">
        <f>IF(ISNA(VLOOKUP($R5&amp;AI$2,$K$3:$N$4001,4,0)),"",VLOOKUP($R5&amp;AI$2,$K$3:$N$4001,4,0))</f>
        <v>0.03</v>
      </c>
      <c r="AK5" s="108">
        <f>IF(ISNA(VLOOKUP($R5&amp;AK$2,$K$3:$N$4001,3,0)),"",VLOOKUP($R5&amp;AK$2,$K$3:$N$4001,3,0))</f>
        <v>40718</v>
      </c>
      <c r="AL5" s="109">
        <f>IF(ISNA(VLOOKUP($R5&amp;AK$2,$K$3:$N$4001,4,0)),"",VLOOKUP($R5&amp;AK$2,$K$3:$N$4001,4,0))</f>
        <v>0.03</v>
      </c>
    </row>
    <row r="6" spans="1:38" x14ac:dyDescent="0.2">
      <c r="C6" s="96" t="str">
        <f t="shared" si="0"/>
        <v>AAC4</v>
      </c>
      <c r="D6" s="73" t="s">
        <v>246</v>
      </c>
      <c r="E6" s="100">
        <v>41165</v>
      </c>
      <c r="F6" s="101">
        <v>7.0000000000000007E-2</v>
      </c>
      <c r="G6" s="96">
        <f t="shared" si="1"/>
        <v>4</v>
      </c>
      <c r="I6" s="102"/>
      <c r="K6" t="str">
        <f t="shared" si="2"/>
        <v>AAC4</v>
      </c>
      <c r="L6" s="73" t="s">
        <v>246</v>
      </c>
      <c r="M6" s="72">
        <v>41165</v>
      </c>
      <c r="N6" s="84">
        <v>7.0000000000000007E-2</v>
      </c>
      <c r="O6" s="96">
        <f t="shared" si="3"/>
        <v>4</v>
      </c>
      <c r="P6" s="73"/>
      <c r="Q6" s="96"/>
      <c r="R6" s="96" t="s">
        <v>66</v>
      </c>
      <c r="S6" s="106">
        <f>IF(ISNA(VLOOKUP($R6&amp;S$2,$C$3:$F$4001,3,0)),"",VLOOKUP($R6&amp;S$2,$C$3:$F$4001,3,0))</f>
        <v>39974</v>
      </c>
      <c r="T6" s="107">
        <f>IF(ISNA(VLOOKUP($R6&amp;S$2,$C$3:$F$4001,4,0)),"",VLOOKUP($R6&amp;S$2,$C$3:$F$4001,4,0))</f>
        <v>8.8699999999999987E-2</v>
      </c>
      <c r="U6" s="106">
        <f>IF(ISNA(VLOOKUP($R6&amp;U$2,$C$3:$F$4001,3,0)),"",VLOOKUP($R6&amp;U$2,$C$3:$F$4001,3,0))</f>
        <v>40339</v>
      </c>
      <c r="V6" s="107">
        <f>IF(ISNA(VLOOKUP($R6&amp;U$2,$C$3:$F$4001,4,0)),"",VLOOKUP($R6&amp;U$2,$C$3:$F$4001,4,0))</f>
        <v>0.11869999999999999</v>
      </c>
      <c r="W6" s="106">
        <f>IF(ISNA(VLOOKUP($R6&amp;W$2,$C$3:$F$4001,3,0)),"",VLOOKUP($R6&amp;W$2,$C$3:$F$4001,3,0))</f>
        <v>40525</v>
      </c>
      <c r="X6" s="107">
        <f>IF(ISNA(VLOOKUP($R6&amp;W$2,$C$3:$F$4001,4,0)),"",VLOOKUP($R6&amp;W$2,$C$3:$F$4001,4,0))</f>
        <v>0.17730000000000001</v>
      </c>
      <c r="Y6" s="106">
        <f>IF(ISNA(VLOOKUP($R6&amp;Y$2,$C$3:$F$4001,3,0)),"",VLOOKUP($R6&amp;Y$2,$C$3:$F$4001,3,0))</f>
        <v>40704</v>
      </c>
      <c r="Z6" s="107">
        <f>IF(ISNA(VLOOKUP($R6&amp;Y$2,$C$3:$F$4001,4,0)),"",VLOOKUP($R6&amp;Y$2,$C$3:$F$4001,4,0))</f>
        <v>0.128</v>
      </c>
      <c r="AA6" s="106">
        <f>IF(ISNA(VLOOKUP($R6&amp;AA$2,$C$3:$F$4001,3,0)),"",VLOOKUP($R6&amp;AA$2,$C$3:$F$4001,3,0))</f>
        <v>40890</v>
      </c>
      <c r="AB6" s="107">
        <f>IF(ISNA(VLOOKUP($R6&amp;AA$2,$C$3:$F$4001,4,0)),"",VLOOKUP($R6&amp;AA$2,$C$3:$F$4001,4,0))</f>
        <v>0.23730000000000001</v>
      </c>
      <c r="AC6" s="106">
        <f>IF(ISNA(VLOOKUP($R6&amp;AC$2,$C$3:$F$4001,3,0)),"",VLOOKUP($R6&amp;AC$2,$C$3:$F$4001,3,0))</f>
        <v>41072</v>
      </c>
      <c r="AD6" s="107">
        <f>IF(ISNA(VLOOKUP($R6&amp;AC$2,$C$3:$F$4001,4,0)),"",VLOOKUP($R6&amp;AC$2,$C$3:$F$4001,4,0))</f>
        <v>0.13170000000000001</v>
      </c>
      <c r="AE6" s="106">
        <f>IF(ISNA(VLOOKUP($R6&amp;AE$2,$C$3:$F$4001,3,0)),"",VLOOKUP($R6&amp;AE$2,$C$3:$F$4001,3,0))</f>
        <v>41256</v>
      </c>
      <c r="AF6" s="107">
        <f>IF(ISNA(VLOOKUP($R6&amp;AE$2,$C$3:$F$4001,4,0)),"",VLOOKUP($R6&amp;AE$2,$C$3:$F$4001,4,0))</f>
        <v>0.25600000000000001</v>
      </c>
      <c r="AG6" s="106">
        <f>IF(ISNA(VLOOKUP($R6&amp;AG$2,$C$3:$F$4001,3,0)),"",VLOOKUP($R6&amp;AG$2,$C$3:$F$4001,3,0))</f>
        <v>41437</v>
      </c>
      <c r="AH6" s="107">
        <f>IF(ISNA(VLOOKUP($R6&amp;AG$2,$C$3:$F$4001,4,0)),"",VLOOKUP($R6&amp;AG$2,$C$3:$F$4001,4,0))</f>
        <v>0.18340000000000001</v>
      </c>
      <c r="AI6" s="106">
        <f>IF(ISNA(VLOOKUP($R6&amp;AI$2,$C$3:$F$4001,3,0)),"",VLOOKUP($R6&amp;AI$2,$C$3:$F$4001,3,0))</f>
        <v>41621</v>
      </c>
      <c r="AJ6" s="107">
        <f>IF(ISNA(VLOOKUP($R6&amp;AI$2,$C$3:$F$4001,4,0)),"",VLOOKUP($R6&amp;AI$2,$C$3:$F$4001,4,0))</f>
        <v>0.26329999999999998</v>
      </c>
      <c r="AK6" s="106">
        <f>IF(ISNA(VLOOKUP($R6&amp;AK$2,$C$3:$F$4001,3,0)),"",VLOOKUP($R6&amp;AK$2,$C$3:$F$4001,3,0))</f>
        <v>41988</v>
      </c>
      <c r="AL6" s="107">
        <f>IF(ISNA(VLOOKUP($R6&amp;AK$2,$C$3:$F$4001,4,0)),"",VLOOKUP($R6&amp;AK$2,$C$3:$F$4001,4,0))</f>
        <v>0.36659999999999998</v>
      </c>
    </row>
    <row r="7" spans="1:38" x14ac:dyDescent="0.2">
      <c r="C7" s="96" t="str">
        <f t="shared" si="0"/>
        <v>AAC5</v>
      </c>
      <c r="D7" s="73" t="s">
        <v>246</v>
      </c>
      <c r="E7" s="100">
        <v>41530</v>
      </c>
      <c r="F7" s="101">
        <v>7.0000000000000007E-2</v>
      </c>
      <c r="G7" s="96">
        <f t="shared" si="1"/>
        <v>5</v>
      </c>
      <c r="I7" s="102"/>
      <c r="K7" t="str">
        <f t="shared" si="2"/>
        <v>AAC5</v>
      </c>
      <c r="L7" s="73" t="s">
        <v>246</v>
      </c>
      <c r="M7" s="72">
        <v>41530</v>
      </c>
      <c r="N7" s="84">
        <v>7.0000000000000007E-2</v>
      </c>
      <c r="O7" s="96">
        <f t="shared" si="3"/>
        <v>5</v>
      </c>
      <c r="P7" s="73"/>
      <c r="Q7" s="96"/>
      <c r="R7" s="96" t="str">
        <f>R6</f>
        <v>ABB</v>
      </c>
      <c r="S7" s="108">
        <f>IF(ISNA(VLOOKUP($R7&amp;S$2,$K$3:$N$4001,3,0)),"",VLOOKUP($R7&amp;S$2,$K$3:$N$4001,3,0))</f>
        <v>39974</v>
      </c>
      <c r="T7" s="109">
        <f>IF(ISNA(VLOOKUP($R7&amp;S$2,$K$3:$N$4001,4,0)),"",VLOOKUP($R7&amp;S$2,$K$3:$N$4001,4,0))</f>
        <v>8.8699999999999987E-2</v>
      </c>
      <c r="U7" s="108">
        <f>IF(ISNA(VLOOKUP($R7&amp;U$2,$K$3:$N$4001,3,0)),"",VLOOKUP($R7&amp;U$2,$K$3:$N$4001,3,0))</f>
        <v>40339</v>
      </c>
      <c r="V7" s="109">
        <f>IF(ISNA(VLOOKUP($R7&amp;U$2,$K$3:$N$4001,4,0)),"",VLOOKUP($R7&amp;U$2,$K$3:$N$4001,4,0))</f>
        <v>0.11869999999999999</v>
      </c>
      <c r="W7" s="108">
        <f>IF(ISNA(VLOOKUP($R7&amp;W$2,$K$3:$N$4001,3,0)),"",VLOOKUP($R7&amp;W$2,$K$3:$N$4001,3,0))</f>
        <v>40525</v>
      </c>
      <c r="X7" s="109">
        <f>IF(ISNA(VLOOKUP($R7&amp;W$2,$K$3:$N$4001,4,0)),"",VLOOKUP($R7&amp;W$2,$K$3:$N$4001,4,0))</f>
        <v>0.17730000000000001</v>
      </c>
      <c r="Y7" s="108">
        <f>IF(ISNA(VLOOKUP($R7&amp;Y$2,$K$3:$N$4001,3,0)),"",VLOOKUP($R7&amp;Y$2,$K$3:$N$4001,3,0))</f>
        <v>40704</v>
      </c>
      <c r="Z7" s="109">
        <f>IF(ISNA(VLOOKUP($R7&amp;Y$2,$K$3:$N$4001,4,0)),"",VLOOKUP($R7&amp;Y$2,$K$3:$N$4001,4,0))</f>
        <v>0.128</v>
      </c>
      <c r="AA7" s="108">
        <f>IF(ISNA(VLOOKUP($R7&amp;AA$2,$K$3:$N$4001,3,0)),"",VLOOKUP($R7&amp;AA$2,$K$3:$N$4001,3,0))</f>
        <v>40890</v>
      </c>
      <c r="AB7" s="109">
        <f>IF(ISNA(VLOOKUP($R7&amp;AA$2,$K$3:$N$4001,4,0)),"",VLOOKUP($R7&amp;AA$2,$K$3:$N$4001,4,0))</f>
        <v>0.23730000000000001</v>
      </c>
      <c r="AC7" s="108">
        <f>IF(ISNA(VLOOKUP($R7&amp;AC$2,$K$3:$N$4001,3,0)),"",VLOOKUP($R7&amp;AC$2,$K$3:$N$4001,3,0))</f>
        <v>41072</v>
      </c>
      <c r="AD7" s="109">
        <f>IF(ISNA(VLOOKUP($R7&amp;AC$2,$K$3:$N$4001,4,0)),"",VLOOKUP($R7&amp;AC$2,$K$3:$N$4001,4,0))</f>
        <v>0.13170000000000001</v>
      </c>
      <c r="AE7" s="108">
        <f>IF(ISNA(VLOOKUP($R7&amp;AE$2,$K$3:$N$4001,3,0)),"",VLOOKUP($R7&amp;AE$2,$K$3:$N$4001,3,0))</f>
        <v>41256</v>
      </c>
      <c r="AF7" s="109">
        <f>IF(ISNA(VLOOKUP($R7&amp;AE$2,$K$3:$N$4001,4,0)),"",VLOOKUP($R7&amp;AE$2,$K$3:$N$4001,4,0))</f>
        <v>0.25600000000000001</v>
      </c>
      <c r="AG7" s="108">
        <f>IF(ISNA(VLOOKUP($R7&amp;AG$2,$K$3:$N$4001,3,0)),"",VLOOKUP($R7&amp;AG$2,$K$3:$N$4001,3,0))</f>
        <v>41437</v>
      </c>
      <c r="AH7" s="109">
        <f>IF(ISNA(VLOOKUP($R7&amp;AG$2,$K$3:$N$4001,4,0)),"",VLOOKUP($R7&amp;AG$2,$K$3:$N$4001,4,0))</f>
        <v>0.18340000000000001</v>
      </c>
      <c r="AI7" s="108">
        <f>IF(ISNA(VLOOKUP($R7&amp;AI$2,$K$3:$N$4001,3,0)),"",VLOOKUP($R7&amp;AI$2,$K$3:$N$4001,3,0))</f>
        <v>41621</v>
      </c>
      <c r="AJ7" s="109">
        <f>IF(ISNA(VLOOKUP($R7&amp;AI$2,$K$3:$N$4001,4,0)),"",VLOOKUP($R7&amp;AI$2,$K$3:$N$4001,4,0))</f>
        <v>0.26329999999999998</v>
      </c>
      <c r="AK7" s="108">
        <f>IF(ISNA(VLOOKUP($R7&amp;AK$2,$K$3:$N$4001,3,0)),"",VLOOKUP($R7&amp;AK$2,$K$3:$N$4001,3,0))</f>
        <v>41988</v>
      </c>
      <c r="AL7" s="109">
        <f>IF(ISNA(VLOOKUP($R7&amp;AK$2,$K$3:$N$4001,4,0)),"",VLOOKUP($R7&amp;AK$2,$K$3:$N$4001,4,0))</f>
        <v>0.36659999999999998</v>
      </c>
    </row>
    <row r="8" spans="1:38" x14ac:dyDescent="0.2">
      <c r="C8" s="96" t="str">
        <f t="shared" si="0"/>
        <v>AAC6</v>
      </c>
      <c r="D8" s="73" t="s">
        <v>246</v>
      </c>
      <c r="E8" s="100">
        <v>41897</v>
      </c>
      <c r="F8" s="101">
        <v>7.0000000000000007E-2</v>
      </c>
      <c r="G8" s="96">
        <f t="shared" si="1"/>
        <v>6</v>
      </c>
      <c r="I8" s="102"/>
      <c r="K8" t="str">
        <f t="shared" si="2"/>
        <v>AAC6</v>
      </c>
      <c r="L8" s="73" t="s">
        <v>246</v>
      </c>
      <c r="M8" s="72">
        <v>41897</v>
      </c>
      <c r="N8" s="84">
        <v>7.0000000000000007E-2</v>
      </c>
      <c r="O8" s="96">
        <f t="shared" si="3"/>
        <v>6</v>
      </c>
      <c r="P8" s="73"/>
      <c r="Q8" s="96"/>
      <c r="R8" s="96" t="s">
        <v>256</v>
      </c>
      <c r="S8" s="106" t="str">
        <f>IF(ISNA(VLOOKUP($R8&amp;S$2,$C$3:$F$4001,3,0)),"",VLOOKUP($R8&amp;S$2,$C$3:$F$4001,3,0))</f>
        <v/>
      </c>
      <c r="T8" s="107" t="str">
        <f>IF(ISNA(VLOOKUP($R8&amp;S$2,$C$3:$F$4001,4,0)),"",VLOOKUP($R8&amp;S$2,$C$3:$F$4001,4,0))</f>
        <v/>
      </c>
      <c r="U8" s="106" t="str">
        <f>IF(ISNA(VLOOKUP($R8&amp;U$2,$C$3:$F$4001,3,0)),"",VLOOKUP($R8&amp;U$2,$C$3:$F$4001,3,0))</f>
        <v/>
      </c>
      <c r="V8" s="107" t="str">
        <f>IF(ISNA(VLOOKUP($R8&amp;U$2,$C$3:$F$4001,4,0)),"",VLOOKUP($R8&amp;U$2,$C$3:$F$4001,4,0))</f>
        <v/>
      </c>
      <c r="W8" s="106" t="str">
        <f>IF(ISNA(VLOOKUP($R8&amp;W$2,$C$3:$F$4001,3,0)),"",VLOOKUP($R8&amp;W$2,$C$3:$F$4001,3,0))</f>
        <v/>
      </c>
      <c r="X8" s="107" t="str">
        <f>IF(ISNA(VLOOKUP($R8&amp;W$2,$C$3:$F$4001,4,0)),"",VLOOKUP($R8&amp;W$2,$C$3:$F$4001,4,0))</f>
        <v/>
      </c>
      <c r="Y8" s="106" t="str">
        <f>IF(ISNA(VLOOKUP($R8&amp;Y$2,$C$3:$F$4001,3,0)),"",VLOOKUP($R8&amp;Y$2,$C$3:$F$4001,3,0))</f>
        <v/>
      </c>
      <c r="Z8" s="107" t="str">
        <f>IF(ISNA(VLOOKUP($R8&amp;Y$2,$C$3:$F$4001,4,0)),"",VLOOKUP($R8&amp;Y$2,$C$3:$F$4001,4,0))</f>
        <v/>
      </c>
      <c r="AA8" s="106" t="str">
        <f>IF(ISNA(VLOOKUP($R8&amp;AA$2,$C$3:$F$4001,3,0)),"",VLOOKUP($R8&amp;AA$2,$C$3:$F$4001,3,0))</f>
        <v/>
      </c>
      <c r="AB8" s="107" t="str">
        <f>IF(ISNA(VLOOKUP($R8&amp;AA$2,$C$3:$F$4001,4,0)),"",VLOOKUP($R8&amp;AA$2,$C$3:$F$4001,4,0))</f>
        <v/>
      </c>
      <c r="AC8" s="106" t="str">
        <f>IF(ISNA(VLOOKUP($R8&amp;AC$2,$C$3:$F$4001,3,0)),"",VLOOKUP($R8&amp;AC$2,$C$3:$F$4001,3,0))</f>
        <v/>
      </c>
      <c r="AD8" s="107" t="str">
        <f>IF(ISNA(VLOOKUP($R8&amp;AC$2,$C$3:$F$4001,4,0)),"",VLOOKUP($R8&amp;AC$2,$C$3:$F$4001,4,0))</f>
        <v/>
      </c>
      <c r="AE8" s="106" t="str">
        <f>IF(ISNA(VLOOKUP($R8&amp;AE$2,$C$3:$F$4001,3,0)),"",VLOOKUP($R8&amp;AE$2,$C$3:$F$4001,3,0))</f>
        <v/>
      </c>
      <c r="AF8" s="107" t="str">
        <f>IF(ISNA(VLOOKUP($R8&amp;AE$2,$C$3:$F$4001,4,0)),"",VLOOKUP($R8&amp;AE$2,$C$3:$F$4001,4,0))</f>
        <v/>
      </c>
      <c r="AG8" s="106" t="str">
        <f>IF(ISNA(VLOOKUP($R8&amp;AG$2,$C$3:$F$4001,3,0)),"",VLOOKUP($R8&amp;AG$2,$C$3:$F$4001,3,0))</f>
        <v/>
      </c>
      <c r="AH8" s="107" t="str">
        <f>IF(ISNA(VLOOKUP($R8&amp;AG$2,$C$3:$F$4001,4,0)),"",VLOOKUP($R8&amp;AG$2,$C$3:$F$4001,4,0))</f>
        <v/>
      </c>
      <c r="AI8" s="106" t="str">
        <f>IF(ISNA(VLOOKUP($R8&amp;AI$2,$C$3:$F$4001,3,0)),"",VLOOKUP($R8&amp;AI$2,$C$3:$F$4001,3,0))</f>
        <v/>
      </c>
      <c r="AJ8" s="107" t="str">
        <f>IF(ISNA(VLOOKUP($R8&amp;AI$2,$C$3:$F$4001,4,0)),"",VLOOKUP($R8&amp;AI$2,$C$3:$F$4001,4,0))</f>
        <v/>
      </c>
      <c r="AK8" s="106" t="str">
        <f>IF(ISNA(VLOOKUP($R8&amp;AK$2,$C$3:$F$4001,3,0)),"",VLOOKUP($R8&amp;AK$2,$C$3:$F$4001,3,0))</f>
        <v/>
      </c>
      <c r="AL8" s="107" t="str">
        <f>IF(ISNA(VLOOKUP($R8&amp;AK$2,$C$3:$F$4001,4,0)),"",VLOOKUP($R8&amp;AK$2,$C$3:$F$4001,4,0))</f>
        <v/>
      </c>
    </row>
    <row r="9" spans="1:38" x14ac:dyDescent="0.2">
      <c r="C9" s="96" t="str">
        <f t="shared" si="0"/>
        <v>AAX1</v>
      </c>
      <c r="D9" s="73" t="s">
        <v>61</v>
      </c>
      <c r="E9" s="100">
        <v>39871</v>
      </c>
      <c r="F9" s="101">
        <v>0.25</v>
      </c>
      <c r="G9" s="96">
        <f t="shared" si="1"/>
        <v>1</v>
      </c>
      <c r="I9" s="102"/>
      <c r="K9" t="str">
        <f t="shared" si="2"/>
        <v>AAX1</v>
      </c>
      <c r="L9" s="73" t="s">
        <v>61</v>
      </c>
      <c r="M9" s="72">
        <v>39871</v>
      </c>
      <c r="N9" s="84">
        <v>0.25</v>
      </c>
      <c r="O9" s="96">
        <f t="shared" si="3"/>
        <v>1</v>
      </c>
      <c r="P9" s="73"/>
      <c r="Q9" s="96"/>
      <c r="R9" s="96" t="str">
        <f>R8</f>
        <v>ABS</v>
      </c>
      <c r="S9" s="108" t="str">
        <f>IF(ISNA(VLOOKUP($R9&amp;S$2,$K$3:$N$4001,3,0)),"",VLOOKUP($R9&amp;S$2,$K$3:$N$4001,3,0))</f>
        <v/>
      </c>
      <c r="T9" s="109" t="str">
        <f>IF(ISNA(VLOOKUP($R9&amp;S$2,$K$3:$N$4001,4,0)),"",VLOOKUP($R9&amp;S$2,$K$3:$N$4001,4,0))</f>
        <v/>
      </c>
      <c r="U9" s="108" t="str">
        <f>IF(ISNA(VLOOKUP($R9&amp;U$2,$K$3:$N$4001,3,0)),"",VLOOKUP($R9&amp;U$2,$K$3:$N$4001,3,0))</f>
        <v/>
      </c>
      <c r="V9" s="109" t="str">
        <f>IF(ISNA(VLOOKUP($R9&amp;U$2,$K$3:$N$4001,4,0)),"",VLOOKUP($R9&amp;U$2,$K$3:$N$4001,4,0))</f>
        <v/>
      </c>
      <c r="W9" s="108" t="str">
        <f>IF(ISNA(VLOOKUP($R9&amp;W$2,$K$3:$N$4001,3,0)),"",VLOOKUP($R9&amp;W$2,$K$3:$N$4001,3,0))</f>
        <v/>
      </c>
      <c r="X9" s="109" t="str">
        <f>IF(ISNA(VLOOKUP($R9&amp;W$2,$K$3:$N$4001,4,0)),"",VLOOKUP($R9&amp;W$2,$K$3:$N$4001,4,0))</f>
        <v/>
      </c>
      <c r="Y9" s="108" t="str">
        <f>IF(ISNA(VLOOKUP($R9&amp;Y$2,$K$3:$N$4001,3,0)),"",VLOOKUP($R9&amp;Y$2,$K$3:$N$4001,3,0))</f>
        <v/>
      </c>
      <c r="Z9" s="109" t="str">
        <f>IF(ISNA(VLOOKUP($R9&amp;Y$2,$K$3:$N$4001,4,0)),"",VLOOKUP($R9&amp;Y$2,$K$3:$N$4001,4,0))</f>
        <v/>
      </c>
      <c r="AA9" s="108" t="str">
        <f>IF(ISNA(VLOOKUP($R9&amp;AA$2,$K$3:$N$4001,3,0)),"",VLOOKUP($R9&amp;AA$2,$K$3:$N$4001,3,0))</f>
        <v/>
      </c>
      <c r="AB9" s="109" t="str">
        <f>IF(ISNA(VLOOKUP($R9&amp;AA$2,$K$3:$N$4001,4,0)),"",VLOOKUP($R9&amp;AA$2,$K$3:$N$4001,4,0))</f>
        <v/>
      </c>
      <c r="AC9" s="108" t="str">
        <f>IF(ISNA(VLOOKUP($R9&amp;AC$2,$K$3:$N$4001,3,0)),"",VLOOKUP($R9&amp;AC$2,$K$3:$N$4001,3,0))</f>
        <v/>
      </c>
      <c r="AD9" s="109" t="str">
        <f>IF(ISNA(VLOOKUP($R9&amp;AC$2,$K$3:$N$4001,4,0)),"",VLOOKUP($R9&amp;AC$2,$K$3:$N$4001,4,0))</f>
        <v/>
      </c>
      <c r="AE9" s="108" t="str">
        <f>IF(ISNA(VLOOKUP($R9&amp;AE$2,$K$3:$N$4001,3,0)),"",VLOOKUP($R9&amp;AE$2,$K$3:$N$4001,3,0))</f>
        <v/>
      </c>
      <c r="AF9" s="109" t="str">
        <f>IF(ISNA(VLOOKUP($R9&amp;AE$2,$K$3:$N$4001,4,0)),"",VLOOKUP($R9&amp;AE$2,$K$3:$N$4001,4,0))</f>
        <v/>
      </c>
      <c r="AG9" s="108" t="str">
        <f>IF(ISNA(VLOOKUP($R9&amp;AG$2,$K$3:$N$4001,3,0)),"",VLOOKUP($R9&amp;AG$2,$K$3:$N$4001,3,0))</f>
        <v/>
      </c>
      <c r="AH9" s="109" t="str">
        <f>IF(ISNA(VLOOKUP($R9&amp;AG$2,$K$3:$N$4001,4,0)),"",VLOOKUP($R9&amp;AG$2,$K$3:$N$4001,4,0))</f>
        <v/>
      </c>
      <c r="AI9" s="108" t="str">
        <f>IF(ISNA(VLOOKUP($R9&amp;AI$2,$K$3:$N$4001,3,0)),"",VLOOKUP($R9&amp;AI$2,$K$3:$N$4001,3,0))</f>
        <v/>
      </c>
      <c r="AJ9" s="109" t="str">
        <f>IF(ISNA(VLOOKUP($R9&amp;AI$2,$K$3:$N$4001,4,0)),"",VLOOKUP($R9&amp;AI$2,$K$3:$N$4001,4,0))</f>
        <v/>
      </c>
      <c r="AK9" s="108" t="str">
        <f>IF(ISNA(VLOOKUP($R9&amp;AK$2,$K$3:$N$4001,3,0)),"",VLOOKUP($R9&amp;AK$2,$K$3:$N$4001,3,0))</f>
        <v/>
      </c>
      <c r="AL9" s="109" t="str">
        <f>IF(ISNA(VLOOKUP($R9&amp;AK$2,$K$3:$N$4001,4,0)),"",VLOOKUP($R9&amp;AK$2,$K$3:$N$4001,4,0))</f>
        <v/>
      </c>
    </row>
    <row r="10" spans="1:38" x14ac:dyDescent="0.2">
      <c r="C10" s="96" t="str">
        <f t="shared" si="0"/>
        <v>AAX2</v>
      </c>
      <c r="D10" s="73" t="s">
        <v>61</v>
      </c>
      <c r="E10" s="100">
        <v>40053</v>
      </c>
      <c r="F10" s="101">
        <v>0.15359999999999999</v>
      </c>
      <c r="G10" s="96">
        <f t="shared" si="1"/>
        <v>2</v>
      </c>
      <c r="I10" s="102"/>
      <c r="K10" t="str">
        <f t="shared" si="2"/>
        <v>AAX2</v>
      </c>
      <c r="L10" s="73" t="s">
        <v>61</v>
      </c>
      <c r="M10" s="72">
        <v>40053</v>
      </c>
      <c r="N10" s="84">
        <v>0.15359999999999999</v>
      </c>
      <c r="O10" s="96">
        <f t="shared" si="3"/>
        <v>2</v>
      </c>
      <c r="P10" s="73"/>
      <c r="Q10" s="96"/>
      <c r="R10" s="96" t="s">
        <v>67</v>
      </c>
      <c r="S10" s="106">
        <f>IF(ISNA(VLOOKUP($R10&amp;S$2,$C$3:$F$4001,3,0)),"",VLOOKUP($R10&amp;S$2,$C$3:$F$4001,3,0))</f>
        <v>39878</v>
      </c>
      <c r="T10" s="107">
        <f>IF(ISNA(VLOOKUP($R10&amp;S$2,$C$3:$F$4001,4,0)),"",VLOOKUP($R10&amp;S$2,$C$3:$F$4001,4,0))</f>
        <v>0.105</v>
      </c>
      <c r="U10" s="106">
        <f>IF(ISNA(VLOOKUP($R10&amp;U$2,$C$3:$F$4001,3,0)),"",VLOOKUP($R10&amp;U$2,$C$3:$F$4001,3,0))</f>
        <v>40060</v>
      </c>
      <c r="V10" s="107">
        <f>IF(ISNA(VLOOKUP($R10&amp;U$2,$C$3:$F$4001,4,0)),"",VLOOKUP($R10&amp;U$2,$C$3:$F$4001,4,0))</f>
        <v>7.4999999999999997E-2</v>
      </c>
      <c r="W10" s="106">
        <f>IF(ISNA(VLOOKUP($R10&amp;W$2,$C$3:$F$4001,3,0)),"",VLOOKUP($R10&amp;W$2,$C$3:$F$4001,3,0))</f>
        <v>40246</v>
      </c>
      <c r="X10" s="107">
        <f>IF(ISNA(VLOOKUP($R10&amp;W$2,$C$3:$F$4001,4,0)),"",VLOOKUP($R10&amp;W$2,$C$3:$F$4001,4,0))</f>
        <v>9.6999999999999989E-2</v>
      </c>
      <c r="Y10" s="106">
        <f>IF(ISNA(VLOOKUP($R10&amp;Y$2,$C$3:$F$4001,3,0)),"",VLOOKUP($R10&amp;Y$2,$C$3:$F$4001,3,0))</f>
        <v>40427</v>
      </c>
      <c r="Z10" s="107">
        <f>IF(ISNA(VLOOKUP($R10&amp;Y$2,$C$3:$F$4001,4,0)),"",VLOOKUP($R10&amp;Y$2,$C$3:$F$4001,4,0))</f>
        <v>8.199999999999999E-2</v>
      </c>
      <c r="AA10" s="106">
        <f>IF(ISNA(VLOOKUP($R10&amp;AA$2,$C$3:$F$4001,3,0)),"",VLOOKUP($R10&amp;AA$2,$C$3:$F$4001,3,0))</f>
        <v>40611</v>
      </c>
      <c r="AB10" s="107">
        <f>IF(ISNA(VLOOKUP($R10&amp;AA$2,$C$3:$F$4001,4,0)),"",VLOOKUP($R10&amp;AA$2,$C$3:$F$4001,4,0))</f>
        <v>0.106</v>
      </c>
      <c r="AC10" s="106">
        <f>IF(ISNA(VLOOKUP($R10&amp;AC$2,$C$3:$F$4001,3,0)),"",VLOOKUP($R10&amp;AC$2,$C$3:$F$4001,3,0))</f>
        <v>40792</v>
      </c>
      <c r="AD10" s="107">
        <f>IF(ISNA(VLOOKUP($R10&amp;AC$2,$C$3:$F$4001,4,0)),"",VLOOKUP($R10&amp;AC$2,$C$3:$F$4001,4,0))</f>
        <v>9.0700000000000003E-2</v>
      </c>
      <c r="AE10" s="106">
        <f>IF(ISNA(VLOOKUP($R10&amp;AE$2,$C$3:$F$4001,3,0)),"",VLOOKUP($R10&amp;AE$2,$C$3:$F$4001,3,0))</f>
        <v>40977</v>
      </c>
      <c r="AF10" s="107">
        <f>IF(ISNA(VLOOKUP($R10&amp;AE$2,$C$3:$F$4001,4,0)),"",VLOOKUP($R10&amp;AE$2,$C$3:$F$4001,4,0))</f>
        <v>0.1173</v>
      </c>
      <c r="AG10" s="106">
        <f>IF(ISNA(VLOOKUP($R10&amp;AG$2,$C$3:$F$4001,3,0)),"",VLOOKUP($R10&amp;AG$2,$C$3:$F$4001,3,0))</f>
        <v>41158</v>
      </c>
      <c r="AH10" s="107">
        <f>IF(ISNA(VLOOKUP($R10&amp;AG$2,$C$3:$F$4001,4,0)),"",VLOOKUP($R10&amp;AG$2,$C$3:$F$4001,4,0))</f>
        <v>0.1017</v>
      </c>
      <c r="AI10" s="106">
        <f>IF(ISNA(VLOOKUP($R10&amp;AI$2,$C$3:$F$4001,3,0)),"",VLOOKUP($R10&amp;AI$2,$C$3:$F$4001,3,0))</f>
        <v>41344</v>
      </c>
      <c r="AJ10" s="107">
        <f>IF(ISNA(VLOOKUP($R10&amp;AI$2,$C$3:$F$4001,4,0)),"",VLOOKUP($R10&amp;AI$2,$C$3:$F$4001,4,0))</f>
        <v>0.13830000000000001</v>
      </c>
      <c r="AK10" s="106" t="str">
        <f>IF(ISNA(VLOOKUP($R10&amp;AK$2,$C$3:$F$4001,3,0)),"",VLOOKUP($R10&amp;AK$2,$C$3:$F$4001,3,0))</f>
        <v/>
      </c>
      <c r="AL10" s="107" t="str">
        <f>IF(ISNA(VLOOKUP($R10&amp;AK$2,$C$3:$F$4001,4,0)),"",VLOOKUP($R10&amp;AK$2,$C$3:$F$4001,4,0))</f>
        <v/>
      </c>
    </row>
    <row r="11" spans="1:38" x14ac:dyDescent="0.2">
      <c r="C11" s="96" t="str">
        <f t="shared" si="0"/>
        <v>AAX3</v>
      </c>
      <c r="D11" s="73" t="s">
        <v>61</v>
      </c>
      <c r="E11" s="100">
        <v>40238</v>
      </c>
      <c r="F11" s="101">
        <v>0.2104</v>
      </c>
      <c r="G11" s="96">
        <f t="shared" si="1"/>
        <v>3</v>
      </c>
      <c r="I11" s="102"/>
      <c r="K11" t="str">
        <f t="shared" si="2"/>
        <v>AAX3</v>
      </c>
      <c r="L11" s="73" t="s">
        <v>61</v>
      </c>
      <c r="M11" s="72">
        <v>40238</v>
      </c>
      <c r="N11" s="84">
        <v>0.2104</v>
      </c>
      <c r="O11" s="96">
        <f t="shared" si="3"/>
        <v>3</v>
      </c>
      <c r="P11" s="73"/>
      <c r="Q11" s="96"/>
      <c r="R11" s="96" t="str">
        <f>R10</f>
        <v>ABC</v>
      </c>
      <c r="S11" s="108">
        <f>IF(ISNA(VLOOKUP($R11&amp;S$2,$K$3:$N$4001,3,0)),"",VLOOKUP($R11&amp;S$2,$K$3:$N$4001,3,0))</f>
        <v>39878</v>
      </c>
      <c r="T11" s="109">
        <f>IF(ISNA(VLOOKUP($R11&amp;S$2,$K$3:$N$4001,4,0)),"",VLOOKUP($R11&amp;S$2,$K$3:$N$4001,4,0))</f>
        <v>0.105</v>
      </c>
      <c r="U11" s="108">
        <f>IF(ISNA(VLOOKUP($R11&amp;U$2,$K$3:$N$4001,3,0)),"",VLOOKUP($R11&amp;U$2,$K$3:$N$4001,3,0))</f>
        <v>40060</v>
      </c>
      <c r="V11" s="109">
        <f>IF(ISNA(VLOOKUP($R11&amp;U$2,$K$3:$N$4001,4,0)),"",VLOOKUP($R11&amp;U$2,$K$3:$N$4001,4,0))</f>
        <v>7.4999999999999997E-2</v>
      </c>
      <c r="W11" s="108">
        <f>IF(ISNA(VLOOKUP($R11&amp;W$2,$K$3:$N$4001,3,0)),"",VLOOKUP($R11&amp;W$2,$K$3:$N$4001,3,0))</f>
        <v>40246</v>
      </c>
      <c r="X11" s="109">
        <f>IF(ISNA(VLOOKUP($R11&amp;W$2,$K$3:$N$4001,4,0)),"",VLOOKUP($R11&amp;W$2,$K$3:$N$4001,4,0))</f>
        <v>9.6999999999999989E-2</v>
      </c>
      <c r="Y11" s="108">
        <f>IF(ISNA(VLOOKUP($R11&amp;Y$2,$K$3:$N$4001,3,0)),"",VLOOKUP($R11&amp;Y$2,$K$3:$N$4001,3,0))</f>
        <v>40427</v>
      </c>
      <c r="Z11" s="109">
        <f>IF(ISNA(VLOOKUP($R11&amp;Y$2,$K$3:$N$4001,4,0)),"",VLOOKUP($R11&amp;Y$2,$K$3:$N$4001,4,0))</f>
        <v>8.199999999999999E-2</v>
      </c>
      <c r="AA11" s="108">
        <f>IF(ISNA(VLOOKUP($R11&amp;AA$2,$K$3:$N$4001,3,0)),"",VLOOKUP($R11&amp;AA$2,$K$3:$N$4001,3,0))</f>
        <v>40611</v>
      </c>
      <c r="AB11" s="109">
        <f>IF(ISNA(VLOOKUP($R11&amp;AA$2,$K$3:$N$4001,4,0)),"",VLOOKUP($R11&amp;AA$2,$K$3:$N$4001,4,0))</f>
        <v>0.106</v>
      </c>
      <c r="AC11" s="108">
        <f>IF(ISNA(VLOOKUP($R11&amp;AC$2,$K$3:$N$4001,3,0)),"",VLOOKUP($R11&amp;AC$2,$K$3:$N$4001,3,0))</f>
        <v>40792</v>
      </c>
      <c r="AD11" s="109">
        <f>IF(ISNA(VLOOKUP($R11&amp;AC$2,$K$3:$N$4001,4,0)),"",VLOOKUP($R11&amp;AC$2,$K$3:$N$4001,4,0))</f>
        <v>9.0700000000000003E-2</v>
      </c>
      <c r="AE11" s="108">
        <f>IF(ISNA(VLOOKUP($R11&amp;AE$2,$K$3:$N$4001,3,0)),"",VLOOKUP($R11&amp;AE$2,$K$3:$N$4001,3,0))</f>
        <v>40977</v>
      </c>
      <c r="AF11" s="109">
        <f>IF(ISNA(VLOOKUP($R11&amp;AE$2,$K$3:$N$4001,4,0)),"",VLOOKUP($R11&amp;AE$2,$K$3:$N$4001,4,0))</f>
        <v>0.1173</v>
      </c>
      <c r="AG11" s="108">
        <f>IF(ISNA(VLOOKUP($R11&amp;AG$2,$K$3:$N$4001,3,0)),"",VLOOKUP($R11&amp;AG$2,$K$3:$N$4001,3,0))</f>
        <v>41158</v>
      </c>
      <c r="AH11" s="109">
        <f>IF(ISNA(VLOOKUP($R11&amp;AG$2,$K$3:$N$4001,4,0)),"",VLOOKUP($R11&amp;AG$2,$K$3:$N$4001,4,0))</f>
        <v>0.1017</v>
      </c>
      <c r="AI11" s="108">
        <f>IF(ISNA(VLOOKUP($R11&amp;AI$2,$K$3:$N$4001,3,0)),"",VLOOKUP($R11&amp;AI$2,$K$3:$N$4001,3,0))</f>
        <v>41344</v>
      </c>
      <c r="AJ11" s="109">
        <f>IF(ISNA(VLOOKUP($R11&amp;AI$2,$K$3:$N$4001,4,0)),"",VLOOKUP($R11&amp;AI$2,$K$3:$N$4001,4,0))</f>
        <v>0.13830000000000001</v>
      </c>
      <c r="AK11" s="108" t="str">
        <f>IF(ISNA(VLOOKUP($R11&amp;AK$2,$K$3:$N$4001,3,0)),"",VLOOKUP($R11&amp;AK$2,$K$3:$N$4001,3,0))</f>
        <v/>
      </c>
      <c r="AL11" s="109" t="str">
        <f>IF(ISNA(VLOOKUP($R11&amp;AK$2,$K$3:$N$4001,4,0)),"",VLOOKUP($R11&amp;AK$2,$K$3:$N$4001,4,0))</f>
        <v/>
      </c>
    </row>
    <row r="12" spans="1:38" x14ac:dyDescent="0.2">
      <c r="C12" s="96" t="str">
        <f t="shared" si="0"/>
        <v>AAX4</v>
      </c>
      <c r="D12" s="73" t="s">
        <v>61</v>
      </c>
      <c r="E12" s="100">
        <v>40420</v>
      </c>
      <c r="F12" s="101">
        <v>0.1565</v>
      </c>
      <c r="G12" s="96">
        <f t="shared" si="1"/>
        <v>4</v>
      </c>
      <c r="I12" s="102"/>
      <c r="K12" t="str">
        <f t="shared" si="2"/>
        <v>AAX4</v>
      </c>
      <c r="L12" s="73" t="s">
        <v>61</v>
      </c>
      <c r="M12" s="72">
        <v>40420</v>
      </c>
      <c r="N12" s="84">
        <v>0.1565</v>
      </c>
      <c r="O12" s="96">
        <f t="shared" si="3"/>
        <v>4</v>
      </c>
      <c r="P12" s="73"/>
      <c r="Q12" s="96"/>
      <c r="R12" s="96" t="s">
        <v>70</v>
      </c>
      <c r="S12" s="106">
        <f>IF(ISNA(VLOOKUP($R12&amp;S$2,$C$3:$F$4001,3,0)),"",VLOOKUP($R12&amp;S$2,$C$3:$F$4001,3,0))</f>
        <v>39895</v>
      </c>
      <c r="T12" s="107">
        <f>IF(ISNA(VLOOKUP($R12&amp;S$2,$C$3:$F$4001,4,0)),"",VLOOKUP($R12&amp;S$2,$C$3:$F$4001,4,0))</f>
        <v>0.27</v>
      </c>
      <c r="U12" s="106">
        <f>IF(ISNA(VLOOKUP($R12&amp;U$2,$C$3:$F$4001,3,0)),"",VLOOKUP($R12&amp;U$2,$C$3:$F$4001,3,0))</f>
        <v>40056</v>
      </c>
      <c r="V12" s="107">
        <f>IF(ISNA(VLOOKUP($R12&amp;U$2,$C$3:$F$4001,4,0)),"",VLOOKUP($R12&amp;U$2,$C$3:$F$4001,4,0))</f>
        <v>0.28000000000000003</v>
      </c>
      <c r="W12" s="106">
        <f>IF(ISNA(VLOOKUP($R12&amp;W$2,$C$3:$F$4001,3,0)),"",VLOOKUP($R12&amp;W$2,$C$3:$F$4001,3,0))</f>
        <v>40260</v>
      </c>
      <c r="X12" s="107">
        <f>IF(ISNA(VLOOKUP($R12&amp;W$2,$C$3:$F$4001,4,0)),"",VLOOKUP($R12&amp;W$2,$C$3:$F$4001,4,0))</f>
        <v>0.28000000000000003</v>
      </c>
      <c r="Y12" s="106">
        <f>IF(ISNA(VLOOKUP($R12&amp;Y$2,$C$3:$F$4001,3,0)),"",VLOOKUP($R12&amp;Y$2,$C$3:$F$4001,3,0))</f>
        <v>40421</v>
      </c>
      <c r="Z12" s="107">
        <f>IF(ISNA(VLOOKUP($R12&amp;Y$2,$C$3:$F$4001,4,0)),"",VLOOKUP($R12&amp;Y$2,$C$3:$F$4001,4,0))</f>
        <v>0.28999999999999998</v>
      </c>
      <c r="AA12" s="106">
        <f>IF(ISNA(VLOOKUP($R12&amp;AA$2,$C$3:$F$4001,3,0)),"",VLOOKUP($R12&amp;AA$2,$C$3:$F$4001,3,0))</f>
        <v>40625</v>
      </c>
      <c r="AB12" s="107">
        <f>IF(ISNA(VLOOKUP($R12&amp;AA$2,$C$3:$F$4001,4,0)),"",VLOOKUP($R12&amp;AA$2,$C$3:$F$4001,4,0))</f>
        <v>0.3</v>
      </c>
      <c r="AC12" s="106">
        <f>IF(ISNA(VLOOKUP($R12&amp;AC$2,$C$3:$F$4001,3,0)),"",VLOOKUP($R12&amp;AC$2,$C$3:$F$4001,3,0))</f>
        <v>40786</v>
      </c>
      <c r="AD12" s="107">
        <f>IF(ISNA(VLOOKUP($R12&amp;AC$2,$C$3:$F$4001,4,0)),"",VLOOKUP($R12&amp;AC$2,$C$3:$F$4001,4,0))</f>
        <v>0.31</v>
      </c>
      <c r="AE12" s="106">
        <f>IF(ISNA(VLOOKUP($R12&amp;AE$2,$C$3:$F$4001,3,0)),"",VLOOKUP($R12&amp;AE$2,$C$3:$F$4001,3,0))</f>
        <v>40991</v>
      </c>
      <c r="AF12" s="107">
        <f>IF(ISNA(VLOOKUP($R12&amp;AE$2,$C$3:$F$4001,4,0)),"",VLOOKUP($R12&amp;AE$2,$C$3:$F$4001,4,0))</f>
        <v>0.32</v>
      </c>
      <c r="AG12" s="106">
        <f>IF(ISNA(VLOOKUP($R12&amp;AG$2,$C$3:$F$4001,3,0)),"",VLOOKUP($R12&amp;AG$2,$C$3:$F$4001,3,0))</f>
        <v>41152</v>
      </c>
      <c r="AH12" s="107">
        <f>IF(ISNA(VLOOKUP($R12&amp;AG$2,$C$3:$F$4001,4,0)),"",VLOOKUP($R12&amp;AG$2,$C$3:$F$4001,4,0))</f>
        <v>0.33</v>
      </c>
      <c r="AI12" s="106">
        <f>IF(ISNA(VLOOKUP($R12&amp;AI$2,$C$3:$F$4001,3,0)),"",VLOOKUP($R12&amp;AI$2,$C$3:$F$4001,3,0))</f>
        <v>41358</v>
      </c>
      <c r="AJ12" s="107">
        <f>IF(ISNA(VLOOKUP($R12&amp;AI$2,$C$3:$F$4001,4,0)),"",VLOOKUP($R12&amp;AI$2,$C$3:$F$4001,4,0))</f>
        <v>0.35</v>
      </c>
      <c r="AK12" s="106">
        <f>IF(ISNA(VLOOKUP($R12&amp;AK$2,$C$3:$F$4001,3,0)),"",VLOOKUP($R12&amp;AK$2,$C$3:$F$4001,3,0))</f>
        <v>41519</v>
      </c>
      <c r="AL12" s="107">
        <f>IF(ISNA(VLOOKUP($R12&amp;AK$2,$C$3:$F$4001,4,0)),"",VLOOKUP($R12&amp;AK$2,$C$3:$F$4001,4,0))</f>
        <v>0.36</v>
      </c>
    </row>
    <row r="13" spans="1:38" x14ac:dyDescent="0.2">
      <c r="C13" s="96" t="str">
        <f t="shared" si="0"/>
        <v>AAX5</v>
      </c>
      <c r="D13" s="73" t="s">
        <v>61</v>
      </c>
      <c r="E13" s="100">
        <v>40603</v>
      </c>
      <c r="F13" s="101">
        <v>0.2145</v>
      </c>
      <c r="G13" s="96">
        <f t="shared" si="1"/>
        <v>5</v>
      </c>
      <c r="I13" s="102"/>
      <c r="K13" t="str">
        <f t="shared" si="2"/>
        <v>AAX5</v>
      </c>
      <c r="L13" s="73" t="s">
        <v>61</v>
      </c>
      <c r="M13" s="72">
        <v>40603</v>
      </c>
      <c r="N13" s="84">
        <v>0.2145</v>
      </c>
      <c r="O13" s="96">
        <f t="shared" si="3"/>
        <v>5</v>
      </c>
      <c r="P13" s="73"/>
      <c r="Q13" s="96"/>
      <c r="R13" s="96" t="str">
        <f>R12</f>
        <v>AGK</v>
      </c>
      <c r="S13" s="108">
        <f>IF(ISNA(VLOOKUP($R13&amp;S$2,$K$3:$N$4001,3,0)),"",VLOOKUP($R13&amp;S$2,$K$3:$N$4001,3,0))</f>
        <v>39895</v>
      </c>
      <c r="T13" s="109">
        <f>IF(ISNA(VLOOKUP($R13&amp;S$2,$K$3:$N$4001,4,0)),"",VLOOKUP($R13&amp;S$2,$K$3:$N$4001,4,0))</f>
        <v>0.27</v>
      </c>
      <c r="U13" s="108">
        <f>IF(ISNA(VLOOKUP($R13&amp;U$2,$K$3:$N$4001,3,0)),"",VLOOKUP($R13&amp;U$2,$K$3:$N$4001,3,0))</f>
        <v>40056</v>
      </c>
      <c r="V13" s="109">
        <f>IF(ISNA(VLOOKUP($R13&amp;U$2,$K$3:$N$4001,4,0)),"",VLOOKUP($R13&amp;U$2,$K$3:$N$4001,4,0))</f>
        <v>0.28000000000000003</v>
      </c>
      <c r="W13" s="108">
        <f>IF(ISNA(VLOOKUP($R13&amp;W$2,$K$3:$N$4001,3,0)),"",VLOOKUP($R13&amp;W$2,$K$3:$N$4001,3,0))</f>
        <v>40260</v>
      </c>
      <c r="X13" s="109">
        <f>IF(ISNA(VLOOKUP($R13&amp;W$2,$K$3:$N$4001,4,0)),"",VLOOKUP($R13&amp;W$2,$K$3:$N$4001,4,0))</f>
        <v>0.28000000000000003</v>
      </c>
      <c r="Y13" s="108">
        <f>IF(ISNA(VLOOKUP($R13&amp;Y$2,$K$3:$N$4001,3,0)),"",VLOOKUP($R13&amp;Y$2,$K$3:$N$4001,3,0))</f>
        <v>40421</v>
      </c>
      <c r="Z13" s="109">
        <f>IF(ISNA(VLOOKUP($R13&amp;Y$2,$K$3:$N$4001,4,0)),"",VLOOKUP($R13&amp;Y$2,$K$3:$N$4001,4,0))</f>
        <v>0.28999999999999998</v>
      </c>
      <c r="AA13" s="108">
        <f>IF(ISNA(VLOOKUP($R13&amp;AA$2,$K$3:$N$4001,3,0)),"",VLOOKUP($R13&amp;AA$2,$K$3:$N$4001,3,0))</f>
        <v>40625</v>
      </c>
      <c r="AB13" s="109">
        <f>IF(ISNA(VLOOKUP($R13&amp;AA$2,$K$3:$N$4001,4,0)),"",VLOOKUP($R13&amp;AA$2,$K$3:$N$4001,4,0))</f>
        <v>0.3</v>
      </c>
      <c r="AC13" s="108">
        <f>IF(ISNA(VLOOKUP($R13&amp;AC$2,$K$3:$N$4001,3,0)),"",VLOOKUP($R13&amp;AC$2,$K$3:$N$4001,3,0))</f>
        <v>40786</v>
      </c>
      <c r="AD13" s="109">
        <f>IF(ISNA(VLOOKUP($R13&amp;AC$2,$K$3:$N$4001,4,0)),"",VLOOKUP($R13&amp;AC$2,$K$3:$N$4001,4,0))</f>
        <v>0.31</v>
      </c>
      <c r="AE13" s="108">
        <f>IF(ISNA(VLOOKUP($R13&amp;AE$2,$K$3:$N$4001,3,0)),"",VLOOKUP($R13&amp;AE$2,$K$3:$N$4001,3,0))</f>
        <v>40991</v>
      </c>
      <c r="AF13" s="109">
        <f>IF(ISNA(VLOOKUP($R13&amp;AE$2,$K$3:$N$4001,4,0)),"",VLOOKUP($R13&amp;AE$2,$K$3:$N$4001,4,0))</f>
        <v>0.32</v>
      </c>
      <c r="AG13" s="108">
        <f>IF(ISNA(VLOOKUP($R13&amp;AG$2,$K$3:$N$4001,3,0)),"",VLOOKUP($R13&amp;AG$2,$K$3:$N$4001,3,0))</f>
        <v>41152</v>
      </c>
      <c r="AH13" s="109">
        <f>IF(ISNA(VLOOKUP($R13&amp;AG$2,$K$3:$N$4001,4,0)),"",VLOOKUP($R13&amp;AG$2,$K$3:$N$4001,4,0))</f>
        <v>0.33</v>
      </c>
      <c r="AI13" s="108">
        <f>IF(ISNA(VLOOKUP($R13&amp;AI$2,$K$3:$N$4001,3,0)),"",VLOOKUP($R13&amp;AI$2,$K$3:$N$4001,3,0))</f>
        <v>41358</v>
      </c>
      <c r="AJ13" s="109">
        <f>IF(ISNA(VLOOKUP($R13&amp;AI$2,$K$3:$N$4001,4,0)),"",VLOOKUP($R13&amp;AI$2,$K$3:$N$4001,4,0))</f>
        <v>0.35</v>
      </c>
      <c r="AK13" s="108">
        <f>IF(ISNA(VLOOKUP($R13&amp;AK$2,$K$3:$N$4001,3,0)),"",VLOOKUP($R13&amp;AK$2,$K$3:$N$4001,3,0))</f>
        <v>41519</v>
      </c>
      <c r="AL13" s="109">
        <f>IF(ISNA(VLOOKUP($R13&amp;AK$2,$K$3:$N$4001,4,0)),"",VLOOKUP($R13&amp;AK$2,$K$3:$N$4001,4,0))</f>
        <v>0.36</v>
      </c>
    </row>
    <row r="14" spans="1:38" x14ac:dyDescent="0.2">
      <c r="C14" s="96" t="str">
        <f t="shared" si="0"/>
        <v>AAX6</v>
      </c>
      <c r="D14" s="73" t="s">
        <v>61</v>
      </c>
      <c r="E14" s="100">
        <v>40785</v>
      </c>
      <c r="F14" s="101">
        <v>0.13919999999999999</v>
      </c>
      <c r="G14" s="96">
        <f t="shared" si="1"/>
        <v>6</v>
      </c>
      <c r="I14" s="102"/>
      <c r="K14" t="str">
        <f t="shared" si="2"/>
        <v>AAX6</v>
      </c>
      <c r="L14" s="73" t="s">
        <v>61</v>
      </c>
      <c r="M14" s="72">
        <v>40785</v>
      </c>
      <c r="N14" s="84">
        <v>0.13919999999999999</v>
      </c>
      <c r="O14" s="96">
        <f t="shared" si="3"/>
        <v>6</v>
      </c>
      <c r="P14" s="73"/>
      <c r="Q14" s="96"/>
      <c r="R14" s="96" t="s">
        <v>74</v>
      </c>
      <c r="S14" s="106">
        <f>IF(ISNA(VLOOKUP($R14&amp;S$2,$C$3:$F$4001,3,0)),"",VLOOKUP($R14&amp;S$2,$C$3:$F$4001,3,0))</f>
        <v>40037</v>
      </c>
      <c r="T14" s="107">
        <f>IF(ISNA(VLOOKUP($R14&amp;S$2,$C$3:$F$4001,4,0)),"",VLOOKUP($R14&amp;S$2,$C$3:$F$4001,4,0))</f>
        <v>0.15</v>
      </c>
      <c r="U14" s="106">
        <f>IF(ISNA(VLOOKUP($R14&amp;U$2,$C$3:$F$4001,3,0)),"",VLOOKUP($R14&amp;U$2,$C$3:$F$4001,3,0))</f>
        <v>40221</v>
      </c>
      <c r="V14" s="107">
        <f>IF(ISNA(VLOOKUP($R14&amp;U$2,$C$3:$F$4001,4,0)),"",VLOOKUP($R14&amp;U$2,$C$3:$F$4001,4,0))</f>
        <v>0.12</v>
      </c>
      <c r="W14" s="106">
        <f>IF(ISNA(VLOOKUP($R14&amp;W$2,$C$3:$F$4001,3,0)),"",VLOOKUP($R14&amp;W$2,$C$3:$F$4001,3,0))</f>
        <v>40402</v>
      </c>
      <c r="X14" s="107">
        <f>IF(ISNA(VLOOKUP($R14&amp;W$2,$C$3:$F$4001,4,0)),"",VLOOKUP($R14&amp;W$2,$C$3:$F$4001,4,0))</f>
        <v>0.15</v>
      </c>
      <c r="Y14" s="106">
        <f>IF(ISNA(VLOOKUP($R14&amp;Y$2,$C$3:$F$4001,3,0)),"",VLOOKUP($R14&amp;Y$2,$C$3:$F$4001,3,0))</f>
        <v>40588</v>
      </c>
      <c r="Z14" s="107">
        <f>IF(ISNA(VLOOKUP($R14&amp;Y$2,$C$3:$F$4001,4,0)),"",VLOOKUP($R14&amp;Y$2,$C$3:$F$4001,4,0))</f>
        <v>0.14000000000000001</v>
      </c>
      <c r="AA14" s="106">
        <f>IF(ISNA(VLOOKUP($R14&amp;AA$2,$C$3:$F$4001,3,0)),"",VLOOKUP($R14&amp;AA$2,$C$3:$F$4001,3,0))</f>
        <v>40767</v>
      </c>
      <c r="AB14" s="107">
        <f>IF(ISNA(VLOOKUP($R14&amp;AA$2,$C$3:$F$4001,4,0)),"",VLOOKUP($R14&amp;AA$2,$C$3:$F$4001,4,0))</f>
        <v>0.18</v>
      </c>
      <c r="AC14" s="106">
        <f>IF(ISNA(VLOOKUP($R14&amp;AC$2,$C$3:$F$4001,3,0)),"",VLOOKUP($R14&amp;AC$2,$C$3:$F$4001,3,0))</f>
        <v>40953</v>
      </c>
      <c r="AD14" s="107">
        <f>IF(ISNA(VLOOKUP($R14&amp;AC$2,$C$3:$F$4001,4,0)),"",VLOOKUP($R14&amp;AC$2,$C$3:$F$4001,4,0))</f>
        <v>0.16800000000000001</v>
      </c>
      <c r="AE14" s="106">
        <f>IF(ISNA(VLOOKUP($R14&amp;AE$2,$C$3:$F$4001,3,0)),"",VLOOKUP($R14&amp;AE$2,$C$3:$F$4001,3,0))</f>
        <v>41135</v>
      </c>
      <c r="AF14" s="107">
        <f>IF(ISNA(VLOOKUP($R14&amp;AE$2,$C$3:$F$4001,4,0)),"",VLOOKUP($R14&amp;AE$2,$C$3:$F$4001,4,0))</f>
        <v>0.21600000000000003</v>
      </c>
      <c r="AG14" s="106">
        <f>IF(ISNA(VLOOKUP($R14&amp;AG$2,$C$3:$F$4001,3,0)),"",VLOOKUP($R14&amp;AG$2,$C$3:$F$4001,3,0))</f>
        <v>41319</v>
      </c>
      <c r="AH14" s="107">
        <f>IF(ISNA(VLOOKUP($R14&amp;AG$2,$C$3:$F$4001,4,0)),"",VLOOKUP($R14&amp;AG$2,$C$3:$F$4001,4,0))</f>
        <v>0.2016</v>
      </c>
      <c r="AI14" s="106">
        <f>IF(ISNA(VLOOKUP($R14&amp;AI$2,$C$3:$F$4001,3,0)),"",VLOOKUP($R14&amp;AI$2,$C$3:$F$4001,3,0))</f>
        <v>41500</v>
      </c>
      <c r="AJ14" s="107">
        <f>IF(ISNA(VLOOKUP($R14&amp;AI$2,$C$3:$F$4001,4,0)),"",VLOOKUP($R14&amp;AI$2,$C$3:$F$4001,4,0))</f>
        <v>0.25</v>
      </c>
      <c r="AK14" s="106" t="str">
        <f>IF(ISNA(VLOOKUP($R14&amp;AK$2,$C$3:$F$4001,3,0)),"",VLOOKUP($R14&amp;AK$2,$C$3:$F$4001,3,0))</f>
        <v/>
      </c>
      <c r="AL14" s="107" t="str">
        <f>IF(ISNA(VLOOKUP($R14&amp;AK$2,$C$3:$F$4001,4,0)),"",VLOOKUP($R14&amp;AK$2,$C$3:$F$4001,4,0))</f>
        <v/>
      </c>
    </row>
    <row r="15" spans="1:38" x14ac:dyDescent="0.2">
      <c r="C15" s="96" t="str">
        <f t="shared" si="0"/>
        <v>AAX7</v>
      </c>
      <c r="D15" s="73" t="s">
        <v>61</v>
      </c>
      <c r="E15" s="100">
        <v>40969</v>
      </c>
      <c r="F15" s="101">
        <v>0.19079999999999997</v>
      </c>
      <c r="G15" s="96">
        <f t="shared" si="1"/>
        <v>7</v>
      </c>
      <c r="I15" s="102"/>
      <c r="K15" t="str">
        <f t="shared" si="2"/>
        <v>AAX7</v>
      </c>
      <c r="L15" s="73" t="s">
        <v>61</v>
      </c>
      <c r="M15" s="72">
        <v>40969</v>
      </c>
      <c r="N15" s="84">
        <v>0.19079999999999997</v>
      </c>
      <c r="O15" s="96">
        <f t="shared" si="3"/>
        <v>7</v>
      </c>
      <c r="P15" s="73"/>
      <c r="Q15" s="96"/>
      <c r="R15" s="96" t="str">
        <f>R14</f>
        <v>ALS</v>
      </c>
      <c r="S15" s="108">
        <f>IF(ISNA(VLOOKUP($R15&amp;S$2,$K$3:$N$4001,3,0)),"",VLOOKUP($R15&amp;S$2,$K$3:$N$4001,3,0))</f>
        <v>40037</v>
      </c>
      <c r="T15" s="109">
        <f>IF(ISNA(VLOOKUP($R15&amp;S$2,$K$3:$N$4001,4,0)),"",VLOOKUP($R15&amp;S$2,$K$3:$N$4001,4,0))</f>
        <v>0.15</v>
      </c>
      <c r="U15" s="108">
        <f>IF(ISNA(VLOOKUP($R15&amp;U$2,$K$3:$N$4001,3,0)),"",VLOOKUP($R15&amp;U$2,$K$3:$N$4001,3,0))</f>
        <v>40221</v>
      </c>
      <c r="V15" s="109">
        <f>IF(ISNA(VLOOKUP($R15&amp;U$2,$K$3:$N$4001,4,0)),"",VLOOKUP($R15&amp;U$2,$K$3:$N$4001,4,0))</f>
        <v>0.12</v>
      </c>
      <c r="W15" s="108">
        <f>IF(ISNA(VLOOKUP($R15&amp;W$2,$K$3:$N$4001,3,0)),"",VLOOKUP($R15&amp;W$2,$K$3:$N$4001,3,0))</f>
        <v>40402</v>
      </c>
      <c r="X15" s="109">
        <f>IF(ISNA(VLOOKUP($R15&amp;W$2,$K$3:$N$4001,4,0)),"",VLOOKUP($R15&amp;W$2,$K$3:$N$4001,4,0))</f>
        <v>0.15</v>
      </c>
      <c r="Y15" s="108">
        <f>IF(ISNA(VLOOKUP($R15&amp;Y$2,$K$3:$N$4001,3,0)),"",VLOOKUP($R15&amp;Y$2,$K$3:$N$4001,3,0))</f>
        <v>40588</v>
      </c>
      <c r="Z15" s="109">
        <f>IF(ISNA(VLOOKUP($R15&amp;Y$2,$K$3:$N$4001,4,0)),"",VLOOKUP($R15&amp;Y$2,$K$3:$N$4001,4,0))</f>
        <v>0.14000000000000001</v>
      </c>
      <c r="AA15" s="108">
        <f>IF(ISNA(VLOOKUP($R15&amp;AA$2,$K$3:$N$4001,3,0)),"",VLOOKUP($R15&amp;AA$2,$K$3:$N$4001,3,0))</f>
        <v>40767</v>
      </c>
      <c r="AB15" s="109">
        <f>IF(ISNA(VLOOKUP($R15&amp;AA$2,$K$3:$N$4001,4,0)),"",VLOOKUP($R15&amp;AA$2,$K$3:$N$4001,4,0))</f>
        <v>0.18</v>
      </c>
      <c r="AC15" s="108">
        <f>IF(ISNA(VLOOKUP($R15&amp;AC$2,$K$3:$N$4001,3,0)),"",VLOOKUP($R15&amp;AC$2,$K$3:$N$4001,3,0))</f>
        <v>40953</v>
      </c>
      <c r="AD15" s="109">
        <f>IF(ISNA(VLOOKUP($R15&amp;AC$2,$K$3:$N$4001,4,0)),"",VLOOKUP($R15&amp;AC$2,$K$3:$N$4001,4,0))</f>
        <v>0.16800000000000001</v>
      </c>
      <c r="AE15" s="108">
        <f>IF(ISNA(VLOOKUP($R15&amp;AE$2,$K$3:$N$4001,3,0)),"",VLOOKUP($R15&amp;AE$2,$K$3:$N$4001,3,0))</f>
        <v>41135</v>
      </c>
      <c r="AF15" s="109">
        <f>IF(ISNA(VLOOKUP($R15&amp;AE$2,$K$3:$N$4001,4,0)),"",VLOOKUP($R15&amp;AE$2,$K$3:$N$4001,4,0))</f>
        <v>0.21600000000000003</v>
      </c>
      <c r="AG15" s="108">
        <f>IF(ISNA(VLOOKUP($R15&amp;AG$2,$K$3:$N$4001,3,0)),"",VLOOKUP($R15&amp;AG$2,$K$3:$N$4001,3,0))</f>
        <v>41319</v>
      </c>
      <c r="AH15" s="109">
        <f>IF(ISNA(VLOOKUP($R15&amp;AG$2,$K$3:$N$4001,4,0)),"",VLOOKUP($R15&amp;AG$2,$K$3:$N$4001,4,0))</f>
        <v>0.2016</v>
      </c>
      <c r="AI15" s="108">
        <f>IF(ISNA(VLOOKUP($R15&amp;AI$2,$K$3:$N$4001,3,0)),"",VLOOKUP($R15&amp;AI$2,$K$3:$N$4001,3,0))</f>
        <v>41500</v>
      </c>
      <c r="AJ15" s="109">
        <f>IF(ISNA(VLOOKUP($R15&amp;AI$2,$K$3:$N$4001,4,0)),"",VLOOKUP($R15&amp;AI$2,$K$3:$N$4001,4,0))</f>
        <v>0.25</v>
      </c>
      <c r="AK15" s="108" t="str">
        <f>IF(ISNA(VLOOKUP($R15&amp;AK$2,$K$3:$N$4001,3,0)),"",VLOOKUP($R15&amp;AK$2,$K$3:$N$4001,3,0))</f>
        <v/>
      </c>
      <c r="AL15" s="109" t="str">
        <f>IF(ISNA(VLOOKUP($R15&amp;AK$2,$K$3:$N$4001,4,0)),"",VLOOKUP($R15&amp;AK$2,$K$3:$N$4001,4,0))</f>
        <v/>
      </c>
    </row>
    <row r="16" spans="1:38" x14ac:dyDescent="0.2">
      <c r="C16" s="96" t="str">
        <f t="shared" si="0"/>
        <v>AAX8</v>
      </c>
      <c r="D16" s="73" t="s">
        <v>61</v>
      </c>
      <c r="E16" s="100">
        <v>41151</v>
      </c>
      <c r="F16" s="101">
        <v>0.3125</v>
      </c>
      <c r="G16" s="96">
        <f t="shared" si="1"/>
        <v>8</v>
      </c>
      <c r="I16" s="102"/>
      <c r="K16" t="str">
        <f t="shared" si="2"/>
        <v>AAX8</v>
      </c>
      <c r="L16" s="73" t="s">
        <v>61</v>
      </c>
      <c r="M16" s="72">
        <v>41151</v>
      </c>
      <c r="N16" s="84">
        <v>0.3125</v>
      </c>
      <c r="O16" s="96">
        <f t="shared" si="3"/>
        <v>8</v>
      </c>
      <c r="P16" s="73"/>
      <c r="Q16" s="96"/>
      <c r="R16" s="96" t="s">
        <v>86</v>
      </c>
      <c r="S16" s="106">
        <f>IF(ISNA(VLOOKUP($R16&amp;S$2,$C$3:$F$4001,3,0)),"",VLOOKUP($R16&amp;S$2,$C$3:$F$4001,3,0))</f>
        <v>40031</v>
      </c>
      <c r="T16" s="107">
        <f>IF(ISNA(VLOOKUP($R16&amp;S$2,$C$3:$F$4001,4,0)),"",VLOOKUP($R16&amp;S$2,$C$3:$F$4001,4,0))</f>
        <v>0.02</v>
      </c>
      <c r="U16" s="106">
        <f>IF(ISNA(VLOOKUP($R16&amp;U$2,$C$3:$F$4001,3,0)),"",VLOOKUP($R16&amp;U$2,$C$3:$F$4001,3,0))</f>
        <v>40233</v>
      </c>
      <c r="V16" s="107">
        <f>IF(ISNA(VLOOKUP($R16&amp;U$2,$C$3:$F$4001,4,0)),"",VLOOKUP($R16&amp;U$2,$C$3:$F$4001,4,0))</f>
        <v>0.02</v>
      </c>
      <c r="W16" s="106">
        <f>IF(ISNA(VLOOKUP($R16&amp;W$2,$C$3:$F$4001,3,0)),"",VLOOKUP($R16&amp;W$2,$C$3:$F$4001,3,0))</f>
        <v>40396</v>
      </c>
      <c r="X16" s="107">
        <f>IF(ISNA(VLOOKUP($R16&amp;W$2,$C$3:$F$4001,4,0)),"",VLOOKUP($R16&amp;W$2,$C$3:$F$4001,4,0))</f>
        <v>0.02</v>
      </c>
      <c r="Y16" s="106">
        <f>IF(ISNA(VLOOKUP($R16&amp;Y$2,$C$3:$F$4001,3,0)),"",VLOOKUP($R16&amp;Y$2,$C$3:$F$4001,3,0))</f>
        <v>40598</v>
      </c>
      <c r="Z16" s="107">
        <f>IF(ISNA(VLOOKUP($R16&amp;Y$2,$C$3:$F$4001,4,0)),"",VLOOKUP($R16&amp;Y$2,$C$3:$F$4001,4,0))</f>
        <v>0.02</v>
      </c>
      <c r="AA16" s="106">
        <f>IF(ISNA(VLOOKUP($R16&amp;AA$2,$C$3:$F$4001,3,0)),"",VLOOKUP($R16&amp;AA$2,$C$3:$F$4001,3,0))</f>
        <v>40763</v>
      </c>
      <c r="AB16" s="107">
        <f>IF(ISNA(VLOOKUP($R16&amp;AA$2,$C$3:$F$4001,4,0)),"",VLOOKUP($R16&amp;AA$2,$C$3:$F$4001,4,0))</f>
        <v>0.05</v>
      </c>
      <c r="AC16" s="106">
        <f>IF(ISNA(VLOOKUP($R16&amp;AC$2,$C$3:$F$4001,3,0)),"",VLOOKUP($R16&amp;AC$2,$C$3:$F$4001,3,0))</f>
        <v>40966</v>
      </c>
      <c r="AD16" s="107">
        <f>IF(ISNA(VLOOKUP($R16&amp;AC$2,$C$3:$F$4001,4,0)),"",VLOOKUP($R16&amp;AC$2,$C$3:$F$4001,4,0))</f>
        <v>0.05</v>
      </c>
      <c r="AE16" s="106">
        <f>IF(ISNA(VLOOKUP($R16&amp;AE$2,$C$3:$F$4001,3,0)),"",VLOOKUP($R16&amp;AE$2,$C$3:$F$4001,3,0))</f>
        <v>41128</v>
      </c>
      <c r="AF16" s="107">
        <f>IF(ISNA(VLOOKUP($R16&amp;AE$2,$C$3:$F$4001,4,0)),"",VLOOKUP($R16&amp;AE$2,$C$3:$F$4001,4,0))</f>
        <v>0.08</v>
      </c>
      <c r="AG16" s="106">
        <f>IF(ISNA(VLOOKUP($R16&amp;AG$2,$C$3:$F$4001,3,0)),"",VLOOKUP($R16&amp;AG$2,$C$3:$F$4001,3,0))</f>
        <v>41331</v>
      </c>
      <c r="AH16" s="107">
        <f>IF(ISNA(VLOOKUP($R16&amp;AG$2,$C$3:$F$4001,4,0)),"",VLOOKUP($R16&amp;AG$2,$C$3:$F$4001,4,0))</f>
        <v>0.08</v>
      </c>
      <c r="AI16" s="106" t="str">
        <f>IF(ISNA(VLOOKUP($R16&amp;AI$2,$C$3:$F$4001,3,0)),"",VLOOKUP($R16&amp;AI$2,$C$3:$F$4001,3,0))</f>
        <v/>
      </c>
      <c r="AJ16" s="107" t="str">
        <f>IF(ISNA(VLOOKUP($R16&amp;AI$2,$C$3:$F$4001,4,0)),"",VLOOKUP($R16&amp;AI$2,$C$3:$F$4001,4,0))</f>
        <v/>
      </c>
      <c r="AK16" s="106" t="str">
        <f>IF(ISNA(VLOOKUP($R16&amp;AK$2,$C$3:$F$4001,3,0)),"",VLOOKUP($R16&amp;AK$2,$C$3:$F$4001,3,0))</f>
        <v/>
      </c>
      <c r="AL16" s="107" t="str">
        <f>IF(ISNA(VLOOKUP($R16&amp;AK$2,$C$3:$F$4001,4,0)),"",VLOOKUP($R16&amp;AK$2,$C$3:$F$4001,4,0))</f>
        <v/>
      </c>
    </row>
    <row r="17" spans="3:38" x14ac:dyDescent="0.2">
      <c r="C17" s="96" t="str">
        <f t="shared" si="0"/>
        <v>AAX9</v>
      </c>
      <c r="D17" s="73" t="s">
        <v>61</v>
      </c>
      <c r="E17" s="100">
        <v>41334</v>
      </c>
      <c r="F17" s="101">
        <v>0.38670000000000004</v>
      </c>
      <c r="G17" s="96">
        <f t="shared" si="1"/>
        <v>9</v>
      </c>
      <c r="I17" s="102"/>
      <c r="K17" t="str">
        <f t="shared" si="2"/>
        <v>AAX9</v>
      </c>
      <c r="L17" s="73" t="s">
        <v>61</v>
      </c>
      <c r="M17" s="72">
        <v>41334</v>
      </c>
      <c r="N17" s="84">
        <v>0.38670000000000004</v>
      </c>
      <c r="O17" s="96">
        <f t="shared" si="3"/>
        <v>9</v>
      </c>
      <c r="P17" s="73"/>
      <c r="Q17" s="96"/>
      <c r="R17" s="96" t="str">
        <f>R16</f>
        <v>AWC</v>
      </c>
      <c r="S17" s="108">
        <f>IF(ISNA(VLOOKUP($R17&amp;S$2,$K$3:$N$4001,3,0)),"",VLOOKUP($R17&amp;S$2,$K$3:$N$4001,3,0))</f>
        <v>40031</v>
      </c>
      <c r="T17" s="109">
        <f>IF(ISNA(VLOOKUP($R17&amp;S$2,$K$3:$N$4001,4,0)),"",VLOOKUP($R17&amp;S$2,$K$3:$N$4001,4,0))</f>
        <v>0.02</v>
      </c>
      <c r="U17" s="108">
        <f>IF(ISNA(VLOOKUP($R17&amp;U$2,$K$3:$N$4001,3,0)),"",VLOOKUP($R17&amp;U$2,$K$3:$N$4001,3,0))</f>
        <v>40233</v>
      </c>
      <c r="V17" s="109">
        <f>IF(ISNA(VLOOKUP($R17&amp;U$2,$K$3:$N$4001,4,0)),"",VLOOKUP($R17&amp;U$2,$K$3:$N$4001,4,0))</f>
        <v>0.02</v>
      </c>
      <c r="W17" s="108">
        <f>IF(ISNA(VLOOKUP($R17&amp;W$2,$K$3:$N$4001,3,0)),"",VLOOKUP($R17&amp;W$2,$K$3:$N$4001,3,0))</f>
        <v>40396</v>
      </c>
      <c r="X17" s="109">
        <f>IF(ISNA(VLOOKUP($R17&amp;W$2,$K$3:$N$4001,4,0)),"",VLOOKUP($R17&amp;W$2,$K$3:$N$4001,4,0))</f>
        <v>0.02</v>
      </c>
      <c r="Y17" s="108">
        <f>IF(ISNA(VLOOKUP($R17&amp;Y$2,$K$3:$N$4001,3,0)),"",VLOOKUP($R17&amp;Y$2,$K$3:$N$4001,3,0))</f>
        <v>40598</v>
      </c>
      <c r="Z17" s="109">
        <f>IF(ISNA(VLOOKUP($R17&amp;Y$2,$K$3:$N$4001,4,0)),"",VLOOKUP($R17&amp;Y$2,$K$3:$N$4001,4,0))</f>
        <v>0.02</v>
      </c>
      <c r="AA17" s="108">
        <f>IF(ISNA(VLOOKUP($R17&amp;AA$2,$K$3:$N$4001,3,0)),"",VLOOKUP($R17&amp;AA$2,$K$3:$N$4001,3,0))</f>
        <v>40763</v>
      </c>
      <c r="AB17" s="109">
        <f>IF(ISNA(VLOOKUP($R17&amp;AA$2,$K$3:$N$4001,4,0)),"",VLOOKUP($R17&amp;AA$2,$K$3:$N$4001,4,0))</f>
        <v>0.05</v>
      </c>
      <c r="AC17" s="108">
        <f>IF(ISNA(VLOOKUP($R17&amp;AC$2,$K$3:$N$4001,3,0)),"",VLOOKUP($R17&amp;AC$2,$K$3:$N$4001,3,0))</f>
        <v>40966</v>
      </c>
      <c r="AD17" s="109">
        <f>IF(ISNA(VLOOKUP($R17&amp;AC$2,$K$3:$N$4001,4,0)),"",VLOOKUP($R17&amp;AC$2,$K$3:$N$4001,4,0))</f>
        <v>0.05</v>
      </c>
      <c r="AE17" s="108">
        <f>IF(ISNA(VLOOKUP($R17&amp;AE$2,$K$3:$N$4001,3,0)),"",VLOOKUP($R17&amp;AE$2,$K$3:$N$4001,3,0))</f>
        <v>41128</v>
      </c>
      <c r="AF17" s="109">
        <f>IF(ISNA(VLOOKUP($R17&amp;AE$2,$K$3:$N$4001,4,0)),"",VLOOKUP($R17&amp;AE$2,$K$3:$N$4001,4,0))</f>
        <v>0.08</v>
      </c>
      <c r="AG17" s="108">
        <f>IF(ISNA(VLOOKUP($R17&amp;AG$2,$K$3:$N$4001,3,0)),"",VLOOKUP($R17&amp;AG$2,$K$3:$N$4001,3,0))</f>
        <v>41331</v>
      </c>
      <c r="AH17" s="109">
        <f>IF(ISNA(VLOOKUP($R17&amp;AG$2,$K$3:$N$4001,4,0)),"",VLOOKUP($R17&amp;AG$2,$K$3:$N$4001,4,0))</f>
        <v>0.08</v>
      </c>
      <c r="AI17" s="108" t="str">
        <f>IF(ISNA(VLOOKUP($R17&amp;AI$2,$K$3:$N$4001,3,0)),"",VLOOKUP($R17&amp;AI$2,$K$3:$N$4001,3,0))</f>
        <v/>
      </c>
      <c r="AJ17" s="109" t="str">
        <f>IF(ISNA(VLOOKUP($R17&amp;AI$2,$K$3:$N$4001,4,0)),"",VLOOKUP($R17&amp;AI$2,$K$3:$N$4001,4,0))</f>
        <v/>
      </c>
      <c r="AK17" s="108" t="str">
        <f>IF(ISNA(VLOOKUP($R17&amp;AK$2,$K$3:$N$4001,3,0)),"",VLOOKUP($R17&amp;AK$2,$K$3:$N$4001,3,0))</f>
        <v/>
      </c>
      <c r="AL17" s="109" t="str">
        <f>IF(ISNA(VLOOKUP($R17&amp;AK$2,$K$3:$N$4001,4,0)),"",VLOOKUP($R17&amp;AK$2,$K$3:$N$4001,4,0))</f>
        <v/>
      </c>
    </row>
    <row r="18" spans="3:38" x14ac:dyDescent="0.2">
      <c r="C18" s="96" t="str">
        <f t="shared" si="0"/>
        <v>ABB1</v>
      </c>
      <c r="D18" s="73" t="s">
        <v>66</v>
      </c>
      <c r="E18" s="100">
        <v>39974</v>
      </c>
      <c r="F18" s="101">
        <v>8.8699999999999987E-2</v>
      </c>
      <c r="G18" s="96">
        <f t="shared" si="1"/>
        <v>1</v>
      </c>
      <c r="I18" s="102"/>
      <c r="K18" t="str">
        <f t="shared" si="2"/>
        <v>ABB1</v>
      </c>
      <c r="L18" s="73" t="s">
        <v>66</v>
      </c>
      <c r="M18" s="72">
        <v>39974</v>
      </c>
      <c r="N18" s="84">
        <v>8.8699999999999987E-2</v>
      </c>
      <c r="O18" s="96">
        <f t="shared" si="3"/>
        <v>1</v>
      </c>
      <c r="P18" s="73"/>
      <c r="Q18" s="96"/>
      <c r="R18" s="96" t="s">
        <v>76</v>
      </c>
      <c r="S18" s="106">
        <f>IF(ISNA(VLOOKUP($R18&amp;S$2,$C$3:$F$4001,3,0)),"",VLOOKUP($R18&amp;S$2,$C$3:$F$4001,3,0))</f>
        <v>39868</v>
      </c>
      <c r="T18" s="107">
        <f>IF(ISNA(VLOOKUP($R18&amp;S$2,$C$3:$F$4001,4,0)),"",VLOOKUP($R18&amp;S$2,$C$3:$F$4001,4,0))</f>
        <v>0.17</v>
      </c>
      <c r="U18" s="106">
        <f>IF(ISNA(VLOOKUP($R18&amp;U$2,$C$3:$F$4001,3,0)),"",VLOOKUP($R18&amp;U$2,$C$3:$F$4001,3,0))</f>
        <v>40049</v>
      </c>
      <c r="V18" s="107">
        <f>IF(ISNA(VLOOKUP($R18&amp;U$2,$C$3:$F$4001,4,0)),"",VLOOKUP($R18&amp;U$2,$C$3:$F$4001,4,0))</f>
        <v>0.17</v>
      </c>
      <c r="W18" s="106">
        <f>IF(ISNA(VLOOKUP($R18&amp;W$2,$C$3:$F$4001,3,0)),"",VLOOKUP($R18&amp;W$2,$C$3:$F$4001,3,0))</f>
        <v>40233</v>
      </c>
      <c r="X18" s="107">
        <f>IF(ISNA(VLOOKUP($R18&amp;W$2,$C$3:$F$4001,4,0)),"",VLOOKUP($R18&amp;W$2,$C$3:$F$4001,4,0))</f>
        <v>0.17</v>
      </c>
      <c r="Y18" s="106">
        <f>IF(ISNA(VLOOKUP($R18&amp;Y$2,$C$3:$F$4001,3,0)),"",VLOOKUP($R18&amp;Y$2,$C$3:$F$4001,3,0))</f>
        <v>40414</v>
      </c>
      <c r="Z18" s="107">
        <f>IF(ISNA(VLOOKUP($R18&amp;Y$2,$C$3:$F$4001,4,0)),"",VLOOKUP($R18&amp;Y$2,$C$3:$F$4001,4,0))</f>
        <v>0.17</v>
      </c>
      <c r="AA18" s="106">
        <f>IF(ISNA(VLOOKUP($R18&amp;AA$2,$C$3:$F$4001,3,0)),"",VLOOKUP($R18&amp;AA$2,$C$3:$F$4001,3,0))</f>
        <v>40598</v>
      </c>
      <c r="AB18" s="107">
        <f>IF(ISNA(VLOOKUP($R18&amp;AA$2,$C$3:$F$4001,4,0)),"",VLOOKUP($R18&amp;AA$2,$C$3:$F$4001,4,0))</f>
        <v>0.18</v>
      </c>
      <c r="AC18" s="106">
        <f>IF(ISNA(VLOOKUP($R18&amp;AC$2,$C$3:$F$4001,3,0)),"",VLOOKUP($R18&amp;AC$2,$C$3:$F$4001,3,0))</f>
        <v>40779</v>
      </c>
      <c r="AD18" s="107">
        <f>IF(ISNA(VLOOKUP($R18&amp;AC$2,$C$3:$F$4001,4,0)),"",VLOOKUP($R18&amp;AC$2,$C$3:$F$4001,4,0))</f>
        <v>0.18</v>
      </c>
      <c r="AE18" s="106">
        <f>IF(ISNA(VLOOKUP($R18&amp;AE$2,$C$3:$F$4001,3,0)),"",VLOOKUP($R18&amp;AE$2,$C$3:$F$4001,3,0))</f>
        <v>40966</v>
      </c>
      <c r="AF18" s="107">
        <f>IF(ISNA(VLOOKUP($R18&amp;AE$2,$C$3:$F$4001,4,0)),"",VLOOKUP($R18&amp;AE$2,$C$3:$F$4001,4,0))</f>
        <v>0.18</v>
      </c>
      <c r="AG18" s="106">
        <f>IF(ISNA(VLOOKUP($R18&amp;AG$2,$C$3:$F$4001,3,0)),"",VLOOKUP($R18&amp;AG$2,$C$3:$F$4001,3,0))</f>
        <v>41145</v>
      </c>
      <c r="AH18" s="107">
        <f>IF(ISNA(VLOOKUP($R18&amp;AG$2,$C$3:$F$4001,4,0)),"",VLOOKUP($R18&amp;AG$2,$C$3:$F$4001,4,0))</f>
        <v>0.18</v>
      </c>
      <c r="AI18" s="106">
        <f>IF(ISNA(VLOOKUP($R18&amp;AI$2,$C$3:$F$4001,3,0)),"",VLOOKUP($R18&amp;AI$2,$C$3:$F$4001,3,0))</f>
        <v>41331</v>
      </c>
      <c r="AJ18" s="107">
        <f>IF(ISNA(VLOOKUP($R18&amp;AI$2,$C$3:$F$4001,4,0)),"",VLOOKUP($R18&amp;AI$2,$C$3:$F$4001,4,0))</f>
        <v>0.19</v>
      </c>
      <c r="AK18" s="106">
        <f>IF(ISNA(VLOOKUP($R18&amp;AK$2,$C$3:$F$4001,3,0)),"",VLOOKUP($R18&amp;AK$2,$C$3:$F$4001,3,0))</f>
        <v>41512</v>
      </c>
      <c r="AL18" s="107">
        <f>IF(ISNA(VLOOKUP($R18&amp;AK$2,$C$3:$F$4001,4,0)),"",VLOOKUP($R18&amp;AK$2,$C$3:$F$4001,4,0))</f>
        <v>0.19</v>
      </c>
    </row>
    <row r="19" spans="3:38" x14ac:dyDescent="0.2">
      <c r="C19" s="96" t="str">
        <f t="shared" si="0"/>
        <v>ABB2</v>
      </c>
      <c r="D19" s="73" t="s">
        <v>66</v>
      </c>
      <c r="E19" s="100">
        <v>40339</v>
      </c>
      <c r="F19" s="101">
        <v>0.11869999999999999</v>
      </c>
      <c r="G19" s="96">
        <f t="shared" si="1"/>
        <v>2</v>
      </c>
      <c r="I19" s="102"/>
      <c r="K19" t="str">
        <f t="shared" si="2"/>
        <v>ABB2</v>
      </c>
      <c r="L19" s="73" t="s">
        <v>66</v>
      </c>
      <c r="M19" s="72">
        <v>40339</v>
      </c>
      <c r="N19" s="84">
        <v>0.11869999999999999</v>
      </c>
      <c r="O19" s="96">
        <f t="shared" si="3"/>
        <v>2</v>
      </c>
      <c r="P19" s="73"/>
      <c r="Q19" s="96"/>
      <c r="R19" s="96" t="str">
        <f>R18</f>
        <v>AMC</v>
      </c>
      <c r="S19" s="108">
        <f>IF(ISNA(VLOOKUP($R19&amp;S$2,$K$3:$N$4001,3,0)),"",VLOOKUP($R19&amp;S$2,$K$3:$N$4001,3,0))</f>
        <v>39868</v>
      </c>
      <c r="T19" s="109">
        <f>IF(ISNA(VLOOKUP($R19&amp;S$2,$K$3:$N$4001,4,0)),"",VLOOKUP($R19&amp;S$2,$K$3:$N$4001,4,0))</f>
        <v>0.17</v>
      </c>
      <c r="U19" s="108">
        <f>IF(ISNA(VLOOKUP($R19&amp;U$2,$K$3:$N$4001,3,0)),"",VLOOKUP($R19&amp;U$2,$K$3:$N$4001,3,0))</f>
        <v>40049</v>
      </c>
      <c r="V19" s="109">
        <f>IF(ISNA(VLOOKUP($R19&amp;U$2,$K$3:$N$4001,4,0)),"",VLOOKUP($R19&amp;U$2,$K$3:$N$4001,4,0))</f>
        <v>0.17</v>
      </c>
      <c r="W19" s="108">
        <f>IF(ISNA(VLOOKUP($R19&amp;W$2,$K$3:$N$4001,3,0)),"",VLOOKUP($R19&amp;W$2,$K$3:$N$4001,3,0))</f>
        <v>40233</v>
      </c>
      <c r="X19" s="109">
        <f>IF(ISNA(VLOOKUP($R19&amp;W$2,$K$3:$N$4001,4,0)),"",VLOOKUP($R19&amp;W$2,$K$3:$N$4001,4,0))</f>
        <v>0.17</v>
      </c>
      <c r="Y19" s="108">
        <f>IF(ISNA(VLOOKUP($R19&amp;Y$2,$K$3:$N$4001,3,0)),"",VLOOKUP($R19&amp;Y$2,$K$3:$N$4001,3,0))</f>
        <v>40414</v>
      </c>
      <c r="Z19" s="109">
        <f>IF(ISNA(VLOOKUP($R19&amp;Y$2,$K$3:$N$4001,4,0)),"",VLOOKUP($R19&amp;Y$2,$K$3:$N$4001,4,0))</f>
        <v>0.17</v>
      </c>
      <c r="AA19" s="108">
        <f>IF(ISNA(VLOOKUP($R19&amp;AA$2,$K$3:$N$4001,3,0)),"",VLOOKUP($R19&amp;AA$2,$K$3:$N$4001,3,0))</f>
        <v>40598</v>
      </c>
      <c r="AB19" s="109">
        <f>IF(ISNA(VLOOKUP($R19&amp;AA$2,$K$3:$N$4001,4,0)),"",VLOOKUP($R19&amp;AA$2,$K$3:$N$4001,4,0))</f>
        <v>0.18</v>
      </c>
      <c r="AC19" s="108">
        <f>IF(ISNA(VLOOKUP($R19&amp;AC$2,$K$3:$N$4001,3,0)),"",VLOOKUP($R19&amp;AC$2,$K$3:$N$4001,3,0))</f>
        <v>40779</v>
      </c>
      <c r="AD19" s="109">
        <f>IF(ISNA(VLOOKUP($R19&amp;AC$2,$K$3:$N$4001,4,0)),"",VLOOKUP($R19&amp;AC$2,$K$3:$N$4001,4,0))</f>
        <v>0.18</v>
      </c>
      <c r="AE19" s="108">
        <f>IF(ISNA(VLOOKUP($R19&amp;AE$2,$K$3:$N$4001,3,0)),"",VLOOKUP($R19&amp;AE$2,$K$3:$N$4001,3,0))</f>
        <v>40966</v>
      </c>
      <c r="AF19" s="109">
        <f>IF(ISNA(VLOOKUP($R19&amp;AE$2,$K$3:$N$4001,4,0)),"",VLOOKUP($R19&amp;AE$2,$K$3:$N$4001,4,0))</f>
        <v>0.18</v>
      </c>
      <c r="AG19" s="108">
        <f>IF(ISNA(VLOOKUP($R19&amp;AG$2,$K$3:$N$4001,3,0)),"",VLOOKUP($R19&amp;AG$2,$K$3:$N$4001,3,0))</f>
        <v>41145</v>
      </c>
      <c r="AH19" s="109">
        <f>IF(ISNA(VLOOKUP($R19&amp;AG$2,$K$3:$N$4001,4,0)),"",VLOOKUP($R19&amp;AG$2,$K$3:$N$4001,4,0))</f>
        <v>0.18</v>
      </c>
      <c r="AI19" s="108">
        <f>IF(ISNA(VLOOKUP($R19&amp;AI$2,$K$3:$N$4001,3,0)),"",VLOOKUP($R19&amp;AI$2,$K$3:$N$4001,3,0))</f>
        <v>41331</v>
      </c>
      <c r="AJ19" s="109">
        <f>IF(ISNA(VLOOKUP($R19&amp;AI$2,$K$3:$N$4001,4,0)),"",VLOOKUP($R19&amp;AI$2,$K$3:$N$4001,4,0))</f>
        <v>0.19</v>
      </c>
      <c r="AK19" s="108">
        <f>IF(ISNA(VLOOKUP($R19&amp;AK$2,$K$3:$N$4001,3,0)),"",VLOOKUP($R19&amp;AK$2,$K$3:$N$4001,3,0))</f>
        <v>41512</v>
      </c>
      <c r="AL19" s="109">
        <f>IF(ISNA(VLOOKUP($R19&amp;AK$2,$K$3:$N$4001,4,0)),"",VLOOKUP($R19&amp;AK$2,$K$3:$N$4001,4,0))</f>
        <v>0.19</v>
      </c>
    </row>
    <row r="20" spans="3:38" x14ac:dyDescent="0.2">
      <c r="C20" s="96" t="str">
        <f t="shared" si="0"/>
        <v>ABB3</v>
      </c>
      <c r="D20" s="73" t="s">
        <v>66</v>
      </c>
      <c r="E20" s="100">
        <v>40525</v>
      </c>
      <c r="F20" s="101">
        <v>0.17730000000000001</v>
      </c>
      <c r="G20" s="96">
        <f t="shared" si="1"/>
        <v>3</v>
      </c>
      <c r="I20" s="102"/>
      <c r="K20" t="str">
        <f t="shared" si="2"/>
        <v>ABB3</v>
      </c>
      <c r="L20" s="73" t="s">
        <v>66</v>
      </c>
      <c r="M20" s="72">
        <v>40525</v>
      </c>
      <c r="N20" s="84">
        <v>0.17730000000000001</v>
      </c>
      <c r="O20" s="96">
        <f t="shared" si="3"/>
        <v>3</v>
      </c>
      <c r="P20" s="73"/>
      <c r="Q20" s="96"/>
      <c r="R20" s="96" t="s">
        <v>77</v>
      </c>
      <c r="S20" s="106">
        <f>IF(ISNA(VLOOKUP($R20&amp;S$2,$C$3:$F$4001,3,0)),"",VLOOKUP($R20&amp;S$2,$C$3:$F$4001,3,0))</f>
        <v>39877</v>
      </c>
      <c r="T20" s="107">
        <f>IF(ISNA(VLOOKUP($R20&amp;S$2,$C$3:$F$4001,4,0)),"",VLOOKUP($R20&amp;S$2,$C$3:$F$4001,4,0))</f>
        <v>0.2</v>
      </c>
      <c r="U20" s="106">
        <f>IF(ISNA(VLOOKUP($R20&amp;U$2,$C$3:$F$4001,3,0)),"",VLOOKUP($R20&amp;U$2,$C$3:$F$4001,3,0))</f>
        <v>40084</v>
      </c>
      <c r="V20" s="107">
        <f>IF(ISNA(VLOOKUP($R20&amp;U$2,$C$3:$F$4001,4,0)),"",VLOOKUP($R20&amp;U$2,$C$3:$F$4001,4,0))</f>
        <v>0.18</v>
      </c>
      <c r="W20" s="106">
        <f>IF(ISNA(VLOOKUP($R20&amp;W$2,$C$3:$F$4001,3,0)),"",VLOOKUP($R20&amp;W$2,$C$3:$F$4001,3,0))</f>
        <v>40266</v>
      </c>
      <c r="X20" s="107">
        <f>IF(ISNA(VLOOKUP($R20&amp;W$2,$C$3:$F$4001,4,0)),"",VLOOKUP($R20&amp;W$2,$C$3:$F$4001,4,0))</f>
        <v>0.2</v>
      </c>
      <c r="Y20" s="106">
        <f>IF(ISNA(VLOOKUP($R20&amp;Y$2,$C$3:$F$4001,3,0)),"",VLOOKUP($R20&amp;Y$2,$C$3:$F$4001,3,0))</f>
        <v>40449</v>
      </c>
      <c r="Z20" s="107">
        <f>IF(ISNA(VLOOKUP($R20&amp;Y$2,$C$3:$F$4001,4,0)),"",VLOOKUP($R20&amp;Y$2,$C$3:$F$4001,4,0))</f>
        <v>0.2</v>
      </c>
      <c r="AA20" s="106">
        <f>IF(ISNA(VLOOKUP($R20&amp;AA$2,$C$3:$F$4001,3,0)),"",VLOOKUP($R20&amp;AA$2,$C$3:$F$4001,3,0))</f>
        <v>40630</v>
      </c>
      <c r="AB20" s="107">
        <f>IF(ISNA(VLOOKUP($R20&amp;AA$2,$C$3:$F$4001,4,0)),"",VLOOKUP($R20&amp;AA$2,$C$3:$F$4001,4,0))</f>
        <v>0.22</v>
      </c>
      <c r="AC20" s="106">
        <f>IF(ISNA(VLOOKUP($R20&amp;AC$2,$C$3:$F$4001,3,0)),"",VLOOKUP($R20&amp;AC$2,$C$3:$F$4001,3,0))</f>
        <v>40815</v>
      </c>
      <c r="AD20" s="107">
        <f>IF(ISNA(VLOOKUP($R20&amp;AC$2,$C$3:$F$4001,4,0)),"",VLOOKUP($R20&amp;AC$2,$C$3:$F$4001,4,0))</f>
        <v>0.22</v>
      </c>
      <c r="AE20" s="106">
        <f>IF(ISNA(VLOOKUP($R20&amp;AE$2,$C$3:$F$4001,3,0)),"",VLOOKUP($R20&amp;AE$2,$C$3:$F$4001,3,0))</f>
        <v>40995</v>
      </c>
      <c r="AF20" s="107">
        <f>IF(ISNA(VLOOKUP($R20&amp;AE$2,$C$3:$F$4001,4,0)),"",VLOOKUP($R20&amp;AE$2,$C$3:$F$4001,4,0))</f>
        <v>0.24</v>
      </c>
      <c r="AG20" s="106">
        <f>IF(ISNA(VLOOKUP($R20&amp;AG$2,$C$3:$F$4001,3,0)),"",VLOOKUP($R20&amp;AG$2,$C$3:$F$4001,3,0))</f>
        <v>41183</v>
      </c>
      <c r="AH20" s="107">
        <f>IF(ISNA(VLOOKUP($R20&amp;AG$2,$C$3:$F$4001,4,0)),"",VLOOKUP($R20&amp;AG$2,$C$3:$F$4001,4,0))</f>
        <v>0.25</v>
      </c>
      <c r="AI20" s="106">
        <f>IF(ISNA(VLOOKUP($R20&amp;AI$2,$C$3:$F$4001,3,0)),"",VLOOKUP($R20&amp;AI$2,$C$3:$F$4001,3,0))</f>
        <v>41360</v>
      </c>
      <c r="AJ20" s="107">
        <f>IF(ISNA(VLOOKUP($R20&amp;AI$2,$C$3:$F$4001,4,0)),"",VLOOKUP($R20&amp;AI$2,$C$3:$F$4001,4,0))</f>
        <v>0.28000000000000003</v>
      </c>
      <c r="AK20" s="106" t="str">
        <f>IF(ISNA(VLOOKUP($R20&amp;AK$2,$C$3:$F$4001,3,0)),"",VLOOKUP($R20&amp;AK$2,$C$3:$F$4001,3,0))</f>
        <v/>
      </c>
      <c r="AL20" s="107" t="str">
        <f>IF(ISNA(VLOOKUP($R20&amp;AK$2,$C$3:$F$4001,4,0)),"",VLOOKUP($R20&amp;AK$2,$C$3:$F$4001,4,0))</f>
        <v/>
      </c>
    </row>
    <row r="21" spans="3:38" x14ac:dyDescent="0.2">
      <c r="C21" s="96" t="str">
        <f t="shared" si="0"/>
        <v>ABB4</v>
      </c>
      <c r="D21" s="73" t="s">
        <v>66</v>
      </c>
      <c r="E21" s="100">
        <v>40704</v>
      </c>
      <c r="F21" s="101">
        <v>0.128</v>
      </c>
      <c r="G21" s="96">
        <f t="shared" si="1"/>
        <v>4</v>
      </c>
      <c r="I21" s="102"/>
      <c r="K21" t="str">
        <f t="shared" si="2"/>
        <v>ABB4</v>
      </c>
      <c r="L21" s="73" t="s">
        <v>66</v>
      </c>
      <c r="M21" s="72">
        <v>40704</v>
      </c>
      <c r="N21" s="84">
        <v>0.128</v>
      </c>
      <c r="O21" s="96">
        <f t="shared" si="3"/>
        <v>4</v>
      </c>
      <c r="P21" s="73"/>
      <c r="Q21" s="96"/>
      <c r="R21" s="96" t="str">
        <f>R20</f>
        <v>AMP</v>
      </c>
      <c r="S21" s="108">
        <f>IF(ISNA(VLOOKUP($R21&amp;S$2,$K$3:$N$4001,3,0)),"",VLOOKUP($R21&amp;S$2,$K$3:$N$4001,3,0))</f>
        <v>39877</v>
      </c>
      <c r="T21" s="109">
        <f>IF(ISNA(VLOOKUP($R21&amp;S$2,$K$3:$N$4001,4,0)),"",VLOOKUP($R21&amp;S$2,$K$3:$N$4001,4,0))</f>
        <v>0.2</v>
      </c>
      <c r="U21" s="108">
        <f>IF(ISNA(VLOOKUP($R21&amp;U$2,$K$3:$N$4001,3,0)),"",VLOOKUP($R21&amp;U$2,$K$3:$N$4001,3,0))</f>
        <v>40084</v>
      </c>
      <c r="V21" s="109">
        <f>IF(ISNA(VLOOKUP($R21&amp;U$2,$K$3:$N$4001,4,0)),"",VLOOKUP($R21&amp;U$2,$K$3:$N$4001,4,0))</f>
        <v>0.18</v>
      </c>
      <c r="W21" s="108">
        <f>IF(ISNA(VLOOKUP($R21&amp;W$2,$K$3:$N$4001,3,0)),"",VLOOKUP($R21&amp;W$2,$K$3:$N$4001,3,0))</f>
        <v>40266</v>
      </c>
      <c r="X21" s="109">
        <f>IF(ISNA(VLOOKUP($R21&amp;W$2,$K$3:$N$4001,4,0)),"",VLOOKUP($R21&amp;W$2,$K$3:$N$4001,4,0))</f>
        <v>0.2</v>
      </c>
      <c r="Y21" s="108">
        <f>IF(ISNA(VLOOKUP($R21&amp;Y$2,$K$3:$N$4001,3,0)),"",VLOOKUP($R21&amp;Y$2,$K$3:$N$4001,3,0))</f>
        <v>40449</v>
      </c>
      <c r="Z21" s="109">
        <f>IF(ISNA(VLOOKUP($R21&amp;Y$2,$K$3:$N$4001,4,0)),"",VLOOKUP($R21&amp;Y$2,$K$3:$N$4001,4,0))</f>
        <v>0.2</v>
      </c>
      <c r="AA21" s="108">
        <f>IF(ISNA(VLOOKUP($R21&amp;AA$2,$K$3:$N$4001,3,0)),"",VLOOKUP($R21&amp;AA$2,$K$3:$N$4001,3,0))</f>
        <v>40630</v>
      </c>
      <c r="AB21" s="109">
        <f>IF(ISNA(VLOOKUP($R21&amp;AA$2,$K$3:$N$4001,4,0)),"",VLOOKUP($R21&amp;AA$2,$K$3:$N$4001,4,0))</f>
        <v>0.22</v>
      </c>
      <c r="AC21" s="108">
        <f>IF(ISNA(VLOOKUP($R21&amp;AC$2,$K$3:$N$4001,3,0)),"",VLOOKUP($R21&amp;AC$2,$K$3:$N$4001,3,0))</f>
        <v>40815</v>
      </c>
      <c r="AD21" s="109">
        <f>IF(ISNA(VLOOKUP($R21&amp;AC$2,$K$3:$N$4001,4,0)),"",VLOOKUP($R21&amp;AC$2,$K$3:$N$4001,4,0))</f>
        <v>0.22</v>
      </c>
      <c r="AE21" s="108">
        <f>IF(ISNA(VLOOKUP($R21&amp;AE$2,$K$3:$N$4001,3,0)),"",VLOOKUP($R21&amp;AE$2,$K$3:$N$4001,3,0))</f>
        <v>40995</v>
      </c>
      <c r="AF21" s="109">
        <f>IF(ISNA(VLOOKUP($R21&amp;AE$2,$K$3:$N$4001,4,0)),"",VLOOKUP($R21&amp;AE$2,$K$3:$N$4001,4,0))</f>
        <v>0.24</v>
      </c>
      <c r="AG21" s="108">
        <f>IF(ISNA(VLOOKUP($R21&amp;AG$2,$K$3:$N$4001,3,0)),"",VLOOKUP($R21&amp;AG$2,$K$3:$N$4001,3,0))</f>
        <v>41183</v>
      </c>
      <c r="AH21" s="109">
        <f>IF(ISNA(VLOOKUP($R21&amp;AG$2,$K$3:$N$4001,4,0)),"",VLOOKUP($R21&amp;AG$2,$K$3:$N$4001,4,0))</f>
        <v>0.25</v>
      </c>
      <c r="AI21" s="108">
        <f>IF(ISNA(VLOOKUP($R21&amp;AI$2,$K$3:$N$4001,3,0)),"",VLOOKUP($R21&amp;AI$2,$K$3:$N$4001,3,0))</f>
        <v>41360</v>
      </c>
      <c r="AJ21" s="109">
        <f>IF(ISNA(VLOOKUP($R21&amp;AI$2,$K$3:$N$4001,4,0)),"",VLOOKUP($R21&amp;AI$2,$K$3:$N$4001,4,0))</f>
        <v>0.28000000000000003</v>
      </c>
      <c r="AK21" s="108" t="str">
        <f>IF(ISNA(VLOOKUP($R21&amp;AK$2,$K$3:$N$4001,3,0)),"",VLOOKUP($R21&amp;AK$2,$K$3:$N$4001,3,0))</f>
        <v/>
      </c>
      <c r="AL21" s="109" t="str">
        <f>IF(ISNA(VLOOKUP($R21&amp;AK$2,$K$3:$N$4001,4,0)),"",VLOOKUP($R21&amp;AK$2,$K$3:$N$4001,4,0))</f>
        <v/>
      </c>
    </row>
    <row r="22" spans="3:38" x14ac:dyDescent="0.2">
      <c r="C22" s="96" t="str">
        <f t="shared" si="0"/>
        <v>ABB5</v>
      </c>
      <c r="D22" s="73" t="s">
        <v>66</v>
      </c>
      <c r="E22" s="100">
        <v>40890</v>
      </c>
      <c r="F22" s="101">
        <v>0.23730000000000001</v>
      </c>
      <c r="G22" s="96">
        <f t="shared" si="1"/>
        <v>5</v>
      </c>
      <c r="I22" s="102"/>
      <c r="K22" t="str">
        <f t="shared" si="2"/>
        <v>ABB5</v>
      </c>
      <c r="L22" s="73" t="s">
        <v>66</v>
      </c>
      <c r="M22" s="72">
        <v>40890</v>
      </c>
      <c r="N22" s="84">
        <v>0.23730000000000001</v>
      </c>
      <c r="O22" s="96">
        <f t="shared" si="3"/>
        <v>5</v>
      </c>
      <c r="P22" s="73"/>
      <c r="Q22" s="96"/>
      <c r="R22" s="96" t="s">
        <v>78</v>
      </c>
      <c r="S22" s="106">
        <f>IF(ISNA(VLOOKUP($R22&amp;S$2,$C$3:$F$4001,3,0)),"",VLOOKUP($R22&amp;S$2,$C$3:$F$4001,3,0))</f>
        <v>39863</v>
      </c>
      <c r="T22" s="107">
        <f>IF(ISNA(VLOOKUP($R22&amp;S$2,$C$3:$F$4001,4,0)),"",VLOOKUP($R22&amp;S$2,$C$3:$F$4001,4,0))</f>
        <v>0.12</v>
      </c>
      <c r="U22" s="106">
        <f>IF(ISNA(VLOOKUP($R22&amp;U$2,$C$3:$F$4001,3,0)),"",VLOOKUP($R22&amp;U$2,$C$3:$F$4001,3,0))</f>
        <v>40051</v>
      </c>
      <c r="V22" s="107">
        <f>IF(ISNA(VLOOKUP($R22&amp;U$2,$C$3:$F$4001,4,0)),"",VLOOKUP($R22&amp;U$2,$C$3:$F$4001,4,0))</f>
        <v>0.17</v>
      </c>
      <c r="W22" s="106">
        <f>IF(ISNA(VLOOKUP($R22&amp;W$2,$C$3:$F$4001,3,0)),"",VLOOKUP($R22&amp;W$2,$C$3:$F$4001,3,0))</f>
        <v>40228</v>
      </c>
      <c r="X22" s="107">
        <f>IF(ISNA(VLOOKUP($R22&amp;W$2,$C$3:$F$4001,4,0)),"",VLOOKUP($R22&amp;W$2,$C$3:$F$4001,4,0))</f>
        <v>0.13</v>
      </c>
      <c r="Y22" s="106">
        <f>IF(ISNA(VLOOKUP($R22&amp;Y$2,$C$3:$F$4001,3,0)),"",VLOOKUP($R22&amp;Y$2,$C$3:$F$4001,3,0))</f>
        <v>40416</v>
      </c>
      <c r="Z22" s="107">
        <f>IF(ISNA(VLOOKUP($R22&amp;Y$2,$C$3:$F$4001,4,0)),"",VLOOKUP($R22&amp;Y$2,$C$3:$F$4001,4,0))</f>
        <v>0.18</v>
      </c>
      <c r="AA22" s="106">
        <f>IF(ISNA(VLOOKUP($R22&amp;AA$2,$C$3:$F$4001,3,0)),"",VLOOKUP($R22&amp;AA$2,$C$3:$F$4001,3,0))</f>
        <v>40595</v>
      </c>
      <c r="AB22" s="107">
        <f>IF(ISNA(VLOOKUP($R22&amp;AA$2,$C$3:$F$4001,4,0)),"",VLOOKUP($R22&amp;AA$2,$C$3:$F$4001,4,0))</f>
        <v>0.15</v>
      </c>
      <c r="AC22" s="106">
        <f>IF(ISNA(VLOOKUP($R22&amp;AC$2,$C$3:$F$4001,3,0)),"",VLOOKUP($R22&amp;AC$2,$C$3:$F$4001,3,0))</f>
        <v>40781</v>
      </c>
      <c r="AD22" s="107">
        <f>IF(ISNA(VLOOKUP($R22&amp;AC$2,$C$3:$F$4001,4,0)),"",VLOOKUP($R22&amp;AC$2,$C$3:$F$4001,4,0))</f>
        <v>0.21</v>
      </c>
      <c r="AE22" s="106">
        <f>IF(ISNA(VLOOKUP($R22&amp;AE$2,$C$3:$F$4001,3,0)),"",VLOOKUP($R22&amp;AE$2,$C$3:$F$4001,3,0))</f>
        <v>40960</v>
      </c>
      <c r="AF22" s="107">
        <f>IF(ISNA(VLOOKUP($R22&amp;AE$2,$C$3:$F$4001,4,0)),"",VLOOKUP($R22&amp;AE$2,$C$3:$F$4001,4,0))</f>
        <v>0.18</v>
      </c>
      <c r="AG22" s="106">
        <f>IF(ISNA(VLOOKUP($R22&amp;AG$2,$C$3:$F$4001,3,0)),"",VLOOKUP($R22&amp;AG$2,$C$3:$F$4001,3,0))</f>
        <v>41149</v>
      </c>
      <c r="AH22" s="107">
        <f>IF(ISNA(VLOOKUP($R22&amp;AG$2,$C$3:$F$4001,4,0)),"",VLOOKUP($R22&amp;AG$2,$C$3:$F$4001,4,0))</f>
        <v>0.24</v>
      </c>
      <c r="AI22" s="106">
        <f>IF(ISNA(VLOOKUP($R22&amp;AI$2,$C$3:$F$4001,3,0)),"",VLOOKUP($R22&amp;AI$2,$C$3:$F$4001,3,0))</f>
        <v>41326</v>
      </c>
      <c r="AJ22" s="107">
        <f>IF(ISNA(VLOOKUP($R22&amp;AI$2,$C$3:$F$4001,4,0)),"",VLOOKUP($R22&amp;AI$2,$C$3:$F$4001,4,0))</f>
        <v>0.2</v>
      </c>
      <c r="AK22" s="106">
        <f>IF(ISNA(VLOOKUP($R22&amp;AK$2,$C$3:$F$4001,3,0)),"",VLOOKUP($R22&amp;AK$2,$C$3:$F$4001,3,0))</f>
        <v>41514</v>
      </c>
      <c r="AL22" s="107">
        <f>IF(ISNA(VLOOKUP($R22&amp;AK$2,$C$3:$F$4001,4,0)),"",VLOOKUP($R22&amp;AK$2,$C$3:$F$4001,4,0))</f>
        <v>0.27</v>
      </c>
    </row>
    <row r="23" spans="3:38" x14ac:dyDescent="0.2">
      <c r="C23" s="96" t="str">
        <f t="shared" si="0"/>
        <v>ABB6</v>
      </c>
      <c r="D23" s="73" t="s">
        <v>66</v>
      </c>
      <c r="E23" s="100">
        <v>41072</v>
      </c>
      <c r="F23" s="101">
        <v>0.13170000000000001</v>
      </c>
      <c r="G23" s="96">
        <f t="shared" si="1"/>
        <v>6</v>
      </c>
      <c r="I23" s="102"/>
      <c r="K23" t="str">
        <f t="shared" si="2"/>
        <v>ABB6</v>
      </c>
      <c r="L23" s="73" t="s">
        <v>66</v>
      </c>
      <c r="M23" s="72">
        <v>41072</v>
      </c>
      <c r="N23" s="84">
        <v>0.13170000000000001</v>
      </c>
      <c r="O23" s="96">
        <f t="shared" si="3"/>
        <v>6</v>
      </c>
      <c r="P23" s="73"/>
      <c r="Q23" s="96"/>
      <c r="R23" s="96" t="str">
        <f>R22</f>
        <v>ANN</v>
      </c>
      <c r="S23" s="108">
        <f>IF(ISNA(VLOOKUP($R23&amp;S$2,$K$3:$N$4001,3,0)),"",VLOOKUP($R23&amp;S$2,$K$3:$N$4001,3,0))</f>
        <v>39863</v>
      </c>
      <c r="T23" s="109">
        <f>IF(ISNA(VLOOKUP($R23&amp;S$2,$K$3:$N$4001,4,0)),"",VLOOKUP($R23&amp;S$2,$K$3:$N$4001,4,0))</f>
        <v>0.12</v>
      </c>
      <c r="U23" s="108">
        <f>IF(ISNA(VLOOKUP($R23&amp;U$2,$K$3:$N$4001,3,0)),"",VLOOKUP($R23&amp;U$2,$K$3:$N$4001,3,0))</f>
        <v>40051</v>
      </c>
      <c r="V23" s="109">
        <f>IF(ISNA(VLOOKUP($R23&amp;U$2,$K$3:$N$4001,4,0)),"",VLOOKUP($R23&amp;U$2,$K$3:$N$4001,4,0))</f>
        <v>0.17</v>
      </c>
      <c r="W23" s="108">
        <f>IF(ISNA(VLOOKUP($R23&amp;W$2,$K$3:$N$4001,3,0)),"",VLOOKUP($R23&amp;W$2,$K$3:$N$4001,3,0))</f>
        <v>40228</v>
      </c>
      <c r="X23" s="109">
        <f>IF(ISNA(VLOOKUP($R23&amp;W$2,$K$3:$N$4001,4,0)),"",VLOOKUP($R23&amp;W$2,$K$3:$N$4001,4,0))</f>
        <v>0.13</v>
      </c>
      <c r="Y23" s="108">
        <f>IF(ISNA(VLOOKUP($R23&amp;Y$2,$K$3:$N$4001,3,0)),"",VLOOKUP($R23&amp;Y$2,$K$3:$N$4001,3,0))</f>
        <v>40416</v>
      </c>
      <c r="Z23" s="109">
        <f>IF(ISNA(VLOOKUP($R23&amp;Y$2,$K$3:$N$4001,4,0)),"",VLOOKUP($R23&amp;Y$2,$K$3:$N$4001,4,0))</f>
        <v>0.18</v>
      </c>
      <c r="AA23" s="108">
        <f>IF(ISNA(VLOOKUP($R23&amp;AA$2,$K$3:$N$4001,3,0)),"",VLOOKUP($R23&amp;AA$2,$K$3:$N$4001,3,0))</f>
        <v>40595</v>
      </c>
      <c r="AB23" s="109">
        <f>IF(ISNA(VLOOKUP($R23&amp;AA$2,$K$3:$N$4001,4,0)),"",VLOOKUP($R23&amp;AA$2,$K$3:$N$4001,4,0))</f>
        <v>0.15</v>
      </c>
      <c r="AC23" s="108">
        <f>IF(ISNA(VLOOKUP($R23&amp;AC$2,$K$3:$N$4001,3,0)),"",VLOOKUP($R23&amp;AC$2,$K$3:$N$4001,3,0))</f>
        <v>40781</v>
      </c>
      <c r="AD23" s="109">
        <f>IF(ISNA(VLOOKUP($R23&amp;AC$2,$K$3:$N$4001,4,0)),"",VLOOKUP($R23&amp;AC$2,$K$3:$N$4001,4,0))</f>
        <v>0.21</v>
      </c>
      <c r="AE23" s="108">
        <f>IF(ISNA(VLOOKUP($R23&amp;AE$2,$K$3:$N$4001,3,0)),"",VLOOKUP($R23&amp;AE$2,$K$3:$N$4001,3,0))</f>
        <v>40960</v>
      </c>
      <c r="AF23" s="109">
        <f>IF(ISNA(VLOOKUP($R23&amp;AE$2,$K$3:$N$4001,4,0)),"",VLOOKUP($R23&amp;AE$2,$K$3:$N$4001,4,0))</f>
        <v>0.18</v>
      </c>
      <c r="AG23" s="108">
        <f>IF(ISNA(VLOOKUP($R23&amp;AG$2,$K$3:$N$4001,3,0)),"",VLOOKUP($R23&amp;AG$2,$K$3:$N$4001,3,0))</f>
        <v>41149</v>
      </c>
      <c r="AH23" s="109">
        <f>IF(ISNA(VLOOKUP($R23&amp;AG$2,$K$3:$N$4001,4,0)),"",VLOOKUP($R23&amp;AG$2,$K$3:$N$4001,4,0))</f>
        <v>0.24</v>
      </c>
      <c r="AI23" s="108">
        <f>IF(ISNA(VLOOKUP($R23&amp;AI$2,$K$3:$N$4001,3,0)),"",VLOOKUP($R23&amp;AI$2,$K$3:$N$4001,3,0))</f>
        <v>41326</v>
      </c>
      <c r="AJ23" s="109">
        <f>IF(ISNA(VLOOKUP($R23&amp;AI$2,$K$3:$N$4001,4,0)),"",VLOOKUP($R23&amp;AI$2,$K$3:$N$4001,4,0))</f>
        <v>0.2</v>
      </c>
      <c r="AK23" s="108">
        <f>IF(ISNA(VLOOKUP($R23&amp;AK$2,$K$3:$N$4001,3,0)),"",VLOOKUP($R23&amp;AK$2,$K$3:$N$4001,3,0))</f>
        <v>41514</v>
      </c>
      <c r="AL23" s="109">
        <f>IF(ISNA(VLOOKUP($R23&amp;AK$2,$K$3:$N$4001,4,0)),"",VLOOKUP($R23&amp;AK$2,$K$3:$N$4001,4,0))</f>
        <v>0.27</v>
      </c>
    </row>
    <row r="24" spans="3:38" x14ac:dyDescent="0.2">
      <c r="C24" s="96" t="str">
        <f t="shared" si="0"/>
        <v>ABB7</v>
      </c>
      <c r="D24" s="73" t="s">
        <v>66</v>
      </c>
      <c r="E24" s="100">
        <v>41256</v>
      </c>
      <c r="F24" s="101">
        <v>0.25600000000000001</v>
      </c>
      <c r="G24" s="96">
        <f t="shared" si="1"/>
        <v>7</v>
      </c>
      <c r="I24" s="102"/>
      <c r="K24" t="str">
        <f t="shared" si="2"/>
        <v>ABB7</v>
      </c>
      <c r="L24" s="73" t="s">
        <v>66</v>
      </c>
      <c r="M24" s="72">
        <v>41256</v>
      </c>
      <c r="N24" s="84">
        <v>0.25600000000000001</v>
      </c>
      <c r="O24" s="96">
        <f t="shared" si="3"/>
        <v>7</v>
      </c>
      <c r="P24" s="73"/>
      <c r="Q24" s="96"/>
      <c r="R24" s="96" t="s">
        <v>80</v>
      </c>
      <c r="S24" s="106">
        <f>IF(ISNA(VLOOKUP($R24&amp;S$2,$C$3:$F$4001,3,0)),"",VLOOKUP($R24&amp;S$2,$C$3:$F$4001,3,0))</f>
        <v>39875</v>
      </c>
      <c r="T24" s="107">
        <f>IF(ISNA(VLOOKUP($R24&amp;S$2,$C$3:$F$4001,4,0)),"",VLOOKUP($R24&amp;S$2,$C$3:$F$4001,4,0))</f>
        <v>0.1525</v>
      </c>
      <c r="U24" s="106">
        <f>IF(ISNA(VLOOKUP($R24&amp;U$2,$C$3:$F$4001,3,0)),"",VLOOKUP($R24&amp;U$2,$C$3:$F$4001,3,0))</f>
        <v>40060</v>
      </c>
      <c r="V24" s="107">
        <f>IF(ISNA(VLOOKUP($R24&amp;U$2,$C$3:$F$4001,4,0)),"",VLOOKUP($R24&amp;U$2,$C$3:$F$4001,4,0))</f>
        <v>0.1575</v>
      </c>
      <c r="W24" s="106">
        <f>IF(ISNA(VLOOKUP($R24&amp;W$2,$C$3:$F$4001,3,0)),"",VLOOKUP($R24&amp;W$2,$C$3:$F$4001,3,0))</f>
        <v>40241</v>
      </c>
      <c r="X24" s="107">
        <f>IF(ISNA(VLOOKUP($R24&amp;W$2,$C$3:$F$4001,4,0)),"",VLOOKUP($R24&amp;W$2,$C$3:$F$4001,4,0))</f>
        <v>0.16039999999999999</v>
      </c>
      <c r="Y24" s="106">
        <f>IF(ISNA(VLOOKUP($R24&amp;Y$2,$C$3:$F$4001,3,0)),"",VLOOKUP($R24&amp;Y$2,$C$3:$F$4001,3,0))</f>
        <v>40427</v>
      </c>
      <c r="Z24" s="107">
        <f>IF(ISNA(VLOOKUP($R24&amp;Y$2,$C$3:$F$4001,4,0)),"",VLOOKUP($R24&amp;Y$2,$C$3:$F$4001,4,0))</f>
        <v>0.1656</v>
      </c>
      <c r="AA24" s="106">
        <f>IF(ISNA(VLOOKUP($R24&amp;AA$2,$C$3:$F$4001,3,0)),"",VLOOKUP($R24&amp;AA$2,$C$3:$F$4001,3,0))</f>
        <v>40606</v>
      </c>
      <c r="AB24" s="107">
        <f>IF(ISNA(VLOOKUP($R24&amp;AA$2,$C$3:$F$4001,4,0)),"",VLOOKUP($R24&amp;AA$2,$C$3:$F$4001,4,0))</f>
        <v>0.1653</v>
      </c>
      <c r="AC24" s="106">
        <f>IF(ISNA(VLOOKUP($R24&amp;AC$2,$C$3:$F$4001,3,0)),"",VLOOKUP($R24&amp;AC$2,$C$3:$F$4001,3,0))</f>
        <v>40792</v>
      </c>
      <c r="AD24" s="107">
        <f>IF(ISNA(VLOOKUP($R24&amp;AC$2,$C$3:$F$4001,4,0)),"",VLOOKUP($R24&amp;AC$2,$C$3:$F$4001,4,0))</f>
        <v>0.17069999999999999</v>
      </c>
      <c r="AE24" s="106">
        <f>IF(ISNA(VLOOKUP($R24&amp;AE$2,$C$3:$F$4001,3,0)),"",VLOOKUP($R24&amp;AE$2,$C$3:$F$4001,3,0))</f>
        <v>40974</v>
      </c>
      <c r="AF24" s="107">
        <f>IF(ISNA(VLOOKUP($R24&amp;AE$2,$C$3:$F$4001,4,0)),"",VLOOKUP($R24&amp;AE$2,$C$3:$F$4001,4,0))</f>
        <v>0.17170000000000002</v>
      </c>
      <c r="AG24" s="106">
        <f>IF(ISNA(VLOOKUP($R24&amp;AG$2,$C$3:$F$4001,3,0)),"",VLOOKUP($R24&amp;AG$2,$C$3:$F$4001,3,0))</f>
        <v>41158</v>
      </c>
      <c r="AH24" s="107">
        <f>IF(ISNA(VLOOKUP($R24&amp;AG$2,$C$3:$F$4001,4,0)),"",VLOOKUP($R24&amp;AG$2,$C$3:$F$4001,4,0))</f>
        <v>0.17730000000000001</v>
      </c>
      <c r="AI24" s="106">
        <f>IF(ISNA(VLOOKUP($R24&amp;AI$2,$C$3:$F$4001,3,0)),"",VLOOKUP($R24&amp;AI$2,$C$3:$F$4001,3,0))</f>
        <v>41339</v>
      </c>
      <c r="AJ24" s="107">
        <f>IF(ISNA(VLOOKUP($R24&amp;AI$2,$C$3:$F$4001,4,0)),"",VLOOKUP($R24&amp;AI$2,$C$3:$F$4001,4,0))</f>
        <v>0.17910000000000001</v>
      </c>
      <c r="AK24" s="106">
        <f>IF(ISNA(VLOOKUP($R24&amp;AK$2,$C$3:$F$4001,3,0)),"",VLOOKUP($R24&amp;AK$2,$C$3:$F$4001,3,0))</f>
        <v>41523</v>
      </c>
      <c r="AL24" s="107">
        <f>IF(ISNA(VLOOKUP($R24&amp;AK$2,$C$3:$F$4001,4,0)),"",VLOOKUP($R24&amp;AK$2,$C$3:$F$4001,4,0))</f>
        <v>0.18489999999999998</v>
      </c>
    </row>
    <row r="25" spans="3:38" x14ac:dyDescent="0.2">
      <c r="C25" s="96" t="str">
        <f t="shared" si="0"/>
        <v>ABB8</v>
      </c>
      <c r="D25" s="73" t="s">
        <v>66</v>
      </c>
      <c r="E25" s="100">
        <v>41437</v>
      </c>
      <c r="F25" s="101">
        <v>0.18340000000000001</v>
      </c>
      <c r="G25" s="96">
        <f t="shared" si="1"/>
        <v>8</v>
      </c>
      <c r="I25" s="102"/>
      <c r="K25" t="str">
        <f t="shared" si="2"/>
        <v>ABB8</v>
      </c>
      <c r="L25" s="73" t="s">
        <v>66</v>
      </c>
      <c r="M25" s="72">
        <v>41437</v>
      </c>
      <c r="N25" s="84">
        <v>0.18340000000000001</v>
      </c>
      <c r="O25" s="96">
        <f t="shared" si="3"/>
        <v>8</v>
      </c>
      <c r="P25" s="73"/>
      <c r="Q25" s="96"/>
      <c r="R25" s="96" t="str">
        <f>R24</f>
        <v>APA</v>
      </c>
      <c r="S25" s="108">
        <f>IF(ISNA(VLOOKUP($R25&amp;S$2,$K$3:$N$4001,3,0)),"",VLOOKUP($R25&amp;S$2,$K$3:$N$4001,3,0))</f>
        <v>39875</v>
      </c>
      <c r="T25" s="109">
        <f>IF(ISNA(VLOOKUP($R25&amp;S$2,$K$3:$N$4001,4,0)),"",VLOOKUP($R25&amp;S$2,$K$3:$N$4001,4,0))</f>
        <v>0.1525</v>
      </c>
      <c r="U25" s="108">
        <f>IF(ISNA(VLOOKUP($R25&amp;U$2,$K$3:$N$4001,3,0)),"",VLOOKUP($R25&amp;U$2,$K$3:$N$4001,3,0))</f>
        <v>40060</v>
      </c>
      <c r="V25" s="109">
        <f>IF(ISNA(VLOOKUP($R25&amp;U$2,$K$3:$N$4001,4,0)),"",VLOOKUP($R25&amp;U$2,$K$3:$N$4001,4,0))</f>
        <v>0.1575</v>
      </c>
      <c r="W25" s="108">
        <f>IF(ISNA(VLOOKUP($R25&amp;W$2,$K$3:$N$4001,3,0)),"",VLOOKUP($R25&amp;W$2,$K$3:$N$4001,3,0))</f>
        <v>40241</v>
      </c>
      <c r="X25" s="109">
        <f>IF(ISNA(VLOOKUP($R25&amp;W$2,$K$3:$N$4001,4,0)),"",VLOOKUP($R25&amp;W$2,$K$3:$N$4001,4,0))</f>
        <v>0.16039999999999999</v>
      </c>
      <c r="Y25" s="108">
        <f>IF(ISNA(VLOOKUP($R25&amp;Y$2,$K$3:$N$4001,3,0)),"",VLOOKUP($R25&amp;Y$2,$K$3:$N$4001,3,0))</f>
        <v>40427</v>
      </c>
      <c r="Z25" s="109">
        <f>IF(ISNA(VLOOKUP($R25&amp;Y$2,$K$3:$N$4001,4,0)),"",VLOOKUP($R25&amp;Y$2,$K$3:$N$4001,4,0))</f>
        <v>0.1656</v>
      </c>
      <c r="AA25" s="108">
        <f>IF(ISNA(VLOOKUP($R25&amp;AA$2,$K$3:$N$4001,3,0)),"",VLOOKUP($R25&amp;AA$2,$K$3:$N$4001,3,0))</f>
        <v>40606</v>
      </c>
      <c r="AB25" s="109">
        <f>IF(ISNA(VLOOKUP($R25&amp;AA$2,$K$3:$N$4001,4,0)),"",VLOOKUP($R25&amp;AA$2,$K$3:$N$4001,4,0))</f>
        <v>0.1653</v>
      </c>
      <c r="AC25" s="108">
        <f>IF(ISNA(VLOOKUP($R25&amp;AC$2,$K$3:$N$4001,3,0)),"",VLOOKUP($R25&amp;AC$2,$K$3:$N$4001,3,0))</f>
        <v>40792</v>
      </c>
      <c r="AD25" s="109">
        <f>IF(ISNA(VLOOKUP($R25&amp;AC$2,$K$3:$N$4001,4,0)),"",VLOOKUP($R25&amp;AC$2,$K$3:$N$4001,4,0))</f>
        <v>0.17069999999999999</v>
      </c>
      <c r="AE25" s="108">
        <f>IF(ISNA(VLOOKUP($R25&amp;AE$2,$K$3:$N$4001,3,0)),"",VLOOKUP($R25&amp;AE$2,$K$3:$N$4001,3,0))</f>
        <v>40974</v>
      </c>
      <c r="AF25" s="109">
        <f>IF(ISNA(VLOOKUP($R25&amp;AE$2,$K$3:$N$4001,4,0)),"",VLOOKUP($R25&amp;AE$2,$K$3:$N$4001,4,0))</f>
        <v>0.17170000000000002</v>
      </c>
      <c r="AG25" s="108">
        <f>IF(ISNA(VLOOKUP($R25&amp;AG$2,$K$3:$N$4001,3,0)),"",VLOOKUP($R25&amp;AG$2,$K$3:$N$4001,3,0))</f>
        <v>41158</v>
      </c>
      <c r="AH25" s="109">
        <f>IF(ISNA(VLOOKUP($R25&amp;AG$2,$K$3:$N$4001,4,0)),"",VLOOKUP($R25&amp;AG$2,$K$3:$N$4001,4,0))</f>
        <v>0.17730000000000001</v>
      </c>
      <c r="AI25" s="108">
        <f>IF(ISNA(VLOOKUP($R25&amp;AI$2,$K$3:$N$4001,3,0)),"",VLOOKUP($R25&amp;AI$2,$K$3:$N$4001,3,0))</f>
        <v>41339</v>
      </c>
      <c r="AJ25" s="109">
        <f>IF(ISNA(VLOOKUP($R25&amp;AI$2,$K$3:$N$4001,4,0)),"",VLOOKUP($R25&amp;AI$2,$K$3:$N$4001,4,0))</f>
        <v>0.17910000000000001</v>
      </c>
      <c r="AK25" s="108">
        <f>IF(ISNA(VLOOKUP($R25&amp;AK$2,$K$3:$N$4001,3,0)),"",VLOOKUP($R25&amp;AK$2,$K$3:$N$4001,3,0))</f>
        <v>41523</v>
      </c>
      <c r="AL25" s="109">
        <f>IF(ISNA(VLOOKUP($R25&amp;AK$2,$K$3:$N$4001,4,0)),"",VLOOKUP($R25&amp;AK$2,$K$3:$N$4001,4,0))</f>
        <v>0.18489999999999998</v>
      </c>
    </row>
    <row r="26" spans="3:38" x14ac:dyDescent="0.2">
      <c r="C26" s="96" t="str">
        <f t="shared" si="0"/>
        <v>ABB9</v>
      </c>
      <c r="D26" s="73" t="s">
        <v>66</v>
      </c>
      <c r="E26" s="100">
        <v>41621</v>
      </c>
      <c r="F26" s="101">
        <v>0.26329999999999998</v>
      </c>
      <c r="G26" s="96">
        <f t="shared" si="1"/>
        <v>9</v>
      </c>
      <c r="I26" s="96"/>
      <c r="K26" t="str">
        <f t="shared" si="2"/>
        <v>ABB9</v>
      </c>
      <c r="L26" s="73" t="s">
        <v>66</v>
      </c>
      <c r="M26" s="72">
        <v>41621</v>
      </c>
      <c r="N26" s="84">
        <v>0.26329999999999998</v>
      </c>
      <c r="O26" s="96">
        <f t="shared" si="3"/>
        <v>9</v>
      </c>
      <c r="P26" s="73"/>
      <c r="Q26" s="96"/>
      <c r="R26" s="96" t="s">
        <v>81</v>
      </c>
      <c r="S26" s="106">
        <f>IF(ISNA(VLOOKUP($R26&amp;S$2,$C$3:$F$4001,3,0)),"",VLOOKUP($R26&amp;S$2,$C$3:$F$4001,3,0))</f>
        <v>39905</v>
      </c>
      <c r="T26" s="107">
        <f>IF(ISNA(VLOOKUP($R26&amp;S$2,$C$3:$F$4001,4,0)),"",VLOOKUP($R26&amp;S$2,$C$3:$F$4001,4,0))</f>
        <v>0.21</v>
      </c>
      <c r="U26" s="106">
        <f>IF(ISNA(VLOOKUP($R26&amp;U$2,$C$3:$F$4001,3,0)),"",VLOOKUP($R26&amp;U$2,$C$3:$F$4001,3,0))</f>
        <v>40063</v>
      </c>
      <c r="V26" s="107">
        <f>IF(ISNA(VLOOKUP($R26&amp;U$2,$C$3:$F$4001,4,0)),"",VLOOKUP($R26&amp;U$2,$C$3:$F$4001,4,0))</f>
        <v>0.105</v>
      </c>
      <c r="W26" s="106">
        <f>IF(ISNA(VLOOKUP($R26&amp;W$2,$C$3:$F$4001,3,0)),"",VLOOKUP($R26&amp;W$2,$C$3:$F$4001,3,0))</f>
        <v>40268</v>
      </c>
      <c r="X26" s="107">
        <f>IF(ISNA(VLOOKUP($R26&amp;W$2,$C$3:$F$4001,4,0)),"",VLOOKUP($R26&amp;W$2,$C$3:$F$4001,4,0))</f>
        <v>0.21</v>
      </c>
      <c r="Y26" s="106">
        <f>IF(ISNA(VLOOKUP($R26&amp;Y$2,$C$3:$F$4001,3,0)),"",VLOOKUP($R26&amp;Y$2,$C$3:$F$4001,3,0))</f>
        <v>40428</v>
      </c>
      <c r="Z26" s="107">
        <f>IF(ISNA(VLOOKUP($R26&amp;Y$2,$C$3:$F$4001,4,0)),"",VLOOKUP($R26&amp;Y$2,$C$3:$F$4001,4,0))</f>
        <v>0.105</v>
      </c>
      <c r="AA26" s="106">
        <f>IF(ISNA(VLOOKUP($R26&amp;AA$2,$C$3:$F$4001,3,0)),"",VLOOKUP($R26&amp;AA$2,$C$3:$F$4001,3,0))</f>
        <v>40637</v>
      </c>
      <c r="AB26" s="107">
        <f>IF(ISNA(VLOOKUP($R26&amp;AA$2,$C$3:$F$4001,4,0)),"",VLOOKUP($R26&amp;AA$2,$C$3:$F$4001,4,0))</f>
        <v>0.21</v>
      </c>
      <c r="AC26" s="106">
        <f>IF(ISNA(VLOOKUP($R26&amp;AC$2,$C$3:$F$4001,3,0)),"",VLOOKUP($R26&amp;AC$2,$C$3:$F$4001,3,0))</f>
        <v>40793</v>
      </c>
      <c r="AD26" s="107">
        <f>IF(ISNA(VLOOKUP($R26&amp;AC$2,$C$3:$F$4001,4,0)),"",VLOOKUP($R26&amp;AC$2,$C$3:$F$4001,4,0))</f>
        <v>0.105</v>
      </c>
      <c r="AE26" s="106">
        <f>IF(ISNA(VLOOKUP($R26&amp;AE$2,$C$3:$F$4001,3,0)),"",VLOOKUP($R26&amp;AE$2,$C$3:$F$4001,3,0))</f>
        <v>41002</v>
      </c>
      <c r="AF26" s="107">
        <f>IF(ISNA(VLOOKUP($R26&amp;AE$2,$C$3:$F$4001,4,0)),"",VLOOKUP($R26&amp;AE$2,$C$3:$F$4001,4,0))</f>
        <v>0.21</v>
      </c>
      <c r="AG26" s="106">
        <f>IF(ISNA(VLOOKUP($R26&amp;AG$2,$C$3:$F$4001,3,0)),"",VLOOKUP($R26&amp;AG$2,$C$3:$F$4001,3,0))</f>
        <v>41159</v>
      </c>
      <c r="AH26" s="107">
        <f>IF(ISNA(VLOOKUP($R26&amp;AG$2,$C$3:$F$4001,4,0)),"",VLOOKUP($R26&amp;AG$2,$C$3:$F$4001,4,0))</f>
        <v>8.8300000000000003E-2</v>
      </c>
      <c r="AI26" s="106">
        <f>IF(ISNA(VLOOKUP($R26&amp;AI$2,$C$3:$F$4001,3,0)),"",VLOOKUP($R26&amp;AI$2,$C$3:$F$4001,3,0))</f>
        <v>41367</v>
      </c>
      <c r="AJ26" s="107">
        <f>IF(ISNA(VLOOKUP($R26&amp;AI$2,$C$3:$F$4001,4,0)),"",VLOOKUP($R26&amp;AI$2,$C$3:$F$4001,4,0))</f>
        <v>0.17670000000000002</v>
      </c>
      <c r="AK26" s="106" t="str">
        <f>IF(ISNA(VLOOKUP($R26&amp;AK$2,$C$3:$F$4001,3,0)),"",VLOOKUP($R26&amp;AK$2,$C$3:$F$4001,3,0))</f>
        <v/>
      </c>
      <c r="AL26" s="107" t="str">
        <f>IF(ISNA(VLOOKUP($R26&amp;AK$2,$C$3:$F$4001,4,0)),"",VLOOKUP($R26&amp;AK$2,$C$3:$F$4001,4,0))</f>
        <v/>
      </c>
    </row>
    <row r="27" spans="3:38" x14ac:dyDescent="0.2">
      <c r="C27" s="96" t="str">
        <f t="shared" si="0"/>
        <v>ABB10</v>
      </c>
      <c r="D27" s="73" t="s">
        <v>66</v>
      </c>
      <c r="E27" s="100">
        <v>41988</v>
      </c>
      <c r="F27" s="101">
        <v>0.36659999999999998</v>
      </c>
      <c r="G27" s="96">
        <f t="shared" si="1"/>
        <v>10</v>
      </c>
      <c r="I27" s="96"/>
      <c r="K27" t="str">
        <f t="shared" si="2"/>
        <v>ABB10</v>
      </c>
      <c r="L27" s="73" t="s">
        <v>66</v>
      </c>
      <c r="M27" s="72">
        <v>41988</v>
      </c>
      <c r="N27" s="84">
        <v>0.36659999999999998</v>
      </c>
      <c r="O27" s="96">
        <f t="shared" si="3"/>
        <v>10</v>
      </c>
      <c r="P27" s="73"/>
      <c r="Q27" s="96"/>
      <c r="R27" s="96" t="str">
        <f>R26</f>
        <v>APN</v>
      </c>
      <c r="S27" s="108">
        <f>IF(ISNA(VLOOKUP($R27&amp;S$2,$K$3:$N$4001,3,0)),"",VLOOKUP($R27&amp;S$2,$K$3:$N$4001,3,0))</f>
        <v>39905</v>
      </c>
      <c r="T27" s="109">
        <f>IF(ISNA(VLOOKUP($R27&amp;S$2,$K$3:$N$4001,4,0)),"",VLOOKUP($R27&amp;S$2,$K$3:$N$4001,4,0))</f>
        <v>0.21</v>
      </c>
      <c r="U27" s="108">
        <f>IF(ISNA(VLOOKUP($R27&amp;U$2,$K$3:$N$4001,3,0)),"",VLOOKUP($R27&amp;U$2,$K$3:$N$4001,3,0))</f>
        <v>40063</v>
      </c>
      <c r="V27" s="109">
        <f>IF(ISNA(VLOOKUP($R27&amp;U$2,$K$3:$N$4001,4,0)),"",VLOOKUP($R27&amp;U$2,$K$3:$N$4001,4,0))</f>
        <v>0.105</v>
      </c>
      <c r="W27" s="108">
        <f>IF(ISNA(VLOOKUP($R27&amp;W$2,$K$3:$N$4001,3,0)),"",VLOOKUP($R27&amp;W$2,$K$3:$N$4001,3,0))</f>
        <v>40268</v>
      </c>
      <c r="X27" s="109">
        <f>IF(ISNA(VLOOKUP($R27&amp;W$2,$K$3:$N$4001,4,0)),"",VLOOKUP($R27&amp;W$2,$K$3:$N$4001,4,0))</f>
        <v>0.21</v>
      </c>
      <c r="Y27" s="108">
        <f>IF(ISNA(VLOOKUP($R27&amp;Y$2,$K$3:$N$4001,3,0)),"",VLOOKUP($R27&amp;Y$2,$K$3:$N$4001,3,0))</f>
        <v>40428</v>
      </c>
      <c r="Z27" s="109">
        <f>IF(ISNA(VLOOKUP($R27&amp;Y$2,$K$3:$N$4001,4,0)),"",VLOOKUP($R27&amp;Y$2,$K$3:$N$4001,4,0))</f>
        <v>0.105</v>
      </c>
      <c r="AA27" s="108">
        <f>IF(ISNA(VLOOKUP($R27&amp;AA$2,$K$3:$N$4001,3,0)),"",VLOOKUP($R27&amp;AA$2,$K$3:$N$4001,3,0))</f>
        <v>40637</v>
      </c>
      <c r="AB27" s="109">
        <f>IF(ISNA(VLOOKUP($R27&amp;AA$2,$K$3:$N$4001,4,0)),"",VLOOKUP($R27&amp;AA$2,$K$3:$N$4001,4,0))</f>
        <v>0.21</v>
      </c>
      <c r="AC27" s="108">
        <f>IF(ISNA(VLOOKUP($R27&amp;AC$2,$K$3:$N$4001,3,0)),"",VLOOKUP($R27&amp;AC$2,$K$3:$N$4001,3,0))</f>
        <v>40793</v>
      </c>
      <c r="AD27" s="109">
        <f>IF(ISNA(VLOOKUP($R27&amp;AC$2,$K$3:$N$4001,4,0)),"",VLOOKUP($R27&amp;AC$2,$K$3:$N$4001,4,0))</f>
        <v>0.105</v>
      </c>
      <c r="AE27" s="108">
        <f>IF(ISNA(VLOOKUP($R27&amp;AE$2,$K$3:$N$4001,3,0)),"",VLOOKUP($R27&amp;AE$2,$K$3:$N$4001,3,0))</f>
        <v>41002</v>
      </c>
      <c r="AF27" s="109">
        <f>IF(ISNA(VLOOKUP($R27&amp;AE$2,$K$3:$N$4001,4,0)),"",VLOOKUP($R27&amp;AE$2,$K$3:$N$4001,4,0))</f>
        <v>0.21</v>
      </c>
      <c r="AG27" s="108">
        <f>IF(ISNA(VLOOKUP($R27&amp;AG$2,$K$3:$N$4001,3,0)),"",VLOOKUP($R27&amp;AG$2,$K$3:$N$4001,3,0))</f>
        <v>41159</v>
      </c>
      <c r="AH27" s="109">
        <f>IF(ISNA(VLOOKUP($R27&amp;AG$2,$K$3:$N$4001,4,0)),"",VLOOKUP($R27&amp;AG$2,$K$3:$N$4001,4,0))</f>
        <v>8.8300000000000003E-2</v>
      </c>
      <c r="AI27" s="108">
        <f>IF(ISNA(VLOOKUP($R27&amp;AI$2,$K$3:$N$4001,3,0)),"",VLOOKUP($R27&amp;AI$2,$K$3:$N$4001,3,0))</f>
        <v>41367</v>
      </c>
      <c r="AJ27" s="109">
        <f>IF(ISNA(VLOOKUP($R27&amp;AI$2,$K$3:$N$4001,4,0)),"",VLOOKUP($R27&amp;AI$2,$K$3:$N$4001,4,0))</f>
        <v>0.17670000000000002</v>
      </c>
      <c r="AK27" s="108" t="str">
        <f>IF(ISNA(VLOOKUP($R27&amp;AK$2,$K$3:$N$4001,3,0)),"",VLOOKUP($R27&amp;AK$2,$K$3:$N$4001,3,0))</f>
        <v/>
      </c>
      <c r="AL27" s="109" t="str">
        <f>IF(ISNA(VLOOKUP($R27&amp;AK$2,$K$3:$N$4001,4,0)),"",VLOOKUP($R27&amp;AK$2,$K$3:$N$4001,4,0))</f>
        <v/>
      </c>
    </row>
    <row r="28" spans="3:38" x14ac:dyDescent="0.2">
      <c r="C28" s="96" t="str">
        <f t="shared" si="0"/>
        <v>ABC1</v>
      </c>
      <c r="D28" s="73" t="s">
        <v>67</v>
      </c>
      <c r="E28" s="100">
        <v>39878</v>
      </c>
      <c r="F28" s="101">
        <v>0.105</v>
      </c>
      <c r="G28" s="96">
        <f t="shared" si="1"/>
        <v>1</v>
      </c>
      <c r="I28" s="96"/>
      <c r="K28" t="str">
        <f t="shared" si="2"/>
        <v>ABC1</v>
      </c>
      <c r="L28" s="73" t="s">
        <v>67</v>
      </c>
      <c r="M28" s="72">
        <v>39878</v>
      </c>
      <c r="N28" s="84">
        <v>0.105</v>
      </c>
      <c r="O28" s="96">
        <f t="shared" si="3"/>
        <v>1</v>
      </c>
      <c r="P28" s="73"/>
      <c r="Q28" s="96"/>
      <c r="R28" s="96" t="s">
        <v>82</v>
      </c>
      <c r="S28" s="106">
        <f>IF(ISNA(VLOOKUP($R28&amp;S$2,$C$3:$F$4001,3,0)),"",VLOOKUP($R28&amp;S$2,$C$3:$F$4001,3,0))</f>
        <v>40434</v>
      </c>
      <c r="T28" s="107">
        <f>IF(ISNA(VLOOKUP($R28&amp;S$2,$C$3:$F$4001,4,0)),"",VLOOKUP($R28&amp;S$2,$C$3:$F$4001,4,0))</f>
        <v>0.1</v>
      </c>
      <c r="U28" s="106">
        <f>IF(ISNA(VLOOKUP($R28&amp;U$2,$C$3:$F$4001,3,0)),"",VLOOKUP($R28&amp;U$2,$C$3:$F$4001,3,0))</f>
        <v>40598</v>
      </c>
      <c r="V28" s="107">
        <f>IF(ISNA(VLOOKUP($R28&amp;U$2,$C$3:$F$4001,4,0)),"",VLOOKUP($R28&amp;U$2,$C$3:$F$4001,4,0))</f>
        <v>0.05</v>
      </c>
      <c r="W28" s="106">
        <f>IF(ISNA(VLOOKUP($R28&amp;W$2,$C$3:$F$4001,3,0)),"",VLOOKUP($R28&amp;W$2,$C$3:$F$4001,3,0))</f>
        <v>40798</v>
      </c>
      <c r="X28" s="107">
        <f>IF(ISNA(VLOOKUP($R28&amp;W$2,$C$3:$F$4001,4,0)),"",VLOOKUP($R28&amp;W$2,$C$3:$F$4001,4,0))</f>
        <v>0.1</v>
      </c>
      <c r="Y28" s="106">
        <f>IF(ISNA(VLOOKUP($R28&amp;Y$2,$C$3:$F$4001,3,0)),"",VLOOKUP($R28&amp;Y$2,$C$3:$F$4001,3,0))</f>
        <v>40966</v>
      </c>
      <c r="Z28" s="107">
        <f>IF(ISNA(VLOOKUP($R28&amp;Y$2,$C$3:$F$4001,4,0)),"",VLOOKUP($R28&amp;Y$2,$C$3:$F$4001,4,0))</f>
        <v>0.06</v>
      </c>
      <c r="AA28" s="106">
        <f>IF(ISNA(VLOOKUP($R28&amp;AA$2,$C$3:$F$4001,3,0)),"",VLOOKUP($R28&amp;AA$2,$C$3:$F$4001,3,0))</f>
        <v>41162</v>
      </c>
      <c r="AB28" s="107">
        <f>IF(ISNA(VLOOKUP($R28&amp;AA$2,$C$3:$F$4001,4,0)),"",VLOOKUP($R28&amp;AA$2,$C$3:$F$4001,4,0))</f>
        <v>0.12</v>
      </c>
      <c r="AC28" s="106">
        <f>IF(ISNA(VLOOKUP($R28&amp;AC$2,$C$3:$F$4001,3,0)),"",VLOOKUP($R28&amp;AC$2,$C$3:$F$4001,3,0))</f>
        <v>41331</v>
      </c>
      <c r="AD28" s="107">
        <f>IF(ISNA(VLOOKUP($R28&amp;AC$2,$C$3:$F$4001,4,0)),"",VLOOKUP($R28&amp;AC$2,$C$3:$F$4001,4,0))</f>
        <v>7.0000000000000007E-2</v>
      </c>
      <c r="AE28" s="106">
        <f>IF(ISNA(VLOOKUP($R28&amp;AE$2,$C$3:$F$4001,3,0)),"",VLOOKUP($R28&amp;AE$2,$C$3:$F$4001,3,0))</f>
        <v>41527</v>
      </c>
      <c r="AF28" s="107">
        <f>IF(ISNA(VLOOKUP($R28&amp;AE$2,$C$3:$F$4001,4,0)),"",VLOOKUP($R28&amp;AE$2,$C$3:$F$4001,4,0))</f>
        <v>0.14000000000000001</v>
      </c>
      <c r="AG28" s="106" t="str">
        <f>IF(ISNA(VLOOKUP($R28&amp;AG$2,$C$3:$F$4001,3,0)),"",VLOOKUP($R28&amp;AG$2,$C$3:$F$4001,3,0))</f>
        <v/>
      </c>
      <c r="AH28" s="107" t="str">
        <f>IF(ISNA(VLOOKUP($R28&amp;AG$2,$C$3:$F$4001,4,0)),"",VLOOKUP($R28&amp;AG$2,$C$3:$F$4001,4,0))</f>
        <v/>
      </c>
      <c r="AI28" s="106" t="str">
        <f>IF(ISNA(VLOOKUP($R28&amp;AI$2,$C$3:$F$4001,3,0)),"",VLOOKUP($R28&amp;AI$2,$C$3:$F$4001,3,0))</f>
        <v/>
      </c>
      <c r="AJ28" s="107" t="str">
        <f>IF(ISNA(VLOOKUP($R28&amp;AI$2,$C$3:$F$4001,4,0)),"",VLOOKUP($R28&amp;AI$2,$C$3:$F$4001,4,0))</f>
        <v/>
      </c>
      <c r="AK28" s="106" t="str">
        <f>IF(ISNA(VLOOKUP($R28&amp;AK$2,$C$3:$F$4001,3,0)),"",VLOOKUP($R28&amp;AK$2,$C$3:$F$4001,3,0))</f>
        <v/>
      </c>
      <c r="AL28" s="107" t="str">
        <f>IF(ISNA(VLOOKUP($R28&amp;AK$2,$C$3:$F$4001,4,0)),"",VLOOKUP($R28&amp;AK$2,$C$3:$F$4001,4,0))</f>
        <v/>
      </c>
    </row>
    <row r="29" spans="3:38" x14ac:dyDescent="0.2">
      <c r="C29" s="96" t="str">
        <f t="shared" si="0"/>
        <v>ABC2</v>
      </c>
      <c r="D29" s="73" t="s">
        <v>67</v>
      </c>
      <c r="E29" s="100">
        <v>40060</v>
      </c>
      <c r="F29" s="101">
        <v>7.4999999999999997E-2</v>
      </c>
      <c r="G29" s="96">
        <f t="shared" si="1"/>
        <v>2</v>
      </c>
      <c r="I29" s="96"/>
      <c r="K29" t="str">
        <f t="shared" si="2"/>
        <v>ABC2</v>
      </c>
      <c r="L29" s="73" t="s">
        <v>67</v>
      </c>
      <c r="M29" s="72">
        <v>40060</v>
      </c>
      <c r="N29" s="84">
        <v>7.4999999999999997E-2</v>
      </c>
      <c r="O29" s="96">
        <f t="shared" si="3"/>
        <v>2</v>
      </c>
      <c r="P29" s="73"/>
      <c r="Q29" s="96"/>
      <c r="R29" s="96" t="str">
        <f>R28</f>
        <v>AQP</v>
      </c>
      <c r="S29" s="108">
        <f>IF(ISNA(VLOOKUP($R29&amp;S$2,$K$3:$N$4001,3,0)),"",VLOOKUP($R29&amp;S$2,$K$3:$N$4001,3,0))</f>
        <v>40434</v>
      </c>
      <c r="T29" s="109">
        <f>IF(ISNA(VLOOKUP($R29&amp;S$2,$K$3:$N$4001,4,0)),"",VLOOKUP($R29&amp;S$2,$K$3:$N$4001,4,0))</f>
        <v>0.1</v>
      </c>
      <c r="U29" s="108">
        <f>IF(ISNA(VLOOKUP($R29&amp;U$2,$K$3:$N$4001,3,0)),"",VLOOKUP($R29&amp;U$2,$K$3:$N$4001,3,0))</f>
        <v>40598</v>
      </c>
      <c r="V29" s="109">
        <f>IF(ISNA(VLOOKUP($R29&amp;U$2,$K$3:$N$4001,4,0)),"",VLOOKUP($R29&amp;U$2,$K$3:$N$4001,4,0))</f>
        <v>0.05</v>
      </c>
      <c r="W29" s="108">
        <f>IF(ISNA(VLOOKUP($R29&amp;W$2,$K$3:$N$4001,3,0)),"",VLOOKUP($R29&amp;W$2,$K$3:$N$4001,3,0))</f>
        <v>40798</v>
      </c>
      <c r="X29" s="109">
        <f>IF(ISNA(VLOOKUP($R29&amp;W$2,$K$3:$N$4001,4,0)),"",VLOOKUP($R29&amp;W$2,$K$3:$N$4001,4,0))</f>
        <v>0.1</v>
      </c>
      <c r="Y29" s="108">
        <f>IF(ISNA(VLOOKUP($R29&amp;Y$2,$K$3:$N$4001,3,0)),"",VLOOKUP($R29&amp;Y$2,$K$3:$N$4001,3,0))</f>
        <v>40966</v>
      </c>
      <c r="Z29" s="109">
        <f>IF(ISNA(VLOOKUP($R29&amp;Y$2,$K$3:$N$4001,4,0)),"",VLOOKUP($R29&amp;Y$2,$K$3:$N$4001,4,0))</f>
        <v>0.06</v>
      </c>
      <c r="AA29" s="108">
        <f>IF(ISNA(VLOOKUP($R29&amp;AA$2,$K$3:$N$4001,3,0)),"",VLOOKUP($R29&amp;AA$2,$K$3:$N$4001,3,0))</f>
        <v>41162</v>
      </c>
      <c r="AB29" s="109">
        <f>IF(ISNA(VLOOKUP($R29&amp;AA$2,$K$3:$N$4001,4,0)),"",VLOOKUP($R29&amp;AA$2,$K$3:$N$4001,4,0))</f>
        <v>0.12</v>
      </c>
      <c r="AC29" s="108">
        <f>IF(ISNA(VLOOKUP($R29&amp;AC$2,$K$3:$N$4001,3,0)),"",VLOOKUP($R29&amp;AC$2,$K$3:$N$4001,3,0))</f>
        <v>41331</v>
      </c>
      <c r="AD29" s="109">
        <f>IF(ISNA(VLOOKUP($R29&amp;AC$2,$K$3:$N$4001,4,0)),"",VLOOKUP($R29&amp;AC$2,$K$3:$N$4001,4,0))</f>
        <v>7.0000000000000007E-2</v>
      </c>
      <c r="AE29" s="108">
        <f>IF(ISNA(VLOOKUP($R29&amp;AE$2,$K$3:$N$4001,3,0)),"",VLOOKUP($R29&amp;AE$2,$K$3:$N$4001,3,0))</f>
        <v>41527</v>
      </c>
      <c r="AF29" s="109">
        <f>IF(ISNA(VLOOKUP($R29&amp;AE$2,$K$3:$N$4001,4,0)),"",VLOOKUP($R29&amp;AE$2,$K$3:$N$4001,4,0))</f>
        <v>0.14000000000000001</v>
      </c>
      <c r="AG29" s="108" t="str">
        <f>IF(ISNA(VLOOKUP($R29&amp;AG$2,$K$3:$N$4001,3,0)),"",VLOOKUP($R29&amp;AG$2,$K$3:$N$4001,3,0))</f>
        <v/>
      </c>
      <c r="AH29" s="109" t="str">
        <f>IF(ISNA(VLOOKUP($R29&amp;AG$2,$K$3:$N$4001,4,0)),"",VLOOKUP($R29&amp;AG$2,$K$3:$N$4001,4,0))</f>
        <v/>
      </c>
      <c r="AI29" s="108" t="str">
        <f>IF(ISNA(VLOOKUP($R29&amp;AI$2,$K$3:$N$4001,3,0)),"",VLOOKUP($R29&amp;AI$2,$K$3:$N$4001,3,0))</f>
        <v/>
      </c>
      <c r="AJ29" s="109" t="str">
        <f>IF(ISNA(VLOOKUP($R29&amp;AI$2,$K$3:$N$4001,4,0)),"",VLOOKUP($R29&amp;AI$2,$K$3:$N$4001,4,0))</f>
        <v/>
      </c>
      <c r="AK29" s="108" t="str">
        <f>IF(ISNA(VLOOKUP($R29&amp;AK$2,$K$3:$N$4001,3,0)),"",VLOOKUP($R29&amp;AK$2,$K$3:$N$4001,3,0))</f>
        <v/>
      </c>
      <c r="AL29" s="109" t="str">
        <f>IF(ISNA(VLOOKUP($R29&amp;AK$2,$K$3:$N$4001,4,0)),"",VLOOKUP($R29&amp;AK$2,$K$3:$N$4001,4,0))</f>
        <v/>
      </c>
    </row>
    <row r="30" spans="3:38" x14ac:dyDescent="0.2">
      <c r="C30" s="96" t="str">
        <f t="shared" si="0"/>
        <v>ABC3</v>
      </c>
      <c r="D30" s="73" t="s">
        <v>67</v>
      </c>
      <c r="E30" s="100">
        <v>40246</v>
      </c>
      <c r="F30" s="101">
        <v>9.6999999999999989E-2</v>
      </c>
      <c r="G30" s="96">
        <f t="shared" si="1"/>
        <v>3</v>
      </c>
      <c r="I30" s="96"/>
      <c r="K30" t="str">
        <f t="shared" si="2"/>
        <v>ABC3</v>
      </c>
      <c r="L30" s="73" t="s">
        <v>67</v>
      </c>
      <c r="M30" s="72">
        <v>40246</v>
      </c>
      <c r="N30" s="84">
        <v>9.6999999999999989E-2</v>
      </c>
      <c r="O30" s="96">
        <f t="shared" si="3"/>
        <v>3</v>
      </c>
      <c r="P30" s="73"/>
      <c r="Q30" s="96"/>
      <c r="R30" s="96" t="s">
        <v>73</v>
      </c>
      <c r="S30" s="106">
        <f>IF(ISNA(VLOOKUP($R30&amp;S$2,$C$3:$F$4001,3,0)),"",VLOOKUP($R30&amp;S$2,$C$3:$F$4001,3,0))</f>
        <v>39874</v>
      </c>
      <c r="T30" s="107">
        <f>IF(ISNA(VLOOKUP($R30&amp;S$2,$C$3:$F$4001,4,0)),"",VLOOKUP($R30&amp;S$2,$C$3:$F$4001,4,0))</f>
        <v>0.05</v>
      </c>
      <c r="U30" s="106">
        <f>IF(ISNA(VLOOKUP($R30&amp;U$2,$C$3:$F$4001,3,0)),"",VLOOKUP($R30&amp;U$2,$C$3:$F$4001,3,0))</f>
        <v>39967</v>
      </c>
      <c r="V30" s="107">
        <f>IF(ISNA(VLOOKUP($R30&amp;U$2,$C$3:$F$4001,4,0)),"",VLOOKUP($R30&amp;U$2,$C$3:$F$4001,4,0))</f>
        <v>0.02</v>
      </c>
      <c r="W30" s="106">
        <f>IF(ISNA(VLOOKUP($R30&amp;W$2,$C$3:$F$4001,3,0)),"",VLOOKUP($R30&amp;W$2,$C$3:$F$4001,3,0))</f>
        <v>40059</v>
      </c>
      <c r="X30" s="107">
        <f>IF(ISNA(VLOOKUP($R30&amp;W$2,$C$3:$F$4001,4,0)),"",VLOOKUP($R30&amp;W$2,$C$3:$F$4001,4,0))</f>
        <v>0.1</v>
      </c>
      <c r="Y30" s="106">
        <f>IF(ISNA(VLOOKUP($R30&amp;Y$2,$C$3:$F$4001,3,0)),"",VLOOKUP($R30&amp;Y$2,$C$3:$F$4001,3,0))</f>
        <v>40147</v>
      </c>
      <c r="Z30" s="107">
        <f>IF(ISNA(VLOOKUP($R30&amp;Y$2,$C$3:$F$4001,4,0)),"",VLOOKUP($R30&amp;Y$2,$C$3:$F$4001,4,0))</f>
        <v>0.02</v>
      </c>
      <c r="AA30" s="106">
        <f>IF(ISNA(VLOOKUP($R30&amp;AA$2,$C$3:$F$4001,3,0)),"",VLOOKUP($R30&amp;AA$2,$C$3:$F$4001,3,0))</f>
        <v>40239</v>
      </c>
      <c r="AB30" s="107">
        <f>IF(ISNA(VLOOKUP($R30&amp;AA$2,$C$3:$F$4001,4,0)),"",VLOOKUP($R30&amp;AA$2,$C$3:$F$4001,4,0))</f>
        <v>0.1</v>
      </c>
      <c r="AC30" s="106">
        <f>IF(ISNA(VLOOKUP($R30&amp;AC$2,$C$3:$F$4001,3,0)),"",VLOOKUP($R30&amp;AC$2,$C$3:$F$4001,3,0))</f>
        <v>40333</v>
      </c>
      <c r="AD30" s="107">
        <f>IF(ISNA(VLOOKUP($R30&amp;AC$2,$C$3:$F$4001,4,0)),"",VLOOKUP($R30&amp;AC$2,$C$3:$F$4001,4,0))</f>
        <v>0.02</v>
      </c>
      <c r="AE30" s="106">
        <f>IF(ISNA(VLOOKUP($R30&amp;AE$2,$C$3:$F$4001,3,0)),"",VLOOKUP($R30&amp;AE$2,$C$3:$F$4001,3,0))</f>
        <v>40424</v>
      </c>
      <c r="AF30" s="107">
        <f>IF(ISNA(VLOOKUP($R30&amp;AE$2,$C$3:$F$4001,4,0)),"",VLOOKUP($R30&amp;AE$2,$C$3:$F$4001,4,0))</f>
        <v>0.1</v>
      </c>
      <c r="AG30" s="106">
        <f>IF(ISNA(VLOOKUP($R30&amp;AG$2,$C$3:$F$4001,3,0)),"",VLOOKUP($R30&amp;AG$2,$C$3:$F$4001,3,0))</f>
        <v>40512</v>
      </c>
      <c r="AH30" s="107">
        <f>IF(ISNA(VLOOKUP($R30&amp;AG$2,$C$3:$F$4001,4,0)),"",VLOOKUP($R30&amp;AG$2,$C$3:$F$4001,4,0))</f>
        <v>0.02</v>
      </c>
      <c r="AI30" s="106">
        <f>IF(ISNA(VLOOKUP($R30&amp;AI$2,$C$3:$F$4001,3,0)),"",VLOOKUP($R30&amp;AI$2,$C$3:$F$4001,3,0))</f>
        <v>40604</v>
      </c>
      <c r="AJ30" s="107">
        <f>IF(ISNA(VLOOKUP($R30&amp;AI$2,$C$3:$F$4001,4,0)),"",VLOOKUP($R30&amp;AI$2,$C$3:$F$4001,4,0))</f>
        <v>0.1</v>
      </c>
      <c r="AK30" s="106">
        <f>IF(ISNA(VLOOKUP($R30&amp;AK$2,$C$3:$F$4001,3,0)),"",VLOOKUP($R30&amp;AK$2,$C$3:$F$4001,3,0))</f>
        <v>40700</v>
      </c>
      <c r="AL30" s="107">
        <f>IF(ISNA(VLOOKUP($R30&amp;AK$2,$C$3:$F$4001,4,0)),"",VLOOKUP($R30&amp;AK$2,$C$3:$F$4001,4,0))</f>
        <v>0.02</v>
      </c>
    </row>
    <row r="31" spans="3:38" x14ac:dyDescent="0.2">
      <c r="C31" s="96" t="str">
        <f t="shared" si="0"/>
        <v>ABC4</v>
      </c>
      <c r="D31" s="73" t="s">
        <v>67</v>
      </c>
      <c r="E31" s="100">
        <v>40427</v>
      </c>
      <c r="F31" s="101">
        <v>8.199999999999999E-2</v>
      </c>
      <c r="G31" s="96">
        <f t="shared" si="1"/>
        <v>4</v>
      </c>
      <c r="I31" s="96"/>
      <c r="K31" t="str">
        <f t="shared" si="2"/>
        <v>ABC4</v>
      </c>
      <c r="L31" s="73" t="s">
        <v>67</v>
      </c>
      <c r="M31" s="72">
        <v>40427</v>
      </c>
      <c r="N31" s="84">
        <v>8.199999999999999E-2</v>
      </c>
      <c r="O31" s="96">
        <f t="shared" si="3"/>
        <v>4</v>
      </c>
      <c r="P31" s="73"/>
      <c r="Q31" s="96"/>
      <c r="R31" s="96" t="str">
        <f>R30</f>
        <v>ALL</v>
      </c>
      <c r="S31" s="108">
        <f>IF(ISNA(VLOOKUP($R31&amp;S$2,$K$3:$N$4001,3,0)),"",VLOOKUP($R31&amp;S$2,$K$3:$N$4001,3,0))</f>
        <v>39874</v>
      </c>
      <c r="T31" s="109">
        <f>IF(ISNA(VLOOKUP($R31&amp;S$2,$K$3:$N$4001,4,0)),"",VLOOKUP($R31&amp;S$2,$K$3:$N$4001,4,0))</f>
        <v>0.05</v>
      </c>
      <c r="U31" s="108">
        <f>IF(ISNA(VLOOKUP($R31&amp;U$2,$K$3:$N$4001,3,0)),"",VLOOKUP($R31&amp;U$2,$K$3:$N$4001,3,0))</f>
        <v>39967</v>
      </c>
      <c r="V31" s="109">
        <f>IF(ISNA(VLOOKUP($R31&amp;U$2,$K$3:$N$4001,4,0)),"",VLOOKUP($R31&amp;U$2,$K$3:$N$4001,4,0))</f>
        <v>0.02</v>
      </c>
      <c r="W31" s="108">
        <f>IF(ISNA(VLOOKUP($R31&amp;W$2,$K$3:$N$4001,3,0)),"",VLOOKUP($R31&amp;W$2,$K$3:$N$4001,3,0))</f>
        <v>40059</v>
      </c>
      <c r="X31" s="109">
        <f>IF(ISNA(VLOOKUP($R31&amp;W$2,$K$3:$N$4001,4,0)),"",VLOOKUP($R31&amp;W$2,$K$3:$N$4001,4,0))</f>
        <v>0.1</v>
      </c>
      <c r="Y31" s="108">
        <f>IF(ISNA(VLOOKUP($R31&amp;Y$2,$K$3:$N$4001,3,0)),"",VLOOKUP($R31&amp;Y$2,$K$3:$N$4001,3,0))</f>
        <v>40147</v>
      </c>
      <c r="Z31" s="109">
        <f>IF(ISNA(VLOOKUP($R31&amp;Y$2,$K$3:$N$4001,4,0)),"",VLOOKUP($R31&amp;Y$2,$K$3:$N$4001,4,0))</f>
        <v>0.02</v>
      </c>
      <c r="AA31" s="108">
        <f>IF(ISNA(VLOOKUP($R31&amp;AA$2,$K$3:$N$4001,3,0)),"",VLOOKUP($R31&amp;AA$2,$K$3:$N$4001,3,0))</f>
        <v>40239</v>
      </c>
      <c r="AB31" s="109">
        <f>IF(ISNA(VLOOKUP($R31&amp;AA$2,$K$3:$N$4001,4,0)),"",VLOOKUP($R31&amp;AA$2,$K$3:$N$4001,4,0))</f>
        <v>0.1</v>
      </c>
      <c r="AC31" s="108">
        <f>IF(ISNA(VLOOKUP($R31&amp;AC$2,$K$3:$N$4001,3,0)),"",VLOOKUP($R31&amp;AC$2,$K$3:$N$4001,3,0))</f>
        <v>40333</v>
      </c>
      <c r="AD31" s="109">
        <f>IF(ISNA(VLOOKUP($R31&amp;AC$2,$K$3:$N$4001,4,0)),"",VLOOKUP($R31&amp;AC$2,$K$3:$N$4001,4,0))</f>
        <v>0.02</v>
      </c>
      <c r="AE31" s="108">
        <f>IF(ISNA(VLOOKUP($R31&amp;AE$2,$K$3:$N$4001,3,0)),"",VLOOKUP($R31&amp;AE$2,$K$3:$N$4001,3,0))</f>
        <v>40424</v>
      </c>
      <c r="AF31" s="109">
        <f>IF(ISNA(VLOOKUP($R31&amp;AE$2,$K$3:$N$4001,4,0)),"",VLOOKUP($R31&amp;AE$2,$K$3:$N$4001,4,0))</f>
        <v>0.1</v>
      </c>
      <c r="AG31" s="108">
        <f>IF(ISNA(VLOOKUP($R31&amp;AG$2,$K$3:$N$4001,3,0)),"",VLOOKUP($R31&amp;AG$2,$K$3:$N$4001,3,0))</f>
        <v>40512</v>
      </c>
      <c r="AH31" s="109">
        <f>IF(ISNA(VLOOKUP($R31&amp;AG$2,$K$3:$N$4001,4,0)),"",VLOOKUP($R31&amp;AG$2,$K$3:$N$4001,4,0))</f>
        <v>0.02</v>
      </c>
      <c r="AI31" s="108">
        <f>IF(ISNA(VLOOKUP($R31&amp;AI$2,$K$3:$N$4001,3,0)),"",VLOOKUP($R31&amp;AI$2,$K$3:$N$4001,3,0))</f>
        <v>40604</v>
      </c>
      <c r="AJ31" s="109">
        <f>IF(ISNA(VLOOKUP($R31&amp;AI$2,$K$3:$N$4001,4,0)),"",VLOOKUP($R31&amp;AI$2,$K$3:$N$4001,4,0))</f>
        <v>0.1</v>
      </c>
      <c r="AK31" s="108">
        <f>IF(ISNA(VLOOKUP($R31&amp;AK$2,$K$3:$N$4001,3,0)),"",VLOOKUP($R31&amp;AK$2,$K$3:$N$4001,3,0))</f>
        <v>40700</v>
      </c>
      <c r="AL31" s="109">
        <f>IF(ISNA(VLOOKUP($R31&amp;AK$2,$K$3:$N$4001,4,0)),"",VLOOKUP($R31&amp;AK$2,$K$3:$N$4001,4,0))</f>
        <v>0.02</v>
      </c>
    </row>
    <row r="32" spans="3:38" x14ac:dyDescent="0.2">
      <c r="C32" s="96" t="str">
        <f t="shared" si="0"/>
        <v>ABC5</v>
      </c>
      <c r="D32" s="73" t="s">
        <v>67</v>
      </c>
      <c r="E32" s="100">
        <v>40611</v>
      </c>
      <c r="F32" s="101">
        <v>0.106</v>
      </c>
      <c r="G32" s="96">
        <f t="shared" si="1"/>
        <v>5</v>
      </c>
      <c r="I32" s="96"/>
      <c r="K32" t="str">
        <f t="shared" si="2"/>
        <v>ABC5</v>
      </c>
      <c r="L32" s="73" t="s">
        <v>67</v>
      </c>
      <c r="M32" s="72">
        <v>40611</v>
      </c>
      <c r="N32" s="84">
        <v>0.106</v>
      </c>
      <c r="O32" s="96">
        <f t="shared" si="3"/>
        <v>5</v>
      </c>
      <c r="P32" s="73"/>
      <c r="Q32" s="96"/>
      <c r="R32" s="96" t="s">
        <v>257</v>
      </c>
      <c r="S32" s="106" t="str">
        <f>IF(ISNA(VLOOKUP($R32&amp;S$2,$C$3:$F$4001,3,0)),"",VLOOKUP($R32&amp;S$2,$C$3:$F$4001,3,0))</f>
        <v/>
      </c>
      <c r="T32" s="107" t="str">
        <f>IF(ISNA(VLOOKUP($R32&amp;S$2,$C$3:$F$4001,4,0)),"",VLOOKUP($R32&amp;S$2,$C$3:$F$4001,4,0))</f>
        <v/>
      </c>
      <c r="U32" s="106" t="str">
        <f>IF(ISNA(VLOOKUP($R32&amp;U$2,$C$3:$F$4001,3,0)),"",VLOOKUP($R32&amp;U$2,$C$3:$F$4001,3,0))</f>
        <v/>
      </c>
      <c r="V32" s="107" t="str">
        <f>IF(ISNA(VLOOKUP($R32&amp;U$2,$C$3:$F$4001,4,0)),"",VLOOKUP($R32&amp;U$2,$C$3:$F$4001,4,0))</f>
        <v/>
      </c>
      <c r="W32" s="106" t="str">
        <f>IF(ISNA(VLOOKUP($R32&amp;W$2,$C$3:$F$4001,3,0)),"",VLOOKUP($R32&amp;W$2,$C$3:$F$4001,3,0))</f>
        <v/>
      </c>
      <c r="X32" s="107" t="str">
        <f>IF(ISNA(VLOOKUP($R32&amp;W$2,$C$3:$F$4001,4,0)),"",VLOOKUP($R32&amp;W$2,$C$3:$F$4001,4,0))</f>
        <v/>
      </c>
      <c r="Y32" s="106" t="str">
        <f>IF(ISNA(VLOOKUP($R32&amp;Y$2,$C$3:$F$4001,3,0)),"",VLOOKUP($R32&amp;Y$2,$C$3:$F$4001,3,0))</f>
        <v/>
      </c>
      <c r="Z32" s="107" t="str">
        <f>IF(ISNA(VLOOKUP($R32&amp;Y$2,$C$3:$F$4001,4,0)),"",VLOOKUP($R32&amp;Y$2,$C$3:$F$4001,4,0))</f>
        <v/>
      </c>
      <c r="AA32" s="106" t="str">
        <f>IF(ISNA(VLOOKUP($R32&amp;AA$2,$C$3:$F$4001,3,0)),"",VLOOKUP($R32&amp;AA$2,$C$3:$F$4001,3,0))</f>
        <v/>
      </c>
      <c r="AB32" s="107" t="str">
        <f>IF(ISNA(VLOOKUP($R32&amp;AA$2,$C$3:$F$4001,4,0)),"",VLOOKUP($R32&amp;AA$2,$C$3:$F$4001,4,0))</f>
        <v/>
      </c>
      <c r="AC32" s="106" t="str">
        <f>IF(ISNA(VLOOKUP($R32&amp;AC$2,$C$3:$F$4001,3,0)),"",VLOOKUP($R32&amp;AC$2,$C$3:$F$4001,3,0))</f>
        <v/>
      </c>
      <c r="AD32" s="107" t="str">
        <f>IF(ISNA(VLOOKUP($R32&amp;AC$2,$C$3:$F$4001,4,0)),"",VLOOKUP($R32&amp;AC$2,$C$3:$F$4001,4,0))</f>
        <v/>
      </c>
      <c r="AE32" s="106" t="str">
        <f>IF(ISNA(VLOOKUP($R32&amp;AE$2,$C$3:$F$4001,3,0)),"",VLOOKUP($R32&amp;AE$2,$C$3:$F$4001,3,0))</f>
        <v/>
      </c>
      <c r="AF32" s="107" t="str">
        <f>IF(ISNA(VLOOKUP($R32&amp;AE$2,$C$3:$F$4001,4,0)),"",VLOOKUP($R32&amp;AE$2,$C$3:$F$4001,4,0))</f>
        <v/>
      </c>
      <c r="AG32" s="106" t="str">
        <f>IF(ISNA(VLOOKUP($R32&amp;AG$2,$C$3:$F$4001,3,0)),"",VLOOKUP($R32&amp;AG$2,$C$3:$F$4001,3,0))</f>
        <v/>
      </c>
      <c r="AH32" s="107" t="str">
        <f>IF(ISNA(VLOOKUP($R32&amp;AG$2,$C$3:$F$4001,4,0)),"",VLOOKUP($R32&amp;AG$2,$C$3:$F$4001,4,0))</f>
        <v/>
      </c>
      <c r="AI32" s="106" t="str">
        <f>IF(ISNA(VLOOKUP($R32&amp;AI$2,$C$3:$F$4001,3,0)),"",VLOOKUP($R32&amp;AI$2,$C$3:$F$4001,3,0))</f>
        <v/>
      </c>
      <c r="AJ32" s="107" t="str">
        <f>IF(ISNA(VLOOKUP($R32&amp;AI$2,$C$3:$F$4001,4,0)),"",VLOOKUP($R32&amp;AI$2,$C$3:$F$4001,4,0))</f>
        <v/>
      </c>
      <c r="AK32" s="106" t="str">
        <f>IF(ISNA(VLOOKUP($R32&amp;AK$2,$C$3:$F$4001,3,0)),"",VLOOKUP($R32&amp;AK$2,$C$3:$F$4001,3,0))</f>
        <v/>
      </c>
      <c r="AL32" s="107" t="str">
        <f>IF(ISNA(VLOOKUP($R32&amp;AK$2,$C$3:$F$4001,4,0)),"",VLOOKUP($R32&amp;AK$2,$C$3:$F$4001,4,0))</f>
        <v/>
      </c>
    </row>
    <row r="33" spans="3:38" x14ac:dyDescent="0.2">
      <c r="C33" s="96" t="str">
        <f t="shared" si="0"/>
        <v>ABC6</v>
      </c>
      <c r="D33" s="73" t="s">
        <v>67</v>
      </c>
      <c r="E33" s="100">
        <v>40792</v>
      </c>
      <c r="F33" s="101">
        <v>9.0700000000000003E-2</v>
      </c>
      <c r="G33" s="96">
        <f t="shared" si="1"/>
        <v>6</v>
      </c>
      <c r="I33" s="96"/>
      <c r="K33" t="str">
        <f t="shared" si="2"/>
        <v>ABC6</v>
      </c>
      <c r="L33" s="73" t="s">
        <v>67</v>
      </c>
      <c r="M33" s="72">
        <v>40792</v>
      </c>
      <c r="N33" s="84">
        <v>9.0700000000000003E-2</v>
      </c>
      <c r="O33" s="96">
        <f t="shared" si="3"/>
        <v>6</v>
      </c>
      <c r="P33" s="73"/>
      <c r="Q33" s="96"/>
      <c r="R33" s="96" t="str">
        <f>R32</f>
        <v>AOE</v>
      </c>
      <c r="S33" s="108" t="str">
        <f>IF(ISNA(VLOOKUP($R33&amp;S$2,$K$3:$N$4001,3,0)),"",VLOOKUP($R33&amp;S$2,$K$3:$N$4001,3,0))</f>
        <v/>
      </c>
      <c r="T33" s="109" t="str">
        <f>IF(ISNA(VLOOKUP($R33&amp;S$2,$K$3:$N$4001,4,0)),"",VLOOKUP($R33&amp;S$2,$K$3:$N$4001,4,0))</f>
        <v/>
      </c>
      <c r="U33" s="108" t="str">
        <f>IF(ISNA(VLOOKUP($R33&amp;U$2,$K$3:$N$4001,3,0)),"",VLOOKUP($R33&amp;U$2,$K$3:$N$4001,3,0))</f>
        <v/>
      </c>
      <c r="V33" s="109" t="str">
        <f>IF(ISNA(VLOOKUP($R33&amp;U$2,$K$3:$N$4001,4,0)),"",VLOOKUP($R33&amp;U$2,$K$3:$N$4001,4,0))</f>
        <v/>
      </c>
      <c r="W33" s="108" t="str">
        <f>IF(ISNA(VLOOKUP($R33&amp;W$2,$K$3:$N$4001,3,0)),"",VLOOKUP($R33&amp;W$2,$K$3:$N$4001,3,0))</f>
        <v/>
      </c>
      <c r="X33" s="109" t="str">
        <f>IF(ISNA(VLOOKUP($R33&amp;W$2,$K$3:$N$4001,4,0)),"",VLOOKUP($R33&amp;W$2,$K$3:$N$4001,4,0))</f>
        <v/>
      </c>
      <c r="Y33" s="108" t="str">
        <f>IF(ISNA(VLOOKUP($R33&amp;Y$2,$K$3:$N$4001,3,0)),"",VLOOKUP($R33&amp;Y$2,$K$3:$N$4001,3,0))</f>
        <v/>
      </c>
      <c r="Z33" s="109" t="str">
        <f>IF(ISNA(VLOOKUP($R33&amp;Y$2,$K$3:$N$4001,4,0)),"",VLOOKUP($R33&amp;Y$2,$K$3:$N$4001,4,0))</f>
        <v/>
      </c>
      <c r="AA33" s="108" t="str">
        <f>IF(ISNA(VLOOKUP($R33&amp;AA$2,$K$3:$N$4001,3,0)),"",VLOOKUP($R33&amp;AA$2,$K$3:$N$4001,3,0))</f>
        <v/>
      </c>
      <c r="AB33" s="109" t="str">
        <f>IF(ISNA(VLOOKUP($R33&amp;AA$2,$K$3:$N$4001,4,0)),"",VLOOKUP($R33&amp;AA$2,$K$3:$N$4001,4,0))</f>
        <v/>
      </c>
      <c r="AC33" s="108" t="str">
        <f>IF(ISNA(VLOOKUP($R33&amp;AC$2,$K$3:$N$4001,3,0)),"",VLOOKUP($R33&amp;AC$2,$K$3:$N$4001,3,0))</f>
        <v/>
      </c>
      <c r="AD33" s="109" t="str">
        <f>IF(ISNA(VLOOKUP($R33&amp;AC$2,$K$3:$N$4001,4,0)),"",VLOOKUP($R33&amp;AC$2,$K$3:$N$4001,4,0))</f>
        <v/>
      </c>
      <c r="AE33" s="108" t="str">
        <f>IF(ISNA(VLOOKUP($R33&amp;AE$2,$K$3:$N$4001,3,0)),"",VLOOKUP($R33&amp;AE$2,$K$3:$N$4001,3,0))</f>
        <v/>
      </c>
      <c r="AF33" s="109" t="str">
        <f>IF(ISNA(VLOOKUP($R33&amp;AE$2,$K$3:$N$4001,4,0)),"",VLOOKUP($R33&amp;AE$2,$K$3:$N$4001,4,0))</f>
        <v/>
      </c>
      <c r="AG33" s="108" t="str">
        <f>IF(ISNA(VLOOKUP($R33&amp;AG$2,$K$3:$N$4001,3,0)),"",VLOOKUP($R33&amp;AG$2,$K$3:$N$4001,3,0))</f>
        <v/>
      </c>
      <c r="AH33" s="109" t="str">
        <f>IF(ISNA(VLOOKUP($R33&amp;AG$2,$K$3:$N$4001,4,0)),"",VLOOKUP($R33&amp;AG$2,$K$3:$N$4001,4,0))</f>
        <v/>
      </c>
      <c r="AI33" s="108" t="str">
        <f>IF(ISNA(VLOOKUP($R33&amp;AI$2,$K$3:$N$4001,3,0)),"",VLOOKUP($R33&amp;AI$2,$K$3:$N$4001,3,0))</f>
        <v/>
      </c>
      <c r="AJ33" s="109" t="str">
        <f>IF(ISNA(VLOOKUP($R33&amp;AI$2,$K$3:$N$4001,4,0)),"",VLOOKUP($R33&amp;AI$2,$K$3:$N$4001,4,0))</f>
        <v/>
      </c>
      <c r="AK33" s="108" t="str">
        <f>IF(ISNA(VLOOKUP($R33&amp;AK$2,$K$3:$N$4001,3,0)),"",VLOOKUP($R33&amp;AK$2,$K$3:$N$4001,3,0))</f>
        <v/>
      </c>
      <c r="AL33" s="109" t="str">
        <f>IF(ISNA(VLOOKUP($R33&amp;AK$2,$K$3:$N$4001,4,0)),"",VLOOKUP($R33&amp;AK$2,$K$3:$N$4001,4,0))</f>
        <v/>
      </c>
    </row>
    <row r="34" spans="3:38" x14ac:dyDescent="0.2">
      <c r="C34" s="96" t="str">
        <f t="shared" si="0"/>
        <v>ABC7</v>
      </c>
      <c r="D34" s="73" t="s">
        <v>67</v>
      </c>
      <c r="E34" s="100">
        <v>40977</v>
      </c>
      <c r="F34" s="101">
        <v>0.1173</v>
      </c>
      <c r="G34" s="96">
        <f t="shared" si="1"/>
        <v>7</v>
      </c>
      <c r="I34" s="96"/>
      <c r="K34" t="str">
        <f t="shared" si="2"/>
        <v>ABC7</v>
      </c>
      <c r="L34" s="73" t="s">
        <v>67</v>
      </c>
      <c r="M34" s="72">
        <v>40977</v>
      </c>
      <c r="N34" s="84">
        <v>0.1173</v>
      </c>
      <c r="O34" s="96">
        <f t="shared" si="3"/>
        <v>7</v>
      </c>
      <c r="P34" s="73"/>
      <c r="Q34" s="96"/>
      <c r="R34" s="96" t="s">
        <v>71</v>
      </c>
      <c r="S34" s="106">
        <f>IF(ISNA(VLOOKUP($R34&amp;S$2,$C$3:$F$4001,3,0)),"",VLOOKUP($R34&amp;S$2,$C$3:$F$4001,3,0))</f>
        <v>39988</v>
      </c>
      <c r="T34" s="107">
        <f>IF(ISNA(VLOOKUP($R34&amp;S$2,$C$3:$F$4001,4,0)),"",VLOOKUP($R34&amp;S$2,$C$3:$F$4001,4,0))</f>
        <v>0.24</v>
      </c>
      <c r="U34" s="106">
        <f>IF(ISNA(VLOOKUP($R34&amp;U$2,$C$3:$F$4001,3,0)),"",VLOOKUP($R34&amp;U$2,$C$3:$F$4001,3,0))</f>
        <v>40170</v>
      </c>
      <c r="V34" s="107">
        <f>IF(ISNA(VLOOKUP($R34&amp;U$2,$C$3:$F$4001,4,0)),"",VLOOKUP($R34&amp;U$2,$C$3:$F$4001,4,0))</f>
        <v>0.14000000000000001</v>
      </c>
      <c r="W34" s="106">
        <f>IF(ISNA(VLOOKUP($R34&amp;W$2,$C$3:$F$4001,3,0)),"",VLOOKUP($R34&amp;W$2,$C$3:$F$4001,3,0))</f>
        <v>40353</v>
      </c>
      <c r="X34" s="107">
        <f>IF(ISNA(VLOOKUP($R34&amp;W$2,$C$3:$F$4001,4,0)),"",VLOOKUP($R34&amp;W$2,$C$3:$F$4001,4,0))</f>
        <v>0.14000000000000001</v>
      </c>
      <c r="Y34" s="106">
        <f>IF(ISNA(VLOOKUP($R34&amp;Y$2,$C$3:$F$4001,3,0)),"",VLOOKUP($R34&amp;Y$2,$C$3:$F$4001,3,0))</f>
        <v>40535</v>
      </c>
      <c r="Z34" s="107">
        <f>IF(ISNA(VLOOKUP($R34&amp;Y$2,$C$3:$F$4001,4,0)),"",VLOOKUP($R34&amp;Y$2,$C$3:$F$4001,4,0))</f>
        <v>0.15049999999999999</v>
      </c>
      <c r="AA34" s="106">
        <f>IF(ISNA(VLOOKUP($R34&amp;AA$2,$C$3:$F$4001,3,0)),"",VLOOKUP($R34&amp;AA$2,$C$3:$F$4001,3,0))</f>
        <v>40718</v>
      </c>
      <c r="AB34" s="107">
        <f>IF(ISNA(VLOOKUP($R34&amp;AA$2,$C$3:$F$4001,4,0)),"",VLOOKUP($R34&amp;AA$2,$C$3:$F$4001,4,0))</f>
        <v>0.15049999999999999</v>
      </c>
      <c r="AC34" s="106">
        <f>IF(ISNA(VLOOKUP($R34&amp;AC$2,$C$3:$F$4001,3,0)),"",VLOOKUP($R34&amp;AC$2,$C$3:$F$4001,3,0))</f>
        <v>40899</v>
      </c>
      <c r="AD34" s="107">
        <f>IF(ISNA(VLOOKUP($R34&amp;AC$2,$C$3:$F$4001,4,0)),"",VLOOKUP($R34&amp;AC$2,$C$3:$F$4001,4,0))</f>
        <v>0.17399999999999999</v>
      </c>
      <c r="AE34" s="106">
        <f>IF(ISNA(VLOOKUP($R34&amp;AE$2,$C$3:$F$4001,3,0)),"",VLOOKUP($R34&amp;AE$2,$C$3:$F$4001,3,0))</f>
        <v>41085</v>
      </c>
      <c r="AF34" s="107">
        <f>IF(ISNA(VLOOKUP($R34&amp;AE$2,$C$3:$F$4001,4,0)),"",VLOOKUP($R34&amp;AE$2,$C$3:$F$4001,4,0))</f>
        <v>0.17399999999999999</v>
      </c>
      <c r="AG34" s="106">
        <f>IF(ISNA(VLOOKUP($R34&amp;AG$2,$C$3:$F$4001,3,0)),"",VLOOKUP($R34&amp;AG$2,$C$3:$F$4001,3,0))</f>
        <v>41268</v>
      </c>
      <c r="AH34" s="107">
        <f>IF(ISNA(VLOOKUP($R34&amp;AG$2,$C$3:$F$4001,4,0)),"",VLOOKUP($R34&amp;AG$2,$C$3:$F$4001,4,0))</f>
        <v>0.19750000000000001</v>
      </c>
      <c r="AI34" s="106">
        <f>IF(ISNA(VLOOKUP($R34&amp;AI$2,$C$3:$F$4001,3,0)),"",VLOOKUP($R34&amp;AI$2,$C$3:$F$4001,3,0))</f>
        <v>41450</v>
      </c>
      <c r="AJ34" s="107">
        <f>IF(ISNA(VLOOKUP($R34&amp;AI$2,$C$3:$F$4001,4,0)),"",VLOOKUP($R34&amp;AI$2,$C$3:$F$4001,4,0))</f>
        <v>0.19750000000000001</v>
      </c>
      <c r="AK34" s="106" t="str">
        <f>IF(ISNA(VLOOKUP($R34&amp;AK$2,$C$3:$F$4001,3,0)),"",VLOOKUP($R34&amp;AK$2,$C$3:$F$4001,3,0))</f>
        <v/>
      </c>
      <c r="AL34" s="107" t="str">
        <f>IF(ISNA(VLOOKUP($R34&amp;AK$2,$C$3:$F$4001,4,0)),"",VLOOKUP($R34&amp;AK$2,$C$3:$F$4001,4,0))</f>
        <v/>
      </c>
    </row>
    <row r="35" spans="3:38" x14ac:dyDescent="0.2">
      <c r="C35" s="96" t="str">
        <f t="shared" si="0"/>
        <v>ABC8</v>
      </c>
      <c r="D35" s="73" t="s">
        <v>67</v>
      </c>
      <c r="E35" s="100">
        <v>41158</v>
      </c>
      <c r="F35" s="101">
        <v>0.1017</v>
      </c>
      <c r="G35" s="96">
        <f t="shared" si="1"/>
        <v>8</v>
      </c>
      <c r="I35" s="96"/>
      <c r="K35" t="str">
        <f t="shared" si="2"/>
        <v>ABC8</v>
      </c>
      <c r="L35" s="73" t="s">
        <v>67</v>
      </c>
      <c r="M35" s="72">
        <v>41158</v>
      </c>
      <c r="N35" s="84">
        <v>0.1017</v>
      </c>
      <c r="O35" s="96">
        <f t="shared" si="3"/>
        <v>8</v>
      </c>
      <c r="P35" s="73"/>
      <c r="Q35" s="96"/>
      <c r="R35" s="96" t="str">
        <f>R34</f>
        <v>AIO</v>
      </c>
      <c r="S35" s="108">
        <f>IF(ISNA(VLOOKUP($R35&amp;S$2,$K$3:$N$4001,3,0)),"",VLOOKUP($R35&amp;S$2,$K$3:$N$4001,3,0))</f>
        <v>39988</v>
      </c>
      <c r="T35" s="109">
        <f>IF(ISNA(VLOOKUP($R35&amp;S$2,$K$3:$N$4001,4,0)),"",VLOOKUP($R35&amp;S$2,$K$3:$N$4001,4,0))</f>
        <v>0.24</v>
      </c>
      <c r="U35" s="108">
        <f>IF(ISNA(VLOOKUP($R35&amp;U$2,$K$3:$N$4001,3,0)),"",VLOOKUP($R35&amp;U$2,$K$3:$N$4001,3,0))</f>
        <v>40170</v>
      </c>
      <c r="V35" s="109">
        <f>IF(ISNA(VLOOKUP($R35&amp;U$2,$K$3:$N$4001,4,0)),"",VLOOKUP($R35&amp;U$2,$K$3:$N$4001,4,0))</f>
        <v>0.14000000000000001</v>
      </c>
      <c r="W35" s="108">
        <f>IF(ISNA(VLOOKUP($R35&amp;W$2,$K$3:$N$4001,3,0)),"",VLOOKUP($R35&amp;W$2,$K$3:$N$4001,3,0))</f>
        <v>40353</v>
      </c>
      <c r="X35" s="109">
        <f>IF(ISNA(VLOOKUP($R35&amp;W$2,$K$3:$N$4001,4,0)),"",VLOOKUP($R35&amp;W$2,$K$3:$N$4001,4,0))</f>
        <v>0.14000000000000001</v>
      </c>
      <c r="Y35" s="108">
        <f>IF(ISNA(VLOOKUP($R35&amp;Y$2,$K$3:$N$4001,3,0)),"",VLOOKUP($R35&amp;Y$2,$K$3:$N$4001,3,0))</f>
        <v>40535</v>
      </c>
      <c r="Z35" s="109">
        <f>IF(ISNA(VLOOKUP($R35&amp;Y$2,$K$3:$N$4001,4,0)),"",VLOOKUP($R35&amp;Y$2,$K$3:$N$4001,4,0))</f>
        <v>0.15049999999999999</v>
      </c>
      <c r="AA35" s="108">
        <f>IF(ISNA(VLOOKUP($R35&amp;AA$2,$K$3:$N$4001,3,0)),"",VLOOKUP($R35&amp;AA$2,$K$3:$N$4001,3,0))</f>
        <v>40718</v>
      </c>
      <c r="AB35" s="109">
        <f>IF(ISNA(VLOOKUP($R35&amp;AA$2,$K$3:$N$4001,4,0)),"",VLOOKUP($R35&amp;AA$2,$K$3:$N$4001,4,0))</f>
        <v>0.15049999999999999</v>
      </c>
      <c r="AC35" s="108">
        <f>IF(ISNA(VLOOKUP($R35&amp;AC$2,$K$3:$N$4001,3,0)),"",VLOOKUP($R35&amp;AC$2,$K$3:$N$4001,3,0))</f>
        <v>40899</v>
      </c>
      <c r="AD35" s="109">
        <f>IF(ISNA(VLOOKUP($R35&amp;AC$2,$K$3:$N$4001,4,0)),"",VLOOKUP($R35&amp;AC$2,$K$3:$N$4001,4,0))</f>
        <v>0.17399999999999999</v>
      </c>
      <c r="AE35" s="108">
        <f>IF(ISNA(VLOOKUP($R35&amp;AE$2,$K$3:$N$4001,3,0)),"",VLOOKUP($R35&amp;AE$2,$K$3:$N$4001,3,0))</f>
        <v>41085</v>
      </c>
      <c r="AF35" s="109">
        <f>IF(ISNA(VLOOKUP($R35&amp;AE$2,$K$3:$N$4001,4,0)),"",VLOOKUP($R35&amp;AE$2,$K$3:$N$4001,4,0))</f>
        <v>0.17399999999999999</v>
      </c>
      <c r="AG35" s="108">
        <f>IF(ISNA(VLOOKUP($R35&amp;AG$2,$K$3:$N$4001,3,0)),"",VLOOKUP($R35&amp;AG$2,$K$3:$N$4001,3,0))</f>
        <v>41268</v>
      </c>
      <c r="AH35" s="109">
        <f>IF(ISNA(VLOOKUP($R35&amp;AG$2,$K$3:$N$4001,4,0)),"",VLOOKUP($R35&amp;AG$2,$K$3:$N$4001,4,0))</f>
        <v>0.19750000000000001</v>
      </c>
      <c r="AI35" s="108">
        <f>IF(ISNA(VLOOKUP($R35&amp;AI$2,$K$3:$N$4001,3,0)),"",VLOOKUP($R35&amp;AI$2,$K$3:$N$4001,3,0))</f>
        <v>41450</v>
      </c>
      <c r="AJ35" s="109">
        <f>IF(ISNA(VLOOKUP($R35&amp;AI$2,$K$3:$N$4001,4,0)),"",VLOOKUP($R35&amp;AI$2,$K$3:$N$4001,4,0))</f>
        <v>0.19750000000000001</v>
      </c>
      <c r="AK35" s="108" t="str">
        <f>IF(ISNA(VLOOKUP($R35&amp;AK$2,$K$3:$N$4001,3,0)),"",VLOOKUP($R35&amp;AK$2,$K$3:$N$4001,3,0))</f>
        <v/>
      </c>
      <c r="AL35" s="109" t="str">
        <f>IF(ISNA(VLOOKUP($R35&amp;AK$2,$K$3:$N$4001,4,0)),"",VLOOKUP($R35&amp;AK$2,$K$3:$N$4001,4,0))</f>
        <v/>
      </c>
    </row>
    <row r="36" spans="3:38" x14ac:dyDescent="0.2">
      <c r="C36" s="96" t="str">
        <f t="shared" si="0"/>
        <v>ABC9</v>
      </c>
      <c r="D36" s="73" t="s">
        <v>67</v>
      </c>
      <c r="E36" s="100">
        <v>41344</v>
      </c>
      <c r="F36" s="101">
        <v>0.13830000000000001</v>
      </c>
      <c r="G36" s="96">
        <f t="shared" si="1"/>
        <v>9</v>
      </c>
      <c r="I36" s="96"/>
      <c r="K36" t="str">
        <f t="shared" si="2"/>
        <v>ABC9</v>
      </c>
      <c r="L36" s="73" t="s">
        <v>67</v>
      </c>
      <c r="M36" s="72">
        <v>41344</v>
      </c>
      <c r="N36" s="84">
        <v>0.13830000000000001</v>
      </c>
      <c r="O36" s="96">
        <f t="shared" si="3"/>
        <v>9</v>
      </c>
      <c r="P36" s="73"/>
      <c r="Q36" s="96"/>
      <c r="R36" s="96" t="s">
        <v>83</v>
      </c>
      <c r="S36" s="106">
        <f>IF(ISNA(VLOOKUP($R36&amp;S$2,$C$3:$F$4001,3,0)),"",VLOOKUP($R36&amp;S$2,$C$3:$F$4001,3,0))</f>
        <v>39868</v>
      </c>
      <c r="T36" s="107">
        <f>IF(ISNA(VLOOKUP($R36&amp;S$2,$C$3:$F$4001,4,0)),"",VLOOKUP($R36&amp;S$2,$C$3:$F$4001,4,0))</f>
        <v>0.85</v>
      </c>
      <c r="U36" s="106">
        <f>IF(ISNA(VLOOKUP($R36&amp;U$2,$C$3:$F$4001,3,0)),"",VLOOKUP($R36&amp;U$2,$C$3:$F$4001,3,0))</f>
        <v>40052</v>
      </c>
      <c r="V36" s="107">
        <f>IF(ISNA(VLOOKUP($R36&amp;U$2,$C$3:$F$4001,4,0)),"",VLOOKUP($R36&amp;U$2,$C$3:$F$4001,4,0))</f>
        <v>0.97799999999999998</v>
      </c>
      <c r="W36" s="106">
        <f>IF(ISNA(VLOOKUP($R36&amp;W$2,$C$3:$F$4001,3,0)),"",VLOOKUP($R36&amp;W$2,$C$3:$F$4001,3,0))</f>
        <v>40233</v>
      </c>
      <c r="X36" s="107">
        <f>IF(ISNA(VLOOKUP($R36&amp;W$2,$C$3:$F$4001,4,0)),"",VLOOKUP($R36&amp;W$2,$C$3:$F$4001,4,0))</f>
        <v>0.88300000000000001</v>
      </c>
      <c r="Y36" s="106">
        <f>IF(ISNA(VLOOKUP($R36&amp;Y$2,$C$3:$F$4001,3,0)),"",VLOOKUP($R36&amp;Y$2,$C$3:$F$4001,3,0))</f>
        <v>40417</v>
      </c>
      <c r="Z36" s="107">
        <f>IF(ISNA(VLOOKUP($R36&amp;Y$2,$C$3:$F$4001,4,0)),"",VLOOKUP($R36&amp;Y$2,$C$3:$F$4001,4,0))</f>
        <v>1.016</v>
      </c>
      <c r="AA36" s="106">
        <f>IF(ISNA(VLOOKUP($R36&amp;AA$2,$C$3:$F$4001,3,0)),"",VLOOKUP($R36&amp;AA$2,$C$3:$F$4001,3,0))</f>
        <v>40598</v>
      </c>
      <c r="AB36" s="107">
        <f>IF(ISNA(VLOOKUP($R36&amp;AA$2,$C$3:$F$4001,4,0)),"",VLOOKUP($R36&amp;AA$2,$C$3:$F$4001,4,0))</f>
        <v>0.94700000000000006</v>
      </c>
      <c r="AC36" s="106">
        <f>IF(ISNA(VLOOKUP($R36&amp;AC$2,$C$3:$F$4001,3,0)),"",VLOOKUP($R36&amp;AC$2,$C$3:$F$4001,3,0))</f>
        <v>40784</v>
      </c>
      <c r="AD36" s="107">
        <f>IF(ISNA(VLOOKUP($R36&amp;AC$2,$C$3:$F$4001,4,0)),"",VLOOKUP($R36&amp;AC$2,$C$3:$F$4001,4,0))</f>
        <v>1.0900000000000001</v>
      </c>
      <c r="AE36" s="106">
        <f>IF(ISNA(VLOOKUP($R36&amp;AE$2,$C$3:$F$4001,3,0)),"",VLOOKUP($R36&amp;AE$2,$C$3:$F$4001,3,0))</f>
        <v>40962</v>
      </c>
      <c r="AF36" s="107">
        <f>IF(ISNA(VLOOKUP($R36&amp;AE$2,$C$3:$F$4001,4,0)),"",VLOOKUP($R36&amp;AE$2,$C$3:$F$4001,4,0))</f>
        <v>1.0680000000000001</v>
      </c>
      <c r="AG36" s="106">
        <f>IF(ISNA(VLOOKUP($R36&amp;AG$2,$C$3:$F$4001,3,0)),"",VLOOKUP($R36&amp;AG$2,$C$3:$F$4001,3,0))</f>
        <v>41148</v>
      </c>
      <c r="AH36" s="107">
        <f>IF(ISNA(VLOOKUP($R36&amp;AG$2,$C$3:$F$4001,4,0)),"",VLOOKUP($R36&amp;AG$2,$C$3:$F$4001,4,0))</f>
        <v>1.228</v>
      </c>
      <c r="AI36" s="106">
        <f>IF(ISNA(VLOOKUP($R36&amp;AI$2,$C$3:$F$4001,3,0)),"",VLOOKUP($R36&amp;AI$2,$C$3:$F$4001,3,0))</f>
        <v>41327</v>
      </c>
      <c r="AJ36" s="107">
        <f>IF(ISNA(VLOOKUP($R36&amp;AI$2,$C$3:$F$4001,4,0)),"",VLOOKUP($R36&amp;AI$2,$C$3:$F$4001,4,0))</f>
        <v>1.1619999999999999</v>
      </c>
      <c r="AK36" s="106">
        <f>IF(ISNA(VLOOKUP($R36&amp;AK$2,$C$3:$F$4001,3,0)),"",VLOOKUP($R36&amp;AK$2,$C$3:$F$4001,3,0))</f>
        <v>41513</v>
      </c>
      <c r="AL36" s="107">
        <f>IF(ISNA(VLOOKUP($R36&amp;AK$2,$C$3:$F$4001,4,0)),"",VLOOKUP($R36&amp;AK$2,$C$3:$F$4001,4,0))</f>
        <v>1.337</v>
      </c>
    </row>
    <row r="37" spans="3:38" x14ac:dyDescent="0.2">
      <c r="C37" s="96" t="str">
        <f t="shared" si="0"/>
        <v>ABP1</v>
      </c>
      <c r="D37" s="73" t="s">
        <v>68</v>
      </c>
      <c r="E37" s="100">
        <v>39897</v>
      </c>
      <c r="F37" s="101">
        <v>1.7500000000000002E-2</v>
      </c>
      <c r="G37" s="96">
        <f t="shared" si="1"/>
        <v>1</v>
      </c>
      <c r="I37" s="96"/>
      <c r="K37" t="str">
        <f t="shared" si="2"/>
        <v>ABP1</v>
      </c>
      <c r="L37" s="73" t="s">
        <v>68</v>
      </c>
      <c r="M37" s="72">
        <v>39897</v>
      </c>
      <c r="N37" s="84">
        <v>1.7500000000000002E-2</v>
      </c>
      <c r="O37" s="96">
        <f t="shared" si="3"/>
        <v>1</v>
      </c>
      <c r="P37" s="73"/>
      <c r="Q37" s="96"/>
      <c r="R37" s="96" t="str">
        <f>R36</f>
        <v>ASX</v>
      </c>
      <c r="S37" s="108">
        <f>IF(ISNA(VLOOKUP($R37&amp;S$2,$K$3:$N$4001,3,0)),"",VLOOKUP($R37&amp;S$2,$K$3:$N$4001,3,0))</f>
        <v>39868</v>
      </c>
      <c r="T37" s="109">
        <f>IF(ISNA(VLOOKUP($R37&amp;S$2,$K$3:$N$4001,4,0)),"",VLOOKUP($R37&amp;S$2,$K$3:$N$4001,4,0))</f>
        <v>0.85</v>
      </c>
      <c r="U37" s="108">
        <f>IF(ISNA(VLOOKUP($R37&amp;U$2,$K$3:$N$4001,3,0)),"",VLOOKUP($R37&amp;U$2,$K$3:$N$4001,3,0))</f>
        <v>40052</v>
      </c>
      <c r="V37" s="109">
        <f>IF(ISNA(VLOOKUP($R37&amp;U$2,$K$3:$N$4001,4,0)),"",VLOOKUP($R37&amp;U$2,$K$3:$N$4001,4,0))</f>
        <v>0.97799999999999998</v>
      </c>
      <c r="W37" s="108">
        <f>IF(ISNA(VLOOKUP($R37&amp;W$2,$K$3:$N$4001,3,0)),"",VLOOKUP($R37&amp;W$2,$K$3:$N$4001,3,0))</f>
        <v>40233</v>
      </c>
      <c r="X37" s="109">
        <f>IF(ISNA(VLOOKUP($R37&amp;W$2,$K$3:$N$4001,4,0)),"",VLOOKUP($R37&amp;W$2,$K$3:$N$4001,4,0))</f>
        <v>0.88300000000000001</v>
      </c>
      <c r="Y37" s="108">
        <f>IF(ISNA(VLOOKUP($R37&amp;Y$2,$K$3:$N$4001,3,0)),"",VLOOKUP($R37&amp;Y$2,$K$3:$N$4001,3,0))</f>
        <v>40417</v>
      </c>
      <c r="Z37" s="109">
        <f>IF(ISNA(VLOOKUP($R37&amp;Y$2,$K$3:$N$4001,4,0)),"",VLOOKUP($R37&amp;Y$2,$K$3:$N$4001,4,0))</f>
        <v>1.016</v>
      </c>
      <c r="AA37" s="108">
        <f>IF(ISNA(VLOOKUP($R37&amp;AA$2,$K$3:$N$4001,3,0)),"",VLOOKUP($R37&amp;AA$2,$K$3:$N$4001,3,0))</f>
        <v>40598</v>
      </c>
      <c r="AB37" s="109">
        <f>IF(ISNA(VLOOKUP($R37&amp;AA$2,$K$3:$N$4001,4,0)),"",VLOOKUP($R37&amp;AA$2,$K$3:$N$4001,4,0))</f>
        <v>0.94700000000000006</v>
      </c>
      <c r="AC37" s="108">
        <f>IF(ISNA(VLOOKUP($R37&amp;AC$2,$K$3:$N$4001,3,0)),"",VLOOKUP($R37&amp;AC$2,$K$3:$N$4001,3,0))</f>
        <v>40784</v>
      </c>
      <c r="AD37" s="109">
        <f>IF(ISNA(VLOOKUP($R37&amp;AC$2,$K$3:$N$4001,4,0)),"",VLOOKUP($R37&amp;AC$2,$K$3:$N$4001,4,0))</f>
        <v>1.0900000000000001</v>
      </c>
      <c r="AE37" s="108">
        <f>IF(ISNA(VLOOKUP($R37&amp;AE$2,$K$3:$N$4001,3,0)),"",VLOOKUP($R37&amp;AE$2,$K$3:$N$4001,3,0))</f>
        <v>40962</v>
      </c>
      <c r="AF37" s="109">
        <f>IF(ISNA(VLOOKUP($R37&amp;AE$2,$K$3:$N$4001,4,0)),"",VLOOKUP($R37&amp;AE$2,$K$3:$N$4001,4,0))</f>
        <v>1.0680000000000001</v>
      </c>
      <c r="AG37" s="108">
        <f>IF(ISNA(VLOOKUP($R37&amp;AG$2,$K$3:$N$4001,3,0)),"",VLOOKUP($R37&amp;AG$2,$K$3:$N$4001,3,0))</f>
        <v>41148</v>
      </c>
      <c r="AH37" s="109">
        <f>IF(ISNA(VLOOKUP($R37&amp;AG$2,$K$3:$N$4001,4,0)),"",VLOOKUP($R37&amp;AG$2,$K$3:$N$4001,4,0))</f>
        <v>1.228</v>
      </c>
      <c r="AI37" s="108">
        <f>IF(ISNA(VLOOKUP($R37&amp;AI$2,$K$3:$N$4001,3,0)),"",VLOOKUP($R37&amp;AI$2,$K$3:$N$4001,3,0))</f>
        <v>41327</v>
      </c>
      <c r="AJ37" s="109">
        <f>IF(ISNA(VLOOKUP($R37&amp;AI$2,$K$3:$N$4001,4,0)),"",VLOOKUP($R37&amp;AI$2,$K$3:$N$4001,4,0))</f>
        <v>1.1619999999999999</v>
      </c>
      <c r="AK37" s="108">
        <f>IF(ISNA(VLOOKUP($R37&amp;AK$2,$K$3:$N$4001,3,0)),"",VLOOKUP($R37&amp;AK$2,$K$3:$N$4001,3,0))</f>
        <v>41513</v>
      </c>
      <c r="AL37" s="109">
        <f>IF(ISNA(VLOOKUP($R37&amp;AK$2,$K$3:$N$4001,4,0)),"",VLOOKUP($R37&amp;AK$2,$K$3:$N$4001,4,0))</f>
        <v>1.337</v>
      </c>
    </row>
    <row r="38" spans="3:38" x14ac:dyDescent="0.2">
      <c r="C38" s="96" t="str">
        <f t="shared" si="0"/>
        <v>ABP2</v>
      </c>
      <c r="D38" s="73" t="s">
        <v>68</v>
      </c>
      <c r="E38" s="100">
        <v>39988</v>
      </c>
      <c r="F38" s="101">
        <v>1.7500000000000002E-2</v>
      </c>
      <c r="G38" s="96">
        <f t="shared" si="1"/>
        <v>2</v>
      </c>
      <c r="I38" s="96"/>
      <c r="K38" t="str">
        <f t="shared" si="2"/>
        <v>ABP2</v>
      </c>
      <c r="L38" s="73" t="s">
        <v>68</v>
      </c>
      <c r="M38" s="72">
        <v>39988</v>
      </c>
      <c r="N38" s="84">
        <v>1.7500000000000002E-2</v>
      </c>
      <c r="O38" s="96">
        <f t="shared" si="3"/>
        <v>2</v>
      </c>
      <c r="P38" s="73"/>
      <c r="Q38" s="96"/>
      <c r="R38" s="96" t="s">
        <v>258</v>
      </c>
      <c r="S38" s="106" t="str">
        <f>IF(ISNA(VLOOKUP($R38&amp;S$2,$C$3:$F$4001,3,0)),"",VLOOKUP($R38&amp;S$2,$C$3:$F$4001,3,0))</f>
        <v/>
      </c>
      <c r="T38" s="107" t="str">
        <f>IF(ISNA(VLOOKUP($R38&amp;S$2,$C$3:$F$4001,4,0)),"",VLOOKUP($R38&amp;S$2,$C$3:$F$4001,4,0))</f>
        <v/>
      </c>
      <c r="U38" s="106" t="str">
        <f>IF(ISNA(VLOOKUP($R38&amp;U$2,$C$3:$F$4001,3,0)),"",VLOOKUP($R38&amp;U$2,$C$3:$F$4001,3,0))</f>
        <v/>
      </c>
      <c r="V38" s="107" t="str">
        <f>IF(ISNA(VLOOKUP($R38&amp;U$2,$C$3:$F$4001,4,0)),"",VLOOKUP($R38&amp;U$2,$C$3:$F$4001,4,0))</f>
        <v/>
      </c>
      <c r="W38" s="106" t="str">
        <f>IF(ISNA(VLOOKUP($R38&amp;W$2,$C$3:$F$4001,3,0)),"",VLOOKUP($R38&amp;W$2,$C$3:$F$4001,3,0))</f>
        <v/>
      </c>
      <c r="X38" s="107" t="str">
        <f>IF(ISNA(VLOOKUP($R38&amp;W$2,$C$3:$F$4001,4,0)),"",VLOOKUP($R38&amp;W$2,$C$3:$F$4001,4,0))</f>
        <v/>
      </c>
      <c r="Y38" s="106" t="str">
        <f>IF(ISNA(VLOOKUP($R38&amp;Y$2,$C$3:$F$4001,3,0)),"",VLOOKUP($R38&amp;Y$2,$C$3:$F$4001,3,0))</f>
        <v/>
      </c>
      <c r="Z38" s="107" t="str">
        <f>IF(ISNA(VLOOKUP($R38&amp;Y$2,$C$3:$F$4001,4,0)),"",VLOOKUP($R38&amp;Y$2,$C$3:$F$4001,4,0))</f>
        <v/>
      </c>
      <c r="AA38" s="106" t="str">
        <f>IF(ISNA(VLOOKUP($R38&amp;AA$2,$C$3:$F$4001,3,0)),"",VLOOKUP($R38&amp;AA$2,$C$3:$F$4001,3,0))</f>
        <v/>
      </c>
      <c r="AB38" s="107" t="str">
        <f>IF(ISNA(VLOOKUP($R38&amp;AA$2,$C$3:$F$4001,4,0)),"",VLOOKUP($R38&amp;AA$2,$C$3:$F$4001,4,0))</f>
        <v/>
      </c>
      <c r="AC38" s="106" t="str">
        <f>IF(ISNA(VLOOKUP($R38&amp;AC$2,$C$3:$F$4001,3,0)),"",VLOOKUP($R38&amp;AC$2,$C$3:$F$4001,3,0))</f>
        <v/>
      </c>
      <c r="AD38" s="107" t="str">
        <f>IF(ISNA(VLOOKUP($R38&amp;AC$2,$C$3:$F$4001,4,0)),"",VLOOKUP($R38&amp;AC$2,$C$3:$F$4001,4,0))</f>
        <v/>
      </c>
      <c r="AE38" s="106" t="str">
        <f>IF(ISNA(VLOOKUP($R38&amp;AE$2,$C$3:$F$4001,3,0)),"",VLOOKUP($R38&amp;AE$2,$C$3:$F$4001,3,0))</f>
        <v/>
      </c>
      <c r="AF38" s="107" t="str">
        <f>IF(ISNA(VLOOKUP($R38&amp;AE$2,$C$3:$F$4001,4,0)),"",VLOOKUP($R38&amp;AE$2,$C$3:$F$4001,4,0))</f>
        <v/>
      </c>
      <c r="AG38" s="106" t="str">
        <f>IF(ISNA(VLOOKUP($R38&amp;AG$2,$C$3:$F$4001,3,0)),"",VLOOKUP($R38&amp;AG$2,$C$3:$F$4001,3,0))</f>
        <v/>
      </c>
      <c r="AH38" s="107" t="str">
        <f>IF(ISNA(VLOOKUP($R38&amp;AG$2,$C$3:$F$4001,4,0)),"",VLOOKUP($R38&amp;AG$2,$C$3:$F$4001,4,0))</f>
        <v/>
      </c>
      <c r="AI38" s="106" t="str">
        <f>IF(ISNA(VLOOKUP($R38&amp;AI$2,$C$3:$F$4001,3,0)),"",VLOOKUP($R38&amp;AI$2,$C$3:$F$4001,3,0))</f>
        <v/>
      </c>
      <c r="AJ38" s="107" t="str">
        <f>IF(ISNA(VLOOKUP($R38&amp;AI$2,$C$3:$F$4001,4,0)),"",VLOOKUP($R38&amp;AI$2,$C$3:$F$4001,4,0))</f>
        <v/>
      </c>
      <c r="AK38" s="106" t="str">
        <f>IF(ISNA(VLOOKUP($R38&amp;AK$2,$C$3:$F$4001,3,0)),"",VLOOKUP($R38&amp;AK$2,$C$3:$F$4001,3,0))</f>
        <v/>
      </c>
      <c r="AL38" s="107" t="str">
        <f>IF(ISNA(VLOOKUP($R38&amp;AK$2,$C$3:$F$4001,4,0)),"",VLOOKUP($R38&amp;AK$2,$C$3:$F$4001,4,0))</f>
        <v/>
      </c>
    </row>
    <row r="39" spans="3:38" x14ac:dyDescent="0.2">
      <c r="C39" s="96" t="str">
        <f t="shared" si="0"/>
        <v>ABP3</v>
      </c>
      <c r="D39" s="73" t="s">
        <v>68</v>
      </c>
      <c r="E39" s="100">
        <v>40080</v>
      </c>
      <c r="F39" s="101">
        <v>2.5000000000000001E-2</v>
      </c>
      <c r="G39" s="96">
        <f t="shared" si="1"/>
        <v>3</v>
      </c>
      <c r="I39" s="96"/>
      <c r="K39" t="str">
        <f t="shared" si="2"/>
        <v>ABP3</v>
      </c>
      <c r="L39" s="73" t="s">
        <v>68</v>
      </c>
      <c r="M39" s="72">
        <v>40080</v>
      </c>
      <c r="N39" s="84">
        <v>2.5000000000000001E-2</v>
      </c>
      <c r="O39" s="96">
        <f t="shared" si="3"/>
        <v>3</v>
      </c>
      <c r="P39" s="73"/>
      <c r="Q39" s="96"/>
      <c r="R39" s="96" t="str">
        <f>R38</f>
        <v>AGO</v>
      </c>
      <c r="S39" s="108" t="str">
        <f>IF(ISNA(VLOOKUP($R39&amp;S$2,$K$3:$N$4001,3,0)),"",VLOOKUP($R39&amp;S$2,$K$3:$N$4001,3,0))</f>
        <v/>
      </c>
      <c r="T39" s="109" t="str">
        <f>IF(ISNA(VLOOKUP($R39&amp;S$2,$K$3:$N$4001,4,0)),"",VLOOKUP($R39&amp;S$2,$K$3:$N$4001,4,0))</f>
        <v/>
      </c>
      <c r="U39" s="108" t="str">
        <f>IF(ISNA(VLOOKUP($R39&amp;U$2,$K$3:$N$4001,3,0)),"",VLOOKUP($R39&amp;U$2,$K$3:$N$4001,3,0))</f>
        <v/>
      </c>
      <c r="V39" s="109" t="str">
        <f>IF(ISNA(VLOOKUP($R39&amp;U$2,$K$3:$N$4001,4,0)),"",VLOOKUP($R39&amp;U$2,$K$3:$N$4001,4,0))</f>
        <v/>
      </c>
      <c r="W39" s="108" t="str">
        <f>IF(ISNA(VLOOKUP($R39&amp;W$2,$K$3:$N$4001,3,0)),"",VLOOKUP($R39&amp;W$2,$K$3:$N$4001,3,0))</f>
        <v/>
      </c>
      <c r="X39" s="109" t="str">
        <f>IF(ISNA(VLOOKUP($R39&amp;W$2,$K$3:$N$4001,4,0)),"",VLOOKUP($R39&amp;W$2,$K$3:$N$4001,4,0))</f>
        <v/>
      </c>
      <c r="Y39" s="108" t="str">
        <f>IF(ISNA(VLOOKUP($R39&amp;Y$2,$K$3:$N$4001,3,0)),"",VLOOKUP($R39&amp;Y$2,$K$3:$N$4001,3,0))</f>
        <v/>
      </c>
      <c r="Z39" s="109" t="str">
        <f>IF(ISNA(VLOOKUP($R39&amp;Y$2,$K$3:$N$4001,4,0)),"",VLOOKUP($R39&amp;Y$2,$K$3:$N$4001,4,0))</f>
        <v/>
      </c>
      <c r="AA39" s="108" t="str">
        <f>IF(ISNA(VLOOKUP($R39&amp;AA$2,$K$3:$N$4001,3,0)),"",VLOOKUP($R39&amp;AA$2,$K$3:$N$4001,3,0))</f>
        <v/>
      </c>
      <c r="AB39" s="109" t="str">
        <f>IF(ISNA(VLOOKUP($R39&amp;AA$2,$K$3:$N$4001,4,0)),"",VLOOKUP($R39&amp;AA$2,$K$3:$N$4001,4,0))</f>
        <v/>
      </c>
      <c r="AC39" s="108" t="str">
        <f>IF(ISNA(VLOOKUP($R39&amp;AC$2,$K$3:$N$4001,3,0)),"",VLOOKUP($R39&amp;AC$2,$K$3:$N$4001,3,0))</f>
        <v/>
      </c>
      <c r="AD39" s="109" t="str">
        <f>IF(ISNA(VLOOKUP($R39&amp;AC$2,$K$3:$N$4001,4,0)),"",VLOOKUP($R39&amp;AC$2,$K$3:$N$4001,4,0))</f>
        <v/>
      </c>
      <c r="AE39" s="108" t="str">
        <f>IF(ISNA(VLOOKUP($R39&amp;AE$2,$K$3:$N$4001,3,0)),"",VLOOKUP($R39&amp;AE$2,$K$3:$N$4001,3,0))</f>
        <v/>
      </c>
      <c r="AF39" s="109" t="str">
        <f>IF(ISNA(VLOOKUP($R39&amp;AE$2,$K$3:$N$4001,4,0)),"",VLOOKUP($R39&amp;AE$2,$K$3:$N$4001,4,0))</f>
        <v/>
      </c>
      <c r="AG39" s="108" t="str">
        <f>IF(ISNA(VLOOKUP($R39&amp;AG$2,$K$3:$N$4001,3,0)),"",VLOOKUP($R39&amp;AG$2,$K$3:$N$4001,3,0))</f>
        <v/>
      </c>
      <c r="AH39" s="109" t="str">
        <f>IF(ISNA(VLOOKUP($R39&amp;AG$2,$K$3:$N$4001,4,0)),"",VLOOKUP($R39&amp;AG$2,$K$3:$N$4001,4,0))</f>
        <v/>
      </c>
      <c r="AI39" s="108" t="str">
        <f>IF(ISNA(VLOOKUP($R39&amp;AI$2,$K$3:$N$4001,3,0)),"",VLOOKUP($R39&amp;AI$2,$K$3:$N$4001,3,0))</f>
        <v/>
      </c>
      <c r="AJ39" s="109" t="str">
        <f>IF(ISNA(VLOOKUP($R39&amp;AI$2,$K$3:$N$4001,4,0)),"",VLOOKUP($R39&amp;AI$2,$K$3:$N$4001,4,0))</f>
        <v/>
      </c>
      <c r="AK39" s="108" t="str">
        <f>IF(ISNA(VLOOKUP($R39&amp;AK$2,$K$3:$N$4001,3,0)),"",VLOOKUP($R39&amp;AK$2,$K$3:$N$4001,3,0))</f>
        <v/>
      </c>
      <c r="AL39" s="109" t="str">
        <f>IF(ISNA(VLOOKUP($R39&amp;AK$2,$K$3:$N$4001,4,0)),"",VLOOKUP($R39&amp;AK$2,$K$3:$N$4001,4,0))</f>
        <v/>
      </c>
    </row>
    <row r="40" spans="3:38" x14ac:dyDescent="0.2">
      <c r="C40" s="96" t="str">
        <f t="shared" si="0"/>
        <v>ABP4</v>
      </c>
      <c r="D40" s="73" t="s">
        <v>68</v>
      </c>
      <c r="E40" s="100">
        <v>40170</v>
      </c>
      <c r="F40" s="101">
        <v>2.5000000000000001E-2</v>
      </c>
      <c r="G40" s="96">
        <f t="shared" si="1"/>
        <v>4</v>
      </c>
      <c r="I40" s="96"/>
      <c r="K40" t="str">
        <f t="shared" si="2"/>
        <v>ABP4</v>
      </c>
      <c r="L40" s="73" t="s">
        <v>68</v>
      </c>
      <c r="M40" s="72">
        <v>40170</v>
      </c>
      <c r="N40" s="84">
        <v>2.5000000000000001E-2</v>
      </c>
      <c r="O40" s="96">
        <f t="shared" si="3"/>
        <v>4</v>
      </c>
      <c r="P40" s="73"/>
      <c r="Q40" s="96"/>
      <c r="R40" s="96" t="s">
        <v>61</v>
      </c>
      <c r="S40" s="106">
        <f>IF(ISNA(VLOOKUP($R40&amp;S$2,$C$3:$F$4001,3,0)),"",VLOOKUP($R40&amp;S$2,$C$3:$F$4001,3,0))</f>
        <v>39871</v>
      </c>
      <c r="T40" s="107">
        <f>IF(ISNA(VLOOKUP($R40&amp;S$2,$C$3:$F$4001,4,0)),"",VLOOKUP($R40&amp;S$2,$C$3:$F$4001,4,0))</f>
        <v>0.25</v>
      </c>
      <c r="U40" s="106">
        <f>IF(ISNA(VLOOKUP($R40&amp;U$2,$C$3:$F$4001,3,0)),"",VLOOKUP($R40&amp;U$2,$C$3:$F$4001,3,0))</f>
        <v>40053</v>
      </c>
      <c r="V40" s="107">
        <f>IF(ISNA(VLOOKUP($R40&amp;U$2,$C$3:$F$4001,4,0)),"",VLOOKUP($R40&amp;U$2,$C$3:$F$4001,4,0))</f>
        <v>0.15359999999999999</v>
      </c>
      <c r="W40" s="106">
        <f>IF(ISNA(VLOOKUP($R40&amp;W$2,$C$3:$F$4001,3,0)),"",VLOOKUP($R40&amp;W$2,$C$3:$F$4001,3,0))</f>
        <v>40238</v>
      </c>
      <c r="X40" s="107">
        <f>IF(ISNA(VLOOKUP($R40&amp;W$2,$C$3:$F$4001,4,0)),"",VLOOKUP($R40&amp;W$2,$C$3:$F$4001,4,0))</f>
        <v>0.2104</v>
      </c>
      <c r="Y40" s="106">
        <f>IF(ISNA(VLOOKUP($R40&amp;Y$2,$C$3:$F$4001,3,0)),"",VLOOKUP($R40&amp;Y$2,$C$3:$F$4001,3,0))</f>
        <v>40420</v>
      </c>
      <c r="Z40" s="107">
        <f>IF(ISNA(VLOOKUP($R40&amp;Y$2,$C$3:$F$4001,4,0)),"",VLOOKUP($R40&amp;Y$2,$C$3:$F$4001,4,0))</f>
        <v>0.1565</v>
      </c>
      <c r="AA40" s="106">
        <f>IF(ISNA(VLOOKUP($R40&amp;AA$2,$C$3:$F$4001,3,0)),"",VLOOKUP($R40&amp;AA$2,$C$3:$F$4001,3,0))</f>
        <v>40603</v>
      </c>
      <c r="AB40" s="107">
        <f>IF(ISNA(VLOOKUP($R40&amp;AA$2,$C$3:$F$4001,4,0)),"",VLOOKUP($R40&amp;AA$2,$C$3:$F$4001,4,0))</f>
        <v>0.2145</v>
      </c>
      <c r="AC40" s="106">
        <f>IF(ISNA(VLOOKUP($R40&amp;AC$2,$C$3:$F$4001,3,0)),"",VLOOKUP($R40&amp;AC$2,$C$3:$F$4001,3,0))</f>
        <v>40785</v>
      </c>
      <c r="AD40" s="107">
        <f>IF(ISNA(VLOOKUP($R40&amp;AC$2,$C$3:$F$4001,4,0)),"",VLOOKUP($R40&amp;AC$2,$C$3:$F$4001,4,0))</f>
        <v>0.13919999999999999</v>
      </c>
      <c r="AE40" s="106">
        <f>IF(ISNA(VLOOKUP($R40&amp;AE$2,$C$3:$F$4001,3,0)),"",VLOOKUP($R40&amp;AE$2,$C$3:$F$4001,3,0))</f>
        <v>40969</v>
      </c>
      <c r="AF40" s="107">
        <f>IF(ISNA(VLOOKUP($R40&amp;AE$2,$C$3:$F$4001,4,0)),"",VLOOKUP($R40&amp;AE$2,$C$3:$F$4001,4,0))</f>
        <v>0.19079999999999997</v>
      </c>
      <c r="AG40" s="106">
        <f>IF(ISNA(VLOOKUP($R40&amp;AG$2,$C$3:$F$4001,3,0)),"",VLOOKUP($R40&amp;AG$2,$C$3:$F$4001,3,0))</f>
        <v>41151</v>
      </c>
      <c r="AH40" s="107">
        <f>IF(ISNA(VLOOKUP($R40&amp;AG$2,$C$3:$F$4001,4,0)),"",VLOOKUP($R40&amp;AG$2,$C$3:$F$4001,4,0))</f>
        <v>0.3125</v>
      </c>
      <c r="AI40" s="106">
        <f>IF(ISNA(VLOOKUP($R40&amp;AI$2,$C$3:$F$4001,3,0)),"",VLOOKUP($R40&amp;AI$2,$C$3:$F$4001,3,0))</f>
        <v>41334</v>
      </c>
      <c r="AJ40" s="107">
        <f>IF(ISNA(VLOOKUP($R40&amp;AI$2,$C$3:$F$4001,4,0)),"",VLOOKUP($R40&amp;AI$2,$C$3:$F$4001,4,0))</f>
        <v>0.38670000000000004</v>
      </c>
      <c r="AK40" s="106" t="str">
        <f>IF(ISNA(VLOOKUP($R40&amp;AK$2,$C$3:$F$4001,3,0)),"",VLOOKUP($R40&amp;AK$2,$C$3:$F$4001,3,0))</f>
        <v/>
      </c>
      <c r="AL40" s="107" t="str">
        <f>IF(ISNA(VLOOKUP($R40&amp;AK$2,$C$3:$F$4001,4,0)),"",VLOOKUP($R40&amp;AK$2,$C$3:$F$4001,4,0))</f>
        <v/>
      </c>
    </row>
    <row r="41" spans="3:38" x14ac:dyDescent="0.2">
      <c r="C41" s="96" t="str">
        <f t="shared" si="0"/>
        <v>ABP5</v>
      </c>
      <c r="D41" s="73" t="s">
        <v>68</v>
      </c>
      <c r="E41" s="100">
        <v>40262</v>
      </c>
      <c r="F41" s="101">
        <v>2.5000000000000001E-2</v>
      </c>
      <c r="G41" s="96">
        <f t="shared" si="1"/>
        <v>5</v>
      </c>
      <c r="I41" s="96"/>
      <c r="K41" t="str">
        <f t="shared" si="2"/>
        <v>ABP5</v>
      </c>
      <c r="L41" s="73" t="s">
        <v>68</v>
      </c>
      <c r="M41" s="72">
        <v>40262</v>
      </c>
      <c r="N41" s="84">
        <v>2.5000000000000001E-2</v>
      </c>
      <c r="O41" s="96">
        <f t="shared" si="3"/>
        <v>5</v>
      </c>
      <c r="P41" s="73"/>
      <c r="Q41" s="96"/>
      <c r="R41" s="96" t="str">
        <f>R40</f>
        <v>AAX</v>
      </c>
      <c r="S41" s="108">
        <f>IF(ISNA(VLOOKUP($R41&amp;S$2,$K$3:$N$4001,3,0)),"",VLOOKUP($R41&amp;S$2,$K$3:$N$4001,3,0))</f>
        <v>39871</v>
      </c>
      <c r="T41" s="109">
        <f>IF(ISNA(VLOOKUP($R41&amp;S$2,$K$3:$N$4001,4,0)),"",VLOOKUP($R41&amp;S$2,$K$3:$N$4001,4,0))</f>
        <v>0.25</v>
      </c>
      <c r="U41" s="108">
        <f>IF(ISNA(VLOOKUP($R41&amp;U$2,$K$3:$N$4001,3,0)),"",VLOOKUP($R41&amp;U$2,$K$3:$N$4001,3,0))</f>
        <v>40053</v>
      </c>
      <c r="V41" s="109">
        <f>IF(ISNA(VLOOKUP($R41&amp;U$2,$K$3:$N$4001,4,0)),"",VLOOKUP($R41&amp;U$2,$K$3:$N$4001,4,0))</f>
        <v>0.15359999999999999</v>
      </c>
      <c r="W41" s="108">
        <f>IF(ISNA(VLOOKUP($R41&amp;W$2,$K$3:$N$4001,3,0)),"",VLOOKUP($R41&amp;W$2,$K$3:$N$4001,3,0))</f>
        <v>40238</v>
      </c>
      <c r="X41" s="109">
        <f>IF(ISNA(VLOOKUP($R41&amp;W$2,$K$3:$N$4001,4,0)),"",VLOOKUP($R41&amp;W$2,$K$3:$N$4001,4,0))</f>
        <v>0.2104</v>
      </c>
      <c r="Y41" s="108">
        <f>IF(ISNA(VLOOKUP($R41&amp;Y$2,$K$3:$N$4001,3,0)),"",VLOOKUP($R41&amp;Y$2,$K$3:$N$4001,3,0))</f>
        <v>40420</v>
      </c>
      <c r="Z41" s="109">
        <f>IF(ISNA(VLOOKUP($R41&amp;Y$2,$K$3:$N$4001,4,0)),"",VLOOKUP($R41&amp;Y$2,$K$3:$N$4001,4,0))</f>
        <v>0.1565</v>
      </c>
      <c r="AA41" s="108">
        <f>IF(ISNA(VLOOKUP($R41&amp;AA$2,$K$3:$N$4001,3,0)),"",VLOOKUP($R41&amp;AA$2,$K$3:$N$4001,3,0))</f>
        <v>40603</v>
      </c>
      <c r="AB41" s="109">
        <f>IF(ISNA(VLOOKUP($R41&amp;AA$2,$K$3:$N$4001,4,0)),"",VLOOKUP($R41&amp;AA$2,$K$3:$N$4001,4,0))</f>
        <v>0.2145</v>
      </c>
      <c r="AC41" s="108">
        <f>IF(ISNA(VLOOKUP($R41&amp;AC$2,$K$3:$N$4001,3,0)),"",VLOOKUP($R41&amp;AC$2,$K$3:$N$4001,3,0))</f>
        <v>40785</v>
      </c>
      <c r="AD41" s="109">
        <f>IF(ISNA(VLOOKUP($R41&amp;AC$2,$K$3:$N$4001,4,0)),"",VLOOKUP($R41&amp;AC$2,$K$3:$N$4001,4,0))</f>
        <v>0.13919999999999999</v>
      </c>
      <c r="AE41" s="108">
        <f>IF(ISNA(VLOOKUP($R41&amp;AE$2,$K$3:$N$4001,3,0)),"",VLOOKUP($R41&amp;AE$2,$K$3:$N$4001,3,0))</f>
        <v>40969</v>
      </c>
      <c r="AF41" s="109">
        <f>IF(ISNA(VLOOKUP($R41&amp;AE$2,$K$3:$N$4001,4,0)),"",VLOOKUP($R41&amp;AE$2,$K$3:$N$4001,4,0))</f>
        <v>0.19079999999999997</v>
      </c>
      <c r="AG41" s="108">
        <f>IF(ISNA(VLOOKUP($R41&amp;AG$2,$K$3:$N$4001,3,0)),"",VLOOKUP($R41&amp;AG$2,$K$3:$N$4001,3,0))</f>
        <v>41151</v>
      </c>
      <c r="AH41" s="109">
        <f>IF(ISNA(VLOOKUP($R41&amp;AG$2,$K$3:$N$4001,4,0)),"",VLOOKUP($R41&amp;AG$2,$K$3:$N$4001,4,0))</f>
        <v>0.3125</v>
      </c>
      <c r="AI41" s="108">
        <f>IF(ISNA(VLOOKUP($R41&amp;AI$2,$K$3:$N$4001,3,0)),"",VLOOKUP($R41&amp;AI$2,$K$3:$N$4001,3,0))</f>
        <v>41334</v>
      </c>
      <c r="AJ41" s="109">
        <f>IF(ISNA(VLOOKUP($R41&amp;AI$2,$K$3:$N$4001,4,0)),"",VLOOKUP($R41&amp;AI$2,$K$3:$N$4001,4,0))</f>
        <v>0.38670000000000004</v>
      </c>
      <c r="AK41" s="108" t="str">
        <f>IF(ISNA(VLOOKUP($R41&amp;AK$2,$K$3:$N$4001,3,0)),"",VLOOKUP($R41&amp;AK$2,$K$3:$N$4001,3,0))</f>
        <v/>
      </c>
      <c r="AL41" s="109" t="str">
        <f>IF(ISNA(VLOOKUP($R41&amp;AK$2,$K$3:$N$4001,4,0)),"",VLOOKUP($R41&amp;AK$2,$K$3:$N$4001,4,0))</f>
        <v/>
      </c>
    </row>
    <row r="42" spans="3:38" x14ac:dyDescent="0.2">
      <c r="C42" s="96" t="str">
        <f t="shared" si="0"/>
        <v>ABP6</v>
      </c>
      <c r="D42" s="73" t="s">
        <v>68</v>
      </c>
      <c r="E42" s="100">
        <v>40353</v>
      </c>
      <c r="F42" s="101">
        <v>2.5000000000000001E-2</v>
      </c>
      <c r="G42" s="96">
        <f t="shared" si="1"/>
        <v>6</v>
      </c>
      <c r="I42" s="96"/>
      <c r="K42" t="str">
        <f t="shared" si="2"/>
        <v>ABP6</v>
      </c>
      <c r="L42" s="73" t="s">
        <v>68</v>
      </c>
      <c r="M42" s="72">
        <v>40353</v>
      </c>
      <c r="N42" s="84">
        <v>2.5000000000000001E-2</v>
      </c>
      <c r="O42" s="96">
        <f t="shared" si="3"/>
        <v>6</v>
      </c>
      <c r="P42" s="73"/>
      <c r="Q42" s="96"/>
      <c r="R42" s="96" t="s">
        <v>259</v>
      </c>
      <c r="S42" s="106" t="str">
        <f>IF(ISNA(VLOOKUP($R42&amp;S$2,$C$3:$F$4001,3,0)),"",VLOOKUP($R42&amp;S$2,$C$3:$F$4001,3,0))</f>
        <v/>
      </c>
      <c r="T42" s="107" t="str">
        <f>IF(ISNA(VLOOKUP($R42&amp;S$2,$C$3:$F$4001,4,0)),"",VLOOKUP($R42&amp;S$2,$C$3:$F$4001,4,0))</f>
        <v/>
      </c>
      <c r="U42" s="106" t="str">
        <f>IF(ISNA(VLOOKUP($R42&amp;U$2,$C$3:$F$4001,3,0)),"",VLOOKUP($R42&amp;U$2,$C$3:$F$4001,3,0))</f>
        <v/>
      </c>
      <c r="V42" s="107" t="str">
        <f>IF(ISNA(VLOOKUP($R42&amp;U$2,$C$3:$F$4001,4,0)),"",VLOOKUP($R42&amp;U$2,$C$3:$F$4001,4,0))</f>
        <v/>
      </c>
      <c r="W42" s="106" t="str">
        <f>IF(ISNA(VLOOKUP($R42&amp;W$2,$C$3:$F$4001,3,0)),"",VLOOKUP($R42&amp;W$2,$C$3:$F$4001,3,0))</f>
        <v/>
      </c>
      <c r="X42" s="107" t="str">
        <f>IF(ISNA(VLOOKUP($R42&amp;W$2,$C$3:$F$4001,4,0)),"",VLOOKUP($R42&amp;W$2,$C$3:$F$4001,4,0))</f>
        <v/>
      </c>
      <c r="Y42" s="106" t="str">
        <f>IF(ISNA(VLOOKUP($R42&amp;Y$2,$C$3:$F$4001,3,0)),"",VLOOKUP($R42&amp;Y$2,$C$3:$F$4001,3,0))</f>
        <v/>
      </c>
      <c r="Z42" s="107" t="str">
        <f>IF(ISNA(VLOOKUP($R42&amp;Y$2,$C$3:$F$4001,4,0)),"",VLOOKUP($R42&amp;Y$2,$C$3:$F$4001,4,0))</f>
        <v/>
      </c>
      <c r="AA42" s="106" t="str">
        <f>IF(ISNA(VLOOKUP($R42&amp;AA$2,$C$3:$F$4001,3,0)),"",VLOOKUP($R42&amp;AA$2,$C$3:$F$4001,3,0))</f>
        <v/>
      </c>
      <c r="AB42" s="107" t="str">
        <f>IF(ISNA(VLOOKUP($R42&amp;AA$2,$C$3:$F$4001,4,0)),"",VLOOKUP($R42&amp;AA$2,$C$3:$F$4001,4,0))</f>
        <v/>
      </c>
      <c r="AC42" s="106" t="str">
        <f>IF(ISNA(VLOOKUP($R42&amp;AC$2,$C$3:$F$4001,3,0)),"",VLOOKUP($R42&amp;AC$2,$C$3:$F$4001,3,0))</f>
        <v/>
      </c>
      <c r="AD42" s="107" t="str">
        <f>IF(ISNA(VLOOKUP($R42&amp;AC$2,$C$3:$F$4001,4,0)),"",VLOOKUP($R42&amp;AC$2,$C$3:$F$4001,4,0))</f>
        <v/>
      </c>
      <c r="AE42" s="106" t="str">
        <f>IF(ISNA(VLOOKUP($R42&amp;AE$2,$C$3:$F$4001,3,0)),"",VLOOKUP($R42&amp;AE$2,$C$3:$F$4001,3,0))</f>
        <v/>
      </c>
      <c r="AF42" s="107" t="str">
        <f>IF(ISNA(VLOOKUP($R42&amp;AE$2,$C$3:$F$4001,4,0)),"",VLOOKUP($R42&amp;AE$2,$C$3:$F$4001,4,0))</f>
        <v/>
      </c>
      <c r="AG42" s="106" t="str">
        <f>IF(ISNA(VLOOKUP($R42&amp;AG$2,$C$3:$F$4001,3,0)),"",VLOOKUP($R42&amp;AG$2,$C$3:$F$4001,3,0))</f>
        <v/>
      </c>
      <c r="AH42" s="107" t="str">
        <f>IF(ISNA(VLOOKUP($R42&amp;AG$2,$C$3:$F$4001,4,0)),"",VLOOKUP($R42&amp;AG$2,$C$3:$F$4001,4,0))</f>
        <v/>
      </c>
      <c r="AI42" s="106" t="str">
        <f>IF(ISNA(VLOOKUP($R42&amp;AI$2,$C$3:$F$4001,3,0)),"",VLOOKUP($R42&amp;AI$2,$C$3:$F$4001,3,0))</f>
        <v/>
      </c>
      <c r="AJ42" s="107" t="str">
        <f>IF(ISNA(VLOOKUP($R42&amp;AI$2,$C$3:$F$4001,4,0)),"",VLOOKUP($R42&amp;AI$2,$C$3:$F$4001,4,0))</f>
        <v/>
      </c>
      <c r="AK42" s="106" t="str">
        <f>IF(ISNA(VLOOKUP($R42&amp;AK$2,$C$3:$F$4001,3,0)),"",VLOOKUP($R42&amp;AK$2,$C$3:$F$4001,3,0))</f>
        <v/>
      </c>
      <c r="AL42" s="107" t="str">
        <f>IF(ISNA(VLOOKUP($R42&amp;AK$2,$C$3:$F$4001,4,0)),"",VLOOKUP($R42&amp;AK$2,$C$3:$F$4001,4,0))</f>
        <v/>
      </c>
    </row>
    <row r="43" spans="3:38" x14ac:dyDescent="0.2">
      <c r="C43" s="96" t="str">
        <f t="shared" si="0"/>
        <v>ABP7</v>
      </c>
      <c r="D43" s="73" t="s">
        <v>68</v>
      </c>
      <c r="E43" s="100">
        <v>40445</v>
      </c>
      <c r="F43" s="101">
        <v>0.03</v>
      </c>
      <c r="G43" s="96">
        <f t="shared" si="1"/>
        <v>7</v>
      </c>
      <c r="I43" s="96"/>
      <c r="K43" t="str">
        <f t="shared" si="2"/>
        <v>ABP7</v>
      </c>
      <c r="L43" s="73" t="s">
        <v>68</v>
      </c>
      <c r="M43" s="72">
        <v>40445</v>
      </c>
      <c r="N43" s="84">
        <v>0.03</v>
      </c>
      <c r="O43" s="96">
        <f t="shared" si="3"/>
        <v>7</v>
      </c>
      <c r="P43" s="73"/>
      <c r="Q43" s="96"/>
      <c r="R43" s="96" t="str">
        <f>R42</f>
        <v>AUN</v>
      </c>
      <c r="S43" s="108" t="str">
        <f>IF(ISNA(VLOOKUP($R43&amp;S$2,$K$3:$N$4001,3,0)),"",VLOOKUP($R43&amp;S$2,$K$3:$N$4001,3,0))</f>
        <v/>
      </c>
      <c r="T43" s="109" t="str">
        <f>IF(ISNA(VLOOKUP($R43&amp;S$2,$K$3:$N$4001,4,0)),"",VLOOKUP($R43&amp;S$2,$K$3:$N$4001,4,0))</f>
        <v/>
      </c>
      <c r="U43" s="108" t="str">
        <f>IF(ISNA(VLOOKUP($R43&amp;U$2,$K$3:$N$4001,3,0)),"",VLOOKUP($R43&amp;U$2,$K$3:$N$4001,3,0))</f>
        <v/>
      </c>
      <c r="V43" s="109" t="str">
        <f>IF(ISNA(VLOOKUP($R43&amp;U$2,$K$3:$N$4001,4,0)),"",VLOOKUP($R43&amp;U$2,$K$3:$N$4001,4,0))</f>
        <v/>
      </c>
      <c r="W43" s="108" t="str">
        <f>IF(ISNA(VLOOKUP($R43&amp;W$2,$K$3:$N$4001,3,0)),"",VLOOKUP($R43&amp;W$2,$K$3:$N$4001,3,0))</f>
        <v/>
      </c>
      <c r="X43" s="109" t="str">
        <f>IF(ISNA(VLOOKUP($R43&amp;W$2,$K$3:$N$4001,4,0)),"",VLOOKUP($R43&amp;W$2,$K$3:$N$4001,4,0))</f>
        <v/>
      </c>
      <c r="Y43" s="108" t="str">
        <f>IF(ISNA(VLOOKUP($R43&amp;Y$2,$K$3:$N$4001,3,0)),"",VLOOKUP($R43&amp;Y$2,$K$3:$N$4001,3,0))</f>
        <v/>
      </c>
      <c r="Z43" s="109" t="str">
        <f>IF(ISNA(VLOOKUP($R43&amp;Y$2,$K$3:$N$4001,4,0)),"",VLOOKUP($R43&amp;Y$2,$K$3:$N$4001,4,0))</f>
        <v/>
      </c>
      <c r="AA43" s="108" t="str">
        <f>IF(ISNA(VLOOKUP($R43&amp;AA$2,$K$3:$N$4001,3,0)),"",VLOOKUP($R43&amp;AA$2,$K$3:$N$4001,3,0))</f>
        <v/>
      </c>
      <c r="AB43" s="109" t="str">
        <f>IF(ISNA(VLOOKUP($R43&amp;AA$2,$K$3:$N$4001,4,0)),"",VLOOKUP($R43&amp;AA$2,$K$3:$N$4001,4,0))</f>
        <v/>
      </c>
      <c r="AC43" s="108" t="str">
        <f>IF(ISNA(VLOOKUP($R43&amp;AC$2,$K$3:$N$4001,3,0)),"",VLOOKUP($R43&amp;AC$2,$K$3:$N$4001,3,0))</f>
        <v/>
      </c>
      <c r="AD43" s="109" t="str">
        <f>IF(ISNA(VLOOKUP($R43&amp;AC$2,$K$3:$N$4001,4,0)),"",VLOOKUP($R43&amp;AC$2,$K$3:$N$4001,4,0))</f>
        <v/>
      </c>
      <c r="AE43" s="108" t="str">
        <f>IF(ISNA(VLOOKUP($R43&amp;AE$2,$K$3:$N$4001,3,0)),"",VLOOKUP($R43&amp;AE$2,$K$3:$N$4001,3,0))</f>
        <v/>
      </c>
      <c r="AF43" s="109" t="str">
        <f>IF(ISNA(VLOOKUP($R43&amp;AE$2,$K$3:$N$4001,4,0)),"",VLOOKUP($R43&amp;AE$2,$K$3:$N$4001,4,0))</f>
        <v/>
      </c>
      <c r="AG43" s="108" t="str">
        <f>IF(ISNA(VLOOKUP($R43&amp;AG$2,$K$3:$N$4001,3,0)),"",VLOOKUP($R43&amp;AG$2,$K$3:$N$4001,3,0))</f>
        <v/>
      </c>
      <c r="AH43" s="109" t="str">
        <f>IF(ISNA(VLOOKUP($R43&amp;AG$2,$K$3:$N$4001,4,0)),"",VLOOKUP($R43&amp;AG$2,$K$3:$N$4001,4,0))</f>
        <v/>
      </c>
      <c r="AI43" s="108" t="str">
        <f>IF(ISNA(VLOOKUP($R43&amp;AI$2,$K$3:$N$4001,3,0)),"",VLOOKUP($R43&amp;AI$2,$K$3:$N$4001,3,0))</f>
        <v/>
      </c>
      <c r="AJ43" s="109" t="str">
        <f>IF(ISNA(VLOOKUP($R43&amp;AI$2,$K$3:$N$4001,4,0)),"",VLOOKUP($R43&amp;AI$2,$K$3:$N$4001,4,0))</f>
        <v/>
      </c>
      <c r="AK43" s="108" t="str">
        <f>IF(ISNA(VLOOKUP($R43&amp;AK$2,$K$3:$N$4001,3,0)),"",VLOOKUP($R43&amp;AK$2,$K$3:$N$4001,3,0))</f>
        <v/>
      </c>
      <c r="AL43" s="109" t="str">
        <f>IF(ISNA(VLOOKUP($R43&amp;AK$2,$K$3:$N$4001,4,0)),"",VLOOKUP($R43&amp;AK$2,$K$3:$N$4001,4,0))</f>
        <v/>
      </c>
    </row>
    <row r="44" spans="3:38" x14ac:dyDescent="0.2">
      <c r="C44" s="96" t="str">
        <f t="shared" si="0"/>
        <v>ABP8</v>
      </c>
      <c r="D44" s="73" t="s">
        <v>68</v>
      </c>
      <c r="E44" s="100">
        <v>40535</v>
      </c>
      <c r="F44" s="101">
        <v>0.03</v>
      </c>
      <c r="G44" s="96">
        <f t="shared" si="1"/>
        <v>8</v>
      </c>
      <c r="I44" s="96"/>
      <c r="K44" t="str">
        <f t="shared" si="2"/>
        <v>ABP8</v>
      </c>
      <c r="L44" s="73" t="s">
        <v>68</v>
      </c>
      <c r="M44" s="72">
        <v>40535</v>
      </c>
      <c r="N44" s="84">
        <v>0.03</v>
      </c>
      <c r="O44" s="96">
        <f t="shared" si="3"/>
        <v>8</v>
      </c>
      <c r="P44" s="73"/>
      <c r="Q44" s="96"/>
      <c r="R44" s="96" t="s">
        <v>75</v>
      </c>
      <c r="S44" s="106">
        <f>IF(ISNA(VLOOKUP($R44&amp;S$2,$C$3:$F$4001,3,0)),"",VLOOKUP($R44&amp;S$2,$C$3:$F$4001,3,0))</f>
        <v>39988</v>
      </c>
      <c r="T44" s="107">
        <f>IF(ISNA(VLOOKUP($R44&amp;S$2,$C$3:$F$4001,4,0)),"",VLOOKUP($R44&amp;S$2,$C$3:$F$4001,4,0))</f>
        <v>3.3000000000000002E-2</v>
      </c>
      <c r="U44" s="106">
        <f>IF(ISNA(VLOOKUP($R44&amp;U$2,$C$3:$F$4001,3,0)),"",VLOOKUP($R44&amp;U$2,$C$3:$F$4001,3,0))</f>
        <v>40170</v>
      </c>
      <c r="V44" s="107">
        <f>IF(ISNA(VLOOKUP($R44&amp;U$2,$C$3:$F$4001,4,0)),"",VLOOKUP($R44&amp;U$2,$C$3:$F$4001,4,0))</f>
        <v>3.3000000000000002E-2</v>
      </c>
      <c r="W44" s="106">
        <f>IF(ISNA(VLOOKUP($R44&amp;W$2,$C$3:$F$4001,3,0)),"",VLOOKUP($R44&amp;W$2,$C$3:$F$4001,3,0))</f>
        <v>40353</v>
      </c>
      <c r="X44" s="107">
        <f>IF(ISNA(VLOOKUP($R44&amp;W$2,$C$3:$F$4001,4,0)),"",VLOOKUP($R44&amp;W$2,$C$3:$F$4001,4,0))</f>
        <v>3.6000000000000004E-2</v>
      </c>
      <c r="Y44" s="106">
        <f>IF(ISNA(VLOOKUP($R44&amp;Y$2,$C$3:$F$4001,3,0)),"",VLOOKUP($R44&amp;Y$2,$C$3:$F$4001,3,0))</f>
        <v>40535</v>
      </c>
      <c r="Z44" s="107">
        <f>IF(ISNA(VLOOKUP($R44&amp;Y$2,$C$3:$F$4001,4,0)),"",VLOOKUP($R44&amp;Y$2,$C$3:$F$4001,4,0))</f>
        <v>3.6000000000000004E-2</v>
      </c>
      <c r="AA44" s="106">
        <f>IF(ISNA(VLOOKUP($R44&amp;AA$2,$C$3:$F$4001,3,0)),"",VLOOKUP($R44&amp;AA$2,$C$3:$F$4001,3,0))</f>
        <v>40718</v>
      </c>
      <c r="AB44" s="107">
        <f>IF(ISNA(VLOOKUP($R44&amp;AA$2,$C$3:$F$4001,4,0)),"",VLOOKUP($R44&amp;AA$2,$C$3:$F$4001,4,0))</f>
        <v>0.04</v>
      </c>
      <c r="AC44" s="106">
        <f>IF(ISNA(VLOOKUP($R44&amp;AC$2,$C$3:$F$4001,3,0)),"",VLOOKUP($R44&amp;AC$2,$C$3:$F$4001,3,0))</f>
        <v>40899</v>
      </c>
      <c r="AD44" s="107">
        <f>IF(ISNA(VLOOKUP($R44&amp;AC$2,$C$3:$F$4001,4,0)),"",VLOOKUP($R44&amp;AC$2,$C$3:$F$4001,4,0))</f>
        <v>0.04</v>
      </c>
      <c r="AE44" s="106">
        <f>IF(ISNA(VLOOKUP($R44&amp;AE$2,$C$3:$F$4001,3,0)),"",VLOOKUP($R44&amp;AE$2,$C$3:$F$4001,3,0))</f>
        <v>41085</v>
      </c>
      <c r="AF44" s="107">
        <f>IF(ISNA(VLOOKUP($R44&amp;AE$2,$C$3:$F$4001,4,0)),"",VLOOKUP($R44&amp;AE$2,$C$3:$F$4001,4,0))</f>
        <v>5.5E-2</v>
      </c>
      <c r="AG44" s="106">
        <f>IF(ISNA(VLOOKUP($R44&amp;AG$2,$C$3:$F$4001,3,0)),"",VLOOKUP($R44&amp;AG$2,$C$3:$F$4001,3,0))</f>
        <v>41264</v>
      </c>
      <c r="AH44" s="107">
        <f>IF(ISNA(VLOOKUP($R44&amp;AG$2,$C$3:$F$4001,4,0)),"",VLOOKUP($R44&amp;AG$2,$C$3:$F$4001,4,0))</f>
        <v>5.5E-2</v>
      </c>
      <c r="AI44" s="106" t="str">
        <f>IF(ISNA(VLOOKUP($R44&amp;AI$2,$C$3:$F$4001,3,0)),"",VLOOKUP($R44&amp;AI$2,$C$3:$F$4001,3,0))</f>
        <v/>
      </c>
      <c r="AJ44" s="107" t="str">
        <f>IF(ISNA(VLOOKUP($R44&amp;AI$2,$C$3:$F$4001,4,0)),"",VLOOKUP($R44&amp;AI$2,$C$3:$F$4001,4,0))</f>
        <v/>
      </c>
      <c r="AK44" s="106" t="str">
        <f>IF(ISNA(VLOOKUP($R44&amp;AK$2,$C$3:$F$4001,3,0)),"",VLOOKUP($R44&amp;AK$2,$C$3:$F$4001,3,0))</f>
        <v/>
      </c>
      <c r="AL44" s="107" t="str">
        <f>IF(ISNA(VLOOKUP($R44&amp;AK$2,$C$3:$F$4001,4,0)),"",VLOOKUP($R44&amp;AK$2,$C$3:$F$4001,4,0))</f>
        <v/>
      </c>
    </row>
    <row r="45" spans="3:38" x14ac:dyDescent="0.2">
      <c r="C45" s="96" t="str">
        <f t="shared" si="0"/>
        <v>ABP9</v>
      </c>
      <c r="D45" s="73" t="s">
        <v>68</v>
      </c>
      <c r="E45" s="100">
        <v>40627</v>
      </c>
      <c r="F45" s="101">
        <v>0.03</v>
      </c>
      <c r="G45" s="96">
        <f t="shared" si="1"/>
        <v>9</v>
      </c>
      <c r="I45" s="96"/>
      <c r="K45" t="str">
        <f t="shared" si="2"/>
        <v>ABP9</v>
      </c>
      <c r="L45" s="73" t="s">
        <v>68</v>
      </c>
      <c r="M45" s="72">
        <v>40627</v>
      </c>
      <c r="N45" s="84">
        <v>0.03</v>
      </c>
      <c r="O45" s="96">
        <f t="shared" si="3"/>
        <v>9</v>
      </c>
      <c r="P45" s="73"/>
      <c r="Q45" s="96"/>
      <c r="R45" s="96" t="str">
        <f>R44</f>
        <v>ALZ</v>
      </c>
      <c r="S45" s="108">
        <f>IF(ISNA(VLOOKUP($R45&amp;S$2,$K$3:$N$4001,3,0)),"",VLOOKUP($R45&amp;S$2,$K$3:$N$4001,3,0))</f>
        <v>39988</v>
      </c>
      <c r="T45" s="109">
        <f>IF(ISNA(VLOOKUP($R45&amp;S$2,$K$3:$N$4001,4,0)),"",VLOOKUP($R45&amp;S$2,$K$3:$N$4001,4,0))</f>
        <v>3.3000000000000002E-2</v>
      </c>
      <c r="U45" s="108">
        <f>IF(ISNA(VLOOKUP($R45&amp;U$2,$K$3:$N$4001,3,0)),"",VLOOKUP($R45&amp;U$2,$K$3:$N$4001,3,0))</f>
        <v>40170</v>
      </c>
      <c r="V45" s="109">
        <f>IF(ISNA(VLOOKUP($R45&amp;U$2,$K$3:$N$4001,4,0)),"",VLOOKUP($R45&amp;U$2,$K$3:$N$4001,4,0))</f>
        <v>3.3000000000000002E-2</v>
      </c>
      <c r="W45" s="108">
        <f>IF(ISNA(VLOOKUP($R45&amp;W$2,$K$3:$N$4001,3,0)),"",VLOOKUP($R45&amp;W$2,$K$3:$N$4001,3,0))</f>
        <v>40353</v>
      </c>
      <c r="X45" s="109">
        <f>IF(ISNA(VLOOKUP($R45&amp;W$2,$K$3:$N$4001,4,0)),"",VLOOKUP($R45&amp;W$2,$K$3:$N$4001,4,0))</f>
        <v>3.6000000000000004E-2</v>
      </c>
      <c r="Y45" s="108">
        <f>IF(ISNA(VLOOKUP($R45&amp;Y$2,$K$3:$N$4001,3,0)),"",VLOOKUP($R45&amp;Y$2,$K$3:$N$4001,3,0))</f>
        <v>40535</v>
      </c>
      <c r="Z45" s="109">
        <f>IF(ISNA(VLOOKUP($R45&amp;Y$2,$K$3:$N$4001,4,0)),"",VLOOKUP($R45&amp;Y$2,$K$3:$N$4001,4,0))</f>
        <v>3.6000000000000004E-2</v>
      </c>
      <c r="AA45" s="108">
        <f>IF(ISNA(VLOOKUP($R45&amp;AA$2,$K$3:$N$4001,3,0)),"",VLOOKUP($R45&amp;AA$2,$K$3:$N$4001,3,0))</f>
        <v>40718</v>
      </c>
      <c r="AB45" s="109">
        <f>IF(ISNA(VLOOKUP($R45&amp;AA$2,$K$3:$N$4001,4,0)),"",VLOOKUP($R45&amp;AA$2,$K$3:$N$4001,4,0))</f>
        <v>0.04</v>
      </c>
      <c r="AC45" s="108">
        <f>IF(ISNA(VLOOKUP($R45&amp;AC$2,$K$3:$N$4001,3,0)),"",VLOOKUP($R45&amp;AC$2,$K$3:$N$4001,3,0))</f>
        <v>40899</v>
      </c>
      <c r="AD45" s="109">
        <f>IF(ISNA(VLOOKUP($R45&amp;AC$2,$K$3:$N$4001,4,0)),"",VLOOKUP($R45&amp;AC$2,$K$3:$N$4001,4,0))</f>
        <v>0.04</v>
      </c>
      <c r="AE45" s="108">
        <f>IF(ISNA(VLOOKUP($R45&amp;AE$2,$K$3:$N$4001,3,0)),"",VLOOKUP($R45&amp;AE$2,$K$3:$N$4001,3,0))</f>
        <v>41085</v>
      </c>
      <c r="AF45" s="109">
        <f>IF(ISNA(VLOOKUP($R45&amp;AE$2,$K$3:$N$4001,4,0)),"",VLOOKUP($R45&amp;AE$2,$K$3:$N$4001,4,0))</f>
        <v>5.5E-2</v>
      </c>
      <c r="AG45" s="108">
        <f>IF(ISNA(VLOOKUP($R45&amp;AG$2,$K$3:$N$4001,3,0)),"",VLOOKUP($R45&amp;AG$2,$K$3:$N$4001,3,0))</f>
        <v>41264</v>
      </c>
      <c r="AH45" s="109">
        <f>IF(ISNA(VLOOKUP($R45&amp;AG$2,$K$3:$N$4001,4,0)),"",VLOOKUP($R45&amp;AG$2,$K$3:$N$4001,4,0))</f>
        <v>5.5E-2</v>
      </c>
      <c r="AI45" s="108" t="str">
        <f>IF(ISNA(VLOOKUP($R45&amp;AI$2,$K$3:$N$4001,3,0)),"",VLOOKUP($R45&amp;AI$2,$K$3:$N$4001,3,0))</f>
        <v/>
      </c>
      <c r="AJ45" s="109" t="str">
        <f>IF(ISNA(VLOOKUP($R45&amp;AI$2,$K$3:$N$4001,4,0)),"",VLOOKUP($R45&amp;AI$2,$K$3:$N$4001,4,0))</f>
        <v/>
      </c>
      <c r="AK45" s="108" t="str">
        <f>IF(ISNA(VLOOKUP($R45&amp;AK$2,$K$3:$N$4001,3,0)),"",VLOOKUP($R45&amp;AK$2,$K$3:$N$4001,3,0))</f>
        <v/>
      </c>
      <c r="AL45" s="109" t="str">
        <f>IF(ISNA(VLOOKUP($R45&amp;AK$2,$K$3:$N$4001,4,0)),"",VLOOKUP($R45&amp;AK$2,$K$3:$N$4001,4,0))</f>
        <v/>
      </c>
    </row>
    <row r="46" spans="3:38" x14ac:dyDescent="0.2">
      <c r="C46" s="96" t="str">
        <f t="shared" si="0"/>
        <v>ABP10</v>
      </c>
      <c r="D46" s="73" t="s">
        <v>68</v>
      </c>
      <c r="E46" s="100">
        <v>40718</v>
      </c>
      <c r="F46" s="101">
        <v>0.03</v>
      </c>
      <c r="G46" s="96">
        <f t="shared" si="1"/>
        <v>10</v>
      </c>
      <c r="I46" s="96"/>
      <c r="K46" t="str">
        <f t="shared" si="2"/>
        <v>ABP10</v>
      </c>
      <c r="L46" s="73" t="s">
        <v>68</v>
      </c>
      <c r="M46" s="72">
        <v>40718</v>
      </c>
      <c r="N46" s="84">
        <v>0.03</v>
      </c>
      <c r="O46" s="96">
        <f t="shared" si="3"/>
        <v>10</v>
      </c>
      <c r="P46" s="73"/>
      <c r="Q46" s="96"/>
      <c r="R46" s="96" t="s">
        <v>79</v>
      </c>
      <c r="S46" s="106">
        <f>IF(ISNA(VLOOKUP($R46&amp;S$2,$C$3:$F$4001,3,0)),"",VLOOKUP($R46&amp;S$2,$C$3:$F$4001,3,0))</f>
        <v>39940</v>
      </c>
      <c r="T46" s="107">
        <f>IF(ISNA(VLOOKUP($R46&amp;S$2,$C$3:$F$4001,4,0)),"",VLOOKUP($R46&amp;S$2,$C$3:$F$4001,4,0))</f>
        <v>0.62</v>
      </c>
      <c r="U46" s="106">
        <f>IF(ISNA(VLOOKUP($R46&amp;U$2,$C$3:$F$4001,3,0)),"",VLOOKUP($R46&amp;U$2,$C$3:$F$4001,3,0))</f>
        <v>40122</v>
      </c>
      <c r="V46" s="107">
        <f>IF(ISNA(VLOOKUP($R46&amp;U$2,$C$3:$F$4001,4,0)),"",VLOOKUP($R46&amp;U$2,$C$3:$F$4001,4,0))</f>
        <v>0.74</v>
      </c>
      <c r="W46" s="106">
        <f>IF(ISNA(VLOOKUP($R46&amp;W$2,$C$3:$F$4001,3,0)),"",VLOOKUP($R46&amp;W$2,$C$3:$F$4001,3,0))</f>
        <v>40305</v>
      </c>
      <c r="X46" s="107">
        <f>IF(ISNA(VLOOKUP($R46&amp;W$2,$C$3:$F$4001,4,0)),"",VLOOKUP($R46&amp;W$2,$C$3:$F$4001,4,0))</f>
        <v>0.62</v>
      </c>
      <c r="Y46" s="106">
        <f>IF(ISNA(VLOOKUP($R46&amp;Y$2,$C$3:$F$4001,3,0)),"",VLOOKUP($R46&amp;Y$2,$C$3:$F$4001,3,0))</f>
        <v>40487</v>
      </c>
      <c r="Z46" s="107">
        <f>IF(ISNA(VLOOKUP($R46&amp;Y$2,$C$3:$F$4001,4,0)),"",VLOOKUP($R46&amp;Y$2,$C$3:$F$4001,4,0))</f>
        <v>0.74</v>
      </c>
      <c r="AA46" s="106">
        <f>IF(ISNA(VLOOKUP($R46&amp;AA$2,$C$3:$F$4001,3,0)),"",VLOOKUP($R46&amp;AA$2,$C$3:$F$4001,3,0))</f>
        <v>40672</v>
      </c>
      <c r="AB46" s="107">
        <f>IF(ISNA(VLOOKUP($R46&amp;AA$2,$C$3:$F$4001,4,0)),"",VLOOKUP($R46&amp;AA$2,$C$3:$F$4001,4,0))</f>
        <v>0.64</v>
      </c>
      <c r="AC46" s="106">
        <f>IF(ISNA(VLOOKUP($R46&amp;AC$2,$C$3:$F$4001,3,0)),"",VLOOKUP($R46&amp;AC$2,$C$3:$F$4001,3,0))</f>
        <v>40854</v>
      </c>
      <c r="AD46" s="107">
        <f>IF(ISNA(VLOOKUP($R46&amp;AC$2,$C$3:$F$4001,4,0)),"",VLOOKUP($R46&amp;AC$2,$C$3:$F$4001,4,0))</f>
        <v>0.76</v>
      </c>
      <c r="AE46" s="106">
        <f>IF(ISNA(VLOOKUP($R46&amp;AE$2,$C$3:$F$4001,3,0)),"",VLOOKUP($R46&amp;AE$2,$C$3:$F$4001,3,0))</f>
        <v>41037</v>
      </c>
      <c r="AF46" s="107">
        <f>IF(ISNA(VLOOKUP($R46&amp;AE$2,$C$3:$F$4001,4,0)),"",VLOOKUP($R46&amp;AE$2,$C$3:$F$4001,4,0))</f>
        <v>0.66</v>
      </c>
      <c r="AG46" s="106">
        <f>IF(ISNA(VLOOKUP($R46&amp;AG$2,$C$3:$F$4001,3,0)),"",VLOOKUP($R46&amp;AG$2,$C$3:$F$4001,3,0))</f>
        <v>41219</v>
      </c>
      <c r="AH46" s="107">
        <f>IF(ISNA(VLOOKUP($R46&amp;AG$2,$C$3:$F$4001,4,0)),"",VLOOKUP($R46&amp;AG$2,$C$3:$F$4001,4,0))</f>
        <v>0.8</v>
      </c>
      <c r="AI46" s="106">
        <f>IF(ISNA(VLOOKUP($R46&amp;AI$2,$C$3:$F$4001,3,0)),"",VLOOKUP($R46&amp;AI$2,$C$3:$F$4001,3,0))</f>
        <v>41402</v>
      </c>
      <c r="AJ46" s="107">
        <f>IF(ISNA(VLOOKUP($R46&amp;AI$2,$C$3:$F$4001,4,0)),"",VLOOKUP($R46&amp;AI$2,$C$3:$F$4001,4,0))</f>
        <v>0.72</v>
      </c>
      <c r="AK46" s="106">
        <f>IF(ISNA(VLOOKUP($R46&amp;AK$2,$C$3:$F$4001,3,0)),"",VLOOKUP($R46&amp;AK$2,$C$3:$F$4001,3,0))</f>
        <v>41584</v>
      </c>
      <c r="AL46" s="107">
        <f>IF(ISNA(VLOOKUP($R46&amp;AK$2,$C$3:$F$4001,4,0)),"",VLOOKUP($R46&amp;AK$2,$C$3:$F$4001,4,0))</f>
        <v>0.86</v>
      </c>
    </row>
    <row r="47" spans="3:38" x14ac:dyDescent="0.2">
      <c r="C47" s="96" t="str">
        <f t="shared" si="0"/>
        <v>ABP11</v>
      </c>
      <c r="D47" s="73" t="s">
        <v>68</v>
      </c>
      <c r="E47" s="100">
        <v>40812</v>
      </c>
      <c r="F47" s="101">
        <v>1.15E-2</v>
      </c>
      <c r="G47" s="96">
        <f t="shared" si="1"/>
        <v>11</v>
      </c>
      <c r="I47" s="96"/>
      <c r="K47" t="str">
        <f t="shared" si="2"/>
        <v>ABP11</v>
      </c>
      <c r="L47" s="73" t="s">
        <v>68</v>
      </c>
      <c r="M47" s="72">
        <v>40812</v>
      </c>
      <c r="N47" s="84">
        <v>1.15E-2</v>
      </c>
      <c r="O47" s="96">
        <f t="shared" si="3"/>
        <v>11</v>
      </c>
      <c r="P47" s="73"/>
      <c r="Q47" s="96"/>
      <c r="R47" s="96" t="str">
        <f>R46</f>
        <v>ANZ</v>
      </c>
      <c r="S47" s="108">
        <f>IF(ISNA(VLOOKUP($R47&amp;S$2,$K$3:$N$4001,3,0)),"",VLOOKUP($R47&amp;S$2,$K$3:$N$4001,3,0))</f>
        <v>39940</v>
      </c>
      <c r="T47" s="109">
        <f>IF(ISNA(VLOOKUP($R47&amp;S$2,$K$3:$N$4001,4,0)),"",VLOOKUP($R47&amp;S$2,$K$3:$N$4001,4,0))</f>
        <v>0.62</v>
      </c>
      <c r="U47" s="108">
        <f>IF(ISNA(VLOOKUP($R47&amp;U$2,$K$3:$N$4001,3,0)),"",VLOOKUP($R47&amp;U$2,$K$3:$N$4001,3,0))</f>
        <v>40122</v>
      </c>
      <c r="V47" s="109">
        <f>IF(ISNA(VLOOKUP($R47&amp;U$2,$K$3:$N$4001,4,0)),"",VLOOKUP($R47&amp;U$2,$K$3:$N$4001,4,0))</f>
        <v>0.74</v>
      </c>
      <c r="W47" s="108">
        <f>IF(ISNA(VLOOKUP($R47&amp;W$2,$K$3:$N$4001,3,0)),"",VLOOKUP($R47&amp;W$2,$K$3:$N$4001,3,0))</f>
        <v>40305</v>
      </c>
      <c r="X47" s="109">
        <f>IF(ISNA(VLOOKUP($R47&amp;W$2,$K$3:$N$4001,4,0)),"",VLOOKUP($R47&amp;W$2,$K$3:$N$4001,4,0))</f>
        <v>0.62</v>
      </c>
      <c r="Y47" s="108">
        <f>IF(ISNA(VLOOKUP($R47&amp;Y$2,$K$3:$N$4001,3,0)),"",VLOOKUP($R47&amp;Y$2,$K$3:$N$4001,3,0))</f>
        <v>40487</v>
      </c>
      <c r="Z47" s="109">
        <f>IF(ISNA(VLOOKUP($R47&amp;Y$2,$K$3:$N$4001,4,0)),"",VLOOKUP($R47&amp;Y$2,$K$3:$N$4001,4,0))</f>
        <v>0.74</v>
      </c>
      <c r="AA47" s="108">
        <f>IF(ISNA(VLOOKUP($R47&amp;AA$2,$K$3:$N$4001,3,0)),"",VLOOKUP($R47&amp;AA$2,$K$3:$N$4001,3,0))</f>
        <v>40672</v>
      </c>
      <c r="AB47" s="109">
        <f>IF(ISNA(VLOOKUP($R47&amp;AA$2,$K$3:$N$4001,4,0)),"",VLOOKUP($R47&amp;AA$2,$K$3:$N$4001,4,0))</f>
        <v>0.64</v>
      </c>
      <c r="AC47" s="108">
        <f>IF(ISNA(VLOOKUP($R47&amp;AC$2,$K$3:$N$4001,3,0)),"",VLOOKUP($R47&amp;AC$2,$K$3:$N$4001,3,0))</f>
        <v>40854</v>
      </c>
      <c r="AD47" s="109">
        <f>IF(ISNA(VLOOKUP($R47&amp;AC$2,$K$3:$N$4001,4,0)),"",VLOOKUP($R47&amp;AC$2,$K$3:$N$4001,4,0))</f>
        <v>0.76</v>
      </c>
      <c r="AE47" s="108">
        <f>IF(ISNA(VLOOKUP($R47&amp;AE$2,$K$3:$N$4001,3,0)),"",VLOOKUP($R47&amp;AE$2,$K$3:$N$4001,3,0))</f>
        <v>41037</v>
      </c>
      <c r="AF47" s="109">
        <f>IF(ISNA(VLOOKUP($R47&amp;AE$2,$K$3:$N$4001,4,0)),"",VLOOKUP($R47&amp;AE$2,$K$3:$N$4001,4,0))</f>
        <v>0.66</v>
      </c>
      <c r="AG47" s="108">
        <f>IF(ISNA(VLOOKUP($R47&amp;AG$2,$K$3:$N$4001,3,0)),"",VLOOKUP($R47&amp;AG$2,$K$3:$N$4001,3,0))</f>
        <v>41219</v>
      </c>
      <c r="AH47" s="109">
        <f>IF(ISNA(VLOOKUP($R47&amp;AG$2,$K$3:$N$4001,4,0)),"",VLOOKUP($R47&amp;AG$2,$K$3:$N$4001,4,0))</f>
        <v>0.8</v>
      </c>
      <c r="AI47" s="108">
        <f>IF(ISNA(VLOOKUP($R47&amp;AI$2,$K$3:$N$4001,3,0)),"",VLOOKUP($R47&amp;AI$2,$K$3:$N$4001,3,0))</f>
        <v>41402</v>
      </c>
      <c r="AJ47" s="109">
        <f>IF(ISNA(VLOOKUP($R47&amp;AI$2,$K$3:$N$4001,4,0)),"",VLOOKUP($R47&amp;AI$2,$K$3:$N$4001,4,0))</f>
        <v>0.72</v>
      </c>
      <c r="AK47" s="108">
        <f>IF(ISNA(VLOOKUP($R47&amp;AK$2,$K$3:$N$4001,3,0)),"",VLOOKUP($R47&amp;AK$2,$K$3:$N$4001,3,0))</f>
        <v>41584</v>
      </c>
      <c r="AL47" s="109">
        <f>IF(ISNA(VLOOKUP($R47&amp;AK$2,$K$3:$N$4001,4,0)),"",VLOOKUP($R47&amp;AK$2,$K$3:$N$4001,4,0))</f>
        <v>0.86</v>
      </c>
    </row>
    <row r="48" spans="3:38" x14ac:dyDescent="0.2">
      <c r="C48" s="96" t="str">
        <f t="shared" si="0"/>
        <v>ABP12</v>
      </c>
      <c r="D48" s="73" t="s">
        <v>68</v>
      </c>
      <c r="E48" s="100">
        <v>40899</v>
      </c>
      <c r="F48" s="101">
        <v>1.15E-2</v>
      </c>
      <c r="G48" s="96">
        <f t="shared" si="1"/>
        <v>12</v>
      </c>
      <c r="I48" s="96"/>
      <c r="K48" t="str">
        <f t="shared" si="2"/>
        <v>ABP12</v>
      </c>
      <c r="L48" s="73" t="s">
        <v>68</v>
      </c>
      <c r="M48" s="72">
        <v>40899</v>
      </c>
      <c r="N48" s="84">
        <v>1.15E-2</v>
      </c>
      <c r="O48" s="96">
        <f t="shared" si="3"/>
        <v>12</v>
      </c>
      <c r="P48" s="73"/>
      <c r="Q48" s="96"/>
      <c r="R48" s="96" t="s">
        <v>246</v>
      </c>
      <c r="S48" s="106">
        <f>IF(ISNA(VLOOKUP($R48&amp;S$2,$C$3:$F$4001,3,0)),"",VLOOKUP($R48&amp;S$2,$C$3:$F$4001,3,0))</f>
        <v>40067</v>
      </c>
      <c r="T48" s="107">
        <f>IF(ISNA(VLOOKUP($R48&amp;S$2,$C$3:$F$4001,4,0)),"",VLOOKUP($R48&amp;S$2,$C$3:$F$4001,4,0))</f>
        <v>7.0000000000000007E-2</v>
      </c>
      <c r="U48" s="106">
        <f>IF(ISNA(VLOOKUP($R48&amp;U$2,$C$3:$F$4001,3,0)),"",VLOOKUP($R48&amp;U$2,$C$3:$F$4001,3,0))</f>
        <v>40434</v>
      </c>
      <c r="V48" s="107">
        <f>IF(ISNA(VLOOKUP($R48&amp;U$2,$C$3:$F$4001,4,0)),"",VLOOKUP($R48&amp;U$2,$C$3:$F$4001,4,0))</f>
        <v>7.0000000000000007E-2</v>
      </c>
      <c r="W48" s="106">
        <f>IF(ISNA(VLOOKUP($R48&amp;W$2,$C$3:$F$4001,3,0)),"",VLOOKUP($R48&amp;W$2,$C$3:$F$4001,3,0))</f>
        <v>40799</v>
      </c>
      <c r="X48" s="107">
        <f>IF(ISNA(VLOOKUP($R48&amp;W$2,$C$3:$F$4001,4,0)),"",VLOOKUP($R48&amp;W$2,$C$3:$F$4001,4,0))</f>
        <v>7.0000000000000007E-2</v>
      </c>
      <c r="Y48" s="106">
        <f>IF(ISNA(VLOOKUP($R48&amp;Y$2,$C$3:$F$4001,3,0)),"",VLOOKUP($R48&amp;Y$2,$C$3:$F$4001,3,0))</f>
        <v>41165</v>
      </c>
      <c r="Z48" s="107">
        <f>IF(ISNA(VLOOKUP($R48&amp;Y$2,$C$3:$F$4001,4,0)),"",VLOOKUP($R48&amp;Y$2,$C$3:$F$4001,4,0))</f>
        <v>7.0000000000000007E-2</v>
      </c>
      <c r="AA48" s="106">
        <f>IF(ISNA(VLOOKUP($R48&amp;AA$2,$C$3:$F$4001,3,0)),"",VLOOKUP($R48&amp;AA$2,$C$3:$F$4001,3,0))</f>
        <v>41530</v>
      </c>
      <c r="AB48" s="107">
        <f>IF(ISNA(VLOOKUP($R48&amp;AA$2,$C$3:$F$4001,4,0)),"",VLOOKUP($R48&amp;AA$2,$C$3:$F$4001,4,0))</f>
        <v>7.0000000000000007E-2</v>
      </c>
      <c r="AC48" s="106">
        <f>IF(ISNA(VLOOKUP($R48&amp;AC$2,$C$3:$F$4001,3,0)),"",VLOOKUP($R48&amp;AC$2,$C$3:$F$4001,3,0))</f>
        <v>41897</v>
      </c>
      <c r="AD48" s="107">
        <f>IF(ISNA(VLOOKUP($R48&amp;AC$2,$C$3:$F$4001,4,0)),"",VLOOKUP($R48&amp;AC$2,$C$3:$F$4001,4,0))</f>
        <v>7.0000000000000007E-2</v>
      </c>
      <c r="AE48" s="106" t="str">
        <f>IF(ISNA(VLOOKUP($R48&amp;AE$2,$C$3:$F$4001,3,0)),"",VLOOKUP($R48&amp;AE$2,$C$3:$F$4001,3,0))</f>
        <v/>
      </c>
      <c r="AF48" s="107" t="str">
        <f>IF(ISNA(VLOOKUP($R48&amp;AE$2,$C$3:$F$4001,4,0)),"",VLOOKUP($R48&amp;AE$2,$C$3:$F$4001,4,0))</f>
        <v/>
      </c>
      <c r="AG48" s="106" t="str">
        <f>IF(ISNA(VLOOKUP($R48&amp;AG$2,$C$3:$F$4001,3,0)),"",VLOOKUP($R48&amp;AG$2,$C$3:$F$4001,3,0))</f>
        <v/>
      </c>
      <c r="AH48" s="107" t="str">
        <f>IF(ISNA(VLOOKUP($R48&amp;AG$2,$C$3:$F$4001,4,0)),"",VLOOKUP($R48&amp;AG$2,$C$3:$F$4001,4,0))</f>
        <v/>
      </c>
      <c r="AI48" s="106" t="str">
        <f>IF(ISNA(VLOOKUP($R48&amp;AI$2,$C$3:$F$4001,3,0)),"",VLOOKUP($R48&amp;AI$2,$C$3:$F$4001,3,0))</f>
        <v/>
      </c>
      <c r="AJ48" s="107" t="str">
        <f>IF(ISNA(VLOOKUP($R48&amp;AI$2,$C$3:$F$4001,4,0)),"",VLOOKUP($R48&amp;AI$2,$C$3:$F$4001,4,0))</f>
        <v/>
      </c>
      <c r="AK48" s="106" t="str">
        <f>IF(ISNA(VLOOKUP($R48&amp;AK$2,$C$3:$F$4001,3,0)),"",VLOOKUP($R48&amp;AK$2,$C$3:$F$4001,3,0))</f>
        <v/>
      </c>
      <c r="AL48" s="107" t="str">
        <f>IF(ISNA(VLOOKUP($R48&amp;AK$2,$C$3:$F$4001,4,0)),"",VLOOKUP($R48&amp;AK$2,$C$3:$F$4001,4,0))</f>
        <v/>
      </c>
    </row>
    <row r="49" spans="3:38" x14ac:dyDescent="0.2">
      <c r="C49" s="96" t="str">
        <f t="shared" si="0"/>
        <v>ABP13</v>
      </c>
      <c r="D49" s="73" t="s">
        <v>68</v>
      </c>
      <c r="E49" s="100">
        <v>40994</v>
      </c>
      <c r="F49" s="101">
        <v>1.15E-2</v>
      </c>
      <c r="G49" s="96">
        <f t="shared" si="1"/>
        <v>13</v>
      </c>
      <c r="I49" s="96"/>
      <c r="K49" t="str">
        <f t="shared" si="2"/>
        <v>ABP13</v>
      </c>
      <c r="L49" s="73" t="s">
        <v>68</v>
      </c>
      <c r="M49" s="72">
        <v>40994</v>
      </c>
      <c r="N49" s="84">
        <v>1.15E-2</v>
      </c>
      <c r="O49" s="96">
        <f t="shared" si="3"/>
        <v>13</v>
      </c>
      <c r="P49" s="73"/>
      <c r="Q49" s="96"/>
      <c r="R49" s="96" t="str">
        <f>R48</f>
        <v>AAC</v>
      </c>
      <c r="S49" s="108">
        <f>IF(ISNA(VLOOKUP($R49&amp;S$2,$K$3:$N$4001,3,0)),"",VLOOKUP($R49&amp;S$2,$K$3:$N$4001,3,0))</f>
        <v>40067</v>
      </c>
      <c r="T49" s="109">
        <f>IF(ISNA(VLOOKUP($R49&amp;S$2,$K$3:$N$4001,4,0)),"",VLOOKUP($R49&amp;S$2,$K$3:$N$4001,4,0))</f>
        <v>7.0000000000000007E-2</v>
      </c>
      <c r="U49" s="108">
        <f>IF(ISNA(VLOOKUP($R49&amp;U$2,$K$3:$N$4001,3,0)),"",VLOOKUP($R49&amp;U$2,$K$3:$N$4001,3,0))</f>
        <v>40434</v>
      </c>
      <c r="V49" s="109">
        <f>IF(ISNA(VLOOKUP($R49&amp;U$2,$K$3:$N$4001,4,0)),"",VLOOKUP($R49&amp;U$2,$K$3:$N$4001,4,0))</f>
        <v>7.0000000000000007E-2</v>
      </c>
      <c r="W49" s="108">
        <f>IF(ISNA(VLOOKUP($R49&amp;W$2,$K$3:$N$4001,3,0)),"",VLOOKUP($R49&amp;W$2,$K$3:$N$4001,3,0))</f>
        <v>40799</v>
      </c>
      <c r="X49" s="109">
        <f>IF(ISNA(VLOOKUP($R49&amp;W$2,$K$3:$N$4001,4,0)),"",VLOOKUP($R49&amp;W$2,$K$3:$N$4001,4,0))</f>
        <v>7.0000000000000007E-2</v>
      </c>
      <c r="Y49" s="108">
        <f>IF(ISNA(VLOOKUP($R49&amp;Y$2,$K$3:$N$4001,3,0)),"",VLOOKUP($R49&amp;Y$2,$K$3:$N$4001,3,0))</f>
        <v>41165</v>
      </c>
      <c r="Z49" s="109">
        <f>IF(ISNA(VLOOKUP($R49&amp;Y$2,$K$3:$N$4001,4,0)),"",VLOOKUP($R49&amp;Y$2,$K$3:$N$4001,4,0))</f>
        <v>7.0000000000000007E-2</v>
      </c>
      <c r="AA49" s="108">
        <f>IF(ISNA(VLOOKUP($R49&amp;AA$2,$K$3:$N$4001,3,0)),"",VLOOKUP($R49&amp;AA$2,$K$3:$N$4001,3,0))</f>
        <v>41530</v>
      </c>
      <c r="AB49" s="109">
        <f>IF(ISNA(VLOOKUP($R49&amp;AA$2,$K$3:$N$4001,4,0)),"",VLOOKUP($R49&amp;AA$2,$K$3:$N$4001,4,0))</f>
        <v>7.0000000000000007E-2</v>
      </c>
      <c r="AC49" s="108">
        <f>IF(ISNA(VLOOKUP($R49&amp;AC$2,$K$3:$N$4001,3,0)),"",VLOOKUP($R49&amp;AC$2,$K$3:$N$4001,3,0))</f>
        <v>41897</v>
      </c>
      <c r="AD49" s="109">
        <f>IF(ISNA(VLOOKUP($R49&amp;AC$2,$K$3:$N$4001,4,0)),"",VLOOKUP($R49&amp;AC$2,$K$3:$N$4001,4,0))</f>
        <v>7.0000000000000007E-2</v>
      </c>
      <c r="AE49" s="108" t="str">
        <f>IF(ISNA(VLOOKUP($R49&amp;AE$2,$K$3:$N$4001,3,0)),"",VLOOKUP($R49&amp;AE$2,$K$3:$N$4001,3,0))</f>
        <v/>
      </c>
      <c r="AF49" s="109" t="str">
        <f>IF(ISNA(VLOOKUP($R49&amp;AE$2,$K$3:$N$4001,4,0)),"",VLOOKUP($R49&amp;AE$2,$K$3:$N$4001,4,0))</f>
        <v/>
      </c>
      <c r="AG49" s="108" t="str">
        <f>IF(ISNA(VLOOKUP($R49&amp;AG$2,$K$3:$N$4001,3,0)),"",VLOOKUP($R49&amp;AG$2,$K$3:$N$4001,3,0))</f>
        <v/>
      </c>
      <c r="AH49" s="109" t="str">
        <f>IF(ISNA(VLOOKUP($R49&amp;AG$2,$K$3:$N$4001,4,0)),"",VLOOKUP($R49&amp;AG$2,$K$3:$N$4001,4,0))</f>
        <v/>
      </c>
      <c r="AI49" s="108" t="str">
        <f>IF(ISNA(VLOOKUP($R49&amp;AI$2,$K$3:$N$4001,3,0)),"",VLOOKUP($R49&amp;AI$2,$K$3:$N$4001,3,0))</f>
        <v/>
      </c>
      <c r="AJ49" s="109" t="str">
        <f>IF(ISNA(VLOOKUP($R49&amp;AI$2,$K$3:$N$4001,4,0)),"",VLOOKUP($R49&amp;AI$2,$K$3:$N$4001,4,0))</f>
        <v/>
      </c>
      <c r="AK49" s="108" t="str">
        <f>IF(ISNA(VLOOKUP($R49&amp;AK$2,$K$3:$N$4001,3,0)),"",VLOOKUP($R49&amp;AK$2,$K$3:$N$4001,3,0))</f>
        <v/>
      </c>
      <c r="AL49" s="109" t="str">
        <f>IF(ISNA(VLOOKUP($R49&amp;AK$2,$K$3:$N$4001,4,0)),"",VLOOKUP($R49&amp;AK$2,$K$3:$N$4001,4,0))</f>
        <v/>
      </c>
    </row>
    <row r="50" spans="3:38" x14ac:dyDescent="0.2">
      <c r="C50" s="96" t="str">
        <f t="shared" si="0"/>
        <v>ABP14</v>
      </c>
      <c r="D50" s="73" t="s">
        <v>68</v>
      </c>
      <c r="E50" s="100">
        <v>41085</v>
      </c>
      <c r="F50" s="101">
        <v>1.15E-2</v>
      </c>
      <c r="G50" s="96">
        <f t="shared" si="1"/>
        <v>14</v>
      </c>
      <c r="I50" s="96"/>
      <c r="K50" t="str">
        <f t="shared" si="2"/>
        <v>ABP14</v>
      </c>
      <c r="L50" s="73" t="s">
        <v>68</v>
      </c>
      <c r="M50" s="72">
        <v>41085</v>
      </c>
      <c r="N50" s="84">
        <v>1.15E-2</v>
      </c>
      <c r="O50" s="96">
        <f t="shared" si="3"/>
        <v>14</v>
      </c>
      <c r="P50" s="73"/>
      <c r="Q50" s="96"/>
      <c r="R50" s="96" t="s">
        <v>72</v>
      </c>
      <c r="S50" s="106">
        <f>IF(ISNA(VLOOKUP($R50&amp;S$2,$C$3:$F$4001,3,0)),"",VLOOKUP($R50&amp;S$2,$C$3:$F$4001,3,0))</f>
        <v>39988</v>
      </c>
      <c r="T50" s="107">
        <f>IF(ISNA(VLOOKUP($R50&amp;S$2,$C$3:$F$4001,4,0)),"",VLOOKUP($R50&amp;S$2,$C$3:$F$4001,4,0))</f>
        <v>0.09</v>
      </c>
      <c r="U50" s="106">
        <f>IF(ISNA(VLOOKUP($R50&amp;U$2,$C$3:$F$4001,3,0)),"",VLOOKUP($R50&amp;U$2,$C$3:$F$4001,3,0))</f>
        <v>40170</v>
      </c>
      <c r="V50" s="107">
        <f>IF(ISNA(VLOOKUP($R50&amp;U$2,$C$3:$F$4001,4,0)),"",VLOOKUP($R50&amp;U$2,$C$3:$F$4001,4,0))</f>
        <v>0.09</v>
      </c>
      <c r="W50" s="106">
        <f>IF(ISNA(VLOOKUP($R50&amp;W$2,$C$3:$F$4001,3,0)),"",VLOOKUP($R50&amp;W$2,$C$3:$F$4001,3,0))</f>
        <v>40353</v>
      </c>
      <c r="X50" s="107">
        <f>IF(ISNA(VLOOKUP($R50&amp;W$2,$C$3:$F$4001,4,0)),"",VLOOKUP($R50&amp;W$2,$C$3:$F$4001,4,0))</f>
        <v>9.5000000000000001E-2</v>
      </c>
      <c r="Y50" s="106">
        <f>IF(ISNA(VLOOKUP($R50&amp;Y$2,$C$3:$F$4001,3,0)),"",VLOOKUP($R50&amp;Y$2,$C$3:$F$4001,3,0))</f>
        <v>40535</v>
      </c>
      <c r="Z50" s="107">
        <f>IF(ISNA(VLOOKUP($R50&amp;Y$2,$C$3:$F$4001,4,0)),"",VLOOKUP($R50&amp;Y$2,$C$3:$F$4001,4,0))</f>
        <v>9.5000000000000001E-2</v>
      </c>
      <c r="AA50" s="106">
        <f>IF(ISNA(VLOOKUP($R50&amp;AA$2,$C$3:$F$4001,3,0)),"",VLOOKUP($R50&amp;AA$2,$C$3:$F$4001,3,0))</f>
        <v>40718</v>
      </c>
      <c r="AB50" s="107">
        <f>IF(ISNA(VLOOKUP($R50&amp;AA$2,$C$3:$F$4001,4,0)),"",VLOOKUP($R50&amp;AA$2,$C$3:$F$4001,4,0))</f>
        <v>0.1</v>
      </c>
      <c r="AC50" s="106">
        <f>IF(ISNA(VLOOKUP($R50&amp;AC$2,$C$3:$F$4001,3,0)),"",VLOOKUP($R50&amp;AC$2,$C$3:$F$4001,3,0))</f>
        <v>40899</v>
      </c>
      <c r="AD50" s="107">
        <f>IF(ISNA(VLOOKUP($R50&amp;AC$2,$C$3:$F$4001,4,0)),"",VLOOKUP($R50&amp;AC$2,$C$3:$F$4001,4,0))</f>
        <v>0.1</v>
      </c>
      <c r="AE50" s="106">
        <f>IF(ISNA(VLOOKUP($R50&amp;AE$2,$C$3:$F$4001,3,0)),"",VLOOKUP($R50&amp;AE$2,$C$3:$F$4001,3,0))</f>
        <v>41085</v>
      </c>
      <c r="AF50" s="107">
        <f>IF(ISNA(VLOOKUP($R50&amp;AE$2,$C$3:$F$4001,4,0)),"",VLOOKUP($R50&amp;AE$2,$C$3:$F$4001,4,0))</f>
        <v>0.105</v>
      </c>
      <c r="AG50" s="106">
        <f>IF(ISNA(VLOOKUP($R50&amp;AG$2,$C$3:$F$4001,3,0)),"",VLOOKUP($R50&amp;AG$2,$C$3:$F$4001,3,0))</f>
        <v>41268</v>
      </c>
      <c r="AH50" s="107">
        <f>IF(ISNA(VLOOKUP($R50&amp;AG$2,$C$3:$F$4001,4,0)),"",VLOOKUP($R50&amp;AG$2,$C$3:$F$4001,4,0))</f>
        <v>0.105</v>
      </c>
      <c r="AI50" s="106">
        <f>IF(ISNA(VLOOKUP($R50&amp;AI$2,$C$3:$F$4001,3,0)),"",VLOOKUP($R50&amp;AI$2,$C$3:$F$4001,3,0))</f>
        <v>41450</v>
      </c>
      <c r="AJ50" s="107">
        <f>IF(ISNA(VLOOKUP($R50&amp;AI$2,$C$3:$F$4001,4,0)),"",VLOOKUP($R50&amp;AI$2,$C$3:$F$4001,4,0))</f>
        <v>0.11</v>
      </c>
      <c r="AK50" s="106" t="str">
        <f>IF(ISNA(VLOOKUP($R50&amp;AK$2,$C$3:$F$4001,3,0)),"",VLOOKUP($R50&amp;AK$2,$C$3:$F$4001,3,0))</f>
        <v/>
      </c>
      <c r="AL50" s="107" t="str">
        <f>IF(ISNA(VLOOKUP($R50&amp;AK$2,$C$3:$F$4001,4,0)),"",VLOOKUP($R50&amp;AK$2,$C$3:$F$4001,4,0))</f>
        <v/>
      </c>
    </row>
    <row r="51" spans="3:38" x14ac:dyDescent="0.2">
      <c r="C51" s="96" t="str">
        <f t="shared" si="0"/>
        <v>ABP15</v>
      </c>
      <c r="D51" s="73" t="s">
        <v>68</v>
      </c>
      <c r="E51" s="100">
        <v>41177</v>
      </c>
      <c r="F51" s="101">
        <v>1.2199999999999999E-2</v>
      </c>
      <c r="G51" s="96">
        <f t="shared" si="1"/>
        <v>15</v>
      </c>
      <c r="I51" s="96"/>
      <c r="K51" t="str">
        <f t="shared" si="2"/>
        <v>ABP15</v>
      </c>
      <c r="L51" s="73" t="s">
        <v>68</v>
      </c>
      <c r="M51" s="72">
        <v>41177</v>
      </c>
      <c r="N51" s="84">
        <v>1.2199999999999999E-2</v>
      </c>
      <c r="O51" s="96">
        <f t="shared" si="3"/>
        <v>15</v>
      </c>
      <c r="P51" s="73"/>
      <c r="Q51" s="96"/>
      <c r="R51" s="96" t="str">
        <f>R50</f>
        <v>AIX</v>
      </c>
      <c r="S51" s="108">
        <f>IF(ISNA(VLOOKUP($R51&amp;S$2,$K$3:$N$4001,3,0)),"",VLOOKUP($R51&amp;S$2,$K$3:$N$4001,3,0))</f>
        <v>39988</v>
      </c>
      <c r="T51" s="109">
        <f>IF(ISNA(VLOOKUP($R51&amp;S$2,$K$3:$N$4001,4,0)),"",VLOOKUP($R51&amp;S$2,$K$3:$N$4001,4,0))</f>
        <v>0.09</v>
      </c>
      <c r="U51" s="108">
        <f>IF(ISNA(VLOOKUP($R51&amp;U$2,$K$3:$N$4001,3,0)),"",VLOOKUP($R51&amp;U$2,$K$3:$N$4001,3,0))</f>
        <v>40170</v>
      </c>
      <c r="V51" s="109">
        <f>IF(ISNA(VLOOKUP($R51&amp;U$2,$K$3:$N$4001,4,0)),"",VLOOKUP($R51&amp;U$2,$K$3:$N$4001,4,0))</f>
        <v>0.09</v>
      </c>
      <c r="W51" s="108">
        <f>IF(ISNA(VLOOKUP($R51&amp;W$2,$K$3:$N$4001,3,0)),"",VLOOKUP($R51&amp;W$2,$K$3:$N$4001,3,0))</f>
        <v>40353</v>
      </c>
      <c r="X51" s="109">
        <f>IF(ISNA(VLOOKUP($R51&amp;W$2,$K$3:$N$4001,4,0)),"",VLOOKUP($R51&amp;W$2,$K$3:$N$4001,4,0))</f>
        <v>9.5000000000000001E-2</v>
      </c>
      <c r="Y51" s="108">
        <f>IF(ISNA(VLOOKUP($R51&amp;Y$2,$K$3:$N$4001,3,0)),"",VLOOKUP($R51&amp;Y$2,$K$3:$N$4001,3,0))</f>
        <v>40535</v>
      </c>
      <c r="Z51" s="109">
        <f>IF(ISNA(VLOOKUP($R51&amp;Y$2,$K$3:$N$4001,4,0)),"",VLOOKUP($R51&amp;Y$2,$K$3:$N$4001,4,0))</f>
        <v>9.5000000000000001E-2</v>
      </c>
      <c r="AA51" s="108">
        <f>IF(ISNA(VLOOKUP($R51&amp;AA$2,$K$3:$N$4001,3,0)),"",VLOOKUP($R51&amp;AA$2,$K$3:$N$4001,3,0))</f>
        <v>40718</v>
      </c>
      <c r="AB51" s="109">
        <f>IF(ISNA(VLOOKUP($R51&amp;AA$2,$K$3:$N$4001,4,0)),"",VLOOKUP($R51&amp;AA$2,$K$3:$N$4001,4,0))</f>
        <v>0.1</v>
      </c>
      <c r="AC51" s="108">
        <f>IF(ISNA(VLOOKUP($R51&amp;AC$2,$K$3:$N$4001,3,0)),"",VLOOKUP($R51&amp;AC$2,$K$3:$N$4001,3,0))</f>
        <v>40899</v>
      </c>
      <c r="AD51" s="109">
        <f>IF(ISNA(VLOOKUP($R51&amp;AC$2,$K$3:$N$4001,4,0)),"",VLOOKUP($R51&amp;AC$2,$K$3:$N$4001,4,0))</f>
        <v>0.1</v>
      </c>
      <c r="AE51" s="108">
        <f>IF(ISNA(VLOOKUP($R51&amp;AE$2,$K$3:$N$4001,3,0)),"",VLOOKUP($R51&amp;AE$2,$K$3:$N$4001,3,0))</f>
        <v>41085</v>
      </c>
      <c r="AF51" s="109">
        <f>IF(ISNA(VLOOKUP($R51&amp;AE$2,$K$3:$N$4001,4,0)),"",VLOOKUP($R51&amp;AE$2,$K$3:$N$4001,4,0))</f>
        <v>0.105</v>
      </c>
      <c r="AG51" s="108">
        <f>IF(ISNA(VLOOKUP($R51&amp;AG$2,$K$3:$N$4001,3,0)),"",VLOOKUP($R51&amp;AG$2,$K$3:$N$4001,3,0))</f>
        <v>41268</v>
      </c>
      <c r="AH51" s="109">
        <f>IF(ISNA(VLOOKUP($R51&amp;AG$2,$K$3:$N$4001,4,0)),"",VLOOKUP($R51&amp;AG$2,$K$3:$N$4001,4,0))</f>
        <v>0.105</v>
      </c>
      <c r="AI51" s="108">
        <f>IF(ISNA(VLOOKUP($R51&amp;AI$2,$K$3:$N$4001,3,0)),"",VLOOKUP($R51&amp;AI$2,$K$3:$N$4001,3,0))</f>
        <v>41450</v>
      </c>
      <c r="AJ51" s="109">
        <f>IF(ISNA(VLOOKUP($R51&amp;AI$2,$K$3:$N$4001,4,0)),"",VLOOKUP($R51&amp;AI$2,$K$3:$N$4001,4,0))</f>
        <v>0.11</v>
      </c>
      <c r="AK51" s="108" t="str">
        <f>IF(ISNA(VLOOKUP($R51&amp;AK$2,$K$3:$N$4001,3,0)),"",VLOOKUP($R51&amp;AK$2,$K$3:$N$4001,3,0))</f>
        <v/>
      </c>
      <c r="AL51" s="109" t="str">
        <f>IF(ISNA(VLOOKUP($R51&amp;AK$2,$K$3:$N$4001,4,0)),"",VLOOKUP($R51&amp;AK$2,$K$3:$N$4001,4,0))</f>
        <v/>
      </c>
    </row>
    <row r="52" spans="3:38" x14ac:dyDescent="0.2">
      <c r="C52" s="96" t="str">
        <f t="shared" si="0"/>
        <v>ABP16</v>
      </c>
      <c r="D52" s="73" t="s">
        <v>68</v>
      </c>
      <c r="E52" s="100">
        <v>41268</v>
      </c>
      <c r="F52" s="101">
        <v>1.2199999999999999E-2</v>
      </c>
      <c r="G52" s="96">
        <f t="shared" si="1"/>
        <v>16</v>
      </c>
      <c r="I52" s="96"/>
      <c r="K52" t="str">
        <f t="shared" si="2"/>
        <v>ABP16</v>
      </c>
      <c r="L52" s="73" t="s">
        <v>68</v>
      </c>
      <c r="M52" s="72">
        <v>41268</v>
      </c>
      <c r="N52" s="84">
        <v>1.2199999999999999E-2</v>
      </c>
      <c r="O52" s="96">
        <f t="shared" si="3"/>
        <v>16</v>
      </c>
      <c r="P52" s="73"/>
      <c r="Q52" s="96"/>
      <c r="R52" s="96" t="s">
        <v>84</v>
      </c>
      <c r="S52" s="106">
        <f>IF(ISNA(VLOOKUP($R52&amp;S$2,$C$3:$F$4001,3,0)),"",VLOOKUP($R52&amp;S$2,$C$3:$F$4001,3,0))</f>
        <v>39875</v>
      </c>
      <c r="T52" s="107">
        <f>IF(ISNA(VLOOKUP($R52&amp;S$2,$C$3:$F$4001,4,0)),"",VLOOKUP($R52&amp;S$2,$C$3:$F$4001,4,0))</f>
        <v>0.05</v>
      </c>
      <c r="U52" s="106">
        <f>IF(ISNA(VLOOKUP($R52&amp;U$2,$C$3:$F$4001,3,0)),"",VLOOKUP($R52&amp;U$2,$C$3:$F$4001,3,0))</f>
        <v>40058</v>
      </c>
      <c r="V52" s="107">
        <f>IF(ISNA(VLOOKUP($R52&amp;U$2,$C$3:$F$4001,4,0)),"",VLOOKUP($R52&amp;U$2,$C$3:$F$4001,4,0))</f>
        <v>5.5E-2</v>
      </c>
      <c r="W52" s="106">
        <f>IF(ISNA(VLOOKUP($R52&amp;W$2,$C$3:$F$4001,3,0)),"",VLOOKUP($R52&amp;W$2,$C$3:$F$4001,3,0))</f>
        <v>40241</v>
      </c>
      <c r="X52" s="107">
        <f>IF(ISNA(VLOOKUP($R52&amp;W$2,$C$3:$F$4001,4,0)),"",VLOOKUP($R52&amp;W$2,$C$3:$F$4001,4,0))</f>
        <v>5.5E-2</v>
      </c>
      <c r="Y52" s="106">
        <f>IF(ISNA(VLOOKUP($R52&amp;Y$2,$C$3:$F$4001,3,0)),"",VLOOKUP($R52&amp;Y$2,$C$3:$F$4001,3,0))</f>
        <v>40423</v>
      </c>
      <c r="Z52" s="107">
        <f>IF(ISNA(VLOOKUP($R52&amp;Y$2,$C$3:$F$4001,4,0)),"",VLOOKUP($R52&amp;Y$2,$C$3:$F$4001,4,0))</f>
        <v>0.06</v>
      </c>
      <c r="AA52" s="106">
        <f>IF(ISNA(VLOOKUP($R52&amp;AA$2,$C$3:$F$4001,3,0)),"",VLOOKUP($R52&amp;AA$2,$C$3:$F$4001,3,0))</f>
        <v>40606</v>
      </c>
      <c r="AB52" s="107">
        <f>IF(ISNA(VLOOKUP($R52&amp;AA$2,$C$3:$F$4001,4,0)),"",VLOOKUP($R52&amp;AA$2,$C$3:$F$4001,4,0))</f>
        <v>5.5E-2</v>
      </c>
      <c r="AC52" s="106">
        <f>IF(ISNA(VLOOKUP($R52&amp;AC$2,$C$3:$F$4001,3,0)),"",VLOOKUP($R52&amp;AC$2,$C$3:$F$4001,3,0))</f>
        <v>40788</v>
      </c>
      <c r="AD52" s="107">
        <f>IF(ISNA(VLOOKUP($R52&amp;AC$2,$C$3:$F$4001,4,0)),"",VLOOKUP($R52&amp;AC$2,$C$3:$F$4001,4,0))</f>
        <v>6.5000000000000002E-2</v>
      </c>
      <c r="AE52" s="106">
        <f>IF(ISNA(VLOOKUP($R52&amp;AE$2,$C$3:$F$4001,3,0)),"",VLOOKUP($R52&amp;AE$2,$C$3:$F$4001,3,0))</f>
        <v>40974</v>
      </c>
      <c r="AF52" s="107">
        <f>IF(ISNA(VLOOKUP($R52&amp;AE$2,$C$3:$F$4001,4,0)),"",VLOOKUP($R52&amp;AE$2,$C$3:$F$4001,4,0))</f>
        <v>0.06</v>
      </c>
      <c r="AG52" s="106">
        <f>IF(ISNA(VLOOKUP($R52&amp;AG$2,$C$3:$F$4001,3,0)),"",VLOOKUP($R52&amp;AG$2,$C$3:$F$4001,3,0))</f>
        <v>41156</v>
      </c>
      <c r="AH52" s="107">
        <f>IF(ISNA(VLOOKUP($R52&amp;AG$2,$C$3:$F$4001,4,0)),"",VLOOKUP($R52&amp;AG$2,$C$3:$F$4001,4,0))</f>
        <v>7.0000000000000007E-2</v>
      </c>
      <c r="AI52" s="106">
        <f>IF(ISNA(VLOOKUP($R52&amp;AI$2,$C$3:$F$4001,3,0)),"",VLOOKUP($R52&amp;AI$2,$C$3:$F$4001,3,0))</f>
        <v>41339</v>
      </c>
      <c r="AJ52" s="107">
        <f>IF(ISNA(VLOOKUP($R52&amp;AI$2,$C$3:$F$4001,4,0)),"",VLOOKUP($R52&amp;AI$2,$C$3:$F$4001,4,0))</f>
        <v>0.06</v>
      </c>
      <c r="AK52" s="106">
        <f>IF(ISNA(VLOOKUP($R52&amp;AK$2,$C$3:$F$4001,3,0)),"",VLOOKUP($R52&amp;AK$2,$C$3:$F$4001,3,0))</f>
        <v>41521</v>
      </c>
      <c r="AL52" s="107">
        <f>IF(ISNA(VLOOKUP($R52&amp;AK$2,$C$3:$F$4001,4,0)),"",VLOOKUP($R52&amp;AK$2,$C$3:$F$4001,4,0))</f>
        <v>7.4999999999999997E-2</v>
      </c>
    </row>
    <row r="53" spans="3:38" x14ac:dyDescent="0.2">
      <c r="C53" s="96" t="str">
        <f t="shared" si="0"/>
        <v>ABP17</v>
      </c>
      <c r="D53" s="73" t="s">
        <v>68</v>
      </c>
      <c r="E53" s="100">
        <v>41359</v>
      </c>
      <c r="F53" s="101">
        <v>1.2199999999999999E-2</v>
      </c>
      <c r="G53" s="96">
        <f t="shared" si="1"/>
        <v>17</v>
      </c>
      <c r="I53" s="96"/>
      <c r="K53" t="str">
        <f t="shared" si="2"/>
        <v>ABP17</v>
      </c>
      <c r="L53" s="73" t="s">
        <v>68</v>
      </c>
      <c r="M53" s="72">
        <v>41359</v>
      </c>
      <c r="N53" s="84">
        <v>1.2199999999999999E-2</v>
      </c>
      <c r="O53" s="96">
        <f t="shared" si="3"/>
        <v>17</v>
      </c>
      <c r="P53" s="73"/>
      <c r="Q53" s="96"/>
      <c r="R53" s="96" t="str">
        <f>R52</f>
        <v>AUW</v>
      </c>
      <c r="S53" s="108">
        <f>IF(ISNA(VLOOKUP($R53&amp;S$2,$K$3:$N$4001,3,0)),"",VLOOKUP($R53&amp;S$2,$K$3:$N$4001,3,0))</f>
        <v>39875</v>
      </c>
      <c r="T53" s="109">
        <f>IF(ISNA(VLOOKUP($R53&amp;S$2,$K$3:$N$4001,4,0)),"",VLOOKUP($R53&amp;S$2,$K$3:$N$4001,4,0))</f>
        <v>0.05</v>
      </c>
      <c r="U53" s="108">
        <f>IF(ISNA(VLOOKUP($R53&amp;U$2,$K$3:$N$4001,3,0)),"",VLOOKUP($R53&amp;U$2,$K$3:$N$4001,3,0))</f>
        <v>40058</v>
      </c>
      <c r="V53" s="109">
        <f>IF(ISNA(VLOOKUP($R53&amp;U$2,$K$3:$N$4001,4,0)),"",VLOOKUP($R53&amp;U$2,$K$3:$N$4001,4,0))</f>
        <v>5.5E-2</v>
      </c>
      <c r="W53" s="108">
        <f>IF(ISNA(VLOOKUP($R53&amp;W$2,$K$3:$N$4001,3,0)),"",VLOOKUP($R53&amp;W$2,$K$3:$N$4001,3,0))</f>
        <v>40241</v>
      </c>
      <c r="X53" s="109">
        <f>IF(ISNA(VLOOKUP($R53&amp;W$2,$K$3:$N$4001,4,0)),"",VLOOKUP($R53&amp;W$2,$K$3:$N$4001,4,0))</f>
        <v>5.5E-2</v>
      </c>
      <c r="Y53" s="108">
        <f>IF(ISNA(VLOOKUP($R53&amp;Y$2,$K$3:$N$4001,3,0)),"",VLOOKUP($R53&amp;Y$2,$K$3:$N$4001,3,0))</f>
        <v>40423</v>
      </c>
      <c r="Z53" s="109">
        <f>IF(ISNA(VLOOKUP($R53&amp;Y$2,$K$3:$N$4001,4,0)),"",VLOOKUP($R53&amp;Y$2,$K$3:$N$4001,4,0))</f>
        <v>0.06</v>
      </c>
      <c r="AA53" s="108">
        <f>IF(ISNA(VLOOKUP($R53&amp;AA$2,$K$3:$N$4001,3,0)),"",VLOOKUP($R53&amp;AA$2,$K$3:$N$4001,3,0))</f>
        <v>40606</v>
      </c>
      <c r="AB53" s="109">
        <f>IF(ISNA(VLOOKUP($R53&amp;AA$2,$K$3:$N$4001,4,0)),"",VLOOKUP($R53&amp;AA$2,$K$3:$N$4001,4,0))</f>
        <v>5.5E-2</v>
      </c>
      <c r="AC53" s="108">
        <f>IF(ISNA(VLOOKUP($R53&amp;AC$2,$K$3:$N$4001,3,0)),"",VLOOKUP($R53&amp;AC$2,$K$3:$N$4001,3,0))</f>
        <v>40788</v>
      </c>
      <c r="AD53" s="109">
        <f>IF(ISNA(VLOOKUP($R53&amp;AC$2,$K$3:$N$4001,4,0)),"",VLOOKUP($R53&amp;AC$2,$K$3:$N$4001,4,0))</f>
        <v>6.5000000000000002E-2</v>
      </c>
      <c r="AE53" s="108">
        <f>IF(ISNA(VLOOKUP($R53&amp;AE$2,$K$3:$N$4001,3,0)),"",VLOOKUP($R53&amp;AE$2,$K$3:$N$4001,3,0))</f>
        <v>40974</v>
      </c>
      <c r="AF53" s="109">
        <f>IF(ISNA(VLOOKUP($R53&amp;AE$2,$K$3:$N$4001,4,0)),"",VLOOKUP($R53&amp;AE$2,$K$3:$N$4001,4,0))</f>
        <v>0.06</v>
      </c>
      <c r="AG53" s="108">
        <f>IF(ISNA(VLOOKUP($R53&amp;AG$2,$K$3:$N$4001,3,0)),"",VLOOKUP($R53&amp;AG$2,$K$3:$N$4001,3,0))</f>
        <v>41156</v>
      </c>
      <c r="AH53" s="109">
        <f>IF(ISNA(VLOOKUP($R53&amp;AG$2,$K$3:$N$4001,4,0)),"",VLOOKUP($R53&amp;AG$2,$K$3:$N$4001,4,0))</f>
        <v>7.0000000000000007E-2</v>
      </c>
      <c r="AI53" s="108">
        <f>IF(ISNA(VLOOKUP($R53&amp;AI$2,$K$3:$N$4001,3,0)),"",VLOOKUP($R53&amp;AI$2,$K$3:$N$4001,3,0))</f>
        <v>41339</v>
      </c>
      <c r="AJ53" s="109">
        <f>IF(ISNA(VLOOKUP($R53&amp;AI$2,$K$3:$N$4001,4,0)),"",VLOOKUP($R53&amp;AI$2,$K$3:$N$4001,4,0))</f>
        <v>0.06</v>
      </c>
      <c r="AK53" s="108">
        <f>IF(ISNA(VLOOKUP($R53&amp;AK$2,$K$3:$N$4001,3,0)),"",VLOOKUP($R53&amp;AK$2,$K$3:$N$4001,3,0))</f>
        <v>41521</v>
      </c>
      <c r="AL53" s="109">
        <f>IF(ISNA(VLOOKUP($R53&amp;AK$2,$K$3:$N$4001,4,0)),"",VLOOKUP($R53&amp;AK$2,$K$3:$N$4001,4,0))</f>
        <v>7.4999999999999997E-2</v>
      </c>
    </row>
    <row r="54" spans="3:38" x14ac:dyDescent="0.2">
      <c r="C54" s="96" t="str">
        <f t="shared" si="0"/>
        <v>ABP18</v>
      </c>
      <c r="D54" s="73" t="s">
        <v>68</v>
      </c>
      <c r="E54" s="100">
        <v>41450</v>
      </c>
      <c r="F54" s="101">
        <v>1.24E-2</v>
      </c>
      <c r="G54" s="96">
        <f t="shared" si="1"/>
        <v>18</v>
      </c>
      <c r="I54" s="96"/>
      <c r="K54" t="str">
        <f t="shared" si="2"/>
        <v>ABP18</v>
      </c>
      <c r="L54" s="73" t="s">
        <v>68</v>
      </c>
      <c r="M54" s="72">
        <v>41450</v>
      </c>
      <c r="N54" s="84">
        <v>1.24E-2</v>
      </c>
      <c r="O54" s="96">
        <f t="shared" si="3"/>
        <v>18</v>
      </c>
      <c r="P54" s="73"/>
      <c r="Q54" s="96"/>
      <c r="R54" s="96" t="s">
        <v>260</v>
      </c>
      <c r="S54" s="106" t="str">
        <f>IF(ISNA(VLOOKUP($R54&amp;S$2,$C$3:$F$4001,3,0)),"",VLOOKUP($R54&amp;S$2,$C$3:$F$4001,3,0))</f>
        <v/>
      </c>
      <c r="T54" s="107" t="str">
        <f>IF(ISNA(VLOOKUP($R54&amp;S$2,$C$3:$F$4001,4,0)),"",VLOOKUP($R54&amp;S$2,$C$3:$F$4001,4,0))</f>
        <v/>
      </c>
      <c r="U54" s="106" t="str">
        <f>IF(ISNA(VLOOKUP($R54&amp;U$2,$C$3:$F$4001,3,0)),"",VLOOKUP($R54&amp;U$2,$C$3:$F$4001,3,0))</f>
        <v/>
      </c>
      <c r="V54" s="107" t="str">
        <f>IF(ISNA(VLOOKUP($R54&amp;U$2,$C$3:$F$4001,4,0)),"",VLOOKUP($R54&amp;U$2,$C$3:$F$4001,4,0))</f>
        <v/>
      </c>
      <c r="W54" s="106" t="str">
        <f>IF(ISNA(VLOOKUP($R54&amp;W$2,$C$3:$F$4001,3,0)),"",VLOOKUP($R54&amp;W$2,$C$3:$F$4001,3,0))</f>
        <v/>
      </c>
      <c r="X54" s="107" t="str">
        <f>IF(ISNA(VLOOKUP($R54&amp;W$2,$C$3:$F$4001,4,0)),"",VLOOKUP($R54&amp;W$2,$C$3:$F$4001,4,0))</f>
        <v/>
      </c>
      <c r="Y54" s="106" t="str">
        <f>IF(ISNA(VLOOKUP($R54&amp;Y$2,$C$3:$F$4001,3,0)),"",VLOOKUP($R54&amp;Y$2,$C$3:$F$4001,3,0))</f>
        <v/>
      </c>
      <c r="Z54" s="107" t="str">
        <f>IF(ISNA(VLOOKUP($R54&amp;Y$2,$C$3:$F$4001,4,0)),"",VLOOKUP($R54&amp;Y$2,$C$3:$F$4001,4,0))</f>
        <v/>
      </c>
      <c r="AA54" s="106" t="str">
        <f>IF(ISNA(VLOOKUP($R54&amp;AA$2,$C$3:$F$4001,3,0)),"",VLOOKUP($R54&amp;AA$2,$C$3:$F$4001,3,0))</f>
        <v/>
      </c>
      <c r="AB54" s="107" t="str">
        <f>IF(ISNA(VLOOKUP($R54&amp;AA$2,$C$3:$F$4001,4,0)),"",VLOOKUP($R54&amp;AA$2,$C$3:$F$4001,4,0))</f>
        <v/>
      </c>
      <c r="AC54" s="106" t="str">
        <f>IF(ISNA(VLOOKUP($R54&amp;AC$2,$C$3:$F$4001,3,0)),"",VLOOKUP($R54&amp;AC$2,$C$3:$F$4001,3,0))</f>
        <v/>
      </c>
      <c r="AD54" s="107" t="str">
        <f>IF(ISNA(VLOOKUP($R54&amp;AC$2,$C$3:$F$4001,4,0)),"",VLOOKUP($R54&amp;AC$2,$C$3:$F$4001,4,0))</f>
        <v/>
      </c>
      <c r="AE54" s="106" t="str">
        <f>IF(ISNA(VLOOKUP($R54&amp;AE$2,$C$3:$F$4001,3,0)),"",VLOOKUP($R54&amp;AE$2,$C$3:$F$4001,3,0))</f>
        <v/>
      </c>
      <c r="AF54" s="107" t="str">
        <f>IF(ISNA(VLOOKUP($R54&amp;AE$2,$C$3:$F$4001,4,0)),"",VLOOKUP($R54&amp;AE$2,$C$3:$F$4001,4,0))</f>
        <v/>
      </c>
      <c r="AG54" s="106" t="str">
        <f>IF(ISNA(VLOOKUP($R54&amp;AG$2,$C$3:$F$4001,3,0)),"",VLOOKUP($R54&amp;AG$2,$C$3:$F$4001,3,0))</f>
        <v/>
      </c>
      <c r="AH54" s="107" t="str">
        <f>IF(ISNA(VLOOKUP($R54&amp;AG$2,$C$3:$F$4001,4,0)),"",VLOOKUP($R54&amp;AG$2,$C$3:$F$4001,4,0))</f>
        <v/>
      </c>
      <c r="AI54" s="106" t="str">
        <f>IF(ISNA(VLOOKUP($R54&amp;AI$2,$C$3:$F$4001,3,0)),"",VLOOKUP($R54&amp;AI$2,$C$3:$F$4001,3,0))</f>
        <v/>
      </c>
      <c r="AJ54" s="107" t="str">
        <f>IF(ISNA(VLOOKUP($R54&amp;AI$2,$C$3:$F$4001,4,0)),"",VLOOKUP($R54&amp;AI$2,$C$3:$F$4001,4,0))</f>
        <v/>
      </c>
      <c r="AK54" s="106" t="str">
        <f>IF(ISNA(VLOOKUP($R54&amp;AK$2,$C$3:$F$4001,3,0)),"",VLOOKUP($R54&amp;AK$2,$C$3:$F$4001,3,0))</f>
        <v/>
      </c>
      <c r="AL54" s="107" t="str">
        <f>IF(ISNA(VLOOKUP($R54&amp;AK$2,$C$3:$F$4001,4,0)),"",VLOOKUP($R54&amp;AK$2,$C$3:$F$4001,4,0))</f>
        <v/>
      </c>
    </row>
    <row r="55" spans="3:38" x14ac:dyDescent="0.2">
      <c r="C55" s="96" t="str">
        <f t="shared" si="0"/>
        <v>AEZ1</v>
      </c>
      <c r="D55" s="73" t="s">
        <v>69</v>
      </c>
      <c r="E55" s="100">
        <v>39988</v>
      </c>
      <c r="F55" s="101">
        <v>3.1E-2</v>
      </c>
      <c r="G55" s="96">
        <f t="shared" si="1"/>
        <v>1</v>
      </c>
      <c r="I55" s="96"/>
      <c r="K55" t="str">
        <f t="shared" si="2"/>
        <v>AEZ1</v>
      </c>
      <c r="L55" s="73" t="s">
        <v>69</v>
      </c>
      <c r="M55" s="72">
        <v>39988</v>
      </c>
      <c r="N55" s="84">
        <v>3.1E-2</v>
      </c>
      <c r="O55" s="96">
        <f t="shared" si="3"/>
        <v>1</v>
      </c>
      <c r="P55" s="73"/>
      <c r="Q55" s="96"/>
      <c r="R55" s="96" t="str">
        <f>R54</f>
        <v>AWE</v>
      </c>
      <c r="S55" s="108" t="str">
        <f>IF(ISNA(VLOOKUP($R55&amp;S$2,$K$3:$N$4001,3,0)),"",VLOOKUP($R55&amp;S$2,$K$3:$N$4001,3,0))</f>
        <v/>
      </c>
      <c r="T55" s="109" t="str">
        <f>IF(ISNA(VLOOKUP($R55&amp;S$2,$K$3:$N$4001,4,0)),"",VLOOKUP($R55&amp;S$2,$K$3:$N$4001,4,0))</f>
        <v/>
      </c>
      <c r="U55" s="108" t="str">
        <f>IF(ISNA(VLOOKUP($R55&amp;U$2,$K$3:$N$4001,3,0)),"",VLOOKUP($R55&amp;U$2,$K$3:$N$4001,3,0))</f>
        <v/>
      </c>
      <c r="V55" s="109" t="str">
        <f>IF(ISNA(VLOOKUP($R55&amp;U$2,$K$3:$N$4001,4,0)),"",VLOOKUP($R55&amp;U$2,$K$3:$N$4001,4,0))</f>
        <v/>
      </c>
      <c r="W55" s="108" t="str">
        <f>IF(ISNA(VLOOKUP($R55&amp;W$2,$K$3:$N$4001,3,0)),"",VLOOKUP($R55&amp;W$2,$K$3:$N$4001,3,0))</f>
        <v/>
      </c>
      <c r="X55" s="109" t="str">
        <f>IF(ISNA(VLOOKUP($R55&amp;W$2,$K$3:$N$4001,4,0)),"",VLOOKUP($R55&amp;W$2,$K$3:$N$4001,4,0))</f>
        <v/>
      </c>
      <c r="Y55" s="108" t="str">
        <f>IF(ISNA(VLOOKUP($R55&amp;Y$2,$K$3:$N$4001,3,0)),"",VLOOKUP($R55&amp;Y$2,$K$3:$N$4001,3,0))</f>
        <v/>
      </c>
      <c r="Z55" s="109" t="str">
        <f>IF(ISNA(VLOOKUP($R55&amp;Y$2,$K$3:$N$4001,4,0)),"",VLOOKUP($R55&amp;Y$2,$K$3:$N$4001,4,0))</f>
        <v/>
      </c>
      <c r="AA55" s="108" t="str">
        <f>IF(ISNA(VLOOKUP($R55&amp;AA$2,$K$3:$N$4001,3,0)),"",VLOOKUP($R55&amp;AA$2,$K$3:$N$4001,3,0))</f>
        <v/>
      </c>
      <c r="AB55" s="109" t="str">
        <f>IF(ISNA(VLOOKUP($R55&amp;AA$2,$K$3:$N$4001,4,0)),"",VLOOKUP($R55&amp;AA$2,$K$3:$N$4001,4,0))</f>
        <v/>
      </c>
      <c r="AC55" s="108" t="str">
        <f>IF(ISNA(VLOOKUP($R55&amp;AC$2,$K$3:$N$4001,3,0)),"",VLOOKUP($R55&amp;AC$2,$K$3:$N$4001,3,0))</f>
        <v/>
      </c>
      <c r="AD55" s="109" t="str">
        <f>IF(ISNA(VLOOKUP($R55&amp;AC$2,$K$3:$N$4001,4,0)),"",VLOOKUP($R55&amp;AC$2,$K$3:$N$4001,4,0))</f>
        <v/>
      </c>
      <c r="AE55" s="108" t="str">
        <f>IF(ISNA(VLOOKUP($R55&amp;AE$2,$K$3:$N$4001,3,0)),"",VLOOKUP($R55&amp;AE$2,$K$3:$N$4001,3,0))</f>
        <v/>
      </c>
      <c r="AF55" s="109" t="str">
        <f>IF(ISNA(VLOOKUP($R55&amp;AE$2,$K$3:$N$4001,4,0)),"",VLOOKUP($R55&amp;AE$2,$K$3:$N$4001,4,0))</f>
        <v/>
      </c>
      <c r="AG55" s="108" t="str">
        <f>IF(ISNA(VLOOKUP($R55&amp;AG$2,$K$3:$N$4001,3,0)),"",VLOOKUP($R55&amp;AG$2,$K$3:$N$4001,3,0))</f>
        <v/>
      </c>
      <c r="AH55" s="109" t="str">
        <f>IF(ISNA(VLOOKUP($R55&amp;AG$2,$K$3:$N$4001,4,0)),"",VLOOKUP($R55&amp;AG$2,$K$3:$N$4001,4,0))</f>
        <v/>
      </c>
      <c r="AI55" s="108" t="str">
        <f>IF(ISNA(VLOOKUP($R55&amp;AI$2,$K$3:$N$4001,3,0)),"",VLOOKUP($R55&amp;AI$2,$K$3:$N$4001,3,0))</f>
        <v/>
      </c>
      <c r="AJ55" s="109" t="str">
        <f>IF(ISNA(VLOOKUP($R55&amp;AI$2,$K$3:$N$4001,4,0)),"",VLOOKUP($R55&amp;AI$2,$K$3:$N$4001,4,0))</f>
        <v/>
      </c>
      <c r="AK55" s="108" t="str">
        <f>IF(ISNA(VLOOKUP($R55&amp;AK$2,$K$3:$N$4001,3,0)),"",VLOOKUP($R55&amp;AK$2,$K$3:$N$4001,3,0))</f>
        <v/>
      </c>
      <c r="AL55" s="109" t="str">
        <f>IF(ISNA(VLOOKUP($R55&amp;AK$2,$K$3:$N$4001,4,0)),"",VLOOKUP($R55&amp;AK$2,$K$3:$N$4001,4,0))</f>
        <v/>
      </c>
    </row>
    <row r="56" spans="3:38" x14ac:dyDescent="0.2">
      <c r="C56" s="96" t="str">
        <f t="shared" si="0"/>
        <v>AEZ2</v>
      </c>
      <c r="D56" s="73" t="s">
        <v>69</v>
      </c>
      <c r="E56" s="100">
        <v>40170</v>
      </c>
      <c r="F56" s="101">
        <v>0.03</v>
      </c>
      <c r="G56" s="96">
        <f t="shared" si="1"/>
        <v>2</v>
      </c>
      <c r="I56" s="96"/>
      <c r="K56" t="str">
        <f t="shared" si="2"/>
        <v>AEZ2</v>
      </c>
      <c r="L56" s="73" t="s">
        <v>69</v>
      </c>
      <c r="M56" s="72">
        <v>40170</v>
      </c>
      <c r="N56" s="84">
        <v>0.03</v>
      </c>
      <c r="O56" s="96">
        <f t="shared" si="3"/>
        <v>2</v>
      </c>
      <c r="P56" s="73"/>
      <c r="Q56" s="96"/>
      <c r="R56" s="96" t="s">
        <v>261</v>
      </c>
      <c r="S56" s="106" t="str">
        <f>IF(ISNA(VLOOKUP($R56&amp;S$2,$C$3:$F$4001,3,0)),"",VLOOKUP($R56&amp;S$2,$C$3:$F$4001,3,0))</f>
        <v/>
      </c>
      <c r="T56" s="107" t="str">
        <f>IF(ISNA(VLOOKUP($R56&amp;S$2,$C$3:$F$4001,4,0)),"",VLOOKUP($R56&amp;S$2,$C$3:$F$4001,4,0))</f>
        <v/>
      </c>
      <c r="U56" s="106" t="str">
        <f>IF(ISNA(VLOOKUP($R56&amp;U$2,$C$3:$F$4001,3,0)),"",VLOOKUP($R56&amp;U$2,$C$3:$F$4001,3,0))</f>
        <v/>
      </c>
      <c r="V56" s="107" t="str">
        <f>IF(ISNA(VLOOKUP($R56&amp;U$2,$C$3:$F$4001,4,0)),"",VLOOKUP($R56&amp;U$2,$C$3:$F$4001,4,0))</f>
        <v/>
      </c>
      <c r="W56" s="106" t="str">
        <f>IF(ISNA(VLOOKUP($R56&amp;W$2,$C$3:$F$4001,3,0)),"",VLOOKUP($R56&amp;W$2,$C$3:$F$4001,3,0))</f>
        <v/>
      </c>
      <c r="X56" s="107" t="str">
        <f>IF(ISNA(VLOOKUP($R56&amp;W$2,$C$3:$F$4001,4,0)),"",VLOOKUP($R56&amp;W$2,$C$3:$F$4001,4,0))</f>
        <v/>
      </c>
      <c r="Y56" s="106" t="str">
        <f>IF(ISNA(VLOOKUP($R56&amp;Y$2,$C$3:$F$4001,3,0)),"",VLOOKUP($R56&amp;Y$2,$C$3:$F$4001,3,0))</f>
        <v/>
      </c>
      <c r="Z56" s="107" t="str">
        <f>IF(ISNA(VLOOKUP($R56&amp;Y$2,$C$3:$F$4001,4,0)),"",VLOOKUP($R56&amp;Y$2,$C$3:$F$4001,4,0))</f>
        <v/>
      </c>
      <c r="AA56" s="106" t="str">
        <f>IF(ISNA(VLOOKUP($R56&amp;AA$2,$C$3:$F$4001,3,0)),"",VLOOKUP($R56&amp;AA$2,$C$3:$F$4001,3,0))</f>
        <v/>
      </c>
      <c r="AB56" s="107" t="str">
        <f>IF(ISNA(VLOOKUP($R56&amp;AA$2,$C$3:$F$4001,4,0)),"",VLOOKUP($R56&amp;AA$2,$C$3:$F$4001,4,0))</f>
        <v/>
      </c>
      <c r="AC56" s="106" t="str">
        <f>IF(ISNA(VLOOKUP($R56&amp;AC$2,$C$3:$F$4001,3,0)),"",VLOOKUP($R56&amp;AC$2,$C$3:$F$4001,3,0))</f>
        <v/>
      </c>
      <c r="AD56" s="107" t="str">
        <f>IF(ISNA(VLOOKUP($R56&amp;AC$2,$C$3:$F$4001,4,0)),"",VLOOKUP($R56&amp;AC$2,$C$3:$F$4001,4,0))</f>
        <v/>
      </c>
      <c r="AE56" s="106" t="str">
        <f>IF(ISNA(VLOOKUP($R56&amp;AE$2,$C$3:$F$4001,3,0)),"",VLOOKUP($R56&amp;AE$2,$C$3:$F$4001,3,0))</f>
        <v/>
      </c>
      <c r="AF56" s="107" t="str">
        <f>IF(ISNA(VLOOKUP($R56&amp;AE$2,$C$3:$F$4001,4,0)),"",VLOOKUP($R56&amp;AE$2,$C$3:$F$4001,4,0))</f>
        <v/>
      </c>
      <c r="AG56" s="106" t="str">
        <f>IF(ISNA(VLOOKUP($R56&amp;AG$2,$C$3:$F$4001,3,0)),"",VLOOKUP($R56&amp;AG$2,$C$3:$F$4001,3,0))</f>
        <v/>
      </c>
      <c r="AH56" s="107" t="str">
        <f>IF(ISNA(VLOOKUP($R56&amp;AG$2,$C$3:$F$4001,4,0)),"",VLOOKUP($R56&amp;AG$2,$C$3:$F$4001,4,0))</f>
        <v/>
      </c>
      <c r="AI56" s="106" t="str">
        <f>IF(ISNA(VLOOKUP($R56&amp;AI$2,$C$3:$F$4001,3,0)),"",VLOOKUP($R56&amp;AI$2,$C$3:$F$4001,3,0))</f>
        <v/>
      </c>
      <c r="AJ56" s="107" t="str">
        <f>IF(ISNA(VLOOKUP($R56&amp;AI$2,$C$3:$F$4001,4,0)),"",VLOOKUP($R56&amp;AI$2,$C$3:$F$4001,4,0))</f>
        <v/>
      </c>
      <c r="AK56" s="106" t="str">
        <f>IF(ISNA(VLOOKUP($R56&amp;AK$2,$C$3:$F$4001,3,0)),"",VLOOKUP($R56&amp;AK$2,$C$3:$F$4001,3,0))</f>
        <v/>
      </c>
      <c r="AL56" s="107" t="str">
        <f>IF(ISNA(VLOOKUP($R56&amp;AK$2,$C$3:$F$4001,4,0)),"",VLOOKUP($R56&amp;AK$2,$C$3:$F$4001,4,0))</f>
        <v/>
      </c>
    </row>
    <row r="57" spans="3:38" x14ac:dyDescent="0.2">
      <c r="C57" s="96" t="str">
        <f t="shared" si="0"/>
        <v>AEZ3</v>
      </c>
      <c r="D57" s="73" t="s">
        <v>69</v>
      </c>
      <c r="E57" s="100">
        <v>40353</v>
      </c>
      <c r="F57" s="101">
        <v>3.1E-2</v>
      </c>
      <c r="G57" s="96">
        <f t="shared" si="1"/>
        <v>3</v>
      </c>
      <c r="I57" s="96"/>
      <c r="K57" t="str">
        <f t="shared" si="2"/>
        <v>AEZ3</v>
      </c>
      <c r="L57" s="73" t="s">
        <v>69</v>
      </c>
      <c r="M57" s="72">
        <v>40353</v>
      </c>
      <c r="N57" s="84">
        <v>3.1E-2</v>
      </c>
      <c r="O57" s="96">
        <f t="shared" si="3"/>
        <v>3</v>
      </c>
      <c r="P57" s="73"/>
      <c r="Q57" s="96"/>
      <c r="R57" s="96" t="str">
        <f>R56</f>
        <v>AVO</v>
      </c>
      <c r="S57" s="108" t="str">
        <f>IF(ISNA(VLOOKUP($R57&amp;S$2,$K$3:$N$4001,3,0)),"",VLOOKUP($R57&amp;S$2,$K$3:$N$4001,3,0))</f>
        <v/>
      </c>
      <c r="T57" s="109" t="str">
        <f>IF(ISNA(VLOOKUP($R57&amp;S$2,$K$3:$N$4001,4,0)),"",VLOOKUP($R57&amp;S$2,$K$3:$N$4001,4,0))</f>
        <v/>
      </c>
      <c r="U57" s="108" t="str">
        <f>IF(ISNA(VLOOKUP($R57&amp;U$2,$K$3:$N$4001,3,0)),"",VLOOKUP($R57&amp;U$2,$K$3:$N$4001,3,0))</f>
        <v/>
      </c>
      <c r="V57" s="109" t="str">
        <f>IF(ISNA(VLOOKUP($R57&amp;U$2,$K$3:$N$4001,4,0)),"",VLOOKUP($R57&amp;U$2,$K$3:$N$4001,4,0))</f>
        <v/>
      </c>
      <c r="W57" s="108" t="str">
        <f>IF(ISNA(VLOOKUP($R57&amp;W$2,$K$3:$N$4001,3,0)),"",VLOOKUP($R57&amp;W$2,$K$3:$N$4001,3,0))</f>
        <v/>
      </c>
      <c r="X57" s="109" t="str">
        <f>IF(ISNA(VLOOKUP($R57&amp;W$2,$K$3:$N$4001,4,0)),"",VLOOKUP($R57&amp;W$2,$K$3:$N$4001,4,0))</f>
        <v/>
      </c>
      <c r="Y57" s="108" t="str">
        <f>IF(ISNA(VLOOKUP($R57&amp;Y$2,$K$3:$N$4001,3,0)),"",VLOOKUP($R57&amp;Y$2,$K$3:$N$4001,3,0))</f>
        <v/>
      </c>
      <c r="Z57" s="109" t="str">
        <f>IF(ISNA(VLOOKUP($R57&amp;Y$2,$K$3:$N$4001,4,0)),"",VLOOKUP($R57&amp;Y$2,$K$3:$N$4001,4,0))</f>
        <v/>
      </c>
      <c r="AA57" s="108" t="str">
        <f>IF(ISNA(VLOOKUP($R57&amp;AA$2,$K$3:$N$4001,3,0)),"",VLOOKUP($R57&amp;AA$2,$K$3:$N$4001,3,0))</f>
        <v/>
      </c>
      <c r="AB57" s="109" t="str">
        <f>IF(ISNA(VLOOKUP($R57&amp;AA$2,$K$3:$N$4001,4,0)),"",VLOOKUP($R57&amp;AA$2,$K$3:$N$4001,4,0))</f>
        <v/>
      </c>
      <c r="AC57" s="108" t="str">
        <f>IF(ISNA(VLOOKUP($R57&amp;AC$2,$K$3:$N$4001,3,0)),"",VLOOKUP($R57&amp;AC$2,$K$3:$N$4001,3,0))</f>
        <v/>
      </c>
      <c r="AD57" s="109" t="str">
        <f>IF(ISNA(VLOOKUP($R57&amp;AC$2,$K$3:$N$4001,4,0)),"",VLOOKUP($R57&amp;AC$2,$K$3:$N$4001,4,0))</f>
        <v/>
      </c>
      <c r="AE57" s="108" t="str">
        <f>IF(ISNA(VLOOKUP($R57&amp;AE$2,$K$3:$N$4001,3,0)),"",VLOOKUP($R57&amp;AE$2,$K$3:$N$4001,3,0))</f>
        <v/>
      </c>
      <c r="AF57" s="109" t="str">
        <f>IF(ISNA(VLOOKUP($R57&amp;AE$2,$K$3:$N$4001,4,0)),"",VLOOKUP($R57&amp;AE$2,$K$3:$N$4001,4,0))</f>
        <v/>
      </c>
      <c r="AG57" s="108" t="str">
        <f>IF(ISNA(VLOOKUP($R57&amp;AG$2,$K$3:$N$4001,3,0)),"",VLOOKUP($R57&amp;AG$2,$K$3:$N$4001,3,0))</f>
        <v/>
      </c>
      <c r="AH57" s="109" t="str">
        <f>IF(ISNA(VLOOKUP($R57&amp;AG$2,$K$3:$N$4001,4,0)),"",VLOOKUP($R57&amp;AG$2,$K$3:$N$4001,4,0))</f>
        <v/>
      </c>
      <c r="AI57" s="108" t="str">
        <f>IF(ISNA(VLOOKUP($R57&amp;AI$2,$K$3:$N$4001,3,0)),"",VLOOKUP($R57&amp;AI$2,$K$3:$N$4001,3,0))</f>
        <v/>
      </c>
      <c r="AJ57" s="109" t="str">
        <f>IF(ISNA(VLOOKUP($R57&amp;AI$2,$K$3:$N$4001,4,0)),"",VLOOKUP($R57&amp;AI$2,$K$3:$N$4001,4,0))</f>
        <v/>
      </c>
      <c r="AK57" s="108" t="str">
        <f>IF(ISNA(VLOOKUP($R57&amp;AK$2,$K$3:$N$4001,3,0)),"",VLOOKUP($R57&amp;AK$2,$K$3:$N$4001,3,0))</f>
        <v/>
      </c>
      <c r="AL57" s="109" t="str">
        <f>IF(ISNA(VLOOKUP($R57&amp;AK$2,$K$3:$N$4001,4,0)),"",VLOOKUP($R57&amp;AK$2,$K$3:$N$4001,4,0))</f>
        <v/>
      </c>
    </row>
    <row r="58" spans="3:38" x14ac:dyDescent="0.2">
      <c r="C58" s="96" t="str">
        <f t="shared" si="0"/>
        <v>AEZ4</v>
      </c>
      <c r="D58" s="73" t="s">
        <v>69</v>
      </c>
      <c r="E58" s="100">
        <v>40535</v>
      </c>
      <c r="F58" s="101">
        <v>3.3000000000000002E-2</v>
      </c>
      <c r="G58" s="96">
        <f t="shared" si="1"/>
        <v>4</v>
      </c>
      <c r="I58" s="96"/>
      <c r="K58" t="str">
        <f t="shared" si="2"/>
        <v>AEZ4</v>
      </c>
      <c r="L58" s="73" t="s">
        <v>69</v>
      </c>
      <c r="M58" s="72">
        <v>40535</v>
      </c>
      <c r="N58" s="84">
        <v>3.3000000000000002E-2</v>
      </c>
      <c r="O58" s="96">
        <f t="shared" si="3"/>
        <v>4</v>
      </c>
      <c r="P58" s="73"/>
      <c r="Q58" s="96"/>
      <c r="R58" s="96" t="s">
        <v>85</v>
      </c>
      <c r="S58" s="106">
        <f>IF(ISNA(VLOOKUP($R58&amp;S$2,$C$3:$F$4001,3,0)),"",VLOOKUP($R58&amp;S$2,$C$3:$F$4001,3,0))</f>
        <v>39965</v>
      </c>
      <c r="T58" s="107">
        <f>IF(ISNA(VLOOKUP($R58&amp;S$2,$C$3:$F$4001,4,0)),"",VLOOKUP($R58&amp;S$2,$C$3:$F$4001,4,0))</f>
        <v>0.05</v>
      </c>
      <c r="U58" s="106">
        <f>IF(ISNA(VLOOKUP($R58&amp;U$2,$C$3:$F$4001,3,0)),"",VLOOKUP($R58&amp;U$2,$C$3:$F$4001,3,0))</f>
        <v>40141</v>
      </c>
      <c r="V58" s="107">
        <f>IF(ISNA(VLOOKUP($R58&amp;U$2,$C$3:$F$4001,4,0)),"",VLOOKUP($R58&amp;U$2,$C$3:$F$4001,4,0))</f>
        <v>0.05</v>
      </c>
      <c r="W58" s="106">
        <f>IF(ISNA(VLOOKUP($R58&amp;W$2,$C$3:$F$4001,3,0)),"",VLOOKUP($R58&amp;W$2,$C$3:$F$4001,3,0))</f>
        <v>40330</v>
      </c>
      <c r="X58" s="107">
        <f>IF(ISNA(VLOOKUP($R58&amp;W$2,$C$3:$F$4001,4,0)),"",VLOOKUP($R58&amp;W$2,$C$3:$F$4001,4,0))</f>
        <v>5.5E-2</v>
      </c>
      <c r="Y58" s="106">
        <f>IF(ISNA(VLOOKUP($R58&amp;Y$2,$C$3:$F$4001,3,0)),"",VLOOKUP($R58&amp;Y$2,$C$3:$F$4001,3,0))</f>
        <v>40506</v>
      </c>
      <c r="Z58" s="107">
        <f>IF(ISNA(VLOOKUP($R58&amp;Y$2,$C$3:$F$4001,4,0)),"",VLOOKUP($R58&amp;Y$2,$C$3:$F$4001,4,0))</f>
        <v>5.5E-2</v>
      </c>
      <c r="AA58" s="106">
        <f>IF(ISNA(VLOOKUP($R58&amp;AA$2,$C$3:$F$4001,3,0)),"",VLOOKUP($R58&amp;AA$2,$C$3:$F$4001,3,0))</f>
        <v>40695</v>
      </c>
      <c r="AB58" s="107">
        <f>IF(ISNA(VLOOKUP($R58&amp;AA$2,$C$3:$F$4001,4,0)),"",VLOOKUP($R58&amp;AA$2,$C$3:$F$4001,4,0))</f>
        <v>0.06</v>
      </c>
      <c r="AC58" s="106">
        <f>IF(ISNA(VLOOKUP($R58&amp;AC$2,$C$3:$F$4001,3,0)),"",VLOOKUP($R58&amp;AC$2,$C$3:$F$4001,3,0))</f>
        <v>40871</v>
      </c>
      <c r="AD58" s="107">
        <f>IF(ISNA(VLOOKUP($R58&amp;AC$2,$C$3:$F$4001,4,0)),"",VLOOKUP($R58&amp;AC$2,$C$3:$F$4001,4,0))</f>
        <v>0.06</v>
      </c>
      <c r="AE58" s="106">
        <f>IF(ISNA(VLOOKUP($R58&amp;AE$2,$C$3:$F$4001,3,0)),"",VLOOKUP($R58&amp;AE$2,$C$3:$F$4001,3,0))</f>
        <v>41061</v>
      </c>
      <c r="AF58" s="107">
        <f>IF(ISNA(VLOOKUP($R58&amp;AE$2,$C$3:$F$4001,4,0)),"",VLOOKUP($R58&amp;AE$2,$C$3:$F$4001,4,0))</f>
        <v>6.6000000000000003E-2</v>
      </c>
      <c r="AG58" s="106">
        <f>IF(ISNA(VLOOKUP($R58&amp;AG$2,$C$3:$F$4001,3,0)),"",VLOOKUP($R58&amp;AG$2,$C$3:$F$4001,3,0))</f>
        <v>41239</v>
      </c>
      <c r="AH58" s="107">
        <f>IF(ISNA(VLOOKUP($R58&amp;AG$2,$C$3:$F$4001,4,0)),"",VLOOKUP($R58&amp;AG$2,$C$3:$F$4001,4,0))</f>
        <v>6.6000000000000003E-2</v>
      </c>
      <c r="AI58" s="106">
        <f>IF(ISNA(VLOOKUP($R58&amp;AI$2,$C$3:$F$4001,3,0)),"",VLOOKUP($R58&amp;AI$2,$C$3:$F$4001,3,0))</f>
        <v>41428</v>
      </c>
      <c r="AJ58" s="107">
        <f>IF(ISNA(VLOOKUP($R58&amp;AI$2,$C$3:$F$4001,4,0)),"",VLOOKUP($R58&amp;AI$2,$C$3:$F$4001,4,0))</f>
        <v>0.11900000000000001</v>
      </c>
      <c r="AK58" s="106">
        <f>IF(ISNA(VLOOKUP($R58&amp;AK$2,$C$3:$F$4001,3,0)),"",VLOOKUP($R58&amp;AK$2,$C$3:$F$4001,3,0))</f>
        <v>41604</v>
      </c>
      <c r="AL58" s="107">
        <f>IF(ISNA(VLOOKUP($R58&amp;AK$2,$C$3:$F$4001,4,0)),"",VLOOKUP($R58&amp;AK$2,$C$3:$F$4001,4,0))</f>
        <v>0.11900000000000001</v>
      </c>
    </row>
    <row r="59" spans="3:38" x14ac:dyDescent="0.2">
      <c r="C59" s="96" t="str">
        <f t="shared" si="0"/>
        <v>AEZ5</v>
      </c>
      <c r="D59" s="73" t="s">
        <v>69</v>
      </c>
      <c r="E59" s="100">
        <v>40718</v>
      </c>
      <c r="F59" s="101">
        <v>3.4000000000000002E-2</v>
      </c>
      <c r="G59" s="96">
        <f t="shared" si="1"/>
        <v>5</v>
      </c>
      <c r="I59" s="96"/>
      <c r="K59" t="str">
        <f t="shared" si="2"/>
        <v>AEZ5</v>
      </c>
      <c r="L59" s="73" t="s">
        <v>69</v>
      </c>
      <c r="M59" s="72">
        <v>40718</v>
      </c>
      <c r="N59" s="84">
        <v>3.4000000000000002E-2</v>
      </c>
      <c r="O59" s="96">
        <f t="shared" si="3"/>
        <v>5</v>
      </c>
      <c r="P59" s="73"/>
      <c r="Q59" s="96"/>
      <c r="R59" s="96" t="str">
        <f>R58</f>
        <v>AWB</v>
      </c>
      <c r="S59" s="108">
        <f>IF(ISNA(VLOOKUP($R59&amp;S$2,$K$3:$N$4001,3,0)),"",VLOOKUP($R59&amp;S$2,$K$3:$N$4001,3,0))</f>
        <v>39965</v>
      </c>
      <c r="T59" s="109">
        <f>IF(ISNA(VLOOKUP($R59&amp;S$2,$K$3:$N$4001,4,0)),"",VLOOKUP($R59&amp;S$2,$K$3:$N$4001,4,0))</f>
        <v>0.05</v>
      </c>
      <c r="U59" s="108">
        <f>IF(ISNA(VLOOKUP($R59&amp;U$2,$K$3:$N$4001,3,0)),"",VLOOKUP($R59&amp;U$2,$K$3:$N$4001,3,0))</f>
        <v>40141</v>
      </c>
      <c r="V59" s="109">
        <f>IF(ISNA(VLOOKUP($R59&amp;U$2,$K$3:$N$4001,4,0)),"",VLOOKUP($R59&amp;U$2,$K$3:$N$4001,4,0))</f>
        <v>0.05</v>
      </c>
      <c r="W59" s="108">
        <f>IF(ISNA(VLOOKUP($R59&amp;W$2,$K$3:$N$4001,3,0)),"",VLOOKUP($R59&amp;W$2,$K$3:$N$4001,3,0))</f>
        <v>40330</v>
      </c>
      <c r="X59" s="109">
        <f>IF(ISNA(VLOOKUP($R59&amp;W$2,$K$3:$N$4001,4,0)),"",VLOOKUP($R59&amp;W$2,$K$3:$N$4001,4,0))</f>
        <v>5.5E-2</v>
      </c>
      <c r="Y59" s="108">
        <f>IF(ISNA(VLOOKUP($R59&amp;Y$2,$K$3:$N$4001,3,0)),"",VLOOKUP($R59&amp;Y$2,$K$3:$N$4001,3,0))</f>
        <v>40506</v>
      </c>
      <c r="Z59" s="109">
        <f>IF(ISNA(VLOOKUP($R59&amp;Y$2,$K$3:$N$4001,4,0)),"",VLOOKUP($R59&amp;Y$2,$K$3:$N$4001,4,0))</f>
        <v>5.5E-2</v>
      </c>
      <c r="AA59" s="108">
        <f>IF(ISNA(VLOOKUP($R59&amp;AA$2,$K$3:$N$4001,3,0)),"",VLOOKUP($R59&amp;AA$2,$K$3:$N$4001,3,0))</f>
        <v>40695</v>
      </c>
      <c r="AB59" s="109">
        <f>IF(ISNA(VLOOKUP($R59&amp;AA$2,$K$3:$N$4001,4,0)),"",VLOOKUP($R59&amp;AA$2,$K$3:$N$4001,4,0))</f>
        <v>0.06</v>
      </c>
      <c r="AC59" s="108">
        <f>IF(ISNA(VLOOKUP($R59&amp;AC$2,$K$3:$N$4001,3,0)),"",VLOOKUP($R59&amp;AC$2,$K$3:$N$4001,3,0))</f>
        <v>40871</v>
      </c>
      <c r="AD59" s="109">
        <f>IF(ISNA(VLOOKUP($R59&amp;AC$2,$K$3:$N$4001,4,0)),"",VLOOKUP($R59&amp;AC$2,$K$3:$N$4001,4,0))</f>
        <v>0.06</v>
      </c>
      <c r="AE59" s="108">
        <f>IF(ISNA(VLOOKUP($R59&amp;AE$2,$K$3:$N$4001,3,0)),"",VLOOKUP($R59&amp;AE$2,$K$3:$N$4001,3,0))</f>
        <v>41061</v>
      </c>
      <c r="AF59" s="109">
        <f>IF(ISNA(VLOOKUP($R59&amp;AE$2,$K$3:$N$4001,4,0)),"",VLOOKUP($R59&amp;AE$2,$K$3:$N$4001,4,0))</f>
        <v>6.6000000000000003E-2</v>
      </c>
      <c r="AG59" s="108">
        <f>IF(ISNA(VLOOKUP($R59&amp;AG$2,$K$3:$N$4001,3,0)),"",VLOOKUP($R59&amp;AG$2,$K$3:$N$4001,3,0))</f>
        <v>41239</v>
      </c>
      <c r="AH59" s="109">
        <f>IF(ISNA(VLOOKUP($R59&amp;AG$2,$K$3:$N$4001,4,0)),"",VLOOKUP($R59&amp;AG$2,$K$3:$N$4001,4,0))</f>
        <v>6.6000000000000003E-2</v>
      </c>
      <c r="AI59" s="108">
        <f>IF(ISNA(VLOOKUP($R59&amp;AI$2,$K$3:$N$4001,3,0)),"",VLOOKUP($R59&amp;AI$2,$K$3:$N$4001,3,0))</f>
        <v>41428</v>
      </c>
      <c r="AJ59" s="109">
        <f>IF(ISNA(VLOOKUP($R59&amp;AI$2,$K$3:$N$4001,4,0)),"",VLOOKUP($R59&amp;AI$2,$K$3:$N$4001,4,0))</f>
        <v>0.11900000000000001</v>
      </c>
      <c r="AK59" s="108">
        <f>IF(ISNA(VLOOKUP($R59&amp;AK$2,$K$3:$N$4001,3,0)),"",VLOOKUP($R59&amp;AK$2,$K$3:$N$4001,3,0))</f>
        <v>41604</v>
      </c>
      <c r="AL59" s="109">
        <f>IF(ISNA(VLOOKUP($R59&amp;AK$2,$K$3:$N$4001,4,0)),"",VLOOKUP($R59&amp;AK$2,$K$3:$N$4001,4,0))</f>
        <v>0.11900000000000001</v>
      </c>
    </row>
    <row r="60" spans="3:38" x14ac:dyDescent="0.2">
      <c r="C60" s="96" t="str">
        <f t="shared" si="0"/>
        <v>AEZ6</v>
      </c>
      <c r="D60" s="73" t="s">
        <v>69</v>
      </c>
      <c r="E60" s="100">
        <v>40899</v>
      </c>
      <c r="F60" s="101">
        <v>3.3000000000000002E-2</v>
      </c>
      <c r="G60" s="96">
        <f t="shared" si="1"/>
        <v>6</v>
      </c>
      <c r="I60" s="96"/>
      <c r="K60" t="str">
        <f t="shared" si="2"/>
        <v>AEZ6</v>
      </c>
      <c r="L60" s="73" t="s">
        <v>69</v>
      </c>
      <c r="M60" s="72">
        <v>40899</v>
      </c>
      <c r="N60" s="84">
        <v>3.3000000000000002E-2</v>
      </c>
      <c r="O60" s="96">
        <f t="shared" si="3"/>
        <v>6</v>
      </c>
      <c r="P60" s="73"/>
      <c r="Q60" s="96"/>
      <c r="R60" s="96" t="s">
        <v>87</v>
      </c>
      <c r="S60" s="106">
        <f>IF(ISNA(VLOOKUP($R60&amp;S$2,$C$3:$F$4001,3,0)),"",VLOOKUP($R60&amp;S$2,$C$3:$F$4001,3,0))</f>
        <v>39874</v>
      </c>
      <c r="T60" s="107">
        <f>IF(ISNA(VLOOKUP($R60&amp;S$2,$C$3:$F$4001,4,0)),"",VLOOKUP($R60&amp;S$2,$C$3:$F$4001,4,0))</f>
        <v>0.13</v>
      </c>
      <c r="U60" s="106">
        <f>IF(ISNA(VLOOKUP($R60&amp;U$2,$C$3:$F$4001,3,0)),"",VLOOKUP($R60&amp;U$2,$C$3:$F$4001,3,0))</f>
        <v>40043</v>
      </c>
      <c r="V60" s="107">
        <f>IF(ISNA(VLOOKUP($R60&amp;U$2,$C$3:$F$4001,4,0)),"",VLOOKUP($R60&amp;U$2,$C$3:$F$4001,4,0))</f>
        <v>9.2499999999999999E-2</v>
      </c>
      <c r="W60" s="106">
        <f>IF(ISNA(VLOOKUP($R60&amp;W$2,$C$3:$F$4001,3,0)),"",VLOOKUP($R60&amp;W$2,$C$3:$F$4001,3,0))</f>
        <v>40239</v>
      </c>
      <c r="X60" s="107">
        <f>IF(ISNA(VLOOKUP($R60&amp;W$2,$C$3:$F$4001,4,0)),"",VLOOKUP($R60&amp;W$2,$C$3:$F$4001,4,0))</f>
        <v>0.13</v>
      </c>
      <c r="Y60" s="106">
        <f>IF(ISNA(VLOOKUP($R60&amp;Y$2,$C$3:$F$4001,3,0)),"",VLOOKUP($R60&amp;Y$2,$C$3:$F$4001,3,0))</f>
        <v>40408</v>
      </c>
      <c r="Z60" s="107">
        <f>IF(ISNA(VLOOKUP($R60&amp;Y$2,$C$3:$F$4001,4,0)),"",VLOOKUP($R60&amp;Y$2,$C$3:$F$4001,4,0))</f>
        <v>0.1</v>
      </c>
      <c r="AA60" s="106">
        <f>IF(ISNA(VLOOKUP($R60&amp;AA$2,$C$3:$F$4001,3,0)),"",VLOOKUP($R60&amp;AA$2,$C$3:$F$4001,3,0))</f>
        <v>40604</v>
      </c>
      <c r="AB60" s="107">
        <f>IF(ISNA(VLOOKUP($R60&amp;AA$2,$C$3:$F$4001,4,0)),"",VLOOKUP($R60&amp;AA$2,$C$3:$F$4001,4,0))</f>
        <v>0.15</v>
      </c>
      <c r="AC60" s="106">
        <f>IF(ISNA(VLOOKUP($R60&amp;AC$2,$C$3:$F$4001,3,0)),"",VLOOKUP($R60&amp;AC$2,$C$3:$F$4001,3,0))</f>
        <v>40773</v>
      </c>
      <c r="AD60" s="107">
        <f>IF(ISNA(VLOOKUP($R60&amp;AC$2,$C$3:$F$4001,4,0)),"",VLOOKUP($R60&amp;AC$2,$C$3:$F$4001,4,0))</f>
        <v>0.105</v>
      </c>
      <c r="AE60" s="106">
        <f>IF(ISNA(VLOOKUP($R60&amp;AE$2,$C$3:$F$4001,3,0)),"",VLOOKUP($R60&amp;AE$2,$C$3:$F$4001,3,0))</f>
        <v>40970</v>
      </c>
      <c r="AF60" s="107">
        <f>IF(ISNA(VLOOKUP($R60&amp;AE$2,$C$3:$F$4001,4,0)),"",VLOOKUP($R60&amp;AE$2,$C$3:$F$4001,4,0))</f>
        <v>0.16250000000000001</v>
      </c>
      <c r="AG60" s="106">
        <f>IF(ISNA(VLOOKUP($R60&amp;AG$2,$C$3:$F$4001,3,0)),"",VLOOKUP($R60&amp;AG$2,$C$3:$F$4001,3,0))</f>
        <v>41141</v>
      </c>
      <c r="AH60" s="107">
        <f>IF(ISNA(VLOOKUP($R60&amp;AG$2,$C$3:$F$4001,4,0)),"",VLOOKUP($R60&amp;AG$2,$C$3:$F$4001,4,0))</f>
        <v>0.115</v>
      </c>
      <c r="AI60" s="106">
        <f>IF(ISNA(VLOOKUP($R60&amp;AI$2,$C$3:$F$4001,3,0)),"",VLOOKUP($R60&amp;AI$2,$C$3:$F$4001,3,0))</f>
        <v>41337</v>
      </c>
      <c r="AJ60" s="107">
        <f>IF(ISNA(VLOOKUP($R60&amp;AI$2,$C$3:$F$4001,4,0)),"",VLOOKUP($R60&amp;AI$2,$C$3:$F$4001,4,0))</f>
        <v>0.17499999999999999</v>
      </c>
      <c r="AK60" s="106" t="str">
        <f>IF(ISNA(VLOOKUP($R60&amp;AK$2,$C$3:$F$4001,3,0)),"",VLOOKUP($R60&amp;AK$2,$C$3:$F$4001,3,0))</f>
        <v/>
      </c>
      <c r="AL60" s="107" t="str">
        <f>IF(ISNA(VLOOKUP($R60&amp;AK$2,$C$3:$F$4001,4,0)),"",VLOOKUP($R60&amp;AK$2,$C$3:$F$4001,4,0))</f>
        <v/>
      </c>
    </row>
    <row r="61" spans="3:38" x14ac:dyDescent="0.2">
      <c r="C61" s="96" t="str">
        <f t="shared" si="0"/>
        <v>AEZ7</v>
      </c>
      <c r="D61" s="73" t="s">
        <v>69</v>
      </c>
      <c r="E61" s="100">
        <v>41085</v>
      </c>
      <c r="F61" s="101">
        <v>3.4000000000000002E-2</v>
      </c>
      <c r="G61" s="96">
        <f t="shared" si="1"/>
        <v>7</v>
      </c>
      <c r="I61" s="96"/>
      <c r="K61" t="str">
        <f t="shared" si="2"/>
        <v>AEZ7</v>
      </c>
      <c r="L61" s="73" t="s">
        <v>69</v>
      </c>
      <c r="M61" s="72">
        <v>41085</v>
      </c>
      <c r="N61" s="84">
        <v>3.4000000000000002E-2</v>
      </c>
      <c r="O61" s="96">
        <f t="shared" si="3"/>
        <v>7</v>
      </c>
      <c r="P61" s="73"/>
      <c r="Q61" s="96"/>
      <c r="R61" s="96" t="str">
        <f>R60</f>
        <v>AXA</v>
      </c>
      <c r="S61" s="108">
        <f>IF(ISNA(VLOOKUP($R61&amp;S$2,$K$3:$N$4001,3,0)),"",VLOOKUP($R61&amp;S$2,$K$3:$N$4001,3,0))</f>
        <v>39874</v>
      </c>
      <c r="T61" s="109">
        <f>IF(ISNA(VLOOKUP($R61&amp;S$2,$K$3:$N$4001,4,0)),"",VLOOKUP($R61&amp;S$2,$K$3:$N$4001,4,0))</f>
        <v>0.13</v>
      </c>
      <c r="U61" s="108">
        <f>IF(ISNA(VLOOKUP($R61&amp;U$2,$K$3:$N$4001,3,0)),"",VLOOKUP($R61&amp;U$2,$K$3:$N$4001,3,0))</f>
        <v>40043</v>
      </c>
      <c r="V61" s="109">
        <f>IF(ISNA(VLOOKUP($R61&amp;U$2,$K$3:$N$4001,4,0)),"",VLOOKUP($R61&amp;U$2,$K$3:$N$4001,4,0))</f>
        <v>9.2499999999999999E-2</v>
      </c>
      <c r="W61" s="108">
        <f>IF(ISNA(VLOOKUP($R61&amp;W$2,$K$3:$N$4001,3,0)),"",VLOOKUP($R61&amp;W$2,$K$3:$N$4001,3,0))</f>
        <v>40239</v>
      </c>
      <c r="X61" s="109">
        <f>IF(ISNA(VLOOKUP($R61&amp;W$2,$K$3:$N$4001,4,0)),"",VLOOKUP($R61&amp;W$2,$K$3:$N$4001,4,0))</f>
        <v>0.13</v>
      </c>
      <c r="Y61" s="108">
        <f>IF(ISNA(VLOOKUP($R61&amp;Y$2,$K$3:$N$4001,3,0)),"",VLOOKUP($R61&amp;Y$2,$K$3:$N$4001,3,0))</f>
        <v>40408</v>
      </c>
      <c r="Z61" s="109">
        <f>IF(ISNA(VLOOKUP($R61&amp;Y$2,$K$3:$N$4001,4,0)),"",VLOOKUP($R61&amp;Y$2,$K$3:$N$4001,4,0))</f>
        <v>0.1</v>
      </c>
      <c r="AA61" s="108">
        <f>IF(ISNA(VLOOKUP($R61&amp;AA$2,$K$3:$N$4001,3,0)),"",VLOOKUP($R61&amp;AA$2,$K$3:$N$4001,3,0))</f>
        <v>40604</v>
      </c>
      <c r="AB61" s="109">
        <f>IF(ISNA(VLOOKUP($R61&amp;AA$2,$K$3:$N$4001,4,0)),"",VLOOKUP($R61&amp;AA$2,$K$3:$N$4001,4,0))</f>
        <v>0.15</v>
      </c>
      <c r="AC61" s="108">
        <f>IF(ISNA(VLOOKUP($R61&amp;AC$2,$K$3:$N$4001,3,0)),"",VLOOKUP($R61&amp;AC$2,$K$3:$N$4001,3,0))</f>
        <v>40773</v>
      </c>
      <c r="AD61" s="109">
        <f>IF(ISNA(VLOOKUP($R61&amp;AC$2,$K$3:$N$4001,4,0)),"",VLOOKUP($R61&amp;AC$2,$K$3:$N$4001,4,0))</f>
        <v>0.105</v>
      </c>
      <c r="AE61" s="108">
        <f>IF(ISNA(VLOOKUP($R61&amp;AE$2,$K$3:$N$4001,3,0)),"",VLOOKUP($R61&amp;AE$2,$K$3:$N$4001,3,0))</f>
        <v>40970</v>
      </c>
      <c r="AF61" s="109">
        <f>IF(ISNA(VLOOKUP($R61&amp;AE$2,$K$3:$N$4001,4,0)),"",VLOOKUP($R61&amp;AE$2,$K$3:$N$4001,4,0))</f>
        <v>0.16250000000000001</v>
      </c>
      <c r="AG61" s="108">
        <f>IF(ISNA(VLOOKUP($R61&amp;AG$2,$K$3:$N$4001,3,0)),"",VLOOKUP($R61&amp;AG$2,$K$3:$N$4001,3,0))</f>
        <v>41141</v>
      </c>
      <c r="AH61" s="109">
        <f>IF(ISNA(VLOOKUP($R61&amp;AG$2,$K$3:$N$4001,4,0)),"",VLOOKUP($R61&amp;AG$2,$K$3:$N$4001,4,0))</f>
        <v>0.115</v>
      </c>
      <c r="AI61" s="108">
        <f>IF(ISNA(VLOOKUP($R61&amp;AI$2,$K$3:$N$4001,3,0)),"",VLOOKUP($R61&amp;AI$2,$K$3:$N$4001,3,0))</f>
        <v>41337</v>
      </c>
      <c r="AJ61" s="109">
        <f>IF(ISNA(VLOOKUP($R61&amp;AI$2,$K$3:$N$4001,4,0)),"",VLOOKUP($R61&amp;AI$2,$K$3:$N$4001,4,0))</f>
        <v>0.17499999999999999</v>
      </c>
      <c r="AK61" s="108" t="str">
        <f>IF(ISNA(VLOOKUP($R61&amp;AK$2,$K$3:$N$4001,3,0)),"",VLOOKUP($R61&amp;AK$2,$K$3:$N$4001,3,0))</f>
        <v/>
      </c>
      <c r="AL61" s="109" t="str">
        <f>IF(ISNA(VLOOKUP($R61&amp;AK$2,$K$3:$N$4001,4,0)),"",VLOOKUP($R61&amp;AK$2,$K$3:$N$4001,4,0))</f>
        <v/>
      </c>
    </row>
    <row r="62" spans="3:38" x14ac:dyDescent="0.2">
      <c r="C62" s="96" t="str">
        <f t="shared" si="0"/>
        <v>AEZ8</v>
      </c>
      <c r="D62" s="73" t="s">
        <v>69</v>
      </c>
      <c r="E62" s="100">
        <v>41268</v>
      </c>
      <c r="F62" s="101">
        <v>3.0499999999999999E-2</v>
      </c>
      <c r="G62" s="96">
        <f t="shared" si="1"/>
        <v>8</v>
      </c>
      <c r="I62" s="96"/>
      <c r="K62" t="str">
        <f t="shared" si="2"/>
        <v>AEZ8</v>
      </c>
      <c r="L62" s="73" t="s">
        <v>69</v>
      </c>
      <c r="M62" s="72">
        <v>41268</v>
      </c>
      <c r="N62" s="84">
        <v>3.0499999999999999E-2</v>
      </c>
      <c r="O62" s="96">
        <f t="shared" si="3"/>
        <v>8</v>
      </c>
      <c r="P62" s="73"/>
      <c r="Q62" s="96"/>
      <c r="R62" s="96" t="s">
        <v>262</v>
      </c>
      <c r="S62" s="106" t="str">
        <f>IF(ISNA(VLOOKUP($R62&amp;S$2,$C$3:$F$4001,3,0)),"",VLOOKUP($R62&amp;S$2,$C$3:$F$4001,3,0))</f>
        <v/>
      </c>
      <c r="T62" s="107" t="str">
        <f>IF(ISNA(VLOOKUP($R62&amp;S$2,$C$3:$F$4001,4,0)),"",VLOOKUP($R62&amp;S$2,$C$3:$F$4001,4,0))</f>
        <v/>
      </c>
      <c r="U62" s="106" t="str">
        <f>IF(ISNA(VLOOKUP($R62&amp;U$2,$C$3:$F$4001,3,0)),"",VLOOKUP($R62&amp;U$2,$C$3:$F$4001,3,0))</f>
        <v/>
      </c>
      <c r="V62" s="107" t="str">
        <f>IF(ISNA(VLOOKUP($R62&amp;U$2,$C$3:$F$4001,4,0)),"",VLOOKUP($R62&amp;U$2,$C$3:$F$4001,4,0))</f>
        <v/>
      </c>
      <c r="W62" s="106" t="str">
        <f>IF(ISNA(VLOOKUP($R62&amp;W$2,$C$3:$F$4001,3,0)),"",VLOOKUP($R62&amp;W$2,$C$3:$F$4001,3,0))</f>
        <v/>
      </c>
      <c r="X62" s="107" t="str">
        <f>IF(ISNA(VLOOKUP($R62&amp;W$2,$C$3:$F$4001,4,0)),"",VLOOKUP($R62&amp;W$2,$C$3:$F$4001,4,0))</f>
        <v/>
      </c>
      <c r="Y62" s="106" t="str">
        <f>IF(ISNA(VLOOKUP($R62&amp;Y$2,$C$3:$F$4001,3,0)),"",VLOOKUP($R62&amp;Y$2,$C$3:$F$4001,3,0))</f>
        <v/>
      </c>
      <c r="Z62" s="107" t="str">
        <f>IF(ISNA(VLOOKUP($R62&amp;Y$2,$C$3:$F$4001,4,0)),"",VLOOKUP($R62&amp;Y$2,$C$3:$F$4001,4,0))</f>
        <v/>
      </c>
      <c r="AA62" s="106" t="str">
        <f>IF(ISNA(VLOOKUP($R62&amp;AA$2,$C$3:$F$4001,3,0)),"",VLOOKUP($R62&amp;AA$2,$C$3:$F$4001,3,0))</f>
        <v/>
      </c>
      <c r="AB62" s="107" t="str">
        <f>IF(ISNA(VLOOKUP($R62&amp;AA$2,$C$3:$F$4001,4,0)),"",VLOOKUP($R62&amp;AA$2,$C$3:$F$4001,4,0))</f>
        <v/>
      </c>
      <c r="AC62" s="106" t="str">
        <f>IF(ISNA(VLOOKUP($R62&amp;AC$2,$C$3:$F$4001,3,0)),"",VLOOKUP($R62&amp;AC$2,$C$3:$F$4001,3,0))</f>
        <v/>
      </c>
      <c r="AD62" s="107" t="str">
        <f>IF(ISNA(VLOOKUP($R62&amp;AC$2,$C$3:$F$4001,4,0)),"",VLOOKUP($R62&amp;AC$2,$C$3:$F$4001,4,0))</f>
        <v/>
      </c>
      <c r="AE62" s="106" t="str">
        <f>IF(ISNA(VLOOKUP($R62&amp;AE$2,$C$3:$F$4001,3,0)),"",VLOOKUP($R62&amp;AE$2,$C$3:$F$4001,3,0))</f>
        <v/>
      </c>
      <c r="AF62" s="107" t="str">
        <f>IF(ISNA(VLOOKUP($R62&amp;AE$2,$C$3:$F$4001,4,0)),"",VLOOKUP($R62&amp;AE$2,$C$3:$F$4001,4,0))</f>
        <v/>
      </c>
      <c r="AG62" s="106" t="str">
        <f>IF(ISNA(VLOOKUP($R62&amp;AG$2,$C$3:$F$4001,3,0)),"",VLOOKUP($R62&amp;AG$2,$C$3:$F$4001,3,0))</f>
        <v/>
      </c>
      <c r="AH62" s="107" t="str">
        <f>IF(ISNA(VLOOKUP($R62&amp;AG$2,$C$3:$F$4001,4,0)),"",VLOOKUP($R62&amp;AG$2,$C$3:$F$4001,4,0))</f>
        <v/>
      </c>
      <c r="AI62" s="106" t="str">
        <f>IF(ISNA(VLOOKUP($R62&amp;AI$2,$C$3:$F$4001,3,0)),"",VLOOKUP($R62&amp;AI$2,$C$3:$F$4001,3,0))</f>
        <v/>
      </c>
      <c r="AJ62" s="107" t="str">
        <f>IF(ISNA(VLOOKUP($R62&amp;AI$2,$C$3:$F$4001,4,0)),"",VLOOKUP($R62&amp;AI$2,$C$3:$F$4001,4,0))</f>
        <v/>
      </c>
      <c r="AK62" s="106" t="str">
        <f>IF(ISNA(VLOOKUP($R62&amp;AK$2,$C$3:$F$4001,3,0)),"",VLOOKUP($R62&amp;AK$2,$C$3:$F$4001,3,0))</f>
        <v/>
      </c>
      <c r="AL62" s="107" t="str">
        <f>IF(ISNA(VLOOKUP($R62&amp;AK$2,$C$3:$F$4001,4,0)),"",VLOOKUP($R62&amp;AK$2,$C$3:$F$4001,4,0))</f>
        <v/>
      </c>
    </row>
    <row r="63" spans="3:38" x14ac:dyDescent="0.2">
      <c r="C63" s="96" t="str">
        <f t="shared" si="0"/>
        <v>AEZ9</v>
      </c>
      <c r="D63" s="73" t="s">
        <v>69</v>
      </c>
      <c r="E63" s="100">
        <v>41450</v>
      </c>
      <c r="F63" s="101">
        <v>3.15E-2</v>
      </c>
      <c r="G63" s="96">
        <f t="shared" si="1"/>
        <v>9</v>
      </c>
      <c r="I63" s="96"/>
      <c r="K63" t="str">
        <f t="shared" si="2"/>
        <v>AEZ9</v>
      </c>
      <c r="L63" s="73" t="s">
        <v>69</v>
      </c>
      <c r="M63" s="72">
        <v>41450</v>
      </c>
      <c r="N63" s="84">
        <v>3.15E-2</v>
      </c>
      <c r="O63" s="96">
        <f t="shared" si="3"/>
        <v>9</v>
      </c>
      <c r="P63" s="73"/>
      <c r="Q63" s="96"/>
      <c r="R63" s="96" t="str">
        <f>R62</f>
        <v>BCM</v>
      </c>
      <c r="S63" s="108" t="str">
        <f>IF(ISNA(VLOOKUP($R63&amp;S$2,$K$3:$N$4001,3,0)),"",VLOOKUP($R63&amp;S$2,$K$3:$N$4001,3,0))</f>
        <v/>
      </c>
      <c r="T63" s="109" t="str">
        <f>IF(ISNA(VLOOKUP($R63&amp;S$2,$K$3:$N$4001,4,0)),"",VLOOKUP($R63&amp;S$2,$K$3:$N$4001,4,0))</f>
        <v/>
      </c>
      <c r="U63" s="108" t="str">
        <f>IF(ISNA(VLOOKUP($R63&amp;U$2,$K$3:$N$4001,3,0)),"",VLOOKUP($R63&amp;U$2,$K$3:$N$4001,3,0))</f>
        <v/>
      </c>
      <c r="V63" s="109" t="str">
        <f>IF(ISNA(VLOOKUP($R63&amp;U$2,$K$3:$N$4001,4,0)),"",VLOOKUP($R63&amp;U$2,$K$3:$N$4001,4,0))</f>
        <v/>
      </c>
      <c r="W63" s="108" t="str">
        <f>IF(ISNA(VLOOKUP($R63&amp;W$2,$K$3:$N$4001,3,0)),"",VLOOKUP($R63&amp;W$2,$K$3:$N$4001,3,0))</f>
        <v/>
      </c>
      <c r="X63" s="109" t="str">
        <f>IF(ISNA(VLOOKUP($R63&amp;W$2,$K$3:$N$4001,4,0)),"",VLOOKUP($R63&amp;W$2,$K$3:$N$4001,4,0))</f>
        <v/>
      </c>
      <c r="Y63" s="108" t="str">
        <f>IF(ISNA(VLOOKUP($R63&amp;Y$2,$K$3:$N$4001,3,0)),"",VLOOKUP($R63&amp;Y$2,$K$3:$N$4001,3,0))</f>
        <v/>
      </c>
      <c r="Z63" s="109" t="str">
        <f>IF(ISNA(VLOOKUP($R63&amp;Y$2,$K$3:$N$4001,4,0)),"",VLOOKUP($R63&amp;Y$2,$K$3:$N$4001,4,0))</f>
        <v/>
      </c>
      <c r="AA63" s="108" t="str">
        <f>IF(ISNA(VLOOKUP($R63&amp;AA$2,$K$3:$N$4001,3,0)),"",VLOOKUP($R63&amp;AA$2,$K$3:$N$4001,3,0))</f>
        <v/>
      </c>
      <c r="AB63" s="109" t="str">
        <f>IF(ISNA(VLOOKUP($R63&amp;AA$2,$K$3:$N$4001,4,0)),"",VLOOKUP($R63&amp;AA$2,$K$3:$N$4001,4,0))</f>
        <v/>
      </c>
      <c r="AC63" s="108" t="str">
        <f>IF(ISNA(VLOOKUP($R63&amp;AC$2,$K$3:$N$4001,3,0)),"",VLOOKUP($R63&amp;AC$2,$K$3:$N$4001,3,0))</f>
        <v/>
      </c>
      <c r="AD63" s="109" t="str">
        <f>IF(ISNA(VLOOKUP($R63&amp;AC$2,$K$3:$N$4001,4,0)),"",VLOOKUP($R63&amp;AC$2,$K$3:$N$4001,4,0))</f>
        <v/>
      </c>
      <c r="AE63" s="108" t="str">
        <f>IF(ISNA(VLOOKUP($R63&amp;AE$2,$K$3:$N$4001,3,0)),"",VLOOKUP($R63&amp;AE$2,$K$3:$N$4001,3,0))</f>
        <v/>
      </c>
      <c r="AF63" s="109" t="str">
        <f>IF(ISNA(VLOOKUP($R63&amp;AE$2,$K$3:$N$4001,4,0)),"",VLOOKUP($R63&amp;AE$2,$K$3:$N$4001,4,0))</f>
        <v/>
      </c>
      <c r="AG63" s="108" t="str">
        <f>IF(ISNA(VLOOKUP($R63&amp;AG$2,$K$3:$N$4001,3,0)),"",VLOOKUP($R63&amp;AG$2,$K$3:$N$4001,3,0))</f>
        <v/>
      </c>
      <c r="AH63" s="109" t="str">
        <f>IF(ISNA(VLOOKUP($R63&amp;AG$2,$K$3:$N$4001,4,0)),"",VLOOKUP($R63&amp;AG$2,$K$3:$N$4001,4,0))</f>
        <v/>
      </c>
      <c r="AI63" s="108" t="str">
        <f>IF(ISNA(VLOOKUP($R63&amp;AI$2,$K$3:$N$4001,3,0)),"",VLOOKUP($R63&amp;AI$2,$K$3:$N$4001,3,0))</f>
        <v/>
      </c>
      <c r="AJ63" s="109" t="str">
        <f>IF(ISNA(VLOOKUP($R63&amp;AI$2,$K$3:$N$4001,4,0)),"",VLOOKUP($R63&amp;AI$2,$K$3:$N$4001,4,0))</f>
        <v/>
      </c>
      <c r="AK63" s="108" t="str">
        <f>IF(ISNA(VLOOKUP($R63&amp;AK$2,$K$3:$N$4001,3,0)),"",VLOOKUP($R63&amp;AK$2,$K$3:$N$4001,3,0))</f>
        <v/>
      </c>
      <c r="AL63" s="109" t="str">
        <f>IF(ISNA(VLOOKUP($R63&amp;AK$2,$K$3:$N$4001,4,0)),"",VLOOKUP($R63&amp;AK$2,$K$3:$N$4001,4,0))</f>
        <v/>
      </c>
    </row>
    <row r="64" spans="3:38" x14ac:dyDescent="0.2">
      <c r="C64" s="96" t="str">
        <f t="shared" si="0"/>
        <v>AGK1</v>
      </c>
      <c r="D64" s="73" t="s">
        <v>70</v>
      </c>
      <c r="E64" s="100">
        <v>39895</v>
      </c>
      <c r="F64" s="101">
        <v>0.27</v>
      </c>
      <c r="G64" s="96">
        <f t="shared" si="1"/>
        <v>1</v>
      </c>
      <c r="I64" s="96"/>
      <c r="K64" t="str">
        <f t="shared" si="2"/>
        <v>AGK1</v>
      </c>
      <c r="L64" s="73" t="s">
        <v>70</v>
      </c>
      <c r="M64" s="72">
        <v>39895</v>
      </c>
      <c r="N64" s="84">
        <v>0.27</v>
      </c>
      <c r="O64" s="96">
        <f t="shared" si="3"/>
        <v>1</v>
      </c>
      <c r="P64" s="73"/>
      <c r="Q64" s="96"/>
      <c r="R64" s="96" t="s">
        <v>263</v>
      </c>
      <c r="S64" s="106" t="str">
        <f>IF(ISNA(VLOOKUP($R64&amp;S$2,$C$3:$F$4001,3,0)),"",VLOOKUP($R64&amp;S$2,$C$3:$F$4001,3,0))</f>
        <v/>
      </c>
      <c r="T64" s="107" t="str">
        <f>IF(ISNA(VLOOKUP($R64&amp;S$2,$C$3:$F$4001,4,0)),"",VLOOKUP($R64&amp;S$2,$C$3:$F$4001,4,0))</f>
        <v/>
      </c>
      <c r="U64" s="106" t="str">
        <f>IF(ISNA(VLOOKUP($R64&amp;U$2,$C$3:$F$4001,3,0)),"",VLOOKUP($R64&amp;U$2,$C$3:$F$4001,3,0))</f>
        <v/>
      </c>
      <c r="V64" s="107" t="str">
        <f>IF(ISNA(VLOOKUP($R64&amp;U$2,$C$3:$F$4001,4,0)),"",VLOOKUP($R64&amp;U$2,$C$3:$F$4001,4,0))</f>
        <v/>
      </c>
      <c r="W64" s="106" t="str">
        <f>IF(ISNA(VLOOKUP($R64&amp;W$2,$C$3:$F$4001,3,0)),"",VLOOKUP($R64&amp;W$2,$C$3:$F$4001,3,0))</f>
        <v/>
      </c>
      <c r="X64" s="107" t="str">
        <f>IF(ISNA(VLOOKUP($R64&amp;W$2,$C$3:$F$4001,4,0)),"",VLOOKUP($R64&amp;W$2,$C$3:$F$4001,4,0))</f>
        <v/>
      </c>
      <c r="Y64" s="106" t="str">
        <f>IF(ISNA(VLOOKUP($R64&amp;Y$2,$C$3:$F$4001,3,0)),"",VLOOKUP($R64&amp;Y$2,$C$3:$F$4001,3,0))</f>
        <v/>
      </c>
      <c r="Z64" s="107" t="str">
        <f>IF(ISNA(VLOOKUP($R64&amp;Y$2,$C$3:$F$4001,4,0)),"",VLOOKUP($R64&amp;Y$2,$C$3:$F$4001,4,0))</f>
        <v/>
      </c>
      <c r="AA64" s="106" t="str">
        <f>IF(ISNA(VLOOKUP($R64&amp;AA$2,$C$3:$F$4001,3,0)),"",VLOOKUP($R64&amp;AA$2,$C$3:$F$4001,3,0))</f>
        <v/>
      </c>
      <c r="AB64" s="107" t="str">
        <f>IF(ISNA(VLOOKUP($R64&amp;AA$2,$C$3:$F$4001,4,0)),"",VLOOKUP($R64&amp;AA$2,$C$3:$F$4001,4,0))</f>
        <v/>
      </c>
      <c r="AC64" s="106" t="str">
        <f>IF(ISNA(VLOOKUP($R64&amp;AC$2,$C$3:$F$4001,3,0)),"",VLOOKUP($R64&amp;AC$2,$C$3:$F$4001,3,0))</f>
        <v/>
      </c>
      <c r="AD64" s="107" t="str">
        <f>IF(ISNA(VLOOKUP($R64&amp;AC$2,$C$3:$F$4001,4,0)),"",VLOOKUP($R64&amp;AC$2,$C$3:$F$4001,4,0))</f>
        <v/>
      </c>
      <c r="AE64" s="106" t="str">
        <f>IF(ISNA(VLOOKUP($R64&amp;AE$2,$C$3:$F$4001,3,0)),"",VLOOKUP($R64&amp;AE$2,$C$3:$F$4001,3,0))</f>
        <v/>
      </c>
      <c r="AF64" s="107" t="str">
        <f>IF(ISNA(VLOOKUP($R64&amp;AE$2,$C$3:$F$4001,4,0)),"",VLOOKUP($R64&amp;AE$2,$C$3:$F$4001,4,0))</f>
        <v/>
      </c>
      <c r="AG64" s="106" t="str">
        <f>IF(ISNA(VLOOKUP($R64&amp;AG$2,$C$3:$F$4001,3,0)),"",VLOOKUP($R64&amp;AG$2,$C$3:$F$4001,3,0))</f>
        <v/>
      </c>
      <c r="AH64" s="107" t="str">
        <f>IF(ISNA(VLOOKUP($R64&amp;AG$2,$C$3:$F$4001,4,0)),"",VLOOKUP($R64&amp;AG$2,$C$3:$F$4001,4,0))</f>
        <v/>
      </c>
      <c r="AI64" s="106" t="str">
        <f>IF(ISNA(VLOOKUP($R64&amp;AI$2,$C$3:$F$4001,3,0)),"",VLOOKUP($R64&amp;AI$2,$C$3:$F$4001,3,0))</f>
        <v/>
      </c>
      <c r="AJ64" s="107" t="str">
        <f>IF(ISNA(VLOOKUP($R64&amp;AI$2,$C$3:$F$4001,4,0)),"",VLOOKUP($R64&amp;AI$2,$C$3:$F$4001,4,0))</f>
        <v/>
      </c>
      <c r="AK64" s="106" t="str">
        <f>IF(ISNA(VLOOKUP($R64&amp;AK$2,$C$3:$F$4001,3,0)),"",VLOOKUP($R64&amp;AK$2,$C$3:$F$4001,3,0))</f>
        <v/>
      </c>
      <c r="AL64" s="107" t="str">
        <f>IF(ISNA(VLOOKUP($R64&amp;AK$2,$C$3:$F$4001,4,0)),"",VLOOKUP($R64&amp;AK$2,$C$3:$F$4001,4,0))</f>
        <v/>
      </c>
    </row>
    <row r="65" spans="3:38" x14ac:dyDescent="0.2">
      <c r="C65" s="96" t="str">
        <f t="shared" si="0"/>
        <v>AGK2</v>
      </c>
      <c r="D65" s="73" t="s">
        <v>70</v>
      </c>
      <c r="E65" s="100">
        <v>40056</v>
      </c>
      <c r="F65" s="101">
        <v>0.28000000000000003</v>
      </c>
      <c r="G65" s="96">
        <f t="shared" si="1"/>
        <v>2</v>
      </c>
      <c r="I65" s="96"/>
      <c r="K65" t="str">
        <f t="shared" si="2"/>
        <v>AGK2</v>
      </c>
      <c r="L65" s="73" t="s">
        <v>70</v>
      </c>
      <c r="M65" s="72">
        <v>40056</v>
      </c>
      <c r="N65" s="84">
        <v>0.28000000000000003</v>
      </c>
      <c r="O65" s="96">
        <f t="shared" si="3"/>
        <v>2</v>
      </c>
      <c r="P65" s="73"/>
      <c r="Q65" s="96"/>
      <c r="R65" s="96" t="str">
        <f>R64</f>
        <v>BBI</v>
      </c>
      <c r="S65" s="108" t="str">
        <f>IF(ISNA(VLOOKUP($R65&amp;S$2,$K$3:$N$4001,3,0)),"",VLOOKUP($R65&amp;S$2,$K$3:$N$4001,3,0))</f>
        <v/>
      </c>
      <c r="T65" s="109" t="str">
        <f>IF(ISNA(VLOOKUP($R65&amp;S$2,$K$3:$N$4001,4,0)),"",VLOOKUP($R65&amp;S$2,$K$3:$N$4001,4,0))</f>
        <v/>
      </c>
      <c r="U65" s="108" t="str">
        <f>IF(ISNA(VLOOKUP($R65&amp;U$2,$K$3:$N$4001,3,0)),"",VLOOKUP($R65&amp;U$2,$K$3:$N$4001,3,0))</f>
        <v/>
      </c>
      <c r="V65" s="109" t="str">
        <f>IF(ISNA(VLOOKUP($R65&amp;U$2,$K$3:$N$4001,4,0)),"",VLOOKUP($R65&amp;U$2,$K$3:$N$4001,4,0))</f>
        <v/>
      </c>
      <c r="W65" s="108" t="str">
        <f>IF(ISNA(VLOOKUP($R65&amp;W$2,$K$3:$N$4001,3,0)),"",VLOOKUP($R65&amp;W$2,$K$3:$N$4001,3,0))</f>
        <v/>
      </c>
      <c r="X65" s="109" t="str">
        <f>IF(ISNA(VLOOKUP($R65&amp;W$2,$K$3:$N$4001,4,0)),"",VLOOKUP($R65&amp;W$2,$K$3:$N$4001,4,0))</f>
        <v/>
      </c>
      <c r="Y65" s="108" t="str">
        <f>IF(ISNA(VLOOKUP($R65&amp;Y$2,$K$3:$N$4001,3,0)),"",VLOOKUP($R65&amp;Y$2,$K$3:$N$4001,3,0))</f>
        <v/>
      </c>
      <c r="Z65" s="109" t="str">
        <f>IF(ISNA(VLOOKUP($R65&amp;Y$2,$K$3:$N$4001,4,0)),"",VLOOKUP($R65&amp;Y$2,$K$3:$N$4001,4,0))</f>
        <v/>
      </c>
      <c r="AA65" s="108" t="str">
        <f>IF(ISNA(VLOOKUP($R65&amp;AA$2,$K$3:$N$4001,3,0)),"",VLOOKUP($R65&amp;AA$2,$K$3:$N$4001,3,0))</f>
        <v/>
      </c>
      <c r="AB65" s="109" t="str">
        <f>IF(ISNA(VLOOKUP($R65&amp;AA$2,$K$3:$N$4001,4,0)),"",VLOOKUP($R65&amp;AA$2,$K$3:$N$4001,4,0))</f>
        <v/>
      </c>
      <c r="AC65" s="108" t="str">
        <f>IF(ISNA(VLOOKUP($R65&amp;AC$2,$K$3:$N$4001,3,0)),"",VLOOKUP($R65&amp;AC$2,$K$3:$N$4001,3,0))</f>
        <v/>
      </c>
      <c r="AD65" s="109" t="str">
        <f>IF(ISNA(VLOOKUP($R65&amp;AC$2,$K$3:$N$4001,4,0)),"",VLOOKUP($R65&amp;AC$2,$K$3:$N$4001,4,0))</f>
        <v/>
      </c>
      <c r="AE65" s="108" t="str">
        <f>IF(ISNA(VLOOKUP($R65&amp;AE$2,$K$3:$N$4001,3,0)),"",VLOOKUP($R65&amp;AE$2,$K$3:$N$4001,3,0))</f>
        <v/>
      </c>
      <c r="AF65" s="109" t="str">
        <f>IF(ISNA(VLOOKUP($R65&amp;AE$2,$K$3:$N$4001,4,0)),"",VLOOKUP($R65&amp;AE$2,$K$3:$N$4001,4,0))</f>
        <v/>
      </c>
      <c r="AG65" s="108" t="str">
        <f>IF(ISNA(VLOOKUP($R65&amp;AG$2,$K$3:$N$4001,3,0)),"",VLOOKUP($R65&amp;AG$2,$K$3:$N$4001,3,0))</f>
        <v/>
      </c>
      <c r="AH65" s="109" t="str">
        <f>IF(ISNA(VLOOKUP($R65&amp;AG$2,$K$3:$N$4001,4,0)),"",VLOOKUP($R65&amp;AG$2,$K$3:$N$4001,4,0))</f>
        <v/>
      </c>
      <c r="AI65" s="108" t="str">
        <f>IF(ISNA(VLOOKUP($R65&amp;AI$2,$K$3:$N$4001,3,0)),"",VLOOKUP($R65&amp;AI$2,$K$3:$N$4001,3,0))</f>
        <v/>
      </c>
      <c r="AJ65" s="109" t="str">
        <f>IF(ISNA(VLOOKUP($R65&amp;AI$2,$K$3:$N$4001,4,0)),"",VLOOKUP($R65&amp;AI$2,$K$3:$N$4001,4,0))</f>
        <v/>
      </c>
      <c r="AK65" s="108" t="str">
        <f>IF(ISNA(VLOOKUP($R65&amp;AK$2,$K$3:$N$4001,3,0)),"",VLOOKUP($R65&amp;AK$2,$K$3:$N$4001,3,0))</f>
        <v/>
      </c>
      <c r="AL65" s="109" t="str">
        <f>IF(ISNA(VLOOKUP($R65&amp;AK$2,$K$3:$N$4001,4,0)),"",VLOOKUP($R65&amp;AK$2,$K$3:$N$4001,4,0))</f>
        <v/>
      </c>
    </row>
    <row r="66" spans="3:38" x14ac:dyDescent="0.2">
      <c r="C66" s="96" t="str">
        <f t="shared" si="0"/>
        <v>AGK3</v>
      </c>
      <c r="D66" s="73" t="s">
        <v>70</v>
      </c>
      <c r="E66" s="100">
        <v>40260</v>
      </c>
      <c r="F66" s="101">
        <v>0.28000000000000003</v>
      </c>
      <c r="G66" s="96">
        <f t="shared" si="1"/>
        <v>3</v>
      </c>
      <c r="I66" s="96"/>
      <c r="K66" t="str">
        <f t="shared" si="2"/>
        <v>AGK3</v>
      </c>
      <c r="L66" s="73" t="s">
        <v>70</v>
      </c>
      <c r="M66" s="72">
        <v>40260</v>
      </c>
      <c r="N66" s="84">
        <v>0.28000000000000003</v>
      </c>
      <c r="O66" s="96">
        <f t="shared" si="3"/>
        <v>3</v>
      </c>
      <c r="P66" s="73"/>
      <c r="Q66" s="96"/>
      <c r="R66" s="96" t="s">
        <v>93</v>
      </c>
      <c r="S66" s="106">
        <f>IF(ISNA(VLOOKUP($R66&amp;S$2,$C$3:$F$4001,3,0)),"",VLOOKUP($R66&amp;S$2,$C$3:$F$4001,3,0))</f>
        <v>39988</v>
      </c>
      <c r="T66" s="107">
        <f>IF(ISNA(VLOOKUP($R66&amp;S$2,$C$3:$F$4001,4,0)),"",VLOOKUP($R66&amp;S$2,$C$3:$F$4001,4,0))</f>
        <v>6.5000000000000002E-2</v>
      </c>
      <c r="U66" s="106">
        <f>IF(ISNA(VLOOKUP($R66&amp;U$2,$C$3:$F$4001,3,0)),"",VLOOKUP($R66&amp;U$2,$C$3:$F$4001,3,0))</f>
        <v>40170</v>
      </c>
      <c r="V66" s="107">
        <f>IF(ISNA(VLOOKUP($R66&amp;U$2,$C$3:$F$4001,4,0)),"",VLOOKUP($R66&amp;U$2,$C$3:$F$4001,4,0))</f>
        <v>0.04</v>
      </c>
      <c r="W66" s="106">
        <f>IF(ISNA(VLOOKUP($R66&amp;W$2,$C$3:$F$4001,3,0)),"",VLOOKUP($R66&amp;W$2,$C$3:$F$4001,3,0))</f>
        <v>40353</v>
      </c>
      <c r="X66" s="107">
        <f>IF(ISNA(VLOOKUP($R66&amp;W$2,$C$3:$F$4001,4,0)),"",VLOOKUP($R66&amp;W$2,$C$3:$F$4001,4,0))</f>
        <v>0.06</v>
      </c>
      <c r="Y66" s="106">
        <f>IF(ISNA(VLOOKUP($R66&amp;Y$2,$C$3:$F$4001,3,0)),"",VLOOKUP($R66&amp;Y$2,$C$3:$F$4001,3,0))</f>
        <v>40535</v>
      </c>
      <c r="Z66" s="107">
        <f>IF(ISNA(VLOOKUP($R66&amp;Y$2,$C$3:$F$4001,4,0)),"",VLOOKUP($R66&amp;Y$2,$C$3:$F$4001,4,0))</f>
        <v>4.2000000000000003E-2</v>
      </c>
      <c r="AA66" s="106">
        <f>IF(ISNA(VLOOKUP($R66&amp;AA$2,$C$3:$F$4001,3,0)),"",VLOOKUP($R66&amp;AA$2,$C$3:$F$4001,3,0))</f>
        <v>40718</v>
      </c>
      <c r="AB66" s="107">
        <f>IF(ISNA(VLOOKUP($R66&amp;AA$2,$C$3:$F$4001,4,0)),"",VLOOKUP($R66&amp;AA$2,$C$3:$F$4001,4,0))</f>
        <v>6.3E-2</v>
      </c>
      <c r="AC66" s="106">
        <f>IF(ISNA(VLOOKUP($R66&amp;AC$2,$C$3:$F$4001,3,0)),"",VLOOKUP($R66&amp;AC$2,$C$3:$F$4001,3,0))</f>
        <v>40899</v>
      </c>
      <c r="AD66" s="107">
        <f>IF(ISNA(VLOOKUP($R66&amp;AC$2,$C$3:$F$4001,4,0)),"",VLOOKUP($R66&amp;AC$2,$C$3:$F$4001,4,0))</f>
        <v>4.4999999999999998E-2</v>
      </c>
      <c r="AE66" s="106">
        <f>IF(ISNA(VLOOKUP($R66&amp;AE$2,$C$3:$F$4001,3,0)),"",VLOOKUP($R66&amp;AE$2,$C$3:$F$4001,3,0))</f>
        <v>41085</v>
      </c>
      <c r="AF66" s="107">
        <f>IF(ISNA(VLOOKUP($R66&amp;AE$2,$C$3:$F$4001,4,0)),"",VLOOKUP($R66&amp;AE$2,$C$3:$F$4001,4,0))</f>
        <v>6.5000000000000002E-2</v>
      </c>
      <c r="AG66" s="106">
        <f>IF(ISNA(VLOOKUP($R66&amp;AG$2,$C$3:$F$4001,3,0)),"",VLOOKUP($R66&amp;AG$2,$C$3:$F$4001,3,0))</f>
        <v>41268</v>
      </c>
      <c r="AH66" s="107">
        <f>IF(ISNA(VLOOKUP($R66&amp;AG$2,$C$3:$F$4001,4,0)),"",VLOOKUP($R66&amp;AG$2,$C$3:$F$4001,4,0))</f>
        <v>5.5199999999999999E-2</v>
      </c>
      <c r="AI66" s="106">
        <f>IF(ISNA(VLOOKUP($R66&amp;AI$2,$C$3:$F$4001,3,0)),"",VLOOKUP($R66&amp;AI$2,$C$3:$F$4001,3,0))</f>
        <v>41450</v>
      </c>
      <c r="AJ66" s="107">
        <f>IF(ISNA(VLOOKUP($R66&amp;AI$2,$C$3:$F$4001,4,0)),"",VLOOKUP($R66&amp;AI$2,$C$3:$F$4001,4,0))</f>
        <v>7.980000000000001E-2</v>
      </c>
      <c r="AK66" s="106" t="str">
        <f>IF(ISNA(VLOOKUP($R66&amp;AK$2,$C$3:$F$4001,3,0)),"",VLOOKUP($R66&amp;AK$2,$C$3:$F$4001,3,0))</f>
        <v/>
      </c>
      <c r="AL66" s="107" t="str">
        <f>IF(ISNA(VLOOKUP($R66&amp;AK$2,$C$3:$F$4001,4,0)),"",VLOOKUP($R66&amp;AK$2,$C$3:$F$4001,4,0))</f>
        <v/>
      </c>
    </row>
    <row r="67" spans="3:38" x14ac:dyDescent="0.2">
      <c r="C67" s="96" t="str">
        <f t="shared" ref="C67:C130" si="4">D67&amp;G67</f>
        <v>AGK4</v>
      </c>
      <c r="D67" s="73" t="s">
        <v>70</v>
      </c>
      <c r="E67" s="100">
        <v>40421</v>
      </c>
      <c r="F67" s="101">
        <v>0.28999999999999998</v>
      </c>
      <c r="G67" s="96">
        <f t="shared" ref="G67:G130" si="5">IF(D67&lt;&gt;D66,1,G66+1)</f>
        <v>4</v>
      </c>
      <c r="I67" s="96"/>
      <c r="K67" t="str">
        <f t="shared" ref="K67:K130" si="6">L67&amp;O67</f>
        <v>AGK4</v>
      </c>
      <c r="L67" s="73" t="s">
        <v>70</v>
      </c>
      <c r="M67" s="72">
        <v>40421</v>
      </c>
      <c r="N67" s="84">
        <v>0.28999999999999998</v>
      </c>
      <c r="O67" s="96">
        <f t="shared" ref="O67:O130" si="7">IF(L67&lt;&gt;L66,1,O66+1)</f>
        <v>4</v>
      </c>
      <c r="P67" s="73"/>
      <c r="Q67" s="96"/>
      <c r="R67" s="96" t="str">
        <f>R66</f>
        <v>BJT</v>
      </c>
      <c r="S67" s="108">
        <f>IF(ISNA(VLOOKUP($R67&amp;S$2,$K$3:$N$4001,3,0)),"",VLOOKUP($R67&amp;S$2,$K$3:$N$4001,3,0))</f>
        <v>39988</v>
      </c>
      <c r="T67" s="109">
        <f>IF(ISNA(VLOOKUP($R67&amp;S$2,$K$3:$N$4001,4,0)),"",VLOOKUP($R67&amp;S$2,$K$3:$N$4001,4,0))</f>
        <v>6.5000000000000002E-2</v>
      </c>
      <c r="U67" s="108">
        <f>IF(ISNA(VLOOKUP($R67&amp;U$2,$K$3:$N$4001,3,0)),"",VLOOKUP($R67&amp;U$2,$K$3:$N$4001,3,0))</f>
        <v>40170</v>
      </c>
      <c r="V67" s="109">
        <f>IF(ISNA(VLOOKUP($R67&amp;U$2,$K$3:$N$4001,4,0)),"",VLOOKUP($R67&amp;U$2,$K$3:$N$4001,4,0))</f>
        <v>0.04</v>
      </c>
      <c r="W67" s="108">
        <f>IF(ISNA(VLOOKUP($R67&amp;W$2,$K$3:$N$4001,3,0)),"",VLOOKUP($R67&amp;W$2,$K$3:$N$4001,3,0))</f>
        <v>40353</v>
      </c>
      <c r="X67" s="109">
        <f>IF(ISNA(VLOOKUP($R67&amp;W$2,$K$3:$N$4001,4,0)),"",VLOOKUP($R67&amp;W$2,$K$3:$N$4001,4,0))</f>
        <v>0.06</v>
      </c>
      <c r="Y67" s="108">
        <f>IF(ISNA(VLOOKUP($R67&amp;Y$2,$K$3:$N$4001,3,0)),"",VLOOKUP($R67&amp;Y$2,$K$3:$N$4001,3,0))</f>
        <v>40535</v>
      </c>
      <c r="Z67" s="109">
        <f>IF(ISNA(VLOOKUP($R67&amp;Y$2,$K$3:$N$4001,4,0)),"",VLOOKUP($R67&amp;Y$2,$K$3:$N$4001,4,0))</f>
        <v>4.2000000000000003E-2</v>
      </c>
      <c r="AA67" s="108">
        <f>IF(ISNA(VLOOKUP($R67&amp;AA$2,$K$3:$N$4001,3,0)),"",VLOOKUP($R67&amp;AA$2,$K$3:$N$4001,3,0))</f>
        <v>40718</v>
      </c>
      <c r="AB67" s="109">
        <f>IF(ISNA(VLOOKUP($R67&amp;AA$2,$K$3:$N$4001,4,0)),"",VLOOKUP($R67&amp;AA$2,$K$3:$N$4001,4,0))</f>
        <v>6.3E-2</v>
      </c>
      <c r="AC67" s="108">
        <f>IF(ISNA(VLOOKUP($R67&amp;AC$2,$K$3:$N$4001,3,0)),"",VLOOKUP($R67&amp;AC$2,$K$3:$N$4001,3,0))</f>
        <v>40899</v>
      </c>
      <c r="AD67" s="109">
        <f>IF(ISNA(VLOOKUP($R67&amp;AC$2,$K$3:$N$4001,4,0)),"",VLOOKUP($R67&amp;AC$2,$K$3:$N$4001,4,0))</f>
        <v>4.4999999999999998E-2</v>
      </c>
      <c r="AE67" s="108">
        <f>IF(ISNA(VLOOKUP($R67&amp;AE$2,$K$3:$N$4001,3,0)),"",VLOOKUP($R67&amp;AE$2,$K$3:$N$4001,3,0))</f>
        <v>41085</v>
      </c>
      <c r="AF67" s="109">
        <f>IF(ISNA(VLOOKUP($R67&amp;AE$2,$K$3:$N$4001,4,0)),"",VLOOKUP($R67&amp;AE$2,$K$3:$N$4001,4,0))</f>
        <v>6.5000000000000002E-2</v>
      </c>
      <c r="AG67" s="108">
        <f>IF(ISNA(VLOOKUP($R67&amp;AG$2,$K$3:$N$4001,3,0)),"",VLOOKUP($R67&amp;AG$2,$K$3:$N$4001,3,0))</f>
        <v>41268</v>
      </c>
      <c r="AH67" s="109">
        <f>IF(ISNA(VLOOKUP($R67&amp;AG$2,$K$3:$N$4001,4,0)),"",VLOOKUP($R67&amp;AG$2,$K$3:$N$4001,4,0))</f>
        <v>5.5199999999999999E-2</v>
      </c>
      <c r="AI67" s="108">
        <f>IF(ISNA(VLOOKUP($R67&amp;AI$2,$K$3:$N$4001,3,0)),"",VLOOKUP($R67&amp;AI$2,$K$3:$N$4001,3,0))</f>
        <v>41450</v>
      </c>
      <c r="AJ67" s="109">
        <f>IF(ISNA(VLOOKUP($R67&amp;AI$2,$K$3:$N$4001,4,0)),"",VLOOKUP($R67&amp;AI$2,$K$3:$N$4001,4,0))</f>
        <v>7.980000000000001E-2</v>
      </c>
      <c r="AK67" s="108" t="str">
        <f>IF(ISNA(VLOOKUP($R67&amp;AK$2,$K$3:$N$4001,3,0)),"",VLOOKUP($R67&amp;AK$2,$K$3:$N$4001,3,0))</f>
        <v/>
      </c>
      <c r="AL67" s="109" t="str">
        <f>IF(ISNA(VLOOKUP($R67&amp;AK$2,$K$3:$N$4001,4,0)),"",VLOOKUP($R67&amp;AK$2,$K$3:$N$4001,4,0))</f>
        <v/>
      </c>
    </row>
    <row r="68" spans="3:38" x14ac:dyDescent="0.2">
      <c r="C68" s="96" t="str">
        <f t="shared" si="4"/>
        <v>AGK5</v>
      </c>
      <c r="D68" s="73" t="s">
        <v>70</v>
      </c>
      <c r="E68" s="100">
        <v>40625</v>
      </c>
      <c r="F68" s="101">
        <v>0.3</v>
      </c>
      <c r="G68" s="96">
        <f t="shared" si="5"/>
        <v>5</v>
      </c>
      <c r="I68" s="96"/>
      <c r="K68" t="str">
        <f t="shared" si="6"/>
        <v>AGK5</v>
      </c>
      <c r="L68" s="73" t="s">
        <v>70</v>
      </c>
      <c r="M68" s="72">
        <v>40625</v>
      </c>
      <c r="N68" s="84">
        <v>0.3</v>
      </c>
      <c r="O68" s="96">
        <f t="shared" si="7"/>
        <v>5</v>
      </c>
      <c r="P68" s="73"/>
      <c r="Q68" s="96"/>
      <c r="R68" s="96" t="s">
        <v>264</v>
      </c>
      <c r="S68" s="106" t="str">
        <f>IF(ISNA(VLOOKUP($R68&amp;S$2,$C$3:$F$4001,3,0)),"",VLOOKUP($R68&amp;S$2,$C$3:$F$4001,3,0))</f>
        <v/>
      </c>
      <c r="T68" s="107" t="str">
        <f>IF(ISNA(VLOOKUP($R68&amp;S$2,$C$3:$F$4001,4,0)),"",VLOOKUP($R68&amp;S$2,$C$3:$F$4001,4,0))</f>
        <v/>
      </c>
      <c r="U68" s="106" t="str">
        <f>IF(ISNA(VLOOKUP($R68&amp;U$2,$C$3:$F$4001,3,0)),"",VLOOKUP($R68&amp;U$2,$C$3:$F$4001,3,0))</f>
        <v/>
      </c>
      <c r="V68" s="107" t="str">
        <f>IF(ISNA(VLOOKUP($R68&amp;U$2,$C$3:$F$4001,4,0)),"",VLOOKUP($R68&amp;U$2,$C$3:$F$4001,4,0))</f>
        <v/>
      </c>
      <c r="W68" s="106" t="str">
        <f>IF(ISNA(VLOOKUP($R68&amp;W$2,$C$3:$F$4001,3,0)),"",VLOOKUP($R68&amp;W$2,$C$3:$F$4001,3,0))</f>
        <v/>
      </c>
      <c r="X68" s="107" t="str">
        <f>IF(ISNA(VLOOKUP($R68&amp;W$2,$C$3:$F$4001,4,0)),"",VLOOKUP($R68&amp;W$2,$C$3:$F$4001,4,0))</f>
        <v/>
      </c>
      <c r="Y68" s="106" t="str">
        <f>IF(ISNA(VLOOKUP($R68&amp;Y$2,$C$3:$F$4001,3,0)),"",VLOOKUP($R68&amp;Y$2,$C$3:$F$4001,3,0))</f>
        <v/>
      </c>
      <c r="Z68" s="107" t="str">
        <f>IF(ISNA(VLOOKUP($R68&amp;Y$2,$C$3:$F$4001,4,0)),"",VLOOKUP($R68&amp;Y$2,$C$3:$F$4001,4,0))</f>
        <v/>
      </c>
      <c r="AA68" s="106" t="str">
        <f>IF(ISNA(VLOOKUP($R68&amp;AA$2,$C$3:$F$4001,3,0)),"",VLOOKUP($R68&amp;AA$2,$C$3:$F$4001,3,0))</f>
        <v/>
      </c>
      <c r="AB68" s="107" t="str">
        <f>IF(ISNA(VLOOKUP($R68&amp;AA$2,$C$3:$F$4001,4,0)),"",VLOOKUP($R68&amp;AA$2,$C$3:$F$4001,4,0))</f>
        <v/>
      </c>
      <c r="AC68" s="106" t="str">
        <f>IF(ISNA(VLOOKUP($R68&amp;AC$2,$C$3:$F$4001,3,0)),"",VLOOKUP($R68&amp;AC$2,$C$3:$F$4001,3,0))</f>
        <v/>
      </c>
      <c r="AD68" s="107" t="str">
        <f>IF(ISNA(VLOOKUP($R68&amp;AC$2,$C$3:$F$4001,4,0)),"",VLOOKUP($R68&amp;AC$2,$C$3:$F$4001,4,0))</f>
        <v/>
      </c>
      <c r="AE68" s="106" t="str">
        <f>IF(ISNA(VLOOKUP($R68&amp;AE$2,$C$3:$F$4001,3,0)),"",VLOOKUP($R68&amp;AE$2,$C$3:$F$4001,3,0))</f>
        <v/>
      </c>
      <c r="AF68" s="107" t="str">
        <f>IF(ISNA(VLOOKUP($R68&amp;AE$2,$C$3:$F$4001,4,0)),"",VLOOKUP($R68&amp;AE$2,$C$3:$F$4001,4,0))</f>
        <v/>
      </c>
      <c r="AG68" s="106" t="str">
        <f>IF(ISNA(VLOOKUP($R68&amp;AG$2,$C$3:$F$4001,3,0)),"",VLOOKUP($R68&amp;AG$2,$C$3:$F$4001,3,0))</f>
        <v/>
      </c>
      <c r="AH68" s="107" t="str">
        <f>IF(ISNA(VLOOKUP($R68&amp;AG$2,$C$3:$F$4001,4,0)),"",VLOOKUP($R68&amp;AG$2,$C$3:$F$4001,4,0))</f>
        <v/>
      </c>
      <c r="AI68" s="106" t="str">
        <f>IF(ISNA(VLOOKUP($R68&amp;AI$2,$C$3:$F$4001,3,0)),"",VLOOKUP($R68&amp;AI$2,$C$3:$F$4001,3,0))</f>
        <v/>
      </c>
      <c r="AJ68" s="107" t="str">
        <f>IF(ISNA(VLOOKUP($R68&amp;AI$2,$C$3:$F$4001,4,0)),"",VLOOKUP($R68&amp;AI$2,$C$3:$F$4001,4,0))</f>
        <v/>
      </c>
      <c r="AK68" s="106" t="str">
        <f>IF(ISNA(VLOOKUP($R68&amp;AK$2,$C$3:$F$4001,3,0)),"",VLOOKUP($R68&amp;AK$2,$C$3:$F$4001,3,0))</f>
        <v/>
      </c>
      <c r="AL68" s="107" t="str">
        <f>IF(ISNA(VLOOKUP($R68&amp;AK$2,$C$3:$F$4001,4,0)),"",VLOOKUP($R68&amp;AK$2,$C$3:$F$4001,4,0))</f>
        <v/>
      </c>
    </row>
    <row r="69" spans="3:38" x14ac:dyDescent="0.2">
      <c r="C69" s="96" t="str">
        <f t="shared" si="4"/>
        <v>AGK6</v>
      </c>
      <c r="D69" s="73" t="s">
        <v>70</v>
      </c>
      <c r="E69" s="100">
        <v>40786</v>
      </c>
      <c r="F69" s="101">
        <v>0.31</v>
      </c>
      <c r="G69" s="96">
        <f t="shared" si="5"/>
        <v>6</v>
      </c>
      <c r="I69" s="96"/>
      <c r="K69" t="str">
        <f t="shared" si="6"/>
        <v>AGK6</v>
      </c>
      <c r="L69" s="73" t="s">
        <v>70</v>
      </c>
      <c r="M69" s="72">
        <v>40786</v>
      </c>
      <c r="N69" s="84">
        <v>0.31</v>
      </c>
      <c r="O69" s="96">
        <f t="shared" si="7"/>
        <v>6</v>
      </c>
      <c r="P69" s="73"/>
      <c r="Q69" s="96"/>
      <c r="R69" s="96" t="str">
        <f>R68</f>
        <v>BNB</v>
      </c>
      <c r="S69" s="108" t="str">
        <f>IF(ISNA(VLOOKUP($R69&amp;S$2,$K$3:$N$4001,3,0)),"",VLOOKUP($R69&amp;S$2,$K$3:$N$4001,3,0))</f>
        <v/>
      </c>
      <c r="T69" s="109" t="str">
        <f>IF(ISNA(VLOOKUP($R69&amp;S$2,$K$3:$N$4001,4,0)),"",VLOOKUP($R69&amp;S$2,$K$3:$N$4001,4,0))</f>
        <v/>
      </c>
      <c r="U69" s="108" t="str">
        <f>IF(ISNA(VLOOKUP($R69&amp;U$2,$K$3:$N$4001,3,0)),"",VLOOKUP($R69&amp;U$2,$K$3:$N$4001,3,0))</f>
        <v/>
      </c>
      <c r="V69" s="109" t="str">
        <f>IF(ISNA(VLOOKUP($R69&amp;U$2,$K$3:$N$4001,4,0)),"",VLOOKUP($R69&amp;U$2,$K$3:$N$4001,4,0))</f>
        <v/>
      </c>
      <c r="W69" s="108" t="str">
        <f>IF(ISNA(VLOOKUP($R69&amp;W$2,$K$3:$N$4001,3,0)),"",VLOOKUP($R69&amp;W$2,$K$3:$N$4001,3,0))</f>
        <v/>
      </c>
      <c r="X69" s="109" t="str">
        <f>IF(ISNA(VLOOKUP($R69&amp;W$2,$K$3:$N$4001,4,0)),"",VLOOKUP($R69&amp;W$2,$K$3:$N$4001,4,0))</f>
        <v/>
      </c>
      <c r="Y69" s="108" t="str">
        <f>IF(ISNA(VLOOKUP($R69&amp;Y$2,$K$3:$N$4001,3,0)),"",VLOOKUP($R69&amp;Y$2,$K$3:$N$4001,3,0))</f>
        <v/>
      </c>
      <c r="Z69" s="109" t="str">
        <f>IF(ISNA(VLOOKUP($R69&amp;Y$2,$K$3:$N$4001,4,0)),"",VLOOKUP($R69&amp;Y$2,$K$3:$N$4001,4,0))</f>
        <v/>
      </c>
      <c r="AA69" s="108" t="str">
        <f>IF(ISNA(VLOOKUP($R69&amp;AA$2,$K$3:$N$4001,3,0)),"",VLOOKUP($R69&amp;AA$2,$K$3:$N$4001,3,0))</f>
        <v/>
      </c>
      <c r="AB69" s="109" t="str">
        <f>IF(ISNA(VLOOKUP($R69&amp;AA$2,$K$3:$N$4001,4,0)),"",VLOOKUP($R69&amp;AA$2,$K$3:$N$4001,4,0))</f>
        <v/>
      </c>
      <c r="AC69" s="108" t="str">
        <f>IF(ISNA(VLOOKUP($R69&amp;AC$2,$K$3:$N$4001,3,0)),"",VLOOKUP($R69&amp;AC$2,$K$3:$N$4001,3,0))</f>
        <v/>
      </c>
      <c r="AD69" s="109" t="str">
        <f>IF(ISNA(VLOOKUP($R69&amp;AC$2,$K$3:$N$4001,4,0)),"",VLOOKUP($R69&amp;AC$2,$K$3:$N$4001,4,0))</f>
        <v/>
      </c>
      <c r="AE69" s="108" t="str">
        <f>IF(ISNA(VLOOKUP($R69&amp;AE$2,$K$3:$N$4001,3,0)),"",VLOOKUP($R69&amp;AE$2,$K$3:$N$4001,3,0))</f>
        <v/>
      </c>
      <c r="AF69" s="109" t="str">
        <f>IF(ISNA(VLOOKUP($R69&amp;AE$2,$K$3:$N$4001,4,0)),"",VLOOKUP($R69&amp;AE$2,$K$3:$N$4001,4,0))</f>
        <v/>
      </c>
      <c r="AG69" s="108" t="str">
        <f>IF(ISNA(VLOOKUP($R69&amp;AG$2,$K$3:$N$4001,3,0)),"",VLOOKUP($R69&amp;AG$2,$K$3:$N$4001,3,0))</f>
        <v/>
      </c>
      <c r="AH69" s="109" t="str">
        <f>IF(ISNA(VLOOKUP($R69&amp;AG$2,$K$3:$N$4001,4,0)),"",VLOOKUP($R69&amp;AG$2,$K$3:$N$4001,4,0))</f>
        <v/>
      </c>
      <c r="AI69" s="108" t="str">
        <f>IF(ISNA(VLOOKUP($R69&amp;AI$2,$K$3:$N$4001,3,0)),"",VLOOKUP($R69&amp;AI$2,$K$3:$N$4001,3,0))</f>
        <v/>
      </c>
      <c r="AJ69" s="109" t="str">
        <f>IF(ISNA(VLOOKUP($R69&amp;AI$2,$K$3:$N$4001,4,0)),"",VLOOKUP($R69&amp;AI$2,$K$3:$N$4001,4,0))</f>
        <v/>
      </c>
      <c r="AK69" s="108" t="str">
        <f>IF(ISNA(VLOOKUP($R69&amp;AK$2,$K$3:$N$4001,3,0)),"",VLOOKUP($R69&amp;AK$2,$K$3:$N$4001,3,0))</f>
        <v/>
      </c>
      <c r="AL69" s="109" t="str">
        <f>IF(ISNA(VLOOKUP($R69&amp;AK$2,$K$3:$N$4001,4,0)),"",VLOOKUP($R69&amp;AK$2,$K$3:$N$4001,4,0))</f>
        <v/>
      </c>
    </row>
    <row r="70" spans="3:38" x14ac:dyDescent="0.2">
      <c r="C70" s="96" t="str">
        <f t="shared" si="4"/>
        <v>AGK7</v>
      </c>
      <c r="D70" s="73" t="s">
        <v>70</v>
      </c>
      <c r="E70" s="100">
        <v>40991</v>
      </c>
      <c r="F70" s="101">
        <v>0.32</v>
      </c>
      <c r="G70" s="96">
        <f t="shared" si="5"/>
        <v>7</v>
      </c>
      <c r="I70" s="96"/>
      <c r="K70" t="str">
        <f t="shared" si="6"/>
        <v>AGK7</v>
      </c>
      <c r="L70" s="73" t="s">
        <v>70</v>
      </c>
      <c r="M70" s="72">
        <v>40991</v>
      </c>
      <c r="N70" s="84">
        <v>0.32</v>
      </c>
      <c r="O70" s="96">
        <f t="shared" si="7"/>
        <v>7</v>
      </c>
      <c r="P70" s="73"/>
      <c r="Q70" s="96"/>
      <c r="R70" s="96" t="s">
        <v>89</v>
      </c>
      <c r="S70" s="106">
        <f>IF(ISNA(VLOOKUP($R70&amp;S$2,$C$3:$F$4001,3,0)),"",VLOOKUP($R70&amp;S$2,$C$3:$F$4001,3,0))</f>
        <v>40535</v>
      </c>
      <c r="T70" s="107">
        <f>IF(ISNA(VLOOKUP($R70&amp;S$2,$C$3:$F$4001,4,0)),"",VLOOKUP($R70&amp;S$2,$C$3:$F$4001,4,0))</f>
        <v>1.55E-2</v>
      </c>
      <c r="U70" s="106">
        <f>IF(ISNA(VLOOKUP($R70&amp;U$2,$C$3:$F$4001,3,0)),"",VLOOKUP($R70&amp;U$2,$C$3:$F$4001,3,0))</f>
        <v>40718</v>
      </c>
      <c r="V70" s="107">
        <f>IF(ISNA(VLOOKUP($R70&amp;U$2,$C$3:$F$4001,4,0)),"",VLOOKUP($R70&amp;U$2,$C$3:$F$4001,4,0))</f>
        <v>1.55E-2</v>
      </c>
      <c r="W70" s="106">
        <f>IF(ISNA(VLOOKUP($R70&amp;W$2,$C$3:$F$4001,3,0)),"",VLOOKUP($R70&amp;W$2,$C$3:$F$4001,3,0))</f>
        <v>40899</v>
      </c>
      <c r="X70" s="107">
        <f>IF(ISNA(VLOOKUP($R70&amp;W$2,$C$3:$F$4001,4,0)),"",VLOOKUP($R70&amp;W$2,$C$3:$F$4001,4,0))</f>
        <v>1.9E-2</v>
      </c>
      <c r="Y70" s="106">
        <f>IF(ISNA(VLOOKUP($R70&amp;Y$2,$C$3:$F$4001,3,0)),"",VLOOKUP($R70&amp;Y$2,$C$3:$F$4001,3,0))</f>
        <v>41085</v>
      </c>
      <c r="Z70" s="107">
        <f>IF(ISNA(VLOOKUP($R70&amp;Y$2,$C$3:$F$4001,4,0)),"",VLOOKUP($R70&amp;Y$2,$C$3:$F$4001,4,0))</f>
        <v>1.9E-2</v>
      </c>
      <c r="AA70" s="106">
        <f>IF(ISNA(VLOOKUP($R70&amp;AA$2,$C$3:$F$4001,3,0)),"",VLOOKUP($R70&amp;AA$2,$C$3:$F$4001,3,0))</f>
        <v>41268</v>
      </c>
      <c r="AB70" s="107">
        <f>IF(ISNA(VLOOKUP($R70&amp;AA$2,$C$3:$F$4001,4,0)),"",VLOOKUP($R70&amp;AA$2,$C$3:$F$4001,4,0))</f>
        <v>5.2000000000000005E-2</v>
      </c>
      <c r="AC70" s="106">
        <f>IF(ISNA(VLOOKUP($R70&amp;AC$2,$C$3:$F$4001,3,0)),"",VLOOKUP($R70&amp;AC$2,$C$3:$F$4001,3,0))</f>
        <v>41450</v>
      </c>
      <c r="AD70" s="107">
        <f>IF(ISNA(VLOOKUP($R70&amp;AC$2,$C$3:$F$4001,4,0)),"",VLOOKUP($R70&amp;AC$2,$C$3:$F$4001,4,0))</f>
        <v>5.2000000000000005E-2</v>
      </c>
      <c r="AE70" s="106" t="str">
        <f>IF(ISNA(VLOOKUP($R70&amp;AE$2,$C$3:$F$4001,3,0)),"",VLOOKUP($R70&amp;AE$2,$C$3:$F$4001,3,0))</f>
        <v/>
      </c>
      <c r="AF70" s="107" t="str">
        <f>IF(ISNA(VLOOKUP($R70&amp;AE$2,$C$3:$F$4001,4,0)),"",VLOOKUP($R70&amp;AE$2,$C$3:$F$4001,4,0))</f>
        <v/>
      </c>
      <c r="AG70" s="106" t="str">
        <f>IF(ISNA(VLOOKUP($R70&amp;AG$2,$C$3:$F$4001,3,0)),"",VLOOKUP($R70&amp;AG$2,$C$3:$F$4001,3,0))</f>
        <v/>
      </c>
      <c r="AH70" s="107" t="str">
        <f>IF(ISNA(VLOOKUP($R70&amp;AG$2,$C$3:$F$4001,4,0)),"",VLOOKUP($R70&amp;AG$2,$C$3:$F$4001,4,0))</f>
        <v/>
      </c>
      <c r="AI70" s="106" t="str">
        <f>IF(ISNA(VLOOKUP($R70&amp;AI$2,$C$3:$F$4001,3,0)),"",VLOOKUP($R70&amp;AI$2,$C$3:$F$4001,3,0))</f>
        <v/>
      </c>
      <c r="AJ70" s="107" t="str">
        <f>IF(ISNA(VLOOKUP($R70&amp;AI$2,$C$3:$F$4001,4,0)),"",VLOOKUP($R70&amp;AI$2,$C$3:$F$4001,4,0))</f>
        <v/>
      </c>
      <c r="AK70" s="106" t="str">
        <f>IF(ISNA(VLOOKUP($R70&amp;AK$2,$C$3:$F$4001,3,0)),"",VLOOKUP($R70&amp;AK$2,$C$3:$F$4001,3,0))</f>
        <v/>
      </c>
      <c r="AL70" s="107" t="str">
        <f>IF(ISNA(VLOOKUP($R70&amp;AK$2,$C$3:$F$4001,4,0)),"",VLOOKUP($R70&amp;AK$2,$C$3:$F$4001,4,0))</f>
        <v/>
      </c>
    </row>
    <row r="71" spans="3:38" x14ac:dyDescent="0.2">
      <c r="C71" s="96" t="str">
        <f t="shared" si="4"/>
        <v>AGK8</v>
      </c>
      <c r="D71" s="73" t="s">
        <v>70</v>
      </c>
      <c r="E71" s="100">
        <v>41152</v>
      </c>
      <c r="F71" s="101">
        <v>0.33</v>
      </c>
      <c r="G71" s="96">
        <f t="shared" si="5"/>
        <v>8</v>
      </c>
      <c r="I71" s="96"/>
      <c r="K71" t="str">
        <f t="shared" si="6"/>
        <v>AGK8</v>
      </c>
      <c r="L71" s="73" t="s">
        <v>70</v>
      </c>
      <c r="M71" s="72">
        <v>41152</v>
      </c>
      <c r="N71" s="84">
        <v>0.33</v>
      </c>
      <c r="O71" s="96">
        <f t="shared" si="7"/>
        <v>8</v>
      </c>
      <c r="P71" s="73"/>
      <c r="Q71" s="96"/>
      <c r="R71" s="96" t="str">
        <f>R70</f>
        <v>BBP</v>
      </c>
      <c r="S71" s="108">
        <f>IF(ISNA(VLOOKUP($R71&amp;S$2,$K$3:$N$4001,3,0)),"",VLOOKUP($R71&amp;S$2,$K$3:$N$4001,3,0))</f>
        <v>40535</v>
      </c>
      <c r="T71" s="109">
        <f>IF(ISNA(VLOOKUP($R71&amp;S$2,$K$3:$N$4001,4,0)),"",VLOOKUP($R71&amp;S$2,$K$3:$N$4001,4,0))</f>
        <v>1.55E-2</v>
      </c>
      <c r="U71" s="108">
        <f>IF(ISNA(VLOOKUP($R71&amp;U$2,$K$3:$N$4001,3,0)),"",VLOOKUP($R71&amp;U$2,$K$3:$N$4001,3,0))</f>
        <v>40718</v>
      </c>
      <c r="V71" s="109">
        <f>IF(ISNA(VLOOKUP($R71&amp;U$2,$K$3:$N$4001,4,0)),"",VLOOKUP($R71&amp;U$2,$K$3:$N$4001,4,0))</f>
        <v>1.55E-2</v>
      </c>
      <c r="W71" s="108">
        <f>IF(ISNA(VLOOKUP($R71&amp;W$2,$K$3:$N$4001,3,0)),"",VLOOKUP($R71&amp;W$2,$K$3:$N$4001,3,0))</f>
        <v>40899</v>
      </c>
      <c r="X71" s="109">
        <f>IF(ISNA(VLOOKUP($R71&amp;W$2,$K$3:$N$4001,4,0)),"",VLOOKUP($R71&amp;W$2,$K$3:$N$4001,4,0))</f>
        <v>1.9E-2</v>
      </c>
      <c r="Y71" s="108">
        <f>IF(ISNA(VLOOKUP($R71&amp;Y$2,$K$3:$N$4001,3,0)),"",VLOOKUP($R71&amp;Y$2,$K$3:$N$4001,3,0))</f>
        <v>41085</v>
      </c>
      <c r="Z71" s="109">
        <f>IF(ISNA(VLOOKUP($R71&amp;Y$2,$K$3:$N$4001,4,0)),"",VLOOKUP($R71&amp;Y$2,$K$3:$N$4001,4,0))</f>
        <v>1.9E-2</v>
      </c>
      <c r="AA71" s="108">
        <f>IF(ISNA(VLOOKUP($R71&amp;AA$2,$K$3:$N$4001,3,0)),"",VLOOKUP($R71&amp;AA$2,$K$3:$N$4001,3,0))</f>
        <v>41268</v>
      </c>
      <c r="AB71" s="109">
        <f>IF(ISNA(VLOOKUP($R71&amp;AA$2,$K$3:$N$4001,4,0)),"",VLOOKUP($R71&amp;AA$2,$K$3:$N$4001,4,0))</f>
        <v>5.2000000000000005E-2</v>
      </c>
      <c r="AC71" s="108">
        <f>IF(ISNA(VLOOKUP($R71&amp;AC$2,$K$3:$N$4001,3,0)),"",VLOOKUP($R71&amp;AC$2,$K$3:$N$4001,3,0))</f>
        <v>41450</v>
      </c>
      <c r="AD71" s="109">
        <f>IF(ISNA(VLOOKUP($R71&amp;AC$2,$K$3:$N$4001,4,0)),"",VLOOKUP($R71&amp;AC$2,$K$3:$N$4001,4,0))</f>
        <v>5.2000000000000005E-2</v>
      </c>
      <c r="AE71" s="108" t="str">
        <f>IF(ISNA(VLOOKUP($R71&amp;AE$2,$K$3:$N$4001,3,0)),"",VLOOKUP($R71&amp;AE$2,$K$3:$N$4001,3,0))</f>
        <v/>
      </c>
      <c r="AF71" s="109" t="str">
        <f>IF(ISNA(VLOOKUP($R71&amp;AE$2,$K$3:$N$4001,4,0)),"",VLOOKUP($R71&amp;AE$2,$K$3:$N$4001,4,0))</f>
        <v/>
      </c>
      <c r="AG71" s="108" t="str">
        <f>IF(ISNA(VLOOKUP($R71&amp;AG$2,$K$3:$N$4001,3,0)),"",VLOOKUP($R71&amp;AG$2,$K$3:$N$4001,3,0))</f>
        <v/>
      </c>
      <c r="AH71" s="109" t="str">
        <f>IF(ISNA(VLOOKUP($R71&amp;AG$2,$K$3:$N$4001,4,0)),"",VLOOKUP($R71&amp;AG$2,$K$3:$N$4001,4,0))</f>
        <v/>
      </c>
      <c r="AI71" s="108" t="str">
        <f>IF(ISNA(VLOOKUP($R71&amp;AI$2,$K$3:$N$4001,3,0)),"",VLOOKUP($R71&amp;AI$2,$K$3:$N$4001,3,0))</f>
        <v/>
      </c>
      <c r="AJ71" s="109" t="str">
        <f>IF(ISNA(VLOOKUP($R71&amp;AI$2,$K$3:$N$4001,4,0)),"",VLOOKUP($R71&amp;AI$2,$K$3:$N$4001,4,0))</f>
        <v/>
      </c>
      <c r="AK71" s="108" t="str">
        <f>IF(ISNA(VLOOKUP($R71&amp;AK$2,$K$3:$N$4001,3,0)),"",VLOOKUP($R71&amp;AK$2,$K$3:$N$4001,3,0))</f>
        <v/>
      </c>
      <c r="AL71" s="109" t="str">
        <f>IF(ISNA(VLOOKUP($R71&amp;AK$2,$K$3:$N$4001,4,0)),"",VLOOKUP($R71&amp;AK$2,$K$3:$N$4001,4,0))</f>
        <v/>
      </c>
    </row>
    <row r="72" spans="3:38" x14ac:dyDescent="0.2">
      <c r="C72" s="96" t="str">
        <f t="shared" si="4"/>
        <v>AGK9</v>
      </c>
      <c r="D72" s="73" t="s">
        <v>70</v>
      </c>
      <c r="E72" s="100">
        <v>41358</v>
      </c>
      <c r="F72" s="101">
        <v>0.35</v>
      </c>
      <c r="G72" s="96">
        <f t="shared" si="5"/>
        <v>9</v>
      </c>
      <c r="I72" s="96"/>
      <c r="K72" t="str">
        <f t="shared" si="6"/>
        <v>AGK9</v>
      </c>
      <c r="L72" s="73" t="s">
        <v>70</v>
      </c>
      <c r="M72" s="72">
        <v>41358</v>
      </c>
      <c r="N72" s="84">
        <v>0.35</v>
      </c>
      <c r="O72" s="96">
        <f t="shared" si="7"/>
        <v>9</v>
      </c>
      <c r="P72" s="73"/>
      <c r="Q72" s="96"/>
      <c r="R72" s="96" t="s">
        <v>90</v>
      </c>
      <c r="S72" s="106">
        <f>IF(ISNA(VLOOKUP($R72&amp;S$2,$C$3:$F$4001,3,0)),"",VLOOKUP($R72&amp;S$2,$C$3:$F$4001,3,0))</f>
        <v>39988</v>
      </c>
      <c r="T72" s="107">
        <f>IF(ISNA(VLOOKUP($R72&amp;S$2,$C$3:$F$4001,4,0)),"",VLOOKUP($R72&amp;S$2,$C$3:$F$4001,4,0))</f>
        <v>4.4999999999999998E-2</v>
      </c>
      <c r="U72" s="106">
        <f>IF(ISNA(VLOOKUP($R72&amp;U$2,$C$3:$F$4001,3,0)),"",VLOOKUP($R72&amp;U$2,$C$3:$F$4001,3,0))</f>
        <v>40170</v>
      </c>
      <c r="V72" s="107">
        <f>IF(ISNA(VLOOKUP($R72&amp;U$2,$C$3:$F$4001,4,0)),"",VLOOKUP($R72&amp;U$2,$C$3:$F$4001,4,0))</f>
        <v>4.7500000000000001E-2</v>
      </c>
      <c r="W72" s="106">
        <f>IF(ISNA(VLOOKUP($R72&amp;W$2,$C$3:$F$4001,3,0)),"",VLOOKUP($R72&amp;W$2,$C$3:$F$4001,3,0))</f>
        <v>40353</v>
      </c>
      <c r="X72" s="107">
        <f>IF(ISNA(VLOOKUP($R72&amp;W$2,$C$3:$F$4001,4,0)),"",VLOOKUP($R72&amp;W$2,$C$3:$F$4001,4,0))</f>
        <v>4.7500000000000001E-2</v>
      </c>
      <c r="Y72" s="106">
        <f>IF(ISNA(VLOOKUP($R72&amp;Y$2,$C$3:$F$4001,3,0)),"",VLOOKUP($R72&amp;Y$2,$C$3:$F$4001,3,0))</f>
        <v>40535</v>
      </c>
      <c r="Z72" s="107">
        <f>IF(ISNA(VLOOKUP($R72&amp;Y$2,$C$3:$F$4001,4,0)),"",VLOOKUP($R72&amp;Y$2,$C$3:$F$4001,4,0))</f>
        <v>4.9000000000000002E-2</v>
      </c>
      <c r="AA72" s="106">
        <f>IF(ISNA(VLOOKUP($R72&amp;AA$2,$C$3:$F$4001,3,0)),"",VLOOKUP($R72&amp;AA$2,$C$3:$F$4001,3,0))</f>
        <v>40718</v>
      </c>
      <c r="AB72" s="107">
        <f>IF(ISNA(VLOOKUP($R72&amp;AA$2,$C$3:$F$4001,4,0)),"",VLOOKUP($R72&amp;AA$2,$C$3:$F$4001,4,0))</f>
        <v>4.9000000000000002E-2</v>
      </c>
      <c r="AC72" s="106">
        <f>IF(ISNA(VLOOKUP($R72&amp;AC$2,$C$3:$F$4001,3,0)),"",VLOOKUP($R72&amp;AC$2,$C$3:$F$4001,3,0))</f>
        <v>40899</v>
      </c>
      <c r="AD72" s="107">
        <f>IF(ISNA(VLOOKUP($R72&amp;AC$2,$C$3:$F$4001,4,0)),"",VLOOKUP($R72&amp;AC$2,$C$3:$F$4001,4,0))</f>
        <v>5.0999999999999997E-2</v>
      </c>
      <c r="AE72" s="106">
        <f>IF(ISNA(VLOOKUP($R72&amp;AE$2,$C$3:$F$4001,3,0)),"",VLOOKUP($R72&amp;AE$2,$C$3:$F$4001,3,0))</f>
        <v>41085</v>
      </c>
      <c r="AF72" s="107">
        <f>IF(ISNA(VLOOKUP($R72&amp;AE$2,$C$3:$F$4001,4,0)),"",VLOOKUP($R72&amp;AE$2,$C$3:$F$4001,4,0))</f>
        <v>5.0999999999999997E-2</v>
      </c>
      <c r="AG72" s="106">
        <f>IF(ISNA(VLOOKUP($R72&amp;AG$2,$C$3:$F$4001,3,0)),"",VLOOKUP($R72&amp;AG$2,$C$3:$F$4001,3,0))</f>
        <v>41268</v>
      </c>
      <c r="AH72" s="107">
        <f>IF(ISNA(VLOOKUP($R72&amp;AG$2,$C$3:$F$4001,4,0)),"",VLOOKUP($R72&amp;AG$2,$C$3:$F$4001,4,0))</f>
        <v>6.0999999999999999E-2</v>
      </c>
      <c r="AI72" s="106">
        <f>IF(ISNA(VLOOKUP($R72&amp;AI$2,$C$3:$F$4001,3,0)),"",VLOOKUP($R72&amp;AI$2,$C$3:$F$4001,3,0))</f>
        <v>41450</v>
      </c>
      <c r="AJ72" s="107">
        <f>IF(ISNA(VLOOKUP($R72&amp;AI$2,$C$3:$F$4001,4,0)),"",VLOOKUP($R72&amp;AI$2,$C$3:$F$4001,4,0))</f>
        <v>6.0999999999999999E-2</v>
      </c>
      <c r="AK72" s="106" t="str">
        <f>IF(ISNA(VLOOKUP($R72&amp;AK$2,$C$3:$F$4001,3,0)),"",VLOOKUP($R72&amp;AK$2,$C$3:$F$4001,3,0))</f>
        <v/>
      </c>
      <c r="AL72" s="107" t="str">
        <f>IF(ISNA(VLOOKUP($R72&amp;AK$2,$C$3:$F$4001,4,0)),"",VLOOKUP($R72&amp;AK$2,$C$3:$F$4001,4,0))</f>
        <v/>
      </c>
    </row>
    <row r="73" spans="3:38" x14ac:dyDescent="0.2">
      <c r="C73" s="96" t="str">
        <f t="shared" si="4"/>
        <v>AGK10</v>
      </c>
      <c r="D73" s="73" t="s">
        <v>70</v>
      </c>
      <c r="E73" s="100">
        <v>41519</v>
      </c>
      <c r="F73" s="101">
        <v>0.36</v>
      </c>
      <c r="G73" s="96">
        <f t="shared" si="5"/>
        <v>10</v>
      </c>
      <c r="I73" s="96"/>
      <c r="K73" t="str">
        <f t="shared" si="6"/>
        <v>AGK10</v>
      </c>
      <c r="L73" s="73" t="s">
        <v>70</v>
      </c>
      <c r="M73" s="72">
        <v>41519</v>
      </c>
      <c r="N73" s="84">
        <v>0.36</v>
      </c>
      <c r="O73" s="96">
        <f t="shared" si="7"/>
        <v>10</v>
      </c>
      <c r="P73" s="73"/>
      <c r="Q73" s="96"/>
      <c r="R73" s="96" t="str">
        <f>R72</f>
        <v>BBW</v>
      </c>
      <c r="S73" s="108">
        <f>IF(ISNA(VLOOKUP($R73&amp;S$2,$K$3:$N$4001,3,0)),"",VLOOKUP($R73&amp;S$2,$K$3:$N$4001,3,0))</f>
        <v>39988</v>
      </c>
      <c r="T73" s="109">
        <f>IF(ISNA(VLOOKUP($R73&amp;S$2,$K$3:$N$4001,4,0)),"",VLOOKUP($R73&amp;S$2,$K$3:$N$4001,4,0))</f>
        <v>4.4999999999999998E-2</v>
      </c>
      <c r="U73" s="108">
        <f>IF(ISNA(VLOOKUP($R73&amp;U$2,$K$3:$N$4001,3,0)),"",VLOOKUP($R73&amp;U$2,$K$3:$N$4001,3,0))</f>
        <v>40170</v>
      </c>
      <c r="V73" s="109">
        <f>IF(ISNA(VLOOKUP($R73&amp;U$2,$K$3:$N$4001,4,0)),"",VLOOKUP($R73&amp;U$2,$K$3:$N$4001,4,0))</f>
        <v>4.7500000000000001E-2</v>
      </c>
      <c r="W73" s="108">
        <f>IF(ISNA(VLOOKUP($R73&amp;W$2,$K$3:$N$4001,3,0)),"",VLOOKUP($R73&amp;W$2,$K$3:$N$4001,3,0))</f>
        <v>40353</v>
      </c>
      <c r="X73" s="109">
        <f>IF(ISNA(VLOOKUP($R73&amp;W$2,$K$3:$N$4001,4,0)),"",VLOOKUP($R73&amp;W$2,$K$3:$N$4001,4,0))</f>
        <v>4.7500000000000001E-2</v>
      </c>
      <c r="Y73" s="108">
        <f>IF(ISNA(VLOOKUP($R73&amp;Y$2,$K$3:$N$4001,3,0)),"",VLOOKUP($R73&amp;Y$2,$K$3:$N$4001,3,0))</f>
        <v>40535</v>
      </c>
      <c r="Z73" s="109">
        <f>IF(ISNA(VLOOKUP($R73&amp;Y$2,$K$3:$N$4001,4,0)),"",VLOOKUP($R73&amp;Y$2,$K$3:$N$4001,4,0))</f>
        <v>4.9000000000000002E-2</v>
      </c>
      <c r="AA73" s="108">
        <f>IF(ISNA(VLOOKUP($R73&amp;AA$2,$K$3:$N$4001,3,0)),"",VLOOKUP($R73&amp;AA$2,$K$3:$N$4001,3,0))</f>
        <v>40718</v>
      </c>
      <c r="AB73" s="109">
        <f>IF(ISNA(VLOOKUP($R73&amp;AA$2,$K$3:$N$4001,4,0)),"",VLOOKUP($R73&amp;AA$2,$K$3:$N$4001,4,0))</f>
        <v>4.9000000000000002E-2</v>
      </c>
      <c r="AC73" s="108">
        <f>IF(ISNA(VLOOKUP($R73&amp;AC$2,$K$3:$N$4001,3,0)),"",VLOOKUP($R73&amp;AC$2,$K$3:$N$4001,3,0))</f>
        <v>40899</v>
      </c>
      <c r="AD73" s="109">
        <f>IF(ISNA(VLOOKUP($R73&amp;AC$2,$K$3:$N$4001,4,0)),"",VLOOKUP($R73&amp;AC$2,$K$3:$N$4001,4,0))</f>
        <v>5.0999999999999997E-2</v>
      </c>
      <c r="AE73" s="108">
        <f>IF(ISNA(VLOOKUP($R73&amp;AE$2,$K$3:$N$4001,3,0)),"",VLOOKUP($R73&amp;AE$2,$K$3:$N$4001,3,0))</f>
        <v>41085</v>
      </c>
      <c r="AF73" s="109">
        <f>IF(ISNA(VLOOKUP($R73&amp;AE$2,$K$3:$N$4001,4,0)),"",VLOOKUP($R73&amp;AE$2,$K$3:$N$4001,4,0))</f>
        <v>5.0999999999999997E-2</v>
      </c>
      <c r="AG73" s="108">
        <f>IF(ISNA(VLOOKUP($R73&amp;AG$2,$K$3:$N$4001,3,0)),"",VLOOKUP($R73&amp;AG$2,$K$3:$N$4001,3,0))</f>
        <v>41268</v>
      </c>
      <c r="AH73" s="109">
        <f>IF(ISNA(VLOOKUP($R73&amp;AG$2,$K$3:$N$4001,4,0)),"",VLOOKUP($R73&amp;AG$2,$K$3:$N$4001,4,0))</f>
        <v>6.0999999999999999E-2</v>
      </c>
      <c r="AI73" s="108">
        <f>IF(ISNA(VLOOKUP($R73&amp;AI$2,$K$3:$N$4001,3,0)),"",VLOOKUP($R73&amp;AI$2,$K$3:$N$4001,3,0))</f>
        <v>41450</v>
      </c>
      <c r="AJ73" s="109">
        <f>IF(ISNA(VLOOKUP($R73&amp;AI$2,$K$3:$N$4001,4,0)),"",VLOOKUP($R73&amp;AI$2,$K$3:$N$4001,4,0))</f>
        <v>6.0999999999999999E-2</v>
      </c>
      <c r="AK73" s="108" t="str">
        <f>IF(ISNA(VLOOKUP($R73&amp;AK$2,$K$3:$N$4001,3,0)),"",VLOOKUP($R73&amp;AK$2,$K$3:$N$4001,3,0))</f>
        <v/>
      </c>
      <c r="AL73" s="109" t="str">
        <f>IF(ISNA(VLOOKUP($R73&amp;AK$2,$K$3:$N$4001,4,0)),"",VLOOKUP($R73&amp;AK$2,$K$3:$N$4001,4,0))</f>
        <v/>
      </c>
    </row>
    <row r="74" spans="3:38" x14ac:dyDescent="0.2">
      <c r="C74" s="96" t="str">
        <f t="shared" si="4"/>
        <v>AIO1</v>
      </c>
      <c r="D74" s="73" t="s">
        <v>71</v>
      </c>
      <c r="E74" s="100">
        <v>39988</v>
      </c>
      <c r="F74" s="101">
        <v>0.24</v>
      </c>
      <c r="G74" s="96">
        <f t="shared" si="5"/>
        <v>1</v>
      </c>
      <c r="I74" s="96"/>
      <c r="K74" t="str">
        <f t="shared" si="6"/>
        <v>AIO1</v>
      </c>
      <c r="L74" s="73" t="s">
        <v>71</v>
      </c>
      <c r="M74" s="72">
        <v>39988</v>
      </c>
      <c r="N74" s="84">
        <v>0.24</v>
      </c>
      <c r="O74" s="96">
        <f t="shared" si="7"/>
        <v>1</v>
      </c>
      <c r="P74" s="73"/>
      <c r="Q74" s="96"/>
      <c r="R74" s="96" t="s">
        <v>97</v>
      </c>
      <c r="S74" s="106">
        <f>IF(ISNA(VLOOKUP($R74&amp;S$2,$C$3:$F$4001,3,0)),"",VLOOKUP($R74&amp;S$2,$C$3:$F$4001,3,0))</f>
        <v>39932</v>
      </c>
      <c r="T74" s="107">
        <f>IF(ISNA(VLOOKUP($R74&amp;S$2,$C$3:$F$4001,4,0)),"",VLOOKUP($R74&amp;S$2,$C$3:$F$4001,4,0))</f>
        <v>0.36</v>
      </c>
      <c r="U74" s="106">
        <f>IF(ISNA(VLOOKUP($R74&amp;U$2,$C$3:$F$4001,3,0)),"",VLOOKUP($R74&amp;U$2,$C$3:$F$4001,3,0))</f>
        <v>40130</v>
      </c>
      <c r="V74" s="107">
        <f>IF(ISNA(VLOOKUP($R74&amp;U$2,$C$3:$F$4001,4,0)),"",VLOOKUP($R74&amp;U$2,$C$3:$F$4001,4,0))</f>
        <v>0.39</v>
      </c>
      <c r="W74" s="106">
        <f>IF(ISNA(VLOOKUP($R74&amp;W$2,$C$3:$F$4001,3,0)),"",VLOOKUP($R74&amp;W$2,$C$3:$F$4001,3,0))</f>
        <v>40297</v>
      </c>
      <c r="X74" s="107">
        <f>IF(ISNA(VLOOKUP($R74&amp;W$2,$C$3:$F$4001,4,0)),"",VLOOKUP($R74&amp;W$2,$C$3:$F$4001,4,0))</f>
        <v>0.36859999999999998</v>
      </c>
      <c r="Y74" s="106">
        <f>IF(ISNA(VLOOKUP($R74&amp;Y$2,$C$3:$F$4001,3,0)),"",VLOOKUP($R74&amp;Y$2,$C$3:$F$4001,3,0))</f>
        <v>40497</v>
      </c>
      <c r="Z74" s="107">
        <f>IF(ISNA(VLOOKUP($R74&amp;Y$2,$C$3:$F$4001,4,0)),"",VLOOKUP($R74&amp;Y$2,$C$3:$F$4001,4,0))</f>
        <v>0.39939999999999998</v>
      </c>
      <c r="AA74" s="106">
        <f>IF(ISNA(VLOOKUP($R74&amp;AA$2,$C$3:$F$4001,3,0)),"",VLOOKUP($R74&amp;AA$2,$C$3:$F$4001,3,0))</f>
        <v>40662</v>
      </c>
      <c r="AB74" s="107">
        <f>IF(ISNA(VLOOKUP($R74&amp;AA$2,$C$3:$F$4001,4,0)),"",VLOOKUP($R74&amp;AA$2,$C$3:$F$4001,4,0))</f>
        <v>0.38390000000000002</v>
      </c>
      <c r="AC74" s="106">
        <f>IF(ISNA(VLOOKUP($R74&amp;AC$2,$C$3:$F$4001,3,0)),"",VLOOKUP($R74&amp;AC$2,$C$3:$F$4001,3,0))</f>
        <v>40862</v>
      </c>
      <c r="AD74" s="107">
        <f>IF(ISNA(VLOOKUP($R74&amp;AC$2,$C$3:$F$4001,4,0)),"",VLOOKUP($R74&amp;AC$2,$C$3:$F$4001,4,0))</f>
        <v>0.41609999999999997</v>
      </c>
      <c r="AE74" s="106">
        <f>IF(ISNA(VLOOKUP($R74&amp;AE$2,$C$3:$F$4001,3,0)),"",VLOOKUP($R74&amp;AE$2,$C$3:$F$4001,3,0))</f>
        <v>41030</v>
      </c>
      <c r="AF74" s="107">
        <f>IF(ISNA(VLOOKUP($R74&amp;AE$2,$C$3:$F$4001,4,0)),"",VLOOKUP($R74&amp;AE$2,$C$3:$F$4001,4,0))</f>
        <v>0.40460000000000002</v>
      </c>
      <c r="AG74" s="106">
        <f>IF(ISNA(VLOOKUP($R74&amp;AG$2,$C$3:$F$4001,3,0)),"",VLOOKUP($R74&amp;AG$2,$C$3:$F$4001,3,0))</f>
        <v>41228</v>
      </c>
      <c r="AH74" s="107">
        <f>IF(ISNA(VLOOKUP($R74&amp;AG$2,$C$3:$F$4001,4,0)),"",VLOOKUP($R74&amp;AG$2,$C$3:$F$4001,4,0))</f>
        <v>0.43840000000000001</v>
      </c>
      <c r="AI74" s="106">
        <f>IF(ISNA(VLOOKUP($R74&amp;AI$2,$C$3:$F$4001,3,0)),"",VLOOKUP($R74&amp;AI$2,$C$3:$F$4001,3,0))</f>
        <v>41395</v>
      </c>
      <c r="AJ74" s="107">
        <f>IF(ISNA(VLOOKUP($R74&amp;AI$2,$C$3:$F$4001,4,0)),"",VLOOKUP($R74&amp;AI$2,$C$3:$F$4001,4,0))</f>
        <v>0.44969999999999999</v>
      </c>
      <c r="AK74" s="106">
        <f>IF(ISNA(VLOOKUP($R74&amp;AK$2,$C$3:$F$4001,3,0)),"",VLOOKUP($R74&amp;AK$2,$C$3:$F$4001,3,0))</f>
        <v>41593</v>
      </c>
      <c r="AL74" s="107">
        <f>IF(ISNA(VLOOKUP($R74&amp;AK$2,$C$3:$F$4001,4,0)),"",VLOOKUP($R74&amp;AK$2,$C$3:$F$4001,4,0))</f>
        <v>0.48729999999999996</v>
      </c>
    </row>
    <row r="75" spans="3:38" x14ac:dyDescent="0.2">
      <c r="C75" s="96" t="str">
        <f t="shared" si="4"/>
        <v>AIO2</v>
      </c>
      <c r="D75" s="73" t="s">
        <v>71</v>
      </c>
      <c r="E75" s="100">
        <v>40170</v>
      </c>
      <c r="F75" s="101">
        <v>0.14000000000000001</v>
      </c>
      <c r="G75" s="96">
        <f t="shared" si="5"/>
        <v>2</v>
      </c>
      <c r="I75" s="96"/>
      <c r="K75" t="str">
        <f t="shared" si="6"/>
        <v>AIO2</v>
      </c>
      <c r="L75" s="73" t="s">
        <v>71</v>
      </c>
      <c r="M75" s="72">
        <v>40170</v>
      </c>
      <c r="N75" s="84">
        <v>0.14000000000000001</v>
      </c>
      <c r="O75" s="96">
        <f t="shared" si="7"/>
        <v>2</v>
      </c>
      <c r="P75" s="73"/>
      <c r="Q75" s="96"/>
      <c r="R75" s="96" t="str">
        <f>R74</f>
        <v>BOQ</v>
      </c>
      <c r="S75" s="108">
        <f>IF(ISNA(VLOOKUP($R75&amp;S$2,$K$3:$N$4001,3,0)),"",VLOOKUP($R75&amp;S$2,$K$3:$N$4001,3,0))</f>
        <v>39932</v>
      </c>
      <c r="T75" s="109">
        <f>IF(ISNA(VLOOKUP($R75&amp;S$2,$K$3:$N$4001,4,0)),"",VLOOKUP($R75&amp;S$2,$K$3:$N$4001,4,0))</f>
        <v>0.36</v>
      </c>
      <c r="U75" s="108">
        <f>IF(ISNA(VLOOKUP($R75&amp;U$2,$K$3:$N$4001,3,0)),"",VLOOKUP($R75&amp;U$2,$K$3:$N$4001,3,0))</f>
        <v>40130</v>
      </c>
      <c r="V75" s="109">
        <f>IF(ISNA(VLOOKUP($R75&amp;U$2,$K$3:$N$4001,4,0)),"",VLOOKUP($R75&amp;U$2,$K$3:$N$4001,4,0))</f>
        <v>0.39</v>
      </c>
      <c r="W75" s="108">
        <f>IF(ISNA(VLOOKUP($R75&amp;W$2,$K$3:$N$4001,3,0)),"",VLOOKUP($R75&amp;W$2,$K$3:$N$4001,3,0))</f>
        <v>40297</v>
      </c>
      <c r="X75" s="109">
        <f>IF(ISNA(VLOOKUP($R75&amp;W$2,$K$3:$N$4001,4,0)),"",VLOOKUP($R75&amp;W$2,$K$3:$N$4001,4,0))</f>
        <v>0.36859999999999998</v>
      </c>
      <c r="Y75" s="108">
        <f>IF(ISNA(VLOOKUP($R75&amp;Y$2,$K$3:$N$4001,3,0)),"",VLOOKUP($R75&amp;Y$2,$K$3:$N$4001,3,0))</f>
        <v>40497</v>
      </c>
      <c r="Z75" s="109">
        <f>IF(ISNA(VLOOKUP($R75&amp;Y$2,$K$3:$N$4001,4,0)),"",VLOOKUP($R75&amp;Y$2,$K$3:$N$4001,4,0))</f>
        <v>0.39939999999999998</v>
      </c>
      <c r="AA75" s="108">
        <f>IF(ISNA(VLOOKUP($R75&amp;AA$2,$K$3:$N$4001,3,0)),"",VLOOKUP($R75&amp;AA$2,$K$3:$N$4001,3,0))</f>
        <v>40662</v>
      </c>
      <c r="AB75" s="109">
        <f>IF(ISNA(VLOOKUP($R75&amp;AA$2,$K$3:$N$4001,4,0)),"",VLOOKUP($R75&amp;AA$2,$K$3:$N$4001,4,0))</f>
        <v>0.38390000000000002</v>
      </c>
      <c r="AC75" s="108">
        <f>IF(ISNA(VLOOKUP($R75&amp;AC$2,$K$3:$N$4001,3,0)),"",VLOOKUP($R75&amp;AC$2,$K$3:$N$4001,3,0))</f>
        <v>40862</v>
      </c>
      <c r="AD75" s="109">
        <f>IF(ISNA(VLOOKUP($R75&amp;AC$2,$K$3:$N$4001,4,0)),"",VLOOKUP($R75&amp;AC$2,$K$3:$N$4001,4,0))</f>
        <v>0.41609999999999997</v>
      </c>
      <c r="AE75" s="108">
        <f>IF(ISNA(VLOOKUP($R75&amp;AE$2,$K$3:$N$4001,3,0)),"",VLOOKUP($R75&amp;AE$2,$K$3:$N$4001,3,0))</f>
        <v>41030</v>
      </c>
      <c r="AF75" s="109">
        <f>IF(ISNA(VLOOKUP($R75&amp;AE$2,$K$3:$N$4001,4,0)),"",VLOOKUP($R75&amp;AE$2,$K$3:$N$4001,4,0))</f>
        <v>0.40460000000000002</v>
      </c>
      <c r="AG75" s="108">
        <f>IF(ISNA(VLOOKUP($R75&amp;AG$2,$K$3:$N$4001,3,0)),"",VLOOKUP($R75&amp;AG$2,$K$3:$N$4001,3,0))</f>
        <v>41228</v>
      </c>
      <c r="AH75" s="109">
        <f>IF(ISNA(VLOOKUP($R75&amp;AG$2,$K$3:$N$4001,4,0)),"",VLOOKUP($R75&amp;AG$2,$K$3:$N$4001,4,0))</f>
        <v>0.43840000000000001</v>
      </c>
      <c r="AI75" s="108">
        <f>IF(ISNA(VLOOKUP($R75&amp;AI$2,$K$3:$N$4001,3,0)),"",VLOOKUP($R75&amp;AI$2,$K$3:$N$4001,3,0))</f>
        <v>41395</v>
      </c>
      <c r="AJ75" s="109">
        <f>IF(ISNA(VLOOKUP($R75&amp;AI$2,$K$3:$N$4001,4,0)),"",VLOOKUP($R75&amp;AI$2,$K$3:$N$4001,4,0))</f>
        <v>0.44969999999999999</v>
      </c>
      <c r="AK75" s="108">
        <f>IF(ISNA(VLOOKUP($R75&amp;AK$2,$K$3:$N$4001,3,0)),"",VLOOKUP($R75&amp;AK$2,$K$3:$N$4001,3,0))</f>
        <v>41593</v>
      </c>
      <c r="AL75" s="109">
        <f>IF(ISNA(VLOOKUP($R75&amp;AK$2,$K$3:$N$4001,4,0)),"",VLOOKUP($R75&amp;AK$2,$K$3:$N$4001,4,0))</f>
        <v>0.48729999999999996</v>
      </c>
    </row>
    <row r="76" spans="3:38" x14ac:dyDescent="0.2">
      <c r="C76" s="96" t="str">
        <f t="shared" si="4"/>
        <v>AIO3</v>
      </c>
      <c r="D76" s="73" t="s">
        <v>71</v>
      </c>
      <c r="E76" s="100">
        <v>40353</v>
      </c>
      <c r="F76" s="101">
        <v>0.14000000000000001</v>
      </c>
      <c r="G76" s="96">
        <f t="shared" si="5"/>
        <v>3</v>
      </c>
      <c r="I76" s="96"/>
      <c r="K76" t="str">
        <f t="shared" si="6"/>
        <v>AIO3</v>
      </c>
      <c r="L76" s="73" t="s">
        <v>71</v>
      </c>
      <c r="M76" s="72">
        <v>40353</v>
      </c>
      <c r="N76" s="84">
        <v>0.14000000000000001</v>
      </c>
      <c r="O76" s="96">
        <f t="shared" si="7"/>
        <v>3</v>
      </c>
      <c r="P76" s="73"/>
      <c r="Q76" s="96"/>
      <c r="R76" s="96" t="s">
        <v>98</v>
      </c>
      <c r="S76" s="106">
        <f>IF(ISNA(VLOOKUP($R76&amp;S$2,$C$3:$F$4001,3,0)),"",VLOOKUP($R76&amp;S$2,$C$3:$F$4001,3,0))</f>
        <v>39897</v>
      </c>
      <c r="T76" s="107">
        <f>IF(ISNA(VLOOKUP($R76&amp;S$2,$C$3:$F$4001,4,0)),"",VLOOKUP($R76&amp;S$2,$C$3:$F$4001,4,0))</f>
        <v>7.4999999999999997E-3</v>
      </c>
      <c r="U76" s="106">
        <f>IF(ISNA(VLOOKUP($R76&amp;U$2,$C$3:$F$4001,3,0)),"",VLOOKUP($R76&amp;U$2,$C$3:$F$4001,3,0))</f>
        <v>40085</v>
      </c>
      <c r="V76" s="107">
        <f>IF(ISNA(VLOOKUP($R76&amp;U$2,$C$3:$F$4001,4,0)),"",VLOOKUP($R76&amp;U$2,$C$3:$F$4001,4,0))</f>
        <v>0.01</v>
      </c>
      <c r="W76" s="106">
        <f>IF(ISNA(VLOOKUP($R76&amp;W$2,$C$3:$F$4001,3,0)),"",VLOOKUP($R76&amp;W$2,$C$3:$F$4001,3,0))</f>
        <v>40262</v>
      </c>
      <c r="X76" s="107">
        <f>IF(ISNA(VLOOKUP($R76&amp;W$2,$C$3:$F$4001,4,0)),"",VLOOKUP($R76&amp;W$2,$C$3:$F$4001,4,0))</f>
        <v>0.01</v>
      </c>
      <c r="Y76" s="106">
        <f>IF(ISNA(VLOOKUP($R76&amp;Y$2,$C$3:$F$4001,3,0)),"",VLOOKUP($R76&amp;Y$2,$C$3:$F$4001,3,0))</f>
        <v>40450</v>
      </c>
      <c r="Z76" s="107">
        <f>IF(ISNA(VLOOKUP($R76&amp;Y$2,$C$3:$F$4001,4,0)),"",VLOOKUP($R76&amp;Y$2,$C$3:$F$4001,4,0))</f>
        <v>0.01</v>
      </c>
      <c r="AA76" s="106">
        <f>IF(ISNA(VLOOKUP($R76&amp;AA$2,$C$3:$F$4001,3,0)),"",VLOOKUP($R76&amp;AA$2,$C$3:$F$4001,3,0))</f>
        <v>40627</v>
      </c>
      <c r="AB76" s="107">
        <f>IF(ISNA(VLOOKUP($R76&amp;AA$2,$C$3:$F$4001,4,0)),"",VLOOKUP($R76&amp;AA$2,$C$3:$F$4001,4,0))</f>
        <v>0.01</v>
      </c>
      <c r="AC76" s="106">
        <f>IF(ISNA(VLOOKUP($R76&amp;AC$2,$C$3:$F$4001,3,0)),"",VLOOKUP($R76&amp;AC$2,$C$3:$F$4001,3,0))</f>
        <v>40816</v>
      </c>
      <c r="AD76" s="107">
        <f>IF(ISNA(VLOOKUP($R76&amp;AC$2,$C$3:$F$4001,4,0)),"",VLOOKUP($R76&amp;AC$2,$C$3:$F$4001,4,0))</f>
        <v>0.01</v>
      </c>
      <c r="AE76" s="106">
        <f>IF(ISNA(VLOOKUP($R76&amp;AE$2,$C$3:$F$4001,3,0)),"",VLOOKUP($R76&amp;AE$2,$C$3:$F$4001,3,0))</f>
        <v>40995</v>
      </c>
      <c r="AF76" s="107">
        <f>IF(ISNA(VLOOKUP($R76&amp;AE$2,$C$3:$F$4001,4,0)),"",VLOOKUP($R76&amp;AE$2,$C$3:$F$4001,4,0))</f>
        <v>0.01</v>
      </c>
      <c r="AG76" s="106">
        <f>IF(ISNA(VLOOKUP($R76&amp;AG$2,$C$3:$F$4001,3,0)),"",VLOOKUP($R76&amp;AG$2,$C$3:$F$4001,3,0))</f>
        <v>41184</v>
      </c>
      <c r="AH76" s="107">
        <f>IF(ISNA(VLOOKUP($R76&amp;AG$2,$C$3:$F$4001,4,0)),"",VLOOKUP($R76&amp;AG$2,$C$3:$F$4001,4,0))</f>
        <v>1.2500000000000001E-2</v>
      </c>
      <c r="AI76" s="106">
        <f>IF(ISNA(VLOOKUP($R76&amp;AI$2,$C$3:$F$4001,3,0)),"",VLOOKUP($R76&amp;AI$2,$C$3:$F$4001,3,0))</f>
        <v>41360</v>
      </c>
      <c r="AJ76" s="107">
        <f>IF(ISNA(VLOOKUP($R76&amp;AI$2,$C$3:$F$4001,4,0)),"",VLOOKUP($R76&amp;AI$2,$C$3:$F$4001,4,0))</f>
        <v>0.01</v>
      </c>
      <c r="AK76" s="106">
        <f>IF(ISNA(VLOOKUP($R76&amp;AK$2,$C$3:$F$4001,3,0)),"",VLOOKUP($R76&amp;AK$2,$C$3:$F$4001,3,0))</f>
        <v>41549</v>
      </c>
      <c r="AL76" s="107">
        <f>IF(ISNA(VLOOKUP($R76&amp;AK$2,$C$3:$F$4001,4,0)),"",VLOOKUP($R76&amp;AK$2,$C$3:$F$4001,4,0))</f>
        <v>1.2500000000000001E-2</v>
      </c>
    </row>
    <row r="77" spans="3:38" x14ac:dyDescent="0.2">
      <c r="C77" s="96" t="str">
        <f t="shared" si="4"/>
        <v>AIO4</v>
      </c>
      <c r="D77" s="73" t="s">
        <v>71</v>
      </c>
      <c r="E77" s="100">
        <v>40535</v>
      </c>
      <c r="F77" s="101">
        <v>0.15049999999999999</v>
      </c>
      <c r="G77" s="96">
        <f t="shared" si="5"/>
        <v>4</v>
      </c>
      <c r="I77" s="96"/>
      <c r="K77" t="str">
        <f t="shared" si="6"/>
        <v>AIO4</v>
      </c>
      <c r="L77" s="73" t="s">
        <v>71</v>
      </c>
      <c r="M77" s="72">
        <v>40535</v>
      </c>
      <c r="N77" s="84">
        <v>0.15049999999999999</v>
      </c>
      <c r="O77" s="96">
        <f t="shared" si="7"/>
        <v>4</v>
      </c>
      <c r="P77" s="73"/>
      <c r="Q77" s="96"/>
      <c r="R77" s="96" t="str">
        <f>R76</f>
        <v>BPT</v>
      </c>
      <c r="S77" s="108">
        <f>IF(ISNA(VLOOKUP($R77&amp;S$2,$K$3:$N$4001,3,0)),"",VLOOKUP($R77&amp;S$2,$K$3:$N$4001,3,0))</f>
        <v>39897</v>
      </c>
      <c r="T77" s="109">
        <f>IF(ISNA(VLOOKUP($R77&amp;S$2,$K$3:$N$4001,4,0)),"",VLOOKUP($R77&amp;S$2,$K$3:$N$4001,4,0))</f>
        <v>7.4999999999999997E-3</v>
      </c>
      <c r="U77" s="108">
        <f>IF(ISNA(VLOOKUP($R77&amp;U$2,$K$3:$N$4001,3,0)),"",VLOOKUP($R77&amp;U$2,$K$3:$N$4001,3,0))</f>
        <v>40085</v>
      </c>
      <c r="V77" s="109">
        <f>IF(ISNA(VLOOKUP($R77&amp;U$2,$K$3:$N$4001,4,0)),"",VLOOKUP($R77&amp;U$2,$K$3:$N$4001,4,0))</f>
        <v>0.01</v>
      </c>
      <c r="W77" s="108">
        <f>IF(ISNA(VLOOKUP($R77&amp;W$2,$K$3:$N$4001,3,0)),"",VLOOKUP($R77&amp;W$2,$K$3:$N$4001,3,0))</f>
        <v>40262</v>
      </c>
      <c r="X77" s="109">
        <f>IF(ISNA(VLOOKUP($R77&amp;W$2,$K$3:$N$4001,4,0)),"",VLOOKUP($R77&amp;W$2,$K$3:$N$4001,4,0))</f>
        <v>0.01</v>
      </c>
      <c r="Y77" s="108">
        <f>IF(ISNA(VLOOKUP($R77&amp;Y$2,$K$3:$N$4001,3,0)),"",VLOOKUP($R77&amp;Y$2,$K$3:$N$4001,3,0))</f>
        <v>40450</v>
      </c>
      <c r="Z77" s="109">
        <f>IF(ISNA(VLOOKUP($R77&amp;Y$2,$K$3:$N$4001,4,0)),"",VLOOKUP($R77&amp;Y$2,$K$3:$N$4001,4,0))</f>
        <v>0.01</v>
      </c>
      <c r="AA77" s="108">
        <f>IF(ISNA(VLOOKUP($R77&amp;AA$2,$K$3:$N$4001,3,0)),"",VLOOKUP($R77&amp;AA$2,$K$3:$N$4001,3,0))</f>
        <v>40627</v>
      </c>
      <c r="AB77" s="109">
        <f>IF(ISNA(VLOOKUP($R77&amp;AA$2,$K$3:$N$4001,4,0)),"",VLOOKUP($R77&amp;AA$2,$K$3:$N$4001,4,0))</f>
        <v>0.01</v>
      </c>
      <c r="AC77" s="108">
        <f>IF(ISNA(VLOOKUP($R77&amp;AC$2,$K$3:$N$4001,3,0)),"",VLOOKUP($R77&amp;AC$2,$K$3:$N$4001,3,0))</f>
        <v>40816</v>
      </c>
      <c r="AD77" s="109">
        <f>IF(ISNA(VLOOKUP($R77&amp;AC$2,$K$3:$N$4001,4,0)),"",VLOOKUP($R77&amp;AC$2,$K$3:$N$4001,4,0))</f>
        <v>0.01</v>
      </c>
      <c r="AE77" s="108">
        <f>IF(ISNA(VLOOKUP($R77&amp;AE$2,$K$3:$N$4001,3,0)),"",VLOOKUP($R77&amp;AE$2,$K$3:$N$4001,3,0))</f>
        <v>40995</v>
      </c>
      <c r="AF77" s="109">
        <f>IF(ISNA(VLOOKUP($R77&amp;AE$2,$K$3:$N$4001,4,0)),"",VLOOKUP($R77&amp;AE$2,$K$3:$N$4001,4,0))</f>
        <v>0.01</v>
      </c>
      <c r="AG77" s="108">
        <f>IF(ISNA(VLOOKUP($R77&amp;AG$2,$K$3:$N$4001,3,0)),"",VLOOKUP($R77&amp;AG$2,$K$3:$N$4001,3,0))</f>
        <v>41184</v>
      </c>
      <c r="AH77" s="109">
        <f>IF(ISNA(VLOOKUP($R77&amp;AG$2,$K$3:$N$4001,4,0)),"",VLOOKUP($R77&amp;AG$2,$K$3:$N$4001,4,0))</f>
        <v>1.2500000000000001E-2</v>
      </c>
      <c r="AI77" s="108">
        <f>IF(ISNA(VLOOKUP($R77&amp;AI$2,$K$3:$N$4001,3,0)),"",VLOOKUP($R77&amp;AI$2,$K$3:$N$4001,3,0))</f>
        <v>41360</v>
      </c>
      <c r="AJ77" s="109">
        <f>IF(ISNA(VLOOKUP($R77&amp;AI$2,$K$3:$N$4001,4,0)),"",VLOOKUP($R77&amp;AI$2,$K$3:$N$4001,4,0))</f>
        <v>0.01</v>
      </c>
      <c r="AK77" s="108">
        <f>IF(ISNA(VLOOKUP($R77&amp;AK$2,$K$3:$N$4001,3,0)),"",VLOOKUP($R77&amp;AK$2,$K$3:$N$4001,3,0))</f>
        <v>41549</v>
      </c>
      <c r="AL77" s="109">
        <f>IF(ISNA(VLOOKUP($R77&amp;AK$2,$K$3:$N$4001,4,0)),"",VLOOKUP($R77&amp;AK$2,$K$3:$N$4001,4,0))</f>
        <v>1.2500000000000001E-2</v>
      </c>
    </row>
    <row r="78" spans="3:38" x14ac:dyDescent="0.2">
      <c r="C78" s="96" t="str">
        <f t="shared" si="4"/>
        <v>AIO5</v>
      </c>
      <c r="D78" s="73" t="s">
        <v>71</v>
      </c>
      <c r="E78" s="100">
        <v>40718</v>
      </c>
      <c r="F78" s="101">
        <v>0.15049999999999999</v>
      </c>
      <c r="G78" s="96">
        <f t="shared" si="5"/>
        <v>5</v>
      </c>
      <c r="I78" s="96"/>
      <c r="K78" t="str">
        <f t="shared" si="6"/>
        <v>AIO5</v>
      </c>
      <c r="L78" s="73" t="s">
        <v>71</v>
      </c>
      <c r="M78" s="72">
        <v>40718</v>
      </c>
      <c r="N78" s="84">
        <v>0.15049999999999999</v>
      </c>
      <c r="O78" s="96">
        <f t="shared" si="7"/>
        <v>5</v>
      </c>
      <c r="P78" s="73"/>
      <c r="Q78" s="96"/>
      <c r="R78" s="96" t="s">
        <v>91</v>
      </c>
      <c r="S78" s="106">
        <f>IF(ISNA(VLOOKUP($R78&amp;S$2,$C$3:$F$4001,3,0)),"",VLOOKUP($R78&amp;S$2,$C$3:$F$4001,3,0))</f>
        <v>39870</v>
      </c>
      <c r="T78" s="107">
        <f>IF(ISNA(VLOOKUP($R78&amp;S$2,$C$3:$F$4001,4,0)),"",VLOOKUP($R78&amp;S$2,$C$3:$F$4001,4,0))</f>
        <v>0.28000000000000003</v>
      </c>
      <c r="U78" s="106">
        <f>IF(ISNA(VLOOKUP($R78&amp;U$2,$C$3:$F$4001,3,0)),"",VLOOKUP($R78&amp;U$2,$C$3:$F$4001,3,0))</f>
        <v>40052</v>
      </c>
      <c r="V78" s="107">
        <f>IF(ISNA(VLOOKUP($R78&amp;U$2,$C$3:$F$4001,4,0)),"",VLOOKUP($R78&amp;U$2,$C$3:$F$4001,4,0))</f>
        <v>0.37</v>
      </c>
      <c r="W78" s="106">
        <f>IF(ISNA(VLOOKUP($R78&amp;W$2,$C$3:$F$4001,3,0)),"",VLOOKUP($R78&amp;W$2,$C$3:$F$4001,3,0))</f>
        <v>40235</v>
      </c>
      <c r="X78" s="107">
        <f>IF(ISNA(VLOOKUP($R78&amp;W$2,$C$3:$F$4001,4,0)),"",VLOOKUP($R78&amp;W$2,$C$3:$F$4001,4,0))</f>
        <v>0.3</v>
      </c>
      <c r="Y78" s="106">
        <f>IF(ISNA(VLOOKUP($R78&amp;Y$2,$C$3:$F$4001,3,0)),"",VLOOKUP($R78&amp;Y$2,$C$3:$F$4001,3,0))</f>
        <v>40417</v>
      </c>
      <c r="Z78" s="107">
        <f>IF(ISNA(VLOOKUP($R78&amp;Y$2,$C$3:$F$4001,4,0)),"",VLOOKUP($R78&amp;Y$2,$C$3:$F$4001,4,0))</f>
        <v>0.4</v>
      </c>
      <c r="AA78" s="106">
        <f>IF(ISNA(VLOOKUP($R78&amp;AA$2,$C$3:$F$4001,3,0)),"",VLOOKUP($R78&amp;AA$2,$C$3:$F$4001,3,0))</f>
        <v>40602</v>
      </c>
      <c r="AB78" s="107">
        <f>IF(ISNA(VLOOKUP($R78&amp;AA$2,$C$3:$F$4001,4,0)),"",VLOOKUP($R78&amp;AA$2,$C$3:$F$4001,4,0))</f>
        <v>0.32</v>
      </c>
      <c r="AC78" s="106">
        <f>IF(ISNA(VLOOKUP($R78&amp;AC$2,$C$3:$F$4001,3,0)),"",VLOOKUP($R78&amp;AC$2,$C$3:$F$4001,3,0))</f>
        <v>40784</v>
      </c>
      <c r="AD78" s="107">
        <f>IF(ISNA(VLOOKUP($R78&amp;AC$2,$C$3:$F$4001,4,0)),"",VLOOKUP($R78&amp;AC$2,$C$3:$F$4001,4,0))</f>
        <v>0.42</v>
      </c>
      <c r="AE78" s="106">
        <f>IF(ISNA(VLOOKUP($R78&amp;AE$2,$C$3:$F$4001,3,0)),"",VLOOKUP($R78&amp;AE$2,$C$3:$F$4001,3,0))</f>
        <v>40967</v>
      </c>
      <c r="AF78" s="107">
        <f>IF(ISNA(VLOOKUP($R78&amp;AE$2,$C$3:$F$4001,4,0)),"",VLOOKUP($R78&amp;AE$2,$C$3:$F$4001,4,0))</f>
        <v>0.34</v>
      </c>
      <c r="AG78" s="106">
        <f>IF(ISNA(VLOOKUP($R78&amp;AG$2,$C$3:$F$4001,3,0)),"",VLOOKUP($R78&amp;AG$2,$C$3:$F$4001,3,0))</f>
        <v>41149</v>
      </c>
      <c r="AH78" s="107">
        <f>IF(ISNA(VLOOKUP($R78&amp;AG$2,$C$3:$F$4001,4,0)),"",VLOOKUP($R78&amp;AG$2,$C$3:$F$4001,4,0))</f>
        <v>0.44</v>
      </c>
      <c r="AI78" s="106">
        <f>IF(ISNA(VLOOKUP($R78&amp;AI$2,$C$3:$F$4001,3,0)),"",VLOOKUP($R78&amp;AI$2,$C$3:$F$4001,3,0))</f>
        <v>41332</v>
      </c>
      <c r="AJ78" s="107">
        <f>IF(ISNA(VLOOKUP($R78&amp;AI$2,$C$3:$F$4001,4,0)),"",VLOOKUP($R78&amp;AI$2,$C$3:$F$4001,4,0))</f>
        <v>0.36</v>
      </c>
      <c r="AK78" s="106">
        <f>IF(ISNA(VLOOKUP($R78&amp;AK$2,$C$3:$F$4001,3,0)),"",VLOOKUP($R78&amp;AK$2,$C$3:$F$4001,3,0))</f>
        <v>41514</v>
      </c>
      <c r="AL78" s="107">
        <f>IF(ISNA(VLOOKUP($R78&amp;AK$2,$C$3:$F$4001,4,0)),"",VLOOKUP($R78&amp;AK$2,$C$3:$F$4001,4,0))</f>
        <v>0.46</v>
      </c>
    </row>
    <row r="79" spans="3:38" x14ac:dyDescent="0.2">
      <c r="C79" s="96" t="str">
        <f t="shared" si="4"/>
        <v>AIO6</v>
      </c>
      <c r="D79" s="73" t="s">
        <v>71</v>
      </c>
      <c r="E79" s="100">
        <v>40899</v>
      </c>
      <c r="F79" s="101">
        <v>0.17399999999999999</v>
      </c>
      <c r="G79" s="96">
        <f t="shared" si="5"/>
        <v>6</v>
      </c>
      <c r="I79" s="96"/>
      <c r="K79" t="str">
        <f t="shared" si="6"/>
        <v>AIO6</v>
      </c>
      <c r="L79" s="73" t="s">
        <v>71</v>
      </c>
      <c r="M79" s="72">
        <v>40899</v>
      </c>
      <c r="N79" s="84">
        <v>0.17399999999999999</v>
      </c>
      <c r="O79" s="96">
        <f t="shared" si="7"/>
        <v>6</v>
      </c>
      <c r="P79" s="73"/>
      <c r="Q79" s="96"/>
      <c r="R79" s="96" t="str">
        <f>R78</f>
        <v>BEN</v>
      </c>
      <c r="S79" s="108">
        <f>IF(ISNA(VLOOKUP($R79&amp;S$2,$K$3:$N$4001,3,0)),"",VLOOKUP($R79&amp;S$2,$K$3:$N$4001,3,0))</f>
        <v>39870</v>
      </c>
      <c r="T79" s="109">
        <f>IF(ISNA(VLOOKUP($R79&amp;S$2,$K$3:$N$4001,4,0)),"",VLOOKUP($R79&amp;S$2,$K$3:$N$4001,4,0))</f>
        <v>0.28000000000000003</v>
      </c>
      <c r="U79" s="108">
        <f>IF(ISNA(VLOOKUP($R79&amp;U$2,$K$3:$N$4001,3,0)),"",VLOOKUP($R79&amp;U$2,$K$3:$N$4001,3,0))</f>
        <v>40052</v>
      </c>
      <c r="V79" s="109">
        <f>IF(ISNA(VLOOKUP($R79&amp;U$2,$K$3:$N$4001,4,0)),"",VLOOKUP($R79&amp;U$2,$K$3:$N$4001,4,0))</f>
        <v>0.37</v>
      </c>
      <c r="W79" s="108">
        <f>IF(ISNA(VLOOKUP($R79&amp;W$2,$K$3:$N$4001,3,0)),"",VLOOKUP($R79&amp;W$2,$K$3:$N$4001,3,0))</f>
        <v>40235</v>
      </c>
      <c r="X79" s="109">
        <f>IF(ISNA(VLOOKUP($R79&amp;W$2,$K$3:$N$4001,4,0)),"",VLOOKUP($R79&amp;W$2,$K$3:$N$4001,4,0))</f>
        <v>0.3</v>
      </c>
      <c r="Y79" s="108">
        <f>IF(ISNA(VLOOKUP($R79&amp;Y$2,$K$3:$N$4001,3,0)),"",VLOOKUP($R79&amp;Y$2,$K$3:$N$4001,3,0))</f>
        <v>40417</v>
      </c>
      <c r="Z79" s="109">
        <f>IF(ISNA(VLOOKUP($R79&amp;Y$2,$K$3:$N$4001,4,0)),"",VLOOKUP($R79&amp;Y$2,$K$3:$N$4001,4,0))</f>
        <v>0.4</v>
      </c>
      <c r="AA79" s="108">
        <f>IF(ISNA(VLOOKUP($R79&amp;AA$2,$K$3:$N$4001,3,0)),"",VLOOKUP($R79&amp;AA$2,$K$3:$N$4001,3,0))</f>
        <v>40602</v>
      </c>
      <c r="AB79" s="109">
        <f>IF(ISNA(VLOOKUP($R79&amp;AA$2,$K$3:$N$4001,4,0)),"",VLOOKUP($R79&amp;AA$2,$K$3:$N$4001,4,0))</f>
        <v>0.32</v>
      </c>
      <c r="AC79" s="108">
        <f>IF(ISNA(VLOOKUP($R79&amp;AC$2,$K$3:$N$4001,3,0)),"",VLOOKUP($R79&amp;AC$2,$K$3:$N$4001,3,0))</f>
        <v>40784</v>
      </c>
      <c r="AD79" s="109">
        <f>IF(ISNA(VLOOKUP($R79&amp;AC$2,$K$3:$N$4001,4,0)),"",VLOOKUP($R79&amp;AC$2,$K$3:$N$4001,4,0))</f>
        <v>0.42</v>
      </c>
      <c r="AE79" s="108">
        <f>IF(ISNA(VLOOKUP($R79&amp;AE$2,$K$3:$N$4001,3,0)),"",VLOOKUP($R79&amp;AE$2,$K$3:$N$4001,3,0))</f>
        <v>40967</v>
      </c>
      <c r="AF79" s="109">
        <f>IF(ISNA(VLOOKUP($R79&amp;AE$2,$K$3:$N$4001,4,0)),"",VLOOKUP($R79&amp;AE$2,$K$3:$N$4001,4,0))</f>
        <v>0.34</v>
      </c>
      <c r="AG79" s="108">
        <f>IF(ISNA(VLOOKUP($R79&amp;AG$2,$K$3:$N$4001,3,0)),"",VLOOKUP($R79&amp;AG$2,$K$3:$N$4001,3,0))</f>
        <v>41149</v>
      </c>
      <c r="AH79" s="109">
        <f>IF(ISNA(VLOOKUP($R79&amp;AG$2,$K$3:$N$4001,4,0)),"",VLOOKUP($R79&amp;AG$2,$K$3:$N$4001,4,0))</f>
        <v>0.44</v>
      </c>
      <c r="AI79" s="108">
        <f>IF(ISNA(VLOOKUP($R79&amp;AI$2,$K$3:$N$4001,3,0)),"",VLOOKUP($R79&amp;AI$2,$K$3:$N$4001,3,0))</f>
        <v>41332</v>
      </c>
      <c r="AJ79" s="109">
        <f>IF(ISNA(VLOOKUP($R79&amp;AI$2,$K$3:$N$4001,4,0)),"",VLOOKUP($R79&amp;AI$2,$K$3:$N$4001,4,0))</f>
        <v>0.36</v>
      </c>
      <c r="AK79" s="108">
        <f>IF(ISNA(VLOOKUP($R79&amp;AK$2,$K$3:$N$4001,3,0)),"",VLOOKUP($R79&amp;AK$2,$K$3:$N$4001,3,0))</f>
        <v>41514</v>
      </c>
      <c r="AL79" s="109">
        <f>IF(ISNA(VLOOKUP($R79&amp;AK$2,$K$3:$N$4001,4,0)),"",VLOOKUP($R79&amp;AK$2,$K$3:$N$4001,4,0))</f>
        <v>0.46</v>
      </c>
    </row>
    <row r="80" spans="3:38" x14ac:dyDescent="0.2">
      <c r="C80" s="96" t="str">
        <f t="shared" si="4"/>
        <v>AIO7</v>
      </c>
      <c r="D80" s="73" t="s">
        <v>71</v>
      </c>
      <c r="E80" s="100">
        <v>41085</v>
      </c>
      <c r="F80" s="101">
        <v>0.17399999999999999</v>
      </c>
      <c r="G80" s="96">
        <f t="shared" si="5"/>
        <v>7</v>
      </c>
      <c r="I80" s="96"/>
      <c r="K80" t="str">
        <f t="shared" si="6"/>
        <v>AIO7</v>
      </c>
      <c r="L80" s="73" t="s">
        <v>71</v>
      </c>
      <c r="M80" s="72">
        <v>41085</v>
      </c>
      <c r="N80" s="84">
        <v>0.17399999999999999</v>
      </c>
      <c r="O80" s="96">
        <f t="shared" si="7"/>
        <v>7</v>
      </c>
      <c r="P80" s="73"/>
      <c r="Q80" s="96"/>
      <c r="R80" s="96" t="s">
        <v>92</v>
      </c>
      <c r="S80" s="106">
        <f>IF(ISNA(VLOOKUP($R80&amp;S$2,$C$3:$F$4001,3,0)),"",VLOOKUP($R80&amp;S$2,$C$3:$F$4001,3,0))</f>
        <v>39867</v>
      </c>
      <c r="T80" s="107">
        <f>IF(ISNA(VLOOKUP($R80&amp;S$2,$C$3:$F$4001,4,0)),"",VLOOKUP($R80&amp;S$2,$C$3:$F$4001,4,0))</f>
        <v>0</v>
      </c>
      <c r="U80" s="106">
        <f>IF(ISNA(VLOOKUP($R80&amp;U$2,$C$3:$F$4001,3,0)),"",VLOOKUP($R80&amp;U$2,$C$3:$F$4001,3,0))</f>
        <v>40063</v>
      </c>
      <c r="V80" s="107">
        <f>IF(ISNA(VLOOKUP($R80&amp;U$2,$C$3:$F$4001,4,0)),"",VLOOKUP($R80&amp;U$2,$C$3:$F$4001,4,0))</f>
        <v>0.442</v>
      </c>
      <c r="W80" s="106">
        <f>IF(ISNA(VLOOKUP($R80&amp;W$2,$C$3:$F$4001,3,0)),"",VLOOKUP($R80&amp;W$2,$C$3:$F$4001,3,0))</f>
        <v>40231</v>
      </c>
      <c r="X80" s="107">
        <f>IF(ISNA(VLOOKUP($R80&amp;W$2,$C$3:$F$4001,4,0)),"",VLOOKUP($R80&amp;W$2,$C$3:$F$4001,4,0))</f>
        <v>0.34399999999999997</v>
      </c>
      <c r="Y80" s="106">
        <f>IF(ISNA(VLOOKUP($R80&amp;Y$2,$C$3:$F$4001,3,0)),"",VLOOKUP($R80&amp;Y$2,$C$3:$F$4001,3,0))</f>
        <v>40427</v>
      </c>
      <c r="Z80" s="107">
        <f>IF(ISNA(VLOOKUP($R80&amp;Y$2,$C$3:$F$4001,4,0)),"",VLOOKUP($R80&amp;Y$2,$C$3:$F$4001,4,0))</f>
        <v>0.48599999999999999</v>
      </c>
      <c r="AA80" s="106">
        <f>IF(ISNA(VLOOKUP($R80&amp;AA$2,$C$3:$F$4001,3,0)),"",VLOOKUP($R80&amp;AA$2,$C$3:$F$4001,3,0))</f>
        <v>40595</v>
      </c>
      <c r="AB80" s="107">
        <f>IF(ISNA(VLOOKUP($R80&amp;AA$2,$C$3:$F$4001,4,0)),"",VLOOKUP($R80&amp;AA$2,$C$3:$F$4001,4,0))</f>
        <v>0.37799999999999995</v>
      </c>
      <c r="AC80" s="106">
        <f>IF(ISNA(VLOOKUP($R80&amp;AC$2,$C$3:$F$4001,3,0)),"",VLOOKUP($R80&amp;AC$2,$C$3:$F$4001,3,0))</f>
        <v>40791</v>
      </c>
      <c r="AD80" s="107">
        <f>IF(ISNA(VLOOKUP($R80&amp;AC$2,$C$3:$F$4001,4,0)),"",VLOOKUP($R80&amp;AC$2,$C$3:$F$4001,4,0))</f>
        <v>0.53400000000000003</v>
      </c>
      <c r="AE80" s="106">
        <f>IF(ISNA(VLOOKUP($R80&amp;AE$2,$C$3:$F$4001,3,0)),"",VLOOKUP($R80&amp;AE$2,$C$3:$F$4001,3,0))</f>
        <v>40959</v>
      </c>
      <c r="AF80" s="107">
        <f>IF(ISNA(VLOOKUP($R80&amp;AE$2,$C$3:$F$4001,4,0)),"",VLOOKUP($R80&amp;AE$2,$C$3:$F$4001,4,0))</f>
        <v>0.41600000000000004</v>
      </c>
      <c r="AG80" s="106">
        <f>IF(ISNA(VLOOKUP($R80&amp;AG$2,$C$3:$F$4001,3,0)),"",VLOOKUP($R80&amp;AG$2,$C$3:$F$4001,3,0))</f>
        <v>41155</v>
      </c>
      <c r="AH80" s="107">
        <f>IF(ISNA(VLOOKUP($R80&amp;AG$2,$C$3:$F$4001,4,0)),"",VLOOKUP($R80&amp;AG$2,$C$3:$F$4001,4,0))</f>
        <v>0.58799999999999997</v>
      </c>
      <c r="AI80" s="106">
        <f>IF(ISNA(VLOOKUP($R80&amp;AI$2,$C$3:$F$4001,3,0)),"",VLOOKUP($R80&amp;AI$2,$C$3:$F$4001,3,0))</f>
        <v>41324</v>
      </c>
      <c r="AJ80" s="107">
        <f>IF(ISNA(VLOOKUP($R80&amp;AI$2,$C$3:$F$4001,4,0)),"",VLOOKUP($R80&amp;AI$2,$C$3:$F$4001,4,0))</f>
        <v>0.56999999999999995</v>
      </c>
      <c r="AK80" s="106">
        <f>IF(ISNA(VLOOKUP($R80&amp;AK$2,$C$3:$F$4001,3,0)),"",VLOOKUP($R80&amp;AK$2,$C$3:$F$4001,3,0))</f>
        <v>41520</v>
      </c>
      <c r="AL80" s="107">
        <f>IF(ISNA(VLOOKUP($R80&amp;AK$2,$C$3:$F$4001,4,0)),"",VLOOKUP($R80&amp;AK$2,$C$3:$F$4001,4,0))</f>
        <v>0.69</v>
      </c>
    </row>
    <row r="81" spans="3:38" x14ac:dyDescent="0.2">
      <c r="C81" s="96" t="str">
        <f t="shared" si="4"/>
        <v>AIO8</v>
      </c>
      <c r="D81" s="73" t="s">
        <v>71</v>
      </c>
      <c r="E81" s="100">
        <v>41268</v>
      </c>
      <c r="F81" s="101">
        <v>0.19750000000000001</v>
      </c>
      <c r="G81" s="96">
        <f t="shared" si="5"/>
        <v>8</v>
      </c>
      <c r="I81" s="96"/>
      <c r="K81" t="str">
        <f t="shared" si="6"/>
        <v>AIO8</v>
      </c>
      <c r="L81" s="73" t="s">
        <v>71</v>
      </c>
      <c r="M81" s="72">
        <v>41268</v>
      </c>
      <c r="N81" s="84">
        <v>0.19750000000000001</v>
      </c>
      <c r="O81" s="96">
        <f t="shared" si="7"/>
        <v>8</v>
      </c>
      <c r="P81" s="73"/>
      <c r="Q81" s="96"/>
      <c r="R81" s="96" t="str">
        <f>R80</f>
        <v>BHP</v>
      </c>
      <c r="S81" s="108">
        <f>IF(ISNA(VLOOKUP($R81&amp;S$2,$K$3:$N$4001,3,0)),"",VLOOKUP($R81&amp;S$2,$K$3:$N$4001,3,0))</f>
        <v>39867</v>
      </c>
      <c r="T81" s="109">
        <f>IF(ISNA(VLOOKUP($R81&amp;S$2,$K$3:$N$4001,4,0)),"",VLOOKUP($R81&amp;S$2,$K$3:$N$4001,4,0))</f>
        <v>0.312</v>
      </c>
      <c r="U81" s="108">
        <f>IF(ISNA(VLOOKUP($R81&amp;U$2,$K$3:$N$4001,3,0)),"",VLOOKUP($R81&amp;U$2,$K$3:$N$4001,3,0))</f>
        <v>40063</v>
      </c>
      <c r="V81" s="109">
        <f>IF(ISNA(VLOOKUP($R81&amp;U$2,$K$3:$N$4001,4,0)),"",VLOOKUP($R81&amp;U$2,$K$3:$N$4001,4,0))</f>
        <v>0.442</v>
      </c>
      <c r="W81" s="108">
        <f>IF(ISNA(VLOOKUP($R81&amp;W$2,$K$3:$N$4001,3,0)),"",VLOOKUP($R81&amp;W$2,$K$3:$N$4001,3,0))</f>
        <v>40231</v>
      </c>
      <c r="X81" s="109">
        <f>IF(ISNA(VLOOKUP($R81&amp;W$2,$K$3:$N$4001,4,0)),"",VLOOKUP($R81&amp;W$2,$K$3:$N$4001,4,0))</f>
        <v>0.34399999999999997</v>
      </c>
      <c r="Y81" s="108">
        <f>IF(ISNA(VLOOKUP($R81&amp;Y$2,$K$3:$N$4001,3,0)),"",VLOOKUP($R81&amp;Y$2,$K$3:$N$4001,3,0))</f>
        <v>40427</v>
      </c>
      <c r="Z81" s="109">
        <f>IF(ISNA(VLOOKUP($R81&amp;Y$2,$K$3:$N$4001,4,0)),"",VLOOKUP($R81&amp;Y$2,$K$3:$N$4001,4,0))</f>
        <v>0.48599999999999999</v>
      </c>
      <c r="AA81" s="108">
        <f>IF(ISNA(VLOOKUP($R81&amp;AA$2,$K$3:$N$4001,3,0)),"",VLOOKUP($R81&amp;AA$2,$K$3:$N$4001,3,0))</f>
        <v>40595</v>
      </c>
      <c r="AB81" s="109">
        <f>IF(ISNA(VLOOKUP($R81&amp;AA$2,$K$3:$N$4001,4,0)),"",VLOOKUP($R81&amp;AA$2,$K$3:$N$4001,4,0))</f>
        <v>0.37799999999999995</v>
      </c>
      <c r="AC81" s="108">
        <f>IF(ISNA(VLOOKUP($R81&amp;AC$2,$K$3:$N$4001,3,0)),"",VLOOKUP($R81&amp;AC$2,$K$3:$N$4001,3,0))</f>
        <v>40791</v>
      </c>
      <c r="AD81" s="109">
        <f>IF(ISNA(VLOOKUP($R81&amp;AC$2,$K$3:$N$4001,4,0)),"",VLOOKUP($R81&amp;AC$2,$K$3:$N$4001,4,0))</f>
        <v>0.53400000000000003</v>
      </c>
      <c r="AE81" s="108">
        <f>IF(ISNA(VLOOKUP($R81&amp;AE$2,$K$3:$N$4001,3,0)),"",VLOOKUP($R81&amp;AE$2,$K$3:$N$4001,3,0))</f>
        <v>40959</v>
      </c>
      <c r="AF81" s="109">
        <f>IF(ISNA(VLOOKUP($R81&amp;AE$2,$K$3:$N$4001,4,0)),"",VLOOKUP($R81&amp;AE$2,$K$3:$N$4001,4,0))</f>
        <v>0.41600000000000004</v>
      </c>
      <c r="AG81" s="108">
        <f>IF(ISNA(VLOOKUP($R81&amp;AG$2,$K$3:$N$4001,3,0)),"",VLOOKUP($R81&amp;AG$2,$K$3:$N$4001,3,0))</f>
        <v>41155</v>
      </c>
      <c r="AH81" s="109">
        <f>IF(ISNA(VLOOKUP($R81&amp;AG$2,$K$3:$N$4001,4,0)),"",VLOOKUP($R81&amp;AG$2,$K$3:$N$4001,4,0))</f>
        <v>0.58799999999999997</v>
      </c>
      <c r="AI81" s="108">
        <f>IF(ISNA(VLOOKUP($R81&amp;AI$2,$K$3:$N$4001,3,0)),"",VLOOKUP($R81&amp;AI$2,$K$3:$N$4001,3,0))</f>
        <v>41324</v>
      </c>
      <c r="AJ81" s="109">
        <f>IF(ISNA(VLOOKUP($R81&amp;AI$2,$K$3:$N$4001,4,0)),"",VLOOKUP($R81&amp;AI$2,$K$3:$N$4001,4,0))</f>
        <v>0.56999999999999995</v>
      </c>
      <c r="AK81" s="108">
        <f>IF(ISNA(VLOOKUP($R81&amp;AK$2,$K$3:$N$4001,3,0)),"",VLOOKUP($R81&amp;AK$2,$K$3:$N$4001,3,0))</f>
        <v>41520</v>
      </c>
      <c r="AL81" s="109">
        <f>IF(ISNA(VLOOKUP($R81&amp;AK$2,$K$3:$N$4001,4,0)),"",VLOOKUP($R81&amp;AK$2,$K$3:$N$4001,4,0))</f>
        <v>0.69</v>
      </c>
    </row>
    <row r="82" spans="3:38" x14ac:dyDescent="0.2">
      <c r="C82" s="96" t="str">
        <f t="shared" si="4"/>
        <v>AIO9</v>
      </c>
      <c r="D82" s="73" t="s">
        <v>71</v>
      </c>
      <c r="E82" s="100">
        <v>41450</v>
      </c>
      <c r="F82" s="101">
        <v>0.19750000000000001</v>
      </c>
      <c r="G82" s="96">
        <f t="shared" si="5"/>
        <v>9</v>
      </c>
      <c r="I82" s="96"/>
      <c r="K82" t="str">
        <f t="shared" si="6"/>
        <v>AIO9</v>
      </c>
      <c r="L82" s="73" t="s">
        <v>71</v>
      </c>
      <c r="M82" s="72">
        <v>41450</v>
      </c>
      <c r="N82" s="84">
        <v>0.19750000000000001</v>
      </c>
      <c r="O82" s="96">
        <f t="shared" si="7"/>
        <v>9</v>
      </c>
      <c r="P82" s="73"/>
      <c r="Q82" s="96"/>
      <c r="R82" s="96" t="s">
        <v>88</v>
      </c>
      <c r="S82" s="106">
        <f>IF(ISNA(VLOOKUP($R82&amp;S$2,$C$3:$F$4001,3,0)),"",VLOOKUP($R82&amp;S$2,$C$3:$F$4001,3,0))</f>
        <v>39891</v>
      </c>
      <c r="T82" s="107">
        <f>IF(ISNA(VLOOKUP($R82&amp;S$2,$C$3:$F$4001,4,0)),"",VLOOKUP($R82&amp;S$2,$C$3:$F$4001,4,0))</f>
        <v>0.28499999999999998</v>
      </c>
      <c r="U82" s="106">
        <f>IF(ISNA(VLOOKUP($R82&amp;U$2,$C$3:$F$4001,3,0)),"",VLOOKUP($R82&amp;U$2,$C$3:$F$4001,3,0))</f>
        <v>40078</v>
      </c>
      <c r="V82" s="107">
        <f>IF(ISNA(VLOOKUP($R82&amp;U$2,$C$3:$F$4001,4,0)),"",VLOOKUP($R82&amp;U$2,$C$3:$F$4001,4,0))</f>
        <v>0.28999999999999998</v>
      </c>
      <c r="W82" s="106">
        <f>IF(ISNA(VLOOKUP($R82&amp;W$2,$C$3:$F$4001,3,0)),"",VLOOKUP($R82&amp;W$2,$C$3:$F$4001,3,0))</f>
        <v>40256</v>
      </c>
      <c r="X82" s="107">
        <f>IF(ISNA(VLOOKUP($R82&amp;W$2,$C$3:$F$4001,4,0)),"",VLOOKUP($R82&amp;W$2,$C$3:$F$4001,4,0))</f>
        <v>0.28999999999999998</v>
      </c>
      <c r="Y82" s="106">
        <f>IF(ISNA(VLOOKUP($R82&amp;Y$2,$C$3:$F$4001,3,0)),"",VLOOKUP($R82&amp;Y$2,$C$3:$F$4001,3,0))</f>
        <v>40443</v>
      </c>
      <c r="Z82" s="107">
        <f>IF(ISNA(VLOOKUP($R82&amp;Y$2,$C$3:$F$4001,4,0)),"",VLOOKUP($R82&amp;Y$2,$C$3:$F$4001,4,0))</f>
        <v>0.30499999999999999</v>
      </c>
      <c r="AA82" s="106">
        <f>IF(ISNA(VLOOKUP($R82&amp;AA$2,$C$3:$F$4001,3,0)),"",VLOOKUP($R82&amp;AA$2,$C$3:$F$4001,3,0))</f>
        <v>40623</v>
      </c>
      <c r="AB82" s="107">
        <f>IF(ISNA(VLOOKUP($R82&amp;AA$2,$C$3:$F$4001,4,0)),"",VLOOKUP($R82&amp;AA$2,$C$3:$F$4001,4,0))</f>
        <v>0.30499999999999999</v>
      </c>
      <c r="AC82" s="106">
        <f>IF(ISNA(VLOOKUP($R82&amp;AC$2,$C$3:$F$4001,3,0)),"",VLOOKUP($R82&amp;AC$2,$C$3:$F$4001,3,0))</f>
        <v>40808</v>
      </c>
      <c r="AD82" s="107">
        <f>IF(ISNA(VLOOKUP($R82&amp;AC$2,$C$3:$F$4001,4,0)),"",VLOOKUP($R82&amp;AC$2,$C$3:$F$4001,4,0))</f>
        <v>0.33</v>
      </c>
      <c r="AE82" s="106">
        <f>IF(ISNA(VLOOKUP($R82&amp;AE$2,$C$3:$F$4001,3,0)),"",VLOOKUP($R82&amp;AE$2,$C$3:$F$4001,3,0))</f>
        <v>40988</v>
      </c>
      <c r="AF82" s="107">
        <f>IF(ISNA(VLOOKUP($R82&amp;AE$2,$C$3:$F$4001,4,0)),"",VLOOKUP($R82&amp;AE$2,$C$3:$F$4001,4,0))</f>
        <v>0.33</v>
      </c>
      <c r="AG82" s="106">
        <f>IF(ISNA(VLOOKUP($R82&amp;AG$2,$C$3:$F$4001,3,0)),"",VLOOKUP($R82&amp;AG$2,$C$3:$F$4001,3,0))</f>
        <v>41176</v>
      </c>
      <c r="AH82" s="107">
        <f>IF(ISNA(VLOOKUP($R82&amp;AG$2,$C$3:$F$4001,4,0)),"",VLOOKUP($R82&amp;AG$2,$C$3:$F$4001,4,0))</f>
        <v>0.36499999999999999</v>
      </c>
      <c r="AI82" s="106">
        <f>IF(ISNA(VLOOKUP($R82&amp;AI$2,$C$3:$F$4001,3,0)),"",VLOOKUP($R82&amp;AI$2,$C$3:$F$4001,3,0))</f>
        <v>41353</v>
      </c>
      <c r="AJ82" s="107">
        <f>IF(ISNA(VLOOKUP($R82&amp;AI$2,$C$3:$F$4001,4,0)),"",VLOOKUP($R82&amp;AI$2,$C$3:$F$4001,4,0))</f>
        <v>0.36499999999999999</v>
      </c>
      <c r="AK82" s="106">
        <f>IF(ISNA(VLOOKUP($R82&amp;AK$2,$C$3:$F$4001,3,0)),"",VLOOKUP($R82&amp;AK$2,$C$3:$F$4001,3,0))</f>
        <v>41541</v>
      </c>
      <c r="AL82" s="107">
        <f>IF(ISNA(VLOOKUP($R82&amp;AK$2,$C$3:$F$4001,4,0)),"",VLOOKUP($R82&amp;AK$2,$C$3:$F$4001,4,0))</f>
        <v>0.4</v>
      </c>
    </row>
    <row r="83" spans="3:38" x14ac:dyDescent="0.2">
      <c r="C83" s="96" t="str">
        <f t="shared" si="4"/>
        <v>AIX1</v>
      </c>
      <c r="D83" s="73" t="s">
        <v>72</v>
      </c>
      <c r="E83" s="100">
        <v>39988</v>
      </c>
      <c r="F83" s="101">
        <v>0.09</v>
      </c>
      <c r="G83" s="96">
        <f t="shared" si="5"/>
        <v>1</v>
      </c>
      <c r="I83" s="96"/>
      <c r="K83" t="str">
        <f t="shared" si="6"/>
        <v>AIX1</v>
      </c>
      <c r="L83" s="73" t="s">
        <v>72</v>
      </c>
      <c r="M83" s="72">
        <v>39988</v>
      </c>
      <c r="N83" s="84">
        <v>0.09</v>
      </c>
      <c r="O83" s="96">
        <f t="shared" si="7"/>
        <v>1</v>
      </c>
      <c r="P83" s="73"/>
      <c r="Q83" s="96"/>
      <c r="R83" s="96" t="str">
        <f>R82</f>
        <v>BBG</v>
      </c>
      <c r="S83" s="108">
        <f>IF(ISNA(VLOOKUP($R83&amp;S$2,$K$3:$N$4001,3,0)),"",VLOOKUP($R83&amp;S$2,$K$3:$N$4001,3,0))</f>
        <v>39891</v>
      </c>
      <c r="T83" s="109">
        <f>IF(ISNA(VLOOKUP($R83&amp;S$2,$K$3:$N$4001,4,0)),"",VLOOKUP($R83&amp;S$2,$K$3:$N$4001,4,0))</f>
        <v>0.28499999999999998</v>
      </c>
      <c r="U83" s="108">
        <f>IF(ISNA(VLOOKUP($R83&amp;U$2,$K$3:$N$4001,3,0)),"",VLOOKUP($R83&amp;U$2,$K$3:$N$4001,3,0))</f>
        <v>40078</v>
      </c>
      <c r="V83" s="109">
        <f>IF(ISNA(VLOOKUP($R83&amp;U$2,$K$3:$N$4001,4,0)),"",VLOOKUP($R83&amp;U$2,$K$3:$N$4001,4,0))</f>
        <v>0.28999999999999998</v>
      </c>
      <c r="W83" s="108">
        <f>IF(ISNA(VLOOKUP($R83&amp;W$2,$K$3:$N$4001,3,0)),"",VLOOKUP($R83&amp;W$2,$K$3:$N$4001,3,0))</f>
        <v>40256</v>
      </c>
      <c r="X83" s="109">
        <f>IF(ISNA(VLOOKUP($R83&amp;W$2,$K$3:$N$4001,4,0)),"",VLOOKUP($R83&amp;W$2,$K$3:$N$4001,4,0))</f>
        <v>0.28999999999999998</v>
      </c>
      <c r="Y83" s="108">
        <f>IF(ISNA(VLOOKUP($R83&amp;Y$2,$K$3:$N$4001,3,0)),"",VLOOKUP($R83&amp;Y$2,$K$3:$N$4001,3,0))</f>
        <v>40443</v>
      </c>
      <c r="Z83" s="109">
        <f>IF(ISNA(VLOOKUP($R83&amp;Y$2,$K$3:$N$4001,4,0)),"",VLOOKUP($R83&amp;Y$2,$K$3:$N$4001,4,0))</f>
        <v>0.30499999999999999</v>
      </c>
      <c r="AA83" s="108">
        <f>IF(ISNA(VLOOKUP($R83&amp;AA$2,$K$3:$N$4001,3,0)),"",VLOOKUP($R83&amp;AA$2,$K$3:$N$4001,3,0))</f>
        <v>40623</v>
      </c>
      <c r="AB83" s="109">
        <f>IF(ISNA(VLOOKUP($R83&amp;AA$2,$K$3:$N$4001,4,0)),"",VLOOKUP($R83&amp;AA$2,$K$3:$N$4001,4,0))</f>
        <v>0.30499999999999999</v>
      </c>
      <c r="AC83" s="108">
        <f>IF(ISNA(VLOOKUP($R83&amp;AC$2,$K$3:$N$4001,3,0)),"",VLOOKUP($R83&amp;AC$2,$K$3:$N$4001,3,0))</f>
        <v>40808</v>
      </c>
      <c r="AD83" s="109">
        <f>IF(ISNA(VLOOKUP($R83&amp;AC$2,$K$3:$N$4001,4,0)),"",VLOOKUP($R83&amp;AC$2,$K$3:$N$4001,4,0))</f>
        <v>0.33</v>
      </c>
      <c r="AE83" s="108">
        <f>IF(ISNA(VLOOKUP($R83&amp;AE$2,$K$3:$N$4001,3,0)),"",VLOOKUP($R83&amp;AE$2,$K$3:$N$4001,3,0))</f>
        <v>40988</v>
      </c>
      <c r="AF83" s="109">
        <f>IF(ISNA(VLOOKUP($R83&amp;AE$2,$K$3:$N$4001,4,0)),"",VLOOKUP($R83&amp;AE$2,$K$3:$N$4001,4,0))</f>
        <v>0.33</v>
      </c>
      <c r="AG83" s="108">
        <f>IF(ISNA(VLOOKUP($R83&amp;AG$2,$K$3:$N$4001,3,0)),"",VLOOKUP($R83&amp;AG$2,$K$3:$N$4001,3,0))</f>
        <v>41176</v>
      </c>
      <c r="AH83" s="109">
        <f>IF(ISNA(VLOOKUP($R83&amp;AG$2,$K$3:$N$4001,4,0)),"",VLOOKUP($R83&amp;AG$2,$K$3:$N$4001,4,0))</f>
        <v>0.36499999999999999</v>
      </c>
      <c r="AI83" s="108">
        <f>IF(ISNA(VLOOKUP($R83&amp;AI$2,$K$3:$N$4001,3,0)),"",VLOOKUP($R83&amp;AI$2,$K$3:$N$4001,3,0))</f>
        <v>41353</v>
      </c>
      <c r="AJ83" s="109">
        <f>IF(ISNA(VLOOKUP($R83&amp;AI$2,$K$3:$N$4001,4,0)),"",VLOOKUP($R83&amp;AI$2,$K$3:$N$4001,4,0))</f>
        <v>0.36499999999999999</v>
      </c>
      <c r="AK83" s="108">
        <f>IF(ISNA(VLOOKUP($R83&amp;AK$2,$K$3:$N$4001,3,0)),"",VLOOKUP($R83&amp;AK$2,$K$3:$N$4001,3,0))</f>
        <v>41541</v>
      </c>
      <c r="AL83" s="109">
        <f>IF(ISNA(VLOOKUP($R83&amp;AK$2,$K$3:$N$4001,4,0)),"",VLOOKUP($R83&amp;AK$2,$K$3:$N$4001,4,0))</f>
        <v>0.4</v>
      </c>
    </row>
    <row r="84" spans="3:38" x14ac:dyDescent="0.2">
      <c r="C84" s="96" t="str">
        <f t="shared" si="4"/>
        <v>AIX2</v>
      </c>
      <c r="D84" s="73" t="s">
        <v>72</v>
      </c>
      <c r="E84" s="100">
        <v>40170</v>
      </c>
      <c r="F84" s="101">
        <v>0.09</v>
      </c>
      <c r="G84" s="96">
        <f t="shared" si="5"/>
        <v>2</v>
      </c>
      <c r="I84" s="96"/>
      <c r="K84" t="str">
        <f t="shared" si="6"/>
        <v>AIX2</v>
      </c>
      <c r="L84" s="73" t="s">
        <v>72</v>
      </c>
      <c r="M84" s="72">
        <v>40170</v>
      </c>
      <c r="N84" s="84">
        <v>0.09</v>
      </c>
      <c r="O84" s="96">
        <f t="shared" si="7"/>
        <v>2</v>
      </c>
      <c r="P84" s="73"/>
      <c r="Q84" s="96"/>
      <c r="R84" s="96" t="s">
        <v>99</v>
      </c>
      <c r="S84" s="106">
        <f>IF(ISNA(VLOOKUP($R84&amp;S$2,$C$3:$F$4001,3,0)),"",VLOOKUP($R84&amp;S$2,$C$3:$F$4001,3,0))</f>
        <v>39870</v>
      </c>
      <c r="T84" s="107">
        <f>IF(ISNA(VLOOKUP($R84&amp;S$2,$C$3:$F$4001,4,0)),"",VLOOKUP($R84&amp;S$2,$C$3:$F$4001,4,0))</f>
        <v>0.1</v>
      </c>
      <c r="U84" s="106">
        <f>IF(ISNA(VLOOKUP($R84&amp;U$2,$C$3:$F$4001,3,0)),"",VLOOKUP($R84&amp;U$2,$C$3:$F$4001,3,0))</f>
        <v>40077</v>
      </c>
      <c r="V84" s="107">
        <f>IF(ISNA(VLOOKUP($R84&amp;U$2,$C$3:$F$4001,4,0)),"",VLOOKUP($R84&amp;U$2,$C$3:$F$4001,4,0))</f>
        <v>0.12</v>
      </c>
      <c r="W84" s="106">
        <f>IF(ISNA(VLOOKUP($R84&amp;W$2,$C$3:$F$4001,3,0)),"",VLOOKUP($R84&amp;W$2,$C$3:$F$4001,3,0))</f>
        <v>40235</v>
      </c>
      <c r="X84" s="107">
        <f>IF(ISNA(VLOOKUP($R84&amp;W$2,$C$3:$F$4001,4,0)),"",VLOOKUP($R84&amp;W$2,$C$3:$F$4001,4,0))</f>
        <v>0.1</v>
      </c>
      <c r="Y84" s="106">
        <f>IF(ISNA(VLOOKUP($R84&amp;Y$2,$C$3:$F$4001,3,0)),"",VLOOKUP($R84&amp;Y$2,$C$3:$F$4001,3,0))</f>
        <v>40442</v>
      </c>
      <c r="Z84" s="107">
        <f>IF(ISNA(VLOOKUP($R84&amp;Y$2,$C$3:$F$4001,4,0)),"",VLOOKUP($R84&amp;Y$2,$C$3:$F$4001,4,0))</f>
        <v>0.12</v>
      </c>
      <c r="AA84" s="106">
        <f>IF(ISNA(VLOOKUP($R84&amp;AA$2,$C$3:$F$4001,3,0)),"",VLOOKUP($R84&amp;AA$2,$C$3:$F$4001,3,0))</f>
        <v>40602</v>
      </c>
      <c r="AB84" s="107">
        <f>IF(ISNA(VLOOKUP($R84&amp;AA$2,$C$3:$F$4001,4,0)),"",VLOOKUP($R84&amp;AA$2,$C$3:$F$4001,4,0))</f>
        <v>0.12</v>
      </c>
      <c r="AC84" s="106">
        <f>IF(ISNA(VLOOKUP($R84&amp;AC$2,$C$3:$F$4001,3,0)),"",VLOOKUP($R84&amp;AC$2,$C$3:$F$4001,3,0))</f>
        <v>40807</v>
      </c>
      <c r="AD84" s="107">
        <f>IF(ISNA(VLOOKUP($R84&amp;AC$2,$C$3:$F$4001,4,0)),"",VLOOKUP($R84&amp;AC$2,$C$3:$F$4001,4,0))</f>
        <v>0.15</v>
      </c>
      <c r="AE84" s="106">
        <f>IF(ISNA(VLOOKUP($R84&amp;AE$2,$C$3:$F$4001,3,0)),"",VLOOKUP($R84&amp;AE$2,$C$3:$F$4001,3,0))</f>
        <v>40967</v>
      </c>
      <c r="AF84" s="107">
        <f>IF(ISNA(VLOOKUP($R84&amp;AE$2,$C$3:$F$4001,4,0)),"",VLOOKUP($R84&amp;AE$2,$C$3:$F$4001,4,0))</f>
        <v>0.15</v>
      </c>
      <c r="AG84" s="106">
        <f>IF(ISNA(VLOOKUP($R84&amp;AG$2,$C$3:$F$4001,3,0)),"",VLOOKUP($R84&amp;AG$2,$C$3:$F$4001,3,0))</f>
        <v>41173</v>
      </c>
      <c r="AH84" s="107">
        <f>IF(ISNA(VLOOKUP($R84&amp;AG$2,$C$3:$F$4001,4,0)),"",VLOOKUP($R84&amp;AG$2,$C$3:$F$4001,4,0))</f>
        <v>0.18</v>
      </c>
      <c r="AI84" s="106">
        <f>IF(ISNA(VLOOKUP($R84&amp;AI$2,$C$3:$F$4001,3,0)),"",VLOOKUP($R84&amp;AI$2,$C$3:$F$4001,3,0))</f>
        <v>41332</v>
      </c>
      <c r="AJ84" s="107">
        <f>IF(ISNA(VLOOKUP($R84&amp;AI$2,$C$3:$F$4001,4,0)),"",VLOOKUP($R84&amp;AI$2,$C$3:$F$4001,4,0))</f>
        <v>0.18</v>
      </c>
      <c r="AK84" s="106">
        <f>IF(ISNA(VLOOKUP($R84&amp;AK$2,$C$3:$F$4001,3,0)),"",VLOOKUP($R84&amp;AK$2,$C$3:$F$4001,3,0))</f>
        <v>41540</v>
      </c>
      <c r="AL84" s="107">
        <f>IF(ISNA(VLOOKUP($R84&amp;AK$2,$C$3:$F$4001,4,0)),"",VLOOKUP($R84&amp;AK$2,$C$3:$F$4001,4,0))</f>
        <v>0.24</v>
      </c>
    </row>
    <row r="85" spans="3:38" x14ac:dyDescent="0.2">
      <c r="C85" s="96" t="str">
        <f t="shared" si="4"/>
        <v>AIX3</v>
      </c>
      <c r="D85" s="73" t="s">
        <v>72</v>
      </c>
      <c r="E85" s="100">
        <v>40353</v>
      </c>
      <c r="F85" s="101">
        <v>9.5000000000000001E-2</v>
      </c>
      <c r="G85" s="96">
        <f t="shared" si="5"/>
        <v>3</v>
      </c>
      <c r="I85" s="96"/>
      <c r="K85" t="str">
        <f t="shared" si="6"/>
        <v>AIX3</v>
      </c>
      <c r="L85" s="73" t="s">
        <v>72</v>
      </c>
      <c r="M85" s="72">
        <v>40353</v>
      </c>
      <c r="N85" s="84">
        <v>9.5000000000000001E-2</v>
      </c>
      <c r="O85" s="96">
        <f t="shared" si="7"/>
        <v>3</v>
      </c>
      <c r="P85" s="73"/>
      <c r="Q85" s="96"/>
      <c r="R85" s="96" t="str">
        <f>R84</f>
        <v>BSL</v>
      </c>
      <c r="S85" s="108">
        <f>IF(ISNA(VLOOKUP($R85&amp;S$2,$K$3:$N$4001,3,0)),"",VLOOKUP($R85&amp;S$2,$K$3:$N$4001,3,0))</f>
        <v>39870</v>
      </c>
      <c r="T85" s="109">
        <f>IF(ISNA(VLOOKUP($R85&amp;S$2,$K$3:$N$4001,4,0)),"",VLOOKUP($R85&amp;S$2,$K$3:$N$4001,4,0))</f>
        <v>0.1</v>
      </c>
      <c r="U85" s="108">
        <f>IF(ISNA(VLOOKUP($R85&amp;U$2,$K$3:$N$4001,3,0)),"",VLOOKUP($R85&amp;U$2,$K$3:$N$4001,3,0))</f>
        <v>40077</v>
      </c>
      <c r="V85" s="109">
        <f>IF(ISNA(VLOOKUP($R85&amp;U$2,$K$3:$N$4001,4,0)),"",VLOOKUP($R85&amp;U$2,$K$3:$N$4001,4,0))</f>
        <v>0.12</v>
      </c>
      <c r="W85" s="108">
        <f>IF(ISNA(VLOOKUP($R85&amp;W$2,$K$3:$N$4001,3,0)),"",VLOOKUP($R85&amp;W$2,$K$3:$N$4001,3,0))</f>
        <v>40235</v>
      </c>
      <c r="X85" s="109">
        <f>IF(ISNA(VLOOKUP($R85&amp;W$2,$K$3:$N$4001,4,0)),"",VLOOKUP($R85&amp;W$2,$K$3:$N$4001,4,0))</f>
        <v>0.1</v>
      </c>
      <c r="Y85" s="108">
        <f>IF(ISNA(VLOOKUP($R85&amp;Y$2,$K$3:$N$4001,3,0)),"",VLOOKUP($R85&amp;Y$2,$K$3:$N$4001,3,0))</f>
        <v>40442</v>
      </c>
      <c r="Z85" s="109">
        <f>IF(ISNA(VLOOKUP($R85&amp;Y$2,$K$3:$N$4001,4,0)),"",VLOOKUP($R85&amp;Y$2,$K$3:$N$4001,4,0))</f>
        <v>0.12</v>
      </c>
      <c r="AA85" s="108">
        <f>IF(ISNA(VLOOKUP($R85&amp;AA$2,$K$3:$N$4001,3,0)),"",VLOOKUP($R85&amp;AA$2,$K$3:$N$4001,3,0))</f>
        <v>40602</v>
      </c>
      <c r="AB85" s="109">
        <f>IF(ISNA(VLOOKUP($R85&amp;AA$2,$K$3:$N$4001,4,0)),"",VLOOKUP($R85&amp;AA$2,$K$3:$N$4001,4,0))</f>
        <v>0.12</v>
      </c>
      <c r="AC85" s="108">
        <f>IF(ISNA(VLOOKUP($R85&amp;AC$2,$K$3:$N$4001,3,0)),"",VLOOKUP($R85&amp;AC$2,$K$3:$N$4001,3,0))</f>
        <v>40807</v>
      </c>
      <c r="AD85" s="109">
        <f>IF(ISNA(VLOOKUP($R85&amp;AC$2,$K$3:$N$4001,4,0)),"",VLOOKUP($R85&amp;AC$2,$K$3:$N$4001,4,0))</f>
        <v>0.15</v>
      </c>
      <c r="AE85" s="108">
        <f>IF(ISNA(VLOOKUP($R85&amp;AE$2,$K$3:$N$4001,3,0)),"",VLOOKUP($R85&amp;AE$2,$K$3:$N$4001,3,0))</f>
        <v>40967</v>
      </c>
      <c r="AF85" s="109">
        <f>IF(ISNA(VLOOKUP($R85&amp;AE$2,$K$3:$N$4001,4,0)),"",VLOOKUP($R85&amp;AE$2,$K$3:$N$4001,4,0))</f>
        <v>0.15</v>
      </c>
      <c r="AG85" s="108">
        <f>IF(ISNA(VLOOKUP($R85&amp;AG$2,$K$3:$N$4001,3,0)),"",VLOOKUP($R85&amp;AG$2,$K$3:$N$4001,3,0))</f>
        <v>41173</v>
      </c>
      <c r="AH85" s="109">
        <f>IF(ISNA(VLOOKUP($R85&amp;AG$2,$K$3:$N$4001,4,0)),"",VLOOKUP($R85&amp;AG$2,$K$3:$N$4001,4,0))</f>
        <v>0.18</v>
      </c>
      <c r="AI85" s="108">
        <f>IF(ISNA(VLOOKUP($R85&amp;AI$2,$K$3:$N$4001,3,0)),"",VLOOKUP($R85&amp;AI$2,$K$3:$N$4001,3,0))</f>
        <v>41332</v>
      </c>
      <c r="AJ85" s="109">
        <f>IF(ISNA(VLOOKUP($R85&amp;AI$2,$K$3:$N$4001,4,0)),"",VLOOKUP($R85&amp;AI$2,$K$3:$N$4001,4,0))</f>
        <v>0.18</v>
      </c>
      <c r="AK85" s="108">
        <f>IF(ISNA(VLOOKUP($R85&amp;AK$2,$K$3:$N$4001,3,0)),"",VLOOKUP($R85&amp;AK$2,$K$3:$N$4001,3,0))</f>
        <v>41540</v>
      </c>
      <c r="AL85" s="109">
        <f>IF(ISNA(VLOOKUP($R85&amp;AK$2,$K$3:$N$4001,4,0)),"",VLOOKUP($R85&amp;AK$2,$K$3:$N$4001,4,0))</f>
        <v>0.24</v>
      </c>
    </row>
    <row r="86" spans="3:38" x14ac:dyDescent="0.2">
      <c r="C86" s="96" t="str">
        <f t="shared" si="4"/>
        <v>AIX4</v>
      </c>
      <c r="D86" s="73" t="s">
        <v>72</v>
      </c>
      <c r="E86" s="100">
        <v>40535</v>
      </c>
      <c r="F86" s="101">
        <v>9.5000000000000001E-2</v>
      </c>
      <c r="G86" s="96">
        <f t="shared" si="5"/>
        <v>4</v>
      </c>
      <c r="I86" s="96"/>
      <c r="K86" t="str">
        <f t="shared" si="6"/>
        <v>AIX4</v>
      </c>
      <c r="L86" s="73" t="s">
        <v>72</v>
      </c>
      <c r="M86" s="72">
        <v>40535</v>
      </c>
      <c r="N86" s="84">
        <v>9.5000000000000001E-2</v>
      </c>
      <c r="O86" s="96">
        <f t="shared" si="7"/>
        <v>4</v>
      </c>
      <c r="P86" s="73"/>
      <c r="Q86" s="96"/>
      <c r="R86" s="96" t="s">
        <v>96</v>
      </c>
      <c r="S86" s="106">
        <f>IF(ISNA(VLOOKUP($R86&amp;S$2,$C$3:$F$4001,3,0)),"",VLOOKUP($R86&amp;S$2,$C$3:$F$4001,3,0))</f>
        <v>39888</v>
      </c>
      <c r="T86" s="107">
        <f>IF(ISNA(VLOOKUP($R86&amp;S$2,$C$3:$F$4001,4,0)),"",VLOOKUP($R86&amp;S$2,$C$3:$F$4001,4,0))</f>
        <v>1.4999999999999999E-2</v>
      </c>
      <c r="U86" s="106">
        <f>IF(ISNA(VLOOKUP($R86&amp;U$2,$C$3:$F$4001,3,0)),"",VLOOKUP($R86&amp;U$2,$C$3:$F$4001,3,0))</f>
        <v>40983</v>
      </c>
      <c r="V86" s="107">
        <f>IF(ISNA(VLOOKUP($R86&amp;U$2,$C$3:$F$4001,4,0)),"",VLOOKUP($R86&amp;U$2,$C$3:$F$4001,4,0))</f>
        <v>1.4999999999999999E-2</v>
      </c>
      <c r="W86" s="106">
        <f>IF(ISNA(VLOOKUP($R86&amp;W$2,$C$3:$F$4001,3,0)),"",VLOOKUP($R86&amp;W$2,$C$3:$F$4001,3,0))</f>
        <v>41166</v>
      </c>
      <c r="X86" s="107">
        <f>IF(ISNA(VLOOKUP($R86&amp;W$2,$C$3:$F$4001,4,0)),"",VLOOKUP($R86&amp;W$2,$C$3:$F$4001,4,0))</f>
        <v>0.01</v>
      </c>
      <c r="Y86" s="106">
        <f>IF(ISNA(VLOOKUP($R86&amp;Y$2,$C$3:$F$4001,3,0)),"",VLOOKUP($R86&amp;Y$2,$C$3:$F$4001,3,0))</f>
        <v>41351</v>
      </c>
      <c r="Z86" s="107">
        <f>IF(ISNA(VLOOKUP($R86&amp;Y$2,$C$3:$F$4001,4,0)),"",VLOOKUP($R86&amp;Y$2,$C$3:$F$4001,4,0))</f>
        <v>1.4999999999999999E-2</v>
      </c>
      <c r="AA86" s="106" t="str">
        <f>IF(ISNA(VLOOKUP($R86&amp;AA$2,$C$3:$F$4001,3,0)),"",VLOOKUP($R86&amp;AA$2,$C$3:$F$4001,3,0))</f>
        <v/>
      </c>
      <c r="AB86" s="107" t="str">
        <f>IF(ISNA(VLOOKUP($R86&amp;AA$2,$C$3:$F$4001,4,0)),"",VLOOKUP($R86&amp;AA$2,$C$3:$F$4001,4,0))</f>
        <v/>
      </c>
      <c r="AC86" s="106" t="str">
        <f>IF(ISNA(VLOOKUP($R86&amp;AC$2,$C$3:$F$4001,3,0)),"",VLOOKUP($R86&amp;AC$2,$C$3:$F$4001,3,0))</f>
        <v/>
      </c>
      <c r="AD86" s="107" t="str">
        <f>IF(ISNA(VLOOKUP($R86&amp;AC$2,$C$3:$F$4001,4,0)),"",VLOOKUP($R86&amp;AC$2,$C$3:$F$4001,4,0))</f>
        <v/>
      </c>
      <c r="AE86" s="106" t="str">
        <f>IF(ISNA(VLOOKUP($R86&amp;AE$2,$C$3:$F$4001,3,0)),"",VLOOKUP($R86&amp;AE$2,$C$3:$F$4001,3,0))</f>
        <v/>
      </c>
      <c r="AF86" s="107" t="str">
        <f>IF(ISNA(VLOOKUP($R86&amp;AE$2,$C$3:$F$4001,4,0)),"",VLOOKUP($R86&amp;AE$2,$C$3:$F$4001,4,0))</f>
        <v/>
      </c>
      <c r="AG86" s="106" t="str">
        <f>IF(ISNA(VLOOKUP($R86&amp;AG$2,$C$3:$F$4001,3,0)),"",VLOOKUP($R86&amp;AG$2,$C$3:$F$4001,3,0))</f>
        <v/>
      </c>
      <c r="AH86" s="107" t="str">
        <f>IF(ISNA(VLOOKUP($R86&amp;AG$2,$C$3:$F$4001,4,0)),"",VLOOKUP($R86&amp;AG$2,$C$3:$F$4001,4,0))</f>
        <v/>
      </c>
      <c r="AI86" s="106" t="str">
        <f>IF(ISNA(VLOOKUP($R86&amp;AI$2,$C$3:$F$4001,3,0)),"",VLOOKUP($R86&amp;AI$2,$C$3:$F$4001,3,0))</f>
        <v/>
      </c>
      <c r="AJ86" s="107" t="str">
        <f>IF(ISNA(VLOOKUP($R86&amp;AI$2,$C$3:$F$4001,4,0)),"",VLOOKUP($R86&amp;AI$2,$C$3:$F$4001,4,0))</f>
        <v/>
      </c>
      <c r="AK86" s="106" t="str">
        <f>IF(ISNA(VLOOKUP($R86&amp;AK$2,$C$3:$F$4001,3,0)),"",VLOOKUP($R86&amp;AK$2,$C$3:$F$4001,3,0))</f>
        <v/>
      </c>
      <c r="AL86" s="107" t="str">
        <f>IF(ISNA(VLOOKUP($R86&amp;AK$2,$C$3:$F$4001,4,0)),"",VLOOKUP($R86&amp;AK$2,$C$3:$F$4001,4,0))</f>
        <v/>
      </c>
    </row>
    <row r="87" spans="3:38" x14ac:dyDescent="0.2">
      <c r="C87" s="96" t="str">
        <f t="shared" si="4"/>
        <v>AIX5</v>
      </c>
      <c r="D87" s="73" t="s">
        <v>72</v>
      </c>
      <c r="E87" s="100">
        <v>40718</v>
      </c>
      <c r="F87" s="101">
        <v>0.1</v>
      </c>
      <c r="G87" s="96">
        <f t="shared" si="5"/>
        <v>5</v>
      </c>
      <c r="I87" s="96"/>
      <c r="K87" t="str">
        <f t="shared" si="6"/>
        <v>AIX5</v>
      </c>
      <c r="L87" s="73" t="s">
        <v>72</v>
      </c>
      <c r="M87" s="72">
        <v>40718</v>
      </c>
      <c r="N87" s="84">
        <v>0.1</v>
      </c>
      <c r="O87" s="96">
        <f t="shared" si="7"/>
        <v>5</v>
      </c>
      <c r="P87" s="73"/>
      <c r="Q87" s="96"/>
      <c r="R87" s="96" t="str">
        <f>R86</f>
        <v>BLY</v>
      </c>
      <c r="S87" s="108">
        <f>IF(ISNA(VLOOKUP($R87&amp;S$2,$K$3:$N$4001,3,0)),"",VLOOKUP($R87&amp;S$2,$K$3:$N$4001,3,0))</f>
        <v>39888</v>
      </c>
      <c r="T87" s="109">
        <f>IF(ISNA(VLOOKUP($R87&amp;S$2,$K$3:$N$4001,4,0)),"",VLOOKUP($R87&amp;S$2,$K$3:$N$4001,4,0))</f>
        <v>1.4999999999999999E-2</v>
      </c>
      <c r="U87" s="108">
        <f>IF(ISNA(VLOOKUP($R87&amp;U$2,$K$3:$N$4001,3,0)),"",VLOOKUP($R87&amp;U$2,$K$3:$N$4001,3,0))</f>
        <v>40983</v>
      </c>
      <c r="V87" s="109">
        <f>IF(ISNA(VLOOKUP($R87&amp;U$2,$K$3:$N$4001,4,0)),"",VLOOKUP($R87&amp;U$2,$K$3:$N$4001,4,0))</f>
        <v>1.4999999999999999E-2</v>
      </c>
      <c r="W87" s="108">
        <f>IF(ISNA(VLOOKUP($R87&amp;W$2,$K$3:$N$4001,3,0)),"",VLOOKUP($R87&amp;W$2,$K$3:$N$4001,3,0))</f>
        <v>41166</v>
      </c>
      <c r="X87" s="109">
        <f>IF(ISNA(VLOOKUP($R87&amp;W$2,$K$3:$N$4001,4,0)),"",VLOOKUP($R87&amp;W$2,$K$3:$N$4001,4,0))</f>
        <v>0.01</v>
      </c>
      <c r="Y87" s="108">
        <f>IF(ISNA(VLOOKUP($R87&amp;Y$2,$K$3:$N$4001,3,0)),"",VLOOKUP($R87&amp;Y$2,$K$3:$N$4001,3,0))</f>
        <v>41351</v>
      </c>
      <c r="Z87" s="109">
        <f>IF(ISNA(VLOOKUP($R87&amp;Y$2,$K$3:$N$4001,4,0)),"",VLOOKUP($R87&amp;Y$2,$K$3:$N$4001,4,0))</f>
        <v>1.4999999999999999E-2</v>
      </c>
      <c r="AA87" s="108" t="str">
        <f>IF(ISNA(VLOOKUP($R87&amp;AA$2,$K$3:$N$4001,3,0)),"",VLOOKUP($R87&amp;AA$2,$K$3:$N$4001,3,0))</f>
        <v/>
      </c>
      <c r="AB87" s="109" t="str">
        <f>IF(ISNA(VLOOKUP($R87&amp;AA$2,$K$3:$N$4001,4,0)),"",VLOOKUP($R87&amp;AA$2,$K$3:$N$4001,4,0))</f>
        <v/>
      </c>
      <c r="AC87" s="108" t="str">
        <f>IF(ISNA(VLOOKUP($R87&amp;AC$2,$K$3:$N$4001,3,0)),"",VLOOKUP($R87&amp;AC$2,$K$3:$N$4001,3,0))</f>
        <v/>
      </c>
      <c r="AD87" s="109" t="str">
        <f>IF(ISNA(VLOOKUP($R87&amp;AC$2,$K$3:$N$4001,4,0)),"",VLOOKUP($R87&amp;AC$2,$K$3:$N$4001,4,0))</f>
        <v/>
      </c>
      <c r="AE87" s="108" t="str">
        <f>IF(ISNA(VLOOKUP($R87&amp;AE$2,$K$3:$N$4001,3,0)),"",VLOOKUP($R87&amp;AE$2,$K$3:$N$4001,3,0))</f>
        <v/>
      </c>
      <c r="AF87" s="109" t="str">
        <f>IF(ISNA(VLOOKUP($R87&amp;AE$2,$K$3:$N$4001,4,0)),"",VLOOKUP($R87&amp;AE$2,$K$3:$N$4001,4,0))</f>
        <v/>
      </c>
      <c r="AG87" s="108" t="str">
        <f>IF(ISNA(VLOOKUP($R87&amp;AG$2,$K$3:$N$4001,3,0)),"",VLOOKUP($R87&amp;AG$2,$K$3:$N$4001,3,0))</f>
        <v/>
      </c>
      <c r="AH87" s="109" t="str">
        <f>IF(ISNA(VLOOKUP($R87&amp;AG$2,$K$3:$N$4001,4,0)),"",VLOOKUP($R87&amp;AG$2,$K$3:$N$4001,4,0))</f>
        <v/>
      </c>
      <c r="AI87" s="108" t="str">
        <f>IF(ISNA(VLOOKUP($R87&amp;AI$2,$K$3:$N$4001,3,0)),"",VLOOKUP($R87&amp;AI$2,$K$3:$N$4001,3,0))</f>
        <v/>
      </c>
      <c r="AJ87" s="109" t="str">
        <f>IF(ISNA(VLOOKUP($R87&amp;AI$2,$K$3:$N$4001,4,0)),"",VLOOKUP($R87&amp;AI$2,$K$3:$N$4001,4,0))</f>
        <v/>
      </c>
      <c r="AK87" s="108" t="str">
        <f>IF(ISNA(VLOOKUP($R87&amp;AK$2,$K$3:$N$4001,3,0)),"",VLOOKUP($R87&amp;AK$2,$K$3:$N$4001,3,0))</f>
        <v/>
      </c>
      <c r="AL87" s="109" t="str">
        <f>IF(ISNA(VLOOKUP($R87&amp;AK$2,$K$3:$N$4001,4,0)),"",VLOOKUP($R87&amp;AK$2,$K$3:$N$4001,4,0))</f>
        <v/>
      </c>
    </row>
    <row r="88" spans="3:38" x14ac:dyDescent="0.2">
      <c r="C88" s="96" t="str">
        <f t="shared" si="4"/>
        <v>AIX6</v>
      </c>
      <c r="D88" s="73" t="s">
        <v>72</v>
      </c>
      <c r="E88" s="100">
        <v>40899</v>
      </c>
      <c r="F88" s="101">
        <v>0.1</v>
      </c>
      <c r="G88" s="96">
        <f t="shared" si="5"/>
        <v>6</v>
      </c>
      <c r="I88" s="96"/>
      <c r="K88" t="str">
        <f t="shared" si="6"/>
        <v>AIX6</v>
      </c>
      <c r="L88" s="73" t="s">
        <v>72</v>
      </c>
      <c r="M88" s="72">
        <v>40899</v>
      </c>
      <c r="N88" s="84">
        <v>0.1</v>
      </c>
      <c r="O88" s="96">
        <f t="shared" si="7"/>
        <v>6</v>
      </c>
      <c r="P88" s="73"/>
      <c r="Q88" s="96"/>
      <c r="R88" s="96" t="s">
        <v>95</v>
      </c>
      <c r="S88" s="106">
        <f>IF(ISNA(VLOOKUP($R88&amp;S$2,$C$3:$F$4001,3,0)),"",VLOOKUP($R88&amp;S$2,$C$3:$F$4001,3,0))</f>
        <v>39867</v>
      </c>
      <c r="T88" s="107">
        <f>IF(ISNA(VLOOKUP($R88&amp;S$2,$C$3:$F$4001,4,0)),"",VLOOKUP($R88&amp;S$2,$C$3:$F$4001,4,0))</f>
        <v>0.1</v>
      </c>
      <c r="U88" s="106">
        <f>IF(ISNA(VLOOKUP($R88&amp;U$2,$C$3:$F$4001,3,0)),"",VLOOKUP($R88&amp;U$2,$C$3:$F$4001,3,0))</f>
        <v>40050</v>
      </c>
      <c r="V88" s="107">
        <f>IF(ISNA(VLOOKUP($R88&amp;U$2,$C$3:$F$4001,4,0)),"",VLOOKUP($R88&amp;U$2,$C$3:$F$4001,4,0))</f>
        <v>0.1</v>
      </c>
      <c r="W88" s="106">
        <f>IF(ISNA(VLOOKUP($R88&amp;W$2,$C$3:$F$4001,3,0)),"",VLOOKUP($R88&amp;W$2,$C$3:$F$4001,3,0))</f>
        <v>40232</v>
      </c>
      <c r="X88" s="107">
        <f>IF(ISNA(VLOOKUP($R88&amp;W$2,$C$3:$F$4001,4,0)),"",VLOOKUP($R88&amp;W$2,$C$3:$F$4001,4,0))</f>
        <v>0.12</v>
      </c>
      <c r="Y88" s="106">
        <f>IF(ISNA(VLOOKUP($R88&amp;Y$2,$C$3:$F$4001,3,0)),"",VLOOKUP($R88&amp;Y$2,$C$3:$F$4001,3,0))</f>
        <v>40415</v>
      </c>
      <c r="Z88" s="107">
        <f>IF(ISNA(VLOOKUP($R88&amp;Y$2,$C$3:$F$4001,4,0)),"",VLOOKUP($R88&amp;Y$2,$C$3:$F$4001,4,0))</f>
        <v>0.12</v>
      </c>
      <c r="AA88" s="106">
        <f>IF(ISNA(VLOOKUP($R88&amp;AA$2,$C$3:$F$4001,3,0)),"",VLOOKUP($R88&amp;AA$2,$C$3:$F$4001,3,0))</f>
        <v>40597</v>
      </c>
      <c r="AB88" s="107">
        <f>IF(ISNA(VLOOKUP($R88&amp;AA$2,$C$3:$F$4001,4,0)),"",VLOOKUP($R88&amp;AA$2,$C$3:$F$4001,4,0))</f>
        <v>0.12</v>
      </c>
      <c r="AC88" s="106">
        <f>IF(ISNA(VLOOKUP($R88&amp;AC$2,$C$3:$F$4001,3,0)),"",VLOOKUP($R88&amp;AC$2,$C$3:$F$4001,3,0))</f>
        <v>40780</v>
      </c>
      <c r="AD88" s="107">
        <f>IF(ISNA(VLOOKUP($R88&amp;AC$2,$C$3:$F$4001,4,0)),"",VLOOKUP($R88&amp;AC$2,$C$3:$F$4001,4,0))</f>
        <v>0.12</v>
      </c>
      <c r="AE88" s="106">
        <f>IF(ISNA(VLOOKUP($R88&amp;AE$2,$C$3:$F$4001,3,0)),"",VLOOKUP($R88&amp;AE$2,$C$3:$F$4001,3,0))</f>
        <v>40963</v>
      </c>
      <c r="AF88" s="107">
        <f>IF(ISNA(VLOOKUP($R88&amp;AE$2,$C$3:$F$4001,4,0)),"",VLOOKUP($R88&amp;AE$2,$C$3:$F$4001,4,0))</f>
        <v>0.15</v>
      </c>
      <c r="AG88" s="106">
        <f>IF(ISNA(VLOOKUP($R88&amp;AG$2,$C$3:$F$4001,3,0)),"",VLOOKUP($R88&amp;AG$2,$C$3:$F$4001,3,0))</f>
        <v>41148</v>
      </c>
      <c r="AH88" s="107">
        <f>IF(ISNA(VLOOKUP($R88&amp;AG$2,$C$3:$F$4001,4,0)),"",VLOOKUP($R88&amp;AG$2,$C$3:$F$4001,4,0))</f>
        <v>0.15</v>
      </c>
      <c r="AI88" s="106">
        <f>IF(ISNA(VLOOKUP($R88&amp;AI$2,$C$3:$F$4001,3,0)),"",VLOOKUP($R88&amp;AI$2,$C$3:$F$4001,3,0))</f>
        <v>41330</v>
      </c>
      <c r="AJ88" s="107">
        <f>IF(ISNA(VLOOKUP($R88&amp;AI$2,$C$3:$F$4001,4,0)),"",VLOOKUP($R88&amp;AI$2,$C$3:$F$4001,4,0))</f>
        <v>0.17</v>
      </c>
      <c r="AK88" s="106">
        <f>IF(ISNA(VLOOKUP($R88&amp;AK$2,$C$3:$F$4001,3,0)),"",VLOOKUP($R88&amp;AK$2,$C$3:$F$4001,3,0))</f>
        <v>41513</v>
      </c>
      <c r="AL88" s="107">
        <f>IF(ISNA(VLOOKUP($R88&amp;AK$2,$C$3:$F$4001,4,0)),"",VLOOKUP($R88&amp;AK$2,$C$3:$F$4001,4,0))</f>
        <v>0.17</v>
      </c>
    </row>
    <row r="89" spans="3:38" x14ac:dyDescent="0.2">
      <c r="C89" s="96" t="str">
        <f t="shared" si="4"/>
        <v>AIX7</v>
      </c>
      <c r="D89" s="73" t="s">
        <v>72</v>
      </c>
      <c r="E89" s="100">
        <v>41085</v>
      </c>
      <c r="F89" s="101">
        <v>0.105</v>
      </c>
      <c r="G89" s="96">
        <f t="shared" si="5"/>
        <v>7</v>
      </c>
      <c r="I89" s="96"/>
      <c r="K89" t="str">
        <f t="shared" si="6"/>
        <v>AIX7</v>
      </c>
      <c r="L89" s="73" t="s">
        <v>72</v>
      </c>
      <c r="M89" s="72">
        <v>41085</v>
      </c>
      <c r="N89" s="84">
        <v>0.105</v>
      </c>
      <c r="O89" s="96">
        <f t="shared" si="7"/>
        <v>7</v>
      </c>
      <c r="P89" s="73"/>
      <c r="Q89" s="96"/>
      <c r="R89" s="96" t="str">
        <f>R88</f>
        <v>BLD</v>
      </c>
      <c r="S89" s="108">
        <f>IF(ISNA(VLOOKUP($R89&amp;S$2,$K$3:$N$4001,3,0)),"",VLOOKUP($R89&amp;S$2,$K$3:$N$4001,3,0))</f>
        <v>39867</v>
      </c>
      <c r="T89" s="109">
        <f>IF(ISNA(VLOOKUP($R89&amp;S$2,$K$3:$N$4001,4,0)),"",VLOOKUP($R89&amp;S$2,$K$3:$N$4001,4,0))</f>
        <v>0.1</v>
      </c>
      <c r="U89" s="108">
        <f>IF(ISNA(VLOOKUP($R89&amp;U$2,$K$3:$N$4001,3,0)),"",VLOOKUP($R89&amp;U$2,$K$3:$N$4001,3,0))</f>
        <v>40050</v>
      </c>
      <c r="V89" s="109">
        <f>IF(ISNA(VLOOKUP($R89&amp;U$2,$K$3:$N$4001,4,0)),"",VLOOKUP($R89&amp;U$2,$K$3:$N$4001,4,0))</f>
        <v>0.1</v>
      </c>
      <c r="W89" s="108">
        <f>IF(ISNA(VLOOKUP($R89&amp;W$2,$K$3:$N$4001,3,0)),"",VLOOKUP($R89&amp;W$2,$K$3:$N$4001,3,0))</f>
        <v>40232</v>
      </c>
      <c r="X89" s="109">
        <f>IF(ISNA(VLOOKUP($R89&amp;W$2,$K$3:$N$4001,4,0)),"",VLOOKUP($R89&amp;W$2,$K$3:$N$4001,4,0))</f>
        <v>0.12</v>
      </c>
      <c r="Y89" s="108">
        <f>IF(ISNA(VLOOKUP($R89&amp;Y$2,$K$3:$N$4001,3,0)),"",VLOOKUP($R89&amp;Y$2,$K$3:$N$4001,3,0))</f>
        <v>40415</v>
      </c>
      <c r="Z89" s="109">
        <f>IF(ISNA(VLOOKUP($R89&amp;Y$2,$K$3:$N$4001,4,0)),"",VLOOKUP($R89&amp;Y$2,$K$3:$N$4001,4,0))</f>
        <v>0.12</v>
      </c>
      <c r="AA89" s="108">
        <f>IF(ISNA(VLOOKUP($R89&amp;AA$2,$K$3:$N$4001,3,0)),"",VLOOKUP($R89&amp;AA$2,$K$3:$N$4001,3,0))</f>
        <v>40597</v>
      </c>
      <c r="AB89" s="109">
        <f>IF(ISNA(VLOOKUP($R89&amp;AA$2,$K$3:$N$4001,4,0)),"",VLOOKUP($R89&amp;AA$2,$K$3:$N$4001,4,0))</f>
        <v>0.12</v>
      </c>
      <c r="AC89" s="108">
        <f>IF(ISNA(VLOOKUP($R89&amp;AC$2,$K$3:$N$4001,3,0)),"",VLOOKUP($R89&amp;AC$2,$K$3:$N$4001,3,0))</f>
        <v>40780</v>
      </c>
      <c r="AD89" s="109">
        <f>IF(ISNA(VLOOKUP($R89&amp;AC$2,$K$3:$N$4001,4,0)),"",VLOOKUP($R89&amp;AC$2,$K$3:$N$4001,4,0))</f>
        <v>0.12</v>
      </c>
      <c r="AE89" s="108">
        <f>IF(ISNA(VLOOKUP($R89&amp;AE$2,$K$3:$N$4001,3,0)),"",VLOOKUP($R89&amp;AE$2,$K$3:$N$4001,3,0))</f>
        <v>40963</v>
      </c>
      <c r="AF89" s="109">
        <f>IF(ISNA(VLOOKUP($R89&amp;AE$2,$K$3:$N$4001,4,0)),"",VLOOKUP($R89&amp;AE$2,$K$3:$N$4001,4,0))</f>
        <v>0.15</v>
      </c>
      <c r="AG89" s="108">
        <f>IF(ISNA(VLOOKUP($R89&amp;AG$2,$K$3:$N$4001,3,0)),"",VLOOKUP($R89&amp;AG$2,$K$3:$N$4001,3,0))</f>
        <v>41148</v>
      </c>
      <c r="AH89" s="109">
        <f>IF(ISNA(VLOOKUP($R89&amp;AG$2,$K$3:$N$4001,4,0)),"",VLOOKUP($R89&amp;AG$2,$K$3:$N$4001,4,0))</f>
        <v>0.15</v>
      </c>
      <c r="AI89" s="108">
        <f>IF(ISNA(VLOOKUP($R89&amp;AI$2,$K$3:$N$4001,3,0)),"",VLOOKUP($R89&amp;AI$2,$K$3:$N$4001,3,0))</f>
        <v>41330</v>
      </c>
      <c r="AJ89" s="109">
        <f>IF(ISNA(VLOOKUP($R89&amp;AI$2,$K$3:$N$4001,4,0)),"",VLOOKUP($R89&amp;AI$2,$K$3:$N$4001,4,0))</f>
        <v>0.17</v>
      </c>
      <c r="AK89" s="108">
        <f>IF(ISNA(VLOOKUP($R89&amp;AK$2,$K$3:$N$4001,3,0)),"",VLOOKUP($R89&amp;AK$2,$K$3:$N$4001,3,0))</f>
        <v>41513</v>
      </c>
      <c r="AL89" s="109">
        <f>IF(ISNA(VLOOKUP($R89&amp;AK$2,$K$3:$N$4001,4,0)),"",VLOOKUP($R89&amp;AK$2,$K$3:$N$4001,4,0))</f>
        <v>0.17</v>
      </c>
    </row>
    <row r="90" spans="3:38" x14ac:dyDescent="0.2">
      <c r="C90" s="96" t="str">
        <f t="shared" si="4"/>
        <v>AIX8</v>
      </c>
      <c r="D90" s="73" t="s">
        <v>72</v>
      </c>
      <c r="E90" s="100">
        <v>41268</v>
      </c>
      <c r="F90" s="101">
        <v>0.105</v>
      </c>
      <c r="G90" s="96">
        <f t="shared" si="5"/>
        <v>8</v>
      </c>
      <c r="I90" s="96"/>
      <c r="K90" t="str">
        <f t="shared" si="6"/>
        <v>AIX8</v>
      </c>
      <c r="L90" s="73" t="s">
        <v>72</v>
      </c>
      <c r="M90" s="72">
        <v>41268</v>
      </c>
      <c r="N90" s="84">
        <v>0.105</v>
      </c>
      <c r="O90" s="96">
        <f t="shared" si="7"/>
        <v>8</v>
      </c>
      <c r="P90" s="73"/>
      <c r="Q90" s="96"/>
      <c r="R90" s="96" t="s">
        <v>94</v>
      </c>
      <c r="S90" s="106">
        <f>IF(ISNA(VLOOKUP($R90&amp;S$2,$C$3:$F$4001,3,0)),"",VLOOKUP($R90&amp;S$2,$C$3:$F$4001,3,0))</f>
        <v>39864</v>
      </c>
      <c r="T90" s="107">
        <f>IF(ISNA(VLOOKUP($R90&amp;S$2,$C$3:$F$4001,4,0)),"",VLOOKUP($R90&amp;S$2,$C$3:$F$4001,4,0))</f>
        <v>0.1573</v>
      </c>
      <c r="U90" s="106">
        <f>IF(ISNA(VLOOKUP($R90&amp;U$2,$C$3:$F$4001,3,0)),"",VLOOKUP($R90&amp;U$2,$C$3:$F$4001,3,0))</f>
        <v>40042</v>
      </c>
      <c r="V90" s="107">
        <f>IF(ISNA(VLOOKUP($R90&amp;U$2,$C$3:$F$4001,4,0)),"",VLOOKUP($R90&amp;U$2,$C$3:$F$4001,4,0))</f>
        <v>0.23070000000000002</v>
      </c>
      <c r="W90" s="106">
        <f>IF(ISNA(VLOOKUP($R90&amp;W$2,$C$3:$F$4001,3,0)),"",VLOOKUP($R90&amp;W$2,$C$3:$F$4001,3,0))</f>
        <v>40231</v>
      </c>
      <c r="X90" s="107">
        <f>IF(ISNA(VLOOKUP($R90&amp;W$2,$C$3:$F$4001,4,0)),"",VLOOKUP($R90&amp;W$2,$C$3:$F$4001,4,0))</f>
        <v>0.1605</v>
      </c>
      <c r="Y90" s="106">
        <f>IF(ISNA(VLOOKUP($R90&amp;Y$2,$C$3:$F$4001,3,0)),"",VLOOKUP($R90&amp;Y$2,$C$3:$F$4001,3,0))</f>
        <v>40407</v>
      </c>
      <c r="Z90" s="107">
        <f>IF(ISNA(VLOOKUP($R90&amp;Y$2,$C$3:$F$4001,4,0)),"",VLOOKUP($R90&amp;Y$2,$C$3:$F$4001,4,0))</f>
        <v>0.23550000000000001</v>
      </c>
      <c r="AA90" s="106">
        <f>IF(ISNA(VLOOKUP($R90&amp;AA$2,$C$3:$F$4001,3,0)),"",VLOOKUP($R90&amp;AA$2,$C$3:$F$4001,3,0))</f>
        <v>40596</v>
      </c>
      <c r="AB90" s="107">
        <f>IF(ISNA(VLOOKUP($R90&amp;AA$2,$C$3:$F$4001,4,0)),"",VLOOKUP($R90&amp;AA$2,$C$3:$F$4001,4,0))</f>
        <v>0.184</v>
      </c>
      <c r="AC90" s="106">
        <f>IF(ISNA(VLOOKUP($R90&amp;AC$2,$C$3:$F$4001,3,0)),"",VLOOKUP($R90&amp;AC$2,$C$3:$F$4001,3,0))</f>
        <v>40772</v>
      </c>
      <c r="AD90" s="107">
        <f>IF(ISNA(VLOOKUP($R90&amp;AC$2,$C$3:$F$4001,4,0)),"",VLOOKUP($R90&amp;AC$2,$C$3:$F$4001,4,0))</f>
        <v>0.27</v>
      </c>
      <c r="AE90" s="106">
        <f>IF(ISNA(VLOOKUP($R90&amp;AE$2,$C$3:$F$4001,3,0)),"",VLOOKUP($R90&amp;AE$2,$C$3:$F$4001,3,0))</f>
        <v>40961</v>
      </c>
      <c r="AF90" s="107">
        <f>IF(ISNA(VLOOKUP($R90&amp;AE$2,$C$3:$F$4001,4,0)),"",VLOOKUP($R90&amp;AE$2,$C$3:$F$4001,4,0))</f>
        <v>0.21719999999999998</v>
      </c>
      <c r="AG90" s="106">
        <f>IF(ISNA(VLOOKUP($R90&amp;AG$2,$C$3:$F$4001,3,0)),"",VLOOKUP($R90&amp;AG$2,$C$3:$F$4001,3,0))</f>
        <v>41138</v>
      </c>
      <c r="AH90" s="107">
        <f>IF(ISNA(VLOOKUP($R90&amp;AG$2,$C$3:$F$4001,4,0)),"",VLOOKUP($R90&amp;AG$2,$C$3:$F$4001,4,0))</f>
        <v>0.31879999999999997</v>
      </c>
      <c r="AI90" s="106">
        <f>IF(ISNA(VLOOKUP($R90&amp;AI$2,$C$3:$F$4001,3,0)),"",VLOOKUP($R90&amp;AI$2,$C$3:$F$4001,3,0))</f>
        <v>41327</v>
      </c>
      <c r="AJ90" s="107">
        <f>IF(ISNA(VLOOKUP($R90&amp;AI$2,$C$3:$F$4001,4,0)),"",VLOOKUP($R90&amp;AI$2,$C$3:$F$4001,4,0))</f>
        <v>0.24350000000000002</v>
      </c>
      <c r="AK90" s="106">
        <f>IF(ISNA(VLOOKUP($R90&amp;AK$2,$C$3:$F$4001,3,0)),"",VLOOKUP($R90&amp;AK$2,$C$3:$F$4001,3,0))</f>
        <v>41505</v>
      </c>
      <c r="AL90" s="107">
        <f>IF(ISNA(VLOOKUP($R90&amp;AK$2,$C$3:$F$4001,4,0)),"",VLOOKUP($R90&amp;AK$2,$C$3:$F$4001,4,0))</f>
        <v>0.35749999999999998</v>
      </c>
    </row>
    <row r="91" spans="3:38" x14ac:dyDescent="0.2">
      <c r="C91" s="96" t="str">
        <f t="shared" si="4"/>
        <v>AIX9</v>
      </c>
      <c r="D91" s="73" t="s">
        <v>72</v>
      </c>
      <c r="E91" s="100">
        <v>41450</v>
      </c>
      <c r="F91" s="101">
        <v>0.11</v>
      </c>
      <c r="G91" s="96">
        <f t="shared" si="5"/>
        <v>9</v>
      </c>
      <c r="I91" s="96"/>
      <c r="K91" t="str">
        <f t="shared" si="6"/>
        <v>AIX9</v>
      </c>
      <c r="L91" s="73" t="s">
        <v>72</v>
      </c>
      <c r="M91" s="72">
        <v>41450</v>
      </c>
      <c r="N91" s="84">
        <v>0.11</v>
      </c>
      <c r="O91" s="96">
        <f t="shared" si="7"/>
        <v>9</v>
      </c>
      <c r="P91" s="73"/>
      <c r="Q91" s="96"/>
      <c r="R91" s="96" t="str">
        <f>R90</f>
        <v>BKN</v>
      </c>
      <c r="S91" s="108">
        <f>IF(ISNA(VLOOKUP($R91&amp;S$2,$K$3:$N$4001,3,0)),"",VLOOKUP($R91&amp;S$2,$K$3:$N$4001,3,0))</f>
        <v>39864</v>
      </c>
      <c r="T91" s="109">
        <f>IF(ISNA(VLOOKUP($R91&amp;S$2,$K$3:$N$4001,4,0)),"",VLOOKUP($R91&amp;S$2,$K$3:$N$4001,4,0))</f>
        <v>0.1573</v>
      </c>
      <c r="U91" s="108">
        <f>IF(ISNA(VLOOKUP($R91&amp;U$2,$K$3:$N$4001,3,0)),"",VLOOKUP($R91&amp;U$2,$K$3:$N$4001,3,0))</f>
        <v>40042</v>
      </c>
      <c r="V91" s="109">
        <f>IF(ISNA(VLOOKUP($R91&amp;U$2,$K$3:$N$4001,4,0)),"",VLOOKUP($R91&amp;U$2,$K$3:$N$4001,4,0))</f>
        <v>0.23070000000000002</v>
      </c>
      <c r="W91" s="108">
        <f>IF(ISNA(VLOOKUP($R91&amp;W$2,$K$3:$N$4001,3,0)),"",VLOOKUP($R91&amp;W$2,$K$3:$N$4001,3,0))</f>
        <v>40231</v>
      </c>
      <c r="X91" s="109">
        <f>IF(ISNA(VLOOKUP($R91&amp;W$2,$K$3:$N$4001,4,0)),"",VLOOKUP($R91&amp;W$2,$K$3:$N$4001,4,0))</f>
        <v>0.1605</v>
      </c>
      <c r="Y91" s="108">
        <f>IF(ISNA(VLOOKUP($R91&amp;Y$2,$K$3:$N$4001,3,0)),"",VLOOKUP($R91&amp;Y$2,$K$3:$N$4001,3,0))</f>
        <v>40407</v>
      </c>
      <c r="Z91" s="109">
        <f>IF(ISNA(VLOOKUP($R91&amp;Y$2,$K$3:$N$4001,4,0)),"",VLOOKUP($R91&amp;Y$2,$K$3:$N$4001,4,0))</f>
        <v>0.23550000000000001</v>
      </c>
      <c r="AA91" s="108">
        <f>IF(ISNA(VLOOKUP($R91&amp;AA$2,$K$3:$N$4001,3,0)),"",VLOOKUP($R91&amp;AA$2,$K$3:$N$4001,3,0))</f>
        <v>40596</v>
      </c>
      <c r="AB91" s="109">
        <f>IF(ISNA(VLOOKUP($R91&amp;AA$2,$K$3:$N$4001,4,0)),"",VLOOKUP($R91&amp;AA$2,$K$3:$N$4001,4,0))</f>
        <v>0.184</v>
      </c>
      <c r="AC91" s="108">
        <f>IF(ISNA(VLOOKUP($R91&amp;AC$2,$K$3:$N$4001,3,0)),"",VLOOKUP($R91&amp;AC$2,$K$3:$N$4001,3,0))</f>
        <v>40772</v>
      </c>
      <c r="AD91" s="109">
        <f>IF(ISNA(VLOOKUP($R91&amp;AC$2,$K$3:$N$4001,4,0)),"",VLOOKUP($R91&amp;AC$2,$K$3:$N$4001,4,0))</f>
        <v>0.27</v>
      </c>
      <c r="AE91" s="108">
        <f>IF(ISNA(VLOOKUP($R91&amp;AE$2,$K$3:$N$4001,3,0)),"",VLOOKUP($R91&amp;AE$2,$K$3:$N$4001,3,0))</f>
        <v>40961</v>
      </c>
      <c r="AF91" s="109">
        <f>IF(ISNA(VLOOKUP($R91&amp;AE$2,$K$3:$N$4001,4,0)),"",VLOOKUP($R91&amp;AE$2,$K$3:$N$4001,4,0))</f>
        <v>0.21719999999999998</v>
      </c>
      <c r="AG91" s="108">
        <f>IF(ISNA(VLOOKUP($R91&amp;AG$2,$K$3:$N$4001,3,0)),"",VLOOKUP($R91&amp;AG$2,$K$3:$N$4001,3,0))</f>
        <v>41138</v>
      </c>
      <c r="AH91" s="109">
        <f>IF(ISNA(VLOOKUP($R91&amp;AG$2,$K$3:$N$4001,4,0)),"",VLOOKUP($R91&amp;AG$2,$K$3:$N$4001,4,0))</f>
        <v>0.31879999999999997</v>
      </c>
      <c r="AI91" s="108">
        <f>IF(ISNA(VLOOKUP($R91&amp;AI$2,$K$3:$N$4001,3,0)),"",VLOOKUP($R91&amp;AI$2,$K$3:$N$4001,3,0))</f>
        <v>41327</v>
      </c>
      <c r="AJ91" s="109">
        <f>IF(ISNA(VLOOKUP($R91&amp;AI$2,$K$3:$N$4001,4,0)),"",VLOOKUP($R91&amp;AI$2,$K$3:$N$4001,4,0))</f>
        <v>0.24350000000000002</v>
      </c>
      <c r="AK91" s="108">
        <f>IF(ISNA(VLOOKUP($R91&amp;AK$2,$K$3:$N$4001,3,0)),"",VLOOKUP($R91&amp;AK$2,$K$3:$N$4001,3,0))</f>
        <v>41505</v>
      </c>
      <c r="AL91" s="109">
        <f>IF(ISNA(VLOOKUP($R91&amp;AK$2,$K$3:$N$4001,4,0)),"",VLOOKUP($R91&amp;AK$2,$K$3:$N$4001,4,0))</f>
        <v>0.35749999999999998</v>
      </c>
    </row>
    <row r="92" spans="3:38" x14ac:dyDescent="0.2">
      <c r="C92" s="96" t="str">
        <f t="shared" si="4"/>
        <v>ALL1</v>
      </c>
      <c r="D92" s="73" t="s">
        <v>73</v>
      </c>
      <c r="E92" s="100">
        <v>39874</v>
      </c>
      <c r="F92" s="101">
        <v>0.05</v>
      </c>
      <c r="G92" s="96">
        <f t="shared" si="5"/>
        <v>1</v>
      </c>
      <c r="I92" s="96"/>
      <c r="K92" t="str">
        <f t="shared" si="6"/>
        <v>ALL1</v>
      </c>
      <c r="L92" s="73" t="s">
        <v>73</v>
      </c>
      <c r="M92" s="72">
        <v>39874</v>
      </c>
      <c r="N92" s="84">
        <v>0.05</v>
      </c>
      <c r="O92" s="96">
        <f t="shared" si="7"/>
        <v>1</v>
      </c>
      <c r="P92" s="73"/>
      <c r="Q92" s="96"/>
      <c r="R92" s="96" t="s">
        <v>101</v>
      </c>
      <c r="S92" s="106">
        <f>IF(ISNA(VLOOKUP($R92&amp;S$2,$C$3:$F$4001,3,0)),"",VLOOKUP($R92&amp;S$2,$C$3:$F$4001,3,0))</f>
        <v>39888</v>
      </c>
      <c r="T92" s="107">
        <f>IF(ISNA(VLOOKUP($R92&amp;S$2,$C$3:$F$4001,4,0)),"",VLOOKUP($R92&amp;S$2,$C$3:$F$4001,4,0))</f>
        <v>0.17</v>
      </c>
      <c r="U92" s="106">
        <f>IF(ISNA(VLOOKUP($R92&amp;U$2,$C$3:$F$4001,3,0)),"",VLOOKUP($R92&amp;U$2,$C$3:$F$4001,3,0))</f>
        <v>40071</v>
      </c>
      <c r="V92" s="107">
        <f>IF(ISNA(VLOOKUP($R92&amp;U$2,$C$3:$F$4001,4,0)),"",VLOOKUP($R92&amp;U$2,$C$3:$F$4001,4,0))</f>
        <v>0.17499999999999999</v>
      </c>
      <c r="W92" s="106">
        <f>IF(ISNA(VLOOKUP($R92&amp;W$2,$C$3:$F$4001,3,0)),"",VLOOKUP($R92&amp;W$2,$C$3:$F$4001,3,0))</f>
        <v>40253</v>
      </c>
      <c r="X92" s="107">
        <f>IF(ISNA(VLOOKUP($R92&amp;W$2,$C$3:$F$4001,4,0)),"",VLOOKUP($R92&amp;W$2,$C$3:$F$4001,4,0))</f>
        <v>0.17</v>
      </c>
      <c r="Y92" s="106">
        <f>IF(ISNA(VLOOKUP($R92&amp;Y$2,$C$3:$F$4001,3,0)),"",VLOOKUP($R92&amp;Y$2,$C$3:$F$4001,3,0))</f>
        <v>40436</v>
      </c>
      <c r="Z92" s="107">
        <f>IF(ISNA(VLOOKUP($R92&amp;Y$2,$C$3:$F$4001,4,0)),"",VLOOKUP($R92&amp;Y$2,$C$3:$F$4001,4,0))</f>
        <v>0.17499999999999999</v>
      </c>
      <c r="AA92" s="106">
        <f>IF(ISNA(VLOOKUP($R92&amp;AA$2,$C$3:$F$4001,3,0)),"",VLOOKUP($R92&amp;AA$2,$C$3:$F$4001,3,0))</f>
        <v>40618</v>
      </c>
      <c r="AB92" s="107">
        <f>IF(ISNA(VLOOKUP($R92&amp;AA$2,$C$3:$F$4001,4,0)),"",VLOOKUP($R92&amp;AA$2,$C$3:$F$4001,4,0))</f>
        <v>0.18</v>
      </c>
      <c r="AC92" s="106">
        <f>IF(ISNA(VLOOKUP($R92&amp;AC$2,$C$3:$F$4001,3,0)),"",VLOOKUP($R92&amp;AC$2,$C$3:$F$4001,3,0))</f>
        <v>40801</v>
      </c>
      <c r="AD92" s="107">
        <f>IF(ISNA(VLOOKUP($R92&amp;AC$2,$C$3:$F$4001,4,0)),"",VLOOKUP($R92&amp;AC$2,$C$3:$F$4001,4,0))</f>
        <v>0.185</v>
      </c>
      <c r="AE92" s="106">
        <f>IF(ISNA(VLOOKUP($R92&amp;AE$2,$C$3:$F$4001,3,0)),"",VLOOKUP($R92&amp;AE$2,$C$3:$F$4001,3,0))</f>
        <v>40984</v>
      </c>
      <c r="AF92" s="107">
        <f>IF(ISNA(VLOOKUP($R92&amp;AE$2,$C$3:$F$4001,4,0)),"",VLOOKUP($R92&amp;AE$2,$C$3:$F$4001,4,0))</f>
        <v>0.19</v>
      </c>
      <c r="AG92" s="106">
        <f>IF(ISNA(VLOOKUP($R92&amp;AG$2,$C$3:$F$4001,3,0)),"",VLOOKUP($R92&amp;AG$2,$C$3:$F$4001,3,0))</f>
        <v>41169</v>
      </c>
      <c r="AH92" s="107">
        <f>IF(ISNA(VLOOKUP($R92&amp;AG$2,$C$3:$F$4001,4,0)),"",VLOOKUP($R92&amp;AG$2,$C$3:$F$4001,4,0))</f>
        <v>0.2</v>
      </c>
      <c r="AI92" s="106">
        <f>IF(ISNA(VLOOKUP($R92&amp;AI$2,$C$3:$F$4001,3,0)),"",VLOOKUP($R92&amp;AI$2,$C$3:$F$4001,3,0))</f>
        <v>41351</v>
      </c>
      <c r="AJ92" s="107">
        <f>IF(ISNA(VLOOKUP($R92&amp;AI$2,$C$3:$F$4001,4,0)),"",VLOOKUP($R92&amp;AI$2,$C$3:$F$4001,4,0))</f>
        <v>0.21</v>
      </c>
      <c r="AK92" s="106">
        <f>IF(ISNA(VLOOKUP($R92&amp;AK$2,$C$3:$F$4001,3,0)),"",VLOOKUP($R92&amp;AK$2,$C$3:$F$4001,3,0))</f>
        <v>41534</v>
      </c>
      <c r="AL92" s="107">
        <f>IF(ISNA(VLOOKUP($R92&amp;AK$2,$C$3:$F$4001,4,0)),"",VLOOKUP($R92&amp;AK$2,$C$3:$F$4001,4,0))</f>
        <v>0.23</v>
      </c>
    </row>
    <row r="93" spans="3:38" x14ac:dyDescent="0.2">
      <c r="C93" s="96" t="str">
        <f t="shared" si="4"/>
        <v>ALL2</v>
      </c>
      <c r="D93" s="73" t="s">
        <v>73</v>
      </c>
      <c r="E93" s="100">
        <v>39967</v>
      </c>
      <c r="F93" s="101">
        <v>0.02</v>
      </c>
      <c r="G93" s="96">
        <f t="shared" si="5"/>
        <v>2</v>
      </c>
      <c r="I93" s="96"/>
      <c r="K93" t="str">
        <f t="shared" si="6"/>
        <v>ALL2</v>
      </c>
      <c r="L93" s="73" t="s">
        <v>73</v>
      </c>
      <c r="M93" s="72">
        <v>39967</v>
      </c>
      <c r="N93" s="84">
        <v>0.02</v>
      </c>
      <c r="O93" s="96">
        <f t="shared" si="7"/>
        <v>2</v>
      </c>
      <c r="P93" s="73"/>
      <c r="Q93" s="96"/>
      <c r="R93" s="96" t="str">
        <f>R92</f>
        <v>BXB</v>
      </c>
      <c r="S93" s="108">
        <f>IF(ISNA(VLOOKUP($R93&amp;S$2,$K$3:$N$4001,3,0)),"",VLOOKUP($R93&amp;S$2,$K$3:$N$4001,3,0))</f>
        <v>39888</v>
      </c>
      <c r="T93" s="109">
        <f>IF(ISNA(VLOOKUP($R93&amp;S$2,$K$3:$N$4001,4,0)),"",VLOOKUP($R93&amp;S$2,$K$3:$N$4001,4,0))</f>
        <v>0.17</v>
      </c>
      <c r="U93" s="108">
        <f>IF(ISNA(VLOOKUP($R93&amp;U$2,$K$3:$N$4001,3,0)),"",VLOOKUP($R93&amp;U$2,$K$3:$N$4001,3,0))</f>
        <v>40071</v>
      </c>
      <c r="V93" s="109">
        <f>IF(ISNA(VLOOKUP($R93&amp;U$2,$K$3:$N$4001,4,0)),"",VLOOKUP($R93&amp;U$2,$K$3:$N$4001,4,0))</f>
        <v>0.17499999999999999</v>
      </c>
      <c r="W93" s="108">
        <f>IF(ISNA(VLOOKUP($R93&amp;W$2,$K$3:$N$4001,3,0)),"",VLOOKUP($R93&amp;W$2,$K$3:$N$4001,3,0))</f>
        <v>40253</v>
      </c>
      <c r="X93" s="109">
        <f>IF(ISNA(VLOOKUP($R93&amp;W$2,$K$3:$N$4001,4,0)),"",VLOOKUP($R93&amp;W$2,$K$3:$N$4001,4,0))</f>
        <v>0.17</v>
      </c>
      <c r="Y93" s="108">
        <f>IF(ISNA(VLOOKUP($R93&amp;Y$2,$K$3:$N$4001,3,0)),"",VLOOKUP($R93&amp;Y$2,$K$3:$N$4001,3,0))</f>
        <v>40436</v>
      </c>
      <c r="Z93" s="109">
        <f>IF(ISNA(VLOOKUP($R93&amp;Y$2,$K$3:$N$4001,4,0)),"",VLOOKUP($R93&amp;Y$2,$K$3:$N$4001,4,0))</f>
        <v>0.17499999999999999</v>
      </c>
      <c r="AA93" s="108">
        <f>IF(ISNA(VLOOKUP($R93&amp;AA$2,$K$3:$N$4001,3,0)),"",VLOOKUP($R93&amp;AA$2,$K$3:$N$4001,3,0))</f>
        <v>40618</v>
      </c>
      <c r="AB93" s="109">
        <f>IF(ISNA(VLOOKUP($R93&amp;AA$2,$K$3:$N$4001,4,0)),"",VLOOKUP($R93&amp;AA$2,$K$3:$N$4001,4,0))</f>
        <v>0.18</v>
      </c>
      <c r="AC93" s="108">
        <f>IF(ISNA(VLOOKUP($R93&amp;AC$2,$K$3:$N$4001,3,0)),"",VLOOKUP($R93&amp;AC$2,$K$3:$N$4001,3,0))</f>
        <v>40801</v>
      </c>
      <c r="AD93" s="109">
        <f>IF(ISNA(VLOOKUP($R93&amp;AC$2,$K$3:$N$4001,4,0)),"",VLOOKUP($R93&amp;AC$2,$K$3:$N$4001,4,0))</f>
        <v>0.185</v>
      </c>
      <c r="AE93" s="108">
        <f>IF(ISNA(VLOOKUP($R93&amp;AE$2,$K$3:$N$4001,3,0)),"",VLOOKUP($R93&amp;AE$2,$K$3:$N$4001,3,0))</f>
        <v>40984</v>
      </c>
      <c r="AF93" s="109">
        <f>IF(ISNA(VLOOKUP($R93&amp;AE$2,$K$3:$N$4001,4,0)),"",VLOOKUP($R93&amp;AE$2,$K$3:$N$4001,4,0))</f>
        <v>0.19</v>
      </c>
      <c r="AG93" s="108">
        <f>IF(ISNA(VLOOKUP($R93&amp;AG$2,$K$3:$N$4001,3,0)),"",VLOOKUP($R93&amp;AG$2,$K$3:$N$4001,3,0))</f>
        <v>41169</v>
      </c>
      <c r="AH93" s="109">
        <f>IF(ISNA(VLOOKUP($R93&amp;AG$2,$K$3:$N$4001,4,0)),"",VLOOKUP($R93&amp;AG$2,$K$3:$N$4001,4,0))</f>
        <v>0.2</v>
      </c>
      <c r="AI93" s="108">
        <f>IF(ISNA(VLOOKUP($R93&amp;AI$2,$K$3:$N$4001,3,0)),"",VLOOKUP($R93&amp;AI$2,$K$3:$N$4001,3,0))</f>
        <v>41351</v>
      </c>
      <c r="AJ93" s="109">
        <f>IF(ISNA(VLOOKUP($R93&amp;AI$2,$K$3:$N$4001,4,0)),"",VLOOKUP($R93&amp;AI$2,$K$3:$N$4001,4,0))</f>
        <v>0.21</v>
      </c>
      <c r="AK93" s="108">
        <f>IF(ISNA(VLOOKUP($R93&amp;AK$2,$K$3:$N$4001,3,0)),"",VLOOKUP($R93&amp;AK$2,$K$3:$N$4001,3,0))</f>
        <v>41534</v>
      </c>
      <c r="AL93" s="109">
        <f>IF(ISNA(VLOOKUP($R93&amp;AK$2,$K$3:$N$4001,4,0)),"",VLOOKUP($R93&amp;AK$2,$K$3:$N$4001,4,0))</f>
        <v>0.23</v>
      </c>
    </row>
    <row r="94" spans="3:38" x14ac:dyDescent="0.2">
      <c r="C94" s="96" t="str">
        <f t="shared" si="4"/>
        <v>ALL3</v>
      </c>
      <c r="D94" s="73" t="s">
        <v>73</v>
      </c>
      <c r="E94" s="100">
        <v>40059</v>
      </c>
      <c r="F94" s="101">
        <v>0.1</v>
      </c>
      <c r="G94" s="96">
        <f t="shared" si="5"/>
        <v>3</v>
      </c>
      <c r="I94" s="96"/>
      <c r="K94" t="str">
        <f t="shared" si="6"/>
        <v>ALL3</v>
      </c>
      <c r="L94" s="73" t="s">
        <v>73</v>
      </c>
      <c r="M94" s="72">
        <v>40059</v>
      </c>
      <c r="N94" s="84">
        <v>0.1</v>
      </c>
      <c r="O94" s="96">
        <f t="shared" si="7"/>
        <v>3</v>
      </c>
      <c r="P94" s="73"/>
      <c r="Q94" s="96"/>
      <c r="R94" s="96" t="s">
        <v>100</v>
      </c>
      <c r="S94" s="106">
        <f>IF(ISNA(VLOOKUP($R94&amp;S$2,$C$3:$F$4001,3,0)),"",VLOOKUP($R94&amp;S$2,$C$3:$F$4001,3,0))</f>
        <v>39988</v>
      </c>
      <c r="T94" s="107">
        <f>IF(ISNA(VLOOKUP($R94&amp;S$2,$C$3:$F$4001,4,0)),"",VLOOKUP($R94&amp;S$2,$C$3:$F$4001,4,0))</f>
        <v>6.5000000000000002E-2</v>
      </c>
      <c r="U94" s="106">
        <f>IF(ISNA(VLOOKUP($R94&amp;U$2,$C$3:$F$4001,3,0)),"",VLOOKUP($R94&amp;U$2,$C$3:$F$4001,3,0))</f>
        <v>40170</v>
      </c>
      <c r="V94" s="107">
        <f>IF(ISNA(VLOOKUP($R94&amp;U$2,$C$3:$F$4001,4,0)),"",VLOOKUP($R94&amp;U$2,$C$3:$F$4001,4,0))</f>
        <v>7.1300000000000002E-2</v>
      </c>
      <c r="W94" s="106">
        <f>IF(ISNA(VLOOKUP($R94&amp;W$2,$C$3:$F$4001,3,0)),"",VLOOKUP($R94&amp;W$2,$C$3:$F$4001,3,0))</f>
        <v>40353</v>
      </c>
      <c r="X94" s="107">
        <f>IF(ISNA(VLOOKUP($R94&amp;W$2,$C$3:$F$4001,4,0)),"",VLOOKUP($R94&amp;W$2,$C$3:$F$4001,4,0))</f>
        <v>6.9699999999999998E-2</v>
      </c>
      <c r="Y94" s="106">
        <f>IF(ISNA(VLOOKUP($R94&amp;Y$2,$C$3:$F$4001,3,0)),"",VLOOKUP($R94&amp;Y$2,$C$3:$F$4001,3,0))</f>
        <v>40535</v>
      </c>
      <c r="Z94" s="107">
        <f>IF(ISNA(VLOOKUP($R94&amp;Y$2,$C$3:$F$4001,4,0)),"",VLOOKUP($R94&amp;Y$2,$C$3:$F$4001,4,0))</f>
        <v>7.3300000000000004E-2</v>
      </c>
      <c r="AA94" s="106">
        <f>IF(ISNA(VLOOKUP($R94&amp;AA$2,$C$3:$F$4001,3,0)),"",VLOOKUP($R94&amp;AA$2,$C$3:$F$4001,3,0))</f>
        <v>40718</v>
      </c>
      <c r="AB94" s="107">
        <f>IF(ISNA(VLOOKUP($R94&amp;AA$2,$C$3:$F$4001,4,0)),"",VLOOKUP($R94&amp;AA$2,$C$3:$F$4001,4,0))</f>
        <v>7.17E-2</v>
      </c>
      <c r="AC94" s="106">
        <f>IF(ISNA(VLOOKUP($R94&amp;AC$2,$C$3:$F$4001,3,0)),"",VLOOKUP($R94&amp;AC$2,$C$3:$F$4001,3,0))</f>
        <v>40899</v>
      </c>
      <c r="AD94" s="107">
        <f>IF(ISNA(VLOOKUP($R94&amp;AC$2,$C$3:$F$4001,4,0)),"",VLOOKUP($R94&amp;AC$2,$C$3:$F$4001,4,0))</f>
        <v>7.5800000000000006E-2</v>
      </c>
      <c r="AE94" s="106">
        <f>IF(ISNA(VLOOKUP($R94&amp;AE$2,$C$3:$F$4001,3,0)),"",VLOOKUP($R94&amp;AE$2,$C$3:$F$4001,3,0))</f>
        <v>41085</v>
      </c>
      <c r="AF94" s="107">
        <f>IF(ISNA(VLOOKUP($R94&amp;AE$2,$C$3:$F$4001,4,0)),"",VLOOKUP($R94&amp;AE$2,$C$3:$F$4001,4,0))</f>
        <v>7.4200000000000002E-2</v>
      </c>
      <c r="AG94" s="106">
        <f>IF(ISNA(VLOOKUP($R94&amp;AG$2,$C$3:$F$4001,3,0)),"",VLOOKUP($R94&amp;AG$2,$C$3:$F$4001,3,0))</f>
        <v>41268</v>
      </c>
      <c r="AH94" s="107">
        <f>IF(ISNA(VLOOKUP($R94&amp;AG$2,$C$3:$F$4001,4,0)),"",VLOOKUP($R94&amp;AG$2,$C$3:$F$4001,4,0))</f>
        <v>7.9299999999999995E-2</v>
      </c>
      <c r="AI94" s="106">
        <f>IF(ISNA(VLOOKUP($R94&amp;AI$2,$C$3:$F$4001,3,0)),"",VLOOKUP($R94&amp;AI$2,$C$3:$F$4001,3,0))</f>
        <v>41450</v>
      </c>
      <c r="AJ94" s="107">
        <f>IF(ISNA(VLOOKUP($R94&amp;AI$2,$C$3:$F$4001,4,0)),"",VLOOKUP($R94&amp;AI$2,$C$3:$F$4001,4,0))</f>
        <v>7.7699999999999991E-2</v>
      </c>
      <c r="AK94" s="106" t="str">
        <f>IF(ISNA(VLOOKUP($R94&amp;AK$2,$C$3:$F$4001,3,0)),"",VLOOKUP($R94&amp;AK$2,$C$3:$F$4001,3,0))</f>
        <v/>
      </c>
      <c r="AL94" s="107" t="str">
        <f>IF(ISNA(VLOOKUP($R94&amp;AK$2,$C$3:$F$4001,4,0)),"",VLOOKUP($R94&amp;AK$2,$C$3:$F$4001,4,0))</f>
        <v/>
      </c>
    </row>
    <row r="95" spans="3:38" x14ac:dyDescent="0.2">
      <c r="C95" s="96" t="str">
        <f t="shared" si="4"/>
        <v>ALL4</v>
      </c>
      <c r="D95" s="73" t="s">
        <v>73</v>
      </c>
      <c r="E95" s="100">
        <v>40147</v>
      </c>
      <c r="F95" s="101">
        <v>0.02</v>
      </c>
      <c r="G95" s="96">
        <f t="shared" si="5"/>
        <v>4</v>
      </c>
      <c r="I95" s="96"/>
      <c r="K95" t="str">
        <f t="shared" si="6"/>
        <v>ALL4</v>
      </c>
      <c r="L95" s="73" t="s">
        <v>73</v>
      </c>
      <c r="M95" s="72">
        <v>40147</v>
      </c>
      <c r="N95" s="84">
        <v>0.02</v>
      </c>
      <c r="O95" s="96">
        <f t="shared" si="7"/>
        <v>4</v>
      </c>
      <c r="P95" s="73"/>
      <c r="Q95" s="96"/>
      <c r="R95" s="96" t="str">
        <f>R94</f>
        <v>BWP</v>
      </c>
      <c r="S95" s="108">
        <f>IF(ISNA(VLOOKUP($R95&amp;S$2,$K$3:$N$4001,3,0)),"",VLOOKUP($R95&amp;S$2,$K$3:$N$4001,3,0))</f>
        <v>39988</v>
      </c>
      <c r="T95" s="109">
        <f>IF(ISNA(VLOOKUP($R95&amp;S$2,$K$3:$N$4001,4,0)),"",VLOOKUP($R95&amp;S$2,$K$3:$N$4001,4,0))</f>
        <v>6.5000000000000002E-2</v>
      </c>
      <c r="U95" s="108">
        <f>IF(ISNA(VLOOKUP($R95&amp;U$2,$K$3:$N$4001,3,0)),"",VLOOKUP($R95&amp;U$2,$K$3:$N$4001,3,0))</f>
        <v>40170</v>
      </c>
      <c r="V95" s="109">
        <f>IF(ISNA(VLOOKUP($R95&amp;U$2,$K$3:$N$4001,4,0)),"",VLOOKUP($R95&amp;U$2,$K$3:$N$4001,4,0))</f>
        <v>7.1300000000000002E-2</v>
      </c>
      <c r="W95" s="108">
        <f>IF(ISNA(VLOOKUP($R95&amp;W$2,$K$3:$N$4001,3,0)),"",VLOOKUP($R95&amp;W$2,$K$3:$N$4001,3,0))</f>
        <v>40353</v>
      </c>
      <c r="X95" s="109">
        <f>IF(ISNA(VLOOKUP($R95&amp;W$2,$K$3:$N$4001,4,0)),"",VLOOKUP($R95&amp;W$2,$K$3:$N$4001,4,0))</f>
        <v>6.9699999999999998E-2</v>
      </c>
      <c r="Y95" s="108">
        <f>IF(ISNA(VLOOKUP($R95&amp;Y$2,$K$3:$N$4001,3,0)),"",VLOOKUP($R95&amp;Y$2,$K$3:$N$4001,3,0))</f>
        <v>40535</v>
      </c>
      <c r="Z95" s="109">
        <f>IF(ISNA(VLOOKUP($R95&amp;Y$2,$K$3:$N$4001,4,0)),"",VLOOKUP($R95&amp;Y$2,$K$3:$N$4001,4,0))</f>
        <v>7.3300000000000004E-2</v>
      </c>
      <c r="AA95" s="108">
        <f>IF(ISNA(VLOOKUP($R95&amp;AA$2,$K$3:$N$4001,3,0)),"",VLOOKUP($R95&amp;AA$2,$K$3:$N$4001,3,0))</f>
        <v>40718</v>
      </c>
      <c r="AB95" s="109">
        <f>IF(ISNA(VLOOKUP($R95&amp;AA$2,$K$3:$N$4001,4,0)),"",VLOOKUP($R95&amp;AA$2,$K$3:$N$4001,4,0))</f>
        <v>7.17E-2</v>
      </c>
      <c r="AC95" s="108">
        <f>IF(ISNA(VLOOKUP($R95&amp;AC$2,$K$3:$N$4001,3,0)),"",VLOOKUP($R95&amp;AC$2,$K$3:$N$4001,3,0))</f>
        <v>40899</v>
      </c>
      <c r="AD95" s="109">
        <f>IF(ISNA(VLOOKUP($R95&amp;AC$2,$K$3:$N$4001,4,0)),"",VLOOKUP($R95&amp;AC$2,$K$3:$N$4001,4,0))</f>
        <v>7.5800000000000006E-2</v>
      </c>
      <c r="AE95" s="108">
        <f>IF(ISNA(VLOOKUP($R95&amp;AE$2,$K$3:$N$4001,3,0)),"",VLOOKUP($R95&amp;AE$2,$K$3:$N$4001,3,0))</f>
        <v>41085</v>
      </c>
      <c r="AF95" s="109">
        <f>IF(ISNA(VLOOKUP($R95&amp;AE$2,$K$3:$N$4001,4,0)),"",VLOOKUP($R95&amp;AE$2,$K$3:$N$4001,4,0))</f>
        <v>7.4200000000000002E-2</v>
      </c>
      <c r="AG95" s="108">
        <f>IF(ISNA(VLOOKUP($R95&amp;AG$2,$K$3:$N$4001,3,0)),"",VLOOKUP($R95&amp;AG$2,$K$3:$N$4001,3,0))</f>
        <v>41268</v>
      </c>
      <c r="AH95" s="109">
        <f>IF(ISNA(VLOOKUP($R95&amp;AG$2,$K$3:$N$4001,4,0)),"",VLOOKUP($R95&amp;AG$2,$K$3:$N$4001,4,0))</f>
        <v>7.9299999999999995E-2</v>
      </c>
      <c r="AI95" s="108">
        <f>IF(ISNA(VLOOKUP($R95&amp;AI$2,$K$3:$N$4001,3,0)),"",VLOOKUP($R95&amp;AI$2,$K$3:$N$4001,3,0))</f>
        <v>41450</v>
      </c>
      <c r="AJ95" s="109">
        <f>IF(ISNA(VLOOKUP($R95&amp;AI$2,$K$3:$N$4001,4,0)),"",VLOOKUP($R95&amp;AI$2,$K$3:$N$4001,4,0))</f>
        <v>7.7699999999999991E-2</v>
      </c>
      <c r="AK95" s="108" t="str">
        <f>IF(ISNA(VLOOKUP($R95&amp;AK$2,$K$3:$N$4001,3,0)),"",VLOOKUP($R95&amp;AK$2,$K$3:$N$4001,3,0))</f>
        <v/>
      </c>
      <c r="AL95" s="109" t="str">
        <f>IF(ISNA(VLOOKUP($R95&amp;AK$2,$K$3:$N$4001,4,0)),"",VLOOKUP($R95&amp;AK$2,$K$3:$N$4001,4,0))</f>
        <v/>
      </c>
    </row>
    <row r="96" spans="3:38" x14ac:dyDescent="0.2">
      <c r="C96" s="96" t="str">
        <f t="shared" si="4"/>
        <v>ALL5</v>
      </c>
      <c r="D96" s="73" t="s">
        <v>73</v>
      </c>
      <c r="E96" s="100">
        <v>40239</v>
      </c>
      <c r="F96" s="101">
        <v>0.1</v>
      </c>
      <c r="G96" s="96">
        <f t="shared" si="5"/>
        <v>5</v>
      </c>
      <c r="I96" s="96"/>
      <c r="K96" t="str">
        <f t="shared" si="6"/>
        <v>ALL5</v>
      </c>
      <c r="L96" s="73" t="s">
        <v>73</v>
      </c>
      <c r="M96" s="72">
        <v>40239</v>
      </c>
      <c r="N96" s="84">
        <v>0.1</v>
      </c>
      <c r="O96" s="96">
        <f t="shared" si="7"/>
        <v>5</v>
      </c>
      <c r="P96" s="73"/>
      <c r="Q96" s="96"/>
      <c r="R96" s="96" t="s">
        <v>102</v>
      </c>
      <c r="S96" s="106">
        <f>IF(ISNA(VLOOKUP($R96&amp;S$2,$C$3:$F$4001,3,0)),"",VLOOKUP($R96&amp;S$2,$C$3:$F$4001,3,0))</f>
        <v>39897</v>
      </c>
      <c r="T96" s="107">
        <f>IF(ISNA(VLOOKUP($R96&amp;S$2,$C$3:$F$4001,4,0)),"",VLOOKUP($R96&amp;S$2,$C$3:$F$4001,4,0))</f>
        <v>0.19</v>
      </c>
      <c r="U96" s="106">
        <f>IF(ISNA(VLOOKUP($R96&amp;U$2,$C$3:$F$4001,3,0)),"",VLOOKUP($R96&amp;U$2,$C$3:$F$4001,3,0))</f>
        <v>40079</v>
      </c>
      <c r="V96" s="107">
        <f>IF(ISNA(VLOOKUP($R96&amp;U$2,$C$3:$F$4001,4,0)),"",VLOOKUP($R96&amp;U$2,$C$3:$F$4001,4,0))</f>
        <v>0.19</v>
      </c>
      <c r="W96" s="106">
        <f>IF(ISNA(VLOOKUP($R96&amp;W$2,$C$3:$F$4001,3,0)),"",VLOOKUP($R96&amp;W$2,$C$3:$F$4001,3,0))</f>
        <v>40262</v>
      </c>
      <c r="X96" s="107">
        <f>IF(ISNA(VLOOKUP($R96&amp;W$2,$C$3:$F$4001,4,0)),"",VLOOKUP($R96&amp;W$2,$C$3:$F$4001,4,0))</f>
        <v>0.20499999999999999</v>
      </c>
      <c r="Y96" s="106">
        <f>IF(ISNA(VLOOKUP($R96&amp;Y$2,$C$3:$F$4001,3,0)),"",VLOOKUP($R96&amp;Y$2,$C$3:$F$4001,3,0))</f>
        <v>40444</v>
      </c>
      <c r="Z96" s="107">
        <f>IF(ISNA(VLOOKUP($R96&amp;Y$2,$C$3:$F$4001,4,0)),"",VLOOKUP($R96&amp;Y$2,$C$3:$F$4001,4,0))</f>
        <v>0.20499999999999999</v>
      </c>
      <c r="AA96" s="106">
        <f>IF(ISNA(VLOOKUP($R96&amp;AA$2,$C$3:$F$4001,3,0)),"",VLOOKUP($R96&amp;AA$2,$C$3:$F$4001,3,0))</f>
        <v>40627</v>
      </c>
      <c r="AB96" s="107">
        <f>IF(ISNA(VLOOKUP($R96&amp;AA$2,$C$3:$F$4001,4,0)),"",VLOOKUP($R96&amp;AA$2,$C$3:$F$4001,4,0))</f>
        <v>0.22550000000000001</v>
      </c>
      <c r="AC96" s="106">
        <f>IF(ISNA(VLOOKUP($R96&amp;AC$2,$C$3:$F$4001,3,0)),"",VLOOKUP($R96&amp;AC$2,$C$3:$F$4001,3,0))</f>
        <v>40809</v>
      </c>
      <c r="AD96" s="107">
        <f>IF(ISNA(VLOOKUP($R96&amp;AC$2,$C$3:$F$4001,4,0)),"",VLOOKUP($R96&amp;AC$2,$C$3:$F$4001,4,0))</f>
        <v>0.22550000000000001</v>
      </c>
      <c r="AE96" s="106">
        <f>IF(ISNA(VLOOKUP($R96&amp;AE$2,$C$3:$F$4001,3,0)),"",VLOOKUP($R96&amp;AE$2,$C$3:$F$4001,3,0))</f>
        <v>40995</v>
      </c>
      <c r="AF96" s="107">
        <f>IF(ISNA(VLOOKUP($R96&amp;AE$2,$C$3:$F$4001,4,0)),"",VLOOKUP($R96&amp;AE$2,$C$3:$F$4001,4,0))</f>
        <v>0.24100000000000002</v>
      </c>
      <c r="AG96" s="106">
        <f>IF(ISNA(VLOOKUP($R96&amp;AG$2,$C$3:$F$4001,3,0)),"",VLOOKUP($R96&amp;AG$2,$C$3:$F$4001,3,0))</f>
        <v>41177</v>
      </c>
      <c r="AH96" s="107">
        <f>IF(ISNA(VLOOKUP($R96&amp;AG$2,$C$3:$F$4001,4,0)),"",VLOOKUP($R96&amp;AG$2,$C$3:$F$4001,4,0))</f>
        <v>0.24100000000000002</v>
      </c>
      <c r="AI96" s="106">
        <f>IF(ISNA(VLOOKUP($R96&amp;AI$2,$C$3:$F$4001,3,0)),"",VLOOKUP($R96&amp;AI$2,$C$3:$F$4001,3,0))</f>
        <v>41360</v>
      </c>
      <c r="AJ96" s="107">
        <f>IF(ISNA(VLOOKUP($R96&amp;AI$2,$C$3:$F$4001,4,0)),"",VLOOKUP($R96&amp;AI$2,$C$3:$F$4001,4,0))</f>
        <v>0.25800000000000001</v>
      </c>
      <c r="AK96" s="106">
        <f>IF(ISNA(VLOOKUP($R96&amp;AK$2,$C$3:$F$4001,3,0)),"",VLOOKUP($R96&amp;AK$2,$C$3:$F$4001,3,0))</f>
        <v>41542</v>
      </c>
      <c r="AL96" s="107">
        <f>IF(ISNA(VLOOKUP($R96&amp;AK$2,$C$3:$F$4001,4,0)),"",VLOOKUP($R96&amp;AK$2,$C$3:$F$4001,4,0))</f>
        <v>0.25800000000000001</v>
      </c>
    </row>
    <row r="97" spans="3:38" x14ac:dyDescent="0.2">
      <c r="C97" s="96" t="str">
        <f t="shared" si="4"/>
        <v>ALL6</v>
      </c>
      <c r="D97" s="73" t="s">
        <v>73</v>
      </c>
      <c r="E97" s="100">
        <v>40333</v>
      </c>
      <c r="F97" s="101">
        <v>0.02</v>
      </c>
      <c r="G97" s="96">
        <f t="shared" si="5"/>
        <v>6</v>
      </c>
      <c r="I97" s="96"/>
      <c r="K97" t="str">
        <f t="shared" si="6"/>
        <v>ALL6</v>
      </c>
      <c r="L97" s="73" t="s">
        <v>73</v>
      </c>
      <c r="M97" s="72">
        <v>40333</v>
      </c>
      <c r="N97" s="84">
        <v>0.02</v>
      </c>
      <c r="O97" s="96">
        <f t="shared" si="7"/>
        <v>6</v>
      </c>
      <c r="P97" s="73"/>
      <c r="Q97" s="96"/>
      <c r="R97" s="96" t="str">
        <f>R96</f>
        <v>CAB</v>
      </c>
      <c r="S97" s="108">
        <f>IF(ISNA(VLOOKUP($R97&amp;S$2,$K$3:$N$4001,3,0)),"",VLOOKUP($R97&amp;S$2,$K$3:$N$4001,3,0))</f>
        <v>39897</v>
      </c>
      <c r="T97" s="109">
        <f>IF(ISNA(VLOOKUP($R97&amp;S$2,$K$3:$N$4001,4,0)),"",VLOOKUP($R97&amp;S$2,$K$3:$N$4001,4,0))</f>
        <v>0.19</v>
      </c>
      <c r="U97" s="108">
        <f>IF(ISNA(VLOOKUP($R97&amp;U$2,$K$3:$N$4001,3,0)),"",VLOOKUP($R97&amp;U$2,$K$3:$N$4001,3,0))</f>
        <v>40079</v>
      </c>
      <c r="V97" s="109">
        <f>IF(ISNA(VLOOKUP($R97&amp;U$2,$K$3:$N$4001,4,0)),"",VLOOKUP($R97&amp;U$2,$K$3:$N$4001,4,0))</f>
        <v>0.19</v>
      </c>
      <c r="W97" s="108">
        <f>IF(ISNA(VLOOKUP($R97&amp;W$2,$K$3:$N$4001,3,0)),"",VLOOKUP($R97&amp;W$2,$K$3:$N$4001,3,0))</f>
        <v>40262</v>
      </c>
      <c r="X97" s="109">
        <f>IF(ISNA(VLOOKUP($R97&amp;W$2,$K$3:$N$4001,4,0)),"",VLOOKUP($R97&amp;W$2,$K$3:$N$4001,4,0))</f>
        <v>0.20499999999999999</v>
      </c>
      <c r="Y97" s="108">
        <f>IF(ISNA(VLOOKUP($R97&amp;Y$2,$K$3:$N$4001,3,0)),"",VLOOKUP($R97&amp;Y$2,$K$3:$N$4001,3,0))</f>
        <v>40444</v>
      </c>
      <c r="Z97" s="109">
        <f>IF(ISNA(VLOOKUP($R97&amp;Y$2,$K$3:$N$4001,4,0)),"",VLOOKUP($R97&amp;Y$2,$K$3:$N$4001,4,0))</f>
        <v>0.20499999999999999</v>
      </c>
      <c r="AA97" s="108">
        <f>IF(ISNA(VLOOKUP($R97&amp;AA$2,$K$3:$N$4001,3,0)),"",VLOOKUP($R97&amp;AA$2,$K$3:$N$4001,3,0))</f>
        <v>40627</v>
      </c>
      <c r="AB97" s="109">
        <f>IF(ISNA(VLOOKUP($R97&amp;AA$2,$K$3:$N$4001,4,0)),"",VLOOKUP($R97&amp;AA$2,$K$3:$N$4001,4,0))</f>
        <v>0.22550000000000001</v>
      </c>
      <c r="AC97" s="108">
        <f>IF(ISNA(VLOOKUP($R97&amp;AC$2,$K$3:$N$4001,3,0)),"",VLOOKUP($R97&amp;AC$2,$K$3:$N$4001,3,0))</f>
        <v>40809</v>
      </c>
      <c r="AD97" s="109">
        <f>IF(ISNA(VLOOKUP($R97&amp;AC$2,$K$3:$N$4001,4,0)),"",VLOOKUP($R97&amp;AC$2,$K$3:$N$4001,4,0))</f>
        <v>0.22550000000000001</v>
      </c>
      <c r="AE97" s="108">
        <f>IF(ISNA(VLOOKUP($R97&amp;AE$2,$K$3:$N$4001,3,0)),"",VLOOKUP($R97&amp;AE$2,$K$3:$N$4001,3,0))</f>
        <v>40995</v>
      </c>
      <c r="AF97" s="109">
        <f>IF(ISNA(VLOOKUP($R97&amp;AE$2,$K$3:$N$4001,4,0)),"",VLOOKUP($R97&amp;AE$2,$K$3:$N$4001,4,0))</f>
        <v>0.24100000000000002</v>
      </c>
      <c r="AG97" s="108">
        <f>IF(ISNA(VLOOKUP($R97&amp;AG$2,$K$3:$N$4001,3,0)),"",VLOOKUP($R97&amp;AG$2,$K$3:$N$4001,3,0))</f>
        <v>41177</v>
      </c>
      <c r="AH97" s="109">
        <f>IF(ISNA(VLOOKUP($R97&amp;AG$2,$K$3:$N$4001,4,0)),"",VLOOKUP($R97&amp;AG$2,$K$3:$N$4001,4,0))</f>
        <v>0.24100000000000002</v>
      </c>
      <c r="AI97" s="108">
        <f>IF(ISNA(VLOOKUP($R97&amp;AI$2,$K$3:$N$4001,3,0)),"",VLOOKUP($R97&amp;AI$2,$K$3:$N$4001,3,0))</f>
        <v>41360</v>
      </c>
      <c r="AJ97" s="109">
        <f>IF(ISNA(VLOOKUP($R97&amp;AI$2,$K$3:$N$4001,4,0)),"",VLOOKUP($R97&amp;AI$2,$K$3:$N$4001,4,0))</f>
        <v>0.25800000000000001</v>
      </c>
      <c r="AK97" s="108">
        <f>IF(ISNA(VLOOKUP($R97&amp;AK$2,$K$3:$N$4001,3,0)),"",VLOOKUP($R97&amp;AK$2,$K$3:$N$4001,3,0))</f>
        <v>41542</v>
      </c>
      <c r="AL97" s="109">
        <f>IF(ISNA(VLOOKUP($R97&amp;AK$2,$K$3:$N$4001,4,0)),"",VLOOKUP($R97&amp;AK$2,$K$3:$N$4001,4,0))</f>
        <v>0.25800000000000001</v>
      </c>
    </row>
    <row r="98" spans="3:38" x14ac:dyDescent="0.2">
      <c r="C98" s="96" t="str">
        <f t="shared" si="4"/>
        <v>ALL7</v>
      </c>
      <c r="D98" s="73" t="s">
        <v>73</v>
      </c>
      <c r="E98" s="100">
        <v>40424</v>
      </c>
      <c r="F98" s="101">
        <v>0.1</v>
      </c>
      <c r="G98" s="96">
        <f t="shared" si="5"/>
        <v>7</v>
      </c>
      <c r="I98" s="96"/>
      <c r="K98" t="str">
        <f t="shared" si="6"/>
        <v>ALL7</v>
      </c>
      <c r="L98" s="73" t="s">
        <v>73</v>
      </c>
      <c r="M98" s="72">
        <v>40424</v>
      </c>
      <c r="N98" s="84">
        <v>0.1</v>
      </c>
      <c r="O98" s="96">
        <f t="shared" si="7"/>
        <v>7</v>
      </c>
      <c r="P98" s="73"/>
      <c r="Q98" s="96"/>
      <c r="R98" s="96" t="s">
        <v>118</v>
      </c>
      <c r="S98" s="106">
        <f>IF(ISNA(VLOOKUP($R98&amp;S$2,$C$3:$F$4001,3,0)),"",VLOOKUP($R98&amp;S$2,$C$3:$F$4001,3,0))</f>
        <v>40057</v>
      </c>
      <c r="T98" s="107">
        <f>IF(ISNA(VLOOKUP($R98&amp;S$2,$C$3:$F$4001,4,0)),"",VLOOKUP($R98&amp;S$2,$C$3:$F$4001,4,0))</f>
        <v>0.23</v>
      </c>
      <c r="U98" s="106">
        <f>IF(ISNA(VLOOKUP($R98&amp;U$2,$C$3:$F$4001,3,0)),"",VLOOKUP($R98&amp;U$2,$C$3:$F$4001,3,0))</f>
        <v>40239</v>
      </c>
      <c r="V98" s="107">
        <f>IF(ISNA(VLOOKUP($R98&amp;U$2,$C$3:$F$4001,4,0)),"",VLOOKUP($R98&amp;U$2,$C$3:$F$4001,4,0))</f>
        <v>0.35</v>
      </c>
      <c r="W98" s="106">
        <f>IF(ISNA(VLOOKUP($R98&amp;W$2,$C$3:$F$4001,3,0)),"",VLOOKUP($R98&amp;W$2,$C$3:$F$4001,3,0))</f>
        <v>40422</v>
      </c>
      <c r="X98" s="107">
        <f>IF(ISNA(VLOOKUP($R98&amp;W$2,$C$3:$F$4001,4,0)),"",VLOOKUP($R98&amp;W$2,$C$3:$F$4001,4,0))</f>
        <v>0.26</v>
      </c>
      <c r="Y98" s="106">
        <f>IF(ISNA(VLOOKUP($R98&amp;Y$2,$C$3:$F$4001,3,0)),"",VLOOKUP($R98&amp;Y$2,$C$3:$F$4001,3,0))</f>
        <v>40604</v>
      </c>
      <c r="Z98" s="107">
        <f>IF(ISNA(VLOOKUP($R98&amp;Y$2,$C$3:$F$4001,4,0)),"",VLOOKUP($R98&amp;Y$2,$C$3:$F$4001,4,0))</f>
        <v>0.39</v>
      </c>
      <c r="AA98" s="106">
        <f>IF(ISNA(VLOOKUP($R98&amp;AA$2,$C$3:$F$4001,3,0)),"",VLOOKUP($R98&amp;AA$2,$C$3:$F$4001,3,0))</f>
        <v>40787</v>
      </c>
      <c r="AB98" s="107">
        <f>IF(ISNA(VLOOKUP($R98&amp;AA$2,$C$3:$F$4001,4,0)),"",VLOOKUP($R98&amp;AA$2,$C$3:$F$4001,4,0))</f>
        <v>0.27</v>
      </c>
      <c r="AC98" s="106">
        <f>IF(ISNA(VLOOKUP($R98&amp;AC$2,$C$3:$F$4001,3,0)),"",VLOOKUP($R98&amp;AC$2,$C$3:$F$4001,3,0))</f>
        <v>40970</v>
      </c>
      <c r="AD98" s="107">
        <f>IF(ISNA(VLOOKUP($R98&amp;AC$2,$C$3:$F$4001,4,0)),"",VLOOKUP($R98&amp;AC$2,$C$3:$F$4001,4,0))</f>
        <v>0.41</v>
      </c>
      <c r="AE98" s="106">
        <f>IF(ISNA(VLOOKUP($R98&amp;AE$2,$C$3:$F$4001,3,0)),"",VLOOKUP($R98&amp;AE$2,$C$3:$F$4001,3,0))</f>
        <v>41155</v>
      </c>
      <c r="AF98" s="107">
        <f>IF(ISNA(VLOOKUP($R98&amp;AE$2,$C$3:$F$4001,4,0)),"",VLOOKUP($R98&amp;AE$2,$C$3:$F$4001,4,0))</f>
        <v>0.3</v>
      </c>
      <c r="AG98" s="106">
        <f>IF(ISNA(VLOOKUP($R98&amp;AG$2,$C$3:$F$4001,3,0)),"",VLOOKUP($R98&amp;AG$2,$C$3:$F$4001,3,0))</f>
        <v>41337</v>
      </c>
      <c r="AH98" s="107">
        <f>IF(ISNA(VLOOKUP($R98&amp;AG$2,$C$3:$F$4001,4,0)),"",VLOOKUP($R98&amp;AG$2,$C$3:$F$4001,4,0))</f>
        <v>0.45</v>
      </c>
      <c r="AI98" s="106" t="str">
        <f>IF(ISNA(VLOOKUP($R98&amp;AI$2,$C$3:$F$4001,3,0)),"",VLOOKUP($R98&amp;AI$2,$C$3:$F$4001,3,0))</f>
        <v/>
      </c>
      <c r="AJ98" s="107" t="str">
        <f>IF(ISNA(VLOOKUP($R98&amp;AI$2,$C$3:$F$4001,4,0)),"",VLOOKUP($R98&amp;AI$2,$C$3:$F$4001,4,0))</f>
        <v/>
      </c>
      <c r="AK98" s="106" t="str">
        <f>IF(ISNA(VLOOKUP($R98&amp;AK$2,$C$3:$F$4001,3,0)),"",VLOOKUP($R98&amp;AK$2,$C$3:$F$4001,3,0))</f>
        <v/>
      </c>
      <c r="AL98" s="107" t="str">
        <f>IF(ISNA(VLOOKUP($R98&amp;AK$2,$C$3:$F$4001,4,0)),"",VLOOKUP($R98&amp;AK$2,$C$3:$F$4001,4,0))</f>
        <v/>
      </c>
    </row>
    <row r="99" spans="3:38" x14ac:dyDescent="0.2">
      <c r="C99" s="96" t="str">
        <f t="shared" si="4"/>
        <v>ALL8</v>
      </c>
      <c r="D99" s="73" t="s">
        <v>73</v>
      </c>
      <c r="E99" s="100">
        <v>40512</v>
      </c>
      <c r="F99" s="101">
        <v>0.02</v>
      </c>
      <c r="G99" s="96">
        <f t="shared" si="5"/>
        <v>8</v>
      </c>
      <c r="I99" s="96"/>
      <c r="K99" t="str">
        <f t="shared" si="6"/>
        <v>ALL8</v>
      </c>
      <c r="L99" s="73" t="s">
        <v>73</v>
      </c>
      <c r="M99" s="72">
        <v>40512</v>
      </c>
      <c r="N99" s="84">
        <v>0.02</v>
      </c>
      <c r="O99" s="96">
        <f t="shared" si="7"/>
        <v>8</v>
      </c>
      <c r="P99" s="73"/>
      <c r="Q99" s="96"/>
      <c r="R99" s="96" t="str">
        <f>R98</f>
        <v>CTX</v>
      </c>
      <c r="S99" s="108">
        <f>IF(ISNA(VLOOKUP($R99&amp;S$2,$K$3:$N$4001,3,0)),"",VLOOKUP($R99&amp;S$2,$K$3:$N$4001,3,0))</f>
        <v>40057</v>
      </c>
      <c r="T99" s="109">
        <f>IF(ISNA(VLOOKUP($R99&amp;S$2,$K$3:$N$4001,4,0)),"",VLOOKUP($R99&amp;S$2,$K$3:$N$4001,4,0))</f>
        <v>0.23</v>
      </c>
      <c r="U99" s="108">
        <f>IF(ISNA(VLOOKUP($R99&amp;U$2,$K$3:$N$4001,3,0)),"",VLOOKUP($R99&amp;U$2,$K$3:$N$4001,3,0))</f>
        <v>40239</v>
      </c>
      <c r="V99" s="109">
        <f>IF(ISNA(VLOOKUP($R99&amp;U$2,$K$3:$N$4001,4,0)),"",VLOOKUP($R99&amp;U$2,$K$3:$N$4001,4,0))</f>
        <v>0.35</v>
      </c>
      <c r="W99" s="108">
        <f>IF(ISNA(VLOOKUP($R99&amp;W$2,$K$3:$N$4001,3,0)),"",VLOOKUP($R99&amp;W$2,$K$3:$N$4001,3,0))</f>
        <v>40422</v>
      </c>
      <c r="X99" s="109">
        <f>IF(ISNA(VLOOKUP($R99&amp;W$2,$K$3:$N$4001,4,0)),"",VLOOKUP($R99&amp;W$2,$K$3:$N$4001,4,0))</f>
        <v>0.26</v>
      </c>
      <c r="Y99" s="108">
        <f>IF(ISNA(VLOOKUP($R99&amp;Y$2,$K$3:$N$4001,3,0)),"",VLOOKUP($R99&amp;Y$2,$K$3:$N$4001,3,0))</f>
        <v>40604</v>
      </c>
      <c r="Z99" s="109">
        <f>IF(ISNA(VLOOKUP($R99&amp;Y$2,$K$3:$N$4001,4,0)),"",VLOOKUP($R99&amp;Y$2,$K$3:$N$4001,4,0))</f>
        <v>0.39</v>
      </c>
      <c r="AA99" s="108">
        <f>IF(ISNA(VLOOKUP($R99&amp;AA$2,$K$3:$N$4001,3,0)),"",VLOOKUP($R99&amp;AA$2,$K$3:$N$4001,3,0))</f>
        <v>40787</v>
      </c>
      <c r="AB99" s="109">
        <f>IF(ISNA(VLOOKUP($R99&amp;AA$2,$K$3:$N$4001,4,0)),"",VLOOKUP($R99&amp;AA$2,$K$3:$N$4001,4,0))</f>
        <v>0.27</v>
      </c>
      <c r="AC99" s="108">
        <f>IF(ISNA(VLOOKUP($R99&amp;AC$2,$K$3:$N$4001,3,0)),"",VLOOKUP($R99&amp;AC$2,$K$3:$N$4001,3,0))</f>
        <v>40970</v>
      </c>
      <c r="AD99" s="109">
        <f>IF(ISNA(VLOOKUP($R99&amp;AC$2,$K$3:$N$4001,4,0)),"",VLOOKUP($R99&amp;AC$2,$K$3:$N$4001,4,0))</f>
        <v>0.41</v>
      </c>
      <c r="AE99" s="108">
        <f>IF(ISNA(VLOOKUP($R99&amp;AE$2,$K$3:$N$4001,3,0)),"",VLOOKUP($R99&amp;AE$2,$K$3:$N$4001,3,0))</f>
        <v>41155</v>
      </c>
      <c r="AF99" s="109">
        <f>IF(ISNA(VLOOKUP($R99&amp;AE$2,$K$3:$N$4001,4,0)),"",VLOOKUP($R99&amp;AE$2,$K$3:$N$4001,4,0))</f>
        <v>0.3</v>
      </c>
      <c r="AG99" s="108">
        <f>IF(ISNA(VLOOKUP($R99&amp;AG$2,$K$3:$N$4001,3,0)),"",VLOOKUP($R99&amp;AG$2,$K$3:$N$4001,3,0))</f>
        <v>41337</v>
      </c>
      <c r="AH99" s="109">
        <f>IF(ISNA(VLOOKUP($R99&amp;AG$2,$K$3:$N$4001,4,0)),"",VLOOKUP($R99&amp;AG$2,$K$3:$N$4001,4,0))</f>
        <v>0.45</v>
      </c>
      <c r="AI99" s="108" t="str">
        <f>IF(ISNA(VLOOKUP($R99&amp;AI$2,$K$3:$N$4001,3,0)),"",VLOOKUP($R99&amp;AI$2,$K$3:$N$4001,3,0))</f>
        <v/>
      </c>
      <c r="AJ99" s="109" t="str">
        <f>IF(ISNA(VLOOKUP($R99&amp;AI$2,$K$3:$N$4001,4,0)),"",VLOOKUP($R99&amp;AI$2,$K$3:$N$4001,4,0))</f>
        <v/>
      </c>
      <c r="AK99" s="108" t="str">
        <f>IF(ISNA(VLOOKUP($R99&amp;AK$2,$K$3:$N$4001,3,0)),"",VLOOKUP($R99&amp;AK$2,$K$3:$N$4001,3,0))</f>
        <v/>
      </c>
      <c r="AL99" s="109" t="str">
        <f>IF(ISNA(VLOOKUP($R99&amp;AK$2,$K$3:$N$4001,4,0)),"",VLOOKUP($R99&amp;AK$2,$K$3:$N$4001,4,0))</f>
        <v/>
      </c>
    </row>
    <row r="100" spans="3:38" x14ac:dyDescent="0.2">
      <c r="C100" s="96" t="str">
        <f t="shared" si="4"/>
        <v>ALL9</v>
      </c>
      <c r="D100" s="73" t="s">
        <v>73</v>
      </c>
      <c r="E100" s="100">
        <v>40604</v>
      </c>
      <c r="F100" s="101">
        <v>0.1</v>
      </c>
      <c r="G100" s="96">
        <f t="shared" si="5"/>
        <v>9</v>
      </c>
      <c r="I100" s="96"/>
      <c r="K100" t="str">
        <f t="shared" si="6"/>
        <v>ALL9</v>
      </c>
      <c r="L100" s="73" t="s">
        <v>73</v>
      </c>
      <c r="M100" s="72">
        <v>40604</v>
      </c>
      <c r="N100" s="84">
        <v>0.1</v>
      </c>
      <c r="O100" s="96">
        <f t="shared" si="7"/>
        <v>9</v>
      </c>
      <c r="P100" s="73"/>
      <c r="Q100" s="96"/>
      <c r="R100" s="96" t="s">
        <v>107</v>
      </c>
      <c r="S100" s="106">
        <f>IF(ISNA(VLOOKUP($R100&amp;S$2,$C$3:$F$4001,3,0)),"",VLOOKUP($R100&amp;S$2,$C$3:$F$4001,3,0))</f>
        <v>39905</v>
      </c>
      <c r="T100" s="107">
        <f>IF(ISNA(VLOOKUP($R100&amp;S$2,$C$3:$F$4001,4,0)),"",VLOOKUP($R100&amp;S$2,$C$3:$F$4001,4,0))</f>
        <v>7.0000000000000007E-2</v>
      </c>
      <c r="U100" s="106">
        <f>IF(ISNA(VLOOKUP($R100&amp;U$2,$C$3:$F$4001,3,0)),"",VLOOKUP($R100&amp;U$2,$C$3:$F$4001,3,0))</f>
        <v>40074</v>
      </c>
      <c r="V100" s="107">
        <f>IF(ISNA(VLOOKUP($R100&amp;U$2,$C$3:$F$4001,4,0)),"",VLOOKUP($R100&amp;U$2,$C$3:$F$4001,4,0))</f>
        <v>7.0000000000000007E-2</v>
      </c>
      <c r="W100" s="106">
        <f>IF(ISNA(VLOOKUP($R100&amp;W$2,$C$3:$F$4001,3,0)),"",VLOOKUP($R100&amp;W$2,$C$3:$F$4001,3,0))</f>
        <v>40268</v>
      </c>
      <c r="X100" s="107">
        <f>IF(ISNA(VLOOKUP($R100&amp;W$2,$C$3:$F$4001,4,0)),"",VLOOKUP($R100&amp;W$2,$C$3:$F$4001,4,0))</f>
        <v>7.0000000000000007E-2</v>
      </c>
      <c r="Y100" s="106">
        <f>IF(ISNA(VLOOKUP($R100&amp;Y$2,$C$3:$F$4001,3,0)),"",VLOOKUP($R100&amp;Y$2,$C$3:$F$4001,3,0))</f>
        <v>40441</v>
      </c>
      <c r="Z100" s="107">
        <f>IF(ISNA(VLOOKUP($R100&amp;Y$2,$C$3:$F$4001,4,0)),"",VLOOKUP($R100&amp;Y$2,$C$3:$F$4001,4,0))</f>
        <v>0.08</v>
      </c>
      <c r="AA100" s="106">
        <f>IF(ISNA(VLOOKUP($R100&amp;AA$2,$C$3:$F$4001,3,0)),"",VLOOKUP($R100&amp;AA$2,$C$3:$F$4001,3,0))</f>
        <v>40637</v>
      </c>
      <c r="AB100" s="107">
        <f>IF(ISNA(VLOOKUP($R100&amp;AA$2,$C$3:$F$4001,4,0)),"",VLOOKUP($R100&amp;AA$2,$C$3:$F$4001,4,0))</f>
        <v>0.09</v>
      </c>
      <c r="AC100" s="106">
        <f>IF(ISNA(VLOOKUP($R100&amp;AC$2,$C$3:$F$4001,3,0)),"",VLOOKUP($R100&amp;AC$2,$C$3:$F$4001,3,0))</f>
        <v>40806</v>
      </c>
      <c r="AD100" s="107">
        <f>IF(ISNA(VLOOKUP($R100&amp;AC$2,$C$3:$F$4001,4,0)),"",VLOOKUP($R100&amp;AC$2,$C$3:$F$4001,4,0))</f>
        <v>0.1</v>
      </c>
      <c r="AE100" s="106">
        <f>IF(ISNA(VLOOKUP($R100&amp;AE$2,$C$3:$F$4001,3,0)),"",VLOOKUP($R100&amp;AE$2,$C$3:$F$4001,3,0))</f>
        <v>41002</v>
      </c>
      <c r="AF100" s="107">
        <f>IF(ISNA(VLOOKUP($R100&amp;AE$2,$C$3:$F$4001,4,0)),"",VLOOKUP($R100&amp;AE$2,$C$3:$F$4001,4,0))</f>
        <v>0.1</v>
      </c>
      <c r="AG100" s="106">
        <f>IF(ISNA(VLOOKUP($R100&amp;AG$2,$C$3:$F$4001,3,0)),"",VLOOKUP($R100&amp;AG$2,$C$3:$F$4001,3,0))</f>
        <v>41172</v>
      </c>
      <c r="AH100" s="107">
        <f>IF(ISNA(VLOOKUP($R100&amp;AG$2,$C$3:$F$4001,4,0)),"",VLOOKUP($R100&amp;AG$2,$C$3:$F$4001,4,0))</f>
        <v>0.15</v>
      </c>
      <c r="AI100" s="106">
        <f>IF(ISNA(VLOOKUP($R100&amp;AI$2,$C$3:$F$4001,3,0)),"",VLOOKUP($R100&amp;AI$2,$C$3:$F$4001,3,0))</f>
        <v>41367</v>
      </c>
      <c r="AJ100" s="107">
        <f>IF(ISNA(VLOOKUP($R100&amp;AI$2,$C$3:$F$4001,4,0)),"",VLOOKUP($R100&amp;AI$2,$C$3:$F$4001,4,0))</f>
        <v>0.12</v>
      </c>
      <c r="AK100" s="106">
        <f>IF(ISNA(VLOOKUP($R100&amp;AK$2,$C$3:$F$4001,3,0)),"",VLOOKUP($R100&amp;AK$2,$C$3:$F$4001,3,0))</f>
        <v>41537</v>
      </c>
      <c r="AL100" s="107">
        <f>IF(ISNA(VLOOKUP($R100&amp;AK$2,$C$3:$F$4001,4,0)),"",VLOOKUP($R100&amp;AK$2,$C$3:$F$4001,4,0))</f>
        <v>0.18</v>
      </c>
    </row>
    <row r="101" spans="3:38" x14ac:dyDescent="0.2">
      <c r="C101" s="96" t="str">
        <f t="shared" si="4"/>
        <v>ALL10</v>
      </c>
      <c r="D101" s="73" t="s">
        <v>73</v>
      </c>
      <c r="E101" s="100">
        <v>40700</v>
      </c>
      <c r="F101" s="101">
        <v>0.02</v>
      </c>
      <c r="G101" s="96">
        <f t="shared" si="5"/>
        <v>10</v>
      </c>
      <c r="I101" s="96"/>
      <c r="K101" t="str">
        <f t="shared" si="6"/>
        <v>ALL10</v>
      </c>
      <c r="L101" s="73" t="s">
        <v>73</v>
      </c>
      <c r="M101" s="72">
        <v>40700</v>
      </c>
      <c r="N101" s="84">
        <v>0.02</v>
      </c>
      <c r="O101" s="96">
        <f t="shared" si="7"/>
        <v>10</v>
      </c>
      <c r="P101" s="73"/>
      <c r="Q101" s="96"/>
      <c r="R101" s="96" t="str">
        <f>R100</f>
        <v>CEY</v>
      </c>
      <c r="S101" s="108">
        <f>IF(ISNA(VLOOKUP($R101&amp;S$2,$K$3:$N$4001,3,0)),"",VLOOKUP($R101&amp;S$2,$K$3:$N$4001,3,0))</f>
        <v>39905</v>
      </c>
      <c r="T101" s="109">
        <f>IF(ISNA(VLOOKUP($R101&amp;S$2,$K$3:$N$4001,4,0)),"",VLOOKUP($R101&amp;S$2,$K$3:$N$4001,4,0))</f>
        <v>7.0000000000000007E-2</v>
      </c>
      <c r="U101" s="108">
        <f>IF(ISNA(VLOOKUP($R101&amp;U$2,$K$3:$N$4001,3,0)),"",VLOOKUP($R101&amp;U$2,$K$3:$N$4001,3,0))</f>
        <v>40074</v>
      </c>
      <c r="V101" s="109">
        <f>IF(ISNA(VLOOKUP($R101&amp;U$2,$K$3:$N$4001,4,0)),"",VLOOKUP($R101&amp;U$2,$K$3:$N$4001,4,0))</f>
        <v>7.0000000000000007E-2</v>
      </c>
      <c r="W101" s="108">
        <f>IF(ISNA(VLOOKUP($R101&amp;W$2,$K$3:$N$4001,3,0)),"",VLOOKUP($R101&amp;W$2,$K$3:$N$4001,3,0))</f>
        <v>40268</v>
      </c>
      <c r="X101" s="109">
        <f>IF(ISNA(VLOOKUP($R101&amp;W$2,$K$3:$N$4001,4,0)),"",VLOOKUP($R101&amp;W$2,$K$3:$N$4001,4,0))</f>
        <v>7.0000000000000007E-2</v>
      </c>
      <c r="Y101" s="108">
        <f>IF(ISNA(VLOOKUP($R101&amp;Y$2,$K$3:$N$4001,3,0)),"",VLOOKUP($R101&amp;Y$2,$K$3:$N$4001,3,0))</f>
        <v>40441</v>
      </c>
      <c r="Z101" s="109">
        <f>IF(ISNA(VLOOKUP($R101&amp;Y$2,$K$3:$N$4001,4,0)),"",VLOOKUP($R101&amp;Y$2,$K$3:$N$4001,4,0))</f>
        <v>0.08</v>
      </c>
      <c r="AA101" s="108">
        <f>IF(ISNA(VLOOKUP($R101&amp;AA$2,$K$3:$N$4001,3,0)),"",VLOOKUP($R101&amp;AA$2,$K$3:$N$4001,3,0))</f>
        <v>40637</v>
      </c>
      <c r="AB101" s="109">
        <f>IF(ISNA(VLOOKUP($R101&amp;AA$2,$K$3:$N$4001,4,0)),"",VLOOKUP($R101&amp;AA$2,$K$3:$N$4001,4,0))</f>
        <v>0.09</v>
      </c>
      <c r="AC101" s="108">
        <f>IF(ISNA(VLOOKUP($R101&amp;AC$2,$K$3:$N$4001,3,0)),"",VLOOKUP($R101&amp;AC$2,$K$3:$N$4001,3,0))</f>
        <v>40806</v>
      </c>
      <c r="AD101" s="109">
        <f>IF(ISNA(VLOOKUP($R101&amp;AC$2,$K$3:$N$4001,4,0)),"",VLOOKUP($R101&amp;AC$2,$K$3:$N$4001,4,0))</f>
        <v>0.1</v>
      </c>
      <c r="AE101" s="108">
        <f>IF(ISNA(VLOOKUP($R101&amp;AE$2,$K$3:$N$4001,3,0)),"",VLOOKUP($R101&amp;AE$2,$K$3:$N$4001,3,0))</f>
        <v>41002</v>
      </c>
      <c r="AF101" s="109">
        <f>IF(ISNA(VLOOKUP($R101&amp;AE$2,$K$3:$N$4001,4,0)),"",VLOOKUP($R101&amp;AE$2,$K$3:$N$4001,4,0))</f>
        <v>0.1</v>
      </c>
      <c r="AG101" s="108">
        <f>IF(ISNA(VLOOKUP($R101&amp;AG$2,$K$3:$N$4001,3,0)),"",VLOOKUP($R101&amp;AG$2,$K$3:$N$4001,3,0))</f>
        <v>41172</v>
      </c>
      <c r="AH101" s="109">
        <f>IF(ISNA(VLOOKUP($R101&amp;AG$2,$K$3:$N$4001,4,0)),"",VLOOKUP($R101&amp;AG$2,$K$3:$N$4001,4,0))</f>
        <v>0.15</v>
      </c>
      <c r="AI101" s="108">
        <f>IF(ISNA(VLOOKUP($R101&amp;AI$2,$K$3:$N$4001,3,0)),"",VLOOKUP($R101&amp;AI$2,$K$3:$N$4001,3,0))</f>
        <v>41367</v>
      </c>
      <c r="AJ101" s="109">
        <f>IF(ISNA(VLOOKUP($R101&amp;AI$2,$K$3:$N$4001,4,0)),"",VLOOKUP($R101&amp;AI$2,$K$3:$N$4001,4,0))</f>
        <v>0.12</v>
      </c>
      <c r="AK101" s="108">
        <f>IF(ISNA(VLOOKUP($R101&amp;AK$2,$K$3:$N$4001,3,0)),"",VLOOKUP($R101&amp;AK$2,$K$3:$N$4001,3,0))</f>
        <v>41537</v>
      </c>
      <c r="AL101" s="109">
        <f>IF(ISNA(VLOOKUP($R101&amp;AK$2,$K$3:$N$4001,4,0)),"",VLOOKUP($R101&amp;AK$2,$K$3:$N$4001,4,0))</f>
        <v>0.18</v>
      </c>
    </row>
    <row r="102" spans="3:38" x14ac:dyDescent="0.2">
      <c r="C102" s="96" t="str">
        <f t="shared" si="4"/>
        <v>ALL11</v>
      </c>
      <c r="D102" s="73" t="s">
        <v>73</v>
      </c>
      <c r="E102" s="100">
        <v>40791</v>
      </c>
      <c r="F102" s="101">
        <v>0.12</v>
      </c>
      <c r="G102" s="96">
        <f t="shared" si="5"/>
        <v>11</v>
      </c>
      <c r="I102" s="96"/>
      <c r="K102" t="str">
        <f t="shared" si="6"/>
        <v>ALL11</v>
      </c>
      <c r="L102" s="73" t="s">
        <v>73</v>
      </c>
      <c r="M102" s="72">
        <v>40791</v>
      </c>
      <c r="N102" s="84">
        <v>0.12</v>
      </c>
      <c r="O102" s="96">
        <f t="shared" si="7"/>
        <v>11</v>
      </c>
      <c r="P102" s="73"/>
      <c r="Q102" s="96"/>
      <c r="R102" s="96" t="s">
        <v>105</v>
      </c>
      <c r="S102" s="106">
        <f>IF(ISNA(VLOOKUP($R102&amp;S$2,$C$3:$F$4001,3,0)),"",VLOOKUP($R102&amp;S$2,$C$3:$F$4001,3,0))</f>
        <v>39988</v>
      </c>
      <c r="T102" s="107">
        <f>IF(ISNA(VLOOKUP($R102&amp;S$2,$C$3:$F$4001,4,0)),"",VLOOKUP($R102&amp;S$2,$C$3:$F$4001,4,0))</f>
        <v>1.3999999999999999E-2</v>
      </c>
      <c r="U102" s="106">
        <f>IF(ISNA(VLOOKUP($R102&amp;U$2,$C$3:$F$4001,3,0)),"",VLOOKUP($R102&amp;U$2,$C$3:$F$4001,3,0))</f>
        <v>40170</v>
      </c>
      <c r="V102" s="107">
        <f>IF(ISNA(VLOOKUP($R102&amp;U$2,$C$3:$F$4001,4,0)),"",VLOOKUP($R102&amp;U$2,$C$3:$F$4001,4,0))</f>
        <v>0.01</v>
      </c>
      <c r="W102" s="106">
        <f>IF(ISNA(VLOOKUP($R102&amp;W$2,$C$3:$F$4001,3,0)),"",VLOOKUP($R102&amp;W$2,$C$3:$F$4001,3,0))</f>
        <v>40353</v>
      </c>
      <c r="X102" s="107">
        <f>IF(ISNA(VLOOKUP($R102&amp;W$2,$C$3:$F$4001,4,0)),"",VLOOKUP($R102&amp;W$2,$C$3:$F$4001,4,0))</f>
        <v>1.4999999999999999E-2</v>
      </c>
      <c r="Y102" s="106">
        <f>IF(ISNA(VLOOKUP($R102&amp;Y$2,$C$3:$F$4001,3,0)),"",VLOOKUP($R102&amp;Y$2,$C$3:$F$4001,3,0))</f>
        <v>40535</v>
      </c>
      <c r="Z102" s="107">
        <f>IF(ISNA(VLOOKUP($R102&amp;Y$2,$C$3:$F$4001,4,0)),"",VLOOKUP($R102&amp;Y$2,$C$3:$F$4001,4,0))</f>
        <v>1.4999999999999999E-2</v>
      </c>
      <c r="AA102" s="106">
        <f>IF(ISNA(VLOOKUP($R102&amp;AA$2,$C$3:$F$4001,3,0)),"",VLOOKUP($R102&amp;AA$2,$C$3:$F$4001,3,0))</f>
        <v>40718</v>
      </c>
      <c r="AB102" s="107">
        <f>IF(ISNA(VLOOKUP($R102&amp;AA$2,$C$3:$F$4001,4,0)),"",VLOOKUP($R102&amp;AA$2,$C$3:$F$4001,4,0))</f>
        <v>0.02</v>
      </c>
      <c r="AC102" s="106">
        <f>IF(ISNA(VLOOKUP($R102&amp;AC$2,$C$3:$F$4001,3,0)),"",VLOOKUP($R102&amp;AC$2,$C$3:$F$4001,3,0))</f>
        <v>40899</v>
      </c>
      <c r="AD102" s="107">
        <f>IF(ISNA(VLOOKUP($R102&amp;AC$2,$C$3:$F$4001,4,0)),"",VLOOKUP($R102&amp;AC$2,$C$3:$F$4001,4,0))</f>
        <v>2.4E-2</v>
      </c>
      <c r="AE102" s="106">
        <f>IF(ISNA(VLOOKUP($R102&amp;AE$2,$C$3:$F$4001,3,0)),"",VLOOKUP($R102&amp;AE$2,$C$3:$F$4001,3,0))</f>
        <v>41085</v>
      </c>
      <c r="AF102" s="107">
        <f>IF(ISNA(VLOOKUP($R102&amp;AE$2,$C$3:$F$4001,4,0)),"",VLOOKUP($R102&amp;AE$2,$C$3:$F$4001,4,0))</f>
        <v>3.2000000000000001E-2</v>
      </c>
      <c r="AG102" s="106">
        <f>IF(ISNA(VLOOKUP($R102&amp;AG$2,$C$3:$F$4001,3,0)),"",VLOOKUP($R102&amp;AG$2,$C$3:$F$4001,3,0))</f>
        <v>41268</v>
      </c>
      <c r="AH102" s="107">
        <f>IF(ISNA(VLOOKUP($R102&amp;AG$2,$C$3:$F$4001,4,0)),"",VLOOKUP($R102&amp;AG$2,$C$3:$F$4001,4,0))</f>
        <v>2.3E-2</v>
      </c>
      <c r="AI102" s="106">
        <f>IF(ISNA(VLOOKUP($R102&amp;AI$2,$C$3:$F$4001,3,0)),"",VLOOKUP($R102&amp;AI$2,$C$3:$F$4001,3,0))</f>
        <v>41450</v>
      </c>
      <c r="AJ102" s="107">
        <f>IF(ISNA(VLOOKUP($R102&amp;AI$2,$C$3:$F$4001,4,0)),"",VLOOKUP($R102&amp;AI$2,$C$3:$F$4001,4,0))</f>
        <v>2.3E-2</v>
      </c>
      <c r="AK102" s="106" t="str">
        <f>IF(ISNA(VLOOKUP($R102&amp;AK$2,$C$3:$F$4001,3,0)),"",VLOOKUP($R102&amp;AK$2,$C$3:$F$4001,3,0))</f>
        <v/>
      </c>
      <c r="AL102" s="107" t="str">
        <f>IF(ISNA(VLOOKUP($R102&amp;AK$2,$C$3:$F$4001,4,0)),"",VLOOKUP($R102&amp;AK$2,$C$3:$F$4001,4,0))</f>
        <v/>
      </c>
    </row>
    <row r="103" spans="3:38" x14ac:dyDescent="0.2">
      <c r="C103" s="96" t="str">
        <f t="shared" si="4"/>
        <v>ALL12</v>
      </c>
      <c r="D103" s="73" t="s">
        <v>73</v>
      </c>
      <c r="E103" s="100">
        <v>40877</v>
      </c>
      <c r="F103" s="101">
        <v>0.02</v>
      </c>
      <c r="G103" s="96">
        <f t="shared" si="5"/>
        <v>12</v>
      </c>
      <c r="I103" s="96"/>
      <c r="K103" t="str">
        <f t="shared" si="6"/>
        <v>ALL12</v>
      </c>
      <c r="L103" s="73" t="s">
        <v>73</v>
      </c>
      <c r="M103" s="72">
        <v>40877</v>
      </c>
      <c r="N103" s="84">
        <v>0.02</v>
      </c>
      <c r="O103" s="96">
        <f t="shared" si="7"/>
        <v>12</v>
      </c>
      <c r="P103" s="73"/>
      <c r="Q103" s="96"/>
      <c r="R103" s="96" t="str">
        <f>R102</f>
        <v>CER</v>
      </c>
      <c r="S103" s="108">
        <f>IF(ISNA(VLOOKUP($R103&amp;S$2,$K$3:$N$4001,3,0)),"",VLOOKUP($R103&amp;S$2,$K$3:$N$4001,3,0))</f>
        <v>39988</v>
      </c>
      <c r="T103" s="109">
        <f>IF(ISNA(VLOOKUP($R103&amp;S$2,$K$3:$N$4001,4,0)),"",VLOOKUP($R103&amp;S$2,$K$3:$N$4001,4,0))</f>
        <v>1.3999999999999999E-2</v>
      </c>
      <c r="U103" s="108">
        <f>IF(ISNA(VLOOKUP($R103&amp;U$2,$K$3:$N$4001,3,0)),"",VLOOKUP($R103&amp;U$2,$K$3:$N$4001,3,0))</f>
        <v>40170</v>
      </c>
      <c r="V103" s="109">
        <f>IF(ISNA(VLOOKUP($R103&amp;U$2,$K$3:$N$4001,4,0)),"",VLOOKUP($R103&amp;U$2,$K$3:$N$4001,4,0))</f>
        <v>0.01</v>
      </c>
      <c r="W103" s="108">
        <f>IF(ISNA(VLOOKUP($R103&amp;W$2,$K$3:$N$4001,3,0)),"",VLOOKUP($R103&amp;W$2,$K$3:$N$4001,3,0))</f>
        <v>40353</v>
      </c>
      <c r="X103" s="109">
        <f>IF(ISNA(VLOOKUP($R103&amp;W$2,$K$3:$N$4001,4,0)),"",VLOOKUP($R103&amp;W$2,$K$3:$N$4001,4,0))</f>
        <v>1.4999999999999999E-2</v>
      </c>
      <c r="Y103" s="108">
        <f>IF(ISNA(VLOOKUP($R103&amp;Y$2,$K$3:$N$4001,3,0)),"",VLOOKUP($R103&amp;Y$2,$K$3:$N$4001,3,0))</f>
        <v>40535</v>
      </c>
      <c r="Z103" s="109">
        <f>IF(ISNA(VLOOKUP($R103&amp;Y$2,$K$3:$N$4001,4,0)),"",VLOOKUP($R103&amp;Y$2,$K$3:$N$4001,4,0))</f>
        <v>1.4999999999999999E-2</v>
      </c>
      <c r="AA103" s="108">
        <f>IF(ISNA(VLOOKUP($R103&amp;AA$2,$K$3:$N$4001,3,0)),"",VLOOKUP($R103&amp;AA$2,$K$3:$N$4001,3,0))</f>
        <v>40718</v>
      </c>
      <c r="AB103" s="109">
        <f>IF(ISNA(VLOOKUP($R103&amp;AA$2,$K$3:$N$4001,4,0)),"",VLOOKUP($R103&amp;AA$2,$K$3:$N$4001,4,0))</f>
        <v>0.02</v>
      </c>
      <c r="AC103" s="108">
        <f>IF(ISNA(VLOOKUP($R103&amp;AC$2,$K$3:$N$4001,3,0)),"",VLOOKUP($R103&amp;AC$2,$K$3:$N$4001,3,0))</f>
        <v>40899</v>
      </c>
      <c r="AD103" s="109">
        <f>IF(ISNA(VLOOKUP($R103&amp;AC$2,$K$3:$N$4001,4,0)),"",VLOOKUP($R103&amp;AC$2,$K$3:$N$4001,4,0))</f>
        <v>2.4E-2</v>
      </c>
      <c r="AE103" s="108">
        <f>IF(ISNA(VLOOKUP($R103&amp;AE$2,$K$3:$N$4001,3,0)),"",VLOOKUP($R103&amp;AE$2,$K$3:$N$4001,3,0))</f>
        <v>41085</v>
      </c>
      <c r="AF103" s="109">
        <f>IF(ISNA(VLOOKUP($R103&amp;AE$2,$K$3:$N$4001,4,0)),"",VLOOKUP($R103&amp;AE$2,$K$3:$N$4001,4,0))</f>
        <v>3.2000000000000001E-2</v>
      </c>
      <c r="AG103" s="108">
        <f>IF(ISNA(VLOOKUP($R103&amp;AG$2,$K$3:$N$4001,3,0)),"",VLOOKUP($R103&amp;AG$2,$K$3:$N$4001,3,0))</f>
        <v>41268</v>
      </c>
      <c r="AH103" s="109">
        <f>IF(ISNA(VLOOKUP($R103&amp;AG$2,$K$3:$N$4001,4,0)),"",VLOOKUP($R103&amp;AG$2,$K$3:$N$4001,4,0))</f>
        <v>2.3E-2</v>
      </c>
      <c r="AI103" s="108">
        <f>IF(ISNA(VLOOKUP($R103&amp;AI$2,$K$3:$N$4001,3,0)),"",VLOOKUP($R103&amp;AI$2,$K$3:$N$4001,3,0))</f>
        <v>41450</v>
      </c>
      <c r="AJ103" s="109">
        <f>IF(ISNA(VLOOKUP($R103&amp;AI$2,$K$3:$N$4001,4,0)),"",VLOOKUP($R103&amp;AI$2,$K$3:$N$4001,4,0))</f>
        <v>2.3E-2</v>
      </c>
      <c r="AK103" s="108" t="str">
        <f>IF(ISNA(VLOOKUP($R103&amp;AK$2,$K$3:$N$4001,3,0)),"",VLOOKUP($R103&amp;AK$2,$K$3:$N$4001,3,0))</f>
        <v/>
      </c>
      <c r="AL103" s="109" t="str">
        <f>IF(ISNA(VLOOKUP($R103&amp;AK$2,$K$3:$N$4001,4,0)),"",VLOOKUP($R103&amp;AK$2,$K$3:$N$4001,4,0))</f>
        <v/>
      </c>
    </row>
    <row r="104" spans="3:38" x14ac:dyDescent="0.2">
      <c r="C104" s="96" t="str">
        <f t="shared" si="4"/>
        <v>ALL13</v>
      </c>
      <c r="D104" s="73" t="s">
        <v>73</v>
      </c>
      <c r="E104" s="100">
        <v>40970</v>
      </c>
      <c r="F104" s="101">
        <v>0.12</v>
      </c>
      <c r="G104" s="96">
        <f t="shared" si="5"/>
        <v>13</v>
      </c>
      <c r="I104" s="96"/>
      <c r="K104" t="str">
        <f t="shared" si="6"/>
        <v>ALL13</v>
      </c>
      <c r="L104" s="73" t="s">
        <v>73</v>
      </c>
      <c r="M104" s="72">
        <v>40970</v>
      </c>
      <c r="N104" s="84">
        <v>0.12</v>
      </c>
      <c r="O104" s="96">
        <f t="shared" si="7"/>
        <v>13</v>
      </c>
      <c r="P104" s="73"/>
      <c r="Q104" s="96"/>
      <c r="R104" s="96" t="s">
        <v>108</v>
      </c>
      <c r="S104" s="106">
        <f>IF(ISNA(VLOOKUP($R104&amp;S$2,$C$3:$F$4001,3,0)),"",VLOOKUP($R104&amp;S$2,$C$3:$F$4001,3,0))</f>
        <v>39988</v>
      </c>
      <c r="T104" s="107">
        <f>IF(ISNA(VLOOKUP($R104&amp;S$2,$C$3:$F$4001,4,0)),"",VLOOKUP($R104&amp;S$2,$C$3:$F$4001,4,0))</f>
        <v>6.3E-2</v>
      </c>
      <c r="U104" s="106">
        <f>IF(ISNA(VLOOKUP($R104&amp;U$2,$C$3:$F$4001,3,0)),"",VLOOKUP($R104&amp;U$2,$C$3:$F$4001,3,0))</f>
        <v>40170</v>
      </c>
      <c r="V104" s="107">
        <f>IF(ISNA(VLOOKUP($R104&amp;U$2,$C$3:$F$4001,4,0)),"",VLOOKUP($R104&amp;U$2,$C$3:$F$4001,4,0))</f>
        <v>6.5000000000000002E-2</v>
      </c>
      <c r="W104" s="106">
        <f>IF(ISNA(VLOOKUP($R104&amp;W$2,$C$3:$F$4001,3,0)),"",VLOOKUP($R104&amp;W$2,$C$3:$F$4001,3,0))</f>
        <v>40353</v>
      </c>
      <c r="X104" s="107">
        <f>IF(ISNA(VLOOKUP($R104&amp;W$2,$C$3:$F$4001,4,0)),"",VLOOKUP($R104&amp;W$2,$C$3:$F$4001,4,0))</f>
        <v>6.5000000000000002E-2</v>
      </c>
      <c r="Y104" s="106">
        <f>IF(ISNA(VLOOKUP($R104&amp;Y$2,$C$3:$F$4001,3,0)),"",VLOOKUP($R104&amp;Y$2,$C$3:$F$4001,3,0))</f>
        <v>40535</v>
      </c>
      <c r="Z104" s="107">
        <f>IF(ISNA(VLOOKUP($R104&amp;Y$2,$C$3:$F$4001,4,0)),"",VLOOKUP($R104&amp;Y$2,$C$3:$F$4001,4,0))</f>
        <v>6.6000000000000003E-2</v>
      </c>
      <c r="AA104" s="106">
        <f>IF(ISNA(VLOOKUP($R104&amp;AA$2,$C$3:$F$4001,3,0)),"",VLOOKUP($R104&amp;AA$2,$C$3:$F$4001,3,0))</f>
        <v>40718</v>
      </c>
      <c r="AB104" s="107">
        <f>IF(ISNA(VLOOKUP($R104&amp;AA$2,$C$3:$F$4001,4,0)),"",VLOOKUP($R104&amp;AA$2,$C$3:$F$4001,4,0))</f>
        <v>6.6000000000000003E-2</v>
      </c>
      <c r="AC104" s="106">
        <f>IF(ISNA(VLOOKUP($R104&amp;AC$2,$C$3:$F$4001,3,0)),"",VLOOKUP($R104&amp;AC$2,$C$3:$F$4001,3,0))</f>
        <v>40899</v>
      </c>
      <c r="AD104" s="107">
        <f>IF(ISNA(VLOOKUP($R104&amp;AC$2,$C$3:$F$4001,4,0)),"",VLOOKUP($R104&amp;AC$2,$C$3:$F$4001,4,0))</f>
        <v>6.7500000000000004E-2</v>
      </c>
      <c r="AE104" s="106">
        <f>IF(ISNA(VLOOKUP($R104&amp;AE$2,$C$3:$F$4001,3,0)),"",VLOOKUP($R104&amp;AE$2,$C$3:$F$4001,3,0))</f>
        <v>41085</v>
      </c>
      <c r="AF104" s="107">
        <f>IF(ISNA(VLOOKUP($R104&amp;AE$2,$C$3:$F$4001,4,0)),"",VLOOKUP($R104&amp;AE$2,$C$3:$F$4001,4,0))</f>
        <v>6.7500000000000004E-2</v>
      </c>
      <c r="AG104" s="106">
        <f>IF(ISNA(VLOOKUP($R104&amp;AG$2,$C$3:$F$4001,3,0)),"",VLOOKUP($R104&amp;AG$2,$C$3:$F$4001,3,0))</f>
        <v>41268</v>
      </c>
      <c r="AH104" s="107">
        <f>IF(ISNA(VLOOKUP($R104&amp;AG$2,$C$3:$F$4001,4,0)),"",VLOOKUP($R104&amp;AG$2,$C$3:$F$4001,4,0))</f>
        <v>6.8000000000000005E-2</v>
      </c>
      <c r="AI104" s="106">
        <f>IF(ISNA(VLOOKUP($R104&amp;AI$2,$C$3:$F$4001,3,0)),"",VLOOKUP($R104&amp;AI$2,$C$3:$F$4001,3,0))</f>
        <v>41450</v>
      </c>
      <c r="AJ104" s="107">
        <f>IF(ISNA(VLOOKUP($R104&amp;AI$2,$C$3:$F$4001,4,0)),"",VLOOKUP($R104&amp;AI$2,$C$3:$F$4001,4,0))</f>
        <v>6.8000000000000005E-2</v>
      </c>
      <c r="AK104" s="106" t="str">
        <f>IF(ISNA(VLOOKUP($R104&amp;AK$2,$C$3:$F$4001,3,0)),"",VLOOKUP($R104&amp;AK$2,$C$3:$F$4001,3,0))</f>
        <v/>
      </c>
      <c r="AL104" s="107" t="str">
        <f>IF(ISNA(VLOOKUP($R104&amp;AK$2,$C$3:$F$4001,4,0)),"",VLOOKUP($R104&amp;AK$2,$C$3:$F$4001,4,0))</f>
        <v/>
      </c>
    </row>
    <row r="105" spans="3:38" x14ac:dyDescent="0.2">
      <c r="C105" s="96" t="str">
        <f t="shared" si="4"/>
        <v>ALL14</v>
      </c>
      <c r="D105" s="73" t="s">
        <v>73</v>
      </c>
      <c r="E105" s="100">
        <v>41065</v>
      </c>
      <c r="F105" s="101">
        <v>0.02</v>
      </c>
      <c r="G105" s="96">
        <f t="shared" si="5"/>
        <v>14</v>
      </c>
      <c r="I105" s="96"/>
      <c r="K105" t="str">
        <f t="shared" si="6"/>
        <v>ALL14</v>
      </c>
      <c r="L105" s="73" t="s">
        <v>73</v>
      </c>
      <c r="M105" s="72">
        <v>41065</v>
      </c>
      <c r="N105" s="84">
        <v>0.02</v>
      </c>
      <c r="O105" s="96">
        <f t="shared" si="7"/>
        <v>14</v>
      </c>
      <c r="P105" s="73"/>
      <c r="Q105" s="96"/>
      <c r="R105" s="96" t="str">
        <f>R104</f>
        <v>CFX</v>
      </c>
      <c r="S105" s="108">
        <f>IF(ISNA(VLOOKUP($R105&amp;S$2,$K$3:$N$4001,3,0)),"",VLOOKUP($R105&amp;S$2,$K$3:$N$4001,3,0))</f>
        <v>39988</v>
      </c>
      <c r="T105" s="109">
        <f>IF(ISNA(VLOOKUP($R105&amp;S$2,$K$3:$N$4001,4,0)),"",VLOOKUP($R105&amp;S$2,$K$3:$N$4001,4,0))</f>
        <v>6.3E-2</v>
      </c>
      <c r="U105" s="108">
        <f>IF(ISNA(VLOOKUP($R105&amp;U$2,$K$3:$N$4001,3,0)),"",VLOOKUP($R105&amp;U$2,$K$3:$N$4001,3,0))</f>
        <v>40170</v>
      </c>
      <c r="V105" s="109">
        <f>IF(ISNA(VLOOKUP($R105&amp;U$2,$K$3:$N$4001,4,0)),"",VLOOKUP($R105&amp;U$2,$K$3:$N$4001,4,0))</f>
        <v>6.5000000000000002E-2</v>
      </c>
      <c r="W105" s="108">
        <f>IF(ISNA(VLOOKUP($R105&amp;W$2,$K$3:$N$4001,3,0)),"",VLOOKUP($R105&amp;W$2,$K$3:$N$4001,3,0))</f>
        <v>40353</v>
      </c>
      <c r="X105" s="109">
        <f>IF(ISNA(VLOOKUP($R105&amp;W$2,$K$3:$N$4001,4,0)),"",VLOOKUP($R105&amp;W$2,$K$3:$N$4001,4,0))</f>
        <v>6.5000000000000002E-2</v>
      </c>
      <c r="Y105" s="108">
        <f>IF(ISNA(VLOOKUP($R105&amp;Y$2,$K$3:$N$4001,3,0)),"",VLOOKUP($R105&amp;Y$2,$K$3:$N$4001,3,0))</f>
        <v>40535</v>
      </c>
      <c r="Z105" s="109">
        <f>IF(ISNA(VLOOKUP($R105&amp;Y$2,$K$3:$N$4001,4,0)),"",VLOOKUP($R105&amp;Y$2,$K$3:$N$4001,4,0))</f>
        <v>6.6000000000000003E-2</v>
      </c>
      <c r="AA105" s="108">
        <f>IF(ISNA(VLOOKUP($R105&amp;AA$2,$K$3:$N$4001,3,0)),"",VLOOKUP($R105&amp;AA$2,$K$3:$N$4001,3,0))</f>
        <v>40718</v>
      </c>
      <c r="AB105" s="109">
        <f>IF(ISNA(VLOOKUP($R105&amp;AA$2,$K$3:$N$4001,4,0)),"",VLOOKUP($R105&amp;AA$2,$K$3:$N$4001,4,0))</f>
        <v>6.6000000000000003E-2</v>
      </c>
      <c r="AC105" s="108">
        <f>IF(ISNA(VLOOKUP($R105&amp;AC$2,$K$3:$N$4001,3,0)),"",VLOOKUP($R105&amp;AC$2,$K$3:$N$4001,3,0))</f>
        <v>40899</v>
      </c>
      <c r="AD105" s="109">
        <f>IF(ISNA(VLOOKUP($R105&amp;AC$2,$K$3:$N$4001,4,0)),"",VLOOKUP($R105&amp;AC$2,$K$3:$N$4001,4,0))</f>
        <v>6.7500000000000004E-2</v>
      </c>
      <c r="AE105" s="108">
        <f>IF(ISNA(VLOOKUP($R105&amp;AE$2,$K$3:$N$4001,3,0)),"",VLOOKUP($R105&amp;AE$2,$K$3:$N$4001,3,0))</f>
        <v>41085</v>
      </c>
      <c r="AF105" s="109">
        <f>IF(ISNA(VLOOKUP($R105&amp;AE$2,$K$3:$N$4001,4,0)),"",VLOOKUP($R105&amp;AE$2,$K$3:$N$4001,4,0))</f>
        <v>6.7500000000000004E-2</v>
      </c>
      <c r="AG105" s="108">
        <f>IF(ISNA(VLOOKUP($R105&amp;AG$2,$K$3:$N$4001,3,0)),"",VLOOKUP($R105&amp;AG$2,$K$3:$N$4001,3,0))</f>
        <v>41268</v>
      </c>
      <c r="AH105" s="109">
        <f>IF(ISNA(VLOOKUP($R105&amp;AG$2,$K$3:$N$4001,4,0)),"",VLOOKUP($R105&amp;AG$2,$K$3:$N$4001,4,0))</f>
        <v>6.8000000000000005E-2</v>
      </c>
      <c r="AI105" s="108">
        <f>IF(ISNA(VLOOKUP($R105&amp;AI$2,$K$3:$N$4001,3,0)),"",VLOOKUP($R105&amp;AI$2,$K$3:$N$4001,3,0))</f>
        <v>41450</v>
      </c>
      <c r="AJ105" s="109">
        <f>IF(ISNA(VLOOKUP($R105&amp;AI$2,$K$3:$N$4001,4,0)),"",VLOOKUP($R105&amp;AI$2,$K$3:$N$4001,4,0))</f>
        <v>6.8000000000000005E-2</v>
      </c>
      <c r="AK105" s="108" t="str">
        <f>IF(ISNA(VLOOKUP($R105&amp;AK$2,$K$3:$N$4001,3,0)),"",VLOOKUP($R105&amp;AK$2,$K$3:$N$4001,3,0))</f>
        <v/>
      </c>
      <c r="AL105" s="109" t="str">
        <f>IF(ISNA(VLOOKUP($R105&amp;AK$2,$K$3:$N$4001,4,0)),"",VLOOKUP($R105&amp;AK$2,$K$3:$N$4001,4,0))</f>
        <v/>
      </c>
    </row>
    <row r="106" spans="3:38" x14ac:dyDescent="0.2">
      <c r="C106" s="96" t="str">
        <f t="shared" si="4"/>
        <v>ALL15</v>
      </c>
      <c r="D106" s="73" t="s">
        <v>73</v>
      </c>
      <c r="E106" s="100">
        <v>41156</v>
      </c>
      <c r="F106" s="101">
        <v>0.15</v>
      </c>
      <c r="G106" s="96">
        <f t="shared" si="5"/>
        <v>15</v>
      </c>
      <c r="I106" s="96"/>
      <c r="K106" t="str">
        <f t="shared" si="6"/>
        <v>ALL15</v>
      </c>
      <c r="L106" s="73" t="s">
        <v>73</v>
      </c>
      <c r="M106" s="72">
        <v>41156</v>
      </c>
      <c r="N106" s="84">
        <v>0.15</v>
      </c>
      <c r="O106" s="96">
        <f t="shared" si="7"/>
        <v>15</v>
      </c>
      <c r="P106" s="73"/>
      <c r="Q106" s="96"/>
      <c r="R106" s="96" t="s">
        <v>109</v>
      </c>
      <c r="S106" s="106">
        <f>IF(ISNA(VLOOKUP($R106&amp;S$2,$C$3:$F$4001,3,0)),"",VLOOKUP($R106&amp;S$2,$C$3:$F$4001,3,0))</f>
        <v>39891</v>
      </c>
      <c r="T106" s="107">
        <f>IF(ISNA(VLOOKUP($R106&amp;S$2,$C$3:$F$4001,4,0)),"",VLOOKUP($R106&amp;S$2,$C$3:$F$4001,4,0))</f>
        <v>0.05</v>
      </c>
      <c r="U106" s="106">
        <f>IF(ISNA(VLOOKUP($R106&amp;U$2,$C$3:$F$4001,3,0)),"",VLOOKUP($R106&amp;U$2,$C$3:$F$4001,3,0))</f>
        <v>40074</v>
      </c>
      <c r="V106" s="107">
        <f>IF(ISNA(VLOOKUP($R106&amp;U$2,$C$3:$F$4001,4,0)),"",VLOOKUP($R106&amp;U$2,$C$3:$F$4001,4,0))</f>
        <v>7.4999999999999997E-2</v>
      </c>
      <c r="W106" s="106">
        <f>IF(ISNA(VLOOKUP($R106&amp;W$2,$C$3:$F$4001,3,0)),"",VLOOKUP($R106&amp;W$2,$C$3:$F$4001,3,0))</f>
        <v>40256</v>
      </c>
      <c r="X106" s="107">
        <f>IF(ISNA(VLOOKUP($R106&amp;W$2,$C$3:$F$4001,4,0)),"",VLOOKUP($R106&amp;W$2,$C$3:$F$4001,4,0))</f>
        <v>0.06</v>
      </c>
      <c r="Y106" s="106">
        <f>IF(ISNA(VLOOKUP($R106&amp;Y$2,$C$3:$F$4001,3,0)),"",VLOOKUP($R106&amp;Y$2,$C$3:$F$4001,3,0))</f>
        <v>40441</v>
      </c>
      <c r="Z106" s="107">
        <f>IF(ISNA(VLOOKUP($R106&amp;Y$2,$C$3:$F$4001,4,0)),"",VLOOKUP($R106&amp;Y$2,$C$3:$F$4001,4,0))</f>
        <v>0.08</v>
      </c>
      <c r="AA106" s="106">
        <f>IF(ISNA(VLOOKUP($R106&amp;AA$2,$C$3:$F$4001,3,0)),"",VLOOKUP($R106&amp;AA$2,$C$3:$F$4001,3,0))</f>
        <v>40623</v>
      </c>
      <c r="AB106" s="107">
        <f>IF(ISNA(VLOOKUP($R106&amp;AA$2,$C$3:$F$4001,4,0)),"",VLOOKUP($R106&amp;AA$2,$C$3:$F$4001,4,0))</f>
        <v>6.5099999999999991E-2</v>
      </c>
      <c r="AC106" s="106">
        <f>IF(ISNA(VLOOKUP($R106&amp;AC$2,$C$3:$F$4001,3,0)),"",VLOOKUP($R106&amp;AC$2,$C$3:$F$4001,3,0))</f>
        <v>40806</v>
      </c>
      <c r="AD106" s="107">
        <f>IF(ISNA(VLOOKUP($R106&amp;AC$2,$C$3:$F$4001,4,0)),"",VLOOKUP($R106&amp;AC$2,$C$3:$F$4001,4,0))</f>
        <v>8.6899999999999991E-2</v>
      </c>
      <c r="AE106" s="106">
        <f>IF(ISNA(VLOOKUP($R106&amp;AE$2,$C$3:$F$4001,3,0)),"",VLOOKUP($R106&amp;AE$2,$C$3:$F$4001,3,0))</f>
        <v>40988</v>
      </c>
      <c r="AF106" s="107">
        <f>IF(ISNA(VLOOKUP($R106&amp;AE$2,$C$3:$F$4001,4,0)),"",VLOOKUP($R106&amp;AE$2,$C$3:$F$4001,4,0))</f>
        <v>7.0999999999999994E-2</v>
      </c>
      <c r="AG106" s="106">
        <f>IF(ISNA(VLOOKUP($R106&amp;AG$2,$C$3:$F$4001,3,0)),"",VLOOKUP($R106&amp;AG$2,$C$3:$F$4001,3,0))</f>
        <v>41172</v>
      </c>
      <c r="AH106" s="107">
        <f>IF(ISNA(VLOOKUP($R106&amp;AG$2,$C$3:$F$4001,4,0)),"",VLOOKUP($R106&amp;AG$2,$C$3:$F$4001,4,0))</f>
        <v>9.6999999999999989E-2</v>
      </c>
      <c r="AI106" s="106">
        <f>IF(ISNA(VLOOKUP($R106&amp;AI$2,$C$3:$F$4001,3,0)),"",VLOOKUP($R106&amp;AI$2,$C$3:$F$4001,3,0))</f>
        <v>41353</v>
      </c>
      <c r="AJ106" s="107">
        <f>IF(ISNA(VLOOKUP($R106&amp;AI$2,$C$3:$F$4001,4,0)),"",VLOOKUP($R106&amp;AI$2,$C$3:$F$4001,4,0))</f>
        <v>8.1300000000000011E-2</v>
      </c>
      <c r="AK106" s="106">
        <f>IF(ISNA(VLOOKUP($R106&amp;AK$2,$C$3:$F$4001,3,0)),"",VLOOKUP($R106&amp;AK$2,$C$3:$F$4001,3,0))</f>
        <v>41537</v>
      </c>
      <c r="AL106" s="107">
        <f>IF(ISNA(VLOOKUP($R106&amp;AK$2,$C$3:$F$4001,4,0)),"",VLOOKUP($R106&amp;AK$2,$C$3:$F$4001,4,0))</f>
        <v>0.11269999999999999</v>
      </c>
    </row>
    <row r="107" spans="3:38" x14ac:dyDescent="0.2">
      <c r="C107" s="96" t="str">
        <f t="shared" si="4"/>
        <v>ALL16</v>
      </c>
      <c r="D107" s="73" t="s">
        <v>73</v>
      </c>
      <c r="E107" s="100">
        <v>41243</v>
      </c>
      <c r="F107" s="101">
        <v>0.02</v>
      </c>
      <c r="G107" s="96">
        <f t="shared" si="5"/>
        <v>16</v>
      </c>
      <c r="I107" s="96"/>
      <c r="K107" t="str">
        <f t="shared" si="6"/>
        <v>ALL16</v>
      </c>
      <c r="L107" s="73" t="s">
        <v>73</v>
      </c>
      <c r="M107" s="72">
        <v>41243</v>
      </c>
      <c r="N107" s="84">
        <v>0.02</v>
      </c>
      <c r="O107" s="96">
        <f t="shared" si="7"/>
        <v>16</v>
      </c>
      <c r="P107" s="73"/>
      <c r="Q107" s="96"/>
      <c r="R107" s="96" t="str">
        <f>R106</f>
        <v>CGF</v>
      </c>
      <c r="S107" s="108">
        <f>IF(ISNA(VLOOKUP($R107&amp;S$2,$K$3:$N$4001,3,0)),"",VLOOKUP($R107&amp;S$2,$K$3:$N$4001,3,0))</f>
        <v>39891</v>
      </c>
      <c r="T107" s="109">
        <f>IF(ISNA(VLOOKUP($R107&amp;S$2,$K$3:$N$4001,4,0)),"",VLOOKUP($R107&amp;S$2,$K$3:$N$4001,4,0))</f>
        <v>0.05</v>
      </c>
      <c r="U107" s="108">
        <f>IF(ISNA(VLOOKUP($R107&amp;U$2,$K$3:$N$4001,3,0)),"",VLOOKUP($R107&amp;U$2,$K$3:$N$4001,3,0))</f>
        <v>40074</v>
      </c>
      <c r="V107" s="109">
        <f>IF(ISNA(VLOOKUP($R107&amp;U$2,$K$3:$N$4001,4,0)),"",VLOOKUP($R107&amp;U$2,$K$3:$N$4001,4,0))</f>
        <v>7.4999999999999997E-2</v>
      </c>
      <c r="W107" s="108">
        <f>IF(ISNA(VLOOKUP($R107&amp;W$2,$K$3:$N$4001,3,0)),"",VLOOKUP($R107&amp;W$2,$K$3:$N$4001,3,0))</f>
        <v>40256</v>
      </c>
      <c r="X107" s="109">
        <f>IF(ISNA(VLOOKUP($R107&amp;W$2,$K$3:$N$4001,4,0)),"",VLOOKUP($R107&amp;W$2,$K$3:$N$4001,4,0))</f>
        <v>0.06</v>
      </c>
      <c r="Y107" s="108">
        <f>IF(ISNA(VLOOKUP($R107&amp;Y$2,$K$3:$N$4001,3,0)),"",VLOOKUP($R107&amp;Y$2,$K$3:$N$4001,3,0))</f>
        <v>40441</v>
      </c>
      <c r="Z107" s="109">
        <f>IF(ISNA(VLOOKUP($R107&amp;Y$2,$K$3:$N$4001,4,0)),"",VLOOKUP($R107&amp;Y$2,$K$3:$N$4001,4,0))</f>
        <v>0.08</v>
      </c>
      <c r="AA107" s="108">
        <f>IF(ISNA(VLOOKUP($R107&amp;AA$2,$K$3:$N$4001,3,0)),"",VLOOKUP($R107&amp;AA$2,$K$3:$N$4001,3,0))</f>
        <v>40623</v>
      </c>
      <c r="AB107" s="109">
        <f>IF(ISNA(VLOOKUP($R107&amp;AA$2,$K$3:$N$4001,4,0)),"",VLOOKUP($R107&amp;AA$2,$K$3:$N$4001,4,0))</f>
        <v>6.5099999999999991E-2</v>
      </c>
      <c r="AC107" s="108">
        <f>IF(ISNA(VLOOKUP($R107&amp;AC$2,$K$3:$N$4001,3,0)),"",VLOOKUP($R107&amp;AC$2,$K$3:$N$4001,3,0))</f>
        <v>40806</v>
      </c>
      <c r="AD107" s="109">
        <f>IF(ISNA(VLOOKUP($R107&amp;AC$2,$K$3:$N$4001,4,0)),"",VLOOKUP($R107&amp;AC$2,$K$3:$N$4001,4,0))</f>
        <v>8.6899999999999991E-2</v>
      </c>
      <c r="AE107" s="108">
        <f>IF(ISNA(VLOOKUP($R107&amp;AE$2,$K$3:$N$4001,3,0)),"",VLOOKUP($R107&amp;AE$2,$K$3:$N$4001,3,0))</f>
        <v>40988</v>
      </c>
      <c r="AF107" s="109">
        <f>IF(ISNA(VLOOKUP($R107&amp;AE$2,$K$3:$N$4001,4,0)),"",VLOOKUP($R107&amp;AE$2,$K$3:$N$4001,4,0))</f>
        <v>7.0999999999999994E-2</v>
      </c>
      <c r="AG107" s="108">
        <f>IF(ISNA(VLOOKUP($R107&amp;AG$2,$K$3:$N$4001,3,0)),"",VLOOKUP($R107&amp;AG$2,$K$3:$N$4001,3,0))</f>
        <v>41172</v>
      </c>
      <c r="AH107" s="109">
        <f>IF(ISNA(VLOOKUP($R107&amp;AG$2,$K$3:$N$4001,4,0)),"",VLOOKUP($R107&amp;AG$2,$K$3:$N$4001,4,0))</f>
        <v>9.6999999999999989E-2</v>
      </c>
      <c r="AI107" s="108">
        <f>IF(ISNA(VLOOKUP($R107&amp;AI$2,$K$3:$N$4001,3,0)),"",VLOOKUP($R107&amp;AI$2,$K$3:$N$4001,3,0))</f>
        <v>41353</v>
      </c>
      <c r="AJ107" s="109">
        <f>IF(ISNA(VLOOKUP($R107&amp;AI$2,$K$3:$N$4001,4,0)),"",VLOOKUP($R107&amp;AI$2,$K$3:$N$4001,4,0))</f>
        <v>8.1300000000000011E-2</v>
      </c>
      <c r="AK107" s="108">
        <f>IF(ISNA(VLOOKUP($R107&amp;AK$2,$K$3:$N$4001,3,0)),"",VLOOKUP($R107&amp;AK$2,$K$3:$N$4001,3,0))</f>
        <v>41537</v>
      </c>
      <c r="AL107" s="109">
        <f>IF(ISNA(VLOOKUP($R107&amp;AK$2,$K$3:$N$4001,4,0)),"",VLOOKUP($R107&amp;AK$2,$K$3:$N$4001,4,0))</f>
        <v>0.11269999999999999</v>
      </c>
    </row>
    <row r="108" spans="3:38" x14ac:dyDescent="0.2">
      <c r="C108" s="96" t="str">
        <f t="shared" si="4"/>
        <v>ALL17</v>
      </c>
      <c r="D108" s="73" t="s">
        <v>73</v>
      </c>
      <c r="E108" s="100">
        <v>41337</v>
      </c>
      <c r="F108" s="101">
        <v>0.15</v>
      </c>
      <c r="G108" s="96">
        <f t="shared" si="5"/>
        <v>17</v>
      </c>
      <c r="I108" s="96"/>
      <c r="K108" t="str">
        <f t="shared" si="6"/>
        <v>ALL17</v>
      </c>
      <c r="L108" s="73" t="s">
        <v>73</v>
      </c>
      <c r="M108" s="72">
        <v>41337</v>
      </c>
      <c r="N108" s="84">
        <v>0.15</v>
      </c>
      <c r="O108" s="96">
        <f t="shared" si="7"/>
        <v>17</v>
      </c>
      <c r="P108" s="73"/>
      <c r="Q108" s="96"/>
      <c r="R108" s="96" t="s">
        <v>104</v>
      </c>
      <c r="S108" s="106">
        <f>IF(ISNA(VLOOKUP($R108&amp;S$2,$C$3:$F$4001,3,0)),"",VLOOKUP($R108&amp;S$2,$C$3:$F$4001,3,0))</f>
        <v>39861</v>
      </c>
      <c r="T108" s="107">
        <f>IF(ISNA(VLOOKUP($R108&amp;S$2,$C$3:$F$4001,4,0)),"",VLOOKUP($R108&amp;S$2,$C$3:$F$4001,4,0))</f>
        <v>0.215</v>
      </c>
      <c r="U108" s="106">
        <f>IF(ISNA(VLOOKUP($R108&amp;U$2,$C$3:$F$4001,3,0)),"",VLOOKUP($R108&amp;U$2,$C$3:$F$4001,3,0))</f>
        <v>40043</v>
      </c>
      <c r="V108" s="107">
        <f>IF(ISNA(VLOOKUP($R108&amp;U$2,$C$3:$F$4001,4,0)),"",VLOOKUP($R108&amp;U$2,$C$3:$F$4001,4,0))</f>
        <v>0.18989999999999999</v>
      </c>
      <c r="W108" s="106">
        <f>IF(ISNA(VLOOKUP($R108&amp;W$2,$C$3:$F$4001,3,0)),"",VLOOKUP($R108&amp;W$2,$C$3:$F$4001,3,0))</f>
        <v>40226</v>
      </c>
      <c r="X108" s="107">
        <f>IF(ISNA(VLOOKUP($R108&amp;W$2,$C$3:$F$4001,4,0)),"",VLOOKUP($R108&amp;W$2,$C$3:$F$4001,4,0))</f>
        <v>0.24010000000000001</v>
      </c>
      <c r="Y108" s="106">
        <f>IF(ISNA(VLOOKUP($R108&amp;Y$2,$C$3:$F$4001,3,0)),"",VLOOKUP($R108&amp;Y$2,$C$3:$F$4001,3,0))</f>
        <v>40408</v>
      </c>
      <c r="Z108" s="107">
        <f>IF(ISNA(VLOOKUP($R108&amp;Y$2,$C$3:$F$4001,4,0)),"",VLOOKUP($R108&amp;Y$2,$C$3:$F$4001,4,0))</f>
        <v>0.20269999999999999</v>
      </c>
      <c r="AA108" s="106">
        <f>IF(ISNA(VLOOKUP($R108&amp;AA$2,$C$3:$F$4001,3,0)),"",VLOOKUP($R108&amp;AA$2,$C$3:$F$4001,3,0))</f>
        <v>40591</v>
      </c>
      <c r="AB108" s="107">
        <f>IF(ISNA(VLOOKUP($R108&amp;AA$2,$C$3:$F$4001,4,0)),"",VLOOKUP($R108&amp;AA$2,$C$3:$F$4001,4,0))</f>
        <v>0.25629999999999997</v>
      </c>
      <c r="AC108" s="106">
        <f>IF(ISNA(VLOOKUP($R108&amp;AC$2,$C$3:$F$4001,3,0)),"",VLOOKUP($R108&amp;AC$2,$C$3:$F$4001,3,0))</f>
        <v>40773</v>
      </c>
      <c r="AD108" s="107">
        <f>IF(ISNA(VLOOKUP($R108&amp;AC$2,$C$3:$F$4001,4,0)),"",VLOOKUP($R108&amp;AC$2,$C$3:$F$4001,4,0))</f>
        <v>0.21590000000000001</v>
      </c>
      <c r="AE108" s="106">
        <f>IF(ISNA(VLOOKUP($R108&amp;AE$2,$C$3:$F$4001,3,0)),"",VLOOKUP($R108&amp;AE$2,$C$3:$F$4001,3,0))</f>
        <v>40956</v>
      </c>
      <c r="AF108" s="107">
        <f>IF(ISNA(VLOOKUP($R108&amp;AE$2,$C$3:$F$4001,4,0)),"",VLOOKUP($R108&amp;AE$2,$C$3:$F$4001,4,0))</f>
        <v>0.27310000000000001</v>
      </c>
      <c r="AG108" s="106">
        <f>IF(ISNA(VLOOKUP($R108&amp;AG$2,$C$3:$F$4001,3,0)),"",VLOOKUP($R108&amp;AG$2,$C$3:$F$4001,3,0))</f>
        <v>41141</v>
      </c>
      <c r="AH108" s="107">
        <f>IF(ISNA(VLOOKUP($R108&amp;AG$2,$C$3:$F$4001,4,0)),"",VLOOKUP($R108&amp;AG$2,$C$3:$F$4001,4,0))</f>
        <v>0.23269999999999999</v>
      </c>
      <c r="AI108" s="106">
        <f>IF(ISNA(VLOOKUP($R108&amp;AI$2,$C$3:$F$4001,3,0)),"",VLOOKUP($R108&amp;AI$2,$C$3:$F$4001,3,0))</f>
        <v>41324</v>
      </c>
      <c r="AJ108" s="107">
        <f>IF(ISNA(VLOOKUP($R108&amp;AI$2,$C$3:$F$4001,4,0)),"",VLOOKUP($R108&amp;AI$2,$C$3:$F$4001,4,0))</f>
        <v>0.29430000000000001</v>
      </c>
      <c r="AK108" s="106" t="str">
        <f>IF(ISNA(VLOOKUP($R108&amp;AK$2,$C$3:$F$4001,3,0)),"",VLOOKUP($R108&amp;AK$2,$C$3:$F$4001,3,0))</f>
        <v/>
      </c>
      <c r="AL108" s="107" t="str">
        <f>IF(ISNA(VLOOKUP($R108&amp;AK$2,$C$3:$F$4001,4,0)),"",VLOOKUP($R108&amp;AK$2,$C$3:$F$4001,4,0))</f>
        <v/>
      </c>
    </row>
    <row r="109" spans="3:38" x14ac:dyDescent="0.2">
      <c r="C109" s="96" t="str">
        <f t="shared" si="4"/>
        <v>ALS1</v>
      </c>
      <c r="D109" s="73" t="s">
        <v>74</v>
      </c>
      <c r="E109" s="100">
        <v>40037</v>
      </c>
      <c r="F109" s="101">
        <v>0.15</v>
      </c>
      <c r="G109" s="96">
        <f t="shared" si="5"/>
        <v>1</v>
      </c>
      <c r="I109" s="96"/>
      <c r="K109" t="str">
        <f t="shared" si="6"/>
        <v>ALS1</v>
      </c>
      <c r="L109" s="73" t="s">
        <v>74</v>
      </c>
      <c r="M109" s="72">
        <v>40037</v>
      </c>
      <c r="N109" s="84">
        <v>0.15</v>
      </c>
      <c r="O109" s="96">
        <f t="shared" si="7"/>
        <v>1</v>
      </c>
      <c r="P109" s="73"/>
      <c r="Q109" s="96"/>
      <c r="R109" s="96" t="str">
        <f>R108</f>
        <v>CCL</v>
      </c>
      <c r="S109" s="108">
        <f>IF(ISNA(VLOOKUP($R109&amp;S$2,$K$3:$N$4001,3,0)),"",VLOOKUP($R109&amp;S$2,$K$3:$N$4001,3,0))</f>
        <v>39861</v>
      </c>
      <c r="T109" s="109">
        <f>IF(ISNA(VLOOKUP($R109&amp;S$2,$K$3:$N$4001,4,0)),"",VLOOKUP($R109&amp;S$2,$K$3:$N$4001,4,0))</f>
        <v>0.215</v>
      </c>
      <c r="U109" s="108">
        <f>IF(ISNA(VLOOKUP($R109&amp;U$2,$K$3:$N$4001,3,0)),"",VLOOKUP($R109&amp;U$2,$K$3:$N$4001,3,0))</f>
        <v>40043</v>
      </c>
      <c r="V109" s="109">
        <f>IF(ISNA(VLOOKUP($R109&amp;U$2,$K$3:$N$4001,4,0)),"",VLOOKUP($R109&amp;U$2,$K$3:$N$4001,4,0))</f>
        <v>0.18989999999999999</v>
      </c>
      <c r="W109" s="108">
        <f>IF(ISNA(VLOOKUP($R109&amp;W$2,$K$3:$N$4001,3,0)),"",VLOOKUP($R109&amp;W$2,$K$3:$N$4001,3,0))</f>
        <v>40226</v>
      </c>
      <c r="X109" s="109">
        <f>IF(ISNA(VLOOKUP($R109&amp;W$2,$K$3:$N$4001,4,0)),"",VLOOKUP($R109&amp;W$2,$K$3:$N$4001,4,0))</f>
        <v>0.24010000000000001</v>
      </c>
      <c r="Y109" s="108">
        <f>IF(ISNA(VLOOKUP($R109&amp;Y$2,$K$3:$N$4001,3,0)),"",VLOOKUP($R109&amp;Y$2,$K$3:$N$4001,3,0))</f>
        <v>40408</v>
      </c>
      <c r="Z109" s="109">
        <f>IF(ISNA(VLOOKUP($R109&amp;Y$2,$K$3:$N$4001,4,0)),"",VLOOKUP($R109&amp;Y$2,$K$3:$N$4001,4,0))</f>
        <v>0.20269999999999999</v>
      </c>
      <c r="AA109" s="108">
        <f>IF(ISNA(VLOOKUP($R109&amp;AA$2,$K$3:$N$4001,3,0)),"",VLOOKUP($R109&amp;AA$2,$K$3:$N$4001,3,0))</f>
        <v>40591</v>
      </c>
      <c r="AB109" s="109">
        <f>IF(ISNA(VLOOKUP($R109&amp;AA$2,$K$3:$N$4001,4,0)),"",VLOOKUP($R109&amp;AA$2,$K$3:$N$4001,4,0))</f>
        <v>0.25629999999999997</v>
      </c>
      <c r="AC109" s="108">
        <f>IF(ISNA(VLOOKUP($R109&amp;AC$2,$K$3:$N$4001,3,0)),"",VLOOKUP($R109&amp;AC$2,$K$3:$N$4001,3,0))</f>
        <v>40773</v>
      </c>
      <c r="AD109" s="109">
        <f>IF(ISNA(VLOOKUP($R109&amp;AC$2,$K$3:$N$4001,4,0)),"",VLOOKUP($R109&amp;AC$2,$K$3:$N$4001,4,0))</f>
        <v>0.21590000000000001</v>
      </c>
      <c r="AE109" s="108">
        <f>IF(ISNA(VLOOKUP($R109&amp;AE$2,$K$3:$N$4001,3,0)),"",VLOOKUP($R109&amp;AE$2,$K$3:$N$4001,3,0))</f>
        <v>40956</v>
      </c>
      <c r="AF109" s="109">
        <f>IF(ISNA(VLOOKUP($R109&amp;AE$2,$K$3:$N$4001,4,0)),"",VLOOKUP($R109&amp;AE$2,$K$3:$N$4001,4,0))</f>
        <v>0.27310000000000001</v>
      </c>
      <c r="AG109" s="108">
        <f>IF(ISNA(VLOOKUP($R109&amp;AG$2,$K$3:$N$4001,3,0)),"",VLOOKUP($R109&amp;AG$2,$K$3:$N$4001,3,0))</f>
        <v>41141</v>
      </c>
      <c r="AH109" s="109">
        <f>IF(ISNA(VLOOKUP($R109&amp;AG$2,$K$3:$N$4001,4,0)),"",VLOOKUP($R109&amp;AG$2,$K$3:$N$4001,4,0))</f>
        <v>0.23269999999999999</v>
      </c>
      <c r="AI109" s="108">
        <f>IF(ISNA(VLOOKUP($R109&amp;AI$2,$K$3:$N$4001,3,0)),"",VLOOKUP($R109&amp;AI$2,$K$3:$N$4001,3,0))</f>
        <v>41324</v>
      </c>
      <c r="AJ109" s="109">
        <f>IF(ISNA(VLOOKUP($R109&amp;AI$2,$K$3:$N$4001,4,0)),"",VLOOKUP($R109&amp;AI$2,$K$3:$N$4001,4,0))</f>
        <v>0.29430000000000001</v>
      </c>
      <c r="AK109" s="108" t="str">
        <f>IF(ISNA(VLOOKUP($R109&amp;AK$2,$K$3:$N$4001,3,0)),"",VLOOKUP($R109&amp;AK$2,$K$3:$N$4001,3,0))</f>
        <v/>
      </c>
      <c r="AL109" s="109" t="str">
        <f>IF(ISNA(VLOOKUP($R109&amp;AK$2,$K$3:$N$4001,4,0)),"",VLOOKUP($R109&amp;AK$2,$K$3:$N$4001,4,0))</f>
        <v/>
      </c>
    </row>
    <row r="110" spans="3:38" x14ac:dyDescent="0.2">
      <c r="C110" s="96" t="str">
        <f t="shared" si="4"/>
        <v>ALS2</v>
      </c>
      <c r="D110" s="73" t="s">
        <v>74</v>
      </c>
      <c r="E110" s="100">
        <v>40221</v>
      </c>
      <c r="F110" s="101">
        <v>0.12</v>
      </c>
      <c r="G110" s="96">
        <f t="shared" si="5"/>
        <v>2</v>
      </c>
      <c r="I110" s="96"/>
      <c r="K110" t="str">
        <f t="shared" si="6"/>
        <v>ALS2</v>
      </c>
      <c r="L110" s="73" t="s">
        <v>74</v>
      </c>
      <c r="M110" s="72">
        <v>40221</v>
      </c>
      <c r="N110" s="84">
        <v>0.12</v>
      </c>
      <c r="O110" s="96">
        <f t="shared" si="7"/>
        <v>2</v>
      </c>
      <c r="P110" s="73"/>
      <c r="Q110" s="96"/>
      <c r="R110" s="96" t="s">
        <v>112</v>
      </c>
      <c r="S110" s="106">
        <f>IF(ISNA(VLOOKUP($R110&amp;S$2,$C$3:$F$4001,3,0)),"",VLOOKUP($R110&amp;S$2,$C$3:$F$4001,3,0))</f>
        <v>39868</v>
      </c>
      <c r="T110" s="107">
        <f>IF(ISNA(VLOOKUP($R110&amp;S$2,$C$3:$F$4001,4,0)),"",VLOOKUP($R110&amp;S$2,$C$3:$F$4001,4,0))</f>
        <v>0.8</v>
      </c>
      <c r="U110" s="106">
        <f>IF(ISNA(VLOOKUP($R110&amp;U$2,$C$3:$F$4001,3,0)),"",VLOOKUP($R110&amp;U$2,$C$3:$F$4001,3,0))</f>
        <v>40056</v>
      </c>
      <c r="V110" s="107">
        <f>IF(ISNA(VLOOKUP($R110&amp;U$2,$C$3:$F$4001,4,0)),"",VLOOKUP($R110&amp;U$2,$C$3:$F$4001,4,0))</f>
        <v>0.9</v>
      </c>
      <c r="W110" s="106">
        <f>IF(ISNA(VLOOKUP($R110&amp;W$2,$C$3:$F$4001,3,0)),"",VLOOKUP($R110&amp;W$2,$C$3:$F$4001,3,0))</f>
        <v>40233</v>
      </c>
      <c r="X110" s="107">
        <f>IF(ISNA(VLOOKUP($R110&amp;W$2,$C$3:$F$4001,4,0)),"",VLOOKUP($R110&amp;W$2,$C$3:$F$4001,4,0))</f>
        <v>0.9</v>
      </c>
      <c r="Y110" s="106">
        <f>IF(ISNA(VLOOKUP($R110&amp;Y$2,$C$3:$F$4001,3,0)),"",VLOOKUP($R110&amp;Y$2,$C$3:$F$4001,3,0))</f>
        <v>40421</v>
      </c>
      <c r="Z110" s="107">
        <f>IF(ISNA(VLOOKUP($R110&amp;Y$2,$C$3:$F$4001,4,0)),"",VLOOKUP($R110&amp;Y$2,$C$3:$F$4001,4,0))</f>
        <v>1.1000000000000001</v>
      </c>
      <c r="AA110" s="106">
        <f>IF(ISNA(VLOOKUP($R110&amp;AA$2,$C$3:$F$4001,3,0)),"",VLOOKUP($R110&amp;AA$2,$C$3:$F$4001,3,0))</f>
        <v>40598</v>
      </c>
      <c r="AB110" s="107">
        <f>IF(ISNA(VLOOKUP($R110&amp;AA$2,$C$3:$F$4001,4,0)),"",VLOOKUP($R110&amp;AA$2,$C$3:$F$4001,4,0))</f>
        <v>1.1000000000000001</v>
      </c>
      <c r="AC110" s="106">
        <f>IF(ISNA(VLOOKUP($R110&amp;AC$2,$C$3:$F$4001,3,0)),"",VLOOKUP($R110&amp;AC$2,$C$3:$F$4001,3,0))</f>
        <v>40786</v>
      </c>
      <c r="AD110" s="107">
        <f>IF(ISNA(VLOOKUP($R110&amp;AC$2,$C$3:$F$4001,4,0)),"",VLOOKUP($R110&amp;AC$2,$C$3:$F$4001,4,0))</f>
        <v>1.2</v>
      </c>
      <c r="AE110" s="106">
        <f>IF(ISNA(VLOOKUP($R110&amp;AE$2,$C$3:$F$4001,3,0)),"",VLOOKUP($R110&amp;AE$2,$C$3:$F$4001,3,0))</f>
        <v>40966</v>
      </c>
      <c r="AF110" s="107">
        <f>IF(ISNA(VLOOKUP($R110&amp;AE$2,$C$3:$F$4001,4,0)),"",VLOOKUP($R110&amp;AE$2,$C$3:$F$4001,4,0))</f>
        <v>1.2</v>
      </c>
      <c r="AG110" s="106">
        <f>IF(ISNA(VLOOKUP($R110&amp;AG$2,$C$3:$F$4001,3,0)),"",VLOOKUP($R110&amp;AG$2,$C$3:$F$4001,3,0))</f>
        <v>41152</v>
      </c>
      <c r="AH110" s="107">
        <f>IF(ISNA(VLOOKUP($R110&amp;AG$2,$C$3:$F$4001,4,0)),"",VLOOKUP($R110&amp;AG$2,$C$3:$F$4001,4,0))</f>
        <v>1.5</v>
      </c>
      <c r="AI110" s="106">
        <f>IF(ISNA(VLOOKUP($R110&amp;AI$2,$C$3:$F$4001,3,0)),"",VLOOKUP($R110&amp;AI$2,$C$3:$F$4001,3,0))</f>
        <v>41331</v>
      </c>
      <c r="AJ110" s="107">
        <f>IF(ISNA(VLOOKUP($R110&amp;AI$2,$C$3:$F$4001,4,0)),"",VLOOKUP($R110&amp;AI$2,$C$3:$F$4001,4,0))</f>
        <v>1.5</v>
      </c>
      <c r="AK110" s="106">
        <f>IF(ISNA(VLOOKUP($R110&amp;AK$2,$C$3:$F$4001,3,0)),"",VLOOKUP($R110&amp;AK$2,$C$3:$F$4001,3,0))</f>
        <v>41519</v>
      </c>
      <c r="AL110" s="107">
        <f>IF(ISNA(VLOOKUP($R110&amp;AK$2,$C$3:$F$4001,4,0)),"",VLOOKUP($R110&amp;AK$2,$C$3:$F$4001,4,0))</f>
        <v>1.7</v>
      </c>
    </row>
    <row r="111" spans="3:38" x14ac:dyDescent="0.2">
      <c r="C111" s="96" t="str">
        <f t="shared" si="4"/>
        <v>ALS3</v>
      </c>
      <c r="D111" s="73" t="s">
        <v>74</v>
      </c>
      <c r="E111" s="100">
        <v>40402</v>
      </c>
      <c r="F111" s="101">
        <v>0.15</v>
      </c>
      <c r="G111" s="96">
        <f t="shared" si="5"/>
        <v>3</v>
      </c>
      <c r="I111" s="96"/>
      <c r="K111" t="str">
        <f t="shared" si="6"/>
        <v>ALS3</v>
      </c>
      <c r="L111" s="73" t="s">
        <v>74</v>
      </c>
      <c r="M111" s="72">
        <v>40402</v>
      </c>
      <c r="N111" s="84">
        <v>0.15</v>
      </c>
      <c r="O111" s="96">
        <f t="shared" si="7"/>
        <v>3</v>
      </c>
      <c r="P111" s="73"/>
      <c r="Q111" s="96"/>
      <c r="R111" s="96" t="str">
        <f>R110</f>
        <v>COH</v>
      </c>
      <c r="S111" s="108">
        <f>IF(ISNA(VLOOKUP($R111&amp;S$2,$K$3:$N$4001,3,0)),"",VLOOKUP($R111&amp;S$2,$K$3:$N$4001,3,0))</f>
        <v>39868</v>
      </c>
      <c r="T111" s="109">
        <f>IF(ISNA(VLOOKUP($R111&amp;S$2,$K$3:$N$4001,4,0)),"",VLOOKUP($R111&amp;S$2,$K$3:$N$4001,4,0))</f>
        <v>0.8</v>
      </c>
      <c r="U111" s="108">
        <f>IF(ISNA(VLOOKUP($R111&amp;U$2,$K$3:$N$4001,3,0)),"",VLOOKUP($R111&amp;U$2,$K$3:$N$4001,3,0))</f>
        <v>40056</v>
      </c>
      <c r="V111" s="109">
        <f>IF(ISNA(VLOOKUP($R111&amp;U$2,$K$3:$N$4001,4,0)),"",VLOOKUP($R111&amp;U$2,$K$3:$N$4001,4,0))</f>
        <v>0.9</v>
      </c>
      <c r="W111" s="108">
        <f>IF(ISNA(VLOOKUP($R111&amp;W$2,$K$3:$N$4001,3,0)),"",VLOOKUP($R111&amp;W$2,$K$3:$N$4001,3,0))</f>
        <v>40233</v>
      </c>
      <c r="X111" s="109">
        <f>IF(ISNA(VLOOKUP($R111&amp;W$2,$K$3:$N$4001,4,0)),"",VLOOKUP($R111&amp;W$2,$K$3:$N$4001,4,0))</f>
        <v>0.9</v>
      </c>
      <c r="Y111" s="108">
        <f>IF(ISNA(VLOOKUP($R111&amp;Y$2,$K$3:$N$4001,3,0)),"",VLOOKUP($R111&amp;Y$2,$K$3:$N$4001,3,0))</f>
        <v>40421</v>
      </c>
      <c r="Z111" s="109">
        <f>IF(ISNA(VLOOKUP($R111&amp;Y$2,$K$3:$N$4001,4,0)),"",VLOOKUP($R111&amp;Y$2,$K$3:$N$4001,4,0))</f>
        <v>1.1000000000000001</v>
      </c>
      <c r="AA111" s="108">
        <f>IF(ISNA(VLOOKUP($R111&amp;AA$2,$K$3:$N$4001,3,0)),"",VLOOKUP($R111&amp;AA$2,$K$3:$N$4001,3,0))</f>
        <v>40598</v>
      </c>
      <c r="AB111" s="109">
        <f>IF(ISNA(VLOOKUP($R111&amp;AA$2,$K$3:$N$4001,4,0)),"",VLOOKUP($R111&amp;AA$2,$K$3:$N$4001,4,0))</f>
        <v>1.1000000000000001</v>
      </c>
      <c r="AC111" s="108">
        <f>IF(ISNA(VLOOKUP($R111&amp;AC$2,$K$3:$N$4001,3,0)),"",VLOOKUP($R111&amp;AC$2,$K$3:$N$4001,3,0))</f>
        <v>40786</v>
      </c>
      <c r="AD111" s="109">
        <f>IF(ISNA(VLOOKUP($R111&amp;AC$2,$K$3:$N$4001,4,0)),"",VLOOKUP($R111&amp;AC$2,$K$3:$N$4001,4,0))</f>
        <v>1.2</v>
      </c>
      <c r="AE111" s="108">
        <f>IF(ISNA(VLOOKUP($R111&amp;AE$2,$K$3:$N$4001,3,0)),"",VLOOKUP($R111&amp;AE$2,$K$3:$N$4001,3,0))</f>
        <v>40966</v>
      </c>
      <c r="AF111" s="109">
        <f>IF(ISNA(VLOOKUP($R111&amp;AE$2,$K$3:$N$4001,4,0)),"",VLOOKUP($R111&amp;AE$2,$K$3:$N$4001,4,0))</f>
        <v>1.2</v>
      </c>
      <c r="AG111" s="108">
        <f>IF(ISNA(VLOOKUP($R111&amp;AG$2,$K$3:$N$4001,3,0)),"",VLOOKUP($R111&amp;AG$2,$K$3:$N$4001,3,0))</f>
        <v>41152</v>
      </c>
      <c r="AH111" s="109">
        <f>IF(ISNA(VLOOKUP($R111&amp;AG$2,$K$3:$N$4001,4,0)),"",VLOOKUP($R111&amp;AG$2,$K$3:$N$4001,4,0))</f>
        <v>1.5</v>
      </c>
      <c r="AI111" s="108">
        <f>IF(ISNA(VLOOKUP($R111&amp;AI$2,$K$3:$N$4001,3,0)),"",VLOOKUP($R111&amp;AI$2,$K$3:$N$4001,3,0))</f>
        <v>41331</v>
      </c>
      <c r="AJ111" s="109">
        <f>IF(ISNA(VLOOKUP($R111&amp;AI$2,$K$3:$N$4001,4,0)),"",VLOOKUP($R111&amp;AI$2,$K$3:$N$4001,4,0))</f>
        <v>1.5</v>
      </c>
      <c r="AK111" s="108">
        <f>IF(ISNA(VLOOKUP($R111&amp;AK$2,$K$3:$N$4001,3,0)),"",VLOOKUP($R111&amp;AK$2,$K$3:$N$4001,3,0))</f>
        <v>41519</v>
      </c>
      <c r="AL111" s="109">
        <f>IF(ISNA(VLOOKUP($R111&amp;AK$2,$K$3:$N$4001,4,0)),"",VLOOKUP($R111&amp;AK$2,$K$3:$N$4001,4,0))</f>
        <v>1.7</v>
      </c>
    </row>
    <row r="112" spans="3:38" x14ac:dyDescent="0.2">
      <c r="C112" s="96" t="str">
        <f t="shared" si="4"/>
        <v>ALS4</v>
      </c>
      <c r="D112" s="73" t="s">
        <v>74</v>
      </c>
      <c r="E112" s="100">
        <v>40588</v>
      </c>
      <c r="F112" s="101">
        <v>0.14000000000000001</v>
      </c>
      <c r="G112" s="96">
        <f t="shared" si="5"/>
        <v>4</v>
      </c>
      <c r="I112" s="96"/>
      <c r="K112" t="str">
        <f t="shared" si="6"/>
        <v>ALS4</v>
      </c>
      <c r="L112" s="73" t="s">
        <v>74</v>
      </c>
      <c r="M112" s="72">
        <v>40588</v>
      </c>
      <c r="N112" s="84">
        <v>0.14000000000000001</v>
      </c>
      <c r="O112" s="96">
        <f t="shared" si="7"/>
        <v>4</v>
      </c>
      <c r="P112" s="73"/>
      <c r="Q112" s="96"/>
      <c r="R112" s="96" t="s">
        <v>103</v>
      </c>
      <c r="S112" s="106">
        <f>IF(ISNA(VLOOKUP($R112&amp;S$2,$C$3:$F$4001,3,0)),"",VLOOKUP($R112&amp;S$2,$C$3:$F$4001,3,0))</f>
        <v>39860</v>
      </c>
      <c r="T112" s="107">
        <f>IF(ISNA(VLOOKUP($R112&amp;S$2,$C$3:$F$4001,4,0)),"",VLOOKUP($R112&amp;S$2,$C$3:$F$4001,4,0))</f>
        <v>1.1299999999999999</v>
      </c>
      <c r="U112" s="106">
        <f>IF(ISNA(VLOOKUP($R112&amp;U$2,$C$3:$F$4001,3,0)),"",VLOOKUP($R112&amp;U$2,$C$3:$F$4001,3,0))</f>
        <v>40042</v>
      </c>
      <c r="V112" s="107">
        <f>IF(ISNA(VLOOKUP($R112&amp;U$2,$C$3:$F$4001,4,0)),"",VLOOKUP($R112&amp;U$2,$C$3:$F$4001,4,0))</f>
        <v>1.53</v>
      </c>
      <c r="W112" s="106">
        <f>IF(ISNA(VLOOKUP($R112&amp;W$2,$C$3:$F$4001,3,0)),"",VLOOKUP($R112&amp;W$2,$C$3:$F$4001,3,0))</f>
        <v>40225</v>
      </c>
      <c r="X112" s="107">
        <f>IF(ISNA(VLOOKUP($R112&amp;W$2,$C$3:$F$4001,4,0)),"",VLOOKUP($R112&amp;W$2,$C$3:$F$4001,4,0))</f>
        <v>1.1299999999999999</v>
      </c>
      <c r="Y112" s="106">
        <f>IF(ISNA(VLOOKUP($R112&amp;Y$2,$C$3:$F$4001,3,0)),"",VLOOKUP($R112&amp;Y$2,$C$3:$F$4001,3,0))</f>
        <v>40407</v>
      </c>
      <c r="Z112" s="107">
        <f>IF(ISNA(VLOOKUP($R112&amp;Y$2,$C$3:$F$4001,4,0)),"",VLOOKUP($R112&amp;Y$2,$C$3:$F$4001,4,0))</f>
        <v>1.53</v>
      </c>
      <c r="AA112" s="106">
        <f>IF(ISNA(VLOOKUP($R112&amp;AA$2,$C$3:$F$4001,3,0)),"",VLOOKUP($R112&amp;AA$2,$C$3:$F$4001,3,0))</f>
        <v>40590</v>
      </c>
      <c r="AB112" s="107">
        <f>IF(ISNA(VLOOKUP($R112&amp;AA$2,$C$3:$F$4001,4,0)),"",VLOOKUP($R112&amp;AA$2,$C$3:$F$4001,4,0))</f>
        <v>1.1399999999999999</v>
      </c>
      <c r="AC112" s="106">
        <f>IF(ISNA(VLOOKUP($R112&amp;AC$2,$C$3:$F$4001,3,0)),"",VLOOKUP($R112&amp;AC$2,$C$3:$F$4001,3,0))</f>
        <v>40772</v>
      </c>
      <c r="AD112" s="107">
        <f>IF(ISNA(VLOOKUP($R112&amp;AC$2,$C$3:$F$4001,4,0)),"",VLOOKUP($R112&amp;AC$2,$C$3:$F$4001,4,0))</f>
        <v>1.58</v>
      </c>
      <c r="AE112" s="106">
        <f>IF(ISNA(VLOOKUP($R112&amp;AE$2,$C$3:$F$4001,3,0)),"",VLOOKUP($R112&amp;AE$2,$C$3:$F$4001,3,0))</f>
        <v>40955</v>
      </c>
      <c r="AF112" s="107">
        <f>IF(ISNA(VLOOKUP($R112&amp;AE$2,$C$3:$F$4001,4,0)),"",VLOOKUP($R112&amp;AE$2,$C$3:$F$4001,4,0))</f>
        <v>1.22</v>
      </c>
      <c r="AG112" s="106">
        <f>IF(ISNA(VLOOKUP($R112&amp;AG$2,$C$3:$F$4001,3,0)),"",VLOOKUP($R112&amp;AG$2,$C$3:$F$4001,3,0))</f>
        <v>41138</v>
      </c>
      <c r="AH112" s="107">
        <f>IF(ISNA(VLOOKUP($R112&amp;AG$2,$C$3:$F$4001,4,0)),"",VLOOKUP($R112&amp;AG$2,$C$3:$F$4001,4,0))</f>
        <v>1.68</v>
      </c>
      <c r="AI112" s="106">
        <f>IF(ISNA(VLOOKUP($R112&amp;AI$2,$C$3:$F$4001,3,0)),"",VLOOKUP($R112&amp;AI$2,$C$3:$F$4001,3,0))</f>
        <v>41323</v>
      </c>
      <c r="AJ112" s="107">
        <f>IF(ISNA(VLOOKUP($R112&amp;AI$2,$C$3:$F$4001,4,0)),"",VLOOKUP($R112&amp;AI$2,$C$3:$F$4001,4,0))</f>
        <v>1.27</v>
      </c>
      <c r="AK112" s="106">
        <f>IF(ISNA(VLOOKUP($R112&amp;AK$2,$C$3:$F$4001,3,0)),"",VLOOKUP($R112&amp;AK$2,$C$3:$F$4001,3,0))</f>
        <v>41505</v>
      </c>
      <c r="AL112" s="107">
        <f>IF(ISNA(VLOOKUP($R112&amp;AK$2,$C$3:$F$4001,4,0)),"",VLOOKUP($R112&amp;AK$2,$C$3:$F$4001,4,0))</f>
        <v>1.75</v>
      </c>
    </row>
    <row r="113" spans="3:38" x14ac:dyDescent="0.2">
      <c r="C113" s="96" t="str">
        <f t="shared" si="4"/>
        <v>ALS5</v>
      </c>
      <c r="D113" s="73" t="s">
        <v>74</v>
      </c>
      <c r="E113" s="100">
        <v>40767</v>
      </c>
      <c r="F113" s="101">
        <v>0.18</v>
      </c>
      <c r="G113" s="96">
        <f t="shared" si="5"/>
        <v>5</v>
      </c>
      <c r="I113" s="96"/>
      <c r="K113" t="str">
        <f t="shared" si="6"/>
        <v>ALS5</v>
      </c>
      <c r="L113" s="73" t="s">
        <v>74</v>
      </c>
      <c r="M113" s="72">
        <v>40767</v>
      </c>
      <c r="N113" s="84">
        <v>0.18</v>
      </c>
      <c r="O113" s="96">
        <f t="shared" si="7"/>
        <v>5</v>
      </c>
      <c r="P113" s="73"/>
      <c r="Q113" s="96"/>
      <c r="R113" s="96" t="str">
        <f>R112</f>
        <v>CBA</v>
      </c>
      <c r="S113" s="108">
        <f>IF(ISNA(VLOOKUP($R113&amp;S$2,$K$3:$N$4001,3,0)),"",VLOOKUP($R113&amp;S$2,$K$3:$N$4001,3,0))</f>
        <v>39860</v>
      </c>
      <c r="T113" s="109">
        <f>IF(ISNA(VLOOKUP($R113&amp;S$2,$K$3:$N$4001,4,0)),"",VLOOKUP($R113&amp;S$2,$K$3:$N$4001,4,0))</f>
        <v>1.1299999999999999</v>
      </c>
      <c r="U113" s="108">
        <f>IF(ISNA(VLOOKUP($R113&amp;U$2,$K$3:$N$4001,3,0)),"",VLOOKUP($R113&amp;U$2,$K$3:$N$4001,3,0))</f>
        <v>40042</v>
      </c>
      <c r="V113" s="109">
        <f>IF(ISNA(VLOOKUP($R113&amp;U$2,$K$3:$N$4001,4,0)),"",VLOOKUP($R113&amp;U$2,$K$3:$N$4001,4,0))</f>
        <v>1.53</v>
      </c>
      <c r="W113" s="108">
        <f>IF(ISNA(VLOOKUP($R113&amp;W$2,$K$3:$N$4001,3,0)),"",VLOOKUP($R113&amp;W$2,$K$3:$N$4001,3,0))</f>
        <v>40225</v>
      </c>
      <c r="X113" s="109">
        <f>IF(ISNA(VLOOKUP($R113&amp;W$2,$K$3:$N$4001,4,0)),"",VLOOKUP($R113&amp;W$2,$K$3:$N$4001,4,0))</f>
        <v>1.1299999999999999</v>
      </c>
      <c r="Y113" s="108">
        <f>IF(ISNA(VLOOKUP($R113&amp;Y$2,$K$3:$N$4001,3,0)),"",VLOOKUP($R113&amp;Y$2,$K$3:$N$4001,3,0))</f>
        <v>40407</v>
      </c>
      <c r="Z113" s="109">
        <f>IF(ISNA(VLOOKUP($R113&amp;Y$2,$K$3:$N$4001,4,0)),"",VLOOKUP($R113&amp;Y$2,$K$3:$N$4001,4,0))</f>
        <v>1.53</v>
      </c>
      <c r="AA113" s="108">
        <f>IF(ISNA(VLOOKUP($R113&amp;AA$2,$K$3:$N$4001,3,0)),"",VLOOKUP($R113&amp;AA$2,$K$3:$N$4001,3,0))</f>
        <v>40590</v>
      </c>
      <c r="AB113" s="109">
        <f>IF(ISNA(VLOOKUP($R113&amp;AA$2,$K$3:$N$4001,4,0)),"",VLOOKUP($R113&amp;AA$2,$K$3:$N$4001,4,0))</f>
        <v>1.1399999999999999</v>
      </c>
      <c r="AC113" s="108">
        <f>IF(ISNA(VLOOKUP($R113&amp;AC$2,$K$3:$N$4001,3,0)),"",VLOOKUP($R113&amp;AC$2,$K$3:$N$4001,3,0))</f>
        <v>40772</v>
      </c>
      <c r="AD113" s="109">
        <f>IF(ISNA(VLOOKUP($R113&amp;AC$2,$K$3:$N$4001,4,0)),"",VLOOKUP($R113&amp;AC$2,$K$3:$N$4001,4,0))</f>
        <v>1.58</v>
      </c>
      <c r="AE113" s="108">
        <f>IF(ISNA(VLOOKUP($R113&amp;AE$2,$K$3:$N$4001,3,0)),"",VLOOKUP($R113&amp;AE$2,$K$3:$N$4001,3,0))</f>
        <v>40955</v>
      </c>
      <c r="AF113" s="109">
        <f>IF(ISNA(VLOOKUP($R113&amp;AE$2,$K$3:$N$4001,4,0)),"",VLOOKUP($R113&amp;AE$2,$K$3:$N$4001,4,0))</f>
        <v>1.22</v>
      </c>
      <c r="AG113" s="108">
        <f>IF(ISNA(VLOOKUP($R113&amp;AG$2,$K$3:$N$4001,3,0)),"",VLOOKUP($R113&amp;AG$2,$K$3:$N$4001,3,0))</f>
        <v>41138</v>
      </c>
      <c r="AH113" s="109">
        <f>IF(ISNA(VLOOKUP($R113&amp;AG$2,$K$3:$N$4001,4,0)),"",VLOOKUP($R113&amp;AG$2,$K$3:$N$4001,4,0))</f>
        <v>1.68</v>
      </c>
      <c r="AI113" s="108">
        <f>IF(ISNA(VLOOKUP($R113&amp;AI$2,$K$3:$N$4001,3,0)),"",VLOOKUP($R113&amp;AI$2,$K$3:$N$4001,3,0))</f>
        <v>41323</v>
      </c>
      <c r="AJ113" s="109">
        <f>IF(ISNA(VLOOKUP($R113&amp;AI$2,$K$3:$N$4001,4,0)),"",VLOOKUP($R113&amp;AI$2,$K$3:$N$4001,4,0))</f>
        <v>1.27</v>
      </c>
      <c r="AK113" s="108">
        <f>IF(ISNA(VLOOKUP($R113&amp;AK$2,$K$3:$N$4001,3,0)),"",VLOOKUP($R113&amp;AK$2,$K$3:$N$4001,3,0))</f>
        <v>41505</v>
      </c>
      <c r="AL113" s="109">
        <f>IF(ISNA(VLOOKUP($R113&amp;AK$2,$K$3:$N$4001,4,0)),"",VLOOKUP($R113&amp;AK$2,$K$3:$N$4001,4,0))</f>
        <v>1.75</v>
      </c>
    </row>
    <row r="114" spans="3:38" x14ac:dyDescent="0.2">
      <c r="C114" s="96" t="str">
        <f t="shared" si="4"/>
        <v>ALS6</v>
      </c>
      <c r="D114" s="73" t="s">
        <v>74</v>
      </c>
      <c r="E114" s="100">
        <v>40953</v>
      </c>
      <c r="F114" s="101">
        <v>0.16800000000000001</v>
      </c>
      <c r="G114" s="96">
        <f t="shared" si="5"/>
        <v>6</v>
      </c>
      <c r="I114" s="96"/>
      <c r="K114" t="str">
        <f t="shared" si="6"/>
        <v>ALS6</v>
      </c>
      <c r="L114" s="73" t="s">
        <v>74</v>
      </c>
      <c r="M114" s="72">
        <v>40953</v>
      </c>
      <c r="N114" s="84">
        <v>0.16800000000000001</v>
      </c>
      <c r="O114" s="96">
        <f t="shared" si="7"/>
        <v>6</v>
      </c>
      <c r="P114" s="73"/>
      <c r="Q114" s="96"/>
      <c r="R114" s="96" t="s">
        <v>113</v>
      </c>
      <c r="S114" s="106">
        <f>IF(ISNA(VLOOKUP($R114&amp;S$2,$C$3:$F$4001,3,0)),"",VLOOKUP($R114&amp;S$2,$C$3:$F$4001,3,0))</f>
        <v>39988</v>
      </c>
      <c r="T114" s="107">
        <f>IF(ISNA(VLOOKUP($R114&amp;S$2,$C$3:$F$4001,4,0)),"",VLOOKUP($R114&amp;S$2,$C$3:$F$4001,4,0))</f>
        <v>4.2000000000000003E-2</v>
      </c>
      <c r="U114" s="106">
        <f>IF(ISNA(VLOOKUP($R114&amp;U$2,$C$3:$F$4001,3,0)),"",VLOOKUP($R114&amp;U$2,$C$3:$F$4001,3,0))</f>
        <v>40170</v>
      </c>
      <c r="V114" s="107">
        <f>IF(ISNA(VLOOKUP($R114&amp;U$2,$C$3:$F$4001,4,0)),"",VLOOKUP($R114&amp;U$2,$C$3:$F$4001,4,0))</f>
        <v>4.4999999999999998E-2</v>
      </c>
      <c r="W114" s="106">
        <f>IF(ISNA(VLOOKUP($R114&amp;W$2,$C$3:$F$4001,3,0)),"",VLOOKUP($R114&amp;W$2,$C$3:$F$4001,3,0))</f>
        <v>40353</v>
      </c>
      <c r="X114" s="107">
        <f>IF(ISNA(VLOOKUP($R114&amp;W$2,$C$3:$F$4001,4,0)),"",VLOOKUP($R114&amp;W$2,$C$3:$F$4001,4,0))</f>
        <v>4.4999999999999998E-2</v>
      </c>
      <c r="Y114" s="106">
        <f>IF(ISNA(VLOOKUP($R114&amp;Y$2,$C$3:$F$4001,3,0)),"",VLOOKUP($R114&amp;Y$2,$C$3:$F$4001,3,0))</f>
        <v>40535</v>
      </c>
      <c r="Z114" s="107">
        <f>IF(ISNA(VLOOKUP($R114&amp;Y$2,$C$3:$F$4001,4,0)),"",VLOOKUP($R114&amp;Y$2,$C$3:$F$4001,4,0))</f>
        <v>4.2500000000000003E-2</v>
      </c>
      <c r="AA114" s="106">
        <f>IF(ISNA(VLOOKUP($R114&amp;AA$2,$C$3:$F$4001,3,0)),"",VLOOKUP($R114&amp;AA$2,$C$3:$F$4001,3,0))</f>
        <v>40718</v>
      </c>
      <c r="AB114" s="107">
        <f>IF(ISNA(VLOOKUP($R114&amp;AA$2,$C$3:$F$4001,4,0)),"",VLOOKUP($R114&amp;AA$2,$C$3:$F$4001,4,0))</f>
        <v>4.2500000000000003E-2</v>
      </c>
      <c r="AC114" s="106">
        <f>IF(ISNA(VLOOKUP($R114&amp;AC$2,$C$3:$F$4001,3,0)),"",VLOOKUP($R114&amp;AC$2,$C$3:$F$4001,3,0))</f>
        <v>40899</v>
      </c>
      <c r="AD114" s="107">
        <f>IF(ISNA(VLOOKUP($R114&amp;AC$2,$C$3:$F$4001,4,0)),"",VLOOKUP($R114&amp;AC$2,$C$3:$F$4001,4,0))</f>
        <v>4.4000000000000004E-2</v>
      </c>
      <c r="AE114" s="106">
        <f>IF(ISNA(VLOOKUP($R114&amp;AE$2,$C$3:$F$4001,3,0)),"",VLOOKUP($R114&amp;AE$2,$C$3:$F$4001,3,0))</f>
        <v>41085</v>
      </c>
      <c r="AF114" s="107">
        <f>IF(ISNA(VLOOKUP($R114&amp;AE$2,$C$3:$F$4001,4,0)),"",VLOOKUP($R114&amp;AE$2,$C$3:$F$4001,4,0))</f>
        <v>4.4000000000000004E-2</v>
      </c>
      <c r="AG114" s="106">
        <f>IF(ISNA(VLOOKUP($R114&amp;AG$2,$C$3:$F$4001,3,0)),"",VLOOKUP($R114&amp;AG$2,$C$3:$F$4001,3,0))</f>
        <v>41268</v>
      </c>
      <c r="AH114" s="107">
        <f>IF(ISNA(VLOOKUP($R114&amp;AG$2,$C$3:$F$4001,4,0)),"",VLOOKUP($R114&amp;AG$2,$C$3:$F$4001,4,0))</f>
        <v>4.4999999999999998E-2</v>
      </c>
      <c r="AI114" s="106">
        <f>IF(ISNA(VLOOKUP($R114&amp;AI$2,$C$3:$F$4001,3,0)),"",VLOOKUP($R114&amp;AI$2,$C$3:$F$4001,3,0))</f>
        <v>41450</v>
      </c>
      <c r="AJ114" s="107">
        <f>IF(ISNA(VLOOKUP($R114&amp;AI$2,$C$3:$F$4001,4,0)),"",VLOOKUP($R114&amp;AI$2,$C$3:$F$4001,4,0))</f>
        <v>4.4999999999999998E-2</v>
      </c>
      <c r="AK114" s="106" t="str">
        <f>IF(ISNA(VLOOKUP($R114&amp;AK$2,$C$3:$F$4001,3,0)),"",VLOOKUP($R114&amp;AK$2,$C$3:$F$4001,3,0))</f>
        <v/>
      </c>
      <c r="AL114" s="107" t="str">
        <f>IF(ISNA(VLOOKUP($R114&amp;AK$2,$C$3:$F$4001,4,0)),"",VLOOKUP($R114&amp;AK$2,$C$3:$F$4001,4,0))</f>
        <v/>
      </c>
    </row>
    <row r="115" spans="3:38" x14ac:dyDescent="0.2">
      <c r="C115" s="96" t="str">
        <f t="shared" si="4"/>
        <v>ALS7</v>
      </c>
      <c r="D115" s="73" t="s">
        <v>74</v>
      </c>
      <c r="E115" s="100">
        <v>41135</v>
      </c>
      <c r="F115" s="101">
        <v>0.21600000000000003</v>
      </c>
      <c r="G115" s="96">
        <f t="shared" si="5"/>
        <v>7</v>
      </c>
      <c r="I115" s="96"/>
      <c r="K115" t="str">
        <f t="shared" si="6"/>
        <v>ALS7</v>
      </c>
      <c r="L115" s="73" t="s">
        <v>74</v>
      </c>
      <c r="M115" s="72">
        <v>41135</v>
      </c>
      <c r="N115" s="84">
        <v>0.21600000000000003</v>
      </c>
      <c r="O115" s="96">
        <f t="shared" si="7"/>
        <v>7</v>
      </c>
      <c r="P115" s="73"/>
      <c r="Q115" s="96"/>
      <c r="R115" s="96" t="str">
        <f>R114</f>
        <v>CPA</v>
      </c>
      <c r="S115" s="108">
        <f>IF(ISNA(VLOOKUP($R115&amp;S$2,$K$3:$N$4001,3,0)),"",VLOOKUP($R115&amp;S$2,$K$3:$N$4001,3,0))</f>
        <v>39988</v>
      </c>
      <c r="T115" s="109">
        <f>IF(ISNA(VLOOKUP($R115&amp;S$2,$K$3:$N$4001,4,0)),"",VLOOKUP($R115&amp;S$2,$K$3:$N$4001,4,0))</f>
        <v>4.2000000000000003E-2</v>
      </c>
      <c r="U115" s="108">
        <f>IF(ISNA(VLOOKUP($R115&amp;U$2,$K$3:$N$4001,3,0)),"",VLOOKUP($R115&amp;U$2,$K$3:$N$4001,3,0))</f>
        <v>40170</v>
      </c>
      <c r="V115" s="109">
        <f>IF(ISNA(VLOOKUP($R115&amp;U$2,$K$3:$N$4001,4,0)),"",VLOOKUP($R115&amp;U$2,$K$3:$N$4001,4,0))</f>
        <v>4.4999999999999998E-2</v>
      </c>
      <c r="W115" s="108">
        <f>IF(ISNA(VLOOKUP($R115&amp;W$2,$K$3:$N$4001,3,0)),"",VLOOKUP($R115&amp;W$2,$K$3:$N$4001,3,0))</f>
        <v>40353</v>
      </c>
      <c r="X115" s="109">
        <f>IF(ISNA(VLOOKUP($R115&amp;W$2,$K$3:$N$4001,4,0)),"",VLOOKUP($R115&amp;W$2,$K$3:$N$4001,4,0))</f>
        <v>4.4999999999999998E-2</v>
      </c>
      <c r="Y115" s="108">
        <f>IF(ISNA(VLOOKUP($R115&amp;Y$2,$K$3:$N$4001,3,0)),"",VLOOKUP($R115&amp;Y$2,$K$3:$N$4001,3,0))</f>
        <v>40535</v>
      </c>
      <c r="Z115" s="109">
        <f>IF(ISNA(VLOOKUP($R115&amp;Y$2,$K$3:$N$4001,4,0)),"",VLOOKUP($R115&amp;Y$2,$K$3:$N$4001,4,0))</f>
        <v>4.2500000000000003E-2</v>
      </c>
      <c r="AA115" s="108">
        <f>IF(ISNA(VLOOKUP($R115&amp;AA$2,$K$3:$N$4001,3,0)),"",VLOOKUP($R115&amp;AA$2,$K$3:$N$4001,3,0))</f>
        <v>40718</v>
      </c>
      <c r="AB115" s="109">
        <f>IF(ISNA(VLOOKUP($R115&amp;AA$2,$K$3:$N$4001,4,0)),"",VLOOKUP($R115&amp;AA$2,$K$3:$N$4001,4,0))</f>
        <v>4.2500000000000003E-2</v>
      </c>
      <c r="AC115" s="108">
        <f>IF(ISNA(VLOOKUP($R115&amp;AC$2,$K$3:$N$4001,3,0)),"",VLOOKUP($R115&amp;AC$2,$K$3:$N$4001,3,0))</f>
        <v>40899</v>
      </c>
      <c r="AD115" s="109">
        <f>IF(ISNA(VLOOKUP($R115&amp;AC$2,$K$3:$N$4001,4,0)),"",VLOOKUP($R115&amp;AC$2,$K$3:$N$4001,4,0))</f>
        <v>4.4000000000000004E-2</v>
      </c>
      <c r="AE115" s="108">
        <f>IF(ISNA(VLOOKUP($R115&amp;AE$2,$K$3:$N$4001,3,0)),"",VLOOKUP($R115&amp;AE$2,$K$3:$N$4001,3,0))</f>
        <v>41085</v>
      </c>
      <c r="AF115" s="109">
        <f>IF(ISNA(VLOOKUP($R115&amp;AE$2,$K$3:$N$4001,4,0)),"",VLOOKUP($R115&amp;AE$2,$K$3:$N$4001,4,0))</f>
        <v>4.4000000000000004E-2</v>
      </c>
      <c r="AG115" s="108">
        <f>IF(ISNA(VLOOKUP($R115&amp;AG$2,$K$3:$N$4001,3,0)),"",VLOOKUP($R115&amp;AG$2,$K$3:$N$4001,3,0))</f>
        <v>41268</v>
      </c>
      <c r="AH115" s="109">
        <f>IF(ISNA(VLOOKUP($R115&amp;AG$2,$K$3:$N$4001,4,0)),"",VLOOKUP($R115&amp;AG$2,$K$3:$N$4001,4,0))</f>
        <v>4.4999999999999998E-2</v>
      </c>
      <c r="AI115" s="108">
        <f>IF(ISNA(VLOOKUP($R115&amp;AI$2,$K$3:$N$4001,3,0)),"",VLOOKUP($R115&amp;AI$2,$K$3:$N$4001,3,0))</f>
        <v>41450</v>
      </c>
      <c r="AJ115" s="109">
        <f>IF(ISNA(VLOOKUP($R115&amp;AI$2,$K$3:$N$4001,4,0)),"",VLOOKUP($R115&amp;AI$2,$K$3:$N$4001,4,0))</f>
        <v>4.4999999999999998E-2</v>
      </c>
      <c r="AK115" s="108" t="str">
        <f>IF(ISNA(VLOOKUP($R115&amp;AK$2,$K$3:$N$4001,3,0)),"",VLOOKUP($R115&amp;AK$2,$K$3:$N$4001,3,0))</f>
        <v/>
      </c>
      <c r="AL115" s="109" t="str">
        <f>IF(ISNA(VLOOKUP($R115&amp;AK$2,$K$3:$N$4001,4,0)),"",VLOOKUP($R115&amp;AK$2,$K$3:$N$4001,4,0))</f>
        <v/>
      </c>
    </row>
    <row r="116" spans="3:38" x14ac:dyDescent="0.2">
      <c r="C116" s="96" t="str">
        <f t="shared" si="4"/>
        <v>ALS8</v>
      </c>
      <c r="D116" s="73" t="s">
        <v>74</v>
      </c>
      <c r="E116" s="100">
        <v>41319</v>
      </c>
      <c r="F116" s="101">
        <v>0.2016</v>
      </c>
      <c r="G116" s="96">
        <f t="shared" si="5"/>
        <v>8</v>
      </c>
      <c r="I116" s="96"/>
      <c r="K116" t="str">
        <f t="shared" si="6"/>
        <v>ALS8</v>
      </c>
      <c r="L116" s="73" t="s">
        <v>74</v>
      </c>
      <c r="M116" s="72">
        <v>41319</v>
      </c>
      <c r="N116" s="84">
        <v>0.2016</v>
      </c>
      <c r="O116" s="96">
        <f t="shared" si="7"/>
        <v>8</v>
      </c>
      <c r="P116" s="73"/>
      <c r="Q116" s="96"/>
      <c r="R116" s="96" t="s">
        <v>114</v>
      </c>
      <c r="S116" s="106">
        <f>IF(ISNA(VLOOKUP($R116&amp;S$2,$C$3:$F$4001,3,0)),"",VLOOKUP($R116&amp;S$2,$C$3:$F$4001,3,0))</f>
        <v>39869</v>
      </c>
      <c r="T116" s="107">
        <f>IF(ISNA(VLOOKUP($R116&amp;S$2,$C$3:$F$4001,4,0)),"",VLOOKUP($R116&amp;S$2,$C$3:$F$4001,4,0))</f>
        <v>0.12</v>
      </c>
      <c r="U116" s="106">
        <f>IF(ISNA(VLOOKUP($R116&amp;U$2,$C$3:$F$4001,3,0)),"",VLOOKUP($R116&amp;U$2,$C$3:$F$4001,3,0))</f>
        <v>40057</v>
      </c>
      <c r="V116" s="107">
        <f>IF(ISNA(VLOOKUP($R116&amp;U$2,$C$3:$F$4001,4,0)),"",VLOOKUP($R116&amp;U$2,$C$3:$F$4001,4,0))</f>
        <v>0.13</v>
      </c>
      <c r="W116" s="106">
        <f>IF(ISNA(VLOOKUP($R116&amp;W$2,$C$3:$F$4001,3,0)),"",VLOOKUP($R116&amp;W$2,$C$3:$F$4001,3,0))</f>
        <v>40234</v>
      </c>
      <c r="X116" s="107">
        <f>IF(ISNA(VLOOKUP($R116&amp;W$2,$C$3:$F$4001,4,0)),"",VLOOKUP($R116&amp;W$2,$C$3:$F$4001,4,0))</f>
        <v>0.13</v>
      </c>
      <c r="Y116" s="106">
        <f>IF(ISNA(VLOOKUP($R116&amp;Y$2,$C$3:$F$4001,3,0)),"",VLOOKUP($R116&amp;Y$2,$C$3:$F$4001,3,0))</f>
        <v>40422</v>
      </c>
      <c r="Z116" s="107">
        <f>IF(ISNA(VLOOKUP($R116&amp;Y$2,$C$3:$F$4001,4,0)),"",VLOOKUP($R116&amp;Y$2,$C$3:$F$4001,4,0))</f>
        <v>0.14000000000000001</v>
      </c>
      <c r="AA116" s="106">
        <f>IF(ISNA(VLOOKUP($R116&amp;AA$2,$C$3:$F$4001,3,0)),"",VLOOKUP($R116&amp;AA$2,$C$3:$F$4001,3,0))</f>
        <v>40599</v>
      </c>
      <c r="AB116" s="107">
        <f>IF(ISNA(VLOOKUP($R116&amp;AA$2,$C$3:$F$4001,4,0)),"",VLOOKUP($R116&amp;AA$2,$C$3:$F$4001,4,0))</f>
        <v>0.1603</v>
      </c>
      <c r="AC116" s="106">
        <f>IF(ISNA(VLOOKUP($R116&amp;AC$2,$C$3:$F$4001,3,0)),"",VLOOKUP($R116&amp;AC$2,$C$3:$F$4001,3,0))</f>
        <v>40787</v>
      </c>
      <c r="AD116" s="107">
        <f>IF(ISNA(VLOOKUP($R116&amp;AC$2,$C$3:$F$4001,4,0)),"",VLOOKUP($R116&amp;AC$2,$C$3:$F$4001,4,0))</f>
        <v>0.17269999999999999</v>
      </c>
      <c r="AE116" s="106">
        <f>IF(ISNA(VLOOKUP($R116&amp;AE$2,$C$3:$F$4001,3,0)),"",VLOOKUP($R116&amp;AE$2,$C$3:$F$4001,3,0))</f>
        <v>40967</v>
      </c>
      <c r="AF116" s="107">
        <f>IF(ISNA(VLOOKUP($R116&amp;AE$2,$C$3:$F$4001,4,0)),"",VLOOKUP($R116&amp;AE$2,$C$3:$F$4001,4,0))</f>
        <v>0.18049999999999999</v>
      </c>
      <c r="AG116" s="106">
        <f>IF(ISNA(VLOOKUP($R116&amp;AG$2,$C$3:$F$4001,3,0)),"",VLOOKUP($R116&amp;AG$2,$C$3:$F$4001,3,0))</f>
        <v>41155</v>
      </c>
      <c r="AH116" s="107">
        <f>IF(ISNA(VLOOKUP($R116&amp;AG$2,$C$3:$F$4001,4,0)),"",VLOOKUP($R116&amp;AG$2,$C$3:$F$4001,4,0))</f>
        <v>0.19450000000000001</v>
      </c>
      <c r="AI116" s="106">
        <f>IF(ISNA(VLOOKUP($R116&amp;AI$2,$C$3:$F$4001,3,0)),"",VLOOKUP($R116&amp;AI$2,$C$3:$F$4001,3,0))</f>
        <v>41332</v>
      </c>
      <c r="AJ116" s="107">
        <f>IF(ISNA(VLOOKUP($R116&amp;AI$2,$C$3:$F$4001,4,0)),"",VLOOKUP($R116&amp;AI$2,$C$3:$F$4001,4,0))</f>
        <v>0.2109</v>
      </c>
      <c r="AK116" s="106">
        <f>IF(ISNA(VLOOKUP($R116&amp;AK$2,$C$3:$F$4001,3,0)),"",VLOOKUP($R116&amp;AK$2,$C$3:$F$4001,3,0))</f>
        <v>41520</v>
      </c>
      <c r="AL116" s="107">
        <f>IF(ISNA(VLOOKUP($R116&amp;AK$2,$C$3:$F$4001,4,0)),"",VLOOKUP($R116&amp;AK$2,$C$3:$F$4001,4,0))</f>
        <v>0.2271</v>
      </c>
    </row>
    <row r="117" spans="3:38" x14ac:dyDescent="0.2">
      <c r="C117" s="96" t="str">
        <f t="shared" si="4"/>
        <v>ALS9</v>
      </c>
      <c r="D117" s="73" t="s">
        <v>74</v>
      </c>
      <c r="E117" s="100">
        <v>41500</v>
      </c>
      <c r="F117" s="101">
        <v>0.25</v>
      </c>
      <c r="G117" s="96">
        <f t="shared" si="5"/>
        <v>9</v>
      </c>
      <c r="I117" s="96"/>
      <c r="K117" t="str">
        <f t="shared" si="6"/>
        <v>ALS9</v>
      </c>
      <c r="L117" s="73" t="s">
        <v>74</v>
      </c>
      <c r="M117" s="72">
        <v>41500</v>
      </c>
      <c r="N117" s="84">
        <v>0.25</v>
      </c>
      <c r="O117" s="96">
        <f t="shared" si="7"/>
        <v>9</v>
      </c>
      <c r="P117" s="73"/>
      <c r="Q117" s="96"/>
      <c r="R117" s="96" t="str">
        <f>R116</f>
        <v>CPU</v>
      </c>
      <c r="S117" s="108">
        <f>IF(ISNA(VLOOKUP($R117&amp;S$2,$K$3:$N$4001,3,0)),"",VLOOKUP($R117&amp;S$2,$K$3:$N$4001,3,0))</f>
        <v>39869</v>
      </c>
      <c r="T117" s="109">
        <f>IF(ISNA(VLOOKUP($R117&amp;S$2,$K$3:$N$4001,4,0)),"",VLOOKUP($R117&amp;S$2,$K$3:$N$4001,4,0))</f>
        <v>0.12</v>
      </c>
      <c r="U117" s="108">
        <f>IF(ISNA(VLOOKUP($R117&amp;U$2,$K$3:$N$4001,3,0)),"",VLOOKUP($R117&amp;U$2,$K$3:$N$4001,3,0))</f>
        <v>40057</v>
      </c>
      <c r="V117" s="109">
        <f>IF(ISNA(VLOOKUP($R117&amp;U$2,$K$3:$N$4001,4,0)),"",VLOOKUP($R117&amp;U$2,$K$3:$N$4001,4,0))</f>
        <v>0.13</v>
      </c>
      <c r="W117" s="108">
        <f>IF(ISNA(VLOOKUP($R117&amp;W$2,$K$3:$N$4001,3,0)),"",VLOOKUP($R117&amp;W$2,$K$3:$N$4001,3,0))</f>
        <v>40234</v>
      </c>
      <c r="X117" s="109">
        <f>IF(ISNA(VLOOKUP($R117&amp;W$2,$K$3:$N$4001,4,0)),"",VLOOKUP($R117&amp;W$2,$K$3:$N$4001,4,0))</f>
        <v>0.13</v>
      </c>
      <c r="Y117" s="108">
        <f>IF(ISNA(VLOOKUP($R117&amp;Y$2,$K$3:$N$4001,3,0)),"",VLOOKUP($R117&amp;Y$2,$K$3:$N$4001,3,0))</f>
        <v>40422</v>
      </c>
      <c r="Z117" s="109">
        <f>IF(ISNA(VLOOKUP($R117&amp;Y$2,$K$3:$N$4001,4,0)),"",VLOOKUP($R117&amp;Y$2,$K$3:$N$4001,4,0))</f>
        <v>0.14000000000000001</v>
      </c>
      <c r="AA117" s="108">
        <f>IF(ISNA(VLOOKUP($R117&amp;AA$2,$K$3:$N$4001,3,0)),"",VLOOKUP($R117&amp;AA$2,$K$3:$N$4001,3,0))</f>
        <v>40599</v>
      </c>
      <c r="AB117" s="109">
        <f>IF(ISNA(VLOOKUP($R117&amp;AA$2,$K$3:$N$4001,4,0)),"",VLOOKUP($R117&amp;AA$2,$K$3:$N$4001,4,0))</f>
        <v>0.1603</v>
      </c>
      <c r="AC117" s="108">
        <f>IF(ISNA(VLOOKUP($R117&amp;AC$2,$K$3:$N$4001,3,0)),"",VLOOKUP($R117&amp;AC$2,$K$3:$N$4001,3,0))</f>
        <v>40787</v>
      </c>
      <c r="AD117" s="109">
        <f>IF(ISNA(VLOOKUP($R117&amp;AC$2,$K$3:$N$4001,4,0)),"",VLOOKUP($R117&amp;AC$2,$K$3:$N$4001,4,0))</f>
        <v>0.17269999999999999</v>
      </c>
      <c r="AE117" s="108">
        <f>IF(ISNA(VLOOKUP($R117&amp;AE$2,$K$3:$N$4001,3,0)),"",VLOOKUP($R117&amp;AE$2,$K$3:$N$4001,3,0))</f>
        <v>40967</v>
      </c>
      <c r="AF117" s="109">
        <f>IF(ISNA(VLOOKUP($R117&amp;AE$2,$K$3:$N$4001,4,0)),"",VLOOKUP($R117&amp;AE$2,$K$3:$N$4001,4,0))</f>
        <v>0.18049999999999999</v>
      </c>
      <c r="AG117" s="108">
        <f>IF(ISNA(VLOOKUP($R117&amp;AG$2,$K$3:$N$4001,3,0)),"",VLOOKUP($R117&amp;AG$2,$K$3:$N$4001,3,0))</f>
        <v>41155</v>
      </c>
      <c r="AH117" s="109">
        <f>IF(ISNA(VLOOKUP($R117&amp;AG$2,$K$3:$N$4001,4,0)),"",VLOOKUP($R117&amp;AG$2,$K$3:$N$4001,4,0))</f>
        <v>0.19450000000000001</v>
      </c>
      <c r="AI117" s="108">
        <f>IF(ISNA(VLOOKUP($R117&amp;AI$2,$K$3:$N$4001,3,0)),"",VLOOKUP($R117&amp;AI$2,$K$3:$N$4001,3,0))</f>
        <v>41332</v>
      </c>
      <c r="AJ117" s="109">
        <f>IF(ISNA(VLOOKUP($R117&amp;AI$2,$K$3:$N$4001,4,0)),"",VLOOKUP($R117&amp;AI$2,$K$3:$N$4001,4,0))</f>
        <v>0.2109</v>
      </c>
      <c r="AK117" s="108">
        <f>IF(ISNA(VLOOKUP($R117&amp;AK$2,$K$3:$N$4001,3,0)),"",VLOOKUP($R117&amp;AK$2,$K$3:$N$4001,3,0))</f>
        <v>41520</v>
      </c>
      <c r="AL117" s="109">
        <f>IF(ISNA(VLOOKUP($R117&amp;AK$2,$K$3:$N$4001,4,0)),"",VLOOKUP($R117&amp;AK$2,$K$3:$N$4001,4,0))</f>
        <v>0.2271</v>
      </c>
    </row>
    <row r="118" spans="3:38" x14ac:dyDescent="0.2">
      <c r="C118" s="96" t="str">
        <f t="shared" si="4"/>
        <v>ALZ1</v>
      </c>
      <c r="D118" s="73" t="s">
        <v>75</v>
      </c>
      <c r="E118" s="100">
        <v>39988</v>
      </c>
      <c r="F118" s="101">
        <v>3.3000000000000002E-2</v>
      </c>
      <c r="G118" s="96">
        <f t="shared" si="5"/>
        <v>1</v>
      </c>
      <c r="I118" s="96"/>
      <c r="K118" t="str">
        <f t="shared" si="6"/>
        <v>ALZ1</v>
      </c>
      <c r="L118" s="73" t="s">
        <v>75</v>
      </c>
      <c r="M118" s="72">
        <v>39988</v>
      </c>
      <c r="N118" s="84">
        <v>3.3000000000000002E-2</v>
      </c>
      <c r="O118" s="96">
        <f t="shared" si="7"/>
        <v>1</v>
      </c>
      <c r="P118" s="73"/>
      <c r="Q118" s="96"/>
      <c r="R118" s="96" t="s">
        <v>106</v>
      </c>
      <c r="S118" s="106">
        <f>IF(ISNA(VLOOKUP($R118&amp;S$2,$C$3:$F$4001,3,0)),"",VLOOKUP($R118&amp;S$2,$C$3:$F$4001,3,0))</f>
        <v>39895</v>
      </c>
      <c r="T118" s="107">
        <f>IF(ISNA(VLOOKUP($R118&amp;S$2,$C$3:$F$4001,4,0)),"",VLOOKUP($R118&amp;S$2,$C$3:$F$4001,4,0))</f>
        <v>0.01</v>
      </c>
      <c r="U118" s="106">
        <f>IF(ISNA(VLOOKUP($R118&amp;U$2,$C$3:$F$4001,3,0)),"",VLOOKUP($R118&amp;U$2,$C$3:$F$4001,3,0))</f>
        <v>40066</v>
      </c>
      <c r="V118" s="107">
        <f>IF(ISNA(VLOOKUP($R118&amp;U$2,$C$3:$F$4001,4,0)),"",VLOOKUP($R118&amp;U$2,$C$3:$F$4001,4,0))</f>
        <v>0.01</v>
      </c>
      <c r="W118" s="106">
        <f>IF(ISNA(VLOOKUP($R118&amp;W$2,$C$3:$F$4001,3,0)),"",VLOOKUP($R118&amp;W$2,$C$3:$F$4001,3,0))</f>
        <v>40260</v>
      </c>
      <c r="X118" s="107">
        <f>IF(ISNA(VLOOKUP($R118&amp;W$2,$C$3:$F$4001,4,0)),"",VLOOKUP($R118&amp;W$2,$C$3:$F$4001,4,0))</f>
        <v>0.01</v>
      </c>
      <c r="Y118" s="106">
        <f>IF(ISNA(VLOOKUP($R118&amp;Y$2,$C$3:$F$4001,3,0)),"",VLOOKUP($R118&amp;Y$2,$C$3:$F$4001,3,0))</f>
        <v>40431</v>
      </c>
      <c r="Z118" s="107">
        <f>IF(ISNA(VLOOKUP($R118&amp;Y$2,$C$3:$F$4001,4,0)),"",VLOOKUP($R118&amp;Y$2,$C$3:$F$4001,4,0))</f>
        <v>0.03</v>
      </c>
      <c r="AA118" s="106">
        <f>IF(ISNA(VLOOKUP($R118&amp;AA$2,$C$3:$F$4001,3,0)),"",VLOOKUP($R118&amp;AA$2,$C$3:$F$4001,3,0))</f>
        <v>40625</v>
      </c>
      <c r="AB118" s="107">
        <f>IF(ISNA(VLOOKUP($R118&amp;AA$2,$C$3:$F$4001,4,0)),"",VLOOKUP($R118&amp;AA$2,$C$3:$F$4001,4,0))</f>
        <v>1.4999999999999999E-2</v>
      </c>
      <c r="AC118" s="106">
        <f>IF(ISNA(VLOOKUP($R118&amp;AC$2,$C$3:$F$4001,3,0)),"",VLOOKUP($R118&amp;AC$2,$C$3:$F$4001,3,0))</f>
        <v>40798</v>
      </c>
      <c r="AD118" s="107">
        <f>IF(ISNA(VLOOKUP($R118&amp;AC$2,$C$3:$F$4001,4,0)),"",VLOOKUP($R118&amp;AC$2,$C$3:$F$4001,4,0))</f>
        <v>3.5000000000000003E-2</v>
      </c>
      <c r="AE118" s="106">
        <f>IF(ISNA(VLOOKUP($R118&amp;AE$2,$C$3:$F$4001,3,0)),"",VLOOKUP($R118&amp;AE$2,$C$3:$F$4001,3,0))</f>
        <v>40991</v>
      </c>
      <c r="AF118" s="107">
        <f>IF(ISNA(VLOOKUP($R118&amp;AE$2,$C$3:$F$4001,4,0)),"",VLOOKUP($R118&amp;AE$2,$C$3:$F$4001,4,0))</f>
        <v>0.02</v>
      </c>
      <c r="AG118" s="106">
        <f>IF(ISNA(VLOOKUP($R118&amp;AG$2,$C$3:$F$4001,3,0)),"",VLOOKUP($R118&amp;AG$2,$C$3:$F$4001,3,0))</f>
        <v>41163</v>
      </c>
      <c r="AH118" s="107">
        <f>IF(ISNA(VLOOKUP($R118&amp;AG$2,$C$3:$F$4001,4,0)),"",VLOOKUP($R118&amp;AG$2,$C$3:$F$4001,4,0))</f>
        <v>0.04</v>
      </c>
      <c r="AI118" s="106">
        <f>IF(ISNA(VLOOKUP($R118&amp;AI$2,$C$3:$F$4001,3,0)),"",VLOOKUP($R118&amp;AI$2,$C$3:$F$4001,3,0))</f>
        <v>41358</v>
      </c>
      <c r="AJ118" s="107">
        <f>IF(ISNA(VLOOKUP($R118&amp;AI$2,$C$3:$F$4001,4,0)),"",VLOOKUP($R118&amp;AI$2,$C$3:$F$4001,4,0))</f>
        <v>2.5000000000000001E-2</v>
      </c>
      <c r="AK118" s="106">
        <f>IF(ISNA(VLOOKUP($R118&amp;AK$2,$C$3:$F$4001,3,0)),"",VLOOKUP($R118&amp;AK$2,$C$3:$F$4001,3,0))</f>
        <v>41528</v>
      </c>
      <c r="AL118" s="107">
        <f>IF(ISNA(VLOOKUP($R118&amp;AK$2,$C$3:$F$4001,4,0)),"",VLOOKUP($R118&amp;AK$2,$C$3:$F$4001,4,0))</f>
        <v>4.4999999999999998E-2</v>
      </c>
    </row>
    <row r="119" spans="3:38" x14ac:dyDescent="0.2">
      <c r="C119" s="96" t="str">
        <f t="shared" si="4"/>
        <v>ALZ2</v>
      </c>
      <c r="D119" s="73" t="s">
        <v>75</v>
      </c>
      <c r="E119" s="100">
        <v>40170</v>
      </c>
      <c r="F119" s="101">
        <v>3.3000000000000002E-2</v>
      </c>
      <c r="G119" s="96">
        <f t="shared" si="5"/>
        <v>2</v>
      </c>
      <c r="I119" s="96"/>
      <c r="K119" t="str">
        <f t="shared" si="6"/>
        <v>ALZ2</v>
      </c>
      <c r="L119" s="73" t="s">
        <v>75</v>
      </c>
      <c r="M119" s="72">
        <v>40170</v>
      </c>
      <c r="N119" s="84">
        <v>3.3000000000000002E-2</v>
      </c>
      <c r="O119" s="96">
        <f t="shared" si="7"/>
        <v>2</v>
      </c>
      <c r="P119" s="73"/>
      <c r="Q119" s="96"/>
      <c r="R119" s="96" t="str">
        <f>R118</f>
        <v>CEU</v>
      </c>
      <c r="S119" s="108">
        <f>IF(ISNA(VLOOKUP($R119&amp;S$2,$K$3:$N$4001,3,0)),"",VLOOKUP($R119&amp;S$2,$K$3:$N$4001,3,0))</f>
        <v>39895</v>
      </c>
      <c r="T119" s="109">
        <f>IF(ISNA(VLOOKUP($R119&amp;S$2,$K$3:$N$4001,4,0)),"",VLOOKUP($R119&amp;S$2,$K$3:$N$4001,4,0))</f>
        <v>0.01</v>
      </c>
      <c r="U119" s="108">
        <f>IF(ISNA(VLOOKUP($R119&amp;U$2,$K$3:$N$4001,3,0)),"",VLOOKUP($R119&amp;U$2,$K$3:$N$4001,3,0))</f>
        <v>40066</v>
      </c>
      <c r="V119" s="109">
        <f>IF(ISNA(VLOOKUP($R119&amp;U$2,$K$3:$N$4001,4,0)),"",VLOOKUP($R119&amp;U$2,$K$3:$N$4001,4,0))</f>
        <v>0.01</v>
      </c>
      <c r="W119" s="108">
        <f>IF(ISNA(VLOOKUP($R119&amp;W$2,$K$3:$N$4001,3,0)),"",VLOOKUP($R119&amp;W$2,$K$3:$N$4001,3,0))</f>
        <v>40260</v>
      </c>
      <c r="X119" s="109">
        <f>IF(ISNA(VLOOKUP($R119&amp;W$2,$K$3:$N$4001,4,0)),"",VLOOKUP($R119&amp;W$2,$K$3:$N$4001,4,0))</f>
        <v>0.01</v>
      </c>
      <c r="Y119" s="108">
        <f>IF(ISNA(VLOOKUP($R119&amp;Y$2,$K$3:$N$4001,3,0)),"",VLOOKUP($R119&amp;Y$2,$K$3:$N$4001,3,0))</f>
        <v>40431</v>
      </c>
      <c r="Z119" s="109">
        <f>IF(ISNA(VLOOKUP($R119&amp;Y$2,$K$3:$N$4001,4,0)),"",VLOOKUP($R119&amp;Y$2,$K$3:$N$4001,4,0))</f>
        <v>0.03</v>
      </c>
      <c r="AA119" s="108">
        <f>IF(ISNA(VLOOKUP($R119&amp;AA$2,$K$3:$N$4001,3,0)),"",VLOOKUP($R119&amp;AA$2,$K$3:$N$4001,3,0))</f>
        <v>40625</v>
      </c>
      <c r="AB119" s="109">
        <f>IF(ISNA(VLOOKUP($R119&amp;AA$2,$K$3:$N$4001,4,0)),"",VLOOKUP($R119&amp;AA$2,$K$3:$N$4001,4,0))</f>
        <v>1.4999999999999999E-2</v>
      </c>
      <c r="AC119" s="108">
        <f>IF(ISNA(VLOOKUP($R119&amp;AC$2,$K$3:$N$4001,3,0)),"",VLOOKUP($R119&amp;AC$2,$K$3:$N$4001,3,0))</f>
        <v>40798</v>
      </c>
      <c r="AD119" s="109">
        <f>IF(ISNA(VLOOKUP($R119&amp;AC$2,$K$3:$N$4001,4,0)),"",VLOOKUP($R119&amp;AC$2,$K$3:$N$4001,4,0))</f>
        <v>3.5000000000000003E-2</v>
      </c>
      <c r="AE119" s="108">
        <f>IF(ISNA(VLOOKUP($R119&amp;AE$2,$K$3:$N$4001,3,0)),"",VLOOKUP($R119&amp;AE$2,$K$3:$N$4001,3,0))</f>
        <v>40991</v>
      </c>
      <c r="AF119" s="109">
        <f>IF(ISNA(VLOOKUP($R119&amp;AE$2,$K$3:$N$4001,4,0)),"",VLOOKUP($R119&amp;AE$2,$K$3:$N$4001,4,0))</f>
        <v>0.02</v>
      </c>
      <c r="AG119" s="108">
        <f>IF(ISNA(VLOOKUP($R119&amp;AG$2,$K$3:$N$4001,3,0)),"",VLOOKUP($R119&amp;AG$2,$K$3:$N$4001,3,0))</f>
        <v>41163</v>
      </c>
      <c r="AH119" s="109">
        <f>IF(ISNA(VLOOKUP($R119&amp;AG$2,$K$3:$N$4001,4,0)),"",VLOOKUP($R119&amp;AG$2,$K$3:$N$4001,4,0))</f>
        <v>0.04</v>
      </c>
      <c r="AI119" s="108">
        <f>IF(ISNA(VLOOKUP($R119&amp;AI$2,$K$3:$N$4001,3,0)),"",VLOOKUP($R119&amp;AI$2,$K$3:$N$4001,3,0))</f>
        <v>41358</v>
      </c>
      <c r="AJ119" s="109">
        <f>IF(ISNA(VLOOKUP($R119&amp;AI$2,$K$3:$N$4001,4,0)),"",VLOOKUP($R119&amp;AI$2,$K$3:$N$4001,4,0))</f>
        <v>2.5000000000000001E-2</v>
      </c>
      <c r="AK119" s="108">
        <f>IF(ISNA(VLOOKUP($R119&amp;AK$2,$K$3:$N$4001,3,0)),"",VLOOKUP($R119&amp;AK$2,$K$3:$N$4001,3,0))</f>
        <v>41528</v>
      </c>
      <c r="AL119" s="109">
        <f>IF(ISNA(VLOOKUP($R119&amp;AK$2,$K$3:$N$4001,4,0)),"",VLOOKUP($R119&amp;AK$2,$K$3:$N$4001,4,0))</f>
        <v>4.4999999999999998E-2</v>
      </c>
    </row>
    <row r="120" spans="3:38" x14ac:dyDescent="0.2">
      <c r="C120" s="96" t="str">
        <f t="shared" si="4"/>
        <v>ALZ3</v>
      </c>
      <c r="D120" s="73" t="s">
        <v>75</v>
      </c>
      <c r="E120" s="100">
        <v>40353</v>
      </c>
      <c r="F120" s="101">
        <v>3.6000000000000004E-2</v>
      </c>
      <c r="G120" s="96">
        <f t="shared" si="5"/>
        <v>3</v>
      </c>
      <c r="I120" s="96"/>
      <c r="K120" t="str">
        <f t="shared" si="6"/>
        <v>ALZ3</v>
      </c>
      <c r="L120" s="73" t="s">
        <v>75</v>
      </c>
      <c r="M120" s="72">
        <v>40353</v>
      </c>
      <c r="N120" s="84">
        <v>3.6000000000000004E-2</v>
      </c>
      <c r="O120" s="96">
        <f t="shared" si="7"/>
        <v>3</v>
      </c>
      <c r="P120" s="73"/>
      <c r="Q120" s="96"/>
      <c r="R120" s="96" t="s">
        <v>110</v>
      </c>
      <c r="S120" s="106">
        <f>IF(ISNA(VLOOKUP($R120&amp;S$2,$C$3:$F$4001,3,0)),"",VLOOKUP($R120&amp;S$2,$C$3:$F$4001,3,0))</f>
        <v>39909</v>
      </c>
      <c r="T120" s="107">
        <f>IF(ISNA(VLOOKUP($R120&amp;S$2,$C$3:$F$4001,4,0)),"",VLOOKUP($R120&amp;S$2,$C$3:$F$4001,4,0))</f>
        <v>0.06</v>
      </c>
      <c r="U120" s="106">
        <f>IF(ISNA(VLOOKUP($R120&amp;U$2,$C$3:$F$4001,3,0)),"",VLOOKUP($R120&amp;U$2,$C$3:$F$4001,3,0))</f>
        <v>40085</v>
      </c>
      <c r="V120" s="107">
        <f>IF(ISNA(VLOOKUP($R120&amp;U$2,$C$3:$F$4001,4,0)),"",VLOOKUP($R120&amp;U$2,$C$3:$F$4001,4,0))</f>
        <v>0.06</v>
      </c>
      <c r="W120" s="106">
        <f>IF(ISNA(VLOOKUP($R120&amp;W$2,$C$3:$F$4001,3,0)),"",VLOOKUP($R120&amp;W$2,$C$3:$F$4001,3,0))</f>
        <v>40276</v>
      </c>
      <c r="X120" s="107">
        <f>IF(ISNA(VLOOKUP($R120&amp;W$2,$C$3:$F$4001,4,0)),"",VLOOKUP($R120&amp;W$2,$C$3:$F$4001,4,0))</f>
        <v>7.0000000000000007E-2</v>
      </c>
      <c r="Y120" s="106">
        <f>IF(ISNA(VLOOKUP($R120&amp;Y$2,$C$3:$F$4001,3,0)),"",VLOOKUP($R120&amp;Y$2,$C$3:$F$4001,3,0))</f>
        <v>40450</v>
      </c>
      <c r="Z120" s="107">
        <f>IF(ISNA(VLOOKUP($R120&amp;Y$2,$C$3:$F$4001,4,0)),"",VLOOKUP($R120&amp;Y$2,$C$3:$F$4001,4,0))</f>
        <v>0.06</v>
      </c>
      <c r="AA120" s="106">
        <f>IF(ISNA(VLOOKUP($R120&amp;AA$2,$C$3:$F$4001,3,0)),"",VLOOKUP($R120&amp;AA$2,$C$3:$F$4001,3,0))</f>
        <v>40641</v>
      </c>
      <c r="AB120" s="107">
        <f>IF(ISNA(VLOOKUP($R120&amp;AA$2,$C$3:$F$4001,4,0)),"",VLOOKUP($R120&amp;AA$2,$C$3:$F$4001,4,0))</f>
        <v>0.08</v>
      </c>
      <c r="AC120" s="106">
        <f>IF(ISNA(VLOOKUP($R120&amp;AC$2,$C$3:$F$4001,3,0)),"",VLOOKUP($R120&amp;AC$2,$C$3:$F$4001,3,0))</f>
        <v>40816</v>
      </c>
      <c r="AD120" s="107">
        <f>IF(ISNA(VLOOKUP($R120&amp;AC$2,$C$3:$F$4001,4,0)),"",VLOOKUP($R120&amp;AC$2,$C$3:$F$4001,4,0))</f>
        <v>7.0000000000000007E-2</v>
      </c>
      <c r="AE120" s="106">
        <f>IF(ISNA(VLOOKUP($R120&amp;AE$2,$C$3:$F$4001,3,0)),"",VLOOKUP($R120&amp;AE$2,$C$3:$F$4001,3,0))</f>
        <v>41009</v>
      </c>
      <c r="AF120" s="107">
        <f>IF(ISNA(VLOOKUP($R120&amp;AE$2,$C$3:$F$4001,4,0)),"",VLOOKUP($R120&amp;AE$2,$C$3:$F$4001,4,0))</f>
        <v>0.1</v>
      </c>
      <c r="AG120" s="106">
        <f>IF(ISNA(VLOOKUP($R120&amp;AG$2,$C$3:$F$4001,3,0)),"",VLOOKUP($R120&amp;AG$2,$C$3:$F$4001,3,0))</f>
        <v>41184</v>
      </c>
      <c r="AH120" s="107">
        <f>IF(ISNA(VLOOKUP($R120&amp;AG$2,$C$3:$F$4001,4,0)),"",VLOOKUP($R120&amp;AG$2,$C$3:$F$4001,4,0))</f>
        <v>0.09</v>
      </c>
      <c r="AI120" s="106">
        <f>IF(ISNA(VLOOKUP($R120&amp;AI$2,$C$3:$F$4001,3,0)),"",VLOOKUP($R120&amp;AI$2,$C$3:$F$4001,3,0))</f>
        <v>41374</v>
      </c>
      <c r="AJ120" s="107">
        <f>IF(ISNA(VLOOKUP($R120&amp;AI$2,$C$3:$F$4001,4,0)),"",VLOOKUP($R120&amp;AI$2,$C$3:$F$4001,4,0))</f>
        <v>0.11</v>
      </c>
      <c r="AK120" s="106">
        <f>IF(ISNA(VLOOKUP($R120&amp;AK$2,$C$3:$F$4001,3,0)),"",VLOOKUP($R120&amp;AK$2,$C$3:$F$4001,3,0))</f>
        <v>41549</v>
      </c>
      <c r="AL120" s="107">
        <f>IF(ISNA(VLOOKUP($R120&amp;AK$2,$C$3:$F$4001,4,0)),"",VLOOKUP($R120&amp;AK$2,$C$3:$F$4001,4,0))</f>
        <v>0.1</v>
      </c>
    </row>
    <row r="121" spans="3:38" x14ac:dyDescent="0.2">
      <c r="C121" s="96" t="str">
        <f t="shared" si="4"/>
        <v>ALZ4</v>
      </c>
      <c r="D121" s="73" t="s">
        <v>75</v>
      </c>
      <c r="E121" s="100">
        <v>40535</v>
      </c>
      <c r="F121" s="101">
        <v>3.6000000000000004E-2</v>
      </c>
      <c r="G121" s="96">
        <f t="shared" si="5"/>
        <v>4</v>
      </c>
      <c r="I121" s="96"/>
      <c r="K121" t="str">
        <f t="shared" si="6"/>
        <v>ALZ4</v>
      </c>
      <c r="L121" s="73" t="s">
        <v>75</v>
      </c>
      <c r="M121" s="72">
        <v>40535</v>
      </c>
      <c r="N121" s="84">
        <v>3.6000000000000004E-2</v>
      </c>
      <c r="O121" s="96">
        <f t="shared" si="7"/>
        <v>4</v>
      </c>
      <c r="P121" s="73"/>
      <c r="Q121" s="96"/>
      <c r="R121" s="96" t="str">
        <f>R120</f>
        <v>CMJ</v>
      </c>
      <c r="S121" s="108">
        <f>IF(ISNA(VLOOKUP($R121&amp;S$2,$K$3:$N$4001,3,0)),"",VLOOKUP($R121&amp;S$2,$K$3:$N$4001,3,0))</f>
        <v>39909</v>
      </c>
      <c r="T121" s="109">
        <f>IF(ISNA(VLOOKUP($R121&amp;S$2,$K$3:$N$4001,4,0)),"",VLOOKUP($R121&amp;S$2,$K$3:$N$4001,4,0))</f>
        <v>0.06</v>
      </c>
      <c r="U121" s="108">
        <f>IF(ISNA(VLOOKUP($R121&amp;U$2,$K$3:$N$4001,3,0)),"",VLOOKUP($R121&amp;U$2,$K$3:$N$4001,3,0))</f>
        <v>40085</v>
      </c>
      <c r="V121" s="109">
        <f>IF(ISNA(VLOOKUP($R121&amp;U$2,$K$3:$N$4001,4,0)),"",VLOOKUP($R121&amp;U$2,$K$3:$N$4001,4,0))</f>
        <v>0.06</v>
      </c>
      <c r="W121" s="108">
        <f>IF(ISNA(VLOOKUP($R121&amp;W$2,$K$3:$N$4001,3,0)),"",VLOOKUP($R121&amp;W$2,$K$3:$N$4001,3,0))</f>
        <v>40276</v>
      </c>
      <c r="X121" s="109">
        <f>IF(ISNA(VLOOKUP($R121&amp;W$2,$K$3:$N$4001,4,0)),"",VLOOKUP($R121&amp;W$2,$K$3:$N$4001,4,0))</f>
        <v>7.0000000000000007E-2</v>
      </c>
      <c r="Y121" s="108">
        <f>IF(ISNA(VLOOKUP($R121&amp;Y$2,$K$3:$N$4001,3,0)),"",VLOOKUP($R121&amp;Y$2,$K$3:$N$4001,3,0))</f>
        <v>40450</v>
      </c>
      <c r="Z121" s="109">
        <f>IF(ISNA(VLOOKUP($R121&amp;Y$2,$K$3:$N$4001,4,0)),"",VLOOKUP($R121&amp;Y$2,$K$3:$N$4001,4,0))</f>
        <v>0.06</v>
      </c>
      <c r="AA121" s="108">
        <f>IF(ISNA(VLOOKUP($R121&amp;AA$2,$K$3:$N$4001,3,0)),"",VLOOKUP($R121&amp;AA$2,$K$3:$N$4001,3,0))</f>
        <v>40641</v>
      </c>
      <c r="AB121" s="109">
        <f>IF(ISNA(VLOOKUP($R121&amp;AA$2,$K$3:$N$4001,4,0)),"",VLOOKUP($R121&amp;AA$2,$K$3:$N$4001,4,0))</f>
        <v>0.08</v>
      </c>
      <c r="AC121" s="108">
        <f>IF(ISNA(VLOOKUP($R121&amp;AC$2,$K$3:$N$4001,3,0)),"",VLOOKUP($R121&amp;AC$2,$K$3:$N$4001,3,0))</f>
        <v>40816</v>
      </c>
      <c r="AD121" s="109">
        <f>IF(ISNA(VLOOKUP($R121&amp;AC$2,$K$3:$N$4001,4,0)),"",VLOOKUP($R121&amp;AC$2,$K$3:$N$4001,4,0))</f>
        <v>7.0000000000000007E-2</v>
      </c>
      <c r="AE121" s="108">
        <f>IF(ISNA(VLOOKUP($R121&amp;AE$2,$K$3:$N$4001,3,0)),"",VLOOKUP($R121&amp;AE$2,$K$3:$N$4001,3,0))</f>
        <v>41009</v>
      </c>
      <c r="AF121" s="109">
        <f>IF(ISNA(VLOOKUP($R121&amp;AE$2,$K$3:$N$4001,4,0)),"",VLOOKUP($R121&amp;AE$2,$K$3:$N$4001,4,0))</f>
        <v>0.1</v>
      </c>
      <c r="AG121" s="108">
        <f>IF(ISNA(VLOOKUP($R121&amp;AG$2,$K$3:$N$4001,3,0)),"",VLOOKUP($R121&amp;AG$2,$K$3:$N$4001,3,0))</f>
        <v>41184</v>
      </c>
      <c r="AH121" s="109">
        <f>IF(ISNA(VLOOKUP($R121&amp;AG$2,$K$3:$N$4001,4,0)),"",VLOOKUP($R121&amp;AG$2,$K$3:$N$4001,4,0))</f>
        <v>0.09</v>
      </c>
      <c r="AI121" s="108">
        <f>IF(ISNA(VLOOKUP($R121&amp;AI$2,$K$3:$N$4001,3,0)),"",VLOOKUP($R121&amp;AI$2,$K$3:$N$4001,3,0))</f>
        <v>41374</v>
      </c>
      <c r="AJ121" s="109">
        <f>IF(ISNA(VLOOKUP($R121&amp;AI$2,$K$3:$N$4001,4,0)),"",VLOOKUP($R121&amp;AI$2,$K$3:$N$4001,4,0))</f>
        <v>0.11</v>
      </c>
      <c r="AK121" s="108">
        <f>IF(ISNA(VLOOKUP($R121&amp;AK$2,$K$3:$N$4001,3,0)),"",VLOOKUP($R121&amp;AK$2,$K$3:$N$4001,3,0))</f>
        <v>41549</v>
      </c>
      <c r="AL121" s="109">
        <f>IF(ISNA(VLOOKUP($R121&amp;AK$2,$K$3:$N$4001,4,0)),"",VLOOKUP($R121&amp;AK$2,$K$3:$N$4001,4,0))</f>
        <v>0.1</v>
      </c>
    </row>
    <row r="122" spans="3:38" x14ac:dyDescent="0.2">
      <c r="C122" s="96" t="str">
        <f t="shared" si="4"/>
        <v>ALZ5</v>
      </c>
      <c r="D122" s="73" t="s">
        <v>75</v>
      </c>
      <c r="E122" s="100">
        <v>40718</v>
      </c>
      <c r="F122" s="101">
        <v>0.04</v>
      </c>
      <c r="G122" s="96">
        <f t="shared" si="5"/>
        <v>5</v>
      </c>
      <c r="I122" s="96"/>
      <c r="K122" t="str">
        <f t="shared" si="6"/>
        <v>ALZ5</v>
      </c>
      <c r="L122" s="73" t="s">
        <v>75</v>
      </c>
      <c r="M122" s="72">
        <v>40718</v>
      </c>
      <c r="N122" s="84">
        <v>0.04</v>
      </c>
      <c r="O122" s="96">
        <f t="shared" si="7"/>
        <v>5</v>
      </c>
      <c r="P122" s="73"/>
      <c r="Q122" s="96"/>
      <c r="R122" s="96" t="s">
        <v>120</v>
      </c>
      <c r="S122" s="106">
        <f>IF(ISNA(VLOOKUP($R122&amp;S$2,$C$3:$F$4001,3,0)),"",VLOOKUP($R122&amp;S$2,$C$3:$F$4001,3,0))</f>
        <v>39895</v>
      </c>
      <c r="T122" s="107">
        <f>IF(ISNA(VLOOKUP($R122&amp;S$2,$C$3:$F$4001,4,0)),"",VLOOKUP($R122&amp;S$2,$C$3:$F$4001,4,0))</f>
        <v>0.13500000000000001</v>
      </c>
      <c r="U122" s="106">
        <f>IF(ISNA(VLOOKUP($R122&amp;U$2,$C$3:$F$4001,3,0)),"",VLOOKUP($R122&amp;U$2,$C$3:$F$4001,3,0))</f>
        <v>40098</v>
      </c>
      <c r="V122" s="107">
        <f>IF(ISNA(VLOOKUP($R122&amp;U$2,$C$3:$F$4001,4,0)),"",VLOOKUP($R122&amp;U$2,$C$3:$F$4001,4,0))</f>
        <v>0.13200000000000001</v>
      </c>
      <c r="W122" s="106">
        <f>IF(ISNA(VLOOKUP($R122&amp;W$2,$C$3:$F$4001,3,0)),"",VLOOKUP($R122&amp;W$2,$C$3:$F$4001,3,0))</f>
        <v>40260</v>
      </c>
      <c r="X122" s="107">
        <f>IF(ISNA(VLOOKUP($R122&amp;W$2,$C$3:$F$4001,4,0)),"",VLOOKUP($R122&amp;W$2,$C$3:$F$4001,4,0))</f>
        <v>0.13200000000000001</v>
      </c>
      <c r="Y122" s="106">
        <f>IF(ISNA(VLOOKUP($R122&amp;Y$2,$C$3:$F$4001,3,0)),"",VLOOKUP($R122&amp;Y$2,$C$3:$F$4001,3,0))</f>
        <v>40463</v>
      </c>
      <c r="Z122" s="107">
        <f>IF(ISNA(VLOOKUP($R122&amp;Y$2,$C$3:$F$4001,4,0)),"",VLOOKUP($R122&amp;Y$2,$C$3:$F$4001,4,0))</f>
        <v>0.14249999999999999</v>
      </c>
      <c r="AA122" s="106">
        <f>IF(ISNA(VLOOKUP($R122&amp;AA$2,$C$3:$F$4001,3,0)),"",VLOOKUP($R122&amp;AA$2,$C$3:$F$4001,3,0))</f>
        <v>40625</v>
      </c>
      <c r="AB122" s="107">
        <f>IF(ISNA(VLOOKUP($R122&amp;AA$2,$C$3:$F$4001,4,0)),"",VLOOKUP($R122&amp;AA$2,$C$3:$F$4001,4,0))</f>
        <v>0.14249999999999999</v>
      </c>
      <c r="AC122" s="106">
        <f>IF(ISNA(VLOOKUP($R122&amp;AC$2,$C$3:$F$4001,3,0)),"",VLOOKUP($R122&amp;AC$2,$C$3:$F$4001,3,0))</f>
        <v>40828</v>
      </c>
      <c r="AD122" s="107">
        <f>IF(ISNA(VLOOKUP($R122&amp;AC$2,$C$3:$F$4001,4,0)),"",VLOOKUP($R122&amp;AC$2,$C$3:$F$4001,4,0))</f>
        <v>0.14449999999999999</v>
      </c>
      <c r="AE122" s="106">
        <f>IF(ISNA(VLOOKUP($R122&amp;AE$2,$C$3:$F$4001,3,0)),"",VLOOKUP($R122&amp;AE$2,$C$3:$F$4001,3,0))</f>
        <v>40991</v>
      </c>
      <c r="AF122" s="107">
        <f>IF(ISNA(VLOOKUP($R122&amp;AE$2,$C$3:$F$4001,4,0)),"",VLOOKUP($R122&amp;AE$2,$C$3:$F$4001,4,0))</f>
        <v>0.14449999999999999</v>
      </c>
      <c r="AG122" s="106">
        <f>IF(ISNA(VLOOKUP($R122&amp;AG$2,$C$3:$F$4001,3,0)),"",VLOOKUP($R122&amp;AG$2,$C$3:$F$4001,3,0))</f>
        <v>41194</v>
      </c>
      <c r="AH122" s="107">
        <f>IF(ISNA(VLOOKUP($R122&amp;AG$2,$C$3:$F$4001,4,0)),"",VLOOKUP($R122&amp;AG$2,$C$3:$F$4001,4,0))</f>
        <v>0.1545</v>
      </c>
      <c r="AI122" s="106">
        <f>IF(ISNA(VLOOKUP($R122&amp;AI$2,$C$3:$F$4001,3,0)),"",VLOOKUP($R122&amp;AI$2,$C$3:$F$4001,3,0))</f>
        <v>41358</v>
      </c>
      <c r="AJ122" s="107">
        <f>IF(ISNA(VLOOKUP($R122&amp;AI$2,$C$3:$F$4001,4,0)),"",VLOOKUP($R122&amp;AI$2,$C$3:$F$4001,4,0))</f>
        <v>0.1545</v>
      </c>
      <c r="AK122" s="106" t="str">
        <f>IF(ISNA(VLOOKUP($R122&amp;AK$2,$C$3:$F$4001,3,0)),"",VLOOKUP($R122&amp;AK$2,$C$3:$F$4001,3,0))</f>
        <v/>
      </c>
      <c r="AL122" s="107" t="str">
        <f>IF(ISNA(VLOOKUP($R122&amp;AK$2,$C$3:$F$4001,4,0)),"",VLOOKUP($R122&amp;AK$2,$C$3:$F$4001,4,0))</f>
        <v/>
      </c>
    </row>
    <row r="123" spans="3:38" x14ac:dyDescent="0.2">
      <c r="C123" s="96" t="str">
        <f t="shared" si="4"/>
        <v>ALZ6</v>
      </c>
      <c r="D123" s="73" t="s">
        <v>75</v>
      </c>
      <c r="E123" s="100">
        <v>40899</v>
      </c>
      <c r="F123" s="101">
        <v>0.04</v>
      </c>
      <c r="G123" s="96">
        <f t="shared" si="5"/>
        <v>6</v>
      </c>
      <c r="I123" s="96"/>
      <c r="K123" t="str">
        <f t="shared" si="6"/>
        <v>ALZ6</v>
      </c>
      <c r="L123" s="73" t="s">
        <v>75</v>
      </c>
      <c r="M123" s="72">
        <v>40899</v>
      </c>
      <c r="N123" s="84">
        <v>0.04</v>
      </c>
      <c r="O123" s="96">
        <f t="shared" si="7"/>
        <v>6</v>
      </c>
      <c r="P123" s="73"/>
      <c r="Q123" s="96"/>
      <c r="R123" s="96" t="str">
        <f>R122</f>
        <v>CXP</v>
      </c>
      <c r="S123" s="108">
        <f>IF(ISNA(VLOOKUP($R123&amp;S$2,$K$3:$N$4001,3,0)),"",VLOOKUP($R123&amp;S$2,$K$3:$N$4001,3,0))</f>
        <v>39895</v>
      </c>
      <c r="T123" s="109">
        <f>IF(ISNA(VLOOKUP($R123&amp;S$2,$K$3:$N$4001,4,0)),"",VLOOKUP($R123&amp;S$2,$K$3:$N$4001,4,0))</f>
        <v>0.13500000000000001</v>
      </c>
      <c r="U123" s="108">
        <f>IF(ISNA(VLOOKUP($R123&amp;U$2,$K$3:$N$4001,3,0)),"",VLOOKUP($R123&amp;U$2,$K$3:$N$4001,3,0))</f>
        <v>40098</v>
      </c>
      <c r="V123" s="109">
        <f>IF(ISNA(VLOOKUP($R123&amp;U$2,$K$3:$N$4001,4,0)),"",VLOOKUP($R123&amp;U$2,$K$3:$N$4001,4,0))</f>
        <v>0.13200000000000001</v>
      </c>
      <c r="W123" s="108">
        <f>IF(ISNA(VLOOKUP($R123&amp;W$2,$K$3:$N$4001,3,0)),"",VLOOKUP($R123&amp;W$2,$K$3:$N$4001,3,0))</f>
        <v>40260</v>
      </c>
      <c r="X123" s="109">
        <f>IF(ISNA(VLOOKUP($R123&amp;W$2,$K$3:$N$4001,4,0)),"",VLOOKUP($R123&amp;W$2,$K$3:$N$4001,4,0))</f>
        <v>0.13200000000000001</v>
      </c>
      <c r="Y123" s="108">
        <f>IF(ISNA(VLOOKUP($R123&amp;Y$2,$K$3:$N$4001,3,0)),"",VLOOKUP($R123&amp;Y$2,$K$3:$N$4001,3,0))</f>
        <v>40463</v>
      </c>
      <c r="Z123" s="109">
        <f>IF(ISNA(VLOOKUP($R123&amp;Y$2,$K$3:$N$4001,4,0)),"",VLOOKUP($R123&amp;Y$2,$K$3:$N$4001,4,0))</f>
        <v>0.14249999999999999</v>
      </c>
      <c r="AA123" s="108">
        <f>IF(ISNA(VLOOKUP($R123&amp;AA$2,$K$3:$N$4001,3,0)),"",VLOOKUP($R123&amp;AA$2,$K$3:$N$4001,3,0))</f>
        <v>40625</v>
      </c>
      <c r="AB123" s="109">
        <f>IF(ISNA(VLOOKUP($R123&amp;AA$2,$K$3:$N$4001,4,0)),"",VLOOKUP($R123&amp;AA$2,$K$3:$N$4001,4,0))</f>
        <v>0.14249999999999999</v>
      </c>
      <c r="AC123" s="108">
        <f>IF(ISNA(VLOOKUP($R123&amp;AC$2,$K$3:$N$4001,3,0)),"",VLOOKUP($R123&amp;AC$2,$K$3:$N$4001,3,0))</f>
        <v>40828</v>
      </c>
      <c r="AD123" s="109">
        <f>IF(ISNA(VLOOKUP($R123&amp;AC$2,$K$3:$N$4001,4,0)),"",VLOOKUP($R123&amp;AC$2,$K$3:$N$4001,4,0))</f>
        <v>0.14449999999999999</v>
      </c>
      <c r="AE123" s="108">
        <f>IF(ISNA(VLOOKUP($R123&amp;AE$2,$K$3:$N$4001,3,0)),"",VLOOKUP($R123&amp;AE$2,$K$3:$N$4001,3,0))</f>
        <v>40991</v>
      </c>
      <c r="AF123" s="109">
        <f>IF(ISNA(VLOOKUP($R123&amp;AE$2,$K$3:$N$4001,4,0)),"",VLOOKUP($R123&amp;AE$2,$K$3:$N$4001,4,0))</f>
        <v>0.14449999999999999</v>
      </c>
      <c r="AG123" s="108">
        <f>IF(ISNA(VLOOKUP($R123&amp;AG$2,$K$3:$N$4001,3,0)),"",VLOOKUP($R123&amp;AG$2,$K$3:$N$4001,3,0))</f>
        <v>41194</v>
      </c>
      <c r="AH123" s="109">
        <f>IF(ISNA(VLOOKUP($R123&amp;AG$2,$K$3:$N$4001,4,0)),"",VLOOKUP($R123&amp;AG$2,$K$3:$N$4001,4,0))</f>
        <v>0.1545</v>
      </c>
      <c r="AI123" s="108">
        <f>IF(ISNA(VLOOKUP($R123&amp;AI$2,$K$3:$N$4001,3,0)),"",VLOOKUP($R123&amp;AI$2,$K$3:$N$4001,3,0))</f>
        <v>41358</v>
      </c>
      <c r="AJ123" s="109">
        <f>IF(ISNA(VLOOKUP($R123&amp;AI$2,$K$3:$N$4001,4,0)),"",VLOOKUP($R123&amp;AI$2,$K$3:$N$4001,4,0))</f>
        <v>0.1545</v>
      </c>
      <c r="AK123" s="108" t="str">
        <f>IF(ISNA(VLOOKUP($R123&amp;AK$2,$K$3:$N$4001,3,0)),"",VLOOKUP($R123&amp;AK$2,$K$3:$N$4001,3,0))</f>
        <v/>
      </c>
      <c r="AL123" s="109" t="str">
        <f>IF(ISNA(VLOOKUP($R123&amp;AK$2,$K$3:$N$4001,4,0)),"",VLOOKUP($R123&amp;AK$2,$K$3:$N$4001,4,0))</f>
        <v/>
      </c>
    </row>
    <row r="124" spans="3:38" x14ac:dyDescent="0.2">
      <c r="C124" s="96" t="str">
        <f t="shared" si="4"/>
        <v>ALZ7</v>
      </c>
      <c r="D124" s="73" t="s">
        <v>75</v>
      </c>
      <c r="E124" s="100">
        <v>41085</v>
      </c>
      <c r="F124" s="101">
        <v>5.5E-2</v>
      </c>
      <c r="G124" s="96">
        <f t="shared" si="5"/>
        <v>7</v>
      </c>
      <c r="I124" s="96"/>
      <c r="K124" t="str">
        <f t="shared" si="6"/>
        <v>ALZ7</v>
      </c>
      <c r="L124" s="73" t="s">
        <v>75</v>
      </c>
      <c r="M124" s="72">
        <v>41085</v>
      </c>
      <c r="N124" s="84">
        <v>5.5E-2</v>
      </c>
      <c r="O124" s="96">
        <f t="shared" si="7"/>
        <v>7</v>
      </c>
      <c r="P124" s="73"/>
      <c r="Q124" s="96"/>
      <c r="R124" s="96" t="s">
        <v>115</v>
      </c>
      <c r="S124" s="106">
        <f>IF(ISNA(VLOOKUP($R124&amp;S$2,$C$3:$F$4001,3,0)),"",VLOOKUP($R124&amp;S$2,$C$3:$F$4001,3,0))</f>
        <v>39864</v>
      </c>
      <c r="T124" s="107">
        <f>IF(ISNA(VLOOKUP($R124&amp;S$2,$C$3:$F$4001,4,0)),"",VLOOKUP($R124&amp;S$2,$C$3:$F$4001,4,0))</f>
        <v>0.35</v>
      </c>
      <c r="U124" s="106">
        <f>IF(ISNA(VLOOKUP($R124&amp;U$2,$C$3:$F$4001,3,0)),"",VLOOKUP($R124&amp;U$2,$C$3:$F$4001,3,0))</f>
        <v>40043</v>
      </c>
      <c r="V124" s="107">
        <f>IF(ISNA(VLOOKUP($R124&amp;U$2,$C$3:$F$4001,4,0)),"",VLOOKUP($R124&amp;U$2,$C$3:$F$4001,4,0))</f>
        <v>0.36</v>
      </c>
      <c r="W124" s="106">
        <f>IF(ISNA(VLOOKUP($R124&amp;W$2,$C$3:$F$4001,3,0)),"",VLOOKUP($R124&amp;W$2,$C$3:$F$4001,3,0))</f>
        <v>40231</v>
      </c>
      <c r="X124" s="107">
        <f>IF(ISNA(VLOOKUP($R124&amp;W$2,$C$3:$F$4001,4,0)),"",VLOOKUP($R124&amp;W$2,$C$3:$F$4001,4,0))</f>
        <v>0.35049999999999998</v>
      </c>
      <c r="Y124" s="106">
        <f>IF(ISNA(VLOOKUP($R124&amp;Y$2,$C$3:$F$4001,3,0)),"",VLOOKUP($R124&amp;Y$2,$C$3:$F$4001,3,0))</f>
        <v>40408</v>
      </c>
      <c r="Z124" s="107">
        <f>IF(ISNA(VLOOKUP($R124&amp;Y$2,$C$3:$F$4001,4,0)),"",VLOOKUP($R124&amp;Y$2,$C$3:$F$4001,4,0))</f>
        <v>0.36049999999999999</v>
      </c>
      <c r="AA124" s="106">
        <f>IF(ISNA(VLOOKUP($R124&amp;AA$2,$C$3:$F$4001,3,0)),"",VLOOKUP($R124&amp;AA$2,$C$3:$F$4001,3,0))</f>
        <v>40596</v>
      </c>
      <c r="AB124" s="107">
        <f>IF(ISNA(VLOOKUP($R124&amp;AA$2,$C$3:$F$4001,4,0)),"",VLOOKUP($R124&amp;AA$2,$C$3:$F$4001,4,0))</f>
        <v>0.38400000000000001</v>
      </c>
      <c r="AC124" s="106">
        <f>IF(ISNA(VLOOKUP($R124&amp;AC$2,$C$3:$F$4001,3,0)),"",VLOOKUP($R124&amp;AC$2,$C$3:$F$4001,3,0))</f>
        <v>40773</v>
      </c>
      <c r="AD124" s="107">
        <f>IF(ISNA(VLOOKUP($R124&amp;AC$2,$C$3:$F$4001,4,0)),"",VLOOKUP($R124&amp;AC$2,$C$3:$F$4001,4,0))</f>
        <v>0.39500000000000002</v>
      </c>
      <c r="AE124" s="106">
        <f>IF(ISNA(VLOOKUP($R124&amp;AE$2,$C$3:$F$4001,3,0)),"",VLOOKUP($R124&amp;AE$2,$C$3:$F$4001,3,0))</f>
        <v>40961</v>
      </c>
      <c r="AF124" s="107">
        <f>IF(ISNA(VLOOKUP($R124&amp;AE$2,$C$3:$F$4001,4,0)),"",VLOOKUP($R124&amp;AE$2,$C$3:$F$4001,4,0))</f>
        <v>0.43180000000000002</v>
      </c>
      <c r="AG124" s="106">
        <f>IF(ISNA(VLOOKUP($R124&amp;AG$2,$C$3:$F$4001,3,0)),"",VLOOKUP($R124&amp;AG$2,$C$3:$F$4001,3,0))</f>
        <v>41141</v>
      </c>
      <c r="AH124" s="107">
        <f>IF(ISNA(VLOOKUP($R124&amp;AG$2,$C$3:$F$4001,4,0)),"",VLOOKUP($R124&amp;AG$2,$C$3:$F$4001,4,0))</f>
        <v>0.44420000000000004</v>
      </c>
      <c r="AI124" s="106">
        <f>IF(ISNA(VLOOKUP($R124&amp;AI$2,$C$3:$F$4001,3,0)),"",VLOOKUP($R124&amp;AI$2,$C$3:$F$4001,3,0))</f>
        <v>41327</v>
      </c>
      <c r="AJ124" s="107">
        <f>IF(ISNA(VLOOKUP($R124&amp;AI$2,$C$3:$F$4001,4,0)),"",VLOOKUP($R124&amp;AI$2,$C$3:$F$4001,4,0))</f>
        <v>0.43619999999999998</v>
      </c>
      <c r="AK124" s="106">
        <f>IF(ISNA(VLOOKUP($R124&amp;AK$2,$C$3:$F$4001,3,0)),"",VLOOKUP($R124&amp;AK$2,$C$3:$F$4001,3,0))</f>
        <v>41506</v>
      </c>
      <c r="AL124" s="107">
        <f>IF(ISNA(VLOOKUP($R124&amp;AK$2,$C$3:$F$4001,4,0)),"",VLOOKUP($R124&amp;AK$2,$C$3:$F$4001,4,0))</f>
        <v>0.44880000000000003</v>
      </c>
    </row>
    <row r="125" spans="3:38" x14ac:dyDescent="0.2">
      <c r="C125" s="96" t="str">
        <f t="shared" si="4"/>
        <v>ALZ8</v>
      </c>
      <c r="D125" s="73" t="s">
        <v>75</v>
      </c>
      <c r="E125" s="100">
        <v>41264</v>
      </c>
      <c r="F125" s="101">
        <v>5.5E-2</v>
      </c>
      <c r="G125" s="96">
        <f t="shared" si="5"/>
        <v>8</v>
      </c>
      <c r="I125" s="96"/>
      <c r="K125" t="str">
        <f t="shared" si="6"/>
        <v>ALZ8</v>
      </c>
      <c r="L125" s="73" t="s">
        <v>75</v>
      </c>
      <c r="M125" s="72">
        <v>41264</v>
      </c>
      <c r="N125" s="84">
        <v>5.5E-2</v>
      </c>
      <c r="O125" s="96">
        <f t="shared" si="7"/>
        <v>8</v>
      </c>
      <c r="P125" s="73"/>
      <c r="Q125" s="96"/>
      <c r="R125" s="96" t="str">
        <f>R124</f>
        <v>CRG</v>
      </c>
      <c r="S125" s="108">
        <f>IF(ISNA(VLOOKUP($R125&amp;S$2,$K$3:$N$4001,3,0)),"",VLOOKUP($R125&amp;S$2,$K$3:$N$4001,3,0))</f>
        <v>39864</v>
      </c>
      <c r="T125" s="109">
        <f>IF(ISNA(VLOOKUP($R125&amp;S$2,$K$3:$N$4001,4,0)),"",VLOOKUP($R125&amp;S$2,$K$3:$N$4001,4,0))</f>
        <v>0.35</v>
      </c>
      <c r="U125" s="108">
        <f>IF(ISNA(VLOOKUP($R125&amp;U$2,$K$3:$N$4001,3,0)),"",VLOOKUP($R125&amp;U$2,$K$3:$N$4001,3,0))</f>
        <v>40043</v>
      </c>
      <c r="V125" s="109">
        <f>IF(ISNA(VLOOKUP($R125&amp;U$2,$K$3:$N$4001,4,0)),"",VLOOKUP($R125&amp;U$2,$K$3:$N$4001,4,0))</f>
        <v>0.36</v>
      </c>
      <c r="W125" s="108">
        <f>IF(ISNA(VLOOKUP($R125&amp;W$2,$K$3:$N$4001,3,0)),"",VLOOKUP($R125&amp;W$2,$K$3:$N$4001,3,0))</f>
        <v>40231</v>
      </c>
      <c r="X125" s="109">
        <f>IF(ISNA(VLOOKUP($R125&amp;W$2,$K$3:$N$4001,4,0)),"",VLOOKUP($R125&amp;W$2,$K$3:$N$4001,4,0))</f>
        <v>0.35049999999999998</v>
      </c>
      <c r="Y125" s="108">
        <f>IF(ISNA(VLOOKUP($R125&amp;Y$2,$K$3:$N$4001,3,0)),"",VLOOKUP($R125&amp;Y$2,$K$3:$N$4001,3,0))</f>
        <v>40408</v>
      </c>
      <c r="Z125" s="109">
        <f>IF(ISNA(VLOOKUP($R125&amp;Y$2,$K$3:$N$4001,4,0)),"",VLOOKUP($R125&amp;Y$2,$K$3:$N$4001,4,0))</f>
        <v>0.36049999999999999</v>
      </c>
      <c r="AA125" s="108">
        <f>IF(ISNA(VLOOKUP($R125&amp;AA$2,$K$3:$N$4001,3,0)),"",VLOOKUP($R125&amp;AA$2,$K$3:$N$4001,3,0))</f>
        <v>40596</v>
      </c>
      <c r="AB125" s="109">
        <f>IF(ISNA(VLOOKUP($R125&amp;AA$2,$K$3:$N$4001,4,0)),"",VLOOKUP($R125&amp;AA$2,$K$3:$N$4001,4,0))</f>
        <v>0.38400000000000001</v>
      </c>
      <c r="AC125" s="108">
        <f>IF(ISNA(VLOOKUP($R125&amp;AC$2,$K$3:$N$4001,3,0)),"",VLOOKUP($R125&amp;AC$2,$K$3:$N$4001,3,0))</f>
        <v>40773</v>
      </c>
      <c r="AD125" s="109">
        <f>IF(ISNA(VLOOKUP($R125&amp;AC$2,$K$3:$N$4001,4,0)),"",VLOOKUP($R125&amp;AC$2,$K$3:$N$4001,4,0))</f>
        <v>0.39500000000000002</v>
      </c>
      <c r="AE125" s="108">
        <f>IF(ISNA(VLOOKUP($R125&amp;AE$2,$K$3:$N$4001,3,0)),"",VLOOKUP($R125&amp;AE$2,$K$3:$N$4001,3,0))</f>
        <v>40961</v>
      </c>
      <c r="AF125" s="109">
        <f>IF(ISNA(VLOOKUP($R125&amp;AE$2,$K$3:$N$4001,4,0)),"",VLOOKUP($R125&amp;AE$2,$K$3:$N$4001,4,0))</f>
        <v>0.43180000000000002</v>
      </c>
      <c r="AG125" s="108">
        <f>IF(ISNA(VLOOKUP($R125&amp;AG$2,$K$3:$N$4001,3,0)),"",VLOOKUP($R125&amp;AG$2,$K$3:$N$4001,3,0))</f>
        <v>41141</v>
      </c>
      <c r="AH125" s="109">
        <f>IF(ISNA(VLOOKUP($R125&amp;AG$2,$K$3:$N$4001,4,0)),"",VLOOKUP($R125&amp;AG$2,$K$3:$N$4001,4,0))</f>
        <v>0.44420000000000004</v>
      </c>
      <c r="AI125" s="108">
        <f>IF(ISNA(VLOOKUP($R125&amp;AI$2,$K$3:$N$4001,3,0)),"",VLOOKUP($R125&amp;AI$2,$K$3:$N$4001,3,0))</f>
        <v>41327</v>
      </c>
      <c r="AJ125" s="109">
        <f>IF(ISNA(VLOOKUP($R125&amp;AI$2,$K$3:$N$4001,4,0)),"",VLOOKUP($R125&amp;AI$2,$K$3:$N$4001,4,0))</f>
        <v>0.43619999999999998</v>
      </c>
      <c r="AK125" s="108">
        <f>IF(ISNA(VLOOKUP($R125&amp;AK$2,$K$3:$N$4001,3,0)),"",VLOOKUP($R125&amp;AK$2,$K$3:$N$4001,3,0))</f>
        <v>41506</v>
      </c>
      <c r="AL125" s="109">
        <f>IF(ISNA(VLOOKUP($R125&amp;AK$2,$K$3:$N$4001,4,0)),"",VLOOKUP($R125&amp;AK$2,$K$3:$N$4001,4,0))</f>
        <v>0.44880000000000003</v>
      </c>
    </row>
    <row r="126" spans="3:38" x14ac:dyDescent="0.2">
      <c r="C126" s="96" t="str">
        <f t="shared" si="4"/>
        <v>AMC1</v>
      </c>
      <c r="D126" s="73" t="s">
        <v>76</v>
      </c>
      <c r="E126" s="100">
        <v>39868</v>
      </c>
      <c r="F126" s="101">
        <v>0.17</v>
      </c>
      <c r="G126" s="96">
        <f t="shared" si="5"/>
        <v>1</v>
      </c>
      <c r="I126" s="96"/>
      <c r="K126" t="str">
        <f t="shared" si="6"/>
        <v>AMC1</v>
      </c>
      <c r="L126" s="73" t="s">
        <v>76</v>
      </c>
      <c r="M126" s="72">
        <v>39868</v>
      </c>
      <c r="N126" s="84">
        <v>0.17</v>
      </c>
      <c r="O126" s="96">
        <f t="shared" si="7"/>
        <v>1</v>
      </c>
      <c r="P126" s="73"/>
      <c r="Q126" s="96"/>
      <c r="R126" s="96" t="s">
        <v>119</v>
      </c>
      <c r="S126" s="106">
        <f>IF(ISNA(VLOOKUP($R126&amp;S$2,$C$3:$F$4001,3,0)),"",VLOOKUP($R126&amp;S$2,$C$3:$F$4001,3,0))</f>
        <v>39909</v>
      </c>
      <c r="T126" s="107">
        <f>IF(ISNA(VLOOKUP($R126&amp;S$2,$C$3:$F$4001,4,0)),"",VLOOKUP($R126&amp;S$2,$C$3:$F$4001,4,0))</f>
        <v>0.18</v>
      </c>
      <c r="U126" s="106">
        <f>IF(ISNA(VLOOKUP($R126&amp;U$2,$C$3:$F$4001,3,0)),"",VLOOKUP($R126&amp;U$2,$C$3:$F$4001,3,0))</f>
        <v>40092</v>
      </c>
      <c r="V126" s="107">
        <f>IF(ISNA(VLOOKUP($R126&amp;U$2,$C$3:$F$4001,4,0)),"",VLOOKUP($R126&amp;U$2,$C$3:$F$4001,4,0))</f>
        <v>0.22</v>
      </c>
      <c r="W126" s="106">
        <f>IF(ISNA(VLOOKUP($R126&amp;W$2,$C$3:$F$4001,3,0)),"",VLOOKUP($R126&amp;W$2,$C$3:$F$4001,3,0))</f>
        <v>40276</v>
      </c>
      <c r="X126" s="107">
        <f>IF(ISNA(VLOOKUP($R126&amp;W$2,$C$3:$F$4001,4,0)),"",VLOOKUP($R126&amp;W$2,$C$3:$F$4001,4,0))</f>
        <v>0.25</v>
      </c>
      <c r="Y126" s="106">
        <f>IF(ISNA(VLOOKUP($R126&amp;Y$2,$C$3:$F$4001,3,0)),"",VLOOKUP($R126&amp;Y$2,$C$3:$F$4001,3,0))</f>
        <v>40457</v>
      </c>
      <c r="Z126" s="107">
        <f>IF(ISNA(VLOOKUP($R126&amp;Y$2,$C$3:$F$4001,4,0)),"",VLOOKUP($R126&amp;Y$2,$C$3:$F$4001,4,0))</f>
        <v>0.28999999999999998</v>
      </c>
      <c r="AA126" s="106">
        <f>IF(ISNA(VLOOKUP($R126&amp;AA$2,$C$3:$F$4001,3,0)),"",VLOOKUP($R126&amp;AA$2,$C$3:$F$4001,3,0))</f>
        <v>40641</v>
      </c>
      <c r="AB126" s="107">
        <f>IF(ISNA(VLOOKUP($R126&amp;AA$2,$C$3:$F$4001,4,0)),"",VLOOKUP($R126&amp;AA$2,$C$3:$F$4001,4,0))</f>
        <v>0.3</v>
      </c>
      <c r="AC126" s="106">
        <f>IF(ISNA(VLOOKUP($R126&amp;AC$2,$C$3:$F$4001,3,0)),"",VLOOKUP($R126&amp;AC$2,$C$3:$F$4001,3,0))</f>
        <v>40822</v>
      </c>
      <c r="AD126" s="107">
        <f>IF(ISNA(VLOOKUP($R126&amp;AC$2,$C$3:$F$4001,4,0)),"",VLOOKUP($R126&amp;AC$2,$C$3:$F$4001,4,0))</f>
        <v>0.34</v>
      </c>
      <c r="AE126" s="106">
        <f>IF(ISNA(VLOOKUP($R126&amp;AE$2,$C$3:$F$4001,3,0)),"",VLOOKUP($R126&amp;AE$2,$C$3:$F$4001,3,0))</f>
        <v>41009</v>
      </c>
      <c r="AF126" s="107">
        <f>IF(ISNA(VLOOKUP($R126&amp;AE$2,$C$3:$F$4001,4,0)),"",VLOOKUP($R126&amp;AE$2,$C$3:$F$4001,4,0))</f>
        <v>0.33</v>
      </c>
      <c r="AG126" s="106">
        <f>IF(ISNA(VLOOKUP($R126&amp;AG$2,$C$3:$F$4001,3,0)),"",VLOOKUP($R126&amp;AG$2,$C$3:$F$4001,3,0))</f>
        <v>41190</v>
      </c>
      <c r="AH126" s="107">
        <f>IF(ISNA(VLOOKUP($R126&amp;AG$2,$C$3:$F$4001,4,0)),"",VLOOKUP($R126&amp;AG$2,$C$3:$F$4001,4,0))</f>
        <v>0.37</v>
      </c>
      <c r="AI126" s="106">
        <f>IF(ISNA(VLOOKUP($R126&amp;AI$2,$C$3:$F$4001,3,0)),"",VLOOKUP($R126&amp;AI$2,$C$3:$F$4001,3,0))</f>
        <v>41374</v>
      </c>
      <c r="AJ126" s="107">
        <f>IF(ISNA(VLOOKUP($R126&amp;AI$2,$C$3:$F$4001,4,0)),"",VLOOKUP($R126&amp;AI$2,$C$3:$F$4001,4,0))</f>
        <v>0.38</v>
      </c>
      <c r="AK126" s="106">
        <f>IF(ISNA(VLOOKUP($R126&amp;AK$2,$C$3:$F$4001,3,0)),"",VLOOKUP($R126&amp;AK$2,$C$3:$F$4001,3,0))</f>
        <v>41555</v>
      </c>
      <c r="AL126" s="107">
        <f>IF(ISNA(VLOOKUP($R126&amp;AK$2,$C$3:$F$4001,4,0)),"",VLOOKUP($R126&amp;AK$2,$C$3:$F$4001,4,0))</f>
        <v>0.42</v>
      </c>
    </row>
    <row r="127" spans="3:38" x14ac:dyDescent="0.2">
      <c r="C127" s="96" t="str">
        <f t="shared" si="4"/>
        <v>AMC2</v>
      </c>
      <c r="D127" s="73" t="s">
        <v>76</v>
      </c>
      <c r="E127" s="100">
        <v>40049</v>
      </c>
      <c r="F127" s="101">
        <v>0.17</v>
      </c>
      <c r="G127" s="96">
        <f t="shared" si="5"/>
        <v>2</v>
      </c>
      <c r="I127" s="96"/>
      <c r="K127" t="str">
        <f t="shared" si="6"/>
        <v>AMC2</v>
      </c>
      <c r="L127" s="73" t="s">
        <v>76</v>
      </c>
      <c r="M127" s="72">
        <v>40049</v>
      </c>
      <c r="N127" s="84">
        <v>0.17</v>
      </c>
      <c r="O127" s="96">
        <f t="shared" si="7"/>
        <v>2</v>
      </c>
      <c r="P127" s="73"/>
      <c r="Q127" s="96"/>
      <c r="R127" s="96" t="str">
        <f>R126</f>
        <v>CWN</v>
      </c>
      <c r="S127" s="108">
        <f>IF(ISNA(VLOOKUP($R127&amp;S$2,$K$3:$N$4001,3,0)),"",VLOOKUP($R127&amp;S$2,$K$3:$N$4001,3,0))</f>
        <v>39909</v>
      </c>
      <c r="T127" s="109">
        <f>IF(ISNA(VLOOKUP($R127&amp;S$2,$K$3:$N$4001,4,0)),"",VLOOKUP($R127&amp;S$2,$K$3:$N$4001,4,0))</f>
        <v>0.18</v>
      </c>
      <c r="U127" s="108">
        <f>IF(ISNA(VLOOKUP($R127&amp;U$2,$K$3:$N$4001,3,0)),"",VLOOKUP($R127&amp;U$2,$K$3:$N$4001,3,0))</f>
        <v>40092</v>
      </c>
      <c r="V127" s="109">
        <f>IF(ISNA(VLOOKUP($R127&amp;U$2,$K$3:$N$4001,4,0)),"",VLOOKUP($R127&amp;U$2,$K$3:$N$4001,4,0))</f>
        <v>0.22</v>
      </c>
      <c r="W127" s="108">
        <f>IF(ISNA(VLOOKUP($R127&amp;W$2,$K$3:$N$4001,3,0)),"",VLOOKUP($R127&amp;W$2,$K$3:$N$4001,3,0))</f>
        <v>40276</v>
      </c>
      <c r="X127" s="109">
        <f>IF(ISNA(VLOOKUP($R127&amp;W$2,$K$3:$N$4001,4,0)),"",VLOOKUP($R127&amp;W$2,$K$3:$N$4001,4,0))</f>
        <v>0.25</v>
      </c>
      <c r="Y127" s="108">
        <f>IF(ISNA(VLOOKUP($R127&amp;Y$2,$K$3:$N$4001,3,0)),"",VLOOKUP($R127&amp;Y$2,$K$3:$N$4001,3,0))</f>
        <v>40457</v>
      </c>
      <c r="Z127" s="109">
        <f>IF(ISNA(VLOOKUP($R127&amp;Y$2,$K$3:$N$4001,4,0)),"",VLOOKUP($R127&amp;Y$2,$K$3:$N$4001,4,0))</f>
        <v>0.28999999999999998</v>
      </c>
      <c r="AA127" s="108">
        <f>IF(ISNA(VLOOKUP($R127&amp;AA$2,$K$3:$N$4001,3,0)),"",VLOOKUP($R127&amp;AA$2,$K$3:$N$4001,3,0))</f>
        <v>40641</v>
      </c>
      <c r="AB127" s="109">
        <f>IF(ISNA(VLOOKUP($R127&amp;AA$2,$K$3:$N$4001,4,0)),"",VLOOKUP($R127&amp;AA$2,$K$3:$N$4001,4,0))</f>
        <v>0.3</v>
      </c>
      <c r="AC127" s="108">
        <f>IF(ISNA(VLOOKUP($R127&amp;AC$2,$K$3:$N$4001,3,0)),"",VLOOKUP($R127&amp;AC$2,$K$3:$N$4001,3,0))</f>
        <v>40822</v>
      </c>
      <c r="AD127" s="109">
        <f>IF(ISNA(VLOOKUP($R127&amp;AC$2,$K$3:$N$4001,4,0)),"",VLOOKUP($R127&amp;AC$2,$K$3:$N$4001,4,0))</f>
        <v>0.34</v>
      </c>
      <c r="AE127" s="108">
        <f>IF(ISNA(VLOOKUP($R127&amp;AE$2,$K$3:$N$4001,3,0)),"",VLOOKUP($R127&amp;AE$2,$K$3:$N$4001,3,0))</f>
        <v>41009</v>
      </c>
      <c r="AF127" s="109">
        <f>IF(ISNA(VLOOKUP($R127&amp;AE$2,$K$3:$N$4001,4,0)),"",VLOOKUP($R127&amp;AE$2,$K$3:$N$4001,4,0))</f>
        <v>0.33</v>
      </c>
      <c r="AG127" s="108">
        <f>IF(ISNA(VLOOKUP($R127&amp;AG$2,$K$3:$N$4001,3,0)),"",VLOOKUP($R127&amp;AG$2,$K$3:$N$4001,3,0))</f>
        <v>41190</v>
      </c>
      <c r="AH127" s="109">
        <f>IF(ISNA(VLOOKUP($R127&amp;AG$2,$K$3:$N$4001,4,0)),"",VLOOKUP($R127&amp;AG$2,$K$3:$N$4001,4,0))</f>
        <v>0.37</v>
      </c>
      <c r="AI127" s="108">
        <f>IF(ISNA(VLOOKUP($R127&amp;AI$2,$K$3:$N$4001,3,0)),"",VLOOKUP($R127&amp;AI$2,$K$3:$N$4001,3,0))</f>
        <v>41374</v>
      </c>
      <c r="AJ127" s="109">
        <f>IF(ISNA(VLOOKUP($R127&amp;AI$2,$K$3:$N$4001,4,0)),"",VLOOKUP($R127&amp;AI$2,$K$3:$N$4001,4,0))</f>
        <v>0.38</v>
      </c>
      <c r="AK127" s="108">
        <f>IF(ISNA(VLOOKUP($R127&amp;AK$2,$K$3:$N$4001,3,0)),"",VLOOKUP($R127&amp;AK$2,$K$3:$N$4001,3,0))</f>
        <v>41555</v>
      </c>
      <c r="AL127" s="109">
        <f>IF(ISNA(VLOOKUP($R127&amp;AK$2,$K$3:$N$4001,4,0)),"",VLOOKUP($R127&amp;AK$2,$K$3:$N$4001,4,0))</f>
        <v>0.42</v>
      </c>
    </row>
    <row r="128" spans="3:38" x14ac:dyDescent="0.2">
      <c r="C128" s="96" t="str">
        <f t="shared" si="4"/>
        <v>AMC3</v>
      </c>
      <c r="D128" s="73" t="s">
        <v>76</v>
      </c>
      <c r="E128" s="100">
        <v>40233</v>
      </c>
      <c r="F128" s="101">
        <v>0.17</v>
      </c>
      <c r="G128" s="96">
        <f t="shared" si="5"/>
        <v>3</v>
      </c>
      <c r="I128" s="96"/>
      <c r="K128" t="str">
        <f t="shared" si="6"/>
        <v>AMC3</v>
      </c>
      <c r="L128" s="73" t="s">
        <v>76</v>
      </c>
      <c r="M128" s="72">
        <v>40233</v>
      </c>
      <c r="N128" s="84">
        <v>0.17</v>
      </c>
      <c r="O128" s="96">
        <f t="shared" si="7"/>
        <v>3</v>
      </c>
      <c r="P128" s="73"/>
      <c r="Q128" s="96"/>
      <c r="R128" s="96" t="s">
        <v>116</v>
      </c>
      <c r="S128" s="106">
        <f>IF(ISNA(VLOOKUP($R128&amp;S$2,$C$3:$F$4001,3,0)),"",VLOOKUP($R128&amp;S$2,$C$3:$F$4001,3,0))</f>
        <v>39882</v>
      </c>
      <c r="T128" s="107">
        <f>IF(ISNA(VLOOKUP($R128&amp;S$2,$C$3:$F$4001,4,0)),"",VLOOKUP($R128&amp;S$2,$C$3:$F$4001,4,0))</f>
        <v>0.27600000000000002</v>
      </c>
      <c r="U128" s="106">
        <f>IF(ISNA(VLOOKUP($R128&amp;U$2,$C$3:$F$4001,3,0)),"",VLOOKUP($R128&amp;U$2,$C$3:$F$4001,3,0))</f>
        <v>40070</v>
      </c>
      <c r="V128" s="107">
        <f>IF(ISNA(VLOOKUP($R128&amp;U$2,$C$3:$F$4001,4,0)),"",VLOOKUP($R128&amp;U$2,$C$3:$F$4001,4,0))</f>
        <v>0.27600000000000002</v>
      </c>
      <c r="W128" s="106">
        <f>IF(ISNA(VLOOKUP($R128&amp;W$2,$C$3:$F$4001,3,0)),"",VLOOKUP($R128&amp;W$2,$C$3:$F$4001,3,0))</f>
        <v>40247</v>
      </c>
      <c r="X128" s="107">
        <f>IF(ISNA(VLOOKUP($R128&amp;W$2,$C$3:$F$4001,4,0)),"",VLOOKUP($R128&amp;W$2,$C$3:$F$4001,4,0))</f>
        <v>0.375</v>
      </c>
      <c r="Y128" s="106">
        <f>IF(ISNA(VLOOKUP($R128&amp;Y$2,$C$3:$F$4001,3,0)),"",VLOOKUP($R128&amp;Y$2,$C$3:$F$4001,3,0))</f>
        <v>40435</v>
      </c>
      <c r="Z128" s="107">
        <f>IF(ISNA(VLOOKUP($R128&amp;Y$2,$C$3:$F$4001,4,0)),"",VLOOKUP($R128&amp;Y$2,$C$3:$F$4001,4,0))</f>
        <v>0.375</v>
      </c>
      <c r="AA128" s="106">
        <f>IF(ISNA(VLOOKUP($R128&amp;AA$2,$C$3:$F$4001,3,0)),"",VLOOKUP($R128&amp;AA$2,$C$3:$F$4001,3,0))</f>
        <v>40612</v>
      </c>
      <c r="AB128" s="107">
        <f>IF(ISNA(VLOOKUP($R128&amp;AA$2,$C$3:$F$4001,4,0)),"",VLOOKUP($R128&amp;AA$2,$C$3:$F$4001,4,0))</f>
        <v>0.4335</v>
      </c>
      <c r="AC128" s="106">
        <f>IF(ISNA(VLOOKUP($R128&amp;AC$2,$C$3:$F$4001,3,0)),"",VLOOKUP($R128&amp;AC$2,$C$3:$F$4001,3,0))</f>
        <v>40800</v>
      </c>
      <c r="AD128" s="107">
        <f>IF(ISNA(VLOOKUP($R128&amp;AC$2,$C$3:$F$4001,4,0)),"",VLOOKUP($R128&amp;AC$2,$C$3:$F$4001,4,0))</f>
        <v>0.4335</v>
      </c>
      <c r="AE128" s="106">
        <f>IF(ISNA(VLOOKUP($R128&amp;AE$2,$C$3:$F$4001,3,0)),"",VLOOKUP($R128&amp;AE$2,$C$3:$F$4001,3,0))</f>
        <v>40980</v>
      </c>
      <c r="AF128" s="107">
        <f>IF(ISNA(VLOOKUP($R128&amp;AE$2,$C$3:$F$4001,4,0)),"",VLOOKUP($R128&amp;AE$2,$C$3:$F$4001,4,0))</f>
        <v>0.50350000000000006</v>
      </c>
      <c r="AG128" s="106">
        <f>IF(ISNA(VLOOKUP($R128&amp;AG$2,$C$3:$F$4001,3,0)),"",VLOOKUP($R128&amp;AG$2,$C$3:$F$4001,3,0))</f>
        <v>41166</v>
      </c>
      <c r="AH128" s="107">
        <f>IF(ISNA(VLOOKUP($R128&amp;AG$2,$C$3:$F$4001,4,0)),"",VLOOKUP($R128&amp;AG$2,$C$3:$F$4001,4,0))</f>
        <v>0.50350000000000006</v>
      </c>
      <c r="AI128" s="106">
        <f>IF(ISNA(VLOOKUP($R128&amp;AI$2,$C$3:$F$4001,3,0)),"",VLOOKUP($R128&amp;AI$2,$C$3:$F$4001,3,0))</f>
        <v>41345</v>
      </c>
      <c r="AJ128" s="107">
        <f>IF(ISNA(VLOOKUP($R128&amp;AI$2,$C$3:$F$4001,4,0)),"",VLOOKUP($R128&amp;AI$2,$C$3:$F$4001,4,0))</f>
        <v>0.56899999999999995</v>
      </c>
      <c r="AK128" s="106">
        <f>IF(ISNA(VLOOKUP($R128&amp;AK$2,$C$3:$F$4001,3,0)),"",VLOOKUP($R128&amp;AK$2,$C$3:$F$4001,3,0))</f>
        <v>41533</v>
      </c>
      <c r="AL128" s="107">
        <f>IF(ISNA(VLOOKUP($R128&amp;AK$2,$C$3:$F$4001,4,0)),"",VLOOKUP($R128&amp;AK$2,$C$3:$F$4001,4,0))</f>
        <v>0.56899999999999995</v>
      </c>
    </row>
    <row r="129" spans="3:38" x14ac:dyDescent="0.2">
      <c r="C129" s="96" t="str">
        <f t="shared" si="4"/>
        <v>AMC4</v>
      </c>
      <c r="D129" s="73" t="s">
        <v>76</v>
      </c>
      <c r="E129" s="100">
        <v>40414</v>
      </c>
      <c r="F129" s="101">
        <v>0.17</v>
      </c>
      <c r="G129" s="96">
        <f t="shared" si="5"/>
        <v>4</v>
      </c>
      <c r="I129" s="96"/>
      <c r="K129" t="str">
        <f t="shared" si="6"/>
        <v>AMC4</v>
      </c>
      <c r="L129" s="73" t="s">
        <v>76</v>
      </c>
      <c r="M129" s="72">
        <v>40414</v>
      </c>
      <c r="N129" s="84">
        <v>0.17</v>
      </c>
      <c r="O129" s="96">
        <f t="shared" si="7"/>
        <v>4</v>
      </c>
      <c r="P129" s="73"/>
      <c r="Q129" s="96"/>
      <c r="R129" s="96" t="str">
        <f>R128</f>
        <v>CSL</v>
      </c>
      <c r="S129" s="108">
        <f>IF(ISNA(VLOOKUP($R129&amp;S$2,$K$3:$N$4001,3,0)),"",VLOOKUP($R129&amp;S$2,$K$3:$N$4001,3,0))</f>
        <v>39882</v>
      </c>
      <c r="T129" s="109">
        <f>IF(ISNA(VLOOKUP($R129&amp;S$2,$K$3:$N$4001,4,0)),"",VLOOKUP($R129&amp;S$2,$K$3:$N$4001,4,0))</f>
        <v>0.27600000000000002</v>
      </c>
      <c r="U129" s="108">
        <f>IF(ISNA(VLOOKUP($R129&amp;U$2,$K$3:$N$4001,3,0)),"",VLOOKUP($R129&amp;U$2,$K$3:$N$4001,3,0))</f>
        <v>40070</v>
      </c>
      <c r="V129" s="109">
        <f>IF(ISNA(VLOOKUP($R129&amp;U$2,$K$3:$N$4001,4,0)),"",VLOOKUP($R129&amp;U$2,$K$3:$N$4001,4,0))</f>
        <v>0.27600000000000002</v>
      </c>
      <c r="W129" s="108">
        <f>IF(ISNA(VLOOKUP($R129&amp;W$2,$K$3:$N$4001,3,0)),"",VLOOKUP($R129&amp;W$2,$K$3:$N$4001,3,0))</f>
        <v>40247</v>
      </c>
      <c r="X129" s="109">
        <f>IF(ISNA(VLOOKUP($R129&amp;W$2,$K$3:$N$4001,4,0)),"",VLOOKUP($R129&amp;W$2,$K$3:$N$4001,4,0))</f>
        <v>0.375</v>
      </c>
      <c r="Y129" s="108">
        <f>IF(ISNA(VLOOKUP($R129&amp;Y$2,$K$3:$N$4001,3,0)),"",VLOOKUP($R129&amp;Y$2,$K$3:$N$4001,3,0))</f>
        <v>40435</v>
      </c>
      <c r="Z129" s="109">
        <f>IF(ISNA(VLOOKUP($R129&amp;Y$2,$K$3:$N$4001,4,0)),"",VLOOKUP($R129&amp;Y$2,$K$3:$N$4001,4,0))</f>
        <v>0.375</v>
      </c>
      <c r="AA129" s="108">
        <f>IF(ISNA(VLOOKUP($R129&amp;AA$2,$K$3:$N$4001,3,0)),"",VLOOKUP($R129&amp;AA$2,$K$3:$N$4001,3,0))</f>
        <v>40612</v>
      </c>
      <c r="AB129" s="109">
        <f>IF(ISNA(VLOOKUP($R129&amp;AA$2,$K$3:$N$4001,4,0)),"",VLOOKUP($R129&amp;AA$2,$K$3:$N$4001,4,0))</f>
        <v>0.4335</v>
      </c>
      <c r="AC129" s="108">
        <f>IF(ISNA(VLOOKUP($R129&amp;AC$2,$K$3:$N$4001,3,0)),"",VLOOKUP($R129&amp;AC$2,$K$3:$N$4001,3,0))</f>
        <v>40800</v>
      </c>
      <c r="AD129" s="109">
        <f>IF(ISNA(VLOOKUP($R129&amp;AC$2,$K$3:$N$4001,4,0)),"",VLOOKUP($R129&amp;AC$2,$K$3:$N$4001,4,0))</f>
        <v>0.4335</v>
      </c>
      <c r="AE129" s="108">
        <f>IF(ISNA(VLOOKUP($R129&amp;AE$2,$K$3:$N$4001,3,0)),"",VLOOKUP($R129&amp;AE$2,$K$3:$N$4001,3,0))</f>
        <v>40980</v>
      </c>
      <c r="AF129" s="109">
        <f>IF(ISNA(VLOOKUP($R129&amp;AE$2,$K$3:$N$4001,4,0)),"",VLOOKUP($R129&amp;AE$2,$K$3:$N$4001,4,0))</f>
        <v>0.50350000000000006</v>
      </c>
      <c r="AG129" s="108">
        <f>IF(ISNA(VLOOKUP($R129&amp;AG$2,$K$3:$N$4001,3,0)),"",VLOOKUP($R129&amp;AG$2,$K$3:$N$4001,3,0))</f>
        <v>41166</v>
      </c>
      <c r="AH129" s="109">
        <f>IF(ISNA(VLOOKUP($R129&amp;AG$2,$K$3:$N$4001,4,0)),"",VLOOKUP($R129&amp;AG$2,$K$3:$N$4001,4,0))</f>
        <v>0.50350000000000006</v>
      </c>
      <c r="AI129" s="108">
        <f>IF(ISNA(VLOOKUP($R129&amp;AI$2,$K$3:$N$4001,3,0)),"",VLOOKUP($R129&amp;AI$2,$K$3:$N$4001,3,0))</f>
        <v>41345</v>
      </c>
      <c r="AJ129" s="109">
        <f>IF(ISNA(VLOOKUP($R129&amp;AI$2,$K$3:$N$4001,4,0)),"",VLOOKUP($R129&amp;AI$2,$K$3:$N$4001,4,0))</f>
        <v>0.56899999999999995</v>
      </c>
      <c r="AK129" s="108">
        <f>IF(ISNA(VLOOKUP($R129&amp;AK$2,$K$3:$N$4001,3,0)),"",VLOOKUP($R129&amp;AK$2,$K$3:$N$4001,3,0))</f>
        <v>41533</v>
      </c>
      <c r="AL129" s="109">
        <f>IF(ISNA(VLOOKUP($R129&amp;AK$2,$K$3:$N$4001,4,0)),"",VLOOKUP($R129&amp;AK$2,$K$3:$N$4001,4,0))</f>
        <v>0.56899999999999995</v>
      </c>
    </row>
    <row r="130" spans="3:38" x14ac:dyDescent="0.2">
      <c r="C130" s="96" t="str">
        <f t="shared" si="4"/>
        <v>AMC5</v>
      </c>
      <c r="D130" s="73" t="s">
        <v>76</v>
      </c>
      <c r="E130" s="100">
        <v>40598</v>
      </c>
      <c r="F130" s="101">
        <v>0.18</v>
      </c>
      <c r="G130" s="96">
        <f t="shared" si="5"/>
        <v>5</v>
      </c>
      <c r="I130" s="96"/>
      <c r="K130" t="str">
        <f t="shared" si="6"/>
        <v>AMC5</v>
      </c>
      <c r="L130" s="73" t="s">
        <v>76</v>
      </c>
      <c r="M130" s="72">
        <v>40598</v>
      </c>
      <c r="N130" s="84">
        <v>0.18</v>
      </c>
      <c r="O130" s="96">
        <f t="shared" si="7"/>
        <v>5</v>
      </c>
      <c r="P130" s="73"/>
      <c r="Q130" s="96"/>
      <c r="R130" s="96" t="s">
        <v>117</v>
      </c>
      <c r="S130" s="106">
        <f>IF(ISNA(VLOOKUP($R130&amp;S$2,$C$3:$F$4001,3,0)),"",VLOOKUP($R130&amp;S$2,$C$3:$F$4001,3,0))</f>
        <v>39968</v>
      </c>
      <c r="T130" s="107">
        <f>IF(ISNA(VLOOKUP($R130&amp;S$2,$C$3:$F$4001,4,0)),"",VLOOKUP($R130&amp;S$2,$C$3:$F$4001,4,0))</f>
        <v>0.06</v>
      </c>
      <c r="U130" s="106">
        <f>IF(ISNA(VLOOKUP($R130&amp;U$2,$C$3:$F$4001,3,0)),"",VLOOKUP($R130&amp;U$2,$C$3:$F$4001,3,0))</f>
        <v>40127</v>
      </c>
      <c r="V130" s="107">
        <f>IF(ISNA(VLOOKUP($R130&amp;U$2,$C$3:$F$4001,4,0)),"",VLOOKUP($R130&amp;U$2,$C$3:$F$4001,4,0))</f>
        <v>0.06</v>
      </c>
      <c r="W130" s="106">
        <f>IF(ISNA(VLOOKUP($R130&amp;W$2,$C$3:$F$4001,3,0)),"",VLOOKUP($R130&amp;W$2,$C$3:$F$4001,3,0))</f>
        <v>40336</v>
      </c>
      <c r="X130" s="107">
        <f>IF(ISNA(VLOOKUP($R130&amp;W$2,$C$3:$F$4001,4,0)),"",VLOOKUP($R130&amp;W$2,$C$3:$F$4001,4,0))</f>
        <v>7.0000000000000007E-2</v>
      </c>
      <c r="Y130" s="106">
        <f>IF(ISNA(VLOOKUP($R130&amp;Y$2,$C$3:$F$4001,3,0)),"",VLOOKUP($R130&amp;Y$2,$C$3:$F$4001,3,0))</f>
        <v>40492</v>
      </c>
      <c r="Z130" s="107">
        <f>IF(ISNA(VLOOKUP($R130&amp;Y$2,$C$3:$F$4001,4,0)),"",VLOOKUP($R130&amp;Y$2,$C$3:$F$4001,4,0))</f>
        <v>0.06</v>
      </c>
      <c r="AA130" s="106">
        <f>IF(ISNA(VLOOKUP($R130&amp;AA$2,$C$3:$F$4001,3,0)),"",VLOOKUP($R130&amp;AA$2,$C$3:$F$4001,3,0))</f>
        <v>40701</v>
      </c>
      <c r="AB130" s="107">
        <f>IF(ISNA(VLOOKUP($R130&amp;AA$2,$C$3:$F$4001,4,0)),"",VLOOKUP($R130&amp;AA$2,$C$3:$F$4001,4,0))</f>
        <v>0.08</v>
      </c>
      <c r="AC130" s="106">
        <f>IF(ISNA(VLOOKUP($R130&amp;AC$2,$C$3:$F$4001,3,0)),"",VLOOKUP($R130&amp;AC$2,$C$3:$F$4001,3,0))</f>
        <v>40857</v>
      </c>
      <c r="AD130" s="107">
        <f>IF(ISNA(VLOOKUP($R130&amp;AC$2,$C$3:$F$4001,4,0)),"",VLOOKUP($R130&amp;AC$2,$C$3:$F$4001,4,0))</f>
        <v>0.06</v>
      </c>
      <c r="AE130" s="106">
        <f>IF(ISNA(VLOOKUP($R130&amp;AE$2,$C$3:$F$4001,3,0)),"",VLOOKUP($R130&amp;AE$2,$C$3:$F$4001,3,0))</f>
        <v>41067</v>
      </c>
      <c r="AF130" s="107">
        <f>IF(ISNA(VLOOKUP($R130&amp;AE$2,$C$3:$F$4001,4,0)),"",VLOOKUP($R130&amp;AE$2,$C$3:$F$4001,4,0))</f>
        <v>0.09</v>
      </c>
      <c r="AG130" s="106">
        <f>IF(ISNA(VLOOKUP($R130&amp;AG$2,$C$3:$F$4001,3,0)),"",VLOOKUP($R130&amp;AG$2,$C$3:$F$4001,3,0))</f>
        <v>41225</v>
      </c>
      <c r="AH130" s="107">
        <f>IF(ISNA(VLOOKUP($R130&amp;AG$2,$C$3:$F$4001,4,0)),"",VLOOKUP($R130&amp;AG$2,$C$3:$F$4001,4,0))</f>
        <v>0.06</v>
      </c>
      <c r="AI130" s="106">
        <f>IF(ISNA(VLOOKUP($R130&amp;AI$2,$C$3:$F$4001,3,0)),"",VLOOKUP($R130&amp;AI$2,$C$3:$F$4001,3,0))</f>
        <v>41432</v>
      </c>
      <c r="AJ130" s="107">
        <f>IF(ISNA(VLOOKUP($R130&amp;AI$2,$C$3:$F$4001,4,0)),"",VLOOKUP($R130&amp;AI$2,$C$3:$F$4001,4,0))</f>
        <v>0.09</v>
      </c>
      <c r="AK130" s="106" t="str">
        <f>IF(ISNA(VLOOKUP($R130&amp;AK$2,$C$3:$F$4001,3,0)),"",VLOOKUP($R130&amp;AK$2,$C$3:$F$4001,3,0))</f>
        <v/>
      </c>
      <c r="AL130" s="107" t="str">
        <f>IF(ISNA(VLOOKUP($R130&amp;AK$2,$C$3:$F$4001,4,0)),"",VLOOKUP($R130&amp;AK$2,$C$3:$F$4001,4,0))</f>
        <v/>
      </c>
    </row>
    <row r="131" spans="3:38" x14ac:dyDescent="0.2">
      <c r="C131" s="96" t="str">
        <f t="shared" ref="C131:C194" si="8">D131&amp;G131</f>
        <v>AMC6</v>
      </c>
      <c r="D131" s="73" t="s">
        <v>76</v>
      </c>
      <c r="E131" s="100">
        <v>40779</v>
      </c>
      <c r="F131" s="101">
        <v>0.18</v>
      </c>
      <c r="G131" s="96">
        <f t="shared" ref="G131:G194" si="9">IF(D131&lt;&gt;D130,1,G130+1)</f>
        <v>6</v>
      </c>
      <c r="I131" s="96"/>
      <c r="K131" t="str">
        <f t="shared" ref="K131:K194" si="10">L131&amp;O131</f>
        <v>AMC6</v>
      </c>
      <c r="L131" s="73" t="s">
        <v>76</v>
      </c>
      <c r="M131" s="72">
        <v>40779</v>
      </c>
      <c r="N131" s="84">
        <v>0.18</v>
      </c>
      <c r="O131" s="96">
        <f t="shared" ref="O131:O194" si="11">IF(L131&lt;&gt;L130,1,O130+1)</f>
        <v>6</v>
      </c>
      <c r="P131" s="73"/>
      <c r="Q131" s="96"/>
      <c r="R131" s="96" t="str">
        <f>R130</f>
        <v>CSR</v>
      </c>
      <c r="S131" s="108">
        <f>IF(ISNA(VLOOKUP($R131&amp;S$2,$K$3:$N$4001,3,0)),"",VLOOKUP($R131&amp;S$2,$K$3:$N$4001,3,0))</f>
        <v>39968</v>
      </c>
      <c r="T131" s="109">
        <f>IF(ISNA(VLOOKUP($R131&amp;S$2,$K$3:$N$4001,4,0)),"",VLOOKUP($R131&amp;S$2,$K$3:$N$4001,4,0))</f>
        <v>0.06</v>
      </c>
      <c r="U131" s="108">
        <f>IF(ISNA(VLOOKUP($R131&amp;U$2,$K$3:$N$4001,3,0)),"",VLOOKUP($R131&amp;U$2,$K$3:$N$4001,3,0))</f>
        <v>40127</v>
      </c>
      <c r="V131" s="109">
        <f>IF(ISNA(VLOOKUP($R131&amp;U$2,$K$3:$N$4001,4,0)),"",VLOOKUP($R131&amp;U$2,$K$3:$N$4001,4,0))</f>
        <v>0.06</v>
      </c>
      <c r="W131" s="108">
        <f>IF(ISNA(VLOOKUP($R131&amp;W$2,$K$3:$N$4001,3,0)),"",VLOOKUP($R131&amp;W$2,$K$3:$N$4001,3,0))</f>
        <v>40336</v>
      </c>
      <c r="X131" s="109">
        <f>IF(ISNA(VLOOKUP($R131&amp;W$2,$K$3:$N$4001,4,0)),"",VLOOKUP($R131&amp;W$2,$K$3:$N$4001,4,0))</f>
        <v>7.0000000000000007E-2</v>
      </c>
      <c r="Y131" s="108">
        <f>IF(ISNA(VLOOKUP($R131&amp;Y$2,$K$3:$N$4001,3,0)),"",VLOOKUP($R131&amp;Y$2,$K$3:$N$4001,3,0))</f>
        <v>40492</v>
      </c>
      <c r="Z131" s="109">
        <f>IF(ISNA(VLOOKUP($R131&amp;Y$2,$K$3:$N$4001,4,0)),"",VLOOKUP($R131&amp;Y$2,$K$3:$N$4001,4,0))</f>
        <v>0.06</v>
      </c>
      <c r="AA131" s="108">
        <f>IF(ISNA(VLOOKUP($R131&amp;AA$2,$K$3:$N$4001,3,0)),"",VLOOKUP($R131&amp;AA$2,$K$3:$N$4001,3,0))</f>
        <v>40701</v>
      </c>
      <c r="AB131" s="109">
        <f>IF(ISNA(VLOOKUP($R131&amp;AA$2,$K$3:$N$4001,4,0)),"",VLOOKUP($R131&amp;AA$2,$K$3:$N$4001,4,0))</f>
        <v>0.08</v>
      </c>
      <c r="AC131" s="108">
        <f>IF(ISNA(VLOOKUP($R131&amp;AC$2,$K$3:$N$4001,3,0)),"",VLOOKUP($R131&amp;AC$2,$K$3:$N$4001,3,0))</f>
        <v>40857</v>
      </c>
      <c r="AD131" s="109">
        <f>IF(ISNA(VLOOKUP($R131&amp;AC$2,$K$3:$N$4001,4,0)),"",VLOOKUP($R131&amp;AC$2,$K$3:$N$4001,4,0))</f>
        <v>0.06</v>
      </c>
      <c r="AE131" s="108">
        <f>IF(ISNA(VLOOKUP($R131&amp;AE$2,$K$3:$N$4001,3,0)),"",VLOOKUP($R131&amp;AE$2,$K$3:$N$4001,3,0))</f>
        <v>41067</v>
      </c>
      <c r="AF131" s="109">
        <f>IF(ISNA(VLOOKUP($R131&amp;AE$2,$K$3:$N$4001,4,0)),"",VLOOKUP($R131&amp;AE$2,$K$3:$N$4001,4,0))</f>
        <v>0.09</v>
      </c>
      <c r="AG131" s="108">
        <f>IF(ISNA(VLOOKUP($R131&amp;AG$2,$K$3:$N$4001,3,0)),"",VLOOKUP($R131&amp;AG$2,$K$3:$N$4001,3,0))</f>
        <v>41225</v>
      </c>
      <c r="AH131" s="109">
        <f>IF(ISNA(VLOOKUP($R131&amp;AG$2,$K$3:$N$4001,4,0)),"",VLOOKUP($R131&amp;AG$2,$K$3:$N$4001,4,0))</f>
        <v>0.06</v>
      </c>
      <c r="AI131" s="108">
        <f>IF(ISNA(VLOOKUP($R131&amp;AI$2,$K$3:$N$4001,3,0)),"",VLOOKUP($R131&amp;AI$2,$K$3:$N$4001,3,0))</f>
        <v>41432</v>
      </c>
      <c r="AJ131" s="109">
        <f>IF(ISNA(VLOOKUP($R131&amp;AI$2,$K$3:$N$4001,4,0)),"",VLOOKUP($R131&amp;AI$2,$K$3:$N$4001,4,0))</f>
        <v>0.09</v>
      </c>
      <c r="AK131" s="108" t="str">
        <f>IF(ISNA(VLOOKUP($R131&amp;AK$2,$K$3:$N$4001,3,0)),"",VLOOKUP($R131&amp;AK$2,$K$3:$N$4001,3,0))</f>
        <v/>
      </c>
      <c r="AL131" s="109" t="str">
        <f>IF(ISNA(VLOOKUP($R131&amp;AK$2,$K$3:$N$4001,4,0)),"",VLOOKUP($R131&amp;AK$2,$K$3:$N$4001,4,0))</f>
        <v/>
      </c>
    </row>
    <row r="132" spans="3:38" x14ac:dyDescent="0.2">
      <c r="C132" s="96" t="str">
        <f t="shared" si="8"/>
        <v>AMC7</v>
      </c>
      <c r="D132" s="73" t="s">
        <v>76</v>
      </c>
      <c r="E132" s="100">
        <v>40966</v>
      </c>
      <c r="F132" s="101">
        <v>0.18</v>
      </c>
      <c r="G132" s="96">
        <f t="shared" si="9"/>
        <v>7</v>
      </c>
      <c r="I132" s="96"/>
      <c r="K132" t="str">
        <f t="shared" si="10"/>
        <v>AMC7</v>
      </c>
      <c r="L132" s="73" t="s">
        <v>76</v>
      </c>
      <c r="M132" s="72">
        <v>40966</v>
      </c>
      <c r="N132" s="84">
        <v>0.18</v>
      </c>
      <c r="O132" s="96">
        <f t="shared" si="11"/>
        <v>7</v>
      </c>
      <c r="P132" s="73"/>
      <c r="Q132" s="96"/>
      <c r="R132" s="96" t="s">
        <v>121</v>
      </c>
      <c r="S132" s="106">
        <f>IF(ISNA(VLOOKUP($R132&amp;S$2,$C$3:$F$4001,3,0)),"",VLOOKUP($R132&amp;S$2,$C$3:$F$4001,3,0))</f>
        <v>39909</v>
      </c>
      <c r="T132" s="107">
        <f>IF(ISNA(VLOOKUP($R132&amp;S$2,$C$3:$F$4001,4,0)),"",VLOOKUP($R132&amp;S$2,$C$3:$F$4001,4,0))</f>
        <v>0.11</v>
      </c>
      <c r="U132" s="106">
        <f>IF(ISNA(VLOOKUP($R132&amp;U$2,$C$3:$F$4001,3,0)),"",VLOOKUP($R132&amp;U$2,$C$3:$F$4001,3,0))</f>
        <v>40092</v>
      </c>
      <c r="V132" s="107">
        <f>IF(ISNA(VLOOKUP($R132&amp;U$2,$C$3:$F$4001,4,0)),"",VLOOKUP($R132&amp;U$2,$C$3:$F$4001,4,0))</f>
        <v>0.16</v>
      </c>
      <c r="W132" s="106">
        <f>IF(ISNA(VLOOKUP($R132&amp;W$2,$C$3:$F$4001,3,0)),"",VLOOKUP($R132&amp;W$2,$C$3:$F$4001,3,0))</f>
        <v>40276</v>
      </c>
      <c r="X132" s="107">
        <f>IF(ISNA(VLOOKUP($R132&amp;W$2,$C$3:$F$4001,4,0)),"",VLOOKUP($R132&amp;W$2,$C$3:$F$4001,4,0))</f>
        <v>0.11</v>
      </c>
      <c r="Y132" s="106">
        <f>IF(ISNA(VLOOKUP($R132&amp;Y$2,$C$3:$F$4001,3,0)),"",VLOOKUP($R132&amp;Y$2,$C$3:$F$4001,3,0))</f>
        <v>40457</v>
      </c>
      <c r="Z132" s="107">
        <f>IF(ISNA(VLOOKUP($R132&amp;Y$2,$C$3:$F$4001,4,0)),"",VLOOKUP($R132&amp;Y$2,$C$3:$F$4001,4,0))</f>
        <v>0.16</v>
      </c>
      <c r="AA132" s="106">
        <f>IF(ISNA(VLOOKUP($R132&amp;AA$2,$C$3:$F$4001,3,0)),"",VLOOKUP($R132&amp;AA$2,$C$3:$F$4001,3,0))</f>
        <v>40641</v>
      </c>
      <c r="AB132" s="107">
        <f>IF(ISNA(VLOOKUP($R132&amp;AA$2,$C$3:$F$4001,4,0)),"",VLOOKUP($R132&amp;AA$2,$C$3:$F$4001,4,0))</f>
        <v>0.12</v>
      </c>
      <c r="AC132" s="106">
        <f>IF(ISNA(VLOOKUP($R132&amp;AC$2,$C$3:$F$4001,3,0)),"",VLOOKUP($R132&amp;AC$2,$C$3:$F$4001,3,0))</f>
        <v>40822</v>
      </c>
      <c r="AD132" s="107">
        <f>IF(ISNA(VLOOKUP($R132&amp;AC$2,$C$3:$F$4001,4,0)),"",VLOOKUP($R132&amp;AC$2,$C$3:$F$4001,4,0))</f>
        <v>0.16</v>
      </c>
      <c r="AE132" s="106">
        <f>IF(ISNA(VLOOKUP($R132&amp;AE$2,$C$3:$F$4001,3,0)),"",VLOOKUP($R132&amp;AE$2,$C$3:$F$4001,3,0))</f>
        <v>41009</v>
      </c>
      <c r="AF132" s="107">
        <f>IF(ISNA(VLOOKUP($R132&amp;AE$2,$C$3:$F$4001,4,0)),"",VLOOKUP($R132&amp;AE$2,$C$3:$F$4001,4,0))</f>
        <v>0.13</v>
      </c>
      <c r="AG132" s="106">
        <f>IF(ISNA(VLOOKUP($R132&amp;AG$2,$C$3:$F$4001,3,0)),"",VLOOKUP($R132&amp;AG$2,$C$3:$F$4001,3,0))</f>
        <v>41190</v>
      </c>
      <c r="AH132" s="107">
        <f>IF(ISNA(VLOOKUP($R132&amp;AG$2,$C$3:$F$4001,4,0)),"",VLOOKUP($R132&amp;AG$2,$C$3:$F$4001,4,0))</f>
        <v>0.17</v>
      </c>
      <c r="AI132" s="106">
        <f>IF(ISNA(VLOOKUP($R132&amp;AI$2,$C$3:$F$4001,3,0)),"",VLOOKUP($R132&amp;AI$2,$C$3:$F$4001,3,0))</f>
        <v>41374</v>
      </c>
      <c r="AJ132" s="107">
        <f>IF(ISNA(VLOOKUP($R132&amp;AI$2,$C$3:$F$4001,4,0)),"",VLOOKUP($R132&amp;AI$2,$C$3:$F$4001,4,0))</f>
        <v>0.14000000000000001</v>
      </c>
      <c r="AK132" s="106">
        <f>IF(ISNA(VLOOKUP($R132&amp;AK$2,$C$3:$F$4001,3,0)),"",VLOOKUP($R132&amp;AK$2,$C$3:$F$4001,3,0))</f>
        <v>41555</v>
      </c>
      <c r="AL132" s="107">
        <f>IF(ISNA(VLOOKUP($R132&amp;AK$2,$C$3:$F$4001,4,0)),"",VLOOKUP($R132&amp;AK$2,$C$3:$F$4001,4,0))</f>
        <v>0.18</v>
      </c>
    </row>
    <row r="133" spans="3:38" x14ac:dyDescent="0.2">
      <c r="C133" s="96" t="str">
        <f t="shared" si="8"/>
        <v>AMC8</v>
      </c>
      <c r="D133" s="73" t="s">
        <v>76</v>
      </c>
      <c r="E133" s="100">
        <v>41145</v>
      </c>
      <c r="F133" s="101">
        <v>0.18</v>
      </c>
      <c r="G133" s="96">
        <f t="shared" si="9"/>
        <v>8</v>
      </c>
      <c r="I133" s="96"/>
      <c r="K133" t="str">
        <f t="shared" si="10"/>
        <v>AMC8</v>
      </c>
      <c r="L133" s="73" t="s">
        <v>76</v>
      </c>
      <c r="M133" s="72">
        <v>41145</v>
      </c>
      <c r="N133" s="84">
        <v>0.18</v>
      </c>
      <c r="O133" s="96">
        <f t="shared" si="11"/>
        <v>8</v>
      </c>
      <c r="P133" s="73"/>
      <c r="Q133" s="96"/>
      <c r="R133" s="96" t="str">
        <f>R132</f>
        <v>DJS</v>
      </c>
      <c r="S133" s="108">
        <f>IF(ISNA(VLOOKUP($R133&amp;S$2,$K$3:$N$4001,3,0)),"",VLOOKUP($R133&amp;S$2,$K$3:$N$4001,3,0))</f>
        <v>39909</v>
      </c>
      <c r="T133" s="109">
        <f>IF(ISNA(VLOOKUP($R133&amp;S$2,$K$3:$N$4001,4,0)),"",VLOOKUP($R133&amp;S$2,$K$3:$N$4001,4,0))</f>
        <v>0.11</v>
      </c>
      <c r="U133" s="108">
        <f>IF(ISNA(VLOOKUP($R133&amp;U$2,$K$3:$N$4001,3,0)),"",VLOOKUP($R133&amp;U$2,$K$3:$N$4001,3,0))</f>
        <v>40092</v>
      </c>
      <c r="V133" s="109">
        <f>IF(ISNA(VLOOKUP($R133&amp;U$2,$K$3:$N$4001,4,0)),"",VLOOKUP($R133&amp;U$2,$K$3:$N$4001,4,0))</f>
        <v>0.16</v>
      </c>
      <c r="W133" s="108">
        <f>IF(ISNA(VLOOKUP($R133&amp;W$2,$K$3:$N$4001,3,0)),"",VLOOKUP($R133&amp;W$2,$K$3:$N$4001,3,0))</f>
        <v>40276</v>
      </c>
      <c r="X133" s="109">
        <f>IF(ISNA(VLOOKUP($R133&amp;W$2,$K$3:$N$4001,4,0)),"",VLOOKUP($R133&amp;W$2,$K$3:$N$4001,4,0))</f>
        <v>0.11</v>
      </c>
      <c r="Y133" s="108">
        <f>IF(ISNA(VLOOKUP($R133&amp;Y$2,$K$3:$N$4001,3,0)),"",VLOOKUP($R133&amp;Y$2,$K$3:$N$4001,3,0))</f>
        <v>40457</v>
      </c>
      <c r="Z133" s="109">
        <f>IF(ISNA(VLOOKUP($R133&amp;Y$2,$K$3:$N$4001,4,0)),"",VLOOKUP($R133&amp;Y$2,$K$3:$N$4001,4,0))</f>
        <v>0.16</v>
      </c>
      <c r="AA133" s="108">
        <f>IF(ISNA(VLOOKUP($R133&amp;AA$2,$K$3:$N$4001,3,0)),"",VLOOKUP($R133&amp;AA$2,$K$3:$N$4001,3,0))</f>
        <v>40641</v>
      </c>
      <c r="AB133" s="109">
        <f>IF(ISNA(VLOOKUP($R133&amp;AA$2,$K$3:$N$4001,4,0)),"",VLOOKUP($R133&amp;AA$2,$K$3:$N$4001,4,0))</f>
        <v>0.12</v>
      </c>
      <c r="AC133" s="108">
        <f>IF(ISNA(VLOOKUP($R133&amp;AC$2,$K$3:$N$4001,3,0)),"",VLOOKUP($R133&amp;AC$2,$K$3:$N$4001,3,0))</f>
        <v>40822</v>
      </c>
      <c r="AD133" s="109">
        <f>IF(ISNA(VLOOKUP($R133&amp;AC$2,$K$3:$N$4001,4,0)),"",VLOOKUP($R133&amp;AC$2,$K$3:$N$4001,4,0))</f>
        <v>0.16</v>
      </c>
      <c r="AE133" s="108">
        <f>IF(ISNA(VLOOKUP($R133&amp;AE$2,$K$3:$N$4001,3,0)),"",VLOOKUP($R133&amp;AE$2,$K$3:$N$4001,3,0))</f>
        <v>41009</v>
      </c>
      <c r="AF133" s="109">
        <f>IF(ISNA(VLOOKUP($R133&amp;AE$2,$K$3:$N$4001,4,0)),"",VLOOKUP($R133&amp;AE$2,$K$3:$N$4001,4,0))</f>
        <v>0.13</v>
      </c>
      <c r="AG133" s="108">
        <f>IF(ISNA(VLOOKUP($R133&amp;AG$2,$K$3:$N$4001,3,0)),"",VLOOKUP($R133&amp;AG$2,$K$3:$N$4001,3,0))</f>
        <v>41190</v>
      </c>
      <c r="AH133" s="109">
        <f>IF(ISNA(VLOOKUP($R133&amp;AG$2,$K$3:$N$4001,4,0)),"",VLOOKUP($R133&amp;AG$2,$K$3:$N$4001,4,0))</f>
        <v>0.17</v>
      </c>
      <c r="AI133" s="108">
        <f>IF(ISNA(VLOOKUP($R133&amp;AI$2,$K$3:$N$4001,3,0)),"",VLOOKUP($R133&amp;AI$2,$K$3:$N$4001,3,0))</f>
        <v>41374</v>
      </c>
      <c r="AJ133" s="109">
        <f>IF(ISNA(VLOOKUP($R133&amp;AI$2,$K$3:$N$4001,4,0)),"",VLOOKUP($R133&amp;AI$2,$K$3:$N$4001,4,0))</f>
        <v>0.14000000000000001</v>
      </c>
      <c r="AK133" s="108">
        <f>IF(ISNA(VLOOKUP($R133&amp;AK$2,$K$3:$N$4001,3,0)),"",VLOOKUP($R133&amp;AK$2,$K$3:$N$4001,3,0))</f>
        <v>41555</v>
      </c>
      <c r="AL133" s="109">
        <f>IF(ISNA(VLOOKUP($R133&amp;AK$2,$K$3:$N$4001,4,0)),"",VLOOKUP($R133&amp;AK$2,$K$3:$N$4001,4,0))</f>
        <v>0.18</v>
      </c>
    </row>
    <row r="134" spans="3:38" x14ac:dyDescent="0.2">
      <c r="C134" s="96" t="str">
        <f t="shared" si="8"/>
        <v>AMC9</v>
      </c>
      <c r="D134" s="73" t="s">
        <v>76</v>
      </c>
      <c r="E134" s="100">
        <v>41331</v>
      </c>
      <c r="F134" s="101">
        <v>0.19</v>
      </c>
      <c r="G134" s="96">
        <f t="shared" si="9"/>
        <v>9</v>
      </c>
      <c r="I134" s="96"/>
      <c r="K134" t="str">
        <f t="shared" si="10"/>
        <v>AMC9</v>
      </c>
      <c r="L134" s="73" t="s">
        <v>76</v>
      </c>
      <c r="M134" s="72">
        <v>41331</v>
      </c>
      <c r="N134" s="84">
        <v>0.19</v>
      </c>
      <c r="O134" s="96">
        <f t="shared" si="11"/>
        <v>9</v>
      </c>
      <c r="P134" s="73"/>
      <c r="Q134" s="96"/>
      <c r="R134" s="96" t="s">
        <v>125</v>
      </c>
      <c r="S134" s="106">
        <f>IF(ISNA(VLOOKUP($R134&amp;S$2,$C$3:$F$4001,3,0)),"",VLOOKUP($R134&amp;S$2,$C$3:$F$4001,3,0))</f>
        <v>39988</v>
      </c>
      <c r="T134" s="107">
        <f>IF(ISNA(VLOOKUP($R134&amp;S$2,$C$3:$F$4001,4,0)),"",VLOOKUP($R134&amp;S$2,$C$3:$F$4001,4,0))</f>
        <v>3.7999999999999999E-2</v>
      </c>
      <c r="U134" s="106">
        <f>IF(ISNA(VLOOKUP($R134&amp;U$2,$C$3:$F$4001,3,0)),"",VLOOKUP($R134&amp;U$2,$C$3:$F$4001,3,0))</f>
        <v>40170</v>
      </c>
      <c r="V134" s="107">
        <f>IF(ISNA(VLOOKUP($R134&amp;U$2,$C$3:$F$4001,4,0)),"",VLOOKUP($R134&amp;U$2,$C$3:$F$4001,4,0))</f>
        <v>0.04</v>
      </c>
      <c r="W134" s="106">
        <f>IF(ISNA(VLOOKUP($R134&amp;W$2,$C$3:$F$4001,3,0)),"",VLOOKUP($R134&amp;W$2,$C$3:$F$4001,3,0))</f>
        <v>40353</v>
      </c>
      <c r="X134" s="107">
        <f>IF(ISNA(VLOOKUP($R134&amp;W$2,$C$3:$F$4001,4,0)),"",VLOOKUP($R134&amp;W$2,$C$3:$F$4001,4,0))</f>
        <v>0.04</v>
      </c>
      <c r="Y134" s="106">
        <f>IF(ISNA(VLOOKUP($R134&amp;Y$2,$C$3:$F$4001,3,0)),"",VLOOKUP($R134&amp;Y$2,$C$3:$F$4001,3,0))</f>
        <v>40535</v>
      </c>
      <c r="Z134" s="107">
        <f>IF(ISNA(VLOOKUP($R134&amp;Y$2,$C$3:$F$4001,4,0)),"",VLOOKUP($R134&amp;Y$2,$C$3:$F$4001,4,0))</f>
        <v>4.2000000000000003E-2</v>
      </c>
      <c r="AA134" s="106">
        <f>IF(ISNA(VLOOKUP($R134&amp;AA$2,$C$3:$F$4001,3,0)),"",VLOOKUP($R134&amp;AA$2,$C$3:$F$4001,3,0))</f>
        <v>40718</v>
      </c>
      <c r="AB134" s="107">
        <f>IF(ISNA(VLOOKUP($R134&amp;AA$2,$C$3:$F$4001,4,0)),"",VLOOKUP($R134&amp;AA$2,$C$3:$F$4001,4,0))</f>
        <v>4.2000000000000003E-2</v>
      </c>
      <c r="AC134" s="106">
        <f>IF(ISNA(VLOOKUP($R134&amp;AC$2,$C$3:$F$4001,3,0)),"",VLOOKUP($R134&amp;AC$2,$C$3:$F$4001,3,0))</f>
        <v>40899</v>
      </c>
      <c r="AD134" s="107">
        <f>IF(ISNA(VLOOKUP($R134&amp;AC$2,$C$3:$F$4001,4,0)),"",VLOOKUP($R134&amp;AC$2,$C$3:$F$4001,4,0))</f>
        <v>4.4999999999999998E-2</v>
      </c>
      <c r="AE134" s="106">
        <f>IF(ISNA(VLOOKUP($R134&amp;AE$2,$C$3:$F$4001,3,0)),"",VLOOKUP($R134&amp;AE$2,$C$3:$F$4001,3,0))</f>
        <v>41085</v>
      </c>
      <c r="AF134" s="107">
        <f>IF(ISNA(VLOOKUP($R134&amp;AE$2,$C$3:$F$4001,4,0)),"",VLOOKUP($R134&amp;AE$2,$C$3:$F$4001,4,0))</f>
        <v>4.4999999999999998E-2</v>
      </c>
      <c r="AG134" s="106">
        <f>IF(ISNA(VLOOKUP($R134&amp;AG$2,$C$3:$F$4001,3,0)),"",VLOOKUP($R134&amp;AG$2,$C$3:$F$4001,3,0))</f>
        <v>41268</v>
      </c>
      <c r="AH134" s="107">
        <f>IF(ISNA(VLOOKUP($R134&amp;AG$2,$C$3:$F$4001,4,0)),"",VLOOKUP($R134&amp;AG$2,$C$3:$F$4001,4,0))</f>
        <v>4.8000000000000001E-2</v>
      </c>
      <c r="AI134" s="106">
        <f>IF(ISNA(VLOOKUP($R134&amp;AI$2,$C$3:$F$4001,3,0)),"",VLOOKUP($R134&amp;AI$2,$C$3:$F$4001,3,0))</f>
        <v>41450</v>
      </c>
      <c r="AJ134" s="107">
        <f>IF(ISNA(VLOOKUP($R134&amp;AI$2,$C$3:$F$4001,4,0)),"",VLOOKUP($R134&amp;AI$2,$C$3:$F$4001,4,0))</f>
        <v>4.8000000000000001E-2</v>
      </c>
      <c r="AK134" s="106" t="str">
        <f>IF(ISNA(VLOOKUP($R134&amp;AK$2,$C$3:$F$4001,3,0)),"",VLOOKUP($R134&amp;AK$2,$C$3:$F$4001,3,0))</f>
        <v/>
      </c>
      <c r="AL134" s="107" t="str">
        <f>IF(ISNA(VLOOKUP($R134&amp;AK$2,$C$3:$F$4001,4,0)),"",VLOOKUP($R134&amp;AK$2,$C$3:$F$4001,4,0))</f>
        <v/>
      </c>
    </row>
    <row r="135" spans="3:38" x14ac:dyDescent="0.2">
      <c r="C135" s="96" t="str">
        <f t="shared" si="8"/>
        <v>AMC10</v>
      </c>
      <c r="D135" s="73" t="s">
        <v>76</v>
      </c>
      <c r="E135" s="100">
        <v>41512</v>
      </c>
      <c r="F135" s="101">
        <v>0.19</v>
      </c>
      <c r="G135" s="96">
        <f t="shared" si="9"/>
        <v>10</v>
      </c>
      <c r="I135" s="96"/>
      <c r="K135" t="str">
        <f t="shared" si="10"/>
        <v>AMC10</v>
      </c>
      <c r="L135" s="73" t="s">
        <v>76</v>
      </c>
      <c r="M135" s="72">
        <v>41512</v>
      </c>
      <c r="N135" s="84">
        <v>0.19</v>
      </c>
      <c r="O135" s="96">
        <f t="shared" si="11"/>
        <v>10</v>
      </c>
      <c r="P135" s="73"/>
      <c r="Q135" s="96"/>
      <c r="R135" s="96" t="str">
        <f>R134</f>
        <v>DXS</v>
      </c>
      <c r="S135" s="108">
        <f>IF(ISNA(VLOOKUP($R135&amp;S$2,$K$3:$N$4001,3,0)),"",VLOOKUP($R135&amp;S$2,$K$3:$N$4001,3,0))</f>
        <v>39988</v>
      </c>
      <c r="T135" s="109">
        <f>IF(ISNA(VLOOKUP($R135&amp;S$2,$K$3:$N$4001,4,0)),"",VLOOKUP($R135&amp;S$2,$K$3:$N$4001,4,0))</f>
        <v>3.7999999999999999E-2</v>
      </c>
      <c r="U135" s="108">
        <f>IF(ISNA(VLOOKUP($R135&amp;U$2,$K$3:$N$4001,3,0)),"",VLOOKUP($R135&amp;U$2,$K$3:$N$4001,3,0))</f>
        <v>40170</v>
      </c>
      <c r="V135" s="109">
        <f>IF(ISNA(VLOOKUP($R135&amp;U$2,$K$3:$N$4001,4,0)),"",VLOOKUP($R135&amp;U$2,$K$3:$N$4001,4,0))</f>
        <v>0.04</v>
      </c>
      <c r="W135" s="108">
        <f>IF(ISNA(VLOOKUP($R135&amp;W$2,$K$3:$N$4001,3,0)),"",VLOOKUP($R135&amp;W$2,$K$3:$N$4001,3,0))</f>
        <v>40353</v>
      </c>
      <c r="X135" s="109">
        <f>IF(ISNA(VLOOKUP($R135&amp;W$2,$K$3:$N$4001,4,0)),"",VLOOKUP($R135&amp;W$2,$K$3:$N$4001,4,0))</f>
        <v>0.04</v>
      </c>
      <c r="Y135" s="108">
        <f>IF(ISNA(VLOOKUP($R135&amp;Y$2,$K$3:$N$4001,3,0)),"",VLOOKUP($R135&amp;Y$2,$K$3:$N$4001,3,0))</f>
        <v>40535</v>
      </c>
      <c r="Z135" s="109">
        <f>IF(ISNA(VLOOKUP($R135&amp;Y$2,$K$3:$N$4001,4,0)),"",VLOOKUP($R135&amp;Y$2,$K$3:$N$4001,4,0))</f>
        <v>4.2000000000000003E-2</v>
      </c>
      <c r="AA135" s="108">
        <f>IF(ISNA(VLOOKUP($R135&amp;AA$2,$K$3:$N$4001,3,0)),"",VLOOKUP($R135&amp;AA$2,$K$3:$N$4001,3,0))</f>
        <v>40718</v>
      </c>
      <c r="AB135" s="109">
        <f>IF(ISNA(VLOOKUP($R135&amp;AA$2,$K$3:$N$4001,4,0)),"",VLOOKUP($R135&amp;AA$2,$K$3:$N$4001,4,0))</f>
        <v>4.2000000000000003E-2</v>
      </c>
      <c r="AC135" s="108">
        <f>IF(ISNA(VLOOKUP($R135&amp;AC$2,$K$3:$N$4001,3,0)),"",VLOOKUP($R135&amp;AC$2,$K$3:$N$4001,3,0))</f>
        <v>40899</v>
      </c>
      <c r="AD135" s="109">
        <f>IF(ISNA(VLOOKUP($R135&amp;AC$2,$K$3:$N$4001,4,0)),"",VLOOKUP($R135&amp;AC$2,$K$3:$N$4001,4,0))</f>
        <v>4.4999999999999998E-2</v>
      </c>
      <c r="AE135" s="108">
        <f>IF(ISNA(VLOOKUP($R135&amp;AE$2,$K$3:$N$4001,3,0)),"",VLOOKUP($R135&amp;AE$2,$K$3:$N$4001,3,0))</f>
        <v>41085</v>
      </c>
      <c r="AF135" s="109">
        <f>IF(ISNA(VLOOKUP($R135&amp;AE$2,$K$3:$N$4001,4,0)),"",VLOOKUP($R135&amp;AE$2,$K$3:$N$4001,4,0))</f>
        <v>4.4999999999999998E-2</v>
      </c>
      <c r="AG135" s="108">
        <f>IF(ISNA(VLOOKUP($R135&amp;AG$2,$K$3:$N$4001,3,0)),"",VLOOKUP($R135&amp;AG$2,$K$3:$N$4001,3,0))</f>
        <v>41268</v>
      </c>
      <c r="AH135" s="109">
        <f>IF(ISNA(VLOOKUP($R135&amp;AG$2,$K$3:$N$4001,4,0)),"",VLOOKUP($R135&amp;AG$2,$K$3:$N$4001,4,0))</f>
        <v>4.8000000000000001E-2</v>
      </c>
      <c r="AI135" s="108">
        <f>IF(ISNA(VLOOKUP($R135&amp;AI$2,$K$3:$N$4001,3,0)),"",VLOOKUP($R135&amp;AI$2,$K$3:$N$4001,3,0))</f>
        <v>41450</v>
      </c>
      <c r="AJ135" s="109">
        <f>IF(ISNA(VLOOKUP($R135&amp;AI$2,$K$3:$N$4001,4,0)),"",VLOOKUP($R135&amp;AI$2,$K$3:$N$4001,4,0))</f>
        <v>4.8000000000000001E-2</v>
      </c>
      <c r="AK135" s="108" t="str">
        <f>IF(ISNA(VLOOKUP($R135&amp;AK$2,$K$3:$N$4001,3,0)),"",VLOOKUP($R135&amp;AK$2,$K$3:$N$4001,3,0))</f>
        <v/>
      </c>
      <c r="AL135" s="109" t="str">
        <f>IF(ISNA(VLOOKUP($R135&amp;AK$2,$K$3:$N$4001,4,0)),"",VLOOKUP($R135&amp;AK$2,$K$3:$N$4001,4,0))</f>
        <v/>
      </c>
    </row>
    <row r="136" spans="3:38" x14ac:dyDescent="0.2">
      <c r="C136" s="96" t="str">
        <f t="shared" si="8"/>
        <v>AMP1</v>
      </c>
      <c r="D136" s="73" t="s">
        <v>77</v>
      </c>
      <c r="E136" s="100">
        <v>39877</v>
      </c>
      <c r="F136" s="101">
        <v>0.2</v>
      </c>
      <c r="G136" s="96">
        <f t="shared" si="9"/>
        <v>1</v>
      </c>
      <c r="I136" s="96"/>
      <c r="K136" t="str">
        <f t="shared" si="10"/>
        <v>AMP1</v>
      </c>
      <c r="L136" s="73" t="s">
        <v>77</v>
      </c>
      <c r="M136" s="72">
        <v>39877</v>
      </c>
      <c r="N136" s="84">
        <v>0.2</v>
      </c>
      <c r="O136" s="96">
        <f t="shared" si="11"/>
        <v>1</v>
      </c>
      <c r="P136" s="73"/>
      <c r="Q136" s="96"/>
      <c r="R136" s="96" t="s">
        <v>122</v>
      </c>
      <c r="S136" s="106">
        <f>IF(ISNA(VLOOKUP($R136&amp;S$2,$C$3:$F$4001,3,0)),"",VLOOKUP($R136&amp;S$2,$C$3:$F$4001,3,0))</f>
        <v>39875</v>
      </c>
      <c r="T136" s="107">
        <f>IF(ISNA(VLOOKUP($R136&amp;S$2,$C$3:$F$4001,4,0)),"",VLOOKUP($R136&amp;S$2,$C$3:$F$4001,4,0))</f>
        <v>0.13</v>
      </c>
      <c r="U136" s="106">
        <f>IF(ISNA(VLOOKUP($R136&amp;U$2,$C$3:$F$4001,3,0)),"",VLOOKUP($R136&amp;U$2,$C$3:$F$4001,3,0))</f>
        <v>40056</v>
      </c>
      <c r="V136" s="107">
        <f>IF(ISNA(VLOOKUP($R136&amp;U$2,$C$3:$F$4001,4,0)),"",VLOOKUP($R136&amp;U$2,$C$3:$F$4001,4,0))</f>
        <v>0.15</v>
      </c>
      <c r="W136" s="106">
        <f>IF(ISNA(VLOOKUP($R136&amp;W$2,$C$3:$F$4001,3,0)),"",VLOOKUP($R136&amp;W$2,$C$3:$F$4001,3,0))</f>
        <v>40241</v>
      </c>
      <c r="X136" s="107">
        <f>IF(ISNA(VLOOKUP($R136&amp;W$2,$C$3:$F$4001,4,0)),"",VLOOKUP($R136&amp;W$2,$C$3:$F$4001,4,0))</f>
        <v>0.13500000000000001</v>
      </c>
      <c r="Y136" s="106">
        <f>IF(ISNA(VLOOKUP($R136&amp;Y$2,$C$3:$F$4001,3,0)),"",VLOOKUP($R136&amp;Y$2,$C$3:$F$4001,3,0))</f>
        <v>40421</v>
      </c>
      <c r="Z136" s="107">
        <f>IF(ISNA(VLOOKUP($R136&amp;Y$2,$C$3:$F$4001,4,0)),"",VLOOKUP($R136&amp;Y$2,$C$3:$F$4001,4,0))</f>
        <v>0.16</v>
      </c>
      <c r="AA136" s="106">
        <f>IF(ISNA(VLOOKUP($R136&amp;AA$2,$C$3:$F$4001,3,0)),"",VLOOKUP($R136&amp;AA$2,$C$3:$F$4001,3,0))</f>
        <v>40606</v>
      </c>
      <c r="AB136" s="107">
        <f>IF(ISNA(VLOOKUP($R136&amp;AA$2,$C$3:$F$4001,4,0)),"",VLOOKUP($R136&amp;AA$2,$C$3:$F$4001,4,0))</f>
        <v>0.14000000000000001</v>
      </c>
      <c r="AC136" s="106">
        <f>IF(ISNA(VLOOKUP($R136&amp;AC$2,$C$3:$F$4001,3,0)),"",VLOOKUP($R136&amp;AC$2,$C$3:$F$4001,3,0))</f>
        <v>40786</v>
      </c>
      <c r="AD136" s="107">
        <f>IF(ISNA(VLOOKUP($R136&amp;AC$2,$C$3:$F$4001,4,0)),"",VLOOKUP($R136&amp;AC$2,$C$3:$F$4001,4,0))</f>
        <v>0.18</v>
      </c>
      <c r="AE136" s="106">
        <f>IF(ISNA(VLOOKUP($R136&amp;AE$2,$C$3:$F$4001,3,0)),"",VLOOKUP($R136&amp;AE$2,$C$3:$F$4001,3,0))</f>
        <v>40974</v>
      </c>
      <c r="AF136" s="107">
        <f>IF(ISNA(VLOOKUP($R136&amp;AE$2,$C$3:$F$4001,4,0)),"",VLOOKUP($R136&amp;AE$2,$C$3:$F$4001,4,0))</f>
        <v>0.15</v>
      </c>
      <c r="AG136" s="106">
        <f>IF(ISNA(VLOOKUP($R136&amp;AG$2,$C$3:$F$4001,3,0)),"",VLOOKUP($R136&amp;AG$2,$C$3:$F$4001,3,0))</f>
        <v>41152</v>
      </c>
      <c r="AH136" s="107">
        <f>IF(ISNA(VLOOKUP($R136&amp;AG$2,$C$3:$F$4001,4,0)),"",VLOOKUP($R136&amp;AG$2,$C$3:$F$4001,4,0))</f>
        <v>0.2</v>
      </c>
      <c r="AI136" s="106">
        <f>IF(ISNA(VLOOKUP($R136&amp;AI$2,$C$3:$F$4001,3,0)),"",VLOOKUP($R136&amp;AI$2,$C$3:$F$4001,3,0))</f>
        <v>41339</v>
      </c>
      <c r="AJ136" s="107">
        <f>IF(ISNA(VLOOKUP($R136&amp;AI$2,$C$3:$F$4001,4,0)),"",VLOOKUP($R136&amp;AI$2,$C$3:$F$4001,4,0))</f>
        <v>0.155</v>
      </c>
      <c r="AK136" s="106">
        <f>IF(ISNA(VLOOKUP($R136&amp;AK$2,$C$3:$F$4001,3,0)),"",VLOOKUP($R136&amp;AK$2,$C$3:$F$4001,3,0))</f>
        <v>41519</v>
      </c>
      <c r="AL136" s="107">
        <f>IF(ISNA(VLOOKUP($R136&amp;AK$2,$C$3:$F$4001,4,0)),"",VLOOKUP($R136&amp;AK$2,$C$3:$F$4001,4,0))</f>
        <v>0.215</v>
      </c>
    </row>
    <row r="137" spans="3:38" x14ac:dyDescent="0.2">
      <c r="C137" s="96" t="str">
        <f t="shared" si="8"/>
        <v>AMP2</v>
      </c>
      <c r="D137" s="73" t="s">
        <v>77</v>
      </c>
      <c r="E137" s="100">
        <v>40084</v>
      </c>
      <c r="F137" s="101">
        <v>0.18</v>
      </c>
      <c r="G137" s="96">
        <f t="shared" si="9"/>
        <v>2</v>
      </c>
      <c r="I137" s="96"/>
      <c r="K137" t="str">
        <f t="shared" si="10"/>
        <v>AMP2</v>
      </c>
      <c r="L137" s="73" t="s">
        <v>77</v>
      </c>
      <c r="M137" s="72">
        <v>40084</v>
      </c>
      <c r="N137" s="84">
        <v>0.18</v>
      </c>
      <c r="O137" s="96">
        <f t="shared" si="11"/>
        <v>2</v>
      </c>
      <c r="P137" s="73"/>
      <c r="Q137" s="96"/>
      <c r="R137" s="96" t="str">
        <f>R136</f>
        <v>DOW</v>
      </c>
      <c r="S137" s="108">
        <f>IF(ISNA(VLOOKUP($R137&amp;S$2,$K$3:$N$4001,3,0)),"",VLOOKUP($R137&amp;S$2,$K$3:$N$4001,3,0))</f>
        <v>39875</v>
      </c>
      <c r="T137" s="109">
        <f>IF(ISNA(VLOOKUP($R137&amp;S$2,$K$3:$N$4001,4,0)),"",VLOOKUP($R137&amp;S$2,$K$3:$N$4001,4,0))</f>
        <v>0.13</v>
      </c>
      <c r="U137" s="108">
        <f>IF(ISNA(VLOOKUP($R137&amp;U$2,$K$3:$N$4001,3,0)),"",VLOOKUP($R137&amp;U$2,$K$3:$N$4001,3,0))</f>
        <v>40056</v>
      </c>
      <c r="V137" s="109">
        <f>IF(ISNA(VLOOKUP($R137&amp;U$2,$K$3:$N$4001,4,0)),"",VLOOKUP($R137&amp;U$2,$K$3:$N$4001,4,0))</f>
        <v>0.15</v>
      </c>
      <c r="W137" s="108">
        <f>IF(ISNA(VLOOKUP($R137&amp;W$2,$K$3:$N$4001,3,0)),"",VLOOKUP($R137&amp;W$2,$K$3:$N$4001,3,0))</f>
        <v>40241</v>
      </c>
      <c r="X137" s="109">
        <f>IF(ISNA(VLOOKUP($R137&amp;W$2,$K$3:$N$4001,4,0)),"",VLOOKUP($R137&amp;W$2,$K$3:$N$4001,4,0))</f>
        <v>0.13500000000000001</v>
      </c>
      <c r="Y137" s="108">
        <f>IF(ISNA(VLOOKUP($R137&amp;Y$2,$K$3:$N$4001,3,0)),"",VLOOKUP($R137&amp;Y$2,$K$3:$N$4001,3,0))</f>
        <v>40421</v>
      </c>
      <c r="Z137" s="109">
        <f>IF(ISNA(VLOOKUP($R137&amp;Y$2,$K$3:$N$4001,4,0)),"",VLOOKUP($R137&amp;Y$2,$K$3:$N$4001,4,0))</f>
        <v>0.16</v>
      </c>
      <c r="AA137" s="108">
        <f>IF(ISNA(VLOOKUP($R137&amp;AA$2,$K$3:$N$4001,3,0)),"",VLOOKUP($R137&amp;AA$2,$K$3:$N$4001,3,0))</f>
        <v>40606</v>
      </c>
      <c r="AB137" s="109">
        <f>IF(ISNA(VLOOKUP($R137&amp;AA$2,$K$3:$N$4001,4,0)),"",VLOOKUP($R137&amp;AA$2,$K$3:$N$4001,4,0))</f>
        <v>0.14000000000000001</v>
      </c>
      <c r="AC137" s="108">
        <f>IF(ISNA(VLOOKUP($R137&amp;AC$2,$K$3:$N$4001,3,0)),"",VLOOKUP($R137&amp;AC$2,$K$3:$N$4001,3,0))</f>
        <v>40786</v>
      </c>
      <c r="AD137" s="109">
        <f>IF(ISNA(VLOOKUP($R137&amp;AC$2,$K$3:$N$4001,4,0)),"",VLOOKUP($R137&amp;AC$2,$K$3:$N$4001,4,0))</f>
        <v>0.18</v>
      </c>
      <c r="AE137" s="108">
        <f>IF(ISNA(VLOOKUP($R137&amp;AE$2,$K$3:$N$4001,3,0)),"",VLOOKUP($R137&amp;AE$2,$K$3:$N$4001,3,0))</f>
        <v>40974</v>
      </c>
      <c r="AF137" s="109">
        <f>IF(ISNA(VLOOKUP($R137&amp;AE$2,$K$3:$N$4001,4,0)),"",VLOOKUP($R137&amp;AE$2,$K$3:$N$4001,4,0))</f>
        <v>0.15</v>
      </c>
      <c r="AG137" s="108">
        <f>IF(ISNA(VLOOKUP($R137&amp;AG$2,$K$3:$N$4001,3,0)),"",VLOOKUP($R137&amp;AG$2,$K$3:$N$4001,3,0))</f>
        <v>41152</v>
      </c>
      <c r="AH137" s="109">
        <f>IF(ISNA(VLOOKUP($R137&amp;AG$2,$K$3:$N$4001,4,0)),"",VLOOKUP($R137&amp;AG$2,$K$3:$N$4001,4,0))</f>
        <v>0.2</v>
      </c>
      <c r="AI137" s="108">
        <f>IF(ISNA(VLOOKUP($R137&amp;AI$2,$K$3:$N$4001,3,0)),"",VLOOKUP($R137&amp;AI$2,$K$3:$N$4001,3,0))</f>
        <v>41339</v>
      </c>
      <c r="AJ137" s="109">
        <f>IF(ISNA(VLOOKUP($R137&amp;AI$2,$K$3:$N$4001,4,0)),"",VLOOKUP($R137&amp;AI$2,$K$3:$N$4001,4,0))</f>
        <v>0.155</v>
      </c>
      <c r="AK137" s="108">
        <f>IF(ISNA(VLOOKUP($R137&amp;AK$2,$K$3:$N$4001,3,0)),"",VLOOKUP($R137&amp;AK$2,$K$3:$N$4001,3,0))</f>
        <v>41519</v>
      </c>
      <c r="AL137" s="109">
        <f>IF(ISNA(VLOOKUP($R137&amp;AK$2,$K$3:$N$4001,4,0)),"",VLOOKUP($R137&amp;AK$2,$K$3:$N$4001,4,0))</f>
        <v>0.215</v>
      </c>
    </row>
    <row r="138" spans="3:38" x14ac:dyDescent="0.2">
      <c r="C138" s="96" t="str">
        <f t="shared" si="8"/>
        <v>AMP3</v>
      </c>
      <c r="D138" s="73" t="s">
        <v>77</v>
      </c>
      <c r="E138" s="100">
        <v>40266</v>
      </c>
      <c r="F138" s="101">
        <v>0.2</v>
      </c>
      <c r="G138" s="96">
        <f t="shared" si="9"/>
        <v>3</v>
      </c>
      <c r="I138" s="96"/>
      <c r="K138" t="str">
        <f t="shared" si="10"/>
        <v>AMP3</v>
      </c>
      <c r="L138" s="73" t="s">
        <v>77</v>
      </c>
      <c r="M138" s="72">
        <v>40266</v>
      </c>
      <c r="N138" s="84">
        <v>0.2</v>
      </c>
      <c r="O138" s="96">
        <f t="shared" si="11"/>
        <v>3</v>
      </c>
      <c r="P138" s="73"/>
      <c r="Q138" s="96"/>
      <c r="R138" s="96" t="s">
        <v>123</v>
      </c>
      <c r="S138" s="106">
        <f>IF(ISNA(VLOOKUP($R138&amp;S$2,$C$3:$F$4001,3,0)),"",VLOOKUP($R138&amp;S$2,$C$3:$F$4001,3,0))</f>
        <v>39988</v>
      </c>
      <c r="T138" s="107">
        <f>IF(ISNA(VLOOKUP($R138&amp;S$2,$C$3:$F$4001,4,0)),"",VLOOKUP($R138&amp;S$2,$C$3:$F$4001,4,0))</f>
        <v>0.14249999999999999</v>
      </c>
      <c r="U138" s="106">
        <f>IF(ISNA(VLOOKUP($R138&amp;U$2,$C$3:$F$4001,3,0)),"",VLOOKUP($R138&amp;U$2,$C$3:$F$4001,3,0))</f>
        <v>40170</v>
      </c>
      <c r="V138" s="107">
        <f>IF(ISNA(VLOOKUP($R138&amp;U$2,$C$3:$F$4001,4,0)),"",VLOOKUP($R138&amp;U$2,$C$3:$F$4001,4,0))</f>
        <v>0.14679999999999999</v>
      </c>
      <c r="W138" s="106">
        <f>IF(ISNA(VLOOKUP($R138&amp;W$2,$C$3:$F$4001,3,0)),"",VLOOKUP($R138&amp;W$2,$C$3:$F$4001,3,0))</f>
        <v>40353</v>
      </c>
      <c r="X138" s="107">
        <f>IF(ISNA(VLOOKUP($R138&amp;W$2,$C$3:$F$4001,4,0)),"",VLOOKUP($R138&amp;W$2,$C$3:$F$4001,4,0))</f>
        <v>0.1482</v>
      </c>
      <c r="Y138" s="106">
        <f>IF(ISNA(VLOOKUP($R138&amp;Y$2,$C$3:$F$4001,3,0)),"",VLOOKUP($R138&amp;Y$2,$C$3:$F$4001,3,0))</f>
        <v>40535</v>
      </c>
      <c r="Z138" s="107">
        <f>IF(ISNA(VLOOKUP($R138&amp;Y$2,$C$3:$F$4001,4,0)),"",VLOOKUP($R138&amp;Y$2,$C$3:$F$4001,4,0))</f>
        <v>0.15229999999999999</v>
      </c>
      <c r="AA138" s="106">
        <f>IF(ISNA(VLOOKUP($R138&amp;AA$2,$C$3:$F$4001,3,0)),"",VLOOKUP($R138&amp;AA$2,$C$3:$F$4001,3,0))</f>
        <v>40718</v>
      </c>
      <c r="AB138" s="107">
        <f>IF(ISNA(VLOOKUP($R138&amp;AA$2,$C$3:$F$4001,4,0)),"",VLOOKUP($R138&amp;AA$2,$C$3:$F$4001,4,0))</f>
        <v>0.1537</v>
      </c>
      <c r="AC138" s="106">
        <f>IF(ISNA(VLOOKUP($R138&amp;AC$2,$C$3:$F$4001,3,0)),"",VLOOKUP($R138&amp;AC$2,$C$3:$F$4001,3,0))</f>
        <v>40899</v>
      </c>
      <c r="AD138" s="107">
        <f>IF(ISNA(VLOOKUP($R138&amp;AC$2,$C$3:$F$4001,4,0)),"",VLOOKUP($R138&amp;AC$2,$C$3:$F$4001,4,0))</f>
        <v>0.1573</v>
      </c>
      <c r="AE138" s="106">
        <f>IF(ISNA(VLOOKUP($R138&amp;AE$2,$C$3:$F$4001,3,0)),"",VLOOKUP($R138&amp;AE$2,$C$3:$F$4001,3,0))</f>
        <v>41085</v>
      </c>
      <c r="AF138" s="107">
        <f>IF(ISNA(VLOOKUP($R138&amp;AE$2,$C$3:$F$4001,4,0)),"",VLOOKUP($R138&amp;AE$2,$C$3:$F$4001,4,0))</f>
        <v>0.15869999999999998</v>
      </c>
      <c r="AG138" s="106">
        <f>IF(ISNA(VLOOKUP($R138&amp;AG$2,$C$3:$F$4001,3,0)),"",VLOOKUP($R138&amp;AG$2,$C$3:$F$4001,3,0))</f>
        <v>41268</v>
      </c>
      <c r="AH138" s="107">
        <f>IF(ISNA(VLOOKUP($R138&amp;AG$2,$C$3:$F$4001,4,0)),"",VLOOKUP($R138&amp;AG$2,$C$3:$F$4001,4,0))</f>
        <v>0.1653</v>
      </c>
      <c r="AI138" s="106">
        <f>IF(ISNA(VLOOKUP($R138&amp;AI$2,$C$3:$F$4001,3,0)),"",VLOOKUP($R138&amp;AI$2,$C$3:$F$4001,3,0))</f>
        <v>41450</v>
      </c>
      <c r="AJ138" s="107">
        <f>IF(ISNA(VLOOKUP($R138&amp;AI$2,$C$3:$F$4001,4,0)),"",VLOOKUP($R138&amp;AI$2,$C$3:$F$4001,4,0))</f>
        <v>0.16670000000000001</v>
      </c>
      <c r="AK138" s="106" t="str">
        <f>IF(ISNA(VLOOKUP($R138&amp;AK$2,$C$3:$F$4001,3,0)),"",VLOOKUP($R138&amp;AK$2,$C$3:$F$4001,3,0))</f>
        <v/>
      </c>
      <c r="AL138" s="107" t="str">
        <f>IF(ISNA(VLOOKUP($R138&amp;AK$2,$C$3:$F$4001,4,0)),"",VLOOKUP($R138&amp;AK$2,$C$3:$F$4001,4,0))</f>
        <v/>
      </c>
    </row>
    <row r="139" spans="3:38" x14ac:dyDescent="0.2">
      <c r="C139" s="96" t="str">
        <f t="shared" si="8"/>
        <v>AMP4</v>
      </c>
      <c r="D139" s="73" t="s">
        <v>77</v>
      </c>
      <c r="E139" s="100">
        <v>40449</v>
      </c>
      <c r="F139" s="101">
        <v>0.2</v>
      </c>
      <c r="G139" s="96">
        <f t="shared" si="9"/>
        <v>4</v>
      </c>
      <c r="I139" s="96"/>
      <c r="K139" t="str">
        <f t="shared" si="10"/>
        <v>AMP4</v>
      </c>
      <c r="L139" s="73" t="s">
        <v>77</v>
      </c>
      <c r="M139" s="72">
        <v>40449</v>
      </c>
      <c r="N139" s="84">
        <v>0.2</v>
      </c>
      <c r="O139" s="96">
        <f t="shared" si="11"/>
        <v>4</v>
      </c>
      <c r="P139" s="73"/>
      <c r="Q139" s="96"/>
      <c r="R139" s="96" t="str">
        <f>R138</f>
        <v>DUE</v>
      </c>
      <c r="S139" s="108">
        <f>IF(ISNA(VLOOKUP($R139&amp;S$2,$K$3:$N$4001,3,0)),"",VLOOKUP($R139&amp;S$2,$K$3:$N$4001,3,0))</f>
        <v>39988</v>
      </c>
      <c r="T139" s="109">
        <f>IF(ISNA(VLOOKUP($R139&amp;S$2,$K$3:$N$4001,4,0)),"",VLOOKUP($R139&amp;S$2,$K$3:$N$4001,4,0))</f>
        <v>0.14249999999999999</v>
      </c>
      <c r="U139" s="108">
        <f>IF(ISNA(VLOOKUP($R139&amp;U$2,$K$3:$N$4001,3,0)),"",VLOOKUP($R139&amp;U$2,$K$3:$N$4001,3,0))</f>
        <v>40170</v>
      </c>
      <c r="V139" s="109">
        <f>IF(ISNA(VLOOKUP($R139&amp;U$2,$K$3:$N$4001,4,0)),"",VLOOKUP($R139&amp;U$2,$K$3:$N$4001,4,0))</f>
        <v>0.14679999999999999</v>
      </c>
      <c r="W139" s="108">
        <f>IF(ISNA(VLOOKUP($R139&amp;W$2,$K$3:$N$4001,3,0)),"",VLOOKUP($R139&amp;W$2,$K$3:$N$4001,3,0))</f>
        <v>40353</v>
      </c>
      <c r="X139" s="109">
        <f>IF(ISNA(VLOOKUP($R139&amp;W$2,$K$3:$N$4001,4,0)),"",VLOOKUP($R139&amp;W$2,$K$3:$N$4001,4,0))</f>
        <v>0.1482</v>
      </c>
      <c r="Y139" s="108">
        <f>IF(ISNA(VLOOKUP($R139&amp;Y$2,$K$3:$N$4001,3,0)),"",VLOOKUP($R139&amp;Y$2,$K$3:$N$4001,3,0))</f>
        <v>40535</v>
      </c>
      <c r="Z139" s="109">
        <f>IF(ISNA(VLOOKUP($R139&amp;Y$2,$K$3:$N$4001,4,0)),"",VLOOKUP($R139&amp;Y$2,$K$3:$N$4001,4,0))</f>
        <v>0.15229999999999999</v>
      </c>
      <c r="AA139" s="108">
        <f>IF(ISNA(VLOOKUP($R139&amp;AA$2,$K$3:$N$4001,3,0)),"",VLOOKUP($R139&amp;AA$2,$K$3:$N$4001,3,0))</f>
        <v>40718</v>
      </c>
      <c r="AB139" s="109">
        <f>IF(ISNA(VLOOKUP($R139&amp;AA$2,$K$3:$N$4001,4,0)),"",VLOOKUP($R139&amp;AA$2,$K$3:$N$4001,4,0))</f>
        <v>0.1537</v>
      </c>
      <c r="AC139" s="108">
        <f>IF(ISNA(VLOOKUP($R139&amp;AC$2,$K$3:$N$4001,3,0)),"",VLOOKUP($R139&amp;AC$2,$K$3:$N$4001,3,0))</f>
        <v>40899</v>
      </c>
      <c r="AD139" s="109">
        <f>IF(ISNA(VLOOKUP($R139&amp;AC$2,$K$3:$N$4001,4,0)),"",VLOOKUP($R139&amp;AC$2,$K$3:$N$4001,4,0))</f>
        <v>0.1573</v>
      </c>
      <c r="AE139" s="108">
        <f>IF(ISNA(VLOOKUP($R139&amp;AE$2,$K$3:$N$4001,3,0)),"",VLOOKUP($R139&amp;AE$2,$K$3:$N$4001,3,0))</f>
        <v>41085</v>
      </c>
      <c r="AF139" s="109">
        <f>IF(ISNA(VLOOKUP($R139&amp;AE$2,$K$3:$N$4001,4,0)),"",VLOOKUP($R139&amp;AE$2,$K$3:$N$4001,4,0))</f>
        <v>0.15869999999999998</v>
      </c>
      <c r="AG139" s="108">
        <f>IF(ISNA(VLOOKUP($R139&amp;AG$2,$K$3:$N$4001,3,0)),"",VLOOKUP($R139&amp;AG$2,$K$3:$N$4001,3,0))</f>
        <v>41268</v>
      </c>
      <c r="AH139" s="109">
        <f>IF(ISNA(VLOOKUP($R139&amp;AG$2,$K$3:$N$4001,4,0)),"",VLOOKUP($R139&amp;AG$2,$K$3:$N$4001,4,0))</f>
        <v>0.1653</v>
      </c>
      <c r="AI139" s="108">
        <f>IF(ISNA(VLOOKUP($R139&amp;AI$2,$K$3:$N$4001,3,0)),"",VLOOKUP($R139&amp;AI$2,$K$3:$N$4001,3,0))</f>
        <v>41450</v>
      </c>
      <c r="AJ139" s="109">
        <f>IF(ISNA(VLOOKUP($R139&amp;AI$2,$K$3:$N$4001,4,0)),"",VLOOKUP($R139&amp;AI$2,$K$3:$N$4001,4,0))</f>
        <v>0.16670000000000001</v>
      </c>
      <c r="AK139" s="108" t="str">
        <f>IF(ISNA(VLOOKUP($R139&amp;AK$2,$K$3:$N$4001,3,0)),"",VLOOKUP($R139&amp;AK$2,$K$3:$N$4001,3,0))</f>
        <v/>
      </c>
      <c r="AL139" s="109" t="str">
        <f>IF(ISNA(VLOOKUP($R139&amp;AK$2,$K$3:$N$4001,4,0)),"",VLOOKUP($R139&amp;AK$2,$K$3:$N$4001,4,0))</f>
        <v/>
      </c>
    </row>
    <row r="140" spans="3:38" x14ac:dyDescent="0.2">
      <c r="C140" s="96" t="str">
        <f t="shared" si="8"/>
        <v>AMP5</v>
      </c>
      <c r="D140" s="73" t="s">
        <v>77</v>
      </c>
      <c r="E140" s="100">
        <v>40630</v>
      </c>
      <c r="F140" s="101">
        <v>0.22</v>
      </c>
      <c r="G140" s="96">
        <f t="shared" si="9"/>
        <v>5</v>
      </c>
      <c r="I140" s="96"/>
      <c r="K140" t="str">
        <f t="shared" si="10"/>
        <v>AMP5</v>
      </c>
      <c r="L140" s="73" t="s">
        <v>77</v>
      </c>
      <c r="M140" s="72">
        <v>40630</v>
      </c>
      <c r="N140" s="84">
        <v>0.22</v>
      </c>
      <c r="O140" s="96">
        <f t="shared" si="11"/>
        <v>5</v>
      </c>
      <c r="P140" s="73"/>
      <c r="Q140" s="96"/>
      <c r="R140" s="96" t="s">
        <v>126</v>
      </c>
      <c r="S140" s="106">
        <f>IF(ISNA(VLOOKUP($R140&amp;S$2,$C$3:$F$4001,3,0)),"",VLOOKUP($R140&amp;S$2,$C$3:$F$4001,3,0))</f>
        <v>39875</v>
      </c>
      <c r="T140" s="107">
        <f>IF(ISNA(VLOOKUP($R140&amp;S$2,$C$3:$F$4001,4,0)),"",VLOOKUP($R140&amp;S$2,$C$3:$F$4001,4,0))</f>
        <v>0.02</v>
      </c>
      <c r="U140" s="106">
        <f>IF(ISNA(VLOOKUP($R140&amp;U$2,$C$3:$F$4001,3,0)),"",VLOOKUP($R140&amp;U$2,$C$3:$F$4001,3,0))</f>
        <v>40057</v>
      </c>
      <c r="V140" s="107">
        <f>IF(ISNA(VLOOKUP($R140&amp;U$2,$C$3:$F$4001,4,0)),"",VLOOKUP($R140&amp;U$2,$C$3:$F$4001,4,0))</f>
        <v>2.5000000000000001E-2</v>
      </c>
      <c r="W140" s="106">
        <f>IF(ISNA(VLOOKUP($R140&amp;W$2,$C$3:$F$4001,3,0)),"",VLOOKUP($R140&amp;W$2,$C$3:$F$4001,3,0))</f>
        <v>40241</v>
      </c>
      <c r="X140" s="107">
        <f>IF(ISNA(VLOOKUP($R140&amp;W$2,$C$3:$F$4001,4,0)),"",VLOOKUP($R140&amp;W$2,$C$3:$F$4001,4,0))</f>
        <v>2.35E-2</v>
      </c>
      <c r="Y140" s="106">
        <f>IF(ISNA(VLOOKUP($R140&amp;Y$2,$C$3:$F$4001,3,0)),"",VLOOKUP($R140&amp;Y$2,$C$3:$F$4001,3,0))</f>
        <v>40422</v>
      </c>
      <c r="Z140" s="107">
        <f>IF(ISNA(VLOOKUP($R140&amp;Y$2,$C$3:$F$4001,4,0)),"",VLOOKUP($R140&amp;Y$2,$C$3:$F$4001,4,0))</f>
        <v>2.9500000000000002E-2</v>
      </c>
      <c r="AA140" s="106">
        <f>IF(ISNA(VLOOKUP($R140&amp;AA$2,$C$3:$F$4001,3,0)),"",VLOOKUP($R140&amp;AA$2,$C$3:$F$4001,3,0))</f>
        <v>40606</v>
      </c>
      <c r="AB140" s="107">
        <f>IF(ISNA(VLOOKUP($R140&amp;AA$2,$C$3:$F$4001,4,0)),"",VLOOKUP($R140&amp;AA$2,$C$3:$F$4001,4,0))</f>
        <v>2.4399999999999998E-2</v>
      </c>
      <c r="AC140" s="106">
        <f>IF(ISNA(VLOOKUP($R140&amp;AC$2,$C$3:$F$4001,3,0)),"",VLOOKUP($R140&amp;AC$2,$C$3:$F$4001,3,0))</f>
        <v>40787</v>
      </c>
      <c r="AD140" s="107">
        <f>IF(ISNA(VLOOKUP($R140&amp;AC$2,$C$3:$F$4001,4,0)),"",VLOOKUP($R140&amp;AC$2,$C$3:$F$4001,4,0))</f>
        <v>3.0600000000000002E-2</v>
      </c>
      <c r="AE140" s="106">
        <f>IF(ISNA(VLOOKUP($R140&amp;AE$2,$C$3:$F$4001,3,0)),"",VLOOKUP($R140&amp;AE$2,$C$3:$F$4001,3,0))</f>
        <v>40974</v>
      </c>
      <c r="AF140" s="107">
        <f>IF(ISNA(VLOOKUP($R140&amp;AE$2,$C$3:$F$4001,4,0)),"",VLOOKUP($R140&amp;AE$2,$C$3:$F$4001,4,0))</f>
        <v>3.0099999999999998E-2</v>
      </c>
      <c r="AG140" s="106">
        <f>IF(ISNA(VLOOKUP($R140&amp;AG$2,$C$3:$F$4001,3,0)),"",VLOOKUP($R140&amp;AG$2,$C$3:$F$4001,3,0))</f>
        <v>41155</v>
      </c>
      <c r="AH140" s="107">
        <f>IF(ISNA(VLOOKUP($R140&amp;AG$2,$C$3:$F$4001,4,0)),"",VLOOKUP($R140&amp;AG$2,$C$3:$F$4001,4,0))</f>
        <v>3.7900000000000003E-2</v>
      </c>
      <c r="AI140" s="106">
        <f>IF(ISNA(VLOOKUP($R140&amp;AI$2,$C$3:$F$4001,3,0)),"",VLOOKUP($R140&amp;AI$2,$C$3:$F$4001,3,0))</f>
        <v>41339</v>
      </c>
      <c r="AJ140" s="107">
        <f>IF(ISNA(VLOOKUP($R140&amp;AI$2,$C$3:$F$4001,4,0)),"",VLOOKUP($R140&amp;AI$2,$C$3:$F$4001,4,0))</f>
        <v>3.2000000000000001E-2</v>
      </c>
      <c r="AK140" s="106">
        <f>IF(ISNA(VLOOKUP($R140&amp;AK$2,$C$3:$F$4001,3,0)),"",VLOOKUP($R140&amp;AK$2,$C$3:$F$4001,3,0))</f>
        <v>41520</v>
      </c>
      <c r="AL140" s="107">
        <f>IF(ISNA(VLOOKUP($R140&amp;AK$2,$C$3:$F$4001,4,0)),"",VLOOKUP($R140&amp;AK$2,$C$3:$F$4001,4,0))</f>
        <v>0.04</v>
      </c>
    </row>
    <row r="141" spans="3:38" x14ac:dyDescent="0.2">
      <c r="C141" s="96" t="str">
        <f t="shared" si="8"/>
        <v>AMP6</v>
      </c>
      <c r="D141" s="73" t="s">
        <v>77</v>
      </c>
      <c r="E141" s="100">
        <v>40815</v>
      </c>
      <c r="F141" s="101">
        <v>0.22</v>
      </c>
      <c r="G141" s="96">
        <f t="shared" si="9"/>
        <v>6</v>
      </c>
      <c r="I141" s="96"/>
      <c r="K141" t="str">
        <f t="shared" si="10"/>
        <v>AMP6</v>
      </c>
      <c r="L141" s="73" t="s">
        <v>77</v>
      </c>
      <c r="M141" s="72">
        <v>40815</v>
      </c>
      <c r="N141" s="84">
        <v>0.22</v>
      </c>
      <c r="O141" s="96">
        <f t="shared" si="11"/>
        <v>6</v>
      </c>
      <c r="P141" s="73"/>
      <c r="Q141" s="96"/>
      <c r="R141" s="96" t="str">
        <f>R140</f>
        <v>EHL</v>
      </c>
      <c r="S141" s="108">
        <f>IF(ISNA(VLOOKUP($R141&amp;S$2,$K$3:$N$4001,3,0)),"",VLOOKUP($R141&amp;S$2,$K$3:$N$4001,3,0))</f>
        <v>39875</v>
      </c>
      <c r="T141" s="109">
        <f>IF(ISNA(VLOOKUP($R141&amp;S$2,$K$3:$N$4001,4,0)),"",VLOOKUP($R141&amp;S$2,$K$3:$N$4001,4,0))</f>
        <v>0.02</v>
      </c>
      <c r="U141" s="108">
        <f>IF(ISNA(VLOOKUP($R141&amp;U$2,$K$3:$N$4001,3,0)),"",VLOOKUP($R141&amp;U$2,$K$3:$N$4001,3,0))</f>
        <v>40057</v>
      </c>
      <c r="V141" s="109">
        <f>IF(ISNA(VLOOKUP($R141&amp;U$2,$K$3:$N$4001,4,0)),"",VLOOKUP($R141&amp;U$2,$K$3:$N$4001,4,0))</f>
        <v>2.5000000000000001E-2</v>
      </c>
      <c r="W141" s="108">
        <f>IF(ISNA(VLOOKUP($R141&amp;W$2,$K$3:$N$4001,3,0)),"",VLOOKUP($R141&amp;W$2,$K$3:$N$4001,3,0))</f>
        <v>40241</v>
      </c>
      <c r="X141" s="109">
        <f>IF(ISNA(VLOOKUP($R141&amp;W$2,$K$3:$N$4001,4,0)),"",VLOOKUP($R141&amp;W$2,$K$3:$N$4001,4,0))</f>
        <v>2.35E-2</v>
      </c>
      <c r="Y141" s="108">
        <f>IF(ISNA(VLOOKUP($R141&amp;Y$2,$K$3:$N$4001,3,0)),"",VLOOKUP($R141&amp;Y$2,$K$3:$N$4001,3,0))</f>
        <v>40422</v>
      </c>
      <c r="Z141" s="109">
        <f>IF(ISNA(VLOOKUP($R141&amp;Y$2,$K$3:$N$4001,4,0)),"",VLOOKUP($R141&amp;Y$2,$K$3:$N$4001,4,0))</f>
        <v>2.9500000000000002E-2</v>
      </c>
      <c r="AA141" s="108">
        <f>IF(ISNA(VLOOKUP($R141&amp;AA$2,$K$3:$N$4001,3,0)),"",VLOOKUP($R141&amp;AA$2,$K$3:$N$4001,3,0))</f>
        <v>40606</v>
      </c>
      <c r="AB141" s="109">
        <f>IF(ISNA(VLOOKUP($R141&amp;AA$2,$K$3:$N$4001,4,0)),"",VLOOKUP($R141&amp;AA$2,$K$3:$N$4001,4,0))</f>
        <v>2.4399999999999998E-2</v>
      </c>
      <c r="AC141" s="108">
        <f>IF(ISNA(VLOOKUP($R141&amp;AC$2,$K$3:$N$4001,3,0)),"",VLOOKUP($R141&amp;AC$2,$K$3:$N$4001,3,0))</f>
        <v>40787</v>
      </c>
      <c r="AD141" s="109">
        <f>IF(ISNA(VLOOKUP($R141&amp;AC$2,$K$3:$N$4001,4,0)),"",VLOOKUP($R141&amp;AC$2,$K$3:$N$4001,4,0))</f>
        <v>3.0600000000000002E-2</v>
      </c>
      <c r="AE141" s="108">
        <f>IF(ISNA(VLOOKUP($R141&amp;AE$2,$K$3:$N$4001,3,0)),"",VLOOKUP($R141&amp;AE$2,$K$3:$N$4001,3,0))</f>
        <v>40974</v>
      </c>
      <c r="AF141" s="109">
        <f>IF(ISNA(VLOOKUP($R141&amp;AE$2,$K$3:$N$4001,4,0)),"",VLOOKUP($R141&amp;AE$2,$K$3:$N$4001,4,0))</f>
        <v>3.0099999999999998E-2</v>
      </c>
      <c r="AG141" s="108">
        <f>IF(ISNA(VLOOKUP($R141&amp;AG$2,$K$3:$N$4001,3,0)),"",VLOOKUP($R141&amp;AG$2,$K$3:$N$4001,3,0))</f>
        <v>41155</v>
      </c>
      <c r="AH141" s="109">
        <f>IF(ISNA(VLOOKUP($R141&amp;AG$2,$K$3:$N$4001,4,0)),"",VLOOKUP($R141&amp;AG$2,$K$3:$N$4001,4,0))</f>
        <v>3.7900000000000003E-2</v>
      </c>
      <c r="AI141" s="108">
        <f>IF(ISNA(VLOOKUP($R141&amp;AI$2,$K$3:$N$4001,3,0)),"",VLOOKUP($R141&amp;AI$2,$K$3:$N$4001,3,0))</f>
        <v>41339</v>
      </c>
      <c r="AJ141" s="109">
        <f>IF(ISNA(VLOOKUP($R141&amp;AI$2,$K$3:$N$4001,4,0)),"",VLOOKUP($R141&amp;AI$2,$K$3:$N$4001,4,0))</f>
        <v>3.2000000000000001E-2</v>
      </c>
      <c r="AK141" s="108">
        <f>IF(ISNA(VLOOKUP($R141&amp;AK$2,$K$3:$N$4001,3,0)),"",VLOOKUP($R141&amp;AK$2,$K$3:$N$4001,3,0))</f>
        <v>41520</v>
      </c>
      <c r="AL141" s="109">
        <f>IF(ISNA(VLOOKUP($R141&amp;AK$2,$K$3:$N$4001,4,0)),"",VLOOKUP($R141&amp;AK$2,$K$3:$N$4001,4,0))</f>
        <v>0.04</v>
      </c>
    </row>
    <row r="142" spans="3:38" x14ac:dyDescent="0.2">
      <c r="C142" s="96" t="str">
        <f t="shared" si="8"/>
        <v>AMP7</v>
      </c>
      <c r="D142" s="73" t="s">
        <v>77</v>
      </c>
      <c r="E142" s="100">
        <v>40995</v>
      </c>
      <c r="F142" s="101">
        <v>0.24</v>
      </c>
      <c r="G142" s="96">
        <f t="shared" si="9"/>
        <v>7</v>
      </c>
      <c r="I142" s="96"/>
      <c r="K142" t="str">
        <f t="shared" si="10"/>
        <v>AMP7</v>
      </c>
      <c r="L142" s="73" t="s">
        <v>77</v>
      </c>
      <c r="M142" s="72">
        <v>40995</v>
      </c>
      <c r="N142" s="84">
        <v>0.24</v>
      </c>
      <c r="O142" s="96">
        <f t="shared" si="11"/>
        <v>7</v>
      </c>
      <c r="P142" s="73"/>
      <c r="Q142" s="96"/>
      <c r="R142" s="96" t="s">
        <v>128</v>
      </c>
      <c r="S142" s="106">
        <f>IF(ISNA(VLOOKUP($R142&amp;S$2,$C$3:$F$4001,3,0)),"",VLOOKUP($R142&amp;S$2,$C$3:$F$4001,3,0))</f>
        <v>39853</v>
      </c>
      <c r="T142" s="107">
        <f>IF(ISNA(VLOOKUP($R142&amp;S$2,$C$3:$F$4001,4,0)),"",VLOOKUP($R142&amp;S$2,$C$3:$F$4001,4,0))</f>
        <v>0.2</v>
      </c>
      <c r="U142" s="106">
        <f>IF(ISNA(VLOOKUP($R142&amp;U$2,$C$3:$F$4001,3,0)),"",VLOOKUP($R142&amp;U$2,$C$3:$F$4001,3,0))</f>
        <v>40045</v>
      </c>
      <c r="V142" s="107">
        <f>IF(ISNA(VLOOKUP($R142&amp;U$2,$C$3:$F$4001,4,0)),"",VLOOKUP($R142&amp;U$2,$C$3:$F$4001,4,0))</f>
        <v>0.1</v>
      </c>
      <c r="W142" s="106">
        <f>IF(ISNA(VLOOKUP($R142&amp;W$2,$C$3:$F$4001,3,0)),"",VLOOKUP($R142&amp;W$2,$C$3:$F$4001,3,0))</f>
        <v>40219</v>
      </c>
      <c r="X142" s="107">
        <f>IF(ISNA(VLOOKUP($R142&amp;W$2,$C$3:$F$4001,4,0)),"",VLOOKUP($R142&amp;W$2,$C$3:$F$4001,4,0))</f>
        <v>0.22</v>
      </c>
      <c r="Y142" s="106">
        <f>IF(ISNA(VLOOKUP($R142&amp;Y$2,$C$3:$F$4001,3,0)),"",VLOOKUP($R142&amp;Y$2,$C$3:$F$4001,3,0))</f>
        <v>40410</v>
      </c>
      <c r="Z142" s="107">
        <f>IF(ISNA(VLOOKUP($R142&amp;Y$2,$C$3:$F$4001,4,0)),"",VLOOKUP($R142&amp;Y$2,$C$3:$F$4001,4,0))</f>
        <v>0.12</v>
      </c>
      <c r="AA142" s="106">
        <f>IF(ISNA(VLOOKUP($R142&amp;AA$2,$C$3:$F$4001,3,0)),"",VLOOKUP($R142&amp;AA$2,$C$3:$F$4001,3,0))</f>
        <v>40584</v>
      </c>
      <c r="AB142" s="107">
        <f>IF(ISNA(VLOOKUP($R142&amp;AA$2,$C$3:$F$4001,4,0)),"",VLOOKUP($R142&amp;AA$2,$C$3:$F$4001,4,0))</f>
        <v>0.24</v>
      </c>
      <c r="AC142" s="106">
        <f>IF(ISNA(VLOOKUP($R142&amp;AC$2,$C$3:$F$4001,3,0)),"",VLOOKUP($R142&amp;AC$2,$C$3:$F$4001,3,0))</f>
        <v>40777</v>
      </c>
      <c r="AD142" s="107">
        <f>IF(ISNA(VLOOKUP($R142&amp;AC$2,$C$3:$F$4001,4,0)),"",VLOOKUP($R142&amp;AC$2,$C$3:$F$4001,4,0))</f>
        <v>0.15</v>
      </c>
      <c r="AE142" s="106">
        <f>IF(ISNA(VLOOKUP($R142&amp;AE$2,$C$3:$F$4001,3,0)),"",VLOOKUP($R142&amp;AE$2,$C$3:$F$4001,3,0))</f>
        <v>40949</v>
      </c>
      <c r="AF142" s="107">
        <f>IF(ISNA(VLOOKUP($R142&amp;AE$2,$C$3:$F$4001,4,0)),"",VLOOKUP($R142&amp;AE$2,$C$3:$F$4001,4,0))</f>
        <v>0.27</v>
      </c>
      <c r="AG142" s="106">
        <f>IF(ISNA(VLOOKUP($R142&amp;AG$2,$C$3:$F$4001,3,0)),"",VLOOKUP($R142&amp;AG$2,$C$3:$F$4001,3,0))</f>
        <v>41142</v>
      </c>
      <c r="AH142" s="107">
        <f>IF(ISNA(VLOOKUP($R142&amp;AG$2,$C$3:$F$4001,4,0)),"",VLOOKUP($R142&amp;AG$2,$C$3:$F$4001,4,0))</f>
        <v>0.18</v>
      </c>
      <c r="AI142" s="106">
        <f>IF(ISNA(VLOOKUP($R142&amp;AI$2,$C$3:$F$4001,3,0)),"",VLOOKUP($R142&amp;AI$2,$C$3:$F$4001,3,0))</f>
        <v>41317</v>
      </c>
      <c r="AJ142" s="107">
        <f>IF(ISNA(VLOOKUP($R142&amp;AI$2,$C$3:$F$4001,4,0)),"",VLOOKUP($R142&amp;AI$2,$C$3:$F$4001,4,0))</f>
        <v>0.3</v>
      </c>
      <c r="AK142" s="106">
        <f>IF(ISNA(VLOOKUP($R142&amp;AK$2,$C$3:$F$4001,3,0)),"",VLOOKUP($R142&amp;AK$2,$C$3:$F$4001,3,0))</f>
        <v>41507</v>
      </c>
      <c r="AL142" s="107">
        <f>IF(ISNA(VLOOKUP($R142&amp;AK$2,$C$3:$F$4001,4,0)),"",VLOOKUP($R142&amp;AK$2,$C$3:$F$4001,4,0))</f>
        <v>0.22500000000000001</v>
      </c>
    </row>
    <row r="143" spans="3:38" x14ac:dyDescent="0.2">
      <c r="C143" s="96" t="str">
        <f t="shared" si="8"/>
        <v>AMP8</v>
      </c>
      <c r="D143" s="73" t="s">
        <v>77</v>
      </c>
      <c r="E143" s="100">
        <v>41183</v>
      </c>
      <c r="F143" s="101">
        <v>0.25</v>
      </c>
      <c r="G143" s="96">
        <f t="shared" si="9"/>
        <v>8</v>
      </c>
      <c r="I143" s="96"/>
      <c r="K143" t="str">
        <f t="shared" si="10"/>
        <v>AMP8</v>
      </c>
      <c r="L143" s="73" t="s">
        <v>77</v>
      </c>
      <c r="M143" s="72">
        <v>41183</v>
      </c>
      <c r="N143" s="84">
        <v>0.25</v>
      </c>
      <c r="O143" s="96">
        <f t="shared" si="11"/>
        <v>8</v>
      </c>
      <c r="P143" s="73"/>
      <c r="Q143" s="96"/>
      <c r="R143" s="96" t="str">
        <f>R142</f>
        <v>ERA</v>
      </c>
      <c r="S143" s="108">
        <f>IF(ISNA(VLOOKUP($R143&amp;S$2,$K$3:$N$4001,3,0)),"",VLOOKUP($R143&amp;S$2,$K$3:$N$4001,3,0))</f>
        <v>39853</v>
      </c>
      <c r="T143" s="109">
        <f>IF(ISNA(VLOOKUP($R143&amp;S$2,$K$3:$N$4001,4,0)),"",VLOOKUP($R143&amp;S$2,$K$3:$N$4001,4,0))</f>
        <v>0.2</v>
      </c>
      <c r="U143" s="108">
        <f>IF(ISNA(VLOOKUP($R143&amp;U$2,$K$3:$N$4001,3,0)),"",VLOOKUP($R143&amp;U$2,$K$3:$N$4001,3,0))</f>
        <v>40045</v>
      </c>
      <c r="V143" s="109">
        <f>IF(ISNA(VLOOKUP($R143&amp;U$2,$K$3:$N$4001,4,0)),"",VLOOKUP($R143&amp;U$2,$K$3:$N$4001,4,0))</f>
        <v>0.1</v>
      </c>
      <c r="W143" s="108">
        <f>IF(ISNA(VLOOKUP($R143&amp;W$2,$K$3:$N$4001,3,0)),"",VLOOKUP($R143&amp;W$2,$K$3:$N$4001,3,0))</f>
        <v>40219</v>
      </c>
      <c r="X143" s="109">
        <f>IF(ISNA(VLOOKUP($R143&amp;W$2,$K$3:$N$4001,4,0)),"",VLOOKUP($R143&amp;W$2,$K$3:$N$4001,4,0))</f>
        <v>0.22</v>
      </c>
      <c r="Y143" s="108">
        <f>IF(ISNA(VLOOKUP($R143&amp;Y$2,$K$3:$N$4001,3,0)),"",VLOOKUP($R143&amp;Y$2,$K$3:$N$4001,3,0))</f>
        <v>40410</v>
      </c>
      <c r="Z143" s="109">
        <f>IF(ISNA(VLOOKUP($R143&amp;Y$2,$K$3:$N$4001,4,0)),"",VLOOKUP($R143&amp;Y$2,$K$3:$N$4001,4,0))</f>
        <v>0.12</v>
      </c>
      <c r="AA143" s="108">
        <f>IF(ISNA(VLOOKUP($R143&amp;AA$2,$K$3:$N$4001,3,0)),"",VLOOKUP($R143&amp;AA$2,$K$3:$N$4001,3,0))</f>
        <v>40584</v>
      </c>
      <c r="AB143" s="109">
        <f>IF(ISNA(VLOOKUP($R143&amp;AA$2,$K$3:$N$4001,4,0)),"",VLOOKUP($R143&amp;AA$2,$K$3:$N$4001,4,0))</f>
        <v>0.24</v>
      </c>
      <c r="AC143" s="108">
        <f>IF(ISNA(VLOOKUP($R143&amp;AC$2,$K$3:$N$4001,3,0)),"",VLOOKUP($R143&amp;AC$2,$K$3:$N$4001,3,0))</f>
        <v>40777</v>
      </c>
      <c r="AD143" s="109">
        <f>IF(ISNA(VLOOKUP($R143&amp;AC$2,$K$3:$N$4001,4,0)),"",VLOOKUP($R143&amp;AC$2,$K$3:$N$4001,4,0))</f>
        <v>0.15</v>
      </c>
      <c r="AE143" s="108">
        <f>IF(ISNA(VLOOKUP($R143&amp;AE$2,$K$3:$N$4001,3,0)),"",VLOOKUP($R143&amp;AE$2,$K$3:$N$4001,3,0))</f>
        <v>40949</v>
      </c>
      <c r="AF143" s="109">
        <f>IF(ISNA(VLOOKUP($R143&amp;AE$2,$K$3:$N$4001,4,0)),"",VLOOKUP($R143&amp;AE$2,$K$3:$N$4001,4,0))</f>
        <v>0.27</v>
      </c>
      <c r="AG143" s="108">
        <f>IF(ISNA(VLOOKUP($R143&amp;AG$2,$K$3:$N$4001,3,0)),"",VLOOKUP($R143&amp;AG$2,$K$3:$N$4001,3,0))</f>
        <v>41142</v>
      </c>
      <c r="AH143" s="109">
        <f>IF(ISNA(VLOOKUP($R143&amp;AG$2,$K$3:$N$4001,4,0)),"",VLOOKUP($R143&amp;AG$2,$K$3:$N$4001,4,0))</f>
        <v>0.18</v>
      </c>
      <c r="AI143" s="108">
        <f>IF(ISNA(VLOOKUP($R143&amp;AI$2,$K$3:$N$4001,3,0)),"",VLOOKUP($R143&amp;AI$2,$K$3:$N$4001,3,0))</f>
        <v>41317</v>
      </c>
      <c r="AJ143" s="109">
        <f>IF(ISNA(VLOOKUP($R143&amp;AI$2,$K$3:$N$4001,4,0)),"",VLOOKUP($R143&amp;AI$2,$K$3:$N$4001,4,0))</f>
        <v>0.3</v>
      </c>
      <c r="AK143" s="108">
        <f>IF(ISNA(VLOOKUP($R143&amp;AK$2,$K$3:$N$4001,3,0)),"",VLOOKUP($R143&amp;AK$2,$K$3:$N$4001,3,0))</f>
        <v>41507</v>
      </c>
      <c r="AL143" s="109">
        <f>IF(ISNA(VLOOKUP($R143&amp;AK$2,$K$3:$N$4001,4,0)),"",VLOOKUP($R143&amp;AK$2,$K$3:$N$4001,4,0))</f>
        <v>0.22500000000000001</v>
      </c>
    </row>
    <row r="144" spans="3:38" x14ac:dyDescent="0.2">
      <c r="C144" s="96" t="str">
        <f t="shared" si="8"/>
        <v>AMP9</v>
      </c>
      <c r="D144" s="73" t="s">
        <v>77</v>
      </c>
      <c r="E144" s="100">
        <v>41360</v>
      </c>
      <c r="F144" s="101">
        <v>0.28000000000000003</v>
      </c>
      <c r="G144" s="96">
        <f t="shared" si="9"/>
        <v>9</v>
      </c>
      <c r="I144" s="96"/>
      <c r="K144" t="str">
        <f t="shared" si="10"/>
        <v>AMP9</v>
      </c>
      <c r="L144" s="73" t="s">
        <v>77</v>
      </c>
      <c r="M144" s="72">
        <v>41360</v>
      </c>
      <c r="N144" s="84">
        <v>0.28000000000000003</v>
      </c>
      <c r="O144" s="96">
        <f t="shared" si="11"/>
        <v>9</v>
      </c>
      <c r="P144" s="73"/>
      <c r="Q144" s="96"/>
      <c r="R144" s="96" t="s">
        <v>127</v>
      </c>
      <c r="S144" s="106">
        <f>IF(ISNA(VLOOKUP($R144&amp;S$2,$C$3:$F$4001,3,0)),"",VLOOKUP($R144&amp;S$2,$C$3:$F$4001,3,0))</f>
        <v>39939</v>
      </c>
      <c r="T144" s="107">
        <f>IF(ISNA(VLOOKUP($R144&amp;S$2,$C$3:$F$4001,4,0)),"",VLOOKUP($R144&amp;S$2,$C$3:$F$4001,4,0))</f>
        <v>2.75E-2</v>
      </c>
      <c r="U144" s="106">
        <f>IF(ISNA(VLOOKUP($R144&amp;U$2,$C$3:$F$4001,3,0)),"",VLOOKUP($R144&amp;U$2,$C$3:$F$4001,3,0))</f>
        <v>40126</v>
      </c>
      <c r="V144" s="107">
        <f>IF(ISNA(VLOOKUP($R144&amp;U$2,$C$3:$F$4001,4,0)),"",VLOOKUP($R144&amp;U$2,$C$3:$F$4001,4,0))</f>
        <v>2.75E-2</v>
      </c>
      <c r="W144" s="106">
        <f>IF(ISNA(VLOOKUP($R144&amp;W$2,$C$3:$F$4001,3,0)),"",VLOOKUP($R144&amp;W$2,$C$3:$F$4001,3,0))</f>
        <v>40304</v>
      </c>
      <c r="X144" s="107">
        <f>IF(ISNA(VLOOKUP($R144&amp;W$2,$C$3:$F$4001,4,0)),"",VLOOKUP($R144&amp;W$2,$C$3:$F$4001,4,0))</f>
        <v>3.5000000000000003E-2</v>
      </c>
      <c r="Y144" s="106">
        <f>IF(ISNA(VLOOKUP($R144&amp;Y$2,$C$3:$F$4001,3,0)),"",VLOOKUP($R144&amp;Y$2,$C$3:$F$4001,3,0))</f>
        <v>40492</v>
      </c>
      <c r="Z144" s="107">
        <f>IF(ISNA(VLOOKUP($R144&amp;Y$2,$C$3:$F$4001,4,0)),"",VLOOKUP($R144&amp;Y$2,$C$3:$F$4001,4,0))</f>
        <v>2.64E-2</v>
      </c>
      <c r="AA144" s="106">
        <f>IF(ISNA(VLOOKUP($R144&amp;AA$2,$C$3:$F$4001,3,0)),"",VLOOKUP($R144&amp;AA$2,$C$3:$F$4001,3,0))</f>
        <v>40669</v>
      </c>
      <c r="AB144" s="107">
        <f>IF(ISNA(VLOOKUP($R144&amp;AA$2,$C$3:$F$4001,4,0)),"",VLOOKUP($R144&amp;AA$2,$C$3:$F$4001,4,0))</f>
        <v>3.3599999999999998E-2</v>
      </c>
      <c r="AC144" s="106">
        <f>IF(ISNA(VLOOKUP($R144&amp;AC$2,$C$3:$F$4001,3,0)),"",VLOOKUP($R144&amp;AC$2,$C$3:$F$4001,3,0))</f>
        <v>40857</v>
      </c>
      <c r="AD144" s="107">
        <f>IF(ISNA(VLOOKUP($R144&amp;AC$2,$C$3:$F$4001,4,0)),"",VLOOKUP($R144&amp;AC$2,$C$3:$F$4001,4,0))</f>
        <v>2.46E-2</v>
      </c>
      <c r="AE144" s="106">
        <f>IF(ISNA(VLOOKUP($R144&amp;AE$2,$C$3:$F$4001,3,0)),"",VLOOKUP($R144&amp;AE$2,$C$3:$F$4001,3,0))</f>
        <v>41037</v>
      </c>
      <c r="AF144" s="107">
        <f>IF(ISNA(VLOOKUP($R144&amp;AE$2,$C$3:$F$4001,4,0)),"",VLOOKUP($R144&amp;AE$2,$C$3:$F$4001,4,0))</f>
        <v>3.1400000000000004E-2</v>
      </c>
      <c r="AG144" s="106">
        <f>IF(ISNA(VLOOKUP($R144&amp;AG$2,$C$3:$F$4001,3,0)),"",VLOOKUP($R144&amp;AG$2,$C$3:$F$4001,3,0))</f>
        <v>41225</v>
      </c>
      <c r="AH144" s="107">
        <f>IF(ISNA(VLOOKUP($R144&amp;AG$2,$C$3:$F$4001,4,0)),"",VLOOKUP($R144&amp;AG$2,$C$3:$F$4001,4,0))</f>
        <v>2.5000000000000001E-2</v>
      </c>
      <c r="AI144" s="106">
        <f>IF(ISNA(VLOOKUP($R144&amp;AI$2,$C$3:$F$4001,3,0)),"",VLOOKUP($R144&amp;AI$2,$C$3:$F$4001,3,0))</f>
        <v>41402</v>
      </c>
      <c r="AJ144" s="107">
        <f>IF(ISNA(VLOOKUP($R144&amp;AI$2,$C$3:$F$4001,4,0)),"",VLOOKUP($R144&amp;AI$2,$C$3:$F$4001,4,0))</f>
        <v>3.2000000000000001E-2</v>
      </c>
      <c r="AK144" s="106" t="str">
        <f>IF(ISNA(VLOOKUP($R144&amp;AK$2,$C$3:$F$4001,3,0)),"",VLOOKUP($R144&amp;AK$2,$C$3:$F$4001,3,0))</f>
        <v/>
      </c>
      <c r="AL144" s="107" t="str">
        <f>IF(ISNA(VLOOKUP($R144&amp;AK$2,$C$3:$F$4001,4,0)),"",VLOOKUP($R144&amp;AK$2,$C$3:$F$4001,4,0))</f>
        <v/>
      </c>
    </row>
    <row r="145" spans="3:38" x14ac:dyDescent="0.2">
      <c r="C145" s="96" t="str">
        <f t="shared" si="8"/>
        <v>ANN1</v>
      </c>
      <c r="D145" s="73" t="s">
        <v>78</v>
      </c>
      <c r="E145" s="100">
        <v>39863</v>
      </c>
      <c r="F145" s="101">
        <v>0.12</v>
      </c>
      <c r="G145" s="96">
        <f t="shared" si="9"/>
        <v>1</v>
      </c>
      <c r="I145" s="96"/>
      <c r="K145" t="str">
        <f t="shared" si="10"/>
        <v>ANN1</v>
      </c>
      <c r="L145" s="73" t="s">
        <v>78</v>
      </c>
      <c r="M145" s="72">
        <v>39863</v>
      </c>
      <c r="N145" s="84">
        <v>0.12</v>
      </c>
      <c r="O145" s="96">
        <f t="shared" si="11"/>
        <v>1</v>
      </c>
      <c r="P145" s="73"/>
      <c r="Q145" s="96"/>
      <c r="R145" s="96" t="str">
        <f>R144</f>
        <v>ENV</v>
      </c>
      <c r="S145" s="108">
        <f>IF(ISNA(VLOOKUP($R145&amp;S$2,$K$3:$N$4001,3,0)),"",VLOOKUP($R145&amp;S$2,$K$3:$N$4001,3,0))</f>
        <v>39939</v>
      </c>
      <c r="T145" s="109">
        <f>IF(ISNA(VLOOKUP($R145&amp;S$2,$K$3:$N$4001,4,0)),"",VLOOKUP($R145&amp;S$2,$K$3:$N$4001,4,0))</f>
        <v>2.75E-2</v>
      </c>
      <c r="U145" s="108">
        <f>IF(ISNA(VLOOKUP($R145&amp;U$2,$K$3:$N$4001,3,0)),"",VLOOKUP($R145&amp;U$2,$K$3:$N$4001,3,0))</f>
        <v>40126</v>
      </c>
      <c r="V145" s="109">
        <f>IF(ISNA(VLOOKUP($R145&amp;U$2,$K$3:$N$4001,4,0)),"",VLOOKUP($R145&amp;U$2,$K$3:$N$4001,4,0))</f>
        <v>2.75E-2</v>
      </c>
      <c r="W145" s="108">
        <f>IF(ISNA(VLOOKUP($R145&amp;W$2,$K$3:$N$4001,3,0)),"",VLOOKUP($R145&amp;W$2,$K$3:$N$4001,3,0))</f>
        <v>40304</v>
      </c>
      <c r="X145" s="109">
        <f>IF(ISNA(VLOOKUP($R145&amp;W$2,$K$3:$N$4001,4,0)),"",VLOOKUP($R145&amp;W$2,$K$3:$N$4001,4,0))</f>
        <v>3.5000000000000003E-2</v>
      </c>
      <c r="Y145" s="108">
        <f>IF(ISNA(VLOOKUP($R145&amp;Y$2,$K$3:$N$4001,3,0)),"",VLOOKUP($R145&amp;Y$2,$K$3:$N$4001,3,0))</f>
        <v>40492</v>
      </c>
      <c r="Z145" s="109">
        <f>IF(ISNA(VLOOKUP($R145&amp;Y$2,$K$3:$N$4001,4,0)),"",VLOOKUP($R145&amp;Y$2,$K$3:$N$4001,4,0))</f>
        <v>2.64E-2</v>
      </c>
      <c r="AA145" s="108">
        <f>IF(ISNA(VLOOKUP($R145&amp;AA$2,$K$3:$N$4001,3,0)),"",VLOOKUP($R145&amp;AA$2,$K$3:$N$4001,3,0))</f>
        <v>40669</v>
      </c>
      <c r="AB145" s="109">
        <f>IF(ISNA(VLOOKUP($R145&amp;AA$2,$K$3:$N$4001,4,0)),"",VLOOKUP($R145&amp;AA$2,$K$3:$N$4001,4,0))</f>
        <v>3.3599999999999998E-2</v>
      </c>
      <c r="AC145" s="108">
        <f>IF(ISNA(VLOOKUP($R145&amp;AC$2,$K$3:$N$4001,3,0)),"",VLOOKUP($R145&amp;AC$2,$K$3:$N$4001,3,0))</f>
        <v>40857</v>
      </c>
      <c r="AD145" s="109">
        <f>IF(ISNA(VLOOKUP($R145&amp;AC$2,$K$3:$N$4001,4,0)),"",VLOOKUP($R145&amp;AC$2,$K$3:$N$4001,4,0))</f>
        <v>2.46E-2</v>
      </c>
      <c r="AE145" s="108">
        <f>IF(ISNA(VLOOKUP($R145&amp;AE$2,$K$3:$N$4001,3,0)),"",VLOOKUP($R145&amp;AE$2,$K$3:$N$4001,3,0))</f>
        <v>41037</v>
      </c>
      <c r="AF145" s="109">
        <f>IF(ISNA(VLOOKUP($R145&amp;AE$2,$K$3:$N$4001,4,0)),"",VLOOKUP($R145&amp;AE$2,$K$3:$N$4001,4,0))</f>
        <v>3.1400000000000004E-2</v>
      </c>
      <c r="AG145" s="108">
        <f>IF(ISNA(VLOOKUP($R145&amp;AG$2,$K$3:$N$4001,3,0)),"",VLOOKUP($R145&amp;AG$2,$K$3:$N$4001,3,0))</f>
        <v>41225</v>
      </c>
      <c r="AH145" s="109">
        <f>IF(ISNA(VLOOKUP($R145&amp;AG$2,$K$3:$N$4001,4,0)),"",VLOOKUP($R145&amp;AG$2,$K$3:$N$4001,4,0))</f>
        <v>2.5000000000000001E-2</v>
      </c>
      <c r="AI145" s="108">
        <f>IF(ISNA(VLOOKUP($R145&amp;AI$2,$K$3:$N$4001,3,0)),"",VLOOKUP($R145&amp;AI$2,$K$3:$N$4001,3,0))</f>
        <v>41402</v>
      </c>
      <c r="AJ145" s="109">
        <f>IF(ISNA(VLOOKUP($R145&amp;AI$2,$K$3:$N$4001,4,0)),"",VLOOKUP($R145&amp;AI$2,$K$3:$N$4001,4,0))</f>
        <v>3.2000000000000001E-2</v>
      </c>
      <c r="AK145" s="108" t="str">
        <f>IF(ISNA(VLOOKUP($R145&amp;AK$2,$K$3:$N$4001,3,0)),"",VLOOKUP($R145&amp;AK$2,$K$3:$N$4001,3,0))</f>
        <v/>
      </c>
      <c r="AL145" s="109" t="str">
        <f>IF(ISNA(VLOOKUP($R145&amp;AK$2,$K$3:$N$4001,4,0)),"",VLOOKUP($R145&amp;AK$2,$K$3:$N$4001,4,0))</f>
        <v/>
      </c>
    </row>
    <row r="146" spans="3:38" x14ac:dyDescent="0.2">
      <c r="C146" s="96" t="str">
        <f t="shared" si="8"/>
        <v>ANN2</v>
      </c>
      <c r="D146" s="73" t="s">
        <v>78</v>
      </c>
      <c r="E146" s="100">
        <v>40051</v>
      </c>
      <c r="F146" s="101">
        <v>0.17</v>
      </c>
      <c r="G146" s="96">
        <f t="shared" si="9"/>
        <v>2</v>
      </c>
      <c r="I146" s="96"/>
      <c r="K146" t="str">
        <f t="shared" si="10"/>
        <v>ANN2</v>
      </c>
      <c r="L146" s="73" t="s">
        <v>78</v>
      </c>
      <c r="M146" s="72">
        <v>40051</v>
      </c>
      <c r="N146" s="84">
        <v>0.17</v>
      </c>
      <c r="O146" s="96">
        <f t="shared" si="11"/>
        <v>2</v>
      </c>
      <c r="P146" s="73"/>
      <c r="Q146" s="96"/>
      <c r="R146" s="96" t="s">
        <v>265</v>
      </c>
      <c r="S146" s="106" t="str">
        <f>IF(ISNA(VLOOKUP($R146&amp;S$2,$C$3:$F$4001,3,0)),"",VLOOKUP($R146&amp;S$2,$C$3:$F$4001,3,0))</f>
        <v/>
      </c>
      <c r="T146" s="107" t="str">
        <f>IF(ISNA(VLOOKUP($R146&amp;S$2,$C$3:$F$4001,4,0)),"",VLOOKUP($R146&amp;S$2,$C$3:$F$4001,4,0))</f>
        <v/>
      </c>
      <c r="U146" s="106" t="str">
        <f>IF(ISNA(VLOOKUP($R146&amp;U$2,$C$3:$F$4001,3,0)),"",VLOOKUP($R146&amp;U$2,$C$3:$F$4001,3,0))</f>
        <v/>
      </c>
      <c r="V146" s="107" t="str">
        <f>IF(ISNA(VLOOKUP($R146&amp;U$2,$C$3:$F$4001,4,0)),"",VLOOKUP($R146&amp;U$2,$C$3:$F$4001,4,0))</f>
        <v/>
      </c>
      <c r="W146" s="106" t="str">
        <f>IF(ISNA(VLOOKUP($R146&amp;W$2,$C$3:$F$4001,3,0)),"",VLOOKUP($R146&amp;W$2,$C$3:$F$4001,3,0))</f>
        <v/>
      </c>
      <c r="X146" s="107" t="str">
        <f>IF(ISNA(VLOOKUP($R146&amp;W$2,$C$3:$F$4001,4,0)),"",VLOOKUP($R146&amp;W$2,$C$3:$F$4001,4,0))</f>
        <v/>
      </c>
      <c r="Y146" s="106" t="str">
        <f>IF(ISNA(VLOOKUP($R146&amp;Y$2,$C$3:$F$4001,3,0)),"",VLOOKUP($R146&amp;Y$2,$C$3:$F$4001,3,0))</f>
        <v/>
      </c>
      <c r="Z146" s="107" t="str">
        <f>IF(ISNA(VLOOKUP($R146&amp;Y$2,$C$3:$F$4001,4,0)),"",VLOOKUP($R146&amp;Y$2,$C$3:$F$4001,4,0))</f>
        <v/>
      </c>
      <c r="AA146" s="106" t="str">
        <f>IF(ISNA(VLOOKUP($R146&amp;AA$2,$C$3:$F$4001,3,0)),"",VLOOKUP($R146&amp;AA$2,$C$3:$F$4001,3,0))</f>
        <v/>
      </c>
      <c r="AB146" s="107" t="str">
        <f>IF(ISNA(VLOOKUP($R146&amp;AA$2,$C$3:$F$4001,4,0)),"",VLOOKUP($R146&amp;AA$2,$C$3:$F$4001,4,0))</f>
        <v/>
      </c>
      <c r="AC146" s="106" t="str">
        <f>IF(ISNA(VLOOKUP($R146&amp;AC$2,$C$3:$F$4001,3,0)),"",VLOOKUP($R146&amp;AC$2,$C$3:$F$4001,3,0))</f>
        <v/>
      </c>
      <c r="AD146" s="107" t="str">
        <f>IF(ISNA(VLOOKUP($R146&amp;AC$2,$C$3:$F$4001,4,0)),"",VLOOKUP($R146&amp;AC$2,$C$3:$F$4001,4,0))</f>
        <v/>
      </c>
      <c r="AE146" s="106" t="str">
        <f>IF(ISNA(VLOOKUP($R146&amp;AE$2,$C$3:$F$4001,3,0)),"",VLOOKUP($R146&amp;AE$2,$C$3:$F$4001,3,0))</f>
        <v/>
      </c>
      <c r="AF146" s="107" t="str">
        <f>IF(ISNA(VLOOKUP($R146&amp;AE$2,$C$3:$F$4001,4,0)),"",VLOOKUP($R146&amp;AE$2,$C$3:$F$4001,4,0))</f>
        <v/>
      </c>
      <c r="AG146" s="106" t="str">
        <f>IF(ISNA(VLOOKUP($R146&amp;AG$2,$C$3:$F$4001,3,0)),"",VLOOKUP($R146&amp;AG$2,$C$3:$F$4001,3,0))</f>
        <v/>
      </c>
      <c r="AH146" s="107" t="str">
        <f>IF(ISNA(VLOOKUP($R146&amp;AG$2,$C$3:$F$4001,4,0)),"",VLOOKUP($R146&amp;AG$2,$C$3:$F$4001,4,0))</f>
        <v/>
      </c>
      <c r="AI146" s="106" t="str">
        <f>IF(ISNA(VLOOKUP($R146&amp;AI$2,$C$3:$F$4001,3,0)),"",VLOOKUP($R146&amp;AI$2,$C$3:$F$4001,3,0))</f>
        <v/>
      </c>
      <c r="AJ146" s="107" t="str">
        <f>IF(ISNA(VLOOKUP($R146&amp;AI$2,$C$3:$F$4001,4,0)),"",VLOOKUP($R146&amp;AI$2,$C$3:$F$4001,4,0))</f>
        <v/>
      </c>
      <c r="AK146" s="106" t="str">
        <f>IF(ISNA(VLOOKUP($R146&amp;AK$2,$C$3:$F$4001,3,0)),"",VLOOKUP($R146&amp;AK$2,$C$3:$F$4001,3,0))</f>
        <v/>
      </c>
      <c r="AL146" s="107" t="str">
        <f>IF(ISNA(VLOOKUP($R146&amp;AK$2,$C$3:$F$4001,4,0)),"",VLOOKUP($R146&amp;AK$2,$C$3:$F$4001,4,0))</f>
        <v/>
      </c>
    </row>
    <row r="147" spans="3:38" x14ac:dyDescent="0.2">
      <c r="C147" s="96" t="str">
        <f t="shared" si="8"/>
        <v>ANN3</v>
      </c>
      <c r="D147" s="73" t="s">
        <v>78</v>
      </c>
      <c r="E147" s="100">
        <v>40228</v>
      </c>
      <c r="F147" s="101">
        <v>0.13</v>
      </c>
      <c r="G147" s="96">
        <f t="shared" si="9"/>
        <v>3</v>
      </c>
      <c r="I147" s="96"/>
      <c r="K147" t="str">
        <f t="shared" si="10"/>
        <v>ANN3</v>
      </c>
      <c r="L147" s="73" t="s">
        <v>78</v>
      </c>
      <c r="M147" s="72">
        <v>40228</v>
      </c>
      <c r="N147" s="84">
        <v>0.13</v>
      </c>
      <c r="O147" s="96">
        <f t="shared" si="11"/>
        <v>3</v>
      </c>
      <c r="P147" s="73"/>
      <c r="Q147" s="96"/>
      <c r="R147" s="96" t="str">
        <f>R146</f>
        <v>EQN</v>
      </c>
      <c r="S147" s="108" t="str">
        <f>IF(ISNA(VLOOKUP($R147&amp;S$2,$K$3:$N$4001,3,0)),"",VLOOKUP($R147&amp;S$2,$K$3:$N$4001,3,0))</f>
        <v/>
      </c>
      <c r="T147" s="109" t="str">
        <f>IF(ISNA(VLOOKUP($R147&amp;S$2,$K$3:$N$4001,4,0)),"",VLOOKUP($R147&amp;S$2,$K$3:$N$4001,4,0))</f>
        <v/>
      </c>
      <c r="U147" s="108" t="str">
        <f>IF(ISNA(VLOOKUP($R147&amp;U$2,$K$3:$N$4001,3,0)),"",VLOOKUP($R147&amp;U$2,$K$3:$N$4001,3,0))</f>
        <v/>
      </c>
      <c r="V147" s="109" t="str">
        <f>IF(ISNA(VLOOKUP($R147&amp;U$2,$K$3:$N$4001,4,0)),"",VLOOKUP($R147&amp;U$2,$K$3:$N$4001,4,0))</f>
        <v/>
      </c>
      <c r="W147" s="108" t="str">
        <f>IF(ISNA(VLOOKUP($R147&amp;W$2,$K$3:$N$4001,3,0)),"",VLOOKUP($R147&amp;W$2,$K$3:$N$4001,3,0))</f>
        <v/>
      </c>
      <c r="X147" s="109" t="str">
        <f>IF(ISNA(VLOOKUP($R147&amp;W$2,$K$3:$N$4001,4,0)),"",VLOOKUP($R147&amp;W$2,$K$3:$N$4001,4,0))</f>
        <v/>
      </c>
      <c r="Y147" s="108" t="str">
        <f>IF(ISNA(VLOOKUP($R147&amp;Y$2,$K$3:$N$4001,3,0)),"",VLOOKUP($R147&amp;Y$2,$K$3:$N$4001,3,0))</f>
        <v/>
      </c>
      <c r="Z147" s="109" t="str">
        <f>IF(ISNA(VLOOKUP($R147&amp;Y$2,$K$3:$N$4001,4,0)),"",VLOOKUP($R147&amp;Y$2,$K$3:$N$4001,4,0))</f>
        <v/>
      </c>
      <c r="AA147" s="108" t="str">
        <f>IF(ISNA(VLOOKUP($R147&amp;AA$2,$K$3:$N$4001,3,0)),"",VLOOKUP($R147&amp;AA$2,$K$3:$N$4001,3,0))</f>
        <v/>
      </c>
      <c r="AB147" s="109" t="str">
        <f>IF(ISNA(VLOOKUP($R147&amp;AA$2,$K$3:$N$4001,4,0)),"",VLOOKUP($R147&amp;AA$2,$K$3:$N$4001,4,0))</f>
        <v/>
      </c>
      <c r="AC147" s="108" t="str">
        <f>IF(ISNA(VLOOKUP($R147&amp;AC$2,$K$3:$N$4001,3,0)),"",VLOOKUP($R147&amp;AC$2,$K$3:$N$4001,3,0))</f>
        <v/>
      </c>
      <c r="AD147" s="109" t="str">
        <f>IF(ISNA(VLOOKUP($R147&amp;AC$2,$K$3:$N$4001,4,0)),"",VLOOKUP($R147&amp;AC$2,$K$3:$N$4001,4,0))</f>
        <v/>
      </c>
      <c r="AE147" s="108" t="str">
        <f>IF(ISNA(VLOOKUP($R147&amp;AE$2,$K$3:$N$4001,3,0)),"",VLOOKUP($R147&amp;AE$2,$K$3:$N$4001,3,0))</f>
        <v/>
      </c>
      <c r="AF147" s="109" t="str">
        <f>IF(ISNA(VLOOKUP($R147&amp;AE$2,$K$3:$N$4001,4,0)),"",VLOOKUP($R147&amp;AE$2,$K$3:$N$4001,4,0))</f>
        <v/>
      </c>
      <c r="AG147" s="108" t="str">
        <f>IF(ISNA(VLOOKUP($R147&amp;AG$2,$K$3:$N$4001,3,0)),"",VLOOKUP($R147&amp;AG$2,$K$3:$N$4001,3,0))</f>
        <v/>
      </c>
      <c r="AH147" s="109" t="str">
        <f>IF(ISNA(VLOOKUP($R147&amp;AG$2,$K$3:$N$4001,4,0)),"",VLOOKUP($R147&amp;AG$2,$K$3:$N$4001,4,0))</f>
        <v/>
      </c>
      <c r="AI147" s="108" t="str">
        <f>IF(ISNA(VLOOKUP($R147&amp;AI$2,$K$3:$N$4001,3,0)),"",VLOOKUP($R147&amp;AI$2,$K$3:$N$4001,3,0))</f>
        <v/>
      </c>
      <c r="AJ147" s="109" t="str">
        <f>IF(ISNA(VLOOKUP($R147&amp;AI$2,$K$3:$N$4001,4,0)),"",VLOOKUP($R147&amp;AI$2,$K$3:$N$4001,4,0))</f>
        <v/>
      </c>
      <c r="AK147" s="108" t="str">
        <f>IF(ISNA(VLOOKUP($R147&amp;AK$2,$K$3:$N$4001,3,0)),"",VLOOKUP($R147&amp;AK$2,$K$3:$N$4001,3,0))</f>
        <v/>
      </c>
      <c r="AL147" s="109" t="str">
        <f>IF(ISNA(VLOOKUP($R147&amp;AK$2,$K$3:$N$4001,4,0)),"",VLOOKUP($R147&amp;AK$2,$K$3:$N$4001,4,0))</f>
        <v/>
      </c>
    </row>
    <row r="148" spans="3:38" x14ac:dyDescent="0.2">
      <c r="C148" s="96" t="str">
        <f t="shared" si="8"/>
        <v>ANN4</v>
      </c>
      <c r="D148" s="73" t="s">
        <v>78</v>
      </c>
      <c r="E148" s="100">
        <v>40416</v>
      </c>
      <c r="F148" s="101">
        <v>0.18</v>
      </c>
      <c r="G148" s="96">
        <f t="shared" si="9"/>
        <v>4</v>
      </c>
      <c r="I148" s="96"/>
      <c r="K148" t="str">
        <f t="shared" si="10"/>
        <v>ANN4</v>
      </c>
      <c r="L148" s="73" t="s">
        <v>78</v>
      </c>
      <c r="M148" s="72">
        <v>40416</v>
      </c>
      <c r="N148" s="84">
        <v>0.18</v>
      </c>
      <c r="O148" s="96">
        <f t="shared" si="11"/>
        <v>4</v>
      </c>
      <c r="P148" s="73"/>
      <c r="Q148" s="96"/>
      <c r="R148" s="96" t="s">
        <v>134</v>
      </c>
      <c r="S148" s="106">
        <f>IF(ISNA(VLOOKUP($R148&amp;S$2,$C$3:$F$4001,3,0)),"",VLOOKUP($R148&amp;S$2,$C$3:$F$4001,3,0))</f>
        <v>39869</v>
      </c>
      <c r="T148" s="107">
        <f>IF(ISNA(VLOOKUP($R148&amp;S$2,$C$3:$F$4001,4,0)),"",VLOOKUP($R148&amp;S$2,$C$3:$F$4001,4,0))</f>
        <v>0.02</v>
      </c>
      <c r="U148" s="106">
        <f>IF(ISNA(VLOOKUP($R148&amp;U$2,$C$3:$F$4001,3,0)),"",VLOOKUP($R148&amp;U$2,$C$3:$F$4001,3,0))</f>
        <v>40052</v>
      </c>
      <c r="V148" s="107">
        <f>IF(ISNA(VLOOKUP($R148&amp;U$2,$C$3:$F$4001,4,0)),"",VLOOKUP($R148&amp;U$2,$C$3:$F$4001,4,0))</f>
        <v>0.02</v>
      </c>
      <c r="W148" s="106">
        <f>IF(ISNA(VLOOKUP($R148&amp;W$2,$C$3:$F$4001,3,0)),"",VLOOKUP($R148&amp;W$2,$C$3:$F$4001,3,0))</f>
        <v>40234</v>
      </c>
      <c r="X148" s="107">
        <f>IF(ISNA(VLOOKUP($R148&amp;W$2,$C$3:$F$4001,4,0)),"",VLOOKUP($R148&amp;W$2,$C$3:$F$4001,4,0))</f>
        <v>0.02</v>
      </c>
      <c r="Y148" s="106">
        <f>IF(ISNA(VLOOKUP($R148&amp;Y$2,$C$3:$F$4001,3,0)),"",VLOOKUP($R148&amp;Y$2,$C$3:$F$4001,3,0))</f>
        <v>40417</v>
      </c>
      <c r="Z148" s="107">
        <f>IF(ISNA(VLOOKUP($R148&amp;Y$2,$C$3:$F$4001,4,0)),"",VLOOKUP($R148&amp;Y$2,$C$3:$F$4001,4,0))</f>
        <v>0.02</v>
      </c>
      <c r="AA148" s="106">
        <f>IF(ISNA(VLOOKUP($R148&amp;AA$2,$C$3:$F$4001,3,0)),"",VLOOKUP($R148&amp;AA$2,$C$3:$F$4001,3,0))</f>
        <v>40599</v>
      </c>
      <c r="AB148" s="107">
        <f>IF(ISNA(VLOOKUP($R148&amp;AA$2,$C$3:$F$4001,4,0)),"",VLOOKUP($R148&amp;AA$2,$C$3:$F$4001,4,0))</f>
        <v>0.08</v>
      </c>
      <c r="AC148" s="106">
        <f>IF(ISNA(VLOOKUP($R148&amp;AC$2,$C$3:$F$4001,3,0)),"",VLOOKUP($R148&amp;AC$2,$C$3:$F$4001,3,0))</f>
        <v>40784</v>
      </c>
      <c r="AD148" s="107">
        <f>IF(ISNA(VLOOKUP($R148&amp;AC$2,$C$3:$F$4001,4,0)),"",VLOOKUP($R148&amp;AC$2,$C$3:$F$4001,4,0))</f>
        <v>0.08</v>
      </c>
      <c r="AE148" s="106">
        <f>IF(ISNA(VLOOKUP($R148&amp;AE$2,$C$3:$F$4001,3,0)),"",VLOOKUP($R148&amp;AE$2,$C$3:$F$4001,3,0))</f>
        <v>40967</v>
      </c>
      <c r="AF148" s="107">
        <f>IF(ISNA(VLOOKUP($R148&amp;AE$2,$C$3:$F$4001,4,0)),"",VLOOKUP($R148&amp;AE$2,$C$3:$F$4001,4,0))</f>
        <v>0.09</v>
      </c>
      <c r="AG148" s="106">
        <f>IF(ISNA(VLOOKUP($R148&amp;AG$2,$C$3:$F$4001,3,0)),"",VLOOKUP($R148&amp;AG$2,$C$3:$F$4001,3,0))</f>
        <v>41149</v>
      </c>
      <c r="AH148" s="107">
        <f>IF(ISNA(VLOOKUP($R148&amp;AG$2,$C$3:$F$4001,4,0)),"",VLOOKUP($R148&amp;AG$2,$C$3:$F$4001,4,0))</f>
        <v>0.09</v>
      </c>
      <c r="AI148" s="106">
        <f>IF(ISNA(VLOOKUP($R148&amp;AI$2,$C$3:$F$4001,3,0)),"",VLOOKUP($R148&amp;AI$2,$C$3:$F$4001,3,0))</f>
        <v>41332</v>
      </c>
      <c r="AJ148" s="107">
        <f>IF(ISNA(VLOOKUP($R148&amp;AI$2,$C$3:$F$4001,4,0)),"",VLOOKUP($R148&amp;AI$2,$C$3:$F$4001,4,0))</f>
        <v>0.1</v>
      </c>
      <c r="AK148" s="106">
        <f>IF(ISNA(VLOOKUP($R148&amp;AK$2,$C$3:$F$4001,3,0)),"",VLOOKUP($R148&amp;AK$2,$C$3:$F$4001,3,0))</f>
        <v>41514</v>
      </c>
      <c r="AL148" s="107">
        <f>IF(ISNA(VLOOKUP($R148&amp;AK$2,$C$3:$F$4001,4,0)),"",VLOOKUP($R148&amp;AK$2,$C$3:$F$4001,4,0))</f>
        <v>0.1</v>
      </c>
    </row>
    <row r="149" spans="3:38" x14ac:dyDescent="0.2">
      <c r="C149" s="96" t="str">
        <f t="shared" si="8"/>
        <v>ANN5</v>
      </c>
      <c r="D149" s="73" t="s">
        <v>78</v>
      </c>
      <c r="E149" s="100">
        <v>40595</v>
      </c>
      <c r="F149" s="101">
        <v>0.15</v>
      </c>
      <c r="G149" s="96">
        <f t="shared" si="9"/>
        <v>5</v>
      </c>
      <c r="I149" s="96"/>
      <c r="K149" t="str">
        <f t="shared" si="10"/>
        <v>ANN5</v>
      </c>
      <c r="L149" s="73" t="s">
        <v>78</v>
      </c>
      <c r="M149" s="72">
        <v>40595</v>
      </c>
      <c r="N149" s="84">
        <v>0.15</v>
      </c>
      <c r="O149" s="96">
        <f t="shared" si="11"/>
        <v>5</v>
      </c>
      <c r="P149" s="73"/>
      <c r="Q149" s="96"/>
      <c r="R149" s="96" t="str">
        <f>R148</f>
        <v>FXJ</v>
      </c>
      <c r="S149" s="108">
        <f>IF(ISNA(VLOOKUP($R149&amp;S$2,$K$3:$N$4001,3,0)),"",VLOOKUP($R149&amp;S$2,$K$3:$N$4001,3,0))</f>
        <v>39869</v>
      </c>
      <c r="T149" s="109">
        <f>IF(ISNA(VLOOKUP($R149&amp;S$2,$K$3:$N$4001,4,0)),"",VLOOKUP($R149&amp;S$2,$K$3:$N$4001,4,0))</f>
        <v>0.02</v>
      </c>
      <c r="U149" s="108">
        <f>IF(ISNA(VLOOKUP($R149&amp;U$2,$K$3:$N$4001,3,0)),"",VLOOKUP($R149&amp;U$2,$K$3:$N$4001,3,0))</f>
        <v>40052</v>
      </c>
      <c r="V149" s="109">
        <f>IF(ISNA(VLOOKUP($R149&amp;U$2,$K$3:$N$4001,4,0)),"",VLOOKUP($R149&amp;U$2,$K$3:$N$4001,4,0))</f>
        <v>0.02</v>
      </c>
      <c r="W149" s="108">
        <f>IF(ISNA(VLOOKUP($R149&amp;W$2,$K$3:$N$4001,3,0)),"",VLOOKUP($R149&amp;W$2,$K$3:$N$4001,3,0))</f>
        <v>40234</v>
      </c>
      <c r="X149" s="109">
        <f>IF(ISNA(VLOOKUP($R149&amp;W$2,$K$3:$N$4001,4,0)),"",VLOOKUP($R149&amp;W$2,$K$3:$N$4001,4,0))</f>
        <v>0.02</v>
      </c>
      <c r="Y149" s="108">
        <f>IF(ISNA(VLOOKUP($R149&amp;Y$2,$K$3:$N$4001,3,0)),"",VLOOKUP($R149&amp;Y$2,$K$3:$N$4001,3,0))</f>
        <v>40417</v>
      </c>
      <c r="Z149" s="109">
        <f>IF(ISNA(VLOOKUP($R149&amp;Y$2,$K$3:$N$4001,4,0)),"",VLOOKUP($R149&amp;Y$2,$K$3:$N$4001,4,0))</f>
        <v>0.02</v>
      </c>
      <c r="AA149" s="108">
        <f>IF(ISNA(VLOOKUP($R149&amp;AA$2,$K$3:$N$4001,3,0)),"",VLOOKUP($R149&amp;AA$2,$K$3:$N$4001,3,0))</f>
        <v>40599</v>
      </c>
      <c r="AB149" s="109">
        <f>IF(ISNA(VLOOKUP($R149&amp;AA$2,$K$3:$N$4001,4,0)),"",VLOOKUP($R149&amp;AA$2,$K$3:$N$4001,4,0))</f>
        <v>0.08</v>
      </c>
      <c r="AC149" s="108">
        <f>IF(ISNA(VLOOKUP($R149&amp;AC$2,$K$3:$N$4001,3,0)),"",VLOOKUP($R149&amp;AC$2,$K$3:$N$4001,3,0))</f>
        <v>40784</v>
      </c>
      <c r="AD149" s="109">
        <f>IF(ISNA(VLOOKUP($R149&amp;AC$2,$K$3:$N$4001,4,0)),"",VLOOKUP($R149&amp;AC$2,$K$3:$N$4001,4,0))</f>
        <v>0.08</v>
      </c>
      <c r="AE149" s="108">
        <f>IF(ISNA(VLOOKUP($R149&amp;AE$2,$K$3:$N$4001,3,0)),"",VLOOKUP($R149&amp;AE$2,$K$3:$N$4001,3,0))</f>
        <v>40967</v>
      </c>
      <c r="AF149" s="109">
        <f>IF(ISNA(VLOOKUP($R149&amp;AE$2,$K$3:$N$4001,4,0)),"",VLOOKUP($R149&amp;AE$2,$K$3:$N$4001,4,0))</f>
        <v>0.09</v>
      </c>
      <c r="AG149" s="108">
        <f>IF(ISNA(VLOOKUP($R149&amp;AG$2,$K$3:$N$4001,3,0)),"",VLOOKUP($R149&amp;AG$2,$K$3:$N$4001,3,0))</f>
        <v>41149</v>
      </c>
      <c r="AH149" s="109">
        <f>IF(ISNA(VLOOKUP($R149&amp;AG$2,$K$3:$N$4001,4,0)),"",VLOOKUP($R149&amp;AG$2,$K$3:$N$4001,4,0))</f>
        <v>0.09</v>
      </c>
      <c r="AI149" s="108">
        <f>IF(ISNA(VLOOKUP($R149&amp;AI$2,$K$3:$N$4001,3,0)),"",VLOOKUP($R149&amp;AI$2,$K$3:$N$4001,3,0))</f>
        <v>41332</v>
      </c>
      <c r="AJ149" s="109">
        <f>IF(ISNA(VLOOKUP($R149&amp;AI$2,$K$3:$N$4001,4,0)),"",VLOOKUP($R149&amp;AI$2,$K$3:$N$4001,4,0))</f>
        <v>0.1</v>
      </c>
      <c r="AK149" s="108">
        <f>IF(ISNA(VLOOKUP($R149&amp;AK$2,$K$3:$N$4001,3,0)),"",VLOOKUP($R149&amp;AK$2,$K$3:$N$4001,3,0))</f>
        <v>41514</v>
      </c>
      <c r="AL149" s="109">
        <f>IF(ISNA(VLOOKUP($R149&amp;AK$2,$K$3:$N$4001,4,0)),"",VLOOKUP($R149&amp;AK$2,$K$3:$N$4001,4,0))</f>
        <v>0.1</v>
      </c>
    </row>
    <row r="150" spans="3:38" x14ac:dyDescent="0.2">
      <c r="C150" s="96" t="str">
        <f t="shared" si="8"/>
        <v>ANN6</v>
      </c>
      <c r="D150" s="73" t="s">
        <v>78</v>
      </c>
      <c r="E150" s="100">
        <v>40781</v>
      </c>
      <c r="F150" s="101">
        <v>0.21</v>
      </c>
      <c r="G150" s="96">
        <f t="shared" si="9"/>
        <v>6</v>
      </c>
      <c r="I150" s="96"/>
      <c r="K150" t="str">
        <f t="shared" si="10"/>
        <v>ANN6</v>
      </c>
      <c r="L150" s="73" t="s">
        <v>78</v>
      </c>
      <c r="M150" s="72">
        <v>40781</v>
      </c>
      <c r="N150" s="84">
        <v>0.21</v>
      </c>
      <c r="O150" s="96">
        <f t="shared" si="11"/>
        <v>6</v>
      </c>
      <c r="P150" s="73"/>
      <c r="Q150" s="96"/>
      <c r="R150" s="96" t="s">
        <v>133</v>
      </c>
      <c r="S150" s="106">
        <f>IF(ISNA(VLOOKUP($R150&amp;S$2,$C$3:$F$4001,3,0)),"",VLOOKUP($R150&amp;S$2,$C$3:$F$4001,3,0))</f>
        <v>39882</v>
      </c>
      <c r="T150" s="107">
        <f>IF(ISNA(VLOOKUP($R150&amp;S$2,$C$3:$F$4001,4,0)),"",VLOOKUP($R150&amp;S$2,$C$3:$F$4001,4,0))</f>
        <v>0.5</v>
      </c>
      <c r="U150" s="106">
        <f>IF(ISNA(VLOOKUP($R150&amp;U$2,$C$3:$F$4001,3,0)),"",VLOOKUP($R150&amp;U$2,$C$3:$F$4001,3,0))</f>
        <v>40092</v>
      </c>
      <c r="V150" s="107">
        <f>IF(ISNA(VLOOKUP($R150&amp;U$2,$C$3:$F$4001,4,0)),"",VLOOKUP($R150&amp;U$2,$C$3:$F$4001,4,0))</f>
        <v>0.5</v>
      </c>
      <c r="W150" s="106">
        <f>IF(ISNA(VLOOKUP($R150&amp;W$2,$C$3:$F$4001,3,0)),"",VLOOKUP($R150&amp;W$2,$C$3:$F$4001,3,0))</f>
        <v>40247</v>
      </c>
      <c r="X150" s="107">
        <f>IF(ISNA(VLOOKUP($R150&amp;W$2,$C$3:$F$4001,4,0)),"",VLOOKUP($R150&amp;W$2,$C$3:$F$4001,4,0))</f>
        <v>0.5</v>
      </c>
      <c r="Y150" s="106">
        <f>IF(ISNA(VLOOKUP($R150&amp;Y$2,$C$3:$F$4001,3,0)),"",VLOOKUP($R150&amp;Y$2,$C$3:$F$4001,3,0))</f>
        <v>40456</v>
      </c>
      <c r="Z150" s="107">
        <f>IF(ISNA(VLOOKUP($R150&amp;Y$2,$C$3:$F$4001,4,0)),"",VLOOKUP($R150&amp;Y$2,$C$3:$F$4001,4,0))</f>
        <v>0.6</v>
      </c>
      <c r="AA150" s="106">
        <f>IF(ISNA(VLOOKUP($R150&amp;AA$2,$C$3:$F$4001,3,0)),"",VLOOKUP($R150&amp;AA$2,$C$3:$F$4001,3,0))</f>
        <v>40612</v>
      </c>
      <c r="AB150" s="107">
        <f>IF(ISNA(VLOOKUP($R150&amp;AA$2,$C$3:$F$4001,4,0)),"",VLOOKUP($R150&amp;AA$2,$C$3:$F$4001,4,0))</f>
        <v>0.6</v>
      </c>
      <c r="AC150" s="106">
        <f>IF(ISNA(VLOOKUP($R150&amp;AC$2,$C$3:$F$4001,3,0)),"",VLOOKUP($R150&amp;AC$2,$C$3:$F$4001,3,0))</f>
        <v>40820</v>
      </c>
      <c r="AD150" s="107">
        <f>IF(ISNA(VLOOKUP($R150&amp;AC$2,$C$3:$F$4001,4,0)),"",VLOOKUP($R150&amp;AC$2,$C$3:$F$4001,4,0))</f>
        <v>0.8</v>
      </c>
      <c r="AE150" s="106">
        <f>IF(ISNA(VLOOKUP($R150&amp;AE$2,$C$3:$F$4001,3,0)),"",VLOOKUP($R150&amp;AE$2,$C$3:$F$4001,3,0))</f>
        <v>40980</v>
      </c>
      <c r="AF150" s="107">
        <f>IF(ISNA(VLOOKUP($R150&amp;AE$2,$C$3:$F$4001,4,0)),"",VLOOKUP($R150&amp;AE$2,$C$3:$F$4001,4,0))</f>
        <v>0.8</v>
      </c>
      <c r="AG150" s="106">
        <f>IF(ISNA(VLOOKUP($R150&amp;AG$2,$C$3:$F$4001,3,0)),"",VLOOKUP($R150&amp;AG$2,$C$3:$F$4001,3,0))</f>
        <v>41184</v>
      </c>
      <c r="AH150" s="107">
        <f>IF(ISNA(VLOOKUP($R150&amp;AG$2,$C$3:$F$4001,4,0)),"",VLOOKUP($R150&amp;AG$2,$C$3:$F$4001,4,0))</f>
        <v>0.8</v>
      </c>
      <c r="AI150" s="106">
        <f>IF(ISNA(VLOOKUP($R150&amp;AI$2,$C$3:$F$4001,3,0)),"",VLOOKUP($R150&amp;AI$2,$C$3:$F$4001,3,0))</f>
        <v>41345</v>
      </c>
      <c r="AJ150" s="107">
        <f>IF(ISNA(VLOOKUP($R150&amp;AI$2,$C$3:$F$4001,4,0)),"",VLOOKUP($R150&amp;AI$2,$C$3:$F$4001,4,0))</f>
        <v>0.8</v>
      </c>
      <c r="AK150" s="106">
        <f>IF(ISNA(VLOOKUP($R150&amp;AK$2,$C$3:$F$4001,3,0)),"",VLOOKUP($R150&amp;AK$2,$C$3:$F$4001,3,0))</f>
        <v>41549</v>
      </c>
      <c r="AL150" s="107">
        <f>IF(ISNA(VLOOKUP($R150&amp;AK$2,$C$3:$F$4001,4,0)),"",VLOOKUP($R150&amp;AK$2,$C$3:$F$4001,4,0))</f>
        <v>0.9</v>
      </c>
    </row>
    <row r="151" spans="3:38" x14ac:dyDescent="0.2">
      <c r="C151" s="96" t="str">
        <f t="shared" si="8"/>
        <v>ANN7</v>
      </c>
      <c r="D151" s="73" t="s">
        <v>78</v>
      </c>
      <c r="E151" s="100">
        <v>40960</v>
      </c>
      <c r="F151" s="101">
        <v>0.18</v>
      </c>
      <c r="G151" s="96">
        <f t="shared" si="9"/>
        <v>7</v>
      </c>
      <c r="I151" s="96"/>
      <c r="K151" t="str">
        <f t="shared" si="10"/>
        <v>ANN7</v>
      </c>
      <c r="L151" s="73" t="s">
        <v>78</v>
      </c>
      <c r="M151" s="72">
        <v>40960</v>
      </c>
      <c r="N151" s="84">
        <v>0.18</v>
      </c>
      <c r="O151" s="96">
        <f t="shared" si="11"/>
        <v>7</v>
      </c>
      <c r="P151" s="73"/>
      <c r="Q151" s="96"/>
      <c r="R151" s="96" t="str">
        <f>R150</f>
        <v>FLX</v>
      </c>
      <c r="S151" s="108">
        <f>IF(ISNA(VLOOKUP($R151&amp;S$2,$K$3:$N$4001,3,0)),"",VLOOKUP($R151&amp;S$2,$K$3:$N$4001,3,0))</f>
        <v>39882</v>
      </c>
      <c r="T151" s="109">
        <f>IF(ISNA(VLOOKUP($R151&amp;S$2,$K$3:$N$4001,4,0)),"",VLOOKUP($R151&amp;S$2,$K$3:$N$4001,4,0))</f>
        <v>0.5</v>
      </c>
      <c r="U151" s="108">
        <f>IF(ISNA(VLOOKUP($R151&amp;U$2,$K$3:$N$4001,3,0)),"",VLOOKUP($R151&amp;U$2,$K$3:$N$4001,3,0))</f>
        <v>40092</v>
      </c>
      <c r="V151" s="109">
        <f>IF(ISNA(VLOOKUP($R151&amp;U$2,$K$3:$N$4001,4,0)),"",VLOOKUP($R151&amp;U$2,$K$3:$N$4001,4,0))</f>
        <v>0.5</v>
      </c>
      <c r="W151" s="108">
        <f>IF(ISNA(VLOOKUP($R151&amp;W$2,$K$3:$N$4001,3,0)),"",VLOOKUP($R151&amp;W$2,$K$3:$N$4001,3,0))</f>
        <v>40247</v>
      </c>
      <c r="X151" s="109">
        <f>IF(ISNA(VLOOKUP($R151&amp;W$2,$K$3:$N$4001,4,0)),"",VLOOKUP($R151&amp;W$2,$K$3:$N$4001,4,0))</f>
        <v>0.5</v>
      </c>
      <c r="Y151" s="108">
        <f>IF(ISNA(VLOOKUP($R151&amp;Y$2,$K$3:$N$4001,3,0)),"",VLOOKUP($R151&amp;Y$2,$K$3:$N$4001,3,0))</f>
        <v>40456</v>
      </c>
      <c r="Z151" s="109">
        <f>IF(ISNA(VLOOKUP($R151&amp;Y$2,$K$3:$N$4001,4,0)),"",VLOOKUP($R151&amp;Y$2,$K$3:$N$4001,4,0))</f>
        <v>0.6</v>
      </c>
      <c r="AA151" s="108">
        <f>IF(ISNA(VLOOKUP($R151&amp;AA$2,$K$3:$N$4001,3,0)),"",VLOOKUP($R151&amp;AA$2,$K$3:$N$4001,3,0))</f>
        <v>40612</v>
      </c>
      <c r="AB151" s="109">
        <f>IF(ISNA(VLOOKUP($R151&amp;AA$2,$K$3:$N$4001,4,0)),"",VLOOKUP($R151&amp;AA$2,$K$3:$N$4001,4,0))</f>
        <v>0.6</v>
      </c>
      <c r="AC151" s="108">
        <f>IF(ISNA(VLOOKUP($R151&amp;AC$2,$K$3:$N$4001,3,0)),"",VLOOKUP($R151&amp;AC$2,$K$3:$N$4001,3,0))</f>
        <v>40820</v>
      </c>
      <c r="AD151" s="109">
        <f>IF(ISNA(VLOOKUP($R151&amp;AC$2,$K$3:$N$4001,4,0)),"",VLOOKUP($R151&amp;AC$2,$K$3:$N$4001,4,0))</f>
        <v>0.8</v>
      </c>
      <c r="AE151" s="108">
        <f>IF(ISNA(VLOOKUP($R151&amp;AE$2,$K$3:$N$4001,3,0)),"",VLOOKUP($R151&amp;AE$2,$K$3:$N$4001,3,0))</f>
        <v>40980</v>
      </c>
      <c r="AF151" s="109">
        <f>IF(ISNA(VLOOKUP($R151&amp;AE$2,$K$3:$N$4001,4,0)),"",VLOOKUP($R151&amp;AE$2,$K$3:$N$4001,4,0))</f>
        <v>0.8</v>
      </c>
      <c r="AG151" s="108">
        <f>IF(ISNA(VLOOKUP($R151&amp;AG$2,$K$3:$N$4001,3,0)),"",VLOOKUP($R151&amp;AG$2,$K$3:$N$4001,3,0))</f>
        <v>41184</v>
      </c>
      <c r="AH151" s="109">
        <f>IF(ISNA(VLOOKUP($R151&amp;AG$2,$K$3:$N$4001,4,0)),"",VLOOKUP($R151&amp;AG$2,$K$3:$N$4001,4,0))</f>
        <v>0.8</v>
      </c>
      <c r="AI151" s="108">
        <f>IF(ISNA(VLOOKUP($R151&amp;AI$2,$K$3:$N$4001,3,0)),"",VLOOKUP($R151&amp;AI$2,$K$3:$N$4001,3,0))</f>
        <v>41345</v>
      </c>
      <c r="AJ151" s="109">
        <f>IF(ISNA(VLOOKUP($R151&amp;AI$2,$K$3:$N$4001,4,0)),"",VLOOKUP($R151&amp;AI$2,$K$3:$N$4001,4,0))</f>
        <v>0.8</v>
      </c>
      <c r="AK151" s="108">
        <f>IF(ISNA(VLOOKUP($R151&amp;AK$2,$K$3:$N$4001,3,0)),"",VLOOKUP($R151&amp;AK$2,$K$3:$N$4001,3,0))</f>
        <v>41549</v>
      </c>
      <c r="AL151" s="109">
        <f>IF(ISNA(VLOOKUP($R151&amp;AK$2,$K$3:$N$4001,4,0)),"",VLOOKUP($R151&amp;AK$2,$K$3:$N$4001,4,0))</f>
        <v>0.9</v>
      </c>
    </row>
    <row r="152" spans="3:38" x14ac:dyDescent="0.2">
      <c r="C152" s="96" t="str">
        <f t="shared" si="8"/>
        <v>ANN8</v>
      </c>
      <c r="D152" s="73" t="s">
        <v>78</v>
      </c>
      <c r="E152" s="100">
        <v>41149</v>
      </c>
      <c r="F152" s="101">
        <v>0.24</v>
      </c>
      <c r="G152" s="96">
        <f t="shared" si="9"/>
        <v>8</v>
      </c>
      <c r="I152" s="96"/>
      <c r="K152" t="str">
        <f t="shared" si="10"/>
        <v>ANN8</v>
      </c>
      <c r="L152" s="73" t="s">
        <v>78</v>
      </c>
      <c r="M152" s="72">
        <v>41149</v>
      </c>
      <c r="N152" s="84">
        <v>0.24</v>
      </c>
      <c r="O152" s="96">
        <f t="shared" si="11"/>
        <v>8</v>
      </c>
      <c r="P152" s="73"/>
      <c r="Q152" s="96"/>
      <c r="R152" s="96" t="s">
        <v>131</v>
      </c>
      <c r="S152" s="106">
        <f>IF(ISNA(VLOOKUP($R152&amp;S$2,$C$3:$F$4001,3,0)),"",VLOOKUP($R152&amp;S$2,$C$3:$F$4001,3,0))</f>
        <v>39988</v>
      </c>
      <c r="T152" s="107">
        <f>IF(ISNA(VLOOKUP($R152&amp;S$2,$C$3:$F$4001,4,0)),"",VLOOKUP($R152&amp;S$2,$C$3:$F$4001,4,0))</f>
        <v>1.4999999999999999E-2</v>
      </c>
      <c r="U152" s="106">
        <f>IF(ISNA(VLOOKUP($R152&amp;U$2,$C$3:$F$4001,3,0)),"",VLOOKUP($R152&amp;U$2,$C$3:$F$4001,3,0))</f>
        <v>40170</v>
      </c>
      <c r="V152" s="107">
        <f>IF(ISNA(VLOOKUP($R152&amp;U$2,$C$3:$F$4001,4,0)),"",VLOOKUP($R152&amp;U$2,$C$3:$F$4001,4,0))</f>
        <v>2.5000000000000001E-2</v>
      </c>
      <c r="W152" s="106">
        <f>IF(ISNA(VLOOKUP($R152&amp;W$2,$C$3:$F$4001,3,0)),"",VLOOKUP($R152&amp;W$2,$C$3:$F$4001,3,0))</f>
        <v>40353</v>
      </c>
      <c r="X152" s="107">
        <f>IF(ISNA(VLOOKUP($R152&amp;W$2,$C$3:$F$4001,4,0)),"",VLOOKUP($R152&amp;W$2,$C$3:$F$4001,4,0))</f>
        <v>2.5000000000000001E-2</v>
      </c>
      <c r="Y152" s="106">
        <f>IF(ISNA(VLOOKUP($R152&amp;Y$2,$C$3:$F$4001,3,0)),"",VLOOKUP($R152&amp;Y$2,$C$3:$F$4001,3,0))</f>
        <v>40535</v>
      </c>
      <c r="Z152" s="107">
        <f>IF(ISNA(VLOOKUP($R152&amp;Y$2,$C$3:$F$4001,4,0)),"",VLOOKUP($R152&amp;Y$2,$C$3:$F$4001,4,0))</f>
        <v>0.05</v>
      </c>
      <c r="AA152" s="106">
        <f>IF(ISNA(VLOOKUP($R152&amp;AA$2,$C$3:$F$4001,3,0)),"",VLOOKUP($R152&amp;AA$2,$C$3:$F$4001,3,0))</f>
        <v>40718</v>
      </c>
      <c r="AB152" s="107">
        <f>IF(ISNA(VLOOKUP($R152&amp;AA$2,$C$3:$F$4001,4,0)),"",VLOOKUP($R152&amp;AA$2,$C$3:$F$4001,4,0))</f>
        <v>0.05</v>
      </c>
      <c r="AC152" s="106">
        <f>IF(ISNA(VLOOKUP($R152&amp;AC$2,$C$3:$F$4001,3,0)),"",VLOOKUP($R152&amp;AC$2,$C$3:$F$4001,3,0))</f>
        <v>40899</v>
      </c>
      <c r="AD152" s="107">
        <f>IF(ISNA(VLOOKUP($R152&amp;AC$2,$C$3:$F$4001,4,0)),"",VLOOKUP($R152&amp;AC$2,$C$3:$F$4001,4,0))</f>
        <v>0.08</v>
      </c>
      <c r="AE152" s="106">
        <f>IF(ISNA(VLOOKUP($R152&amp;AE$2,$C$3:$F$4001,3,0)),"",VLOOKUP($R152&amp;AE$2,$C$3:$F$4001,3,0))</f>
        <v>41085</v>
      </c>
      <c r="AF152" s="107">
        <f>IF(ISNA(VLOOKUP($R152&amp;AE$2,$C$3:$F$4001,4,0)),"",VLOOKUP($R152&amp;AE$2,$C$3:$F$4001,4,0))</f>
        <v>0.08</v>
      </c>
      <c r="AG152" s="106">
        <f>IF(ISNA(VLOOKUP($R152&amp;AG$2,$C$3:$F$4001,3,0)),"",VLOOKUP($R152&amp;AG$2,$C$3:$F$4001,3,0))</f>
        <v>41268</v>
      </c>
      <c r="AH152" s="107">
        <f>IF(ISNA(VLOOKUP($R152&amp;AG$2,$C$3:$F$4001,4,0)),"",VLOOKUP($R152&amp;AG$2,$C$3:$F$4001,4,0))</f>
        <v>0.1</v>
      </c>
      <c r="AI152" s="106">
        <f>IF(ISNA(VLOOKUP($R152&amp;AI$2,$C$3:$F$4001,3,0)),"",VLOOKUP($R152&amp;AI$2,$C$3:$F$4001,3,0))</f>
        <v>41450</v>
      </c>
      <c r="AJ152" s="107">
        <f>IF(ISNA(VLOOKUP($R152&amp;AI$2,$C$3:$F$4001,4,0)),"",VLOOKUP($R152&amp;AI$2,$C$3:$F$4001,4,0))</f>
        <v>0.1</v>
      </c>
      <c r="AK152" s="106" t="str">
        <f>IF(ISNA(VLOOKUP($R152&amp;AK$2,$C$3:$F$4001,3,0)),"",VLOOKUP($R152&amp;AK$2,$C$3:$F$4001,3,0))</f>
        <v/>
      </c>
      <c r="AL152" s="107" t="str">
        <f>IF(ISNA(VLOOKUP($R152&amp;AK$2,$C$3:$F$4001,4,0)),"",VLOOKUP($R152&amp;AK$2,$C$3:$F$4001,4,0))</f>
        <v/>
      </c>
    </row>
    <row r="153" spans="3:38" x14ac:dyDescent="0.2">
      <c r="C153" s="96" t="str">
        <f t="shared" si="8"/>
        <v>ANN9</v>
      </c>
      <c r="D153" s="73" t="s">
        <v>78</v>
      </c>
      <c r="E153" s="100">
        <v>41326</v>
      </c>
      <c r="F153" s="101">
        <v>0.2</v>
      </c>
      <c r="G153" s="96">
        <f t="shared" si="9"/>
        <v>9</v>
      </c>
      <c r="I153" s="96"/>
      <c r="K153" t="str">
        <f t="shared" si="10"/>
        <v>ANN9</v>
      </c>
      <c r="L153" s="73" t="s">
        <v>78</v>
      </c>
      <c r="M153" s="72">
        <v>41326</v>
      </c>
      <c r="N153" s="84">
        <v>0.2</v>
      </c>
      <c r="O153" s="96">
        <f t="shared" si="11"/>
        <v>9</v>
      </c>
      <c r="P153" s="73"/>
      <c r="Q153" s="96"/>
      <c r="R153" s="96" t="str">
        <f>R152</f>
        <v>FKP</v>
      </c>
      <c r="S153" s="108">
        <f>IF(ISNA(VLOOKUP($R153&amp;S$2,$K$3:$N$4001,3,0)),"",VLOOKUP($R153&amp;S$2,$K$3:$N$4001,3,0))</f>
        <v>39988</v>
      </c>
      <c r="T153" s="109">
        <f>IF(ISNA(VLOOKUP($R153&amp;S$2,$K$3:$N$4001,4,0)),"",VLOOKUP($R153&amp;S$2,$K$3:$N$4001,4,0))</f>
        <v>1.4999999999999999E-2</v>
      </c>
      <c r="U153" s="108">
        <f>IF(ISNA(VLOOKUP($R153&amp;U$2,$K$3:$N$4001,3,0)),"",VLOOKUP($R153&amp;U$2,$K$3:$N$4001,3,0))</f>
        <v>40170</v>
      </c>
      <c r="V153" s="109">
        <f>IF(ISNA(VLOOKUP($R153&amp;U$2,$K$3:$N$4001,4,0)),"",VLOOKUP($R153&amp;U$2,$K$3:$N$4001,4,0))</f>
        <v>2.5000000000000001E-2</v>
      </c>
      <c r="W153" s="108">
        <f>IF(ISNA(VLOOKUP($R153&amp;W$2,$K$3:$N$4001,3,0)),"",VLOOKUP($R153&amp;W$2,$K$3:$N$4001,3,0))</f>
        <v>40353</v>
      </c>
      <c r="X153" s="109">
        <f>IF(ISNA(VLOOKUP($R153&amp;W$2,$K$3:$N$4001,4,0)),"",VLOOKUP($R153&amp;W$2,$K$3:$N$4001,4,0))</f>
        <v>2.5000000000000001E-2</v>
      </c>
      <c r="Y153" s="108">
        <f>IF(ISNA(VLOOKUP($R153&amp;Y$2,$K$3:$N$4001,3,0)),"",VLOOKUP($R153&amp;Y$2,$K$3:$N$4001,3,0))</f>
        <v>40535</v>
      </c>
      <c r="Z153" s="109">
        <f>IF(ISNA(VLOOKUP($R153&amp;Y$2,$K$3:$N$4001,4,0)),"",VLOOKUP($R153&amp;Y$2,$K$3:$N$4001,4,0))</f>
        <v>0.05</v>
      </c>
      <c r="AA153" s="108">
        <f>IF(ISNA(VLOOKUP($R153&amp;AA$2,$K$3:$N$4001,3,0)),"",VLOOKUP($R153&amp;AA$2,$K$3:$N$4001,3,0))</f>
        <v>40718</v>
      </c>
      <c r="AB153" s="109">
        <f>IF(ISNA(VLOOKUP($R153&amp;AA$2,$K$3:$N$4001,4,0)),"",VLOOKUP($R153&amp;AA$2,$K$3:$N$4001,4,0))</f>
        <v>0.05</v>
      </c>
      <c r="AC153" s="108">
        <f>IF(ISNA(VLOOKUP($R153&amp;AC$2,$K$3:$N$4001,3,0)),"",VLOOKUP($R153&amp;AC$2,$K$3:$N$4001,3,0))</f>
        <v>40899</v>
      </c>
      <c r="AD153" s="109">
        <f>IF(ISNA(VLOOKUP($R153&amp;AC$2,$K$3:$N$4001,4,0)),"",VLOOKUP($R153&amp;AC$2,$K$3:$N$4001,4,0))</f>
        <v>0.08</v>
      </c>
      <c r="AE153" s="108">
        <f>IF(ISNA(VLOOKUP($R153&amp;AE$2,$K$3:$N$4001,3,0)),"",VLOOKUP($R153&amp;AE$2,$K$3:$N$4001,3,0))</f>
        <v>41085</v>
      </c>
      <c r="AF153" s="109">
        <f>IF(ISNA(VLOOKUP($R153&amp;AE$2,$K$3:$N$4001,4,0)),"",VLOOKUP($R153&amp;AE$2,$K$3:$N$4001,4,0))</f>
        <v>0.08</v>
      </c>
      <c r="AG153" s="108">
        <f>IF(ISNA(VLOOKUP($R153&amp;AG$2,$K$3:$N$4001,3,0)),"",VLOOKUP($R153&amp;AG$2,$K$3:$N$4001,3,0))</f>
        <v>41268</v>
      </c>
      <c r="AH153" s="109">
        <f>IF(ISNA(VLOOKUP($R153&amp;AG$2,$K$3:$N$4001,4,0)),"",VLOOKUP($R153&amp;AG$2,$K$3:$N$4001,4,0))</f>
        <v>0.1</v>
      </c>
      <c r="AI153" s="108">
        <f>IF(ISNA(VLOOKUP($R153&amp;AI$2,$K$3:$N$4001,3,0)),"",VLOOKUP($R153&amp;AI$2,$K$3:$N$4001,3,0))</f>
        <v>41450</v>
      </c>
      <c r="AJ153" s="109">
        <f>IF(ISNA(VLOOKUP($R153&amp;AI$2,$K$3:$N$4001,4,0)),"",VLOOKUP($R153&amp;AI$2,$K$3:$N$4001,4,0))</f>
        <v>0.1</v>
      </c>
      <c r="AK153" s="108" t="str">
        <f>IF(ISNA(VLOOKUP($R153&amp;AK$2,$K$3:$N$4001,3,0)),"",VLOOKUP($R153&amp;AK$2,$K$3:$N$4001,3,0))</f>
        <v/>
      </c>
      <c r="AL153" s="109" t="str">
        <f>IF(ISNA(VLOOKUP($R153&amp;AK$2,$K$3:$N$4001,4,0)),"",VLOOKUP($R153&amp;AK$2,$K$3:$N$4001,4,0))</f>
        <v/>
      </c>
    </row>
    <row r="154" spans="3:38" x14ac:dyDescent="0.2">
      <c r="C154" s="96" t="str">
        <f t="shared" si="8"/>
        <v>ANN10</v>
      </c>
      <c r="D154" s="73" t="s">
        <v>78</v>
      </c>
      <c r="E154" s="100">
        <v>41514</v>
      </c>
      <c r="F154" s="101">
        <v>0.27</v>
      </c>
      <c r="G154" s="96">
        <f t="shared" si="9"/>
        <v>10</v>
      </c>
      <c r="I154" s="96"/>
      <c r="K154" t="str">
        <f t="shared" si="10"/>
        <v>ANN10</v>
      </c>
      <c r="L154" s="73" t="s">
        <v>78</v>
      </c>
      <c r="M154" s="72">
        <v>41514</v>
      </c>
      <c r="N154" s="84">
        <v>0.27</v>
      </c>
      <c r="O154" s="96">
        <f t="shared" si="11"/>
        <v>10</v>
      </c>
      <c r="P154" s="73"/>
      <c r="Q154" s="96"/>
      <c r="R154" s="96" t="s">
        <v>132</v>
      </c>
      <c r="S154" s="106">
        <f>IF(ISNA(VLOOKUP($R154&amp;S$2,$C$3:$F$4001,3,0)),"",VLOOKUP($R154&amp;S$2,$C$3:$F$4001,3,0))</f>
        <v>39874</v>
      </c>
      <c r="T154" s="107">
        <f>IF(ISNA(VLOOKUP($R154&amp;S$2,$C$3:$F$4001,4,0)),"",VLOOKUP($R154&amp;S$2,$C$3:$F$4001,4,0))</f>
        <v>0.375</v>
      </c>
      <c r="U154" s="106">
        <f>IF(ISNA(VLOOKUP($R154&amp;U$2,$C$3:$F$4001,3,0)),"",VLOOKUP($R154&amp;U$2,$C$3:$F$4001,3,0))</f>
        <v>40070</v>
      </c>
      <c r="V154" s="107">
        <f>IF(ISNA(VLOOKUP($R154&amp;U$2,$C$3:$F$4001,4,0)),"",VLOOKUP($R154&amp;U$2,$C$3:$F$4001,4,0))</f>
        <v>0.4</v>
      </c>
      <c r="W154" s="106">
        <f>IF(ISNA(VLOOKUP($R154&amp;W$2,$C$3:$F$4001,3,0)),"",VLOOKUP($R154&amp;W$2,$C$3:$F$4001,3,0))</f>
        <v>40239</v>
      </c>
      <c r="X154" s="107">
        <f>IF(ISNA(VLOOKUP($R154&amp;W$2,$C$3:$F$4001,4,0)),"",VLOOKUP($R154&amp;W$2,$C$3:$F$4001,4,0))</f>
        <v>0.28309999999999996</v>
      </c>
      <c r="Y154" s="106">
        <f>IF(ISNA(VLOOKUP($R154&amp;Y$2,$C$3:$F$4001,3,0)),"",VLOOKUP($R154&amp;Y$2,$C$3:$F$4001,3,0))</f>
        <v>40435</v>
      </c>
      <c r="Z154" s="107">
        <f>IF(ISNA(VLOOKUP($R154&amp;Y$2,$C$3:$F$4001,4,0)),"",VLOOKUP($R154&amp;Y$2,$C$3:$F$4001,4,0))</f>
        <v>0.3019</v>
      </c>
      <c r="AA154" s="106">
        <f>IF(ISNA(VLOOKUP($R154&amp;AA$2,$C$3:$F$4001,3,0)),"",VLOOKUP($R154&amp;AA$2,$C$3:$F$4001,3,0))</f>
        <v>40604</v>
      </c>
      <c r="AB154" s="107">
        <f>IF(ISNA(VLOOKUP($R154&amp;AA$2,$C$3:$F$4001,4,0)),"",VLOOKUP($R154&amp;AA$2,$C$3:$F$4001,4,0))</f>
        <v>0.3276</v>
      </c>
      <c r="AC154" s="106">
        <f>IF(ISNA(VLOOKUP($R154&amp;AC$2,$C$3:$F$4001,3,0)),"",VLOOKUP($R154&amp;AC$2,$C$3:$F$4001,3,0))</f>
        <v>40800</v>
      </c>
      <c r="AD154" s="107">
        <f>IF(ISNA(VLOOKUP($R154&amp;AC$2,$C$3:$F$4001,4,0)),"",VLOOKUP($R154&amp;AC$2,$C$3:$F$4001,4,0))</f>
        <v>0.34939999999999999</v>
      </c>
      <c r="AE154" s="106">
        <f>IF(ISNA(VLOOKUP($R154&amp;AE$2,$C$3:$F$4001,3,0)),"",VLOOKUP($R154&amp;AE$2,$C$3:$F$4001,3,0))</f>
        <v>40970</v>
      </c>
      <c r="AF154" s="107">
        <f>IF(ISNA(VLOOKUP($R154&amp;AE$2,$C$3:$F$4001,4,0)),"",VLOOKUP($R154&amp;AE$2,$C$3:$F$4001,4,0))</f>
        <v>0.48969999999999997</v>
      </c>
      <c r="AG154" s="106">
        <f>IF(ISNA(VLOOKUP($R154&amp;AG$2,$C$3:$F$4001,3,0)),"",VLOOKUP($R154&amp;AG$2,$C$3:$F$4001,3,0))</f>
        <v>41166</v>
      </c>
      <c r="AH154" s="107">
        <f>IF(ISNA(VLOOKUP($R154&amp;AG$2,$C$3:$F$4001,4,0)),"",VLOOKUP($R154&amp;AG$2,$C$3:$F$4001,4,0))</f>
        <v>0.52229999999999999</v>
      </c>
      <c r="AI154" s="106">
        <f>IF(ISNA(VLOOKUP($R154&amp;AI$2,$C$3:$F$4001,3,0)),"",VLOOKUP($R154&amp;AI$2,$C$3:$F$4001,3,0))</f>
        <v>41337</v>
      </c>
      <c r="AJ154" s="107">
        <f>IF(ISNA(VLOOKUP($R154&amp;AI$2,$C$3:$F$4001,4,0)),"",VLOOKUP($R154&amp;AI$2,$C$3:$F$4001,4,0))</f>
        <v>0.61109999999999998</v>
      </c>
      <c r="AK154" s="106">
        <f>IF(ISNA(VLOOKUP($R154&amp;AK$2,$C$3:$F$4001,3,0)),"",VLOOKUP($R154&amp;AK$2,$C$3:$F$4001,3,0))</f>
        <v>41533</v>
      </c>
      <c r="AL154" s="107">
        <f>IF(ISNA(VLOOKUP($R154&amp;AK$2,$C$3:$F$4001,4,0)),"",VLOOKUP($R154&amp;AK$2,$C$3:$F$4001,4,0))</f>
        <v>0.65189999999999992</v>
      </c>
    </row>
    <row r="155" spans="3:38" x14ac:dyDescent="0.2">
      <c r="C155" s="96" t="str">
        <f t="shared" si="8"/>
        <v>ANZ1</v>
      </c>
      <c r="D155" s="73" t="s">
        <v>79</v>
      </c>
      <c r="E155" s="100">
        <v>39940</v>
      </c>
      <c r="F155" s="101">
        <v>0.62</v>
      </c>
      <c r="G155" s="96">
        <f t="shared" si="9"/>
        <v>1</v>
      </c>
      <c r="I155" s="96"/>
      <c r="K155" t="str">
        <f t="shared" si="10"/>
        <v>ANZ1</v>
      </c>
      <c r="L155" s="73" t="s">
        <v>79</v>
      </c>
      <c r="M155" s="72">
        <v>39940</v>
      </c>
      <c r="N155" s="84">
        <v>0.62</v>
      </c>
      <c r="O155" s="96">
        <f t="shared" si="11"/>
        <v>1</v>
      </c>
      <c r="P155" s="73"/>
      <c r="Q155" s="96"/>
      <c r="R155" s="96" t="str">
        <f>R154</f>
        <v>FLT</v>
      </c>
      <c r="S155" s="108">
        <f>IF(ISNA(VLOOKUP($R155&amp;S$2,$K$3:$N$4001,3,0)),"",VLOOKUP($R155&amp;S$2,$K$3:$N$4001,3,0))</f>
        <v>39874</v>
      </c>
      <c r="T155" s="109">
        <f>IF(ISNA(VLOOKUP($R155&amp;S$2,$K$3:$N$4001,4,0)),"",VLOOKUP($R155&amp;S$2,$K$3:$N$4001,4,0))</f>
        <v>0.375</v>
      </c>
      <c r="U155" s="108">
        <f>IF(ISNA(VLOOKUP($R155&amp;U$2,$K$3:$N$4001,3,0)),"",VLOOKUP($R155&amp;U$2,$K$3:$N$4001,3,0))</f>
        <v>40070</v>
      </c>
      <c r="V155" s="109">
        <f>IF(ISNA(VLOOKUP($R155&amp;U$2,$K$3:$N$4001,4,0)),"",VLOOKUP($R155&amp;U$2,$K$3:$N$4001,4,0))</f>
        <v>0.4</v>
      </c>
      <c r="W155" s="108">
        <f>IF(ISNA(VLOOKUP($R155&amp;W$2,$K$3:$N$4001,3,0)),"",VLOOKUP($R155&amp;W$2,$K$3:$N$4001,3,0))</f>
        <v>40239</v>
      </c>
      <c r="X155" s="109">
        <f>IF(ISNA(VLOOKUP($R155&amp;W$2,$K$3:$N$4001,4,0)),"",VLOOKUP($R155&amp;W$2,$K$3:$N$4001,4,0))</f>
        <v>0.28309999999999996</v>
      </c>
      <c r="Y155" s="108">
        <f>IF(ISNA(VLOOKUP($R155&amp;Y$2,$K$3:$N$4001,3,0)),"",VLOOKUP($R155&amp;Y$2,$K$3:$N$4001,3,0))</f>
        <v>40435</v>
      </c>
      <c r="Z155" s="109">
        <f>IF(ISNA(VLOOKUP($R155&amp;Y$2,$K$3:$N$4001,4,0)),"",VLOOKUP($R155&amp;Y$2,$K$3:$N$4001,4,0))</f>
        <v>0.3019</v>
      </c>
      <c r="AA155" s="108">
        <f>IF(ISNA(VLOOKUP($R155&amp;AA$2,$K$3:$N$4001,3,0)),"",VLOOKUP($R155&amp;AA$2,$K$3:$N$4001,3,0))</f>
        <v>40604</v>
      </c>
      <c r="AB155" s="109">
        <f>IF(ISNA(VLOOKUP($R155&amp;AA$2,$K$3:$N$4001,4,0)),"",VLOOKUP($R155&amp;AA$2,$K$3:$N$4001,4,0))</f>
        <v>0.3276</v>
      </c>
      <c r="AC155" s="108">
        <f>IF(ISNA(VLOOKUP($R155&amp;AC$2,$K$3:$N$4001,3,0)),"",VLOOKUP($R155&amp;AC$2,$K$3:$N$4001,3,0))</f>
        <v>40800</v>
      </c>
      <c r="AD155" s="109">
        <f>IF(ISNA(VLOOKUP($R155&amp;AC$2,$K$3:$N$4001,4,0)),"",VLOOKUP($R155&amp;AC$2,$K$3:$N$4001,4,0))</f>
        <v>0.34939999999999999</v>
      </c>
      <c r="AE155" s="108">
        <f>IF(ISNA(VLOOKUP($R155&amp;AE$2,$K$3:$N$4001,3,0)),"",VLOOKUP($R155&amp;AE$2,$K$3:$N$4001,3,0))</f>
        <v>40970</v>
      </c>
      <c r="AF155" s="109">
        <f>IF(ISNA(VLOOKUP($R155&amp;AE$2,$K$3:$N$4001,4,0)),"",VLOOKUP($R155&amp;AE$2,$K$3:$N$4001,4,0))</f>
        <v>0.48969999999999997</v>
      </c>
      <c r="AG155" s="108">
        <f>IF(ISNA(VLOOKUP($R155&amp;AG$2,$K$3:$N$4001,3,0)),"",VLOOKUP($R155&amp;AG$2,$K$3:$N$4001,3,0))</f>
        <v>41166</v>
      </c>
      <c r="AH155" s="109">
        <f>IF(ISNA(VLOOKUP($R155&amp;AG$2,$K$3:$N$4001,4,0)),"",VLOOKUP($R155&amp;AG$2,$K$3:$N$4001,4,0))</f>
        <v>0.52229999999999999</v>
      </c>
      <c r="AI155" s="108">
        <f>IF(ISNA(VLOOKUP($R155&amp;AI$2,$K$3:$N$4001,3,0)),"",VLOOKUP($R155&amp;AI$2,$K$3:$N$4001,3,0))</f>
        <v>41337</v>
      </c>
      <c r="AJ155" s="109">
        <f>IF(ISNA(VLOOKUP($R155&amp;AI$2,$K$3:$N$4001,4,0)),"",VLOOKUP($R155&amp;AI$2,$K$3:$N$4001,4,0))</f>
        <v>0.61109999999999998</v>
      </c>
      <c r="AK155" s="108">
        <f>IF(ISNA(VLOOKUP($R155&amp;AK$2,$K$3:$N$4001,3,0)),"",VLOOKUP($R155&amp;AK$2,$K$3:$N$4001,3,0))</f>
        <v>41533</v>
      </c>
      <c r="AL155" s="109">
        <f>IF(ISNA(VLOOKUP($R155&amp;AK$2,$K$3:$N$4001,4,0)),"",VLOOKUP($R155&amp;AK$2,$K$3:$N$4001,4,0))</f>
        <v>0.65189999999999992</v>
      </c>
    </row>
    <row r="156" spans="3:38" x14ac:dyDescent="0.2">
      <c r="C156" s="96" t="str">
        <f t="shared" si="8"/>
        <v>ANZ2</v>
      </c>
      <c r="D156" s="73" t="s">
        <v>79</v>
      </c>
      <c r="E156" s="100">
        <v>40122</v>
      </c>
      <c r="F156" s="101">
        <v>0.74</v>
      </c>
      <c r="G156" s="96">
        <f t="shared" si="9"/>
        <v>2</v>
      </c>
      <c r="I156" s="96"/>
      <c r="K156" t="str">
        <f t="shared" si="10"/>
        <v>ANZ2</v>
      </c>
      <c r="L156" s="73" t="s">
        <v>79</v>
      </c>
      <c r="M156" s="72">
        <v>40122</v>
      </c>
      <c r="N156" s="84">
        <v>0.74</v>
      </c>
      <c r="O156" s="96">
        <f t="shared" si="11"/>
        <v>2</v>
      </c>
      <c r="P156" s="73"/>
      <c r="Q156" s="96"/>
      <c r="R156" s="96" t="s">
        <v>266</v>
      </c>
      <c r="S156" s="106" t="str">
        <f>IF(ISNA(VLOOKUP($R156&amp;S$2,$C$3:$F$4001,3,0)),"",VLOOKUP($R156&amp;S$2,$C$3:$F$4001,3,0))</f>
        <v/>
      </c>
      <c r="T156" s="107" t="str">
        <f>IF(ISNA(VLOOKUP($R156&amp;S$2,$C$3:$F$4001,4,0)),"",VLOOKUP($R156&amp;S$2,$C$3:$F$4001,4,0))</f>
        <v/>
      </c>
      <c r="U156" s="106" t="str">
        <f>IF(ISNA(VLOOKUP($R156&amp;U$2,$C$3:$F$4001,3,0)),"",VLOOKUP($R156&amp;U$2,$C$3:$F$4001,3,0))</f>
        <v/>
      </c>
      <c r="V156" s="107" t="str">
        <f>IF(ISNA(VLOOKUP($R156&amp;U$2,$C$3:$F$4001,4,0)),"",VLOOKUP($R156&amp;U$2,$C$3:$F$4001,4,0))</f>
        <v/>
      </c>
      <c r="W156" s="106" t="str">
        <f>IF(ISNA(VLOOKUP($R156&amp;W$2,$C$3:$F$4001,3,0)),"",VLOOKUP($R156&amp;W$2,$C$3:$F$4001,3,0))</f>
        <v/>
      </c>
      <c r="X156" s="107" t="str">
        <f>IF(ISNA(VLOOKUP($R156&amp;W$2,$C$3:$F$4001,4,0)),"",VLOOKUP($R156&amp;W$2,$C$3:$F$4001,4,0))</f>
        <v/>
      </c>
      <c r="Y156" s="106" t="str">
        <f>IF(ISNA(VLOOKUP($R156&amp;Y$2,$C$3:$F$4001,3,0)),"",VLOOKUP($R156&amp;Y$2,$C$3:$F$4001,3,0))</f>
        <v/>
      </c>
      <c r="Z156" s="107" t="str">
        <f>IF(ISNA(VLOOKUP($R156&amp;Y$2,$C$3:$F$4001,4,0)),"",VLOOKUP($R156&amp;Y$2,$C$3:$F$4001,4,0))</f>
        <v/>
      </c>
      <c r="AA156" s="106" t="str">
        <f>IF(ISNA(VLOOKUP($R156&amp;AA$2,$C$3:$F$4001,3,0)),"",VLOOKUP($R156&amp;AA$2,$C$3:$F$4001,3,0))</f>
        <v/>
      </c>
      <c r="AB156" s="107" t="str">
        <f>IF(ISNA(VLOOKUP($R156&amp;AA$2,$C$3:$F$4001,4,0)),"",VLOOKUP($R156&amp;AA$2,$C$3:$F$4001,4,0))</f>
        <v/>
      </c>
      <c r="AC156" s="106" t="str">
        <f>IF(ISNA(VLOOKUP($R156&amp;AC$2,$C$3:$F$4001,3,0)),"",VLOOKUP($R156&amp;AC$2,$C$3:$F$4001,3,0))</f>
        <v/>
      </c>
      <c r="AD156" s="107" t="str">
        <f>IF(ISNA(VLOOKUP($R156&amp;AC$2,$C$3:$F$4001,4,0)),"",VLOOKUP($R156&amp;AC$2,$C$3:$F$4001,4,0))</f>
        <v/>
      </c>
      <c r="AE156" s="106" t="str">
        <f>IF(ISNA(VLOOKUP($R156&amp;AE$2,$C$3:$F$4001,3,0)),"",VLOOKUP($R156&amp;AE$2,$C$3:$F$4001,3,0))</f>
        <v/>
      </c>
      <c r="AF156" s="107" t="str">
        <f>IF(ISNA(VLOOKUP($R156&amp;AE$2,$C$3:$F$4001,4,0)),"",VLOOKUP($R156&amp;AE$2,$C$3:$F$4001,4,0))</f>
        <v/>
      </c>
      <c r="AG156" s="106" t="str">
        <f>IF(ISNA(VLOOKUP($R156&amp;AG$2,$C$3:$F$4001,3,0)),"",VLOOKUP($R156&amp;AG$2,$C$3:$F$4001,3,0))</f>
        <v/>
      </c>
      <c r="AH156" s="107" t="str">
        <f>IF(ISNA(VLOOKUP($R156&amp;AG$2,$C$3:$F$4001,4,0)),"",VLOOKUP($R156&amp;AG$2,$C$3:$F$4001,4,0))</f>
        <v/>
      </c>
      <c r="AI156" s="106" t="str">
        <f>IF(ISNA(VLOOKUP($R156&amp;AI$2,$C$3:$F$4001,3,0)),"",VLOOKUP($R156&amp;AI$2,$C$3:$F$4001,3,0))</f>
        <v/>
      </c>
      <c r="AJ156" s="107" t="str">
        <f>IF(ISNA(VLOOKUP($R156&amp;AI$2,$C$3:$F$4001,4,0)),"",VLOOKUP($R156&amp;AI$2,$C$3:$F$4001,4,0))</f>
        <v/>
      </c>
      <c r="AK156" s="106" t="str">
        <f>IF(ISNA(VLOOKUP($R156&amp;AK$2,$C$3:$F$4001,3,0)),"",VLOOKUP($R156&amp;AK$2,$C$3:$F$4001,3,0))</f>
        <v/>
      </c>
      <c r="AL156" s="107" t="str">
        <f>IF(ISNA(VLOOKUP($R156&amp;AK$2,$C$3:$F$4001,4,0)),"",VLOOKUP($R156&amp;AK$2,$C$3:$F$4001,4,0))</f>
        <v/>
      </c>
    </row>
    <row r="157" spans="3:38" x14ac:dyDescent="0.2">
      <c r="C157" s="96" t="str">
        <f t="shared" si="8"/>
        <v>ANZ3</v>
      </c>
      <c r="D157" s="73" t="s">
        <v>79</v>
      </c>
      <c r="E157" s="100">
        <v>40305</v>
      </c>
      <c r="F157" s="101">
        <v>0.62</v>
      </c>
      <c r="G157" s="96">
        <f t="shared" si="9"/>
        <v>3</v>
      </c>
      <c r="I157" s="96"/>
      <c r="K157" t="str">
        <f t="shared" si="10"/>
        <v>ANZ3</v>
      </c>
      <c r="L157" s="73" t="s">
        <v>79</v>
      </c>
      <c r="M157" s="72">
        <v>40305</v>
      </c>
      <c r="N157" s="84">
        <v>0.62</v>
      </c>
      <c r="O157" s="96">
        <f t="shared" si="11"/>
        <v>3</v>
      </c>
      <c r="P157" s="73"/>
      <c r="Q157" s="96"/>
      <c r="R157" s="96" t="str">
        <f>R156</f>
        <v>FMG</v>
      </c>
      <c r="S157" s="108" t="str">
        <f>IF(ISNA(VLOOKUP($R157&amp;S$2,$K$3:$N$4001,3,0)),"",VLOOKUP($R157&amp;S$2,$K$3:$N$4001,3,0))</f>
        <v/>
      </c>
      <c r="T157" s="109" t="str">
        <f>IF(ISNA(VLOOKUP($R157&amp;S$2,$K$3:$N$4001,4,0)),"",VLOOKUP($R157&amp;S$2,$K$3:$N$4001,4,0))</f>
        <v/>
      </c>
      <c r="U157" s="108" t="str">
        <f>IF(ISNA(VLOOKUP($R157&amp;U$2,$K$3:$N$4001,3,0)),"",VLOOKUP($R157&amp;U$2,$K$3:$N$4001,3,0))</f>
        <v/>
      </c>
      <c r="V157" s="109" t="str">
        <f>IF(ISNA(VLOOKUP($R157&amp;U$2,$K$3:$N$4001,4,0)),"",VLOOKUP($R157&amp;U$2,$K$3:$N$4001,4,0))</f>
        <v/>
      </c>
      <c r="W157" s="108" t="str">
        <f>IF(ISNA(VLOOKUP($R157&amp;W$2,$K$3:$N$4001,3,0)),"",VLOOKUP($R157&amp;W$2,$K$3:$N$4001,3,0))</f>
        <v/>
      </c>
      <c r="X157" s="109" t="str">
        <f>IF(ISNA(VLOOKUP($R157&amp;W$2,$K$3:$N$4001,4,0)),"",VLOOKUP($R157&amp;W$2,$K$3:$N$4001,4,0))</f>
        <v/>
      </c>
      <c r="Y157" s="108" t="str">
        <f>IF(ISNA(VLOOKUP($R157&amp;Y$2,$K$3:$N$4001,3,0)),"",VLOOKUP($R157&amp;Y$2,$K$3:$N$4001,3,0))</f>
        <v/>
      </c>
      <c r="Z157" s="109" t="str">
        <f>IF(ISNA(VLOOKUP($R157&amp;Y$2,$K$3:$N$4001,4,0)),"",VLOOKUP($R157&amp;Y$2,$K$3:$N$4001,4,0))</f>
        <v/>
      </c>
      <c r="AA157" s="108" t="str">
        <f>IF(ISNA(VLOOKUP($R157&amp;AA$2,$K$3:$N$4001,3,0)),"",VLOOKUP($R157&amp;AA$2,$K$3:$N$4001,3,0))</f>
        <v/>
      </c>
      <c r="AB157" s="109" t="str">
        <f>IF(ISNA(VLOOKUP($R157&amp;AA$2,$K$3:$N$4001,4,0)),"",VLOOKUP($R157&amp;AA$2,$K$3:$N$4001,4,0))</f>
        <v/>
      </c>
      <c r="AC157" s="108" t="str">
        <f>IF(ISNA(VLOOKUP($R157&amp;AC$2,$K$3:$N$4001,3,0)),"",VLOOKUP($R157&amp;AC$2,$K$3:$N$4001,3,0))</f>
        <v/>
      </c>
      <c r="AD157" s="109" t="str">
        <f>IF(ISNA(VLOOKUP($R157&amp;AC$2,$K$3:$N$4001,4,0)),"",VLOOKUP($R157&amp;AC$2,$K$3:$N$4001,4,0))</f>
        <v/>
      </c>
      <c r="AE157" s="108" t="str">
        <f>IF(ISNA(VLOOKUP($R157&amp;AE$2,$K$3:$N$4001,3,0)),"",VLOOKUP($R157&amp;AE$2,$K$3:$N$4001,3,0))</f>
        <v/>
      </c>
      <c r="AF157" s="109" t="str">
        <f>IF(ISNA(VLOOKUP($R157&amp;AE$2,$K$3:$N$4001,4,0)),"",VLOOKUP($R157&amp;AE$2,$K$3:$N$4001,4,0))</f>
        <v/>
      </c>
      <c r="AG157" s="108" t="str">
        <f>IF(ISNA(VLOOKUP($R157&amp;AG$2,$K$3:$N$4001,3,0)),"",VLOOKUP($R157&amp;AG$2,$K$3:$N$4001,3,0))</f>
        <v/>
      </c>
      <c r="AH157" s="109" t="str">
        <f>IF(ISNA(VLOOKUP($R157&amp;AG$2,$K$3:$N$4001,4,0)),"",VLOOKUP($R157&amp;AG$2,$K$3:$N$4001,4,0))</f>
        <v/>
      </c>
      <c r="AI157" s="108" t="str">
        <f>IF(ISNA(VLOOKUP($R157&amp;AI$2,$K$3:$N$4001,3,0)),"",VLOOKUP($R157&amp;AI$2,$K$3:$N$4001,3,0))</f>
        <v/>
      </c>
      <c r="AJ157" s="109" t="str">
        <f>IF(ISNA(VLOOKUP($R157&amp;AI$2,$K$3:$N$4001,4,0)),"",VLOOKUP($R157&amp;AI$2,$K$3:$N$4001,4,0))</f>
        <v/>
      </c>
      <c r="AK157" s="108" t="str">
        <f>IF(ISNA(VLOOKUP($R157&amp;AK$2,$K$3:$N$4001,3,0)),"",VLOOKUP($R157&amp;AK$2,$K$3:$N$4001,3,0))</f>
        <v/>
      </c>
      <c r="AL157" s="109" t="str">
        <f>IF(ISNA(VLOOKUP($R157&amp;AK$2,$K$3:$N$4001,4,0)),"",VLOOKUP($R157&amp;AK$2,$K$3:$N$4001,4,0))</f>
        <v/>
      </c>
    </row>
    <row r="158" spans="3:38" x14ac:dyDescent="0.2">
      <c r="C158" s="96" t="str">
        <f t="shared" si="8"/>
        <v>ANZ4</v>
      </c>
      <c r="D158" s="73" t="s">
        <v>79</v>
      </c>
      <c r="E158" s="100">
        <v>40487</v>
      </c>
      <c r="F158" s="101">
        <v>0.74</v>
      </c>
      <c r="G158" s="96">
        <f t="shared" si="9"/>
        <v>4</v>
      </c>
      <c r="I158" s="96"/>
      <c r="K158" t="str">
        <f t="shared" si="10"/>
        <v>ANZ4</v>
      </c>
      <c r="L158" s="73" t="s">
        <v>79</v>
      </c>
      <c r="M158" s="72">
        <v>40487</v>
      </c>
      <c r="N158" s="84">
        <v>0.74</v>
      </c>
      <c r="O158" s="96">
        <f t="shared" si="11"/>
        <v>4</v>
      </c>
      <c r="P158" s="73"/>
      <c r="Q158" s="96"/>
      <c r="R158" s="96" t="s">
        <v>130</v>
      </c>
      <c r="S158" s="106">
        <f>IF(ISNA(VLOOKUP($R158&amp;S$2,$C$3:$F$4001,3,0)),"",VLOOKUP($R158&amp;S$2,$C$3:$F$4001,3,0))</f>
        <v>39868</v>
      </c>
      <c r="T158" s="107">
        <f>IF(ISNA(VLOOKUP($R158&amp;S$2,$C$3:$F$4001,4,0)),"",VLOOKUP($R158&amp;S$2,$C$3:$F$4001,4,0))</f>
        <v>0.125</v>
      </c>
      <c r="U158" s="106">
        <f>IF(ISNA(VLOOKUP($R158&amp;U$2,$C$3:$F$4001,3,0)),"",VLOOKUP($R158&amp;U$2,$C$3:$F$4001,3,0))</f>
        <v>40058</v>
      </c>
      <c r="V158" s="107">
        <f>IF(ISNA(VLOOKUP($R158&amp;U$2,$C$3:$F$4001,4,0)),"",VLOOKUP($R158&amp;U$2,$C$3:$F$4001,4,0))</f>
        <v>0.14749999999999999</v>
      </c>
      <c r="W158" s="106">
        <f>IF(ISNA(VLOOKUP($R158&amp;W$2,$C$3:$F$4001,3,0)),"",VLOOKUP($R158&amp;W$2,$C$3:$F$4001,3,0))</f>
        <v>40233</v>
      </c>
      <c r="X158" s="107">
        <f>IF(ISNA(VLOOKUP($R158&amp;W$2,$C$3:$F$4001,4,0)),"",VLOOKUP($R158&amp;W$2,$C$3:$F$4001,4,0))</f>
        <v>0.13</v>
      </c>
      <c r="Y158" s="106">
        <f>IF(ISNA(VLOOKUP($R158&amp;Y$2,$C$3:$F$4001,3,0)),"",VLOOKUP($R158&amp;Y$2,$C$3:$F$4001,3,0))</f>
        <v>40423</v>
      </c>
      <c r="Z158" s="107">
        <f>IF(ISNA(VLOOKUP($R158&amp;Y$2,$C$3:$F$4001,4,0)),"",VLOOKUP($R158&amp;Y$2,$C$3:$F$4001,4,0))</f>
        <v>0.16250000000000001</v>
      </c>
      <c r="AA158" s="106">
        <f>IF(ISNA(VLOOKUP($R158&amp;AA$2,$C$3:$F$4001,3,0)),"",VLOOKUP($R158&amp;AA$2,$C$3:$F$4001,3,0))</f>
        <v>40598</v>
      </c>
      <c r="AB158" s="107">
        <f>IF(ISNA(VLOOKUP($R158&amp;AA$2,$C$3:$F$4001,4,0)),"",VLOOKUP($R158&amp;AA$2,$C$3:$F$4001,4,0))</f>
        <v>0.14000000000000001</v>
      </c>
      <c r="AC158" s="106">
        <f>IF(ISNA(VLOOKUP($R158&amp;AC$2,$C$3:$F$4001,3,0)),"",VLOOKUP($R158&amp;AC$2,$C$3:$F$4001,3,0))</f>
        <v>40788</v>
      </c>
      <c r="AD158" s="107">
        <f>IF(ISNA(VLOOKUP($R158&amp;AC$2,$C$3:$F$4001,4,0)),"",VLOOKUP($R158&amp;AC$2,$C$3:$F$4001,4,0))</f>
        <v>0.17499999999999999</v>
      </c>
      <c r="AE158" s="106">
        <f>IF(ISNA(VLOOKUP($R158&amp;AE$2,$C$3:$F$4001,3,0)),"",VLOOKUP($R158&amp;AE$2,$C$3:$F$4001,3,0))</f>
        <v>40966</v>
      </c>
      <c r="AF158" s="107">
        <f>IF(ISNA(VLOOKUP($R158&amp;AE$2,$C$3:$F$4001,4,0)),"",VLOOKUP($R158&amp;AE$2,$C$3:$F$4001,4,0))</f>
        <v>0.15</v>
      </c>
      <c r="AG158" s="106">
        <f>IF(ISNA(VLOOKUP($R158&amp;AG$2,$C$3:$F$4001,3,0)),"",VLOOKUP($R158&amp;AG$2,$C$3:$F$4001,3,0))</f>
        <v>41156</v>
      </c>
      <c r="AH158" s="107">
        <f>IF(ISNA(VLOOKUP($R158&amp;AG$2,$C$3:$F$4001,4,0)),"",VLOOKUP($R158&amp;AG$2,$C$3:$F$4001,4,0))</f>
        <v>0.1875</v>
      </c>
      <c r="AI158" s="106">
        <f>IF(ISNA(VLOOKUP($R158&amp;AI$2,$C$3:$F$4001,3,0)),"",VLOOKUP($R158&amp;AI$2,$C$3:$F$4001,3,0))</f>
        <v>41331</v>
      </c>
      <c r="AJ158" s="107">
        <f>IF(ISNA(VLOOKUP($R158&amp;AI$2,$C$3:$F$4001,4,0)),"",VLOOKUP($R158&amp;AI$2,$C$3:$F$4001,4,0))</f>
        <v>0.155</v>
      </c>
      <c r="AK158" s="106">
        <f>IF(ISNA(VLOOKUP($R158&amp;AK$2,$C$3:$F$4001,3,0)),"",VLOOKUP($R158&amp;AK$2,$C$3:$F$4001,3,0))</f>
        <v>41521</v>
      </c>
      <c r="AL158" s="107">
        <f>IF(ISNA(VLOOKUP($R158&amp;AK$2,$C$3:$F$4001,4,0)),"",VLOOKUP($R158&amp;AK$2,$C$3:$F$4001,4,0))</f>
        <v>0.19500000000000001</v>
      </c>
    </row>
    <row r="159" spans="3:38" x14ac:dyDescent="0.2">
      <c r="C159" s="96" t="str">
        <f t="shared" si="8"/>
        <v>ANZ5</v>
      </c>
      <c r="D159" s="73" t="s">
        <v>79</v>
      </c>
      <c r="E159" s="100">
        <v>40672</v>
      </c>
      <c r="F159" s="101">
        <v>0.64</v>
      </c>
      <c r="G159" s="96">
        <f t="shared" si="9"/>
        <v>5</v>
      </c>
      <c r="I159" s="96"/>
      <c r="K159" t="str">
        <f t="shared" si="10"/>
        <v>ANZ5</v>
      </c>
      <c r="L159" s="73" t="s">
        <v>79</v>
      </c>
      <c r="M159" s="72">
        <v>40672</v>
      </c>
      <c r="N159" s="84">
        <v>0.64</v>
      </c>
      <c r="O159" s="96">
        <f t="shared" si="11"/>
        <v>5</v>
      </c>
      <c r="P159" s="73"/>
      <c r="Q159" s="96"/>
      <c r="R159" s="96" t="str">
        <f>R158</f>
        <v>FGL</v>
      </c>
      <c r="S159" s="108">
        <f>IF(ISNA(VLOOKUP($R159&amp;S$2,$K$3:$N$4001,3,0)),"",VLOOKUP($R159&amp;S$2,$K$3:$N$4001,3,0))</f>
        <v>39868</v>
      </c>
      <c r="T159" s="109">
        <f>IF(ISNA(VLOOKUP($R159&amp;S$2,$K$3:$N$4001,4,0)),"",VLOOKUP($R159&amp;S$2,$K$3:$N$4001,4,0))</f>
        <v>0.125</v>
      </c>
      <c r="U159" s="108">
        <f>IF(ISNA(VLOOKUP($R159&amp;U$2,$K$3:$N$4001,3,0)),"",VLOOKUP($R159&amp;U$2,$K$3:$N$4001,3,0))</f>
        <v>40058</v>
      </c>
      <c r="V159" s="109">
        <f>IF(ISNA(VLOOKUP($R159&amp;U$2,$K$3:$N$4001,4,0)),"",VLOOKUP($R159&amp;U$2,$K$3:$N$4001,4,0))</f>
        <v>0.14749999999999999</v>
      </c>
      <c r="W159" s="108">
        <f>IF(ISNA(VLOOKUP($R159&amp;W$2,$K$3:$N$4001,3,0)),"",VLOOKUP($R159&amp;W$2,$K$3:$N$4001,3,0))</f>
        <v>40233</v>
      </c>
      <c r="X159" s="109">
        <f>IF(ISNA(VLOOKUP($R159&amp;W$2,$K$3:$N$4001,4,0)),"",VLOOKUP($R159&amp;W$2,$K$3:$N$4001,4,0))</f>
        <v>0.13</v>
      </c>
      <c r="Y159" s="108">
        <f>IF(ISNA(VLOOKUP($R159&amp;Y$2,$K$3:$N$4001,3,0)),"",VLOOKUP($R159&amp;Y$2,$K$3:$N$4001,3,0))</f>
        <v>40423</v>
      </c>
      <c r="Z159" s="109">
        <f>IF(ISNA(VLOOKUP($R159&amp;Y$2,$K$3:$N$4001,4,0)),"",VLOOKUP($R159&amp;Y$2,$K$3:$N$4001,4,0))</f>
        <v>0.16250000000000001</v>
      </c>
      <c r="AA159" s="108">
        <f>IF(ISNA(VLOOKUP($R159&amp;AA$2,$K$3:$N$4001,3,0)),"",VLOOKUP($R159&amp;AA$2,$K$3:$N$4001,3,0))</f>
        <v>40598</v>
      </c>
      <c r="AB159" s="109">
        <f>IF(ISNA(VLOOKUP($R159&amp;AA$2,$K$3:$N$4001,4,0)),"",VLOOKUP($R159&amp;AA$2,$K$3:$N$4001,4,0))</f>
        <v>0.14000000000000001</v>
      </c>
      <c r="AC159" s="108">
        <f>IF(ISNA(VLOOKUP($R159&amp;AC$2,$K$3:$N$4001,3,0)),"",VLOOKUP($R159&amp;AC$2,$K$3:$N$4001,3,0))</f>
        <v>40788</v>
      </c>
      <c r="AD159" s="109">
        <f>IF(ISNA(VLOOKUP($R159&amp;AC$2,$K$3:$N$4001,4,0)),"",VLOOKUP($R159&amp;AC$2,$K$3:$N$4001,4,0))</f>
        <v>0.17499999999999999</v>
      </c>
      <c r="AE159" s="108">
        <f>IF(ISNA(VLOOKUP($R159&amp;AE$2,$K$3:$N$4001,3,0)),"",VLOOKUP($R159&amp;AE$2,$K$3:$N$4001,3,0))</f>
        <v>40966</v>
      </c>
      <c r="AF159" s="109">
        <f>IF(ISNA(VLOOKUP($R159&amp;AE$2,$K$3:$N$4001,4,0)),"",VLOOKUP($R159&amp;AE$2,$K$3:$N$4001,4,0))</f>
        <v>0.15</v>
      </c>
      <c r="AG159" s="108">
        <f>IF(ISNA(VLOOKUP($R159&amp;AG$2,$K$3:$N$4001,3,0)),"",VLOOKUP($R159&amp;AG$2,$K$3:$N$4001,3,0))</f>
        <v>41156</v>
      </c>
      <c r="AH159" s="109">
        <f>IF(ISNA(VLOOKUP($R159&amp;AG$2,$K$3:$N$4001,4,0)),"",VLOOKUP($R159&amp;AG$2,$K$3:$N$4001,4,0))</f>
        <v>0.1875</v>
      </c>
      <c r="AI159" s="108">
        <f>IF(ISNA(VLOOKUP($R159&amp;AI$2,$K$3:$N$4001,3,0)),"",VLOOKUP($R159&amp;AI$2,$K$3:$N$4001,3,0))</f>
        <v>41331</v>
      </c>
      <c r="AJ159" s="109">
        <f>IF(ISNA(VLOOKUP($R159&amp;AI$2,$K$3:$N$4001,4,0)),"",VLOOKUP($R159&amp;AI$2,$K$3:$N$4001,4,0))</f>
        <v>0.155</v>
      </c>
      <c r="AK159" s="108">
        <f>IF(ISNA(VLOOKUP($R159&amp;AK$2,$K$3:$N$4001,3,0)),"",VLOOKUP($R159&amp;AK$2,$K$3:$N$4001,3,0))</f>
        <v>41521</v>
      </c>
      <c r="AL159" s="109">
        <f>IF(ISNA(VLOOKUP($R159&amp;AK$2,$K$3:$N$4001,4,0)),"",VLOOKUP($R159&amp;AK$2,$K$3:$N$4001,4,0))</f>
        <v>0.19500000000000001</v>
      </c>
    </row>
    <row r="160" spans="3:38" x14ac:dyDescent="0.2">
      <c r="C160" s="96" t="str">
        <f t="shared" si="8"/>
        <v>ANZ6</v>
      </c>
      <c r="D160" s="73" t="s">
        <v>79</v>
      </c>
      <c r="E160" s="100">
        <v>40854</v>
      </c>
      <c r="F160" s="101">
        <v>0.76</v>
      </c>
      <c r="G160" s="96">
        <f t="shared" si="9"/>
        <v>6</v>
      </c>
      <c r="I160" s="96"/>
      <c r="K160" t="str">
        <f t="shared" si="10"/>
        <v>ANZ6</v>
      </c>
      <c r="L160" s="73" t="s">
        <v>79</v>
      </c>
      <c r="M160" s="72">
        <v>40854</v>
      </c>
      <c r="N160" s="84">
        <v>0.76</v>
      </c>
      <c r="O160" s="96">
        <f t="shared" si="11"/>
        <v>6</v>
      </c>
      <c r="P160" s="73"/>
      <c r="Q160" s="96"/>
      <c r="R160" s="96" t="s">
        <v>129</v>
      </c>
      <c r="S160" s="106">
        <f>IF(ISNA(VLOOKUP($R160&amp;S$2,$C$3:$F$4001,3,0)),"",VLOOKUP($R160&amp;S$2,$C$3:$F$4001,3,0))</f>
        <v>39883</v>
      </c>
      <c r="T160" s="107">
        <f>IF(ISNA(VLOOKUP($R160&amp;S$2,$C$3:$F$4001,4,0)),"",VLOOKUP($R160&amp;S$2,$C$3:$F$4001,4,0))</f>
        <v>0.01</v>
      </c>
      <c r="U160" s="106">
        <f>IF(ISNA(VLOOKUP($R160&amp;U$2,$C$3:$F$4001,3,0)),"",VLOOKUP($R160&amp;U$2,$C$3:$F$4001,3,0))</f>
        <v>40084</v>
      </c>
      <c r="V160" s="107">
        <f>IF(ISNA(VLOOKUP($R160&amp;U$2,$C$3:$F$4001,4,0)),"",VLOOKUP($R160&amp;U$2,$C$3:$F$4001,4,0))</f>
        <v>2.5000000000000001E-2</v>
      </c>
      <c r="W160" s="106">
        <f>IF(ISNA(VLOOKUP($R160&amp;W$2,$C$3:$F$4001,3,0)),"",VLOOKUP($R160&amp;W$2,$C$3:$F$4001,3,0))</f>
        <v>40248</v>
      </c>
      <c r="X160" s="107">
        <f>IF(ISNA(VLOOKUP($R160&amp;W$2,$C$3:$F$4001,4,0)),"",VLOOKUP($R160&amp;W$2,$C$3:$F$4001,4,0))</f>
        <v>0.01</v>
      </c>
      <c r="Y160" s="106">
        <f>IF(ISNA(VLOOKUP($R160&amp;Y$2,$C$3:$F$4001,3,0)),"",VLOOKUP($R160&amp;Y$2,$C$3:$F$4001,3,0))</f>
        <v>40449</v>
      </c>
      <c r="Z160" s="107">
        <f>IF(ISNA(VLOOKUP($R160&amp;Y$2,$C$3:$F$4001,4,0)),"",VLOOKUP($R160&amp;Y$2,$C$3:$F$4001,4,0))</f>
        <v>0.03</v>
      </c>
      <c r="AA160" s="106">
        <f>IF(ISNA(VLOOKUP($R160&amp;AA$2,$C$3:$F$4001,3,0)),"",VLOOKUP($R160&amp;AA$2,$C$3:$F$4001,3,0))</f>
        <v>40613</v>
      </c>
      <c r="AB160" s="107">
        <f>IF(ISNA(VLOOKUP($R160&amp;AA$2,$C$3:$F$4001,4,0)),"",VLOOKUP($R160&amp;AA$2,$C$3:$F$4001,4,0))</f>
        <v>1.4999999999999999E-2</v>
      </c>
      <c r="AC160" s="106">
        <f>IF(ISNA(VLOOKUP($R160&amp;AC$2,$C$3:$F$4001,3,0)),"",VLOOKUP($R160&amp;AC$2,$C$3:$F$4001,3,0))</f>
        <v>40815</v>
      </c>
      <c r="AD160" s="107">
        <f>IF(ISNA(VLOOKUP($R160&amp;AC$2,$C$3:$F$4001,4,0)),"",VLOOKUP($R160&amp;AC$2,$C$3:$F$4001,4,0))</f>
        <v>3.5000000000000003E-2</v>
      </c>
      <c r="AE160" s="106">
        <f>IF(ISNA(VLOOKUP($R160&amp;AE$2,$C$3:$F$4001,3,0)),"",VLOOKUP($R160&amp;AE$2,$C$3:$F$4001,3,0))</f>
        <v>40981</v>
      </c>
      <c r="AF160" s="107">
        <f>IF(ISNA(VLOOKUP($R160&amp;AE$2,$C$3:$F$4001,4,0)),"",VLOOKUP($R160&amp;AE$2,$C$3:$F$4001,4,0))</f>
        <v>0.02</v>
      </c>
      <c r="AG160" s="106">
        <f>IF(ISNA(VLOOKUP($R160&amp;AG$2,$C$3:$F$4001,3,0)),"",VLOOKUP($R160&amp;AG$2,$C$3:$F$4001,3,0))</f>
        <v>41183</v>
      </c>
      <c r="AH160" s="107">
        <f>IF(ISNA(VLOOKUP($R160&amp;AG$2,$C$3:$F$4001,4,0)),"",VLOOKUP($R160&amp;AG$2,$C$3:$F$4001,4,0))</f>
        <v>0.04</v>
      </c>
      <c r="AI160" s="106">
        <f>IF(ISNA(VLOOKUP($R160&amp;AI$2,$C$3:$F$4001,3,0)),"",VLOOKUP($R160&amp;AI$2,$C$3:$F$4001,3,0))</f>
        <v>41346</v>
      </c>
      <c r="AJ160" s="107">
        <f>IF(ISNA(VLOOKUP($R160&amp;AI$2,$C$3:$F$4001,4,0)),"",VLOOKUP($R160&amp;AI$2,$C$3:$F$4001,4,0))</f>
        <v>2.5000000000000001E-2</v>
      </c>
      <c r="AK160" s="106">
        <f>IF(ISNA(VLOOKUP($R160&amp;AK$2,$C$3:$F$4001,3,0)),"",VLOOKUP($R160&amp;AK$2,$C$3:$F$4001,3,0))</f>
        <v>41548</v>
      </c>
      <c r="AL160" s="107">
        <f>IF(ISNA(VLOOKUP($R160&amp;AK$2,$C$3:$F$4001,4,0)),"",VLOOKUP($R160&amp;AK$2,$C$3:$F$4001,4,0))</f>
        <v>0.05</v>
      </c>
    </row>
    <row r="161" spans="3:38" x14ac:dyDescent="0.2">
      <c r="C161" s="96" t="str">
        <f t="shared" si="8"/>
        <v>ANZ7</v>
      </c>
      <c r="D161" s="73" t="s">
        <v>79</v>
      </c>
      <c r="E161" s="100">
        <v>41037</v>
      </c>
      <c r="F161" s="101">
        <v>0.66</v>
      </c>
      <c r="G161" s="96">
        <f t="shared" si="9"/>
        <v>7</v>
      </c>
      <c r="I161" s="96"/>
      <c r="K161" t="str">
        <f t="shared" si="10"/>
        <v>ANZ7</v>
      </c>
      <c r="L161" s="73" t="s">
        <v>79</v>
      </c>
      <c r="M161" s="72">
        <v>41037</v>
      </c>
      <c r="N161" s="84">
        <v>0.66</v>
      </c>
      <c r="O161" s="96">
        <f t="shared" si="11"/>
        <v>7</v>
      </c>
      <c r="P161" s="73"/>
      <c r="Q161" s="96"/>
      <c r="R161" s="96" t="str">
        <f>R160</f>
        <v>FCL</v>
      </c>
      <c r="S161" s="108">
        <f>IF(ISNA(VLOOKUP($R161&amp;S$2,$K$3:$N$4001,3,0)),"",VLOOKUP($R161&amp;S$2,$K$3:$N$4001,3,0))</f>
        <v>39883</v>
      </c>
      <c r="T161" s="109">
        <f>IF(ISNA(VLOOKUP($R161&amp;S$2,$K$3:$N$4001,4,0)),"",VLOOKUP($R161&amp;S$2,$K$3:$N$4001,4,0))</f>
        <v>0.01</v>
      </c>
      <c r="U161" s="108">
        <f>IF(ISNA(VLOOKUP($R161&amp;U$2,$K$3:$N$4001,3,0)),"",VLOOKUP($R161&amp;U$2,$K$3:$N$4001,3,0))</f>
        <v>40084</v>
      </c>
      <c r="V161" s="109">
        <f>IF(ISNA(VLOOKUP($R161&amp;U$2,$K$3:$N$4001,4,0)),"",VLOOKUP($R161&amp;U$2,$K$3:$N$4001,4,0))</f>
        <v>2.5000000000000001E-2</v>
      </c>
      <c r="W161" s="108">
        <f>IF(ISNA(VLOOKUP($R161&amp;W$2,$K$3:$N$4001,3,0)),"",VLOOKUP($R161&amp;W$2,$K$3:$N$4001,3,0))</f>
        <v>40248</v>
      </c>
      <c r="X161" s="109">
        <f>IF(ISNA(VLOOKUP($R161&amp;W$2,$K$3:$N$4001,4,0)),"",VLOOKUP($R161&amp;W$2,$K$3:$N$4001,4,0))</f>
        <v>0.01</v>
      </c>
      <c r="Y161" s="108">
        <f>IF(ISNA(VLOOKUP($R161&amp;Y$2,$K$3:$N$4001,3,0)),"",VLOOKUP($R161&amp;Y$2,$K$3:$N$4001,3,0))</f>
        <v>40449</v>
      </c>
      <c r="Z161" s="109">
        <f>IF(ISNA(VLOOKUP($R161&amp;Y$2,$K$3:$N$4001,4,0)),"",VLOOKUP($R161&amp;Y$2,$K$3:$N$4001,4,0))</f>
        <v>0.03</v>
      </c>
      <c r="AA161" s="108">
        <f>IF(ISNA(VLOOKUP($R161&amp;AA$2,$K$3:$N$4001,3,0)),"",VLOOKUP($R161&amp;AA$2,$K$3:$N$4001,3,0))</f>
        <v>40613</v>
      </c>
      <c r="AB161" s="109">
        <f>IF(ISNA(VLOOKUP($R161&amp;AA$2,$K$3:$N$4001,4,0)),"",VLOOKUP($R161&amp;AA$2,$K$3:$N$4001,4,0))</f>
        <v>1.4999999999999999E-2</v>
      </c>
      <c r="AC161" s="108">
        <f>IF(ISNA(VLOOKUP($R161&amp;AC$2,$K$3:$N$4001,3,0)),"",VLOOKUP($R161&amp;AC$2,$K$3:$N$4001,3,0))</f>
        <v>40815</v>
      </c>
      <c r="AD161" s="109">
        <f>IF(ISNA(VLOOKUP($R161&amp;AC$2,$K$3:$N$4001,4,0)),"",VLOOKUP($R161&amp;AC$2,$K$3:$N$4001,4,0))</f>
        <v>3.5000000000000003E-2</v>
      </c>
      <c r="AE161" s="108">
        <f>IF(ISNA(VLOOKUP($R161&amp;AE$2,$K$3:$N$4001,3,0)),"",VLOOKUP($R161&amp;AE$2,$K$3:$N$4001,3,0))</f>
        <v>40981</v>
      </c>
      <c r="AF161" s="109">
        <f>IF(ISNA(VLOOKUP($R161&amp;AE$2,$K$3:$N$4001,4,0)),"",VLOOKUP($R161&amp;AE$2,$K$3:$N$4001,4,0))</f>
        <v>0.02</v>
      </c>
      <c r="AG161" s="108">
        <f>IF(ISNA(VLOOKUP($R161&amp;AG$2,$K$3:$N$4001,3,0)),"",VLOOKUP($R161&amp;AG$2,$K$3:$N$4001,3,0))</f>
        <v>41183</v>
      </c>
      <c r="AH161" s="109">
        <f>IF(ISNA(VLOOKUP($R161&amp;AG$2,$K$3:$N$4001,4,0)),"",VLOOKUP($R161&amp;AG$2,$K$3:$N$4001,4,0))</f>
        <v>0.04</v>
      </c>
      <c r="AI161" s="108">
        <f>IF(ISNA(VLOOKUP($R161&amp;AI$2,$K$3:$N$4001,3,0)),"",VLOOKUP($R161&amp;AI$2,$K$3:$N$4001,3,0))</f>
        <v>41346</v>
      </c>
      <c r="AJ161" s="109">
        <f>IF(ISNA(VLOOKUP($R161&amp;AI$2,$K$3:$N$4001,4,0)),"",VLOOKUP($R161&amp;AI$2,$K$3:$N$4001,4,0))</f>
        <v>2.5000000000000001E-2</v>
      </c>
      <c r="AK161" s="108">
        <f>IF(ISNA(VLOOKUP($R161&amp;AK$2,$K$3:$N$4001,3,0)),"",VLOOKUP($R161&amp;AK$2,$K$3:$N$4001,3,0))</f>
        <v>41548</v>
      </c>
      <c r="AL161" s="109">
        <f>IF(ISNA(VLOOKUP($R161&amp;AK$2,$K$3:$N$4001,4,0)),"",VLOOKUP($R161&amp;AK$2,$K$3:$N$4001,4,0))</f>
        <v>0.05</v>
      </c>
    </row>
    <row r="162" spans="3:38" x14ac:dyDescent="0.2">
      <c r="C162" s="96" t="str">
        <f t="shared" si="8"/>
        <v>ANZ8</v>
      </c>
      <c r="D162" s="73" t="s">
        <v>79</v>
      </c>
      <c r="E162" s="100">
        <v>41219</v>
      </c>
      <c r="F162" s="101">
        <v>0.8</v>
      </c>
      <c r="G162" s="96">
        <f t="shared" si="9"/>
        <v>8</v>
      </c>
      <c r="I162" s="96"/>
      <c r="K162" t="str">
        <f t="shared" si="10"/>
        <v>ANZ8</v>
      </c>
      <c r="L162" s="73" t="s">
        <v>79</v>
      </c>
      <c r="M162" s="72">
        <v>41219</v>
      </c>
      <c r="N162" s="84">
        <v>0.8</v>
      </c>
      <c r="O162" s="96">
        <f t="shared" si="11"/>
        <v>8</v>
      </c>
      <c r="P162" s="73"/>
      <c r="Q162" s="96"/>
      <c r="R162" s="96" t="s">
        <v>251</v>
      </c>
      <c r="S162" s="106">
        <f>IF(ISNA(VLOOKUP($R162&amp;S$2,$C$3:$F$4001,3,0)),"",VLOOKUP($R162&amp;S$2,$C$3:$F$4001,3,0))</f>
        <v>39876</v>
      </c>
      <c r="T162" s="107">
        <f>IF(ISNA(VLOOKUP($R162&amp;S$2,$C$3:$F$4001,4,0)),"",VLOOKUP($R162&amp;S$2,$C$3:$F$4001,4,0))</f>
        <v>9.8100000000000007E-2</v>
      </c>
      <c r="U162" s="106">
        <f>IF(ISNA(VLOOKUP($R162&amp;U$2,$C$3:$F$4001,3,0)),"",VLOOKUP($R162&amp;U$2,$C$3:$F$4001,3,0))</f>
        <v>40060</v>
      </c>
      <c r="V162" s="107">
        <f>IF(ISNA(VLOOKUP($R162&amp;U$2,$C$3:$F$4001,4,0)),"",VLOOKUP($R162&amp;U$2,$C$3:$F$4001,4,0))</f>
        <v>0.31390000000000001</v>
      </c>
      <c r="W162" s="106">
        <f>IF(ISNA(VLOOKUP($R162&amp;W$2,$C$3:$F$4001,3,0)),"",VLOOKUP($R162&amp;W$2,$C$3:$F$4001,3,0))</f>
        <v>40242</v>
      </c>
      <c r="X162" s="107">
        <f>IF(ISNA(VLOOKUP($R162&amp;W$2,$C$3:$F$4001,4,0)),"",VLOOKUP($R162&amp;W$2,$C$3:$F$4001,4,0))</f>
        <v>0.1202</v>
      </c>
      <c r="Y162" s="106">
        <f>IF(ISNA(VLOOKUP($R162&amp;Y$2,$C$3:$F$4001,3,0)),"",VLOOKUP($R162&amp;Y$2,$C$3:$F$4001,3,0))</f>
        <v>40427</v>
      </c>
      <c r="Z162" s="107">
        <f>IF(ISNA(VLOOKUP($R162&amp;Y$2,$C$3:$F$4001,4,0)),"",VLOOKUP($R162&amp;Y$2,$C$3:$F$4001,4,0))</f>
        <v>0.38479999999999998</v>
      </c>
      <c r="AA162" s="106">
        <f>IF(ISNA(VLOOKUP($R162&amp;AA$2,$C$3:$F$4001,3,0)),"",VLOOKUP($R162&amp;AA$2,$C$3:$F$4001,3,0))</f>
        <v>40609</v>
      </c>
      <c r="AB162" s="107">
        <f>IF(ISNA(VLOOKUP($R162&amp;AA$2,$C$3:$F$4001,4,0)),"",VLOOKUP($R162&amp;AA$2,$C$3:$F$4001,4,0))</f>
        <v>0.12759999999999999</v>
      </c>
      <c r="AC162" s="106">
        <f>IF(ISNA(VLOOKUP($R162&amp;AC$2,$C$3:$F$4001,3,0)),"",VLOOKUP($R162&amp;AC$2,$C$3:$F$4001,3,0))</f>
        <v>40792</v>
      </c>
      <c r="AD162" s="107">
        <f>IF(ISNA(VLOOKUP($R162&amp;AC$2,$C$3:$F$4001,4,0)),"",VLOOKUP($R162&amp;AC$2,$C$3:$F$4001,4,0))</f>
        <v>0.40840000000000004</v>
      </c>
      <c r="AE162" s="106">
        <f>IF(ISNA(VLOOKUP($R162&amp;AE$2,$C$3:$F$4001,3,0)),"",VLOOKUP($R162&amp;AE$2,$C$3:$F$4001,3,0))</f>
        <v>40974</v>
      </c>
      <c r="AF162" s="107">
        <f>IF(ISNA(VLOOKUP($R162&amp;AE$2,$C$3:$F$4001,4,0)),"",VLOOKUP($R162&amp;AE$2,$C$3:$F$4001,4,0))</f>
        <v>0.22</v>
      </c>
      <c r="AG162" s="106">
        <f>IF(ISNA(VLOOKUP($R162&amp;AG$2,$C$3:$F$4001,3,0)),"",VLOOKUP($R162&amp;AG$2,$C$3:$F$4001,3,0))</f>
        <v>41158</v>
      </c>
      <c r="AH162" s="107">
        <f>IF(ISNA(VLOOKUP($R162&amp;AG$2,$C$3:$F$4001,4,0)),"",VLOOKUP($R162&amp;AG$2,$C$3:$F$4001,4,0))</f>
        <v>0.45</v>
      </c>
      <c r="AI162" s="106">
        <f>IF(ISNA(VLOOKUP($R162&amp;AI$2,$C$3:$F$4001,3,0)),"",VLOOKUP($R162&amp;AI$2,$C$3:$F$4001,3,0))</f>
        <v>41339</v>
      </c>
      <c r="AJ162" s="107">
        <f>IF(ISNA(VLOOKUP($R162&amp;AI$2,$C$3:$F$4001,4,0)),"",VLOOKUP($R162&amp;AI$2,$C$3:$F$4001,4,0))</f>
        <v>0.28010000000000002</v>
      </c>
      <c r="AK162" s="106">
        <f>IF(ISNA(VLOOKUP($R162&amp;AK$2,$C$3:$F$4001,3,0)),"",VLOOKUP($R162&amp;AK$2,$C$3:$F$4001,3,0))</f>
        <v>41523</v>
      </c>
      <c r="AL162" s="107">
        <f>IF(ISNA(VLOOKUP($R162&amp;AK$2,$C$3:$F$4001,4,0)),"",VLOOKUP($R162&amp;AK$2,$C$3:$F$4001,4,0))</f>
        <v>0.57289999999999996</v>
      </c>
    </row>
    <row r="163" spans="3:38" x14ac:dyDescent="0.2">
      <c r="C163" s="96" t="str">
        <f t="shared" si="8"/>
        <v>ANZ9</v>
      </c>
      <c r="D163" s="73" t="s">
        <v>79</v>
      </c>
      <c r="E163" s="100">
        <v>41402</v>
      </c>
      <c r="F163" s="101">
        <v>0.72</v>
      </c>
      <c r="G163" s="96">
        <f t="shared" si="9"/>
        <v>9</v>
      </c>
      <c r="I163" s="96"/>
      <c r="K163" t="str">
        <f t="shared" si="10"/>
        <v>ANZ9</v>
      </c>
      <c r="L163" s="73" t="s">
        <v>79</v>
      </c>
      <c r="M163" s="72">
        <v>41402</v>
      </c>
      <c r="N163" s="84">
        <v>0.72</v>
      </c>
      <c r="O163" s="96">
        <f t="shared" si="11"/>
        <v>9</v>
      </c>
      <c r="P163" s="73"/>
      <c r="Q163" s="96"/>
      <c r="R163" s="96" t="str">
        <f>R162</f>
        <v>GCL</v>
      </c>
      <c r="S163" s="108">
        <f>IF(ISNA(VLOOKUP($R163&amp;S$2,$K$3:$N$4001,3,0)),"",VLOOKUP($R163&amp;S$2,$K$3:$N$4001,3,0))</f>
        <v>39876</v>
      </c>
      <c r="T163" s="109">
        <f>IF(ISNA(VLOOKUP($R163&amp;S$2,$K$3:$N$4001,4,0)),"",VLOOKUP($R163&amp;S$2,$K$3:$N$4001,4,0))</f>
        <v>9.8100000000000007E-2</v>
      </c>
      <c r="U163" s="108">
        <f>IF(ISNA(VLOOKUP($R163&amp;U$2,$K$3:$N$4001,3,0)),"",VLOOKUP($R163&amp;U$2,$K$3:$N$4001,3,0))</f>
        <v>40060</v>
      </c>
      <c r="V163" s="109">
        <f>IF(ISNA(VLOOKUP($R163&amp;U$2,$K$3:$N$4001,4,0)),"",VLOOKUP($R163&amp;U$2,$K$3:$N$4001,4,0))</f>
        <v>0.31390000000000001</v>
      </c>
      <c r="W163" s="108">
        <f>IF(ISNA(VLOOKUP($R163&amp;W$2,$K$3:$N$4001,3,0)),"",VLOOKUP($R163&amp;W$2,$K$3:$N$4001,3,0))</f>
        <v>40242</v>
      </c>
      <c r="X163" s="109">
        <f>IF(ISNA(VLOOKUP($R163&amp;W$2,$K$3:$N$4001,4,0)),"",VLOOKUP($R163&amp;W$2,$K$3:$N$4001,4,0))</f>
        <v>0.1202</v>
      </c>
      <c r="Y163" s="108">
        <f>IF(ISNA(VLOOKUP($R163&amp;Y$2,$K$3:$N$4001,3,0)),"",VLOOKUP($R163&amp;Y$2,$K$3:$N$4001,3,0))</f>
        <v>40427</v>
      </c>
      <c r="Z163" s="109">
        <f>IF(ISNA(VLOOKUP($R163&amp;Y$2,$K$3:$N$4001,4,0)),"",VLOOKUP($R163&amp;Y$2,$K$3:$N$4001,4,0))</f>
        <v>0.38479999999999998</v>
      </c>
      <c r="AA163" s="108">
        <f>IF(ISNA(VLOOKUP($R163&amp;AA$2,$K$3:$N$4001,3,0)),"",VLOOKUP($R163&amp;AA$2,$K$3:$N$4001,3,0))</f>
        <v>40609</v>
      </c>
      <c r="AB163" s="109">
        <f>IF(ISNA(VLOOKUP($R163&amp;AA$2,$K$3:$N$4001,4,0)),"",VLOOKUP($R163&amp;AA$2,$K$3:$N$4001,4,0))</f>
        <v>0.12759999999999999</v>
      </c>
      <c r="AC163" s="108">
        <f>IF(ISNA(VLOOKUP($R163&amp;AC$2,$K$3:$N$4001,3,0)),"",VLOOKUP($R163&amp;AC$2,$K$3:$N$4001,3,0))</f>
        <v>40792</v>
      </c>
      <c r="AD163" s="109">
        <f>IF(ISNA(VLOOKUP($R163&amp;AC$2,$K$3:$N$4001,4,0)),"",VLOOKUP($R163&amp;AC$2,$K$3:$N$4001,4,0))</f>
        <v>0.40840000000000004</v>
      </c>
      <c r="AE163" s="108">
        <f>IF(ISNA(VLOOKUP($R163&amp;AE$2,$K$3:$N$4001,3,0)),"",VLOOKUP($R163&amp;AE$2,$K$3:$N$4001,3,0))</f>
        <v>40974</v>
      </c>
      <c r="AF163" s="109">
        <f>IF(ISNA(VLOOKUP($R163&amp;AE$2,$K$3:$N$4001,4,0)),"",VLOOKUP($R163&amp;AE$2,$K$3:$N$4001,4,0))</f>
        <v>0.22</v>
      </c>
      <c r="AG163" s="108">
        <f>IF(ISNA(VLOOKUP($R163&amp;AG$2,$K$3:$N$4001,3,0)),"",VLOOKUP($R163&amp;AG$2,$K$3:$N$4001,3,0))</f>
        <v>41158</v>
      </c>
      <c r="AH163" s="109">
        <f>IF(ISNA(VLOOKUP($R163&amp;AG$2,$K$3:$N$4001,4,0)),"",VLOOKUP($R163&amp;AG$2,$K$3:$N$4001,4,0))</f>
        <v>0.45</v>
      </c>
      <c r="AI163" s="108">
        <f>IF(ISNA(VLOOKUP($R163&amp;AI$2,$K$3:$N$4001,3,0)),"",VLOOKUP($R163&amp;AI$2,$K$3:$N$4001,3,0))</f>
        <v>41339</v>
      </c>
      <c r="AJ163" s="109">
        <f>IF(ISNA(VLOOKUP($R163&amp;AI$2,$K$3:$N$4001,4,0)),"",VLOOKUP($R163&amp;AI$2,$K$3:$N$4001,4,0))</f>
        <v>0.28010000000000002</v>
      </c>
      <c r="AK163" s="108">
        <f>IF(ISNA(VLOOKUP($R163&amp;AK$2,$K$3:$N$4001,3,0)),"",VLOOKUP($R163&amp;AK$2,$K$3:$N$4001,3,0))</f>
        <v>41523</v>
      </c>
      <c r="AL163" s="109">
        <f>IF(ISNA(VLOOKUP($R163&amp;AK$2,$K$3:$N$4001,4,0)),"",VLOOKUP($R163&amp;AK$2,$K$3:$N$4001,4,0))</f>
        <v>0.57289999999999996</v>
      </c>
    </row>
    <row r="164" spans="3:38" x14ac:dyDescent="0.2">
      <c r="C164" s="96" t="str">
        <f t="shared" si="8"/>
        <v>ANZ10</v>
      </c>
      <c r="D164" s="73" t="s">
        <v>79</v>
      </c>
      <c r="E164" s="100">
        <v>41584</v>
      </c>
      <c r="F164" s="101">
        <v>0.86</v>
      </c>
      <c r="G164" s="96">
        <f t="shared" si="9"/>
        <v>10</v>
      </c>
      <c r="I164" s="96"/>
      <c r="K164" t="str">
        <f t="shared" si="10"/>
        <v>ANZ10</v>
      </c>
      <c r="L164" s="73" t="s">
        <v>79</v>
      </c>
      <c r="M164" s="72">
        <v>41584</v>
      </c>
      <c r="N164" s="84">
        <v>0.86</v>
      </c>
      <c r="O164" s="96">
        <f t="shared" si="11"/>
        <v>10</v>
      </c>
      <c r="P164" s="73"/>
      <c r="Q164" s="96"/>
      <c r="R164" s="96" t="s">
        <v>135</v>
      </c>
      <c r="S164" s="106">
        <f>IF(ISNA(VLOOKUP($R164&amp;S$2,$C$3:$F$4001,3,0)),"",VLOOKUP($R164&amp;S$2,$C$3:$F$4001,3,0))</f>
        <v>39875</v>
      </c>
      <c r="T164" s="107">
        <f>IF(ISNA(VLOOKUP($R164&amp;S$2,$C$3:$F$4001,4,0)),"",VLOOKUP($R164&amp;S$2,$C$3:$F$4001,4,0))</f>
        <v>0.06</v>
      </c>
      <c r="U164" s="106">
        <f>IF(ISNA(VLOOKUP($R164&amp;U$2,$C$3:$F$4001,3,0)),"",VLOOKUP($R164&amp;U$2,$C$3:$F$4001,3,0))</f>
        <v>40078</v>
      </c>
      <c r="V164" s="107">
        <f>IF(ISNA(VLOOKUP($R164&amp;U$2,$C$3:$F$4001,4,0)),"",VLOOKUP($R164&amp;U$2,$C$3:$F$4001,4,0))</f>
        <v>7.4999999999999997E-2</v>
      </c>
      <c r="W164" s="106">
        <f>IF(ISNA(VLOOKUP($R164&amp;W$2,$C$3:$F$4001,3,0)),"",VLOOKUP($R164&amp;W$2,$C$3:$F$4001,3,0))</f>
        <v>40241</v>
      </c>
      <c r="X164" s="107">
        <f>IF(ISNA(VLOOKUP($R164&amp;W$2,$C$3:$F$4001,4,0)),"",VLOOKUP($R164&amp;W$2,$C$3:$F$4001,4,0))</f>
        <v>6.13E-2</v>
      </c>
      <c r="Y164" s="106">
        <f>IF(ISNA(VLOOKUP($R164&amp;Y$2,$C$3:$F$4001,3,0)),"",VLOOKUP($R164&amp;Y$2,$C$3:$F$4001,3,0))</f>
        <v>40443</v>
      </c>
      <c r="Z164" s="107">
        <f>IF(ISNA(VLOOKUP($R164&amp;Y$2,$C$3:$F$4001,4,0)),"",VLOOKUP($R164&amp;Y$2,$C$3:$F$4001,4,0))</f>
        <v>7.6700000000000004E-2</v>
      </c>
      <c r="AA164" s="106">
        <f>IF(ISNA(VLOOKUP($R164&amp;AA$2,$C$3:$F$4001,3,0)),"",VLOOKUP($R164&amp;AA$2,$C$3:$F$4001,3,0))</f>
        <v>40606</v>
      </c>
      <c r="AB164" s="107">
        <f>IF(ISNA(VLOOKUP($R164&amp;AA$2,$C$3:$F$4001,4,0)),"",VLOOKUP($R164&amp;AA$2,$C$3:$F$4001,4,0))</f>
        <v>6.4000000000000001E-2</v>
      </c>
      <c r="AC164" s="106">
        <f>IF(ISNA(VLOOKUP($R164&amp;AC$2,$C$3:$F$4001,3,0)),"",VLOOKUP($R164&amp;AC$2,$C$3:$F$4001,3,0))</f>
        <v>40808</v>
      </c>
      <c r="AD164" s="107">
        <f>IF(ISNA(VLOOKUP($R164&amp;AC$2,$C$3:$F$4001,4,0)),"",VLOOKUP($R164&amp;AC$2,$C$3:$F$4001,4,0))</f>
        <v>0.08</v>
      </c>
      <c r="AE164" s="106">
        <f>IF(ISNA(VLOOKUP($R164&amp;AE$2,$C$3:$F$4001,3,0)),"",VLOOKUP($R164&amp;AE$2,$C$3:$F$4001,3,0))</f>
        <v>40974</v>
      </c>
      <c r="AF164" s="107">
        <f>IF(ISNA(VLOOKUP($R164&amp;AE$2,$C$3:$F$4001,4,0)),"",VLOOKUP($R164&amp;AE$2,$C$3:$F$4001,4,0))</f>
        <v>6.5299999999999997E-2</v>
      </c>
      <c r="AG164" s="106">
        <f>IF(ISNA(VLOOKUP($R164&amp;AG$2,$C$3:$F$4001,3,0)),"",VLOOKUP($R164&amp;AG$2,$C$3:$F$4001,3,0))</f>
        <v>41176</v>
      </c>
      <c r="AH164" s="107">
        <f>IF(ISNA(VLOOKUP($R164&amp;AG$2,$C$3:$F$4001,4,0)),"",VLOOKUP($R164&amp;AG$2,$C$3:$F$4001,4,0))</f>
        <v>8.1699999999999995E-2</v>
      </c>
      <c r="AI164" s="106">
        <f>IF(ISNA(VLOOKUP($R164&amp;AI$2,$C$3:$F$4001,3,0)),"",VLOOKUP($R164&amp;AI$2,$C$3:$F$4001,3,0))</f>
        <v>41339</v>
      </c>
      <c r="AJ164" s="107">
        <f>IF(ISNA(VLOOKUP($R164&amp;AI$2,$C$3:$F$4001,4,0)),"",VLOOKUP($R164&amp;AI$2,$C$3:$F$4001,4,0))</f>
        <v>6.93E-2</v>
      </c>
      <c r="AK164" s="106">
        <f>IF(ISNA(VLOOKUP($R164&amp;AK$2,$C$3:$F$4001,3,0)),"",VLOOKUP($R164&amp;AK$2,$C$3:$F$4001,3,0))</f>
        <v>41541</v>
      </c>
      <c r="AL164" s="107">
        <f>IF(ISNA(VLOOKUP($R164&amp;AK$2,$C$3:$F$4001,4,0)),"",VLOOKUP($R164&amp;AK$2,$C$3:$F$4001,4,0))</f>
        <v>8.6699999999999999E-2</v>
      </c>
    </row>
    <row r="165" spans="3:38" x14ac:dyDescent="0.2">
      <c r="C165" s="96" t="str">
        <f t="shared" si="8"/>
        <v>APA1</v>
      </c>
      <c r="D165" s="73" t="s">
        <v>80</v>
      </c>
      <c r="E165" s="100">
        <v>39875</v>
      </c>
      <c r="F165" s="101">
        <v>0.1525</v>
      </c>
      <c r="G165" s="96">
        <f t="shared" si="9"/>
        <v>1</v>
      </c>
      <c r="I165" s="96"/>
      <c r="K165" t="str">
        <f t="shared" si="10"/>
        <v>APA1</v>
      </c>
      <c r="L165" s="73" t="s">
        <v>80</v>
      </c>
      <c r="M165" s="72">
        <v>39875</v>
      </c>
      <c r="N165" s="84">
        <v>0.1525</v>
      </c>
      <c r="O165" s="96">
        <f t="shared" si="11"/>
        <v>1</v>
      </c>
      <c r="P165" s="73"/>
      <c r="Q165" s="96"/>
      <c r="R165" s="96" t="str">
        <f>R164</f>
        <v>GFF</v>
      </c>
      <c r="S165" s="108">
        <f>IF(ISNA(VLOOKUP($R165&amp;S$2,$K$3:$N$4001,3,0)),"",VLOOKUP($R165&amp;S$2,$K$3:$N$4001,3,0))</f>
        <v>39875</v>
      </c>
      <c r="T165" s="109">
        <f>IF(ISNA(VLOOKUP($R165&amp;S$2,$K$3:$N$4001,4,0)),"",VLOOKUP($R165&amp;S$2,$K$3:$N$4001,4,0))</f>
        <v>0.06</v>
      </c>
      <c r="U165" s="108">
        <f>IF(ISNA(VLOOKUP($R165&amp;U$2,$K$3:$N$4001,3,0)),"",VLOOKUP($R165&amp;U$2,$K$3:$N$4001,3,0))</f>
        <v>40078</v>
      </c>
      <c r="V165" s="109">
        <f>IF(ISNA(VLOOKUP($R165&amp;U$2,$K$3:$N$4001,4,0)),"",VLOOKUP($R165&amp;U$2,$K$3:$N$4001,4,0))</f>
        <v>7.4999999999999997E-2</v>
      </c>
      <c r="W165" s="108">
        <f>IF(ISNA(VLOOKUP($R165&amp;W$2,$K$3:$N$4001,3,0)),"",VLOOKUP($R165&amp;W$2,$K$3:$N$4001,3,0))</f>
        <v>40241</v>
      </c>
      <c r="X165" s="109">
        <f>IF(ISNA(VLOOKUP($R165&amp;W$2,$K$3:$N$4001,4,0)),"",VLOOKUP($R165&amp;W$2,$K$3:$N$4001,4,0))</f>
        <v>6.13E-2</v>
      </c>
      <c r="Y165" s="108">
        <f>IF(ISNA(VLOOKUP($R165&amp;Y$2,$K$3:$N$4001,3,0)),"",VLOOKUP($R165&amp;Y$2,$K$3:$N$4001,3,0))</f>
        <v>40443</v>
      </c>
      <c r="Z165" s="109">
        <f>IF(ISNA(VLOOKUP($R165&amp;Y$2,$K$3:$N$4001,4,0)),"",VLOOKUP($R165&amp;Y$2,$K$3:$N$4001,4,0))</f>
        <v>7.6700000000000004E-2</v>
      </c>
      <c r="AA165" s="108">
        <f>IF(ISNA(VLOOKUP($R165&amp;AA$2,$K$3:$N$4001,3,0)),"",VLOOKUP($R165&amp;AA$2,$K$3:$N$4001,3,0))</f>
        <v>40606</v>
      </c>
      <c r="AB165" s="109">
        <f>IF(ISNA(VLOOKUP($R165&amp;AA$2,$K$3:$N$4001,4,0)),"",VLOOKUP($R165&amp;AA$2,$K$3:$N$4001,4,0))</f>
        <v>6.4000000000000001E-2</v>
      </c>
      <c r="AC165" s="108">
        <f>IF(ISNA(VLOOKUP($R165&amp;AC$2,$K$3:$N$4001,3,0)),"",VLOOKUP($R165&amp;AC$2,$K$3:$N$4001,3,0))</f>
        <v>40808</v>
      </c>
      <c r="AD165" s="109">
        <f>IF(ISNA(VLOOKUP($R165&amp;AC$2,$K$3:$N$4001,4,0)),"",VLOOKUP($R165&amp;AC$2,$K$3:$N$4001,4,0))</f>
        <v>0.08</v>
      </c>
      <c r="AE165" s="108">
        <f>IF(ISNA(VLOOKUP($R165&amp;AE$2,$K$3:$N$4001,3,0)),"",VLOOKUP($R165&amp;AE$2,$K$3:$N$4001,3,0))</f>
        <v>40974</v>
      </c>
      <c r="AF165" s="109">
        <f>IF(ISNA(VLOOKUP($R165&amp;AE$2,$K$3:$N$4001,4,0)),"",VLOOKUP($R165&amp;AE$2,$K$3:$N$4001,4,0))</f>
        <v>6.5299999999999997E-2</v>
      </c>
      <c r="AG165" s="108">
        <f>IF(ISNA(VLOOKUP($R165&amp;AG$2,$K$3:$N$4001,3,0)),"",VLOOKUP($R165&amp;AG$2,$K$3:$N$4001,3,0))</f>
        <v>41176</v>
      </c>
      <c r="AH165" s="109">
        <f>IF(ISNA(VLOOKUP($R165&amp;AG$2,$K$3:$N$4001,4,0)),"",VLOOKUP($R165&amp;AG$2,$K$3:$N$4001,4,0))</f>
        <v>8.1699999999999995E-2</v>
      </c>
      <c r="AI165" s="108">
        <f>IF(ISNA(VLOOKUP($R165&amp;AI$2,$K$3:$N$4001,3,0)),"",VLOOKUP($R165&amp;AI$2,$K$3:$N$4001,3,0))</f>
        <v>41339</v>
      </c>
      <c r="AJ165" s="109">
        <f>IF(ISNA(VLOOKUP($R165&amp;AI$2,$K$3:$N$4001,4,0)),"",VLOOKUP($R165&amp;AI$2,$K$3:$N$4001,4,0))</f>
        <v>6.93E-2</v>
      </c>
      <c r="AK165" s="108">
        <f>IF(ISNA(VLOOKUP($R165&amp;AK$2,$K$3:$N$4001,3,0)),"",VLOOKUP($R165&amp;AK$2,$K$3:$N$4001,3,0))</f>
        <v>41541</v>
      </c>
      <c r="AL165" s="109">
        <f>IF(ISNA(VLOOKUP($R165&amp;AK$2,$K$3:$N$4001,4,0)),"",VLOOKUP($R165&amp;AK$2,$K$3:$N$4001,4,0))</f>
        <v>8.6699999999999999E-2</v>
      </c>
    </row>
    <row r="166" spans="3:38" x14ac:dyDescent="0.2">
      <c r="C166" s="96" t="str">
        <f t="shared" si="8"/>
        <v>APA2</v>
      </c>
      <c r="D166" s="73" t="s">
        <v>80</v>
      </c>
      <c r="E166" s="100">
        <v>40060</v>
      </c>
      <c r="F166" s="101">
        <v>0.1575</v>
      </c>
      <c r="G166" s="96">
        <f t="shared" si="9"/>
        <v>2</v>
      </c>
      <c r="I166" s="96"/>
      <c r="K166" t="str">
        <f t="shared" si="10"/>
        <v>APA2</v>
      </c>
      <c r="L166" s="73" t="s">
        <v>80</v>
      </c>
      <c r="M166" s="72">
        <v>40060</v>
      </c>
      <c r="N166" s="84">
        <v>0.1575</v>
      </c>
      <c r="O166" s="96">
        <f t="shared" si="11"/>
        <v>2</v>
      </c>
      <c r="P166" s="73"/>
      <c r="Q166" s="96"/>
      <c r="R166" s="96" t="s">
        <v>136</v>
      </c>
      <c r="S166" s="106">
        <f>IF(ISNA(VLOOKUP($R166&amp;S$2,$C$3:$F$4001,3,0)),"",VLOOKUP($R166&amp;S$2,$C$3:$F$4001,3,0))</f>
        <v>39988</v>
      </c>
      <c r="T166" s="107">
        <f>IF(ISNA(VLOOKUP($R166&amp;S$2,$C$3:$F$4001,4,0)),"",VLOOKUP($R166&amp;S$2,$C$3:$F$4001,4,0))</f>
        <v>9.6500000000000002E-2</v>
      </c>
      <c r="U166" s="106">
        <f>IF(ISNA(VLOOKUP($R166&amp;U$2,$C$3:$F$4001,3,0)),"",VLOOKUP($R166&amp;U$2,$C$3:$F$4001,3,0))</f>
        <v>40170</v>
      </c>
      <c r="V166" s="107">
        <f>IF(ISNA(VLOOKUP($R166&amp;U$2,$C$3:$F$4001,4,0)),"",VLOOKUP($R166&amp;U$2,$C$3:$F$4001,4,0))</f>
        <v>9.6500000000000002E-2</v>
      </c>
      <c r="W166" s="106">
        <f>IF(ISNA(VLOOKUP($R166&amp;W$2,$C$3:$F$4001,3,0)),"",VLOOKUP($R166&amp;W$2,$C$3:$F$4001,3,0))</f>
        <v>40353</v>
      </c>
      <c r="X166" s="107">
        <f>IF(ISNA(VLOOKUP($R166&amp;W$2,$C$3:$F$4001,4,0)),"",VLOOKUP($R166&amp;W$2,$C$3:$F$4001,4,0))</f>
        <v>9.6500000000000002E-2</v>
      </c>
      <c r="Y166" s="106">
        <f>IF(ISNA(VLOOKUP($R166&amp;Y$2,$C$3:$F$4001,3,0)),"",VLOOKUP($R166&amp;Y$2,$C$3:$F$4001,3,0))</f>
        <v>40535</v>
      </c>
      <c r="Z166" s="107">
        <f>IF(ISNA(VLOOKUP($R166&amp;Y$2,$C$3:$F$4001,4,0)),"",VLOOKUP($R166&amp;Y$2,$C$3:$F$4001,4,0))</f>
        <v>0.10199999999999999</v>
      </c>
      <c r="AA166" s="106">
        <f>IF(ISNA(VLOOKUP($R166&amp;AA$2,$C$3:$F$4001,3,0)),"",VLOOKUP($R166&amp;AA$2,$C$3:$F$4001,3,0))</f>
        <v>40718</v>
      </c>
      <c r="AB166" s="107">
        <f>IF(ISNA(VLOOKUP($R166&amp;AA$2,$C$3:$F$4001,4,0)),"",VLOOKUP($R166&amp;AA$2,$C$3:$F$4001,4,0))</f>
        <v>0.10199999999999999</v>
      </c>
      <c r="AC166" s="106">
        <f>IF(ISNA(VLOOKUP($R166&amp;AC$2,$C$3:$F$4001,3,0)),"",VLOOKUP($R166&amp;AC$2,$C$3:$F$4001,3,0))</f>
        <v>40899</v>
      </c>
      <c r="AD166" s="107">
        <f>IF(ISNA(VLOOKUP($R166&amp;AC$2,$C$3:$F$4001,4,0)),"",VLOOKUP($R166&amp;AC$2,$C$3:$F$4001,4,0))</f>
        <v>0.105</v>
      </c>
      <c r="AE166" s="106">
        <f>IF(ISNA(VLOOKUP($R166&amp;AE$2,$C$3:$F$4001,3,0)),"",VLOOKUP($R166&amp;AE$2,$C$3:$F$4001,3,0))</f>
        <v>41085</v>
      </c>
      <c r="AF166" s="107">
        <f>IF(ISNA(VLOOKUP($R166&amp;AE$2,$C$3:$F$4001,4,0)),"",VLOOKUP($R166&amp;AE$2,$C$3:$F$4001,4,0))</f>
        <v>0.105</v>
      </c>
      <c r="AG166" s="106">
        <f>IF(ISNA(VLOOKUP($R166&amp;AG$2,$C$3:$F$4001,3,0)),"",VLOOKUP($R166&amp;AG$2,$C$3:$F$4001,3,0))</f>
        <v>41268</v>
      </c>
      <c r="AH166" s="107">
        <f>IF(ISNA(VLOOKUP($R166&amp;AG$2,$C$3:$F$4001,4,0)),"",VLOOKUP($R166&amp;AG$2,$C$3:$F$4001,4,0))</f>
        <v>0.11</v>
      </c>
      <c r="AI166" s="106">
        <f>IF(ISNA(VLOOKUP($R166&amp;AI$2,$C$3:$F$4001,3,0)),"",VLOOKUP($R166&amp;AI$2,$C$3:$F$4001,3,0))</f>
        <v>41450</v>
      </c>
      <c r="AJ166" s="107">
        <f>IF(ISNA(VLOOKUP($R166&amp;AI$2,$C$3:$F$4001,4,0)),"",VLOOKUP($R166&amp;AI$2,$C$3:$F$4001,4,0))</f>
        <v>0.11</v>
      </c>
      <c r="AK166" s="106" t="str">
        <f>IF(ISNA(VLOOKUP($R166&amp;AK$2,$C$3:$F$4001,3,0)),"",VLOOKUP($R166&amp;AK$2,$C$3:$F$4001,3,0))</f>
        <v/>
      </c>
      <c r="AL166" s="107" t="str">
        <f>IF(ISNA(VLOOKUP($R166&amp;AK$2,$C$3:$F$4001,4,0)),"",VLOOKUP($R166&amp;AK$2,$C$3:$F$4001,4,0))</f>
        <v/>
      </c>
    </row>
    <row r="167" spans="3:38" x14ac:dyDescent="0.2">
      <c r="C167" s="96" t="str">
        <f t="shared" si="8"/>
        <v>APA3</v>
      </c>
      <c r="D167" s="73" t="s">
        <v>80</v>
      </c>
      <c r="E167" s="100">
        <v>40241</v>
      </c>
      <c r="F167" s="101">
        <v>0.16039999999999999</v>
      </c>
      <c r="G167" s="96">
        <f t="shared" si="9"/>
        <v>3</v>
      </c>
      <c r="I167" s="96"/>
      <c r="K167" t="str">
        <f t="shared" si="10"/>
        <v>APA3</v>
      </c>
      <c r="L167" s="73" t="s">
        <v>80</v>
      </c>
      <c r="M167" s="72">
        <v>40241</v>
      </c>
      <c r="N167" s="84">
        <v>0.16039999999999999</v>
      </c>
      <c r="O167" s="96">
        <f t="shared" si="11"/>
        <v>3</v>
      </c>
      <c r="P167" s="73"/>
      <c r="Q167" s="96"/>
      <c r="R167" s="96" t="str">
        <f>R166</f>
        <v>GMG</v>
      </c>
      <c r="S167" s="108">
        <f>IF(ISNA(VLOOKUP($R167&amp;S$2,$K$3:$N$4001,3,0)),"",VLOOKUP($R167&amp;S$2,$K$3:$N$4001,3,0))</f>
        <v>39988</v>
      </c>
      <c r="T167" s="109">
        <f>IF(ISNA(VLOOKUP($R167&amp;S$2,$K$3:$N$4001,4,0)),"",VLOOKUP($R167&amp;S$2,$K$3:$N$4001,4,0))</f>
        <v>9.6500000000000002E-2</v>
      </c>
      <c r="U167" s="108">
        <f>IF(ISNA(VLOOKUP($R167&amp;U$2,$K$3:$N$4001,3,0)),"",VLOOKUP($R167&amp;U$2,$K$3:$N$4001,3,0))</f>
        <v>40170</v>
      </c>
      <c r="V167" s="109">
        <f>IF(ISNA(VLOOKUP($R167&amp;U$2,$K$3:$N$4001,4,0)),"",VLOOKUP($R167&amp;U$2,$K$3:$N$4001,4,0))</f>
        <v>9.6500000000000002E-2</v>
      </c>
      <c r="W167" s="108">
        <f>IF(ISNA(VLOOKUP($R167&amp;W$2,$K$3:$N$4001,3,0)),"",VLOOKUP($R167&amp;W$2,$K$3:$N$4001,3,0))</f>
        <v>40353</v>
      </c>
      <c r="X167" s="109">
        <f>IF(ISNA(VLOOKUP($R167&amp;W$2,$K$3:$N$4001,4,0)),"",VLOOKUP($R167&amp;W$2,$K$3:$N$4001,4,0))</f>
        <v>9.6500000000000002E-2</v>
      </c>
      <c r="Y167" s="108">
        <f>IF(ISNA(VLOOKUP($R167&amp;Y$2,$K$3:$N$4001,3,0)),"",VLOOKUP($R167&amp;Y$2,$K$3:$N$4001,3,0))</f>
        <v>40535</v>
      </c>
      <c r="Z167" s="109">
        <f>IF(ISNA(VLOOKUP($R167&amp;Y$2,$K$3:$N$4001,4,0)),"",VLOOKUP($R167&amp;Y$2,$K$3:$N$4001,4,0))</f>
        <v>0.10199999999999999</v>
      </c>
      <c r="AA167" s="108">
        <f>IF(ISNA(VLOOKUP($R167&amp;AA$2,$K$3:$N$4001,3,0)),"",VLOOKUP($R167&amp;AA$2,$K$3:$N$4001,3,0))</f>
        <v>40718</v>
      </c>
      <c r="AB167" s="109">
        <f>IF(ISNA(VLOOKUP($R167&amp;AA$2,$K$3:$N$4001,4,0)),"",VLOOKUP($R167&amp;AA$2,$K$3:$N$4001,4,0))</f>
        <v>0.10199999999999999</v>
      </c>
      <c r="AC167" s="108">
        <f>IF(ISNA(VLOOKUP($R167&amp;AC$2,$K$3:$N$4001,3,0)),"",VLOOKUP($R167&amp;AC$2,$K$3:$N$4001,3,0))</f>
        <v>40899</v>
      </c>
      <c r="AD167" s="109">
        <f>IF(ISNA(VLOOKUP($R167&amp;AC$2,$K$3:$N$4001,4,0)),"",VLOOKUP($R167&amp;AC$2,$K$3:$N$4001,4,0))</f>
        <v>0.105</v>
      </c>
      <c r="AE167" s="108">
        <f>IF(ISNA(VLOOKUP($R167&amp;AE$2,$K$3:$N$4001,3,0)),"",VLOOKUP($R167&amp;AE$2,$K$3:$N$4001,3,0))</f>
        <v>41085</v>
      </c>
      <c r="AF167" s="109">
        <f>IF(ISNA(VLOOKUP($R167&amp;AE$2,$K$3:$N$4001,4,0)),"",VLOOKUP($R167&amp;AE$2,$K$3:$N$4001,4,0))</f>
        <v>0.105</v>
      </c>
      <c r="AG167" s="108">
        <f>IF(ISNA(VLOOKUP($R167&amp;AG$2,$K$3:$N$4001,3,0)),"",VLOOKUP($R167&amp;AG$2,$K$3:$N$4001,3,0))</f>
        <v>41268</v>
      </c>
      <c r="AH167" s="109">
        <f>IF(ISNA(VLOOKUP($R167&amp;AG$2,$K$3:$N$4001,4,0)),"",VLOOKUP($R167&amp;AG$2,$K$3:$N$4001,4,0))</f>
        <v>0.11</v>
      </c>
      <c r="AI167" s="108">
        <f>IF(ISNA(VLOOKUP($R167&amp;AI$2,$K$3:$N$4001,3,0)),"",VLOOKUP($R167&amp;AI$2,$K$3:$N$4001,3,0))</f>
        <v>41450</v>
      </c>
      <c r="AJ167" s="109">
        <f>IF(ISNA(VLOOKUP($R167&amp;AI$2,$K$3:$N$4001,4,0)),"",VLOOKUP($R167&amp;AI$2,$K$3:$N$4001,4,0))</f>
        <v>0.11</v>
      </c>
      <c r="AK167" s="108" t="str">
        <f>IF(ISNA(VLOOKUP($R167&amp;AK$2,$K$3:$N$4001,3,0)),"",VLOOKUP($R167&amp;AK$2,$K$3:$N$4001,3,0))</f>
        <v/>
      </c>
      <c r="AL167" s="109" t="str">
        <f>IF(ISNA(VLOOKUP($R167&amp;AK$2,$K$3:$N$4001,4,0)),"",VLOOKUP($R167&amp;AK$2,$K$3:$N$4001,4,0))</f>
        <v/>
      </c>
    </row>
    <row r="168" spans="3:38" x14ac:dyDescent="0.2">
      <c r="C168" s="96" t="str">
        <f t="shared" si="8"/>
        <v>APA4</v>
      </c>
      <c r="D168" s="73" t="s">
        <v>80</v>
      </c>
      <c r="E168" s="100">
        <v>40427</v>
      </c>
      <c r="F168" s="101">
        <v>0.1656</v>
      </c>
      <c r="G168" s="96">
        <f t="shared" si="9"/>
        <v>4</v>
      </c>
      <c r="I168" s="96"/>
      <c r="K168" t="str">
        <f t="shared" si="10"/>
        <v>APA4</v>
      </c>
      <c r="L168" s="73" t="s">
        <v>80</v>
      </c>
      <c r="M168" s="72">
        <v>40427</v>
      </c>
      <c r="N168" s="84">
        <v>0.1656</v>
      </c>
      <c r="O168" s="96">
        <f t="shared" si="11"/>
        <v>4</v>
      </c>
      <c r="P168" s="73"/>
      <c r="Q168" s="96"/>
      <c r="R168" s="96" t="s">
        <v>138</v>
      </c>
      <c r="S168" s="106">
        <f>IF(ISNA(VLOOKUP($R168&amp;S$2,$C$3:$F$4001,3,0)),"",VLOOKUP($R168&amp;S$2,$C$3:$F$4001,3,0))</f>
        <v>39875</v>
      </c>
      <c r="T168" s="107">
        <f>IF(ISNA(VLOOKUP($R168&amp;S$2,$C$3:$F$4001,4,0)),"",VLOOKUP($R168&amp;S$2,$C$3:$F$4001,4,0))</f>
        <v>1.7000000000000001E-2</v>
      </c>
      <c r="U168" s="106">
        <f>IF(ISNA(VLOOKUP($R168&amp;U$2,$C$3:$F$4001,3,0)),"",VLOOKUP($R168&amp;U$2,$C$3:$F$4001,3,0))</f>
        <v>39940</v>
      </c>
      <c r="V168" s="107">
        <f>IF(ISNA(VLOOKUP($R168&amp;U$2,$C$3:$F$4001,4,0)),"",VLOOKUP($R168&amp;U$2,$C$3:$F$4001,4,0))</f>
        <v>1.8000000000000002E-2</v>
      </c>
      <c r="W168" s="106">
        <f>IF(ISNA(VLOOKUP($R168&amp;W$2,$C$3:$F$4001,3,0)),"",VLOOKUP($R168&amp;W$2,$C$3:$F$4001,3,0))</f>
        <v>40057</v>
      </c>
      <c r="X168" s="107">
        <f>IF(ISNA(VLOOKUP($R168&amp;W$2,$C$3:$F$4001,4,0)),"",VLOOKUP($R168&amp;W$2,$C$3:$F$4001,4,0))</f>
        <v>1.8000000000000002E-2</v>
      </c>
      <c r="Y168" s="106">
        <f>IF(ISNA(VLOOKUP($R168&amp;Y$2,$C$3:$F$4001,3,0)),"",VLOOKUP($R168&amp;Y$2,$C$3:$F$4001,3,0))</f>
        <v>40119</v>
      </c>
      <c r="Z168" s="107">
        <f>IF(ISNA(VLOOKUP($R168&amp;Y$2,$C$3:$F$4001,4,0)),"",VLOOKUP($R168&amp;Y$2,$C$3:$F$4001,4,0))</f>
        <v>1.8000000000000002E-2</v>
      </c>
      <c r="AA168" s="106">
        <f>IF(ISNA(VLOOKUP($R168&amp;AA$2,$C$3:$F$4001,3,0)),"",VLOOKUP($R168&amp;AA$2,$C$3:$F$4001,3,0))</f>
        <v>40241</v>
      </c>
      <c r="AB168" s="107">
        <f>IF(ISNA(VLOOKUP($R168&amp;AA$2,$C$3:$F$4001,4,0)),"",VLOOKUP($R168&amp;AA$2,$C$3:$F$4001,4,0))</f>
        <v>1.8000000000000002E-2</v>
      </c>
      <c r="AC168" s="106">
        <f>IF(ISNA(VLOOKUP($R168&amp;AC$2,$C$3:$F$4001,3,0)),"",VLOOKUP($R168&amp;AC$2,$C$3:$F$4001,3,0))</f>
        <v>40305</v>
      </c>
      <c r="AD168" s="107">
        <f>IF(ISNA(VLOOKUP($R168&amp;AC$2,$C$3:$F$4001,4,0)),"",VLOOKUP($R168&amp;AC$2,$C$3:$F$4001,4,0))</f>
        <v>0.02</v>
      </c>
      <c r="AE168" s="106">
        <f>IF(ISNA(VLOOKUP($R168&amp;AE$2,$C$3:$F$4001,3,0)),"",VLOOKUP($R168&amp;AE$2,$C$3:$F$4001,3,0))</f>
        <v>40422</v>
      </c>
      <c r="AF168" s="107">
        <f>IF(ISNA(VLOOKUP($R168&amp;AE$2,$C$3:$F$4001,4,0)),"",VLOOKUP($R168&amp;AE$2,$C$3:$F$4001,4,0))</f>
        <v>0.02</v>
      </c>
      <c r="AG168" s="106">
        <f>IF(ISNA(VLOOKUP($R168&amp;AG$2,$C$3:$F$4001,3,0)),"",VLOOKUP($R168&amp;AG$2,$C$3:$F$4001,3,0))</f>
        <v>40485</v>
      </c>
      <c r="AH168" s="107">
        <f>IF(ISNA(VLOOKUP($R168&amp;AG$2,$C$3:$F$4001,4,0)),"",VLOOKUP($R168&amp;AG$2,$C$3:$F$4001,4,0))</f>
        <v>0.02</v>
      </c>
      <c r="AI168" s="106">
        <f>IF(ISNA(VLOOKUP($R168&amp;AI$2,$C$3:$F$4001,3,0)),"",VLOOKUP($R168&amp;AI$2,$C$3:$F$4001,3,0))</f>
        <v>40606</v>
      </c>
      <c r="AJ168" s="107">
        <f>IF(ISNA(VLOOKUP($R168&amp;AI$2,$C$3:$F$4001,4,0)),"",VLOOKUP($R168&amp;AI$2,$C$3:$F$4001,4,0))</f>
        <v>0.02</v>
      </c>
      <c r="AK168" s="106">
        <f>IF(ISNA(VLOOKUP($R168&amp;AK$2,$C$3:$F$4001,3,0)),"",VLOOKUP($R168&amp;AK$2,$C$3:$F$4001,3,0))</f>
        <v>40672</v>
      </c>
      <c r="AL168" s="107">
        <f>IF(ISNA(VLOOKUP($R168&amp;AK$2,$C$3:$F$4001,4,0)),"",VLOOKUP($R168&amp;AK$2,$C$3:$F$4001,4,0))</f>
        <v>2.2000000000000002E-2</v>
      </c>
    </row>
    <row r="169" spans="3:38" x14ac:dyDescent="0.2">
      <c r="C169" s="96" t="str">
        <f t="shared" si="8"/>
        <v>APA5</v>
      </c>
      <c r="D169" s="73" t="s">
        <v>80</v>
      </c>
      <c r="E169" s="100">
        <v>40606</v>
      </c>
      <c r="F169" s="101">
        <v>0.1653</v>
      </c>
      <c r="G169" s="96">
        <f t="shared" si="9"/>
        <v>5</v>
      </c>
      <c r="I169" s="96"/>
      <c r="K169" t="str">
        <f t="shared" si="10"/>
        <v>APA5</v>
      </c>
      <c r="L169" s="73" t="s">
        <v>80</v>
      </c>
      <c r="M169" s="72">
        <v>40606</v>
      </c>
      <c r="N169" s="84">
        <v>0.1653</v>
      </c>
      <c r="O169" s="96">
        <f t="shared" si="11"/>
        <v>5</v>
      </c>
      <c r="P169" s="73"/>
      <c r="Q169" s="96"/>
      <c r="R169" s="96" t="str">
        <f>R168</f>
        <v>GPT</v>
      </c>
      <c r="S169" s="108">
        <f>IF(ISNA(VLOOKUP($R169&amp;S$2,$K$3:$N$4001,3,0)),"",VLOOKUP($R169&amp;S$2,$K$3:$N$4001,3,0))</f>
        <v>39875</v>
      </c>
      <c r="T169" s="109">
        <f>IF(ISNA(VLOOKUP($R169&amp;S$2,$K$3:$N$4001,4,0)),"",VLOOKUP($R169&amp;S$2,$K$3:$N$4001,4,0))</f>
        <v>1.7000000000000001E-2</v>
      </c>
      <c r="U169" s="108">
        <f>IF(ISNA(VLOOKUP($R169&amp;U$2,$K$3:$N$4001,3,0)),"",VLOOKUP($R169&amp;U$2,$K$3:$N$4001,3,0))</f>
        <v>39940</v>
      </c>
      <c r="V169" s="109">
        <f>IF(ISNA(VLOOKUP($R169&amp;U$2,$K$3:$N$4001,4,0)),"",VLOOKUP($R169&amp;U$2,$K$3:$N$4001,4,0))</f>
        <v>1.8000000000000002E-2</v>
      </c>
      <c r="W169" s="108">
        <f>IF(ISNA(VLOOKUP($R169&amp;W$2,$K$3:$N$4001,3,0)),"",VLOOKUP($R169&amp;W$2,$K$3:$N$4001,3,0))</f>
        <v>40057</v>
      </c>
      <c r="X169" s="109">
        <f>IF(ISNA(VLOOKUP($R169&amp;W$2,$K$3:$N$4001,4,0)),"",VLOOKUP($R169&amp;W$2,$K$3:$N$4001,4,0))</f>
        <v>1.8000000000000002E-2</v>
      </c>
      <c r="Y169" s="108">
        <f>IF(ISNA(VLOOKUP($R169&amp;Y$2,$K$3:$N$4001,3,0)),"",VLOOKUP($R169&amp;Y$2,$K$3:$N$4001,3,0))</f>
        <v>40119</v>
      </c>
      <c r="Z169" s="109">
        <f>IF(ISNA(VLOOKUP($R169&amp;Y$2,$K$3:$N$4001,4,0)),"",VLOOKUP($R169&amp;Y$2,$K$3:$N$4001,4,0))</f>
        <v>1.8000000000000002E-2</v>
      </c>
      <c r="AA169" s="108">
        <f>IF(ISNA(VLOOKUP($R169&amp;AA$2,$K$3:$N$4001,3,0)),"",VLOOKUP($R169&amp;AA$2,$K$3:$N$4001,3,0))</f>
        <v>40241</v>
      </c>
      <c r="AB169" s="109">
        <f>IF(ISNA(VLOOKUP($R169&amp;AA$2,$K$3:$N$4001,4,0)),"",VLOOKUP($R169&amp;AA$2,$K$3:$N$4001,4,0))</f>
        <v>1.8000000000000002E-2</v>
      </c>
      <c r="AC169" s="108">
        <f>IF(ISNA(VLOOKUP($R169&amp;AC$2,$K$3:$N$4001,3,0)),"",VLOOKUP($R169&amp;AC$2,$K$3:$N$4001,3,0))</f>
        <v>40305</v>
      </c>
      <c r="AD169" s="109">
        <f>IF(ISNA(VLOOKUP($R169&amp;AC$2,$K$3:$N$4001,4,0)),"",VLOOKUP($R169&amp;AC$2,$K$3:$N$4001,4,0))</f>
        <v>0.02</v>
      </c>
      <c r="AE169" s="108">
        <f>IF(ISNA(VLOOKUP($R169&amp;AE$2,$K$3:$N$4001,3,0)),"",VLOOKUP($R169&amp;AE$2,$K$3:$N$4001,3,0))</f>
        <v>40422</v>
      </c>
      <c r="AF169" s="109">
        <f>IF(ISNA(VLOOKUP($R169&amp;AE$2,$K$3:$N$4001,4,0)),"",VLOOKUP($R169&amp;AE$2,$K$3:$N$4001,4,0))</f>
        <v>0.02</v>
      </c>
      <c r="AG169" s="108">
        <f>IF(ISNA(VLOOKUP($R169&amp;AG$2,$K$3:$N$4001,3,0)),"",VLOOKUP($R169&amp;AG$2,$K$3:$N$4001,3,0))</f>
        <v>40485</v>
      </c>
      <c r="AH169" s="109">
        <f>IF(ISNA(VLOOKUP($R169&amp;AG$2,$K$3:$N$4001,4,0)),"",VLOOKUP($R169&amp;AG$2,$K$3:$N$4001,4,0))</f>
        <v>0.02</v>
      </c>
      <c r="AI169" s="108">
        <f>IF(ISNA(VLOOKUP($R169&amp;AI$2,$K$3:$N$4001,3,0)),"",VLOOKUP($R169&amp;AI$2,$K$3:$N$4001,3,0))</f>
        <v>40606</v>
      </c>
      <c r="AJ169" s="109">
        <f>IF(ISNA(VLOOKUP($R169&amp;AI$2,$K$3:$N$4001,4,0)),"",VLOOKUP($R169&amp;AI$2,$K$3:$N$4001,4,0))</f>
        <v>0.02</v>
      </c>
      <c r="AK169" s="108">
        <f>IF(ISNA(VLOOKUP($R169&amp;AK$2,$K$3:$N$4001,3,0)),"",VLOOKUP($R169&amp;AK$2,$K$3:$N$4001,3,0))</f>
        <v>40672</v>
      </c>
      <c r="AL169" s="109">
        <f>IF(ISNA(VLOOKUP($R169&amp;AK$2,$K$3:$N$4001,4,0)),"",VLOOKUP($R169&amp;AK$2,$K$3:$N$4001,4,0))</f>
        <v>2.2000000000000002E-2</v>
      </c>
    </row>
    <row r="170" spans="3:38" x14ac:dyDescent="0.2">
      <c r="C170" s="96" t="str">
        <f t="shared" si="8"/>
        <v>APA6</v>
      </c>
      <c r="D170" s="73" t="s">
        <v>80</v>
      </c>
      <c r="E170" s="100">
        <v>40792</v>
      </c>
      <c r="F170" s="101">
        <v>0.17069999999999999</v>
      </c>
      <c r="G170" s="96">
        <f t="shared" si="9"/>
        <v>6</v>
      </c>
      <c r="I170" s="96"/>
      <c r="K170" t="str">
        <f t="shared" si="10"/>
        <v>APA6</v>
      </c>
      <c r="L170" s="73" t="s">
        <v>80</v>
      </c>
      <c r="M170" s="72">
        <v>40792</v>
      </c>
      <c r="N170" s="84">
        <v>0.17069999999999999</v>
      </c>
      <c r="O170" s="96">
        <f t="shared" si="11"/>
        <v>6</v>
      </c>
      <c r="P170" s="73"/>
      <c r="Q170" s="96"/>
      <c r="R170" s="96" t="s">
        <v>139</v>
      </c>
      <c r="S170" s="106">
        <f>IF(ISNA(VLOOKUP($R170&amp;S$2,$C$3:$F$4001,3,0)),"",VLOOKUP($R170&amp;S$2,$C$3:$F$4001,3,0))</f>
        <v>39976</v>
      </c>
      <c r="T170" s="107">
        <f>IF(ISNA(VLOOKUP($R170&amp;S$2,$C$3:$F$4001,4,0)),"",VLOOKUP($R170&amp;S$2,$C$3:$F$4001,4,0))</f>
        <v>0.01</v>
      </c>
      <c r="U170" s="106">
        <f>IF(ISNA(VLOOKUP($R170&amp;U$2,$C$3:$F$4001,3,0)),"",VLOOKUP($R170&amp;U$2,$C$3:$F$4001,3,0))</f>
        <v>40151</v>
      </c>
      <c r="V170" s="107">
        <f>IF(ISNA(VLOOKUP($R170&amp;U$2,$C$3:$F$4001,4,0)),"",VLOOKUP($R170&amp;U$2,$C$3:$F$4001,4,0))</f>
        <v>0.03</v>
      </c>
      <c r="W170" s="106">
        <f>IF(ISNA(VLOOKUP($R170&amp;W$2,$C$3:$F$4001,3,0)),"",VLOOKUP($R170&amp;W$2,$C$3:$F$4001,3,0))</f>
        <v>40343</v>
      </c>
      <c r="X170" s="107">
        <f>IF(ISNA(VLOOKUP($R170&amp;W$2,$C$3:$F$4001,4,0)),"",VLOOKUP($R170&amp;W$2,$C$3:$F$4001,4,0))</f>
        <v>0.02</v>
      </c>
      <c r="Y170" s="106">
        <f>IF(ISNA(VLOOKUP($R170&amp;Y$2,$C$3:$F$4001,3,0)),"",VLOOKUP($R170&amp;Y$2,$C$3:$F$4001,3,0))</f>
        <v>40518</v>
      </c>
      <c r="Z170" s="107">
        <f>IF(ISNA(VLOOKUP($R170&amp;Y$2,$C$3:$F$4001,4,0)),"",VLOOKUP($R170&amp;Y$2,$C$3:$F$4001,4,0))</f>
        <v>0.04</v>
      </c>
      <c r="AA170" s="106">
        <f>IF(ISNA(VLOOKUP($R170&amp;AA$2,$C$3:$F$4001,3,0)),"",VLOOKUP($R170&amp;AA$2,$C$3:$F$4001,3,0))</f>
        <v>40708</v>
      </c>
      <c r="AB170" s="107">
        <f>IF(ISNA(VLOOKUP($R170&amp;AA$2,$C$3:$F$4001,4,0)),"",VLOOKUP($R170&amp;AA$2,$C$3:$F$4001,4,0))</f>
        <v>0.02</v>
      </c>
      <c r="AC170" s="106">
        <f>IF(ISNA(VLOOKUP($R170&amp;AC$2,$C$3:$F$4001,3,0)),"",VLOOKUP($R170&amp;AC$2,$C$3:$F$4001,3,0))</f>
        <v>40883</v>
      </c>
      <c r="AD170" s="107">
        <f>IF(ISNA(VLOOKUP($R170&amp;AC$2,$C$3:$F$4001,4,0)),"",VLOOKUP($R170&amp;AC$2,$C$3:$F$4001,4,0))</f>
        <v>0.04</v>
      </c>
      <c r="AE170" s="106">
        <f>IF(ISNA(VLOOKUP($R170&amp;AE$2,$C$3:$F$4001,3,0)),"",VLOOKUP($R170&amp;AE$2,$C$3:$F$4001,3,0))</f>
        <v>41074</v>
      </c>
      <c r="AF170" s="107">
        <f>IF(ISNA(VLOOKUP($R170&amp;AE$2,$C$3:$F$4001,4,0)),"",VLOOKUP($R170&amp;AE$2,$C$3:$F$4001,4,0))</f>
        <v>0.03</v>
      </c>
      <c r="AG170" s="106" t="str">
        <f>IF(ISNA(VLOOKUP($R170&amp;AG$2,$C$3:$F$4001,3,0)),"",VLOOKUP($R170&amp;AG$2,$C$3:$F$4001,3,0))</f>
        <v/>
      </c>
      <c r="AH170" s="107" t="str">
        <f>IF(ISNA(VLOOKUP($R170&amp;AG$2,$C$3:$F$4001,4,0)),"",VLOOKUP($R170&amp;AG$2,$C$3:$F$4001,4,0))</f>
        <v/>
      </c>
      <c r="AI170" s="106" t="str">
        <f>IF(ISNA(VLOOKUP($R170&amp;AI$2,$C$3:$F$4001,3,0)),"",VLOOKUP($R170&amp;AI$2,$C$3:$F$4001,3,0))</f>
        <v/>
      </c>
      <c r="AJ170" s="107" t="str">
        <f>IF(ISNA(VLOOKUP($R170&amp;AI$2,$C$3:$F$4001,4,0)),"",VLOOKUP($R170&amp;AI$2,$C$3:$F$4001,4,0))</f>
        <v/>
      </c>
      <c r="AK170" s="106" t="str">
        <f>IF(ISNA(VLOOKUP($R170&amp;AK$2,$C$3:$F$4001,3,0)),"",VLOOKUP($R170&amp;AK$2,$C$3:$F$4001,3,0))</f>
        <v/>
      </c>
      <c r="AL170" s="107" t="str">
        <f>IF(ISNA(VLOOKUP($R170&amp;AK$2,$C$3:$F$4001,4,0)),"",VLOOKUP($R170&amp;AK$2,$C$3:$F$4001,4,0))</f>
        <v/>
      </c>
    </row>
    <row r="171" spans="3:38" x14ac:dyDescent="0.2">
      <c r="C171" s="96" t="str">
        <f t="shared" si="8"/>
        <v>APA7</v>
      </c>
      <c r="D171" s="73" t="s">
        <v>80</v>
      </c>
      <c r="E171" s="100">
        <v>40974</v>
      </c>
      <c r="F171" s="101">
        <v>0.17170000000000002</v>
      </c>
      <c r="G171" s="96">
        <f t="shared" si="9"/>
        <v>7</v>
      </c>
      <c r="I171" s="96"/>
      <c r="K171" t="str">
        <f t="shared" si="10"/>
        <v>APA7</v>
      </c>
      <c r="L171" s="73" t="s">
        <v>80</v>
      </c>
      <c r="M171" s="72">
        <v>40974</v>
      </c>
      <c r="N171" s="84">
        <v>0.17170000000000002</v>
      </c>
      <c r="O171" s="96">
        <f t="shared" si="11"/>
        <v>7</v>
      </c>
      <c r="P171" s="73"/>
      <c r="Q171" s="96"/>
      <c r="R171" s="96" t="str">
        <f>R170</f>
        <v>GTP</v>
      </c>
      <c r="S171" s="108">
        <f>IF(ISNA(VLOOKUP($R171&amp;S$2,$K$3:$N$4001,3,0)),"",VLOOKUP($R171&amp;S$2,$K$3:$N$4001,3,0))</f>
        <v>39976</v>
      </c>
      <c r="T171" s="109">
        <f>IF(ISNA(VLOOKUP($R171&amp;S$2,$K$3:$N$4001,4,0)),"",VLOOKUP($R171&amp;S$2,$K$3:$N$4001,4,0))</f>
        <v>0.01</v>
      </c>
      <c r="U171" s="108">
        <f>IF(ISNA(VLOOKUP($R171&amp;U$2,$K$3:$N$4001,3,0)),"",VLOOKUP($R171&amp;U$2,$K$3:$N$4001,3,0))</f>
        <v>40151</v>
      </c>
      <c r="V171" s="109">
        <f>IF(ISNA(VLOOKUP($R171&amp;U$2,$K$3:$N$4001,4,0)),"",VLOOKUP($R171&amp;U$2,$K$3:$N$4001,4,0))</f>
        <v>0.03</v>
      </c>
      <c r="W171" s="108">
        <f>IF(ISNA(VLOOKUP($R171&amp;W$2,$K$3:$N$4001,3,0)),"",VLOOKUP($R171&amp;W$2,$K$3:$N$4001,3,0))</f>
        <v>40343</v>
      </c>
      <c r="X171" s="109">
        <f>IF(ISNA(VLOOKUP($R171&amp;W$2,$K$3:$N$4001,4,0)),"",VLOOKUP($R171&amp;W$2,$K$3:$N$4001,4,0))</f>
        <v>0.02</v>
      </c>
      <c r="Y171" s="108">
        <f>IF(ISNA(VLOOKUP($R171&amp;Y$2,$K$3:$N$4001,3,0)),"",VLOOKUP($R171&amp;Y$2,$K$3:$N$4001,3,0))</f>
        <v>40518</v>
      </c>
      <c r="Z171" s="109">
        <f>IF(ISNA(VLOOKUP($R171&amp;Y$2,$K$3:$N$4001,4,0)),"",VLOOKUP($R171&amp;Y$2,$K$3:$N$4001,4,0))</f>
        <v>0.04</v>
      </c>
      <c r="AA171" s="108">
        <f>IF(ISNA(VLOOKUP($R171&amp;AA$2,$K$3:$N$4001,3,0)),"",VLOOKUP($R171&amp;AA$2,$K$3:$N$4001,3,0))</f>
        <v>40708</v>
      </c>
      <c r="AB171" s="109">
        <f>IF(ISNA(VLOOKUP($R171&amp;AA$2,$K$3:$N$4001,4,0)),"",VLOOKUP($R171&amp;AA$2,$K$3:$N$4001,4,0))</f>
        <v>0.02</v>
      </c>
      <c r="AC171" s="108">
        <f>IF(ISNA(VLOOKUP($R171&amp;AC$2,$K$3:$N$4001,3,0)),"",VLOOKUP($R171&amp;AC$2,$K$3:$N$4001,3,0))</f>
        <v>40883</v>
      </c>
      <c r="AD171" s="109">
        <f>IF(ISNA(VLOOKUP($R171&amp;AC$2,$K$3:$N$4001,4,0)),"",VLOOKUP($R171&amp;AC$2,$K$3:$N$4001,4,0))</f>
        <v>0.04</v>
      </c>
      <c r="AE171" s="108">
        <f>IF(ISNA(VLOOKUP($R171&amp;AE$2,$K$3:$N$4001,3,0)),"",VLOOKUP($R171&amp;AE$2,$K$3:$N$4001,3,0))</f>
        <v>41074</v>
      </c>
      <c r="AF171" s="109">
        <f>IF(ISNA(VLOOKUP($R171&amp;AE$2,$K$3:$N$4001,4,0)),"",VLOOKUP($R171&amp;AE$2,$K$3:$N$4001,4,0))</f>
        <v>0.03</v>
      </c>
      <c r="AG171" s="108" t="str">
        <f>IF(ISNA(VLOOKUP($R171&amp;AG$2,$K$3:$N$4001,3,0)),"",VLOOKUP($R171&amp;AG$2,$K$3:$N$4001,3,0))</f>
        <v/>
      </c>
      <c r="AH171" s="109" t="str">
        <f>IF(ISNA(VLOOKUP($R171&amp;AG$2,$K$3:$N$4001,4,0)),"",VLOOKUP($R171&amp;AG$2,$K$3:$N$4001,4,0))</f>
        <v/>
      </c>
      <c r="AI171" s="108" t="str">
        <f>IF(ISNA(VLOOKUP($R171&amp;AI$2,$K$3:$N$4001,3,0)),"",VLOOKUP($R171&amp;AI$2,$K$3:$N$4001,3,0))</f>
        <v/>
      </c>
      <c r="AJ171" s="109" t="str">
        <f>IF(ISNA(VLOOKUP($R171&amp;AI$2,$K$3:$N$4001,4,0)),"",VLOOKUP($R171&amp;AI$2,$K$3:$N$4001,4,0))</f>
        <v/>
      </c>
      <c r="AK171" s="108" t="str">
        <f>IF(ISNA(VLOOKUP($R171&amp;AK$2,$K$3:$N$4001,3,0)),"",VLOOKUP($R171&amp;AK$2,$K$3:$N$4001,3,0))</f>
        <v/>
      </c>
      <c r="AL171" s="109" t="str">
        <f>IF(ISNA(VLOOKUP($R171&amp;AK$2,$K$3:$N$4001,4,0)),"",VLOOKUP($R171&amp;AK$2,$K$3:$N$4001,4,0))</f>
        <v/>
      </c>
    </row>
    <row r="172" spans="3:38" x14ac:dyDescent="0.2">
      <c r="C172" s="96" t="str">
        <f t="shared" si="8"/>
        <v>APA8</v>
      </c>
      <c r="D172" s="73" t="s">
        <v>80</v>
      </c>
      <c r="E172" s="100">
        <v>41158</v>
      </c>
      <c r="F172" s="101">
        <v>0.17730000000000001</v>
      </c>
      <c r="G172" s="96">
        <f t="shared" si="9"/>
        <v>8</v>
      </c>
      <c r="I172" s="96"/>
      <c r="K172" t="str">
        <f t="shared" si="10"/>
        <v>APA8</v>
      </c>
      <c r="L172" s="73" t="s">
        <v>80</v>
      </c>
      <c r="M172" s="72">
        <v>41158</v>
      </c>
      <c r="N172" s="84">
        <v>0.17730000000000001</v>
      </c>
      <c r="O172" s="96">
        <f t="shared" si="11"/>
        <v>8</v>
      </c>
      <c r="P172" s="73"/>
      <c r="Q172" s="96"/>
      <c r="R172" s="96" t="s">
        <v>140</v>
      </c>
      <c r="S172" s="106">
        <f>IF(ISNA(VLOOKUP($R172&amp;S$2,$C$3:$F$4001,3,0)),"",VLOOKUP($R172&amp;S$2,$C$3:$F$4001,3,0))</f>
        <v>39878</v>
      </c>
      <c r="T172" s="107">
        <f>IF(ISNA(VLOOKUP($R172&amp;S$2,$C$3:$F$4001,4,0)),"",VLOOKUP($R172&amp;S$2,$C$3:$F$4001,4,0))</f>
        <v>0.27</v>
      </c>
      <c r="U172" s="106">
        <f>IF(ISNA(VLOOKUP($R172&amp;U$2,$C$3:$F$4001,3,0)),"",VLOOKUP($R172&amp;U$2,$C$3:$F$4001,3,0))</f>
        <v>40049</v>
      </c>
      <c r="V172" s="107">
        <f>IF(ISNA(VLOOKUP($R172&amp;U$2,$C$3:$F$4001,4,0)),"",VLOOKUP($R172&amp;U$2,$C$3:$F$4001,4,0))</f>
        <v>0.30099999999999999</v>
      </c>
      <c r="W172" s="106">
        <f>IF(ISNA(VLOOKUP($R172&amp;W$2,$C$3:$F$4001,3,0)),"",VLOOKUP($R172&amp;W$2,$C$3:$F$4001,3,0))</f>
        <v>40246</v>
      </c>
      <c r="X172" s="107">
        <f>IF(ISNA(VLOOKUP($R172&amp;W$2,$C$3:$F$4001,4,0)),"",VLOOKUP($R172&amp;W$2,$C$3:$F$4001,4,0))</f>
        <v>0.27089999999999997</v>
      </c>
      <c r="Y172" s="106">
        <f>IF(ISNA(VLOOKUP($R172&amp;Y$2,$C$3:$F$4001,3,0)),"",VLOOKUP($R172&amp;Y$2,$C$3:$F$4001,3,0))</f>
        <v>40414</v>
      </c>
      <c r="Z172" s="107">
        <f>IF(ISNA(VLOOKUP($R172&amp;Y$2,$C$3:$F$4001,4,0)),"",VLOOKUP($R172&amp;Y$2,$C$3:$F$4001,4,0))</f>
        <v>0.30609999999999998</v>
      </c>
      <c r="AA172" s="106">
        <f>IF(ISNA(VLOOKUP($R172&amp;AA$2,$C$3:$F$4001,3,0)),"",VLOOKUP($R172&amp;AA$2,$C$3:$F$4001,3,0))</f>
        <v>40611</v>
      </c>
      <c r="AB172" s="107">
        <f>IF(ISNA(VLOOKUP($R172&amp;AA$2,$C$3:$F$4001,4,0)),"",VLOOKUP($R172&amp;AA$2,$C$3:$F$4001,4,0))</f>
        <v>0.29149999999999998</v>
      </c>
      <c r="AC172" s="106">
        <f>IF(ISNA(VLOOKUP($R172&amp;AC$2,$C$3:$F$4001,3,0)),"",VLOOKUP($R172&amp;AC$2,$C$3:$F$4001,3,0))</f>
        <v>40779</v>
      </c>
      <c r="AD172" s="107">
        <f>IF(ISNA(VLOOKUP($R172&amp;AC$2,$C$3:$F$4001,4,0)),"",VLOOKUP($R172&amp;AC$2,$C$3:$F$4001,4,0))</f>
        <v>0.32950000000000002</v>
      </c>
      <c r="AE172" s="106">
        <f>IF(ISNA(VLOOKUP($R172&amp;AE$2,$C$3:$F$4001,3,0)),"",VLOOKUP($R172&amp;AE$2,$C$3:$F$4001,3,0))</f>
        <v>40977</v>
      </c>
      <c r="AF172" s="107">
        <f>IF(ISNA(VLOOKUP($R172&amp;AE$2,$C$3:$F$4001,4,0)),"",VLOOKUP($R172&amp;AE$2,$C$3:$F$4001,4,0))</f>
        <v>0.307</v>
      </c>
      <c r="AG172" s="106">
        <f>IF(ISNA(VLOOKUP($R172&amp;AG$2,$C$3:$F$4001,3,0)),"",VLOOKUP($R172&amp;AG$2,$C$3:$F$4001,3,0))</f>
        <v>41145</v>
      </c>
      <c r="AH172" s="107">
        <f>IF(ISNA(VLOOKUP($R172&amp;AG$2,$C$3:$F$4001,4,0)),"",VLOOKUP($R172&amp;AG$2,$C$3:$F$4001,4,0))</f>
        <v>0.34100000000000003</v>
      </c>
      <c r="AI172" s="106">
        <f>IF(ISNA(VLOOKUP($R172&amp;AI$2,$C$3:$F$4001,3,0)),"",VLOOKUP($R172&amp;AI$2,$C$3:$F$4001,3,0))</f>
        <v>41344</v>
      </c>
      <c r="AJ172" s="107">
        <f>IF(ISNA(VLOOKUP($R172&amp;AI$2,$C$3:$F$4001,4,0)),"",VLOOKUP($R172&amp;AI$2,$C$3:$F$4001,4,0))</f>
        <v>0.31459999999999999</v>
      </c>
      <c r="AK172" s="106">
        <f>IF(ISNA(VLOOKUP($R172&amp;AK$2,$C$3:$F$4001,3,0)),"",VLOOKUP($R172&amp;AK$2,$C$3:$F$4001,3,0))</f>
        <v>41512</v>
      </c>
      <c r="AL172" s="107">
        <f>IF(ISNA(VLOOKUP($R172&amp;AK$2,$C$3:$F$4001,4,0)),"",VLOOKUP($R172&amp;AK$2,$C$3:$F$4001,4,0))</f>
        <v>0.34939999999999999</v>
      </c>
    </row>
    <row r="173" spans="3:38" x14ac:dyDescent="0.2">
      <c r="C173" s="96" t="str">
        <f t="shared" si="8"/>
        <v>APA9</v>
      </c>
      <c r="D173" s="73" t="s">
        <v>80</v>
      </c>
      <c r="E173" s="100">
        <v>41339</v>
      </c>
      <c r="F173" s="101">
        <v>0.17910000000000001</v>
      </c>
      <c r="G173" s="96">
        <f t="shared" si="9"/>
        <v>9</v>
      </c>
      <c r="I173" s="96"/>
      <c r="K173" t="str">
        <f t="shared" si="10"/>
        <v>APA9</v>
      </c>
      <c r="L173" s="73" t="s">
        <v>80</v>
      </c>
      <c r="M173" s="72">
        <v>41339</v>
      </c>
      <c r="N173" s="84">
        <v>0.17910000000000001</v>
      </c>
      <c r="O173" s="96">
        <f t="shared" si="11"/>
        <v>9</v>
      </c>
      <c r="P173" s="73"/>
      <c r="Q173" s="96"/>
      <c r="R173" s="96" t="str">
        <f>R172</f>
        <v>GUD</v>
      </c>
      <c r="S173" s="108">
        <f>IF(ISNA(VLOOKUP($R173&amp;S$2,$K$3:$N$4001,3,0)),"",VLOOKUP($R173&amp;S$2,$K$3:$N$4001,3,0))</f>
        <v>39878</v>
      </c>
      <c r="T173" s="109">
        <f>IF(ISNA(VLOOKUP($R173&amp;S$2,$K$3:$N$4001,4,0)),"",VLOOKUP($R173&amp;S$2,$K$3:$N$4001,4,0))</f>
        <v>0.27</v>
      </c>
      <c r="U173" s="108">
        <f>IF(ISNA(VLOOKUP($R173&amp;U$2,$K$3:$N$4001,3,0)),"",VLOOKUP($R173&amp;U$2,$K$3:$N$4001,3,0))</f>
        <v>40049</v>
      </c>
      <c r="V173" s="109">
        <f>IF(ISNA(VLOOKUP($R173&amp;U$2,$K$3:$N$4001,4,0)),"",VLOOKUP($R173&amp;U$2,$K$3:$N$4001,4,0))</f>
        <v>0.30099999999999999</v>
      </c>
      <c r="W173" s="108">
        <f>IF(ISNA(VLOOKUP($R173&amp;W$2,$K$3:$N$4001,3,0)),"",VLOOKUP($R173&amp;W$2,$K$3:$N$4001,3,0))</f>
        <v>40246</v>
      </c>
      <c r="X173" s="109">
        <f>IF(ISNA(VLOOKUP($R173&amp;W$2,$K$3:$N$4001,4,0)),"",VLOOKUP($R173&amp;W$2,$K$3:$N$4001,4,0))</f>
        <v>0.27089999999999997</v>
      </c>
      <c r="Y173" s="108">
        <f>IF(ISNA(VLOOKUP($R173&amp;Y$2,$K$3:$N$4001,3,0)),"",VLOOKUP($R173&amp;Y$2,$K$3:$N$4001,3,0))</f>
        <v>40414</v>
      </c>
      <c r="Z173" s="109">
        <f>IF(ISNA(VLOOKUP($R173&amp;Y$2,$K$3:$N$4001,4,0)),"",VLOOKUP($R173&amp;Y$2,$K$3:$N$4001,4,0))</f>
        <v>0.30609999999999998</v>
      </c>
      <c r="AA173" s="108">
        <f>IF(ISNA(VLOOKUP($R173&amp;AA$2,$K$3:$N$4001,3,0)),"",VLOOKUP($R173&amp;AA$2,$K$3:$N$4001,3,0))</f>
        <v>40611</v>
      </c>
      <c r="AB173" s="109">
        <f>IF(ISNA(VLOOKUP($R173&amp;AA$2,$K$3:$N$4001,4,0)),"",VLOOKUP($R173&amp;AA$2,$K$3:$N$4001,4,0))</f>
        <v>0.29149999999999998</v>
      </c>
      <c r="AC173" s="108">
        <f>IF(ISNA(VLOOKUP($R173&amp;AC$2,$K$3:$N$4001,3,0)),"",VLOOKUP($R173&amp;AC$2,$K$3:$N$4001,3,0))</f>
        <v>40779</v>
      </c>
      <c r="AD173" s="109">
        <f>IF(ISNA(VLOOKUP($R173&amp;AC$2,$K$3:$N$4001,4,0)),"",VLOOKUP($R173&amp;AC$2,$K$3:$N$4001,4,0))</f>
        <v>0.32950000000000002</v>
      </c>
      <c r="AE173" s="108">
        <f>IF(ISNA(VLOOKUP($R173&amp;AE$2,$K$3:$N$4001,3,0)),"",VLOOKUP($R173&amp;AE$2,$K$3:$N$4001,3,0))</f>
        <v>40977</v>
      </c>
      <c r="AF173" s="109">
        <f>IF(ISNA(VLOOKUP($R173&amp;AE$2,$K$3:$N$4001,4,0)),"",VLOOKUP($R173&amp;AE$2,$K$3:$N$4001,4,0))</f>
        <v>0.307</v>
      </c>
      <c r="AG173" s="108">
        <f>IF(ISNA(VLOOKUP($R173&amp;AG$2,$K$3:$N$4001,3,0)),"",VLOOKUP($R173&amp;AG$2,$K$3:$N$4001,3,0))</f>
        <v>41145</v>
      </c>
      <c r="AH173" s="109">
        <f>IF(ISNA(VLOOKUP($R173&amp;AG$2,$K$3:$N$4001,4,0)),"",VLOOKUP($R173&amp;AG$2,$K$3:$N$4001,4,0))</f>
        <v>0.34100000000000003</v>
      </c>
      <c r="AI173" s="108">
        <f>IF(ISNA(VLOOKUP($R173&amp;AI$2,$K$3:$N$4001,3,0)),"",VLOOKUP($R173&amp;AI$2,$K$3:$N$4001,3,0))</f>
        <v>41344</v>
      </c>
      <c r="AJ173" s="109">
        <f>IF(ISNA(VLOOKUP($R173&amp;AI$2,$K$3:$N$4001,4,0)),"",VLOOKUP($R173&amp;AI$2,$K$3:$N$4001,4,0))</f>
        <v>0.31459999999999999</v>
      </c>
      <c r="AK173" s="108">
        <f>IF(ISNA(VLOOKUP($R173&amp;AK$2,$K$3:$N$4001,3,0)),"",VLOOKUP($R173&amp;AK$2,$K$3:$N$4001,3,0))</f>
        <v>41512</v>
      </c>
      <c r="AL173" s="109">
        <f>IF(ISNA(VLOOKUP($R173&amp;AK$2,$K$3:$N$4001,4,0)),"",VLOOKUP($R173&amp;AK$2,$K$3:$N$4001,4,0))</f>
        <v>0.34939999999999999</v>
      </c>
    </row>
    <row r="174" spans="3:38" x14ac:dyDescent="0.2">
      <c r="C174" s="96" t="str">
        <f t="shared" si="8"/>
        <v>APA10</v>
      </c>
      <c r="D174" s="73" t="s">
        <v>80</v>
      </c>
      <c r="E174" s="100">
        <v>41523</v>
      </c>
      <c r="F174" s="101">
        <v>0.18489999999999998</v>
      </c>
      <c r="G174" s="96">
        <f t="shared" si="9"/>
        <v>10</v>
      </c>
      <c r="I174" s="96"/>
      <c r="K174" t="str">
        <f t="shared" si="10"/>
        <v>APA10</v>
      </c>
      <c r="L174" s="73" t="s">
        <v>80</v>
      </c>
      <c r="M174" s="72">
        <v>41523</v>
      </c>
      <c r="N174" s="84">
        <v>0.18489999999999998</v>
      </c>
      <c r="O174" s="96">
        <f t="shared" si="11"/>
        <v>10</v>
      </c>
      <c r="P174" s="73"/>
      <c r="Q174" s="96"/>
      <c r="R174" s="96" t="s">
        <v>137</v>
      </c>
      <c r="S174" s="106">
        <f>IF(ISNA(VLOOKUP($R174&amp;S$2,$C$3:$F$4001,3,0)),"",VLOOKUP($R174&amp;S$2,$C$3:$F$4001,3,0))</f>
        <v>39888</v>
      </c>
      <c r="T174" s="107">
        <f>IF(ISNA(VLOOKUP($R174&amp;S$2,$C$3:$F$4001,4,0)),"",VLOOKUP($R174&amp;S$2,$C$3:$F$4001,4,0))</f>
        <v>0.06</v>
      </c>
      <c r="U174" s="106">
        <f>IF(ISNA(VLOOKUP($R174&amp;U$2,$C$3:$F$4001,3,0)),"",VLOOKUP($R174&amp;U$2,$C$3:$F$4001,3,0))</f>
        <v>40063</v>
      </c>
      <c r="V174" s="107">
        <f>IF(ISNA(VLOOKUP($R174&amp;U$2,$C$3:$F$4001,4,0)),"",VLOOKUP($R174&amp;U$2,$C$3:$F$4001,4,0))</f>
        <v>0.04</v>
      </c>
      <c r="W174" s="106">
        <f>IF(ISNA(VLOOKUP($R174&amp;W$2,$C$3:$F$4001,3,0)),"",VLOOKUP($R174&amp;W$2,$C$3:$F$4001,3,0))</f>
        <v>40253</v>
      </c>
      <c r="X174" s="107">
        <f>IF(ISNA(VLOOKUP($R174&amp;W$2,$C$3:$F$4001,4,0)),"",VLOOKUP($R174&amp;W$2,$C$3:$F$4001,4,0))</f>
        <v>0.06</v>
      </c>
      <c r="Y174" s="106">
        <f>IF(ISNA(VLOOKUP($R174&amp;Y$2,$C$3:$F$4001,3,0)),"",VLOOKUP($R174&amp;Y$2,$C$3:$F$4001,3,0))</f>
        <v>40428</v>
      </c>
      <c r="Z174" s="107">
        <f>IF(ISNA(VLOOKUP($R174&amp;Y$2,$C$3:$F$4001,4,0)),"",VLOOKUP($R174&amp;Y$2,$C$3:$F$4001,4,0))</f>
        <v>0.05</v>
      </c>
      <c r="AA174" s="106">
        <f>IF(ISNA(VLOOKUP($R174&amp;AA$2,$C$3:$F$4001,3,0)),"",VLOOKUP($R174&amp;AA$2,$C$3:$F$4001,3,0))</f>
        <v>40618</v>
      </c>
      <c r="AB174" s="107">
        <f>IF(ISNA(VLOOKUP($R174&amp;AA$2,$C$3:$F$4001,4,0)),"",VLOOKUP($R174&amp;AA$2,$C$3:$F$4001,4,0))</f>
        <v>0.06</v>
      </c>
      <c r="AC174" s="106">
        <f>IF(ISNA(VLOOKUP($R174&amp;AC$2,$C$3:$F$4001,3,0)),"",VLOOKUP($R174&amp;AC$2,$C$3:$F$4001,3,0))</f>
        <v>40793</v>
      </c>
      <c r="AD174" s="107">
        <f>IF(ISNA(VLOOKUP($R174&amp;AC$2,$C$3:$F$4001,4,0)),"",VLOOKUP($R174&amp;AC$2,$C$3:$F$4001,4,0))</f>
        <v>0.05</v>
      </c>
      <c r="AE174" s="106">
        <f>IF(ISNA(VLOOKUP($R174&amp;AE$2,$C$3:$F$4001,3,0)),"",VLOOKUP($R174&amp;AE$2,$C$3:$F$4001,3,0))</f>
        <v>40984</v>
      </c>
      <c r="AF174" s="107">
        <f>IF(ISNA(VLOOKUP($R174&amp;AE$2,$C$3:$F$4001,4,0)),"",VLOOKUP($R174&amp;AE$2,$C$3:$F$4001,4,0))</f>
        <v>0.06</v>
      </c>
      <c r="AG174" s="106">
        <f>IF(ISNA(VLOOKUP($R174&amp;AG$2,$C$3:$F$4001,3,0)),"",VLOOKUP($R174&amp;AG$2,$C$3:$F$4001,3,0))</f>
        <v>41159</v>
      </c>
      <c r="AH174" s="107">
        <f>IF(ISNA(VLOOKUP($R174&amp;AG$2,$C$3:$F$4001,4,0)),"",VLOOKUP($R174&amp;AG$2,$C$3:$F$4001,4,0))</f>
        <v>0.06</v>
      </c>
      <c r="AI174" s="106">
        <f>IF(ISNA(VLOOKUP($R174&amp;AI$2,$C$3:$F$4001,3,0)),"",VLOOKUP($R174&amp;AI$2,$C$3:$F$4001,3,0))</f>
        <v>41351</v>
      </c>
      <c r="AJ174" s="107">
        <f>IF(ISNA(VLOOKUP($R174&amp;AI$2,$C$3:$F$4001,4,0)),"",VLOOKUP($R174&amp;AI$2,$C$3:$F$4001,4,0))</f>
        <v>0.06</v>
      </c>
      <c r="AK174" s="106">
        <f>IF(ISNA(VLOOKUP($R174&amp;AK$2,$C$3:$F$4001,3,0)),"",VLOOKUP($R174&amp;AK$2,$C$3:$F$4001,3,0))</f>
        <v>41526</v>
      </c>
      <c r="AL174" s="107">
        <f>IF(ISNA(VLOOKUP($R174&amp;AK$2,$C$3:$F$4001,4,0)),"",VLOOKUP($R174&amp;AK$2,$C$3:$F$4001,4,0))</f>
        <v>7.0000000000000007E-2</v>
      </c>
    </row>
    <row r="175" spans="3:38" x14ac:dyDescent="0.2">
      <c r="C175" s="96" t="str">
        <f t="shared" si="8"/>
        <v>APN1</v>
      </c>
      <c r="D175" s="73" t="s">
        <v>81</v>
      </c>
      <c r="E175" s="100">
        <v>39905</v>
      </c>
      <c r="F175" s="101">
        <v>0.21</v>
      </c>
      <c r="G175" s="96">
        <f t="shared" si="9"/>
        <v>1</v>
      </c>
      <c r="I175" s="96"/>
      <c r="K175" t="str">
        <f t="shared" si="10"/>
        <v>APN1</v>
      </c>
      <c r="L175" s="73" t="s">
        <v>81</v>
      </c>
      <c r="M175" s="72">
        <v>39905</v>
      </c>
      <c r="N175" s="84">
        <v>0.21</v>
      </c>
      <c r="O175" s="96">
        <f t="shared" si="11"/>
        <v>1</v>
      </c>
      <c r="P175" s="73"/>
      <c r="Q175" s="96"/>
      <c r="R175" s="96" t="str">
        <f>R174</f>
        <v>GNS</v>
      </c>
      <c r="S175" s="108">
        <f>IF(ISNA(VLOOKUP($R175&amp;S$2,$K$3:$N$4001,3,0)),"",VLOOKUP($R175&amp;S$2,$K$3:$N$4001,3,0))</f>
        <v>39888</v>
      </c>
      <c r="T175" s="109">
        <f>IF(ISNA(VLOOKUP($R175&amp;S$2,$K$3:$N$4001,4,0)),"",VLOOKUP($R175&amp;S$2,$K$3:$N$4001,4,0))</f>
        <v>0.06</v>
      </c>
      <c r="U175" s="108">
        <f>IF(ISNA(VLOOKUP($R175&amp;U$2,$K$3:$N$4001,3,0)),"",VLOOKUP($R175&amp;U$2,$K$3:$N$4001,3,0))</f>
        <v>40063</v>
      </c>
      <c r="V175" s="109">
        <f>IF(ISNA(VLOOKUP($R175&amp;U$2,$K$3:$N$4001,4,0)),"",VLOOKUP($R175&amp;U$2,$K$3:$N$4001,4,0))</f>
        <v>0.04</v>
      </c>
      <c r="W175" s="108">
        <f>IF(ISNA(VLOOKUP($R175&amp;W$2,$K$3:$N$4001,3,0)),"",VLOOKUP($R175&amp;W$2,$K$3:$N$4001,3,0))</f>
        <v>40253</v>
      </c>
      <c r="X175" s="109">
        <f>IF(ISNA(VLOOKUP($R175&amp;W$2,$K$3:$N$4001,4,0)),"",VLOOKUP($R175&amp;W$2,$K$3:$N$4001,4,0))</f>
        <v>0.06</v>
      </c>
      <c r="Y175" s="108">
        <f>IF(ISNA(VLOOKUP($R175&amp;Y$2,$K$3:$N$4001,3,0)),"",VLOOKUP($R175&amp;Y$2,$K$3:$N$4001,3,0))</f>
        <v>40428</v>
      </c>
      <c r="Z175" s="109">
        <f>IF(ISNA(VLOOKUP($R175&amp;Y$2,$K$3:$N$4001,4,0)),"",VLOOKUP($R175&amp;Y$2,$K$3:$N$4001,4,0))</f>
        <v>0.05</v>
      </c>
      <c r="AA175" s="108">
        <f>IF(ISNA(VLOOKUP($R175&amp;AA$2,$K$3:$N$4001,3,0)),"",VLOOKUP($R175&amp;AA$2,$K$3:$N$4001,3,0))</f>
        <v>40618</v>
      </c>
      <c r="AB175" s="109">
        <f>IF(ISNA(VLOOKUP($R175&amp;AA$2,$K$3:$N$4001,4,0)),"",VLOOKUP($R175&amp;AA$2,$K$3:$N$4001,4,0))</f>
        <v>0.06</v>
      </c>
      <c r="AC175" s="108">
        <f>IF(ISNA(VLOOKUP($R175&amp;AC$2,$K$3:$N$4001,3,0)),"",VLOOKUP($R175&amp;AC$2,$K$3:$N$4001,3,0))</f>
        <v>40793</v>
      </c>
      <c r="AD175" s="109">
        <f>IF(ISNA(VLOOKUP($R175&amp;AC$2,$K$3:$N$4001,4,0)),"",VLOOKUP($R175&amp;AC$2,$K$3:$N$4001,4,0))</f>
        <v>0.05</v>
      </c>
      <c r="AE175" s="108">
        <f>IF(ISNA(VLOOKUP($R175&amp;AE$2,$K$3:$N$4001,3,0)),"",VLOOKUP($R175&amp;AE$2,$K$3:$N$4001,3,0))</f>
        <v>40984</v>
      </c>
      <c r="AF175" s="109">
        <f>IF(ISNA(VLOOKUP($R175&amp;AE$2,$K$3:$N$4001,4,0)),"",VLOOKUP($R175&amp;AE$2,$K$3:$N$4001,4,0))</f>
        <v>0.06</v>
      </c>
      <c r="AG175" s="108">
        <f>IF(ISNA(VLOOKUP($R175&amp;AG$2,$K$3:$N$4001,3,0)),"",VLOOKUP($R175&amp;AG$2,$K$3:$N$4001,3,0))</f>
        <v>41159</v>
      </c>
      <c r="AH175" s="109">
        <f>IF(ISNA(VLOOKUP($R175&amp;AG$2,$K$3:$N$4001,4,0)),"",VLOOKUP($R175&amp;AG$2,$K$3:$N$4001,4,0))</f>
        <v>0.06</v>
      </c>
      <c r="AI175" s="108">
        <f>IF(ISNA(VLOOKUP($R175&amp;AI$2,$K$3:$N$4001,3,0)),"",VLOOKUP($R175&amp;AI$2,$K$3:$N$4001,3,0))</f>
        <v>41351</v>
      </c>
      <c r="AJ175" s="109">
        <f>IF(ISNA(VLOOKUP($R175&amp;AI$2,$K$3:$N$4001,4,0)),"",VLOOKUP($R175&amp;AI$2,$K$3:$N$4001,4,0))</f>
        <v>0.06</v>
      </c>
      <c r="AK175" s="108">
        <f>IF(ISNA(VLOOKUP($R175&amp;AK$2,$K$3:$N$4001,3,0)),"",VLOOKUP($R175&amp;AK$2,$K$3:$N$4001,3,0))</f>
        <v>41526</v>
      </c>
      <c r="AL175" s="109">
        <f>IF(ISNA(VLOOKUP($R175&amp;AK$2,$K$3:$N$4001,4,0)),"",VLOOKUP($R175&amp;AK$2,$K$3:$N$4001,4,0))</f>
        <v>7.0000000000000007E-2</v>
      </c>
    </row>
    <row r="176" spans="3:38" x14ac:dyDescent="0.2">
      <c r="C176" s="96" t="str">
        <f t="shared" si="8"/>
        <v>APN2</v>
      </c>
      <c r="D176" s="73" t="s">
        <v>81</v>
      </c>
      <c r="E176" s="100">
        <v>40063</v>
      </c>
      <c r="F176" s="101">
        <v>0.105</v>
      </c>
      <c r="G176" s="96">
        <f t="shared" si="9"/>
        <v>2</v>
      </c>
      <c r="I176" s="96"/>
      <c r="K176" t="str">
        <f t="shared" si="10"/>
        <v>APN2</v>
      </c>
      <c r="L176" s="73" t="s">
        <v>81</v>
      </c>
      <c r="M176" s="72">
        <v>40063</v>
      </c>
      <c r="N176" s="84">
        <v>0.105</v>
      </c>
      <c r="O176" s="96">
        <f t="shared" si="11"/>
        <v>2</v>
      </c>
      <c r="P176" s="73"/>
      <c r="Q176" s="96"/>
      <c r="R176" s="96" t="s">
        <v>141</v>
      </c>
      <c r="S176" s="106">
        <f>IF(ISNA(VLOOKUP($R176&amp;S$2,$C$3:$F$4001,3,0)),"",VLOOKUP($R176&amp;S$2,$C$3:$F$4001,3,0))</f>
        <v>39876</v>
      </c>
      <c r="T176" s="107">
        <f>IF(ISNA(VLOOKUP($R176&amp;S$2,$C$3:$F$4001,4,0)),"",VLOOKUP($R176&amp;S$2,$C$3:$F$4001,4,0))</f>
        <v>0.1</v>
      </c>
      <c r="U176" s="106">
        <f>IF(ISNA(VLOOKUP($R176&amp;U$2,$C$3:$F$4001,3,0)),"",VLOOKUP($R176&amp;U$2,$C$3:$F$4001,3,0))</f>
        <v>40071</v>
      </c>
      <c r="V176" s="107">
        <f>IF(ISNA(VLOOKUP($R176&amp;U$2,$C$3:$F$4001,4,0)),"",VLOOKUP($R176&amp;U$2,$C$3:$F$4001,4,0))</f>
        <v>0.08</v>
      </c>
      <c r="W176" s="106">
        <f>IF(ISNA(VLOOKUP($R176&amp;W$2,$C$3:$F$4001,3,0)),"",VLOOKUP($R176&amp;W$2,$C$3:$F$4001,3,0))</f>
        <v>40242</v>
      </c>
      <c r="X176" s="107">
        <f>IF(ISNA(VLOOKUP($R176&amp;W$2,$C$3:$F$4001,4,0)),"",VLOOKUP($R176&amp;W$2,$C$3:$F$4001,4,0))</f>
        <v>0.1017</v>
      </c>
      <c r="Y176" s="106">
        <f>IF(ISNA(VLOOKUP($R176&amp;Y$2,$C$3:$F$4001,3,0)),"",VLOOKUP($R176&amp;Y$2,$C$3:$F$4001,3,0))</f>
        <v>40436</v>
      </c>
      <c r="Z176" s="107">
        <f>IF(ISNA(VLOOKUP($R176&amp;Y$2,$C$3:$F$4001,4,0)),"",VLOOKUP($R176&amp;Y$2,$C$3:$F$4001,4,0))</f>
        <v>8.1300000000000011E-2</v>
      </c>
      <c r="AA176" s="106">
        <f>IF(ISNA(VLOOKUP($R176&amp;AA$2,$C$3:$F$4001,3,0)),"",VLOOKUP($R176&amp;AA$2,$C$3:$F$4001,3,0))</f>
        <v>40609</v>
      </c>
      <c r="AB176" s="107">
        <f>IF(ISNA(VLOOKUP($R176&amp;AA$2,$C$3:$F$4001,4,0)),"",VLOOKUP($R176&amp;AA$2,$C$3:$F$4001,4,0))</f>
        <v>0.11779999999999999</v>
      </c>
      <c r="AC176" s="106">
        <f>IF(ISNA(VLOOKUP($R176&amp;AC$2,$C$3:$F$4001,3,0)),"",VLOOKUP($R176&amp;AC$2,$C$3:$F$4001,3,0))</f>
        <v>40801</v>
      </c>
      <c r="AD176" s="107">
        <f>IF(ISNA(VLOOKUP($R176&amp;AC$2,$C$3:$F$4001,4,0)),"",VLOOKUP($R176&amp;AC$2,$C$3:$F$4001,4,0))</f>
        <v>9.4200000000000006E-2</v>
      </c>
      <c r="AE176" s="106">
        <f>IF(ISNA(VLOOKUP($R176&amp;AE$2,$C$3:$F$4001,3,0)),"",VLOOKUP($R176&amp;AE$2,$C$3:$F$4001,3,0))</f>
        <v>40974</v>
      </c>
      <c r="AF176" s="107">
        <f>IF(ISNA(VLOOKUP($R176&amp;AE$2,$C$3:$F$4001,4,0)),"",VLOOKUP($R176&amp;AE$2,$C$3:$F$4001,4,0))</f>
        <v>0.14000000000000001</v>
      </c>
      <c r="AG176" s="106">
        <f>IF(ISNA(VLOOKUP($R176&amp;AG$2,$C$3:$F$4001,3,0)),"",VLOOKUP($R176&amp;AG$2,$C$3:$F$4001,3,0))</f>
        <v>41169</v>
      </c>
      <c r="AH176" s="107">
        <f>IF(ISNA(VLOOKUP($R176&amp;AG$2,$C$3:$F$4001,4,0)),"",VLOOKUP($R176&amp;AG$2,$C$3:$F$4001,4,0))</f>
        <v>0.11199999999999999</v>
      </c>
      <c r="AI176" s="106">
        <f>IF(ISNA(VLOOKUP($R176&amp;AI$2,$C$3:$F$4001,3,0)),"",VLOOKUP($R176&amp;AI$2,$C$3:$F$4001,3,0))</f>
        <v>41339</v>
      </c>
      <c r="AJ176" s="107">
        <f>IF(ISNA(VLOOKUP($R176&amp;AI$2,$C$3:$F$4001,4,0)),"",VLOOKUP($R176&amp;AI$2,$C$3:$F$4001,4,0))</f>
        <v>0.14779999999999999</v>
      </c>
      <c r="AK176" s="106">
        <f>IF(ISNA(VLOOKUP($R176&amp;AK$2,$C$3:$F$4001,3,0)),"",VLOOKUP($R176&amp;AK$2,$C$3:$F$4001,3,0))</f>
        <v>41534</v>
      </c>
      <c r="AL176" s="107">
        <f>IF(ISNA(VLOOKUP($R176&amp;AK$2,$C$3:$F$4001,4,0)),"",VLOOKUP($R176&amp;AK$2,$C$3:$F$4001,4,0))</f>
        <v>0.1182</v>
      </c>
    </row>
    <row r="177" spans="3:38" x14ac:dyDescent="0.2">
      <c r="C177" s="96" t="str">
        <f t="shared" si="8"/>
        <v>APN3</v>
      </c>
      <c r="D177" s="73" t="s">
        <v>81</v>
      </c>
      <c r="E177" s="100">
        <v>40268</v>
      </c>
      <c r="F177" s="101">
        <v>0.21</v>
      </c>
      <c r="G177" s="96">
        <f t="shared" si="9"/>
        <v>3</v>
      </c>
      <c r="I177" s="96"/>
      <c r="K177" t="str">
        <f t="shared" si="10"/>
        <v>APN3</v>
      </c>
      <c r="L177" s="73" t="s">
        <v>81</v>
      </c>
      <c r="M177" s="72">
        <v>40268</v>
      </c>
      <c r="N177" s="84">
        <v>0.21</v>
      </c>
      <c r="O177" s="96">
        <f t="shared" si="11"/>
        <v>3</v>
      </c>
      <c r="P177" s="73"/>
      <c r="Q177" s="96"/>
      <c r="R177" s="96" t="str">
        <f>R176</f>
        <v>GWT</v>
      </c>
      <c r="S177" s="108">
        <f>IF(ISNA(VLOOKUP($R177&amp;S$2,$K$3:$N$4001,3,0)),"",VLOOKUP($R177&amp;S$2,$K$3:$N$4001,3,0))</f>
        <v>39876</v>
      </c>
      <c r="T177" s="109">
        <f>IF(ISNA(VLOOKUP($R177&amp;S$2,$K$3:$N$4001,4,0)),"",VLOOKUP($R177&amp;S$2,$K$3:$N$4001,4,0))</f>
        <v>0.1</v>
      </c>
      <c r="U177" s="108">
        <f>IF(ISNA(VLOOKUP($R177&amp;U$2,$K$3:$N$4001,3,0)),"",VLOOKUP($R177&amp;U$2,$K$3:$N$4001,3,0))</f>
        <v>40071</v>
      </c>
      <c r="V177" s="109">
        <f>IF(ISNA(VLOOKUP($R177&amp;U$2,$K$3:$N$4001,4,0)),"",VLOOKUP($R177&amp;U$2,$K$3:$N$4001,4,0))</f>
        <v>0.08</v>
      </c>
      <c r="W177" s="108">
        <f>IF(ISNA(VLOOKUP($R177&amp;W$2,$K$3:$N$4001,3,0)),"",VLOOKUP($R177&amp;W$2,$K$3:$N$4001,3,0))</f>
        <v>40242</v>
      </c>
      <c r="X177" s="109">
        <f>IF(ISNA(VLOOKUP($R177&amp;W$2,$K$3:$N$4001,4,0)),"",VLOOKUP($R177&amp;W$2,$K$3:$N$4001,4,0))</f>
        <v>0.1017</v>
      </c>
      <c r="Y177" s="108">
        <f>IF(ISNA(VLOOKUP($R177&amp;Y$2,$K$3:$N$4001,3,0)),"",VLOOKUP($R177&amp;Y$2,$K$3:$N$4001,3,0))</f>
        <v>40436</v>
      </c>
      <c r="Z177" s="109">
        <f>IF(ISNA(VLOOKUP($R177&amp;Y$2,$K$3:$N$4001,4,0)),"",VLOOKUP($R177&amp;Y$2,$K$3:$N$4001,4,0))</f>
        <v>8.1300000000000011E-2</v>
      </c>
      <c r="AA177" s="108">
        <f>IF(ISNA(VLOOKUP($R177&amp;AA$2,$K$3:$N$4001,3,0)),"",VLOOKUP($R177&amp;AA$2,$K$3:$N$4001,3,0))</f>
        <v>40609</v>
      </c>
      <c r="AB177" s="109">
        <f>IF(ISNA(VLOOKUP($R177&amp;AA$2,$K$3:$N$4001,4,0)),"",VLOOKUP($R177&amp;AA$2,$K$3:$N$4001,4,0))</f>
        <v>0.11779999999999999</v>
      </c>
      <c r="AC177" s="108">
        <f>IF(ISNA(VLOOKUP($R177&amp;AC$2,$K$3:$N$4001,3,0)),"",VLOOKUP($R177&amp;AC$2,$K$3:$N$4001,3,0))</f>
        <v>40801</v>
      </c>
      <c r="AD177" s="109">
        <f>IF(ISNA(VLOOKUP($R177&amp;AC$2,$K$3:$N$4001,4,0)),"",VLOOKUP($R177&amp;AC$2,$K$3:$N$4001,4,0))</f>
        <v>9.4200000000000006E-2</v>
      </c>
      <c r="AE177" s="108">
        <f>IF(ISNA(VLOOKUP($R177&amp;AE$2,$K$3:$N$4001,3,0)),"",VLOOKUP($R177&amp;AE$2,$K$3:$N$4001,3,0))</f>
        <v>40974</v>
      </c>
      <c r="AF177" s="109">
        <f>IF(ISNA(VLOOKUP($R177&amp;AE$2,$K$3:$N$4001,4,0)),"",VLOOKUP($R177&amp;AE$2,$K$3:$N$4001,4,0))</f>
        <v>0.14000000000000001</v>
      </c>
      <c r="AG177" s="108">
        <f>IF(ISNA(VLOOKUP($R177&amp;AG$2,$K$3:$N$4001,3,0)),"",VLOOKUP($R177&amp;AG$2,$K$3:$N$4001,3,0))</f>
        <v>41169</v>
      </c>
      <c r="AH177" s="109">
        <f>IF(ISNA(VLOOKUP($R177&amp;AG$2,$K$3:$N$4001,4,0)),"",VLOOKUP($R177&amp;AG$2,$K$3:$N$4001,4,0))</f>
        <v>0.11199999999999999</v>
      </c>
      <c r="AI177" s="108">
        <f>IF(ISNA(VLOOKUP($R177&amp;AI$2,$K$3:$N$4001,3,0)),"",VLOOKUP($R177&amp;AI$2,$K$3:$N$4001,3,0))</f>
        <v>41339</v>
      </c>
      <c r="AJ177" s="109">
        <f>IF(ISNA(VLOOKUP($R177&amp;AI$2,$K$3:$N$4001,4,0)),"",VLOOKUP($R177&amp;AI$2,$K$3:$N$4001,4,0))</f>
        <v>0.14779999999999999</v>
      </c>
      <c r="AK177" s="108">
        <f>IF(ISNA(VLOOKUP($R177&amp;AK$2,$K$3:$N$4001,3,0)),"",VLOOKUP($R177&amp;AK$2,$K$3:$N$4001,3,0))</f>
        <v>41534</v>
      </c>
      <c r="AL177" s="109">
        <f>IF(ISNA(VLOOKUP($R177&amp;AK$2,$K$3:$N$4001,4,0)),"",VLOOKUP($R177&amp;AK$2,$K$3:$N$4001,4,0))</f>
        <v>0.1182</v>
      </c>
    </row>
    <row r="178" spans="3:38" x14ac:dyDescent="0.2">
      <c r="C178" s="96" t="str">
        <f t="shared" si="8"/>
        <v>APN4</v>
      </c>
      <c r="D178" s="73" t="s">
        <v>81</v>
      </c>
      <c r="E178" s="100">
        <v>40428</v>
      </c>
      <c r="F178" s="101">
        <v>0.105</v>
      </c>
      <c r="G178" s="96">
        <f t="shared" si="9"/>
        <v>4</v>
      </c>
      <c r="I178" s="96"/>
      <c r="K178" t="str">
        <f t="shared" si="10"/>
        <v>APN4</v>
      </c>
      <c r="L178" s="73" t="s">
        <v>81</v>
      </c>
      <c r="M178" s="72">
        <v>40428</v>
      </c>
      <c r="N178" s="84">
        <v>0.105</v>
      </c>
      <c r="O178" s="96">
        <f t="shared" si="11"/>
        <v>4</v>
      </c>
      <c r="P178" s="73"/>
      <c r="Q178" s="96"/>
      <c r="R178" s="96" t="s">
        <v>147</v>
      </c>
      <c r="S178" s="106">
        <f>IF(ISNA(VLOOKUP($R178&amp;S$2,$C$3:$F$4001,3,0)),"",VLOOKUP($R178&amp;S$2,$C$3:$F$4001,3,0))</f>
        <v>39912</v>
      </c>
      <c r="T178" s="107">
        <f>IF(ISNA(VLOOKUP($R178&amp;S$2,$C$3:$F$4001,4,0)),"",VLOOKUP($R178&amp;S$2,$C$3:$F$4001,4,0))</f>
        <v>7.0000000000000007E-2</v>
      </c>
      <c r="U178" s="106">
        <f>IF(ISNA(VLOOKUP($R178&amp;U$2,$C$3:$F$4001,3,0)),"",VLOOKUP($R178&amp;U$2,$C$3:$F$4001,3,0))</f>
        <v>40119</v>
      </c>
      <c r="V178" s="107">
        <f>IF(ISNA(VLOOKUP($R178&amp;U$2,$C$3:$F$4001,4,0)),"",VLOOKUP($R178&amp;U$2,$C$3:$F$4001,4,0))</f>
        <v>7.0000000000000007E-2</v>
      </c>
      <c r="W178" s="106">
        <f>IF(ISNA(VLOOKUP($R178&amp;W$2,$C$3:$F$4001,3,0)),"",VLOOKUP($R178&amp;W$2,$C$3:$F$4001,3,0))</f>
        <v>40281</v>
      </c>
      <c r="X178" s="107">
        <f>IF(ISNA(VLOOKUP($R178&amp;W$2,$C$3:$F$4001,4,0)),"",VLOOKUP($R178&amp;W$2,$C$3:$F$4001,4,0))</f>
        <v>7.0000000000000007E-2</v>
      </c>
      <c r="Y178" s="106">
        <f>IF(ISNA(VLOOKUP($R178&amp;Y$2,$C$3:$F$4001,3,0)),"",VLOOKUP($R178&amp;Y$2,$C$3:$F$4001,3,0))</f>
        <v>40485</v>
      </c>
      <c r="Z178" s="107">
        <f>IF(ISNA(VLOOKUP($R178&amp;Y$2,$C$3:$F$4001,4,0)),"",VLOOKUP($R178&amp;Y$2,$C$3:$F$4001,4,0))</f>
        <v>0.05</v>
      </c>
      <c r="AA178" s="106">
        <f>IF(ISNA(VLOOKUP($R178&amp;AA$2,$C$3:$F$4001,3,0)),"",VLOOKUP($R178&amp;AA$2,$C$3:$F$4001,3,0))</f>
        <v>40646</v>
      </c>
      <c r="AB178" s="107">
        <f>IF(ISNA(VLOOKUP($R178&amp;AA$2,$C$3:$F$4001,4,0)),"",VLOOKUP($R178&amp;AA$2,$C$3:$F$4001,4,0))</f>
        <v>8.0500000000000002E-2</v>
      </c>
      <c r="AC178" s="106">
        <f>IF(ISNA(VLOOKUP($R178&amp;AC$2,$C$3:$F$4001,3,0)),"",VLOOKUP($R178&amp;AC$2,$C$3:$F$4001,3,0))</f>
        <v>40850</v>
      </c>
      <c r="AD178" s="107">
        <f>IF(ISNA(VLOOKUP($R178&amp;AC$2,$C$3:$F$4001,4,0)),"",VLOOKUP($R178&amp;AC$2,$C$3:$F$4001,4,0))</f>
        <v>5.7500000000000002E-2</v>
      </c>
      <c r="AE178" s="106">
        <f>IF(ISNA(VLOOKUP($R178&amp;AE$2,$C$3:$F$4001,3,0)),"",VLOOKUP($R178&amp;AE$2,$C$3:$F$4001,3,0))</f>
        <v>41012</v>
      </c>
      <c r="AF178" s="107">
        <f>IF(ISNA(VLOOKUP($R178&amp;AE$2,$C$3:$F$4001,4,0)),"",VLOOKUP($R178&amp;AE$2,$C$3:$F$4001,4,0))</f>
        <v>8.6899999999999991E-2</v>
      </c>
      <c r="AG178" s="106">
        <f>IF(ISNA(VLOOKUP($R178&amp;AG$2,$C$3:$F$4001,3,0)),"",VLOOKUP($R178&amp;AG$2,$C$3:$F$4001,3,0))</f>
        <v>41218</v>
      </c>
      <c r="AH178" s="107">
        <f>IF(ISNA(VLOOKUP($R178&amp;AG$2,$C$3:$F$4001,4,0)),"",VLOOKUP($R178&amp;AG$2,$C$3:$F$4001,4,0))</f>
        <v>6.2100000000000002E-2</v>
      </c>
      <c r="AI178" s="106">
        <f>IF(ISNA(VLOOKUP($R178&amp;AI$2,$C$3:$F$4001,3,0)),"",VLOOKUP($R178&amp;AI$2,$C$3:$F$4001,3,0))</f>
        <v>41379</v>
      </c>
      <c r="AJ178" s="107">
        <f>IF(ISNA(VLOOKUP($R178&amp;AI$2,$C$3:$F$4001,4,0)),"",VLOOKUP($R178&amp;AI$2,$C$3:$F$4001,4,0))</f>
        <v>0.1079</v>
      </c>
      <c r="AK178" s="106">
        <f>IF(ISNA(VLOOKUP($R178&amp;AK$2,$C$3:$F$4001,3,0)),"",VLOOKUP($R178&amp;AK$2,$C$3:$F$4001,3,0))</f>
        <v>41583</v>
      </c>
      <c r="AL178" s="107">
        <f>IF(ISNA(VLOOKUP($R178&amp;AK$2,$C$3:$F$4001,4,0)),"",VLOOKUP($R178&amp;AK$2,$C$3:$F$4001,4,0))</f>
        <v>7.7100000000000002E-2</v>
      </c>
    </row>
    <row r="179" spans="3:38" x14ac:dyDescent="0.2">
      <c r="C179" s="96" t="str">
        <f t="shared" si="8"/>
        <v>APN5</v>
      </c>
      <c r="D179" s="73" t="s">
        <v>81</v>
      </c>
      <c r="E179" s="100">
        <v>40637</v>
      </c>
      <c r="F179" s="101">
        <v>0.21</v>
      </c>
      <c r="G179" s="96">
        <f t="shared" si="9"/>
        <v>5</v>
      </c>
      <c r="I179" s="96"/>
      <c r="K179" t="str">
        <f t="shared" si="10"/>
        <v>APN5</v>
      </c>
      <c r="L179" s="73" t="s">
        <v>81</v>
      </c>
      <c r="M179" s="72">
        <v>40637</v>
      </c>
      <c r="N179" s="84">
        <v>0.21</v>
      </c>
      <c r="O179" s="96">
        <f t="shared" si="11"/>
        <v>5</v>
      </c>
      <c r="P179" s="73"/>
      <c r="Q179" s="96"/>
      <c r="R179" s="96" t="str">
        <f>R178</f>
        <v>HVN</v>
      </c>
      <c r="S179" s="108">
        <f>IF(ISNA(VLOOKUP($R179&amp;S$2,$K$3:$N$4001,3,0)),"",VLOOKUP($R179&amp;S$2,$K$3:$N$4001,3,0))</f>
        <v>39912</v>
      </c>
      <c r="T179" s="109">
        <f>IF(ISNA(VLOOKUP($R179&amp;S$2,$K$3:$N$4001,4,0)),"",VLOOKUP($R179&amp;S$2,$K$3:$N$4001,4,0))</f>
        <v>7.0000000000000007E-2</v>
      </c>
      <c r="U179" s="108">
        <f>IF(ISNA(VLOOKUP($R179&amp;U$2,$K$3:$N$4001,3,0)),"",VLOOKUP($R179&amp;U$2,$K$3:$N$4001,3,0))</f>
        <v>40119</v>
      </c>
      <c r="V179" s="109">
        <f>IF(ISNA(VLOOKUP($R179&amp;U$2,$K$3:$N$4001,4,0)),"",VLOOKUP($R179&amp;U$2,$K$3:$N$4001,4,0))</f>
        <v>7.0000000000000007E-2</v>
      </c>
      <c r="W179" s="108">
        <f>IF(ISNA(VLOOKUP($R179&amp;W$2,$K$3:$N$4001,3,0)),"",VLOOKUP($R179&amp;W$2,$K$3:$N$4001,3,0))</f>
        <v>40281</v>
      </c>
      <c r="X179" s="109">
        <f>IF(ISNA(VLOOKUP($R179&amp;W$2,$K$3:$N$4001,4,0)),"",VLOOKUP($R179&amp;W$2,$K$3:$N$4001,4,0))</f>
        <v>7.0000000000000007E-2</v>
      </c>
      <c r="Y179" s="108">
        <f>IF(ISNA(VLOOKUP($R179&amp;Y$2,$K$3:$N$4001,3,0)),"",VLOOKUP($R179&amp;Y$2,$K$3:$N$4001,3,0))</f>
        <v>40485</v>
      </c>
      <c r="Z179" s="109">
        <f>IF(ISNA(VLOOKUP($R179&amp;Y$2,$K$3:$N$4001,4,0)),"",VLOOKUP($R179&amp;Y$2,$K$3:$N$4001,4,0))</f>
        <v>0.05</v>
      </c>
      <c r="AA179" s="108">
        <f>IF(ISNA(VLOOKUP($R179&amp;AA$2,$K$3:$N$4001,3,0)),"",VLOOKUP($R179&amp;AA$2,$K$3:$N$4001,3,0))</f>
        <v>40646</v>
      </c>
      <c r="AB179" s="109">
        <f>IF(ISNA(VLOOKUP($R179&amp;AA$2,$K$3:$N$4001,4,0)),"",VLOOKUP($R179&amp;AA$2,$K$3:$N$4001,4,0))</f>
        <v>8.0500000000000002E-2</v>
      </c>
      <c r="AC179" s="108">
        <f>IF(ISNA(VLOOKUP($R179&amp;AC$2,$K$3:$N$4001,3,0)),"",VLOOKUP($R179&amp;AC$2,$K$3:$N$4001,3,0))</f>
        <v>40850</v>
      </c>
      <c r="AD179" s="109">
        <f>IF(ISNA(VLOOKUP($R179&amp;AC$2,$K$3:$N$4001,4,0)),"",VLOOKUP($R179&amp;AC$2,$K$3:$N$4001,4,0))</f>
        <v>5.7500000000000002E-2</v>
      </c>
      <c r="AE179" s="108">
        <f>IF(ISNA(VLOOKUP($R179&amp;AE$2,$K$3:$N$4001,3,0)),"",VLOOKUP($R179&amp;AE$2,$K$3:$N$4001,3,0))</f>
        <v>41012</v>
      </c>
      <c r="AF179" s="109">
        <f>IF(ISNA(VLOOKUP($R179&amp;AE$2,$K$3:$N$4001,4,0)),"",VLOOKUP($R179&amp;AE$2,$K$3:$N$4001,4,0))</f>
        <v>8.6899999999999991E-2</v>
      </c>
      <c r="AG179" s="108">
        <f>IF(ISNA(VLOOKUP($R179&amp;AG$2,$K$3:$N$4001,3,0)),"",VLOOKUP($R179&amp;AG$2,$K$3:$N$4001,3,0))</f>
        <v>41218</v>
      </c>
      <c r="AH179" s="109">
        <f>IF(ISNA(VLOOKUP($R179&amp;AG$2,$K$3:$N$4001,4,0)),"",VLOOKUP($R179&amp;AG$2,$K$3:$N$4001,4,0))</f>
        <v>6.2100000000000002E-2</v>
      </c>
      <c r="AI179" s="108">
        <f>IF(ISNA(VLOOKUP($R179&amp;AI$2,$K$3:$N$4001,3,0)),"",VLOOKUP($R179&amp;AI$2,$K$3:$N$4001,3,0))</f>
        <v>41379</v>
      </c>
      <c r="AJ179" s="109">
        <f>IF(ISNA(VLOOKUP($R179&amp;AI$2,$K$3:$N$4001,4,0)),"",VLOOKUP($R179&amp;AI$2,$K$3:$N$4001,4,0))</f>
        <v>0.1079</v>
      </c>
      <c r="AK179" s="108">
        <f>IF(ISNA(VLOOKUP($R179&amp;AK$2,$K$3:$N$4001,3,0)),"",VLOOKUP($R179&amp;AK$2,$K$3:$N$4001,3,0))</f>
        <v>41583</v>
      </c>
      <c r="AL179" s="109">
        <f>IF(ISNA(VLOOKUP($R179&amp;AK$2,$K$3:$N$4001,4,0)),"",VLOOKUP($R179&amp;AK$2,$K$3:$N$4001,4,0))</f>
        <v>7.7100000000000002E-2</v>
      </c>
    </row>
    <row r="180" spans="3:38" x14ac:dyDescent="0.2">
      <c r="C180" s="96" t="str">
        <f t="shared" si="8"/>
        <v>APN6</v>
      </c>
      <c r="D180" s="73" t="s">
        <v>81</v>
      </c>
      <c r="E180" s="100">
        <v>40793</v>
      </c>
      <c r="F180" s="101">
        <v>0.105</v>
      </c>
      <c r="G180" s="96">
        <f t="shared" si="9"/>
        <v>6</v>
      </c>
      <c r="I180" s="96"/>
      <c r="K180" t="str">
        <f t="shared" si="10"/>
        <v>APN6</v>
      </c>
      <c r="L180" s="73" t="s">
        <v>81</v>
      </c>
      <c r="M180" s="72">
        <v>40793</v>
      </c>
      <c r="N180" s="84">
        <v>0.105</v>
      </c>
      <c r="O180" s="96">
        <f t="shared" si="11"/>
        <v>6</v>
      </c>
      <c r="P180" s="73"/>
      <c r="Q180" s="96"/>
      <c r="R180" s="96" t="s">
        <v>142</v>
      </c>
      <c r="S180" s="106">
        <f>IF(ISNA(VLOOKUP($R180&amp;S$2,$C$3:$F$4001,3,0)),"",VLOOKUP($R180&amp;S$2,$C$3:$F$4001,3,0))</f>
        <v>39897</v>
      </c>
      <c r="T180" s="107">
        <f>IF(ISNA(VLOOKUP($R180&amp;S$2,$C$3:$F$4001,4,0)),"",VLOOKUP($R180&amp;S$2,$C$3:$F$4001,4,0))</f>
        <v>7.1300000000000002E-2</v>
      </c>
      <c r="U180" s="106">
        <f>IF(ISNA(VLOOKUP($R180&amp;U$2,$C$3:$F$4001,3,0)),"",VLOOKUP($R180&amp;U$2,$C$3:$F$4001,3,0))</f>
        <v>39988</v>
      </c>
      <c r="V180" s="107">
        <f>IF(ISNA(VLOOKUP($R180&amp;U$2,$C$3:$F$4001,4,0)),"",VLOOKUP($R180&amp;U$2,$C$3:$F$4001,4,0))</f>
        <v>7.1300000000000002E-2</v>
      </c>
      <c r="W180" s="106">
        <f>IF(ISNA(VLOOKUP($R180&amp;W$2,$C$3:$F$4001,3,0)),"",VLOOKUP($R180&amp;W$2,$C$3:$F$4001,3,0))</f>
        <v>40080</v>
      </c>
      <c r="X180" s="107">
        <f>IF(ISNA(VLOOKUP($R180&amp;W$2,$C$3:$F$4001,4,0)),"",VLOOKUP($R180&amp;W$2,$C$3:$F$4001,4,0))</f>
        <v>7.1300000000000002E-2</v>
      </c>
      <c r="Y180" s="106">
        <f>IF(ISNA(VLOOKUP($R180&amp;Y$2,$C$3:$F$4001,3,0)),"",VLOOKUP($R180&amp;Y$2,$C$3:$F$4001,3,0))</f>
        <v>40170</v>
      </c>
      <c r="Z180" s="107">
        <f>IF(ISNA(VLOOKUP($R180&amp;Y$2,$C$3:$F$4001,4,0)),"",VLOOKUP($R180&amp;Y$2,$C$3:$F$4001,4,0))</f>
        <v>7.1300000000000002E-2</v>
      </c>
      <c r="AA180" s="106">
        <f>IF(ISNA(VLOOKUP($R180&amp;AA$2,$C$3:$F$4001,3,0)),"",VLOOKUP($R180&amp;AA$2,$C$3:$F$4001,3,0))</f>
        <v>40262</v>
      </c>
      <c r="AB180" s="107">
        <f>IF(ISNA(VLOOKUP($R180&amp;AA$2,$C$3:$F$4001,4,0)),"",VLOOKUP($R180&amp;AA$2,$C$3:$F$4001,4,0))</f>
        <v>7.3499999999999996E-2</v>
      </c>
      <c r="AC180" s="106">
        <f>IF(ISNA(VLOOKUP($R180&amp;AC$2,$C$3:$F$4001,3,0)),"",VLOOKUP($R180&amp;AC$2,$C$3:$F$4001,3,0))</f>
        <v>40353</v>
      </c>
      <c r="AD180" s="107">
        <f>IF(ISNA(VLOOKUP($R180&amp;AC$2,$C$3:$F$4001,4,0)),"",VLOOKUP($R180&amp;AC$2,$C$3:$F$4001,4,0))</f>
        <v>7.3499999999999996E-2</v>
      </c>
      <c r="AE180" s="106">
        <f>IF(ISNA(VLOOKUP($R180&amp;AE$2,$C$3:$F$4001,3,0)),"",VLOOKUP($R180&amp;AE$2,$C$3:$F$4001,3,0))</f>
        <v>40445</v>
      </c>
      <c r="AF180" s="107">
        <f>IF(ISNA(VLOOKUP($R180&amp;AE$2,$C$3:$F$4001,4,0)),"",VLOOKUP($R180&amp;AE$2,$C$3:$F$4001,4,0))</f>
        <v>7.3499999999999996E-2</v>
      </c>
      <c r="AG180" s="106">
        <f>IF(ISNA(VLOOKUP($R180&amp;AG$2,$C$3:$F$4001,3,0)),"",VLOOKUP($R180&amp;AG$2,$C$3:$F$4001,3,0))</f>
        <v>40535</v>
      </c>
      <c r="AH180" s="107">
        <f>IF(ISNA(VLOOKUP($R180&amp;AG$2,$C$3:$F$4001,4,0)),"",VLOOKUP($R180&amp;AG$2,$C$3:$F$4001,4,0))</f>
        <v>7.3499999999999996E-2</v>
      </c>
      <c r="AI180" s="106">
        <f>IF(ISNA(VLOOKUP($R180&amp;AI$2,$C$3:$F$4001,3,0)),"",VLOOKUP($R180&amp;AI$2,$C$3:$F$4001,3,0))</f>
        <v>40627</v>
      </c>
      <c r="AJ180" s="107">
        <f>IF(ISNA(VLOOKUP($R180&amp;AI$2,$C$3:$F$4001,4,0)),"",VLOOKUP($R180&amp;AI$2,$C$3:$F$4001,4,0))</f>
        <v>7.6499999999999999E-2</v>
      </c>
      <c r="AK180" s="106">
        <f>IF(ISNA(VLOOKUP($R180&amp;AK$2,$C$3:$F$4001,3,0)),"",VLOOKUP($R180&amp;AK$2,$C$3:$F$4001,3,0))</f>
        <v>40718</v>
      </c>
      <c r="AL180" s="107">
        <f>IF(ISNA(VLOOKUP($R180&amp;AK$2,$C$3:$F$4001,4,0)),"",VLOOKUP($R180&amp;AK$2,$C$3:$F$4001,4,0))</f>
        <v>7.6499999999999999E-2</v>
      </c>
    </row>
    <row r="181" spans="3:38" x14ac:dyDescent="0.2">
      <c r="C181" s="96" t="str">
        <f t="shared" si="8"/>
        <v>APN7</v>
      </c>
      <c r="D181" s="73" t="s">
        <v>81</v>
      </c>
      <c r="E181" s="100">
        <v>41002</v>
      </c>
      <c r="F181" s="101">
        <v>0.21</v>
      </c>
      <c r="G181" s="96">
        <f t="shared" si="9"/>
        <v>7</v>
      </c>
      <c r="I181" s="96"/>
      <c r="K181" t="str">
        <f t="shared" si="10"/>
        <v>APN7</v>
      </c>
      <c r="L181" s="73" t="s">
        <v>81</v>
      </c>
      <c r="M181" s="72">
        <v>41002</v>
      </c>
      <c r="N181" s="84">
        <v>0.21</v>
      </c>
      <c r="O181" s="96">
        <f t="shared" si="11"/>
        <v>7</v>
      </c>
      <c r="P181" s="73"/>
      <c r="Q181" s="96"/>
      <c r="R181" s="96" t="str">
        <f>R180</f>
        <v>HDF</v>
      </c>
      <c r="S181" s="108">
        <f>IF(ISNA(VLOOKUP($R181&amp;S$2,$K$3:$N$4001,3,0)),"",VLOOKUP($R181&amp;S$2,$K$3:$N$4001,3,0))</f>
        <v>39897</v>
      </c>
      <c r="T181" s="109">
        <f>IF(ISNA(VLOOKUP($R181&amp;S$2,$K$3:$N$4001,4,0)),"",VLOOKUP($R181&amp;S$2,$K$3:$N$4001,4,0))</f>
        <v>7.1300000000000002E-2</v>
      </c>
      <c r="U181" s="108">
        <f>IF(ISNA(VLOOKUP($R181&amp;U$2,$K$3:$N$4001,3,0)),"",VLOOKUP($R181&amp;U$2,$K$3:$N$4001,3,0))</f>
        <v>39988</v>
      </c>
      <c r="V181" s="109">
        <f>IF(ISNA(VLOOKUP($R181&amp;U$2,$K$3:$N$4001,4,0)),"",VLOOKUP($R181&amp;U$2,$K$3:$N$4001,4,0))</f>
        <v>7.1300000000000002E-2</v>
      </c>
      <c r="W181" s="108">
        <f>IF(ISNA(VLOOKUP($R181&amp;W$2,$K$3:$N$4001,3,0)),"",VLOOKUP($R181&amp;W$2,$K$3:$N$4001,3,0))</f>
        <v>40080</v>
      </c>
      <c r="X181" s="109">
        <f>IF(ISNA(VLOOKUP($R181&amp;W$2,$K$3:$N$4001,4,0)),"",VLOOKUP($R181&amp;W$2,$K$3:$N$4001,4,0))</f>
        <v>7.1300000000000002E-2</v>
      </c>
      <c r="Y181" s="108">
        <f>IF(ISNA(VLOOKUP($R181&amp;Y$2,$K$3:$N$4001,3,0)),"",VLOOKUP($R181&amp;Y$2,$K$3:$N$4001,3,0))</f>
        <v>40170</v>
      </c>
      <c r="Z181" s="109">
        <f>IF(ISNA(VLOOKUP($R181&amp;Y$2,$K$3:$N$4001,4,0)),"",VLOOKUP($R181&amp;Y$2,$K$3:$N$4001,4,0))</f>
        <v>7.1300000000000002E-2</v>
      </c>
      <c r="AA181" s="108">
        <f>IF(ISNA(VLOOKUP($R181&amp;AA$2,$K$3:$N$4001,3,0)),"",VLOOKUP($R181&amp;AA$2,$K$3:$N$4001,3,0))</f>
        <v>40262</v>
      </c>
      <c r="AB181" s="109">
        <f>IF(ISNA(VLOOKUP($R181&amp;AA$2,$K$3:$N$4001,4,0)),"",VLOOKUP($R181&amp;AA$2,$K$3:$N$4001,4,0))</f>
        <v>7.3499999999999996E-2</v>
      </c>
      <c r="AC181" s="108">
        <f>IF(ISNA(VLOOKUP($R181&amp;AC$2,$K$3:$N$4001,3,0)),"",VLOOKUP($R181&amp;AC$2,$K$3:$N$4001,3,0))</f>
        <v>40353</v>
      </c>
      <c r="AD181" s="109">
        <f>IF(ISNA(VLOOKUP($R181&amp;AC$2,$K$3:$N$4001,4,0)),"",VLOOKUP($R181&amp;AC$2,$K$3:$N$4001,4,0))</f>
        <v>7.3499999999999996E-2</v>
      </c>
      <c r="AE181" s="108">
        <f>IF(ISNA(VLOOKUP($R181&amp;AE$2,$K$3:$N$4001,3,0)),"",VLOOKUP($R181&amp;AE$2,$K$3:$N$4001,3,0))</f>
        <v>40445</v>
      </c>
      <c r="AF181" s="109">
        <f>IF(ISNA(VLOOKUP($R181&amp;AE$2,$K$3:$N$4001,4,0)),"",VLOOKUP($R181&amp;AE$2,$K$3:$N$4001,4,0))</f>
        <v>7.3499999999999996E-2</v>
      </c>
      <c r="AG181" s="108">
        <f>IF(ISNA(VLOOKUP($R181&amp;AG$2,$K$3:$N$4001,3,0)),"",VLOOKUP($R181&amp;AG$2,$K$3:$N$4001,3,0))</f>
        <v>40535</v>
      </c>
      <c r="AH181" s="109">
        <f>IF(ISNA(VLOOKUP($R181&amp;AG$2,$K$3:$N$4001,4,0)),"",VLOOKUP($R181&amp;AG$2,$K$3:$N$4001,4,0))</f>
        <v>7.3499999999999996E-2</v>
      </c>
      <c r="AI181" s="108">
        <f>IF(ISNA(VLOOKUP($R181&amp;AI$2,$K$3:$N$4001,3,0)),"",VLOOKUP($R181&amp;AI$2,$K$3:$N$4001,3,0))</f>
        <v>40627</v>
      </c>
      <c r="AJ181" s="109">
        <f>IF(ISNA(VLOOKUP($R181&amp;AI$2,$K$3:$N$4001,4,0)),"",VLOOKUP($R181&amp;AI$2,$K$3:$N$4001,4,0))</f>
        <v>7.6499999999999999E-2</v>
      </c>
      <c r="AK181" s="108">
        <f>IF(ISNA(VLOOKUP($R181&amp;AK$2,$K$3:$N$4001,3,0)),"",VLOOKUP($R181&amp;AK$2,$K$3:$N$4001,3,0))</f>
        <v>40718</v>
      </c>
      <c r="AL181" s="109">
        <f>IF(ISNA(VLOOKUP($R181&amp;AK$2,$K$3:$N$4001,4,0)),"",VLOOKUP($R181&amp;AK$2,$K$3:$N$4001,4,0))</f>
        <v>7.6499999999999999E-2</v>
      </c>
    </row>
    <row r="182" spans="3:38" x14ac:dyDescent="0.2">
      <c r="C182" s="96" t="str">
        <f t="shared" si="8"/>
        <v>APN8</v>
      </c>
      <c r="D182" s="73" t="s">
        <v>81</v>
      </c>
      <c r="E182" s="100">
        <v>41159</v>
      </c>
      <c r="F182" s="101">
        <v>8.8300000000000003E-2</v>
      </c>
      <c r="G182" s="96">
        <f t="shared" si="9"/>
        <v>8</v>
      </c>
      <c r="I182" s="96"/>
      <c r="K182" t="str">
        <f t="shared" si="10"/>
        <v>APN8</v>
      </c>
      <c r="L182" s="73" t="s">
        <v>81</v>
      </c>
      <c r="M182" s="72">
        <v>41159</v>
      </c>
      <c r="N182" s="84">
        <v>8.8300000000000003E-2</v>
      </c>
      <c r="O182" s="96">
        <f t="shared" si="11"/>
        <v>8</v>
      </c>
      <c r="P182" s="73"/>
      <c r="Q182" s="96"/>
      <c r="R182" s="96" t="s">
        <v>146</v>
      </c>
      <c r="S182" s="106">
        <f>IF(ISNA(VLOOKUP($R182&amp;S$2,$C$3:$F$4001,3,0)),"",VLOOKUP($R182&amp;S$2,$C$3:$F$4001,3,0))</f>
        <v>39869</v>
      </c>
      <c r="T182" s="107">
        <f>IF(ISNA(VLOOKUP($R182&amp;S$2,$C$3:$F$4001,4,0)),"",VLOOKUP($R182&amp;S$2,$C$3:$F$4001,4,0))</f>
        <v>0.1</v>
      </c>
      <c r="U182" s="106">
        <f>IF(ISNA(VLOOKUP($R182&amp;U$2,$C$3:$F$4001,3,0)),"",VLOOKUP($R182&amp;U$2,$C$3:$F$4001,3,0))</f>
        <v>40051</v>
      </c>
      <c r="V182" s="107">
        <f>IF(ISNA(VLOOKUP($R182&amp;U$2,$C$3:$F$4001,4,0)),"",VLOOKUP($R182&amp;U$2,$C$3:$F$4001,4,0))</f>
        <v>0.10300000000000001</v>
      </c>
      <c r="W182" s="106">
        <f>IF(ISNA(VLOOKUP($R182&amp;W$2,$C$3:$F$4001,3,0)),"",VLOOKUP($R182&amp;W$2,$C$3:$F$4001,3,0))</f>
        <v>40234</v>
      </c>
      <c r="X182" s="107">
        <f>IF(ISNA(VLOOKUP($R182&amp;W$2,$C$3:$F$4001,4,0)),"",VLOOKUP($R182&amp;W$2,$C$3:$F$4001,4,0))</f>
        <v>0.10830000000000001</v>
      </c>
      <c r="Y182" s="106">
        <f>IF(ISNA(VLOOKUP($R182&amp;Y$2,$C$3:$F$4001,3,0)),"",VLOOKUP($R182&amp;Y$2,$C$3:$F$4001,3,0))</f>
        <v>40416</v>
      </c>
      <c r="Z182" s="107">
        <f>IF(ISNA(VLOOKUP($R182&amp;Y$2,$C$3:$F$4001,4,0)),"",VLOOKUP($R182&amp;Y$2,$C$3:$F$4001,4,0))</f>
        <v>0.1137</v>
      </c>
      <c r="AA182" s="106">
        <f>IF(ISNA(VLOOKUP($R182&amp;AA$2,$C$3:$F$4001,3,0)),"",VLOOKUP($R182&amp;AA$2,$C$3:$F$4001,3,0))</f>
        <v>40599</v>
      </c>
      <c r="AB182" s="107">
        <f>IF(ISNA(VLOOKUP($R182&amp;AA$2,$C$3:$F$4001,4,0)),"",VLOOKUP($R182&amp;AA$2,$C$3:$F$4001,4,0))</f>
        <v>0.1217</v>
      </c>
      <c r="AC182" s="106">
        <f>IF(ISNA(VLOOKUP($R182&amp;AC$2,$C$3:$F$4001,3,0)),"",VLOOKUP($R182&amp;AC$2,$C$3:$F$4001,3,0))</f>
        <v>40781</v>
      </c>
      <c r="AD182" s="107">
        <f>IF(ISNA(VLOOKUP($R182&amp;AC$2,$C$3:$F$4001,4,0)),"",VLOOKUP($R182&amp;AC$2,$C$3:$F$4001,4,0))</f>
        <v>0.1303</v>
      </c>
      <c r="AE182" s="106">
        <f>IF(ISNA(VLOOKUP($R182&amp;AE$2,$C$3:$F$4001,3,0)),"",VLOOKUP($R182&amp;AE$2,$C$3:$F$4001,3,0))</f>
        <v>40967</v>
      </c>
      <c r="AF182" s="107">
        <f>IF(ISNA(VLOOKUP($R182&amp;AE$2,$C$3:$F$4001,4,0)),"",VLOOKUP($R182&amp;AE$2,$C$3:$F$4001,4,0))</f>
        <v>0.13669999999999999</v>
      </c>
      <c r="AG182" s="106">
        <f>IF(ISNA(VLOOKUP($R182&amp;AG$2,$C$3:$F$4001,3,0)),"",VLOOKUP($R182&amp;AG$2,$C$3:$F$4001,3,0))</f>
        <v>41149</v>
      </c>
      <c r="AH182" s="107">
        <f>IF(ISNA(VLOOKUP($R182&amp;AG$2,$C$3:$F$4001,4,0)),"",VLOOKUP($R182&amp;AG$2,$C$3:$F$4001,4,0))</f>
        <v>0.14630000000000001</v>
      </c>
      <c r="AI182" s="106">
        <f>IF(ISNA(VLOOKUP($R182&amp;AI$2,$C$3:$F$4001,3,0)),"",VLOOKUP($R182&amp;AI$2,$C$3:$F$4001,3,0))</f>
        <v>41332</v>
      </c>
      <c r="AJ182" s="107">
        <f>IF(ISNA(VLOOKUP($R182&amp;AI$2,$C$3:$F$4001,4,0)),"",VLOOKUP($R182&amp;AI$2,$C$3:$F$4001,4,0))</f>
        <v>0.15259999999999999</v>
      </c>
      <c r="AK182" s="106">
        <f>IF(ISNA(VLOOKUP($R182&amp;AK$2,$C$3:$F$4001,3,0)),"",VLOOKUP($R182&amp;AK$2,$C$3:$F$4001,3,0))</f>
        <v>41514</v>
      </c>
      <c r="AL182" s="107">
        <f>IF(ISNA(VLOOKUP($R182&amp;AK$2,$C$3:$F$4001,4,0)),"",VLOOKUP($R182&amp;AK$2,$C$3:$F$4001,4,0))</f>
        <v>0.16339999999999999</v>
      </c>
    </row>
    <row r="183" spans="3:38" x14ac:dyDescent="0.2">
      <c r="C183" s="96" t="str">
        <f t="shared" si="8"/>
        <v>APN9</v>
      </c>
      <c r="D183" s="73" t="s">
        <v>81</v>
      </c>
      <c r="E183" s="100">
        <v>41367</v>
      </c>
      <c r="F183" s="101">
        <v>0.17670000000000002</v>
      </c>
      <c r="G183" s="96">
        <f t="shared" si="9"/>
        <v>9</v>
      </c>
      <c r="I183" s="96"/>
      <c r="K183" t="str">
        <f t="shared" si="10"/>
        <v>APN9</v>
      </c>
      <c r="L183" s="73" t="s">
        <v>81</v>
      </c>
      <c r="M183" s="72">
        <v>41367</v>
      </c>
      <c r="N183" s="84">
        <v>0.17670000000000002</v>
      </c>
      <c r="O183" s="96">
        <f t="shared" si="11"/>
        <v>9</v>
      </c>
      <c r="P183" s="73"/>
      <c r="Q183" s="96"/>
      <c r="R183" s="96" t="str">
        <f>R182</f>
        <v>HSP</v>
      </c>
      <c r="S183" s="108">
        <f>IF(ISNA(VLOOKUP($R183&amp;S$2,$K$3:$N$4001,3,0)),"",VLOOKUP($R183&amp;S$2,$K$3:$N$4001,3,0))</f>
        <v>39869</v>
      </c>
      <c r="T183" s="109">
        <f>IF(ISNA(VLOOKUP($R183&amp;S$2,$K$3:$N$4001,4,0)),"",VLOOKUP($R183&amp;S$2,$K$3:$N$4001,4,0))</f>
        <v>0.1</v>
      </c>
      <c r="U183" s="108">
        <f>IF(ISNA(VLOOKUP($R183&amp;U$2,$K$3:$N$4001,3,0)),"",VLOOKUP($R183&amp;U$2,$K$3:$N$4001,3,0))</f>
        <v>40051</v>
      </c>
      <c r="V183" s="109">
        <f>IF(ISNA(VLOOKUP($R183&amp;U$2,$K$3:$N$4001,4,0)),"",VLOOKUP($R183&amp;U$2,$K$3:$N$4001,4,0))</f>
        <v>0.10300000000000001</v>
      </c>
      <c r="W183" s="108">
        <f>IF(ISNA(VLOOKUP($R183&amp;W$2,$K$3:$N$4001,3,0)),"",VLOOKUP($R183&amp;W$2,$K$3:$N$4001,3,0))</f>
        <v>40234</v>
      </c>
      <c r="X183" s="109">
        <f>IF(ISNA(VLOOKUP($R183&amp;W$2,$K$3:$N$4001,4,0)),"",VLOOKUP($R183&amp;W$2,$K$3:$N$4001,4,0))</f>
        <v>0.10830000000000001</v>
      </c>
      <c r="Y183" s="108">
        <f>IF(ISNA(VLOOKUP($R183&amp;Y$2,$K$3:$N$4001,3,0)),"",VLOOKUP($R183&amp;Y$2,$K$3:$N$4001,3,0))</f>
        <v>40416</v>
      </c>
      <c r="Z183" s="109">
        <f>IF(ISNA(VLOOKUP($R183&amp;Y$2,$K$3:$N$4001,4,0)),"",VLOOKUP($R183&amp;Y$2,$K$3:$N$4001,4,0))</f>
        <v>0.1137</v>
      </c>
      <c r="AA183" s="108">
        <f>IF(ISNA(VLOOKUP($R183&amp;AA$2,$K$3:$N$4001,3,0)),"",VLOOKUP($R183&amp;AA$2,$K$3:$N$4001,3,0))</f>
        <v>40599</v>
      </c>
      <c r="AB183" s="109">
        <f>IF(ISNA(VLOOKUP($R183&amp;AA$2,$K$3:$N$4001,4,0)),"",VLOOKUP($R183&amp;AA$2,$K$3:$N$4001,4,0))</f>
        <v>0.1217</v>
      </c>
      <c r="AC183" s="108">
        <f>IF(ISNA(VLOOKUP($R183&amp;AC$2,$K$3:$N$4001,3,0)),"",VLOOKUP($R183&amp;AC$2,$K$3:$N$4001,3,0))</f>
        <v>40781</v>
      </c>
      <c r="AD183" s="109">
        <f>IF(ISNA(VLOOKUP($R183&amp;AC$2,$K$3:$N$4001,4,0)),"",VLOOKUP($R183&amp;AC$2,$K$3:$N$4001,4,0))</f>
        <v>0.1303</v>
      </c>
      <c r="AE183" s="108">
        <f>IF(ISNA(VLOOKUP($R183&amp;AE$2,$K$3:$N$4001,3,0)),"",VLOOKUP($R183&amp;AE$2,$K$3:$N$4001,3,0))</f>
        <v>40967</v>
      </c>
      <c r="AF183" s="109">
        <f>IF(ISNA(VLOOKUP($R183&amp;AE$2,$K$3:$N$4001,4,0)),"",VLOOKUP($R183&amp;AE$2,$K$3:$N$4001,4,0))</f>
        <v>0.13669999999999999</v>
      </c>
      <c r="AG183" s="108">
        <f>IF(ISNA(VLOOKUP($R183&amp;AG$2,$K$3:$N$4001,3,0)),"",VLOOKUP($R183&amp;AG$2,$K$3:$N$4001,3,0))</f>
        <v>41149</v>
      </c>
      <c r="AH183" s="109">
        <f>IF(ISNA(VLOOKUP($R183&amp;AG$2,$K$3:$N$4001,4,0)),"",VLOOKUP($R183&amp;AG$2,$K$3:$N$4001,4,0))</f>
        <v>0.14630000000000001</v>
      </c>
      <c r="AI183" s="108">
        <f>IF(ISNA(VLOOKUP($R183&amp;AI$2,$K$3:$N$4001,3,0)),"",VLOOKUP($R183&amp;AI$2,$K$3:$N$4001,3,0))</f>
        <v>41332</v>
      </c>
      <c r="AJ183" s="109">
        <f>IF(ISNA(VLOOKUP($R183&amp;AI$2,$K$3:$N$4001,4,0)),"",VLOOKUP($R183&amp;AI$2,$K$3:$N$4001,4,0))</f>
        <v>0.15259999999999999</v>
      </c>
      <c r="AK183" s="108">
        <f>IF(ISNA(VLOOKUP($R183&amp;AK$2,$K$3:$N$4001,3,0)),"",VLOOKUP($R183&amp;AK$2,$K$3:$N$4001,3,0))</f>
        <v>41514</v>
      </c>
      <c r="AL183" s="109">
        <f>IF(ISNA(VLOOKUP($R183&amp;AK$2,$K$3:$N$4001,4,0)),"",VLOOKUP($R183&amp;AK$2,$K$3:$N$4001,4,0))</f>
        <v>0.16339999999999999</v>
      </c>
    </row>
    <row r="184" spans="3:38" x14ac:dyDescent="0.2">
      <c r="C184" s="96" t="str">
        <f t="shared" si="8"/>
        <v>AQP1</v>
      </c>
      <c r="D184" s="73" t="s">
        <v>82</v>
      </c>
      <c r="E184" s="100">
        <v>40434</v>
      </c>
      <c r="F184" s="101">
        <v>0.1</v>
      </c>
      <c r="G184" s="96">
        <f t="shared" si="9"/>
        <v>1</v>
      </c>
      <c r="I184" s="96"/>
      <c r="K184" t="str">
        <f t="shared" si="10"/>
        <v>AQP1</v>
      </c>
      <c r="L184" s="73" t="s">
        <v>82</v>
      </c>
      <c r="M184" s="72">
        <v>40434</v>
      </c>
      <c r="N184" s="84">
        <v>0.1</v>
      </c>
      <c r="O184" s="96">
        <f t="shared" si="11"/>
        <v>1</v>
      </c>
      <c r="P184" s="73"/>
      <c r="Q184" s="96"/>
      <c r="R184" s="96" t="s">
        <v>144</v>
      </c>
      <c r="S184" s="106">
        <f>IF(ISNA(VLOOKUP($R184&amp;S$2,$C$3:$F$4001,3,0)),"",VLOOKUP($R184&amp;S$2,$C$3:$F$4001,3,0))</f>
        <v>39923</v>
      </c>
      <c r="T184" s="107">
        <f>IF(ISNA(VLOOKUP($R184&amp;S$2,$C$3:$F$4001,4,0)),"",VLOOKUP($R184&amp;S$2,$C$3:$F$4001,4,0))</f>
        <v>0.10060000000000001</v>
      </c>
      <c r="U184" s="106">
        <f>IF(ISNA(VLOOKUP($R184&amp;U$2,$C$3:$F$4001,3,0)),"",VLOOKUP($R184&amp;U$2,$C$3:$F$4001,3,0))</f>
        <v>40098</v>
      </c>
      <c r="V184" s="107">
        <f>IF(ISNA(VLOOKUP($R184&amp;U$2,$C$3:$F$4001,4,0)),"",VLOOKUP($R184&amp;U$2,$C$3:$F$4001,4,0))</f>
        <v>4.2900000000000001E-2</v>
      </c>
      <c r="W184" s="106">
        <f>IF(ISNA(VLOOKUP($R184&amp;W$2,$C$3:$F$4001,3,0)),"",VLOOKUP($R184&amp;W$2,$C$3:$F$4001,3,0))</f>
        <v>40294</v>
      </c>
      <c r="X184" s="107">
        <f>IF(ISNA(VLOOKUP($R184&amp;W$2,$C$3:$F$4001,4,0)),"",VLOOKUP($R184&amp;W$2,$C$3:$F$4001,4,0))</f>
        <v>9.6000000000000002E-2</v>
      </c>
      <c r="Y184" s="106">
        <f>IF(ISNA(VLOOKUP($R184&amp;Y$2,$C$3:$F$4001,3,0)),"",VLOOKUP($R184&amp;Y$2,$C$3:$F$4001,3,0))</f>
        <v>40462</v>
      </c>
      <c r="Z184" s="107">
        <f>IF(ISNA(VLOOKUP($R184&amp;Y$2,$C$3:$F$4001,4,0)),"",VLOOKUP($R184&amp;Y$2,$C$3:$F$4001,4,0))</f>
        <v>5.28E-2</v>
      </c>
      <c r="AA184" s="106">
        <f>IF(ISNA(VLOOKUP($R184&amp;AA$2,$C$3:$F$4001,3,0)),"",VLOOKUP($R184&amp;AA$2,$C$3:$F$4001,3,0))</f>
        <v>40658</v>
      </c>
      <c r="AB184" s="107">
        <f>IF(ISNA(VLOOKUP($R184&amp;AA$2,$C$3:$F$4001,4,0)),"",VLOOKUP($R184&amp;AA$2,$C$3:$F$4001,4,0))</f>
        <v>0.1183</v>
      </c>
      <c r="AC184" s="106">
        <f>IF(ISNA(VLOOKUP($R184&amp;AC$2,$C$3:$F$4001,3,0)),"",VLOOKUP($R184&amp;AC$2,$C$3:$F$4001,3,0))</f>
        <v>40826</v>
      </c>
      <c r="AD184" s="107">
        <f>IF(ISNA(VLOOKUP($R184&amp;AC$2,$C$3:$F$4001,4,0)),"",VLOOKUP($R184&amp;AC$2,$C$3:$F$4001,4,0))</f>
        <v>6.1600000000000002E-2</v>
      </c>
      <c r="AE184" s="106">
        <f>IF(ISNA(VLOOKUP($R184&amp;AE$2,$C$3:$F$4001,3,0)),"",VLOOKUP($R184&amp;AE$2,$C$3:$F$4001,3,0))</f>
        <v>41022</v>
      </c>
      <c r="AF184" s="107">
        <f>IF(ISNA(VLOOKUP($R184&amp;AE$2,$C$3:$F$4001,4,0)),"",VLOOKUP($R184&amp;AE$2,$C$3:$F$4001,4,0))</f>
        <v>0.1384</v>
      </c>
      <c r="AG184" s="106">
        <f>IF(ISNA(VLOOKUP($R184&amp;AG$2,$C$3:$F$4001,3,0)),"",VLOOKUP($R184&amp;AG$2,$C$3:$F$4001,3,0))</f>
        <v>41191</v>
      </c>
      <c r="AH184" s="107">
        <f>IF(ISNA(VLOOKUP($R184&amp;AG$2,$C$3:$F$4001,4,0)),"",VLOOKUP($R184&amp;AG$2,$C$3:$F$4001,4,0))</f>
        <v>6.6699999999999995E-2</v>
      </c>
      <c r="AI184" s="106">
        <f>IF(ISNA(VLOOKUP($R184&amp;AI$2,$C$3:$F$4001,3,0)),"",VLOOKUP($R184&amp;AI$2,$C$3:$F$4001,3,0))</f>
        <v>41387</v>
      </c>
      <c r="AJ184" s="107">
        <f>IF(ISNA(VLOOKUP($R184&amp;AI$2,$C$3:$F$4001,4,0)),"",VLOOKUP($R184&amp;AI$2,$C$3:$F$4001,4,0))</f>
        <v>0.15</v>
      </c>
      <c r="AK184" s="106" t="str">
        <f>IF(ISNA(VLOOKUP($R184&amp;AK$2,$C$3:$F$4001,3,0)),"",VLOOKUP($R184&amp;AK$2,$C$3:$F$4001,3,0))</f>
        <v/>
      </c>
      <c r="AL184" s="107" t="str">
        <f>IF(ISNA(VLOOKUP($R184&amp;AK$2,$C$3:$F$4001,4,0)),"",VLOOKUP($R184&amp;AK$2,$C$3:$F$4001,4,0))</f>
        <v/>
      </c>
    </row>
    <row r="185" spans="3:38" x14ac:dyDescent="0.2">
      <c r="C185" s="96" t="str">
        <f t="shared" si="8"/>
        <v>AQP2</v>
      </c>
      <c r="D185" s="73" t="s">
        <v>82</v>
      </c>
      <c r="E185" s="100">
        <v>40598</v>
      </c>
      <c r="F185" s="101">
        <v>0.05</v>
      </c>
      <c r="G185" s="96">
        <f t="shared" si="9"/>
        <v>2</v>
      </c>
      <c r="I185" s="96"/>
      <c r="K185" t="str">
        <f t="shared" si="10"/>
        <v>AQP2</v>
      </c>
      <c r="L185" s="73" t="s">
        <v>82</v>
      </c>
      <c r="M185" s="72">
        <v>40598</v>
      </c>
      <c r="N185" s="84">
        <v>0.05</v>
      </c>
      <c r="O185" s="96">
        <f t="shared" si="11"/>
        <v>2</v>
      </c>
      <c r="P185" s="73"/>
      <c r="Q185" s="96"/>
      <c r="R185" s="96" t="str">
        <f>R184</f>
        <v>HGI</v>
      </c>
      <c r="S185" s="108">
        <f>IF(ISNA(VLOOKUP($R185&amp;S$2,$K$3:$N$4001,3,0)),"",VLOOKUP($R185&amp;S$2,$K$3:$N$4001,3,0))</f>
        <v>39923</v>
      </c>
      <c r="T185" s="109">
        <f>IF(ISNA(VLOOKUP($R185&amp;S$2,$K$3:$N$4001,4,0)),"",VLOOKUP($R185&amp;S$2,$K$3:$N$4001,4,0))</f>
        <v>0.10060000000000001</v>
      </c>
      <c r="U185" s="108">
        <f>IF(ISNA(VLOOKUP($R185&amp;U$2,$K$3:$N$4001,3,0)),"",VLOOKUP($R185&amp;U$2,$K$3:$N$4001,3,0))</f>
        <v>40098</v>
      </c>
      <c r="V185" s="109">
        <f>IF(ISNA(VLOOKUP($R185&amp;U$2,$K$3:$N$4001,4,0)),"",VLOOKUP($R185&amp;U$2,$K$3:$N$4001,4,0))</f>
        <v>4.2900000000000001E-2</v>
      </c>
      <c r="W185" s="108">
        <f>IF(ISNA(VLOOKUP($R185&amp;W$2,$K$3:$N$4001,3,0)),"",VLOOKUP($R185&amp;W$2,$K$3:$N$4001,3,0))</f>
        <v>40294</v>
      </c>
      <c r="X185" s="109">
        <f>IF(ISNA(VLOOKUP($R185&amp;W$2,$K$3:$N$4001,4,0)),"",VLOOKUP($R185&amp;W$2,$K$3:$N$4001,4,0))</f>
        <v>9.6000000000000002E-2</v>
      </c>
      <c r="Y185" s="108">
        <f>IF(ISNA(VLOOKUP($R185&amp;Y$2,$K$3:$N$4001,3,0)),"",VLOOKUP($R185&amp;Y$2,$K$3:$N$4001,3,0))</f>
        <v>40462</v>
      </c>
      <c r="Z185" s="109">
        <f>IF(ISNA(VLOOKUP($R185&amp;Y$2,$K$3:$N$4001,4,0)),"",VLOOKUP($R185&amp;Y$2,$K$3:$N$4001,4,0))</f>
        <v>5.28E-2</v>
      </c>
      <c r="AA185" s="108">
        <f>IF(ISNA(VLOOKUP($R185&amp;AA$2,$K$3:$N$4001,3,0)),"",VLOOKUP($R185&amp;AA$2,$K$3:$N$4001,3,0))</f>
        <v>40658</v>
      </c>
      <c r="AB185" s="109">
        <f>IF(ISNA(VLOOKUP($R185&amp;AA$2,$K$3:$N$4001,4,0)),"",VLOOKUP($R185&amp;AA$2,$K$3:$N$4001,4,0))</f>
        <v>0.1183</v>
      </c>
      <c r="AC185" s="108">
        <f>IF(ISNA(VLOOKUP($R185&amp;AC$2,$K$3:$N$4001,3,0)),"",VLOOKUP($R185&amp;AC$2,$K$3:$N$4001,3,0))</f>
        <v>40826</v>
      </c>
      <c r="AD185" s="109">
        <f>IF(ISNA(VLOOKUP($R185&amp;AC$2,$K$3:$N$4001,4,0)),"",VLOOKUP($R185&amp;AC$2,$K$3:$N$4001,4,0))</f>
        <v>6.1600000000000002E-2</v>
      </c>
      <c r="AE185" s="108">
        <f>IF(ISNA(VLOOKUP($R185&amp;AE$2,$K$3:$N$4001,3,0)),"",VLOOKUP($R185&amp;AE$2,$K$3:$N$4001,3,0))</f>
        <v>41022</v>
      </c>
      <c r="AF185" s="109">
        <f>IF(ISNA(VLOOKUP($R185&amp;AE$2,$K$3:$N$4001,4,0)),"",VLOOKUP($R185&amp;AE$2,$K$3:$N$4001,4,0))</f>
        <v>0.1384</v>
      </c>
      <c r="AG185" s="108">
        <f>IF(ISNA(VLOOKUP($R185&amp;AG$2,$K$3:$N$4001,3,0)),"",VLOOKUP($R185&amp;AG$2,$K$3:$N$4001,3,0))</f>
        <v>41191</v>
      </c>
      <c r="AH185" s="109">
        <f>IF(ISNA(VLOOKUP($R185&amp;AG$2,$K$3:$N$4001,4,0)),"",VLOOKUP($R185&amp;AG$2,$K$3:$N$4001,4,0))</f>
        <v>6.6699999999999995E-2</v>
      </c>
      <c r="AI185" s="108">
        <f>IF(ISNA(VLOOKUP($R185&amp;AI$2,$K$3:$N$4001,3,0)),"",VLOOKUP($R185&amp;AI$2,$K$3:$N$4001,3,0))</f>
        <v>41387</v>
      </c>
      <c r="AJ185" s="109">
        <f>IF(ISNA(VLOOKUP($R185&amp;AI$2,$K$3:$N$4001,4,0)),"",VLOOKUP($R185&amp;AI$2,$K$3:$N$4001,4,0))</f>
        <v>0.15</v>
      </c>
      <c r="AK185" s="108" t="str">
        <f>IF(ISNA(VLOOKUP($R185&amp;AK$2,$K$3:$N$4001,3,0)),"",VLOOKUP($R185&amp;AK$2,$K$3:$N$4001,3,0))</f>
        <v/>
      </c>
      <c r="AL185" s="109" t="str">
        <f>IF(ISNA(VLOOKUP($R185&amp;AK$2,$K$3:$N$4001,4,0)),"",VLOOKUP($R185&amp;AK$2,$K$3:$N$4001,4,0))</f>
        <v/>
      </c>
    </row>
    <row r="186" spans="3:38" x14ac:dyDescent="0.2">
      <c r="C186" s="96" t="str">
        <f t="shared" si="8"/>
        <v>AQP3</v>
      </c>
      <c r="D186" s="73" t="s">
        <v>82</v>
      </c>
      <c r="E186" s="100">
        <v>40798</v>
      </c>
      <c r="F186" s="101">
        <v>0.1</v>
      </c>
      <c r="G186" s="96">
        <f t="shared" si="9"/>
        <v>3</v>
      </c>
      <c r="I186" s="96"/>
      <c r="K186" t="str">
        <f t="shared" si="10"/>
        <v>AQP3</v>
      </c>
      <c r="L186" s="73" t="s">
        <v>82</v>
      </c>
      <c r="M186" s="72">
        <v>40798</v>
      </c>
      <c r="N186" s="84">
        <v>0.1</v>
      </c>
      <c r="O186" s="96">
        <f t="shared" si="11"/>
        <v>3</v>
      </c>
      <c r="P186" s="73"/>
      <c r="Q186" s="96"/>
      <c r="R186" s="96" t="s">
        <v>143</v>
      </c>
      <c r="S186" s="106">
        <f>IF(ISNA(VLOOKUP($R186&amp;S$2,$C$3:$F$4001,3,0)),"",VLOOKUP($R186&amp;S$2,$C$3:$F$4001,3,0))</f>
        <v>39888</v>
      </c>
      <c r="T186" s="107">
        <f>IF(ISNA(VLOOKUP($R186&amp;S$2,$C$3:$F$4001,4,0)),"",VLOOKUP($R186&amp;S$2,$C$3:$F$4001,4,0))</f>
        <v>2.6000000000000002E-2</v>
      </c>
      <c r="U186" s="106">
        <f>IF(ISNA(VLOOKUP($R186&amp;U$2,$C$3:$F$4001,3,0)),"",VLOOKUP($R186&amp;U$2,$C$3:$F$4001,3,0))</f>
        <v>40064</v>
      </c>
      <c r="V186" s="107">
        <f>IF(ISNA(VLOOKUP($R186&amp;U$2,$C$3:$F$4001,4,0)),"",VLOOKUP($R186&amp;U$2,$C$3:$F$4001,4,0))</f>
        <v>4.4999999999999998E-2</v>
      </c>
      <c r="W186" s="106">
        <f>IF(ISNA(VLOOKUP($R186&amp;W$2,$C$3:$F$4001,3,0)),"",VLOOKUP($R186&amp;W$2,$C$3:$F$4001,3,0))</f>
        <v>40253</v>
      </c>
      <c r="X186" s="107">
        <f>IF(ISNA(VLOOKUP($R186&amp;W$2,$C$3:$F$4001,4,0)),"",VLOOKUP($R186&amp;W$2,$C$3:$F$4001,4,0))</f>
        <v>3.2000000000000001E-2</v>
      </c>
      <c r="Y186" s="106">
        <f>IF(ISNA(VLOOKUP($R186&amp;Y$2,$C$3:$F$4001,3,0)),"",VLOOKUP($R186&amp;Y$2,$C$3:$F$4001,3,0))</f>
        <v>40429</v>
      </c>
      <c r="Z186" s="107">
        <f>IF(ISNA(VLOOKUP($R186&amp;Y$2,$C$3:$F$4001,4,0)),"",VLOOKUP($R186&amp;Y$2,$C$3:$F$4001,4,0))</f>
        <v>6.8000000000000005E-2</v>
      </c>
      <c r="AA186" s="106">
        <f>IF(ISNA(VLOOKUP($R186&amp;AA$2,$C$3:$F$4001,3,0)),"",VLOOKUP($R186&amp;AA$2,$C$3:$F$4001,3,0))</f>
        <v>40618</v>
      </c>
      <c r="AB186" s="107">
        <f>IF(ISNA(VLOOKUP($R186&amp;AA$2,$C$3:$F$4001,4,0)),"",VLOOKUP($R186&amp;AA$2,$C$3:$F$4001,4,0))</f>
        <v>3.3000000000000002E-2</v>
      </c>
      <c r="AC186" s="106">
        <f>IF(ISNA(VLOOKUP($R186&amp;AC$2,$C$3:$F$4001,3,0)),"",VLOOKUP($R186&amp;AC$2,$C$3:$F$4001,3,0))</f>
        <v>40794</v>
      </c>
      <c r="AD186" s="107">
        <f>IF(ISNA(VLOOKUP($R186&amp;AC$2,$C$3:$F$4001,4,0)),"",VLOOKUP($R186&amp;AC$2,$C$3:$F$4001,4,0))</f>
        <v>6.9000000000000006E-2</v>
      </c>
      <c r="AE186" s="106">
        <f>IF(ISNA(VLOOKUP($R186&amp;AE$2,$C$3:$F$4001,3,0)),"",VLOOKUP($R186&amp;AE$2,$C$3:$F$4001,3,0))</f>
        <v>40984</v>
      </c>
      <c r="AF186" s="107">
        <f>IF(ISNA(VLOOKUP($R186&amp;AE$2,$C$3:$F$4001,4,0)),"",VLOOKUP($R186&amp;AE$2,$C$3:$F$4001,4,0))</f>
        <v>3.5000000000000003E-2</v>
      </c>
      <c r="AG186" s="106">
        <f>IF(ISNA(VLOOKUP($R186&amp;AG$2,$C$3:$F$4001,3,0)),"",VLOOKUP($R186&amp;AG$2,$C$3:$F$4001,3,0))</f>
        <v>41162</v>
      </c>
      <c r="AH186" s="107">
        <f>IF(ISNA(VLOOKUP($R186&amp;AG$2,$C$3:$F$4001,4,0)),"",VLOOKUP($R186&amp;AG$2,$C$3:$F$4001,4,0))</f>
        <v>7.0000000000000007E-2</v>
      </c>
      <c r="AI186" s="106">
        <f>IF(ISNA(VLOOKUP($R186&amp;AI$2,$C$3:$F$4001,3,0)),"",VLOOKUP($R186&amp;AI$2,$C$3:$F$4001,3,0))</f>
        <v>41351</v>
      </c>
      <c r="AJ186" s="107">
        <f>IF(ISNA(VLOOKUP($R186&amp;AI$2,$C$3:$F$4001,4,0)),"",VLOOKUP($R186&amp;AI$2,$C$3:$F$4001,4,0))</f>
        <v>3.7999999999999999E-2</v>
      </c>
      <c r="AK186" s="106">
        <f>IF(ISNA(VLOOKUP($R186&amp;AK$2,$C$3:$F$4001,3,0)),"",VLOOKUP($R186&amp;AK$2,$C$3:$F$4001,3,0))</f>
        <v>41527</v>
      </c>
      <c r="AL186" s="107">
        <f>IF(ISNA(VLOOKUP($R186&amp;AK$2,$C$3:$F$4001,4,0)),"",VLOOKUP($R186&amp;AK$2,$C$3:$F$4001,4,0))</f>
        <v>7.4999999999999997E-2</v>
      </c>
    </row>
    <row r="187" spans="3:38" x14ac:dyDescent="0.2">
      <c r="C187" s="96" t="str">
        <f t="shared" si="8"/>
        <v>AQP4</v>
      </c>
      <c r="D187" s="73" t="s">
        <v>82</v>
      </c>
      <c r="E187" s="100">
        <v>40966</v>
      </c>
      <c r="F187" s="101">
        <v>0.06</v>
      </c>
      <c r="G187" s="96">
        <f t="shared" si="9"/>
        <v>4</v>
      </c>
      <c r="I187" s="96"/>
      <c r="K187" t="str">
        <f t="shared" si="10"/>
        <v>AQP4</v>
      </c>
      <c r="L187" s="73" t="s">
        <v>82</v>
      </c>
      <c r="M187" s="72">
        <v>40966</v>
      </c>
      <c r="N187" s="84">
        <v>0.06</v>
      </c>
      <c r="O187" s="96">
        <f t="shared" si="11"/>
        <v>4</v>
      </c>
      <c r="P187" s="73"/>
      <c r="Q187" s="96"/>
      <c r="R187" s="96" t="str">
        <f>R186</f>
        <v>HFA</v>
      </c>
      <c r="S187" s="108">
        <f>IF(ISNA(VLOOKUP($R187&amp;S$2,$K$3:$N$4001,3,0)),"",VLOOKUP($R187&amp;S$2,$K$3:$N$4001,3,0))</f>
        <v>39888</v>
      </c>
      <c r="T187" s="109">
        <f>IF(ISNA(VLOOKUP($R187&amp;S$2,$K$3:$N$4001,4,0)),"",VLOOKUP($R187&amp;S$2,$K$3:$N$4001,4,0))</f>
        <v>2.6000000000000002E-2</v>
      </c>
      <c r="U187" s="108">
        <f>IF(ISNA(VLOOKUP($R187&amp;U$2,$K$3:$N$4001,3,0)),"",VLOOKUP($R187&amp;U$2,$K$3:$N$4001,3,0))</f>
        <v>40064</v>
      </c>
      <c r="V187" s="109">
        <f>IF(ISNA(VLOOKUP($R187&amp;U$2,$K$3:$N$4001,4,0)),"",VLOOKUP($R187&amp;U$2,$K$3:$N$4001,4,0))</f>
        <v>4.4999999999999998E-2</v>
      </c>
      <c r="W187" s="108">
        <f>IF(ISNA(VLOOKUP($R187&amp;W$2,$K$3:$N$4001,3,0)),"",VLOOKUP($R187&amp;W$2,$K$3:$N$4001,3,0))</f>
        <v>40253</v>
      </c>
      <c r="X187" s="109">
        <f>IF(ISNA(VLOOKUP($R187&amp;W$2,$K$3:$N$4001,4,0)),"",VLOOKUP($R187&amp;W$2,$K$3:$N$4001,4,0))</f>
        <v>3.2000000000000001E-2</v>
      </c>
      <c r="Y187" s="108">
        <f>IF(ISNA(VLOOKUP($R187&amp;Y$2,$K$3:$N$4001,3,0)),"",VLOOKUP($R187&amp;Y$2,$K$3:$N$4001,3,0))</f>
        <v>40429</v>
      </c>
      <c r="Z187" s="109">
        <f>IF(ISNA(VLOOKUP($R187&amp;Y$2,$K$3:$N$4001,4,0)),"",VLOOKUP($R187&amp;Y$2,$K$3:$N$4001,4,0))</f>
        <v>6.8000000000000005E-2</v>
      </c>
      <c r="AA187" s="108">
        <f>IF(ISNA(VLOOKUP($R187&amp;AA$2,$K$3:$N$4001,3,0)),"",VLOOKUP($R187&amp;AA$2,$K$3:$N$4001,3,0))</f>
        <v>40618</v>
      </c>
      <c r="AB187" s="109">
        <f>IF(ISNA(VLOOKUP($R187&amp;AA$2,$K$3:$N$4001,4,0)),"",VLOOKUP($R187&amp;AA$2,$K$3:$N$4001,4,0))</f>
        <v>3.3000000000000002E-2</v>
      </c>
      <c r="AC187" s="108">
        <f>IF(ISNA(VLOOKUP($R187&amp;AC$2,$K$3:$N$4001,3,0)),"",VLOOKUP($R187&amp;AC$2,$K$3:$N$4001,3,0))</f>
        <v>40794</v>
      </c>
      <c r="AD187" s="109">
        <f>IF(ISNA(VLOOKUP($R187&amp;AC$2,$K$3:$N$4001,4,0)),"",VLOOKUP($R187&amp;AC$2,$K$3:$N$4001,4,0))</f>
        <v>6.9000000000000006E-2</v>
      </c>
      <c r="AE187" s="108">
        <f>IF(ISNA(VLOOKUP($R187&amp;AE$2,$K$3:$N$4001,3,0)),"",VLOOKUP($R187&amp;AE$2,$K$3:$N$4001,3,0))</f>
        <v>40984</v>
      </c>
      <c r="AF187" s="109">
        <f>IF(ISNA(VLOOKUP($R187&amp;AE$2,$K$3:$N$4001,4,0)),"",VLOOKUP($R187&amp;AE$2,$K$3:$N$4001,4,0))</f>
        <v>3.5000000000000003E-2</v>
      </c>
      <c r="AG187" s="108">
        <f>IF(ISNA(VLOOKUP($R187&amp;AG$2,$K$3:$N$4001,3,0)),"",VLOOKUP($R187&amp;AG$2,$K$3:$N$4001,3,0))</f>
        <v>41162</v>
      </c>
      <c r="AH187" s="109">
        <f>IF(ISNA(VLOOKUP($R187&amp;AG$2,$K$3:$N$4001,4,0)),"",VLOOKUP($R187&amp;AG$2,$K$3:$N$4001,4,0))</f>
        <v>7.0000000000000007E-2</v>
      </c>
      <c r="AI187" s="108">
        <f>IF(ISNA(VLOOKUP($R187&amp;AI$2,$K$3:$N$4001,3,0)),"",VLOOKUP($R187&amp;AI$2,$K$3:$N$4001,3,0))</f>
        <v>41351</v>
      </c>
      <c r="AJ187" s="109">
        <f>IF(ISNA(VLOOKUP($R187&amp;AI$2,$K$3:$N$4001,4,0)),"",VLOOKUP($R187&amp;AI$2,$K$3:$N$4001,4,0))</f>
        <v>3.7999999999999999E-2</v>
      </c>
      <c r="AK187" s="108">
        <f>IF(ISNA(VLOOKUP($R187&amp;AK$2,$K$3:$N$4001,3,0)),"",VLOOKUP($R187&amp;AK$2,$K$3:$N$4001,3,0))</f>
        <v>41527</v>
      </c>
      <c r="AL187" s="109">
        <f>IF(ISNA(VLOOKUP($R187&amp;AK$2,$K$3:$N$4001,4,0)),"",VLOOKUP($R187&amp;AK$2,$K$3:$N$4001,4,0))</f>
        <v>7.4999999999999997E-2</v>
      </c>
    </row>
    <row r="188" spans="3:38" x14ac:dyDescent="0.2">
      <c r="C188" s="96" t="str">
        <f t="shared" si="8"/>
        <v>AQP5</v>
      </c>
      <c r="D188" s="73" t="s">
        <v>82</v>
      </c>
      <c r="E188" s="100">
        <v>41162</v>
      </c>
      <c r="F188" s="101">
        <v>0.12</v>
      </c>
      <c r="G188" s="96">
        <f t="shared" si="9"/>
        <v>5</v>
      </c>
      <c r="I188" s="96"/>
      <c r="K188" t="str">
        <f t="shared" si="10"/>
        <v>AQP5</v>
      </c>
      <c r="L188" s="73" t="s">
        <v>82</v>
      </c>
      <c r="M188" s="72">
        <v>41162</v>
      </c>
      <c r="N188" s="84">
        <v>0.12</v>
      </c>
      <c r="O188" s="96">
        <f t="shared" si="11"/>
        <v>5</v>
      </c>
      <c r="P188" s="73"/>
      <c r="Q188" s="96"/>
      <c r="R188" s="96" t="s">
        <v>145</v>
      </c>
      <c r="S188" s="106">
        <f>IF(ISNA(VLOOKUP($R188&amp;S$2,$C$3:$F$4001,3,0)),"",VLOOKUP($R188&amp;S$2,$C$3:$F$4001,3,0))</f>
        <v>39883</v>
      </c>
      <c r="T188" s="107">
        <f>IF(ISNA(VLOOKUP($R188&amp;S$2,$C$3:$F$4001,4,0)),"",VLOOKUP($R188&amp;S$2,$C$3:$F$4001,4,0))</f>
        <v>0.12909999999999999</v>
      </c>
      <c r="U188" s="106">
        <f>IF(ISNA(VLOOKUP($R188&amp;U$2,$C$3:$F$4001,3,0)),"",VLOOKUP($R188&amp;U$2,$C$3:$F$4001,3,0))</f>
        <v>40065</v>
      </c>
      <c r="V188" s="107">
        <f>IF(ISNA(VLOOKUP($R188&amp;U$2,$C$3:$F$4001,4,0)),"",VLOOKUP($R188&amp;U$2,$C$3:$F$4001,4,0))</f>
        <v>0.13390000000000002</v>
      </c>
      <c r="W188" s="106">
        <f>IF(ISNA(VLOOKUP($R188&amp;W$2,$C$3:$F$4001,3,0)),"",VLOOKUP($R188&amp;W$2,$C$3:$F$4001,3,0))</f>
        <v>40248</v>
      </c>
      <c r="X188" s="107">
        <f>IF(ISNA(VLOOKUP($R188&amp;W$2,$C$3:$F$4001,4,0)),"",VLOOKUP($R188&amp;W$2,$C$3:$F$4001,4,0))</f>
        <v>0.13200000000000001</v>
      </c>
      <c r="Y188" s="106">
        <f>IF(ISNA(VLOOKUP($R188&amp;Y$2,$C$3:$F$4001,3,0)),"",VLOOKUP($R188&amp;Y$2,$C$3:$F$4001,3,0))</f>
        <v>40430</v>
      </c>
      <c r="Z188" s="107">
        <f>IF(ISNA(VLOOKUP($R188&amp;Y$2,$C$3:$F$4001,4,0)),"",VLOOKUP($R188&amp;Y$2,$C$3:$F$4001,4,0))</f>
        <v>0.13699999999999998</v>
      </c>
      <c r="AA188" s="106">
        <f>IF(ISNA(VLOOKUP($R188&amp;AA$2,$C$3:$F$4001,3,0)),"",VLOOKUP($R188&amp;AA$2,$C$3:$F$4001,3,0))</f>
        <v>40613</v>
      </c>
      <c r="AB188" s="107">
        <f>IF(ISNA(VLOOKUP($R188&amp;AA$2,$C$3:$F$4001,4,0)),"",VLOOKUP($R188&amp;AA$2,$C$3:$F$4001,4,0))</f>
        <v>0.1389</v>
      </c>
      <c r="AC188" s="106">
        <f>IF(ISNA(VLOOKUP($R188&amp;AC$2,$C$3:$F$4001,3,0)),"",VLOOKUP($R188&amp;AC$2,$C$3:$F$4001,3,0))</f>
        <v>40795</v>
      </c>
      <c r="AD188" s="107">
        <f>IF(ISNA(VLOOKUP($R188&amp;AC$2,$C$3:$F$4001,4,0)),"",VLOOKUP($R188&amp;AC$2,$C$3:$F$4001,4,0))</f>
        <v>0.14410000000000001</v>
      </c>
      <c r="AE188" s="106">
        <f>IF(ISNA(VLOOKUP($R188&amp;AE$2,$C$3:$F$4001,3,0)),"",VLOOKUP($R188&amp;AE$2,$C$3:$F$4001,3,0))</f>
        <v>40981</v>
      </c>
      <c r="AF188" s="107">
        <f>IF(ISNA(VLOOKUP($R188&amp;AE$2,$C$3:$F$4001,4,0)),"",VLOOKUP($R188&amp;AE$2,$C$3:$F$4001,4,0))</f>
        <v>0.1497</v>
      </c>
      <c r="AG188" s="106">
        <f>IF(ISNA(VLOOKUP($R188&amp;AG$2,$C$3:$F$4001,3,0)),"",VLOOKUP($R188&amp;AG$2,$C$3:$F$4001,3,0))</f>
        <v>41163</v>
      </c>
      <c r="AH188" s="107">
        <f>IF(ISNA(VLOOKUP($R188&amp;AG$2,$C$3:$F$4001,4,0)),"",VLOOKUP($R188&amp;AG$2,$C$3:$F$4001,4,0))</f>
        <v>0.15529999999999999</v>
      </c>
      <c r="AI188" s="106">
        <f>IF(ISNA(VLOOKUP($R188&amp;AI$2,$C$3:$F$4001,3,0)),"",VLOOKUP($R188&amp;AI$2,$C$3:$F$4001,3,0))</f>
        <v>41346</v>
      </c>
      <c r="AJ188" s="107">
        <f>IF(ISNA(VLOOKUP($R188&amp;AI$2,$C$3:$F$4001,4,0)),"",VLOOKUP($R188&amp;AI$2,$C$3:$F$4001,4,0))</f>
        <v>0.15460000000000002</v>
      </c>
      <c r="AK188" s="106">
        <f>IF(ISNA(VLOOKUP($R188&amp;AK$2,$C$3:$F$4001,3,0)),"",VLOOKUP($R188&amp;AK$2,$C$3:$F$4001,3,0))</f>
        <v>41528</v>
      </c>
      <c r="AL188" s="107">
        <f>IF(ISNA(VLOOKUP($R188&amp;AK$2,$C$3:$F$4001,4,0)),"",VLOOKUP($R188&amp;AK$2,$C$3:$F$4001,4,0))</f>
        <v>0.16039999999999999</v>
      </c>
    </row>
    <row r="189" spans="3:38" x14ac:dyDescent="0.2">
      <c r="C189" s="96" t="str">
        <f t="shared" si="8"/>
        <v>AQP6</v>
      </c>
      <c r="D189" s="73" t="s">
        <v>82</v>
      </c>
      <c r="E189" s="100">
        <v>41331</v>
      </c>
      <c r="F189" s="101">
        <v>7.0000000000000007E-2</v>
      </c>
      <c r="G189" s="96">
        <f t="shared" si="9"/>
        <v>6</v>
      </c>
      <c r="I189" s="96"/>
      <c r="K189" t="str">
        <f t="shared" si="10"/>
        <v>AQP6</v>
      </c>
      <c r="L189" s="73" t="s">
        <v>82</v>
      </c>
      <c r="M189" s="72">
        <v>41331</v>
      </c>
      <c r="N189" s="84">
        <v>7.0000000000000007E-2</v>
      </c>
      <c r="O189" s="96">
        <f t="shared" si="11"/>
        <v>6</v>
      </c>
      <c r="P189" s="73"/>
      <c r="Q189" s="96"/>
      <c r="R189" s="96" t="str">
        <f>R188</f>
        <v>HIL</v>
      </c>
      <c r="S189" s="108">
        <f>IF(ISNA(VLOOKUP($R189&amp;S$2,$K$3:$N$4001,3,0)),"",VLOOKUP($R189&amp;S$2,$K$3:$N$4001,3,0))</f>
        <v>39883</v>
      </c>
      <c r="T189" s="109">
        <f>IF(ISNA(VLOOKUP($R189&amp;S$2,$K$3:$N$4001,4,0)),"",VLOOKUP($R189&amp;S$2,$K$3:$N$4001,4,0))</f>
        <v>0.12909999999999999</v>
      </c>
      <c r="U189" s="108">
        <f>IF(ISNA(VLOOKUP($R189&amp;U$2,$K$3:$N$4001,3,0)),"",VLOOKUP($R189&amp;U$2,$K$3:$N$4001,3,0))</f>
        <v>40065</v>
      </c>
      <c r="V189" s="109">
        <f>IF(ISNA(VLOOKUP($R189&amp;U$2,$K$3:$N$4001,4,0)),"",VLOOKUP($R189&amp;U$2,$K$3:$N$4001,4,0))</f>
        <v>0.13390000000000002</v>
      </c>
      <c r="W189" s="108">
        <f>IF(ISNA(VLOOKUP($R189&amp;W$2,$K$3:$N$4001,3,0)),"",VLOOKUP($R189&amp;W$2,$K$3:$N$4001,3,0))</f>
        <v>40248</v>
      </c>
      <c r="X189" s="109">
        <f>IF(ISNA(VLOOKUP($R189&amp;W$2,$K$3:$N$4001,4,0)),"",VLOOKUP($R189&amp;W$2,$K$3:$N$4001,4,0))</f>
        <v>0.13200000000000001</v>
      </c>
      <c r="Y189" s="108">
        <f>IF(ISNA(VLOOKUP($R189&amp;Y$2,$K$3:$N$4001,3,0)),"",VLOOKUP($R189&amp;Y$2,$K$3:$N$4001,3,0))</f>
        <v>40430</v>
      </c>
      <c r="Z189" s="109">
        <f>IF(ISNA(VLOOKUP($R189&amp;Y$2,$K$3:$N$4001,4,0)),"",VLOOKUP($R189&amp;Y$2,$K$3:$N$4001,4,0))</f>
        <v>0.13699999999999998</v>
      </c>
      <c r="AA189" s="108">
        <f>IF(ISNA(VLOOKUP($R189&amp;AA$2,$K$3:$N$4001,3,0)),"",VLOOKUP($R189&amp;AA$2,$K$3:$N$4001,3,0))</f>
        <v>40613</v>
      </c>
      <c r="AB189" s="109">
        <f>IF(ISNA(VLOOKUP($R189&amp;AA$2,$K$3:$N$4001,4,0)),"",VLOOKUP($R189&amp;AA$2,$K$3:$N$4001,4,0))</f>
        <v>0.1389</v>
      </c>
      <c r="AC189" s="108">
        <f>IF(ISNA(VLOOKUP($R189&amp;AC$2,$K$3:$N$4001,3,0)),"",VLOOKUP($R189&amp;AC$2,$K$3:$N$4001,3,0))</f>
        <v>40795</v>
      </c>
      <c r="AD189" s="109">
        <f>IF(ISNA(VLOOKUP($R189&amp;AC$2,$K$3:$N$4001,4,0)),"",VLOOKUP($R189&amp;AC$2,$K$3:$N$4001,4,0))</f>
        <v>0.14410000000000001</v>
      </c>
      <c r="AE189" s="108">
        <f>IF(ISNA(VLOOKUP($R189&amp;AE$2,$K$3:$N$4001,3,0)),"",VLOOKUP($R189&amp;AE$2,$K$3:$N$4001,3,0))</f>
        <v>40981</v>
      </c>
      <c r="AF189" s="109">
        <f>IF(ISNA(VLOOKUP($R189&amp;AE$2,$K$3:$N$4001,4,0)),"",VLOOKUP($R189&amp;AE$2,$K$3:$N$4001,4,0))</f>
        <v>0.1497</v>
      </c>
      <c r="AG189" s="108">
        <f>IF(ISNA(VLOOKUP($R189&amp;AG$2,$K$3:$N$4001,3,0)),"",VLOOKUP($R189&amp;AG$2,$K$3:$N$4001,3,0))</f>
        <v>41163</v>
      </c>
      <c r="AH189" s="109">
        <f>IF(ISNA(VLOOKUP($R189&amp;AG$2,$K$3:$N$4001,4,0)),"",VLOOKUP($R189&amp;AG$2,$K$3:$N$4001,4,0))</f>
        <v>0.15529999999999999</v>
      </c>
      <c r="AI189" s="108">
        <f>IF(ISNA(VLOOKUP($R189&amp;AI$2,$K$3:$N$4001,3,0)),"",VLOOKUP($R189&amp;AI$2,$K$3:$N$4001,3,0))</f>
        <v>41346</v>
      </c>
      <c r="AJ189" s="109">
        <f>IF(ISNA(VLOOKUP($R189&amp;AI$2,$K$3:$N$4001,4,0)),"",VLOOKUP($R189&amp;AI$2,$K$3:$N$4001,4,0))</f>
        <v>0.15460000000000002</v>
      </c>
      <c r="AK189" s="108">
        <f>IF(ISNA(VLOOKUP($R189&amp;AK$2,$K$3:$N$4001,3,0)),"",VLOOKUP($R189&amp;AK$2,$K$3:$N$4001,3,0))</f>
        <v>41528</v>
      </c>
      <c r="AL189" s="109">
        <f>IF(ISNA(VLOOKUP($R189&amp;AK$2,$K$3:$N$4001,4,0)),"",VLOOKUP($R189&amp;AK$2,$K$3:$N$4001,4,0))</f>
        <v>0.16039999999999999</v>
      </c>
    </row>
    <row r="190" spans="3:38" x14ac:dyDescent="0.2">
      <c r="C190" s="96" t="str">
        <f t="shared" si="8"/>
        <v>AQP7</v>
      </c>
      <c r="D190" s="73" t="s">
        <v>82</v>
      </c>
      <c r="E190" s="100">
        <v>41527</v>
      </c>
      <c r="F190" s="101">
        <v>0.14000000000000001</v>
      </c>
      <c r="G190" s="96">
        <f t="shared" si="9"/>
        <v>7</v>
      </c>
      <c r="I190" s="96"/>
      <c r="K190" t="str">
        <f t="shared" si="10"/>
        <v>AQP7</v>
      </c>
      <c r="L190" s="73" t="s">
        <v>82</v>
      </c>
      <c r="M190" s="72">
        <v>41527</v>
      </c>
      <c r="N190" s="84">
        <v>0.14000000000000001</v>
      </c>
      <c r="O190" s="96">
        <f t="shared" si="11"/>
        <v>7</v>
      </c>
      <c r="P190" s="73"/>
      <c r="Q190" s="96"/>
      <c r="R190" s="96" t="s">
        <v>152</v>
      </c>
      <c r="S190" s="106">
        <f>IF(ISNA(VLOOKUP($R190&amp;S$2,$C$3:$F$4001,3,0)),"",VLOOKUP($R190&amp;S$2,$C$3:$F$4001,3,0))</f>
        <v>40449</v>
      </c>
      <c r="T190" s="107">
        <f>IF(ISNA(VLOOKUP($R190&amp;S$2,$C$3:$F$4001,4,0)),"",VLOOKUP($R190&amp;S$2,$C$3:$F$4001,4,0))</f>
        <v>4.9500000000000002E-2</v>
      </c>
      <c r="U190" s="106">
        <f>IF(ISNA(VLOOKUP($R190&amp;U$2,$C$3:$F$4001,3,0)),"",VLOOKUP($R190&amp;U$2,$C$3:$F$4001,3,0))</f>
        <v>40645</v>
      </c>
      <c r="V190" s="107">
        <f>IF(ISNA(VLOOKUP($R190&amp;U$2,$C$3:$F$4001,4,0)),"",VLOOKUP($R190&amp;U$2,$C$3:$F$4001,4,0))</f>
        <v>4.9500000000000002E-2</v>
      </c>
      <c r="W190" s="106">
        <f>IF(ISNA(VLOOKUP($R190&amp;W$2,$C$3:$F$4001,3,0)),"",VLOOKUP($R190&amp;W$2,$C$3:$F$4001,3,0))</f>
        <v>40815</v>
      </c>
      <c r="X190" s="107">
        <f>IF(ISNA(VLOOKUP($R190&amp;W$2,$C$3:$F$4001,4,0)),"",VLOOKUP($R190&amp;W$2,$C$3:$F$4001,4,0))</f>
        <v>7.7499999999999999E-2</v>
      </c>
      <c r="Y190" s="106">
        <f>IF(ISNA(VLOOKUP($R190&amp;Y$2,$C$3:$F$4001,3,0)),"",VLOOKUP($R190&amp;Y$2,$C$3:$F$4001,3,0))</f>
        <v>41011</v>
      </c>
      <c r="Z190" s="107">
        <f>IF(ISNA(VLOOKUP($R190&amp;Y$2,$C$3:$F$4001,4,0)),"",VLOOKUP($R190&amp;Y$2,$C$3:$F$4001,4,0))</f>
        <v>7.7499999999999999E-2</v>
      </c>
      <c r="AA190" s="106">
        <f>IF(ISNA(VLOOKUP($R190&amp;AA$2,$C$3:$F$4001,3,0)),"",VLOOKUP($R190&amp;AA$2,$C$3:$F$4001,3,0))</f>
        <v>41183</v>
      </c>
      <c r="AB190" s="107">
        <f>IF(ISNA(VLOOKUP($R190&amp;AA$2,$C$3:$F$4001,4,0)),"",VLOOKUP($R190&amp;AA$2,$C$3:$F$4001,4,0))</f>
        <v>7.8E-2</v>
      </c>
      <c r="AC190" s="106">
        <f>IF(ISNA(VLOOKUP($R190&amp;AC$2,$C$3:$F$4001,3,0)),"",VLOOKUP($R190&amp;AC$2,$C$3:$F$4001,3,0))</f>
        <v>41376</v>
      </c>
      <c r="AD190" s="107">
        <f>IF(ISNA(VLOOKUP($R190&amp;AC$2,$C$3:$F$4001,4,0)),"",VLOOKUP($R190&amp;AC$2,$C$3:$F$4001,4,0))</f>
        <v>7.8E-2</v>
      </c>
      <c r="AE190" s="106" t="str">
        <f>IF(ISNA(VLOOKUP($R190&amp;AE$2,$C$3:$F$4001,3,0)),"",VLOOKUP($R190&amp;AE$2,$C$3:$F$4001,3,0))</f>
        <v/>
      </c>
      <c r="AF190" s="107" t="str">
        <f>IF(ISNA(VLOOKUP($R190&amp;AE$2,$C$3:$F$4001,4,0)),"",VLOOKUP($R190&amp;AE$2,$C$3:$F$4001,4,0))</f>
        <v/>
      </c>
      <c r="AG190" s="106" t="str">
        <f>IF(ISNA(VLOOKUP($R190&amp;AG$2,$C$3:$F$4001,3,0)),"",VLOOKUP($R190&amp;AG$2,$C$3:$F$4001,3,0))</f>
        <v/>
      </c>
      <c r="AH190" s="107" t="str">
        <f>IF(ISNA(VLOOKUP($R190&amp;AG$2,$C$3:$F$4001,4,0)),"",VLOOKUP($R190&amp;AG$2,$C$3:$F$4001,4,0))</f>
        <v/>
      </c>
      <c r="AI190" s="106" t="str">
        <f>IF(ISNA(VLOOKUP($R190&amp;AI$2,$C$3:$F$4001,3,0)),"",VLOOKUP($R190&amp;AI$2,$C$3:$F$4001,3,0))</f>
        <v/>
      </c>
      <c r="AJ190" s="107" t="str">
        <f>IF(ISNA(VLOOKUP($R190&amp;AI$2,$C$3:$F$4001,4,0)),"",VLOOKUP($R190&amp;AI$2,$C$3:$F$4001,4,0))</f>
        <v/>
      </c>
      <c r="AK190" s="106" t="str">
        <f>IF(ISNA(VLOOKUP($R190&amp;AK$2,$C$3:$F$4001,3,0)),"",VLOOKUP($R190&amp;AK$2,$C$3:$F$4001,3,0))</f>
        <v/>
      </c>
      <c r="AL190" s="107" t="str">
        <f>IF(ISNA(VLOOKUP($R190&amp;AK$2,$C$3:$F$4001,4,0)),"",VLOOKUP($R190&amp;AK$2,$C$3:$F$4001,4,0))</f>
        <v/>
      </c>
    </row>
    <row r="191" spans="3:38" x14ac:dyDescent="0.2">
      <c r="C191" s="96" t="str">
        <f t="shared" si="8"/>
        <v>ASX1</v>
      </c>
      <c r="D191" s="73" t="s">
        <v>83</v>
      </c>
      <c r="E191" s="100">
        <v>39868</v>
      </c>
      <c r="F191" s="101">
        <v>0.85</v>
      </c>
      <c r="G191" s="96">
        <f t="shared" si="9"/>
        <v>1</v>
      </c>
      <c r="I191" s="96"/>
      <c r="K191" t="str">
        <f t="shared" si="10"/>
        <v>ASX1</v>
      </c>
      <c r="L191" s="73" t="s">
        <v>83</v>
      </c>
      <c r="M191" s="72">
        <v>39868</v>
      </c>
      <c r="N191" s="84">
        <v>0.85</v>
      </c>
      <c r="O191" s="96">
        <f t="shared" si="11"/>
        <v>1</v>
      </c>
      <c r="P191" s="73"/>
      <c r="Q191" s="96"/>
      <c r="R191" s="96" t="str">
        <f>R190</f>
        <v>ILU</v>
      </c>
      <c r="S191" s="108">
        <f>IF(ISNA(VLOOKUP($R191&amp;S$2,$K$3:$N$4001,3,0)),"",VLOOKUP($R191&amp;S$2,$K$3:$N$4001,3,0))</f>
        <v>40449</v>
      </c>
      <c r="T191" s="109">
        <f>IF(ISNA(VLOOKUP($R191&amp;S$2,$K$3:$N$4001,4,0)),"",VLOOKUP($R191&amp;S$2,$K$3:$N$4001,4,0))</f>
        <v>4.9500000000000002E-2</v>
      </c>
      <c r="U191" s="108">
        <f>IF(ISNA(VLOOKUP($R191&amp;U$2,$K$3:$N$4001,3,0)),"",VLOOKUP($R191&amp;U$2,$K$3:$N$4001,3,0))</f>
        <v>40645</v>
      </c>
      <c r="V191" s="109">
        <f>IF(ISNA(VLOOKUP($R191&amp;U$2,$K$3:$N$4001,4,0)),"",VLOOKUP($R191&amp;U$2,$K$3:$N$4001,4,0))</f>
        <v>4.9500000000000002E-2</v>
      </c>
      <c r="W191" s="108">
        <f>IF(ISNA(VLOOKUP($R191&amp;W$2,$K$3:$N$4001,3,0)),"",VLOOKUP($R191&amp;W$2,$K$3:$N$4001,3,0))</f>
        <v>40815</v>
      </c>
      <c r="X191" s="109">
        <f>IF(ISNA(VLOOKUP($R191&amp;W$2,$K$3:$N$4001,4,0)),"",VLOOKUP($R191&amp;W$2,$K$3:$N$4001,4,0))</f>
        <v>7.7499999999999999E-2</v>
      </c>
      <c r="Y191" s="108">
        <f>IF(ISNA(VLOOKUP($R191&amp;Y$2,$K$3:$N$4001,3,0)),"",VLOOKUP($R191&amp;Y$2,$K$3:$N$4001,3,0))</f>
        <v>41011</v>
      </c>
      <c r="Z191" s="109">
        <f>IF(ISNA(VLOOKUP($R191&amp;Y$2,$K$3:$N$4001,4,0)),"",VLOOKUP($R191&amp;Y$2,$K$3:$N$4001,4,0))</f>
        <v>7.7499999999999999E-2</v>
      </c>
      <c r="AA191" s="108">
        <f>IF(ISNA(VLOOKUP($R191&amp;AA$2,$K$3:$N$4001,3,0)),"",VLOOKUP($R191&amp;AA$2,$K$3:$N$4001,3,0))</f>
        <v>41183</v>
      </c>
      <c r="AB191" s="109">
        <f>IF(ISNA(VLOOKUP($R191&amp;AA$2,$K$3:$N$4001,4,0)),"",VLOOKUP($R191&amp;AA$2,$K$3:$N$4001,4,0))</f>
        <v>7.8E-2</v>
      </c>
      <c r="AC191" s="108">
        <f>IF(ISNA(VLOOKUP($R191&amp;AC$2,$K$3:$N$4001,3,0)),"",VLOOKUP($R191&amp;AC$2,$K$3:$N$4001,3,0))</f>
        <v>41376</v>
      </c>
      <c r="AD191" s="109">
        <f>IF(ISNA(VLOOKUP($R191&amp;AC$2,$K$3:$N$4001,4,0)),"",VLOOKUP($R191&amp;AC$2,$K$3:$N$4001,4,0))</f>
        <v>7.8E-2</v>
      </c>
      <c r="AE191" s="108" t="str">
        <f>IF(ISNA(VLOOKUP($R191&amp;AE$2,$K$3:$N$4001,3,0)),"",VLOOKUP($R191&amp;AE$2,$K$3:$N$4001,3,0))</f>
        <v/>
      </c>
      <c r="AF191" s="109" t="str">
        <f>IF(ISNA(VLOOKUP($R191&amp;AE$2,$K$3:$N$4001,4,0)),"",VLOOKUP($R191&amp;AE$2,$K$3:$N$4001,4,0))</f>
        <v/>
      </c>
      <c r="AG191" s="108" t="str">
        <f>IF(ISNA(VLOOKUP($R191&amp;AG$2,$K$3:$N$4001,3,0)),"",VLOOKUP($R191&amp;AG$2,$K$3:$N$4001,3,0))</f>
        <v/>
      </c>
      <c r="AH191" s="109" t="str">
        <f>IF(ISNA(VLOOKUP($R191&amp;AG$2,$K$3:$N$4001,4,0)),"",VLOOKUP($R191&amp;AG$2,$K$3:$N$4001,4,0))</f>
        <v/>
      </c>
      <c r="AI191" s="108" t="str">
        <f>IF(ISNA(VLOOKUP($R191&amp;AI$2,$K$3:$N$4001,3,0)),"",VLOOKUP($R191&amp;AI$2,$K$3:$N$4001,3,0))</f>
        <v/>
      </c>
      <c r="AJ191" s="109" t="str">
        <f>IF(ISNA(VLOOKUP($R191&amp;AI$2,$K$3:$N$4001,4,0)),"",VLOOKUP($R191&amp;AI$2,$K$3:$N$4001,4,0))</f>
        <v/>
      </c>
      <c r="AK191" s="108" t="str">
        <f>IF(ISNA(VLOOKUP($R191&amp;AK$2,$K$3:$N$4001,3,0)),"",VLOOKUP($R191&amp;AK$2,$K$3:$N$4001,3,0))</f>
        <v/>
      </c>
      <c r="AL191" s="109" t="str">
        <f>IF(ISNA(VLOOKUP($R191&amp;AK$2,$K$3:$N$4001,4,0)),"",VLOOKUP($R191&amp;AK$2,$K$3:$N$4001,4,0))</f>
        <v/>
      </c>
    </row>
    <row r="192" spans="3:38" x14ac:dyDescent="0.2">
      <c r="C192" s="96" t="str">
        <f t="shared" si="8"/>
        <v>ASX2</v>
      </c>
      <c r="D192" s="73" t="s">
        <v>83</v>
      </c>
      <c r="E192" s="100">
        <v>40052</v>
      </c>
      <c r="F192" s="101">
        <v>0.97799999999999998</v>
      </c>
      <c r="G192" s="96">
        <f t="shared" si="9"/>
        <v>2</v>
      </c>
      <c r="I192" s="96"/>
      <c r="K192" t="str">
        <f t="shared" si="10"/>
        <v>ASX2</v>
      </c>
      <c r="L192" s="73" t="s">
        <v>83</v>
      </c>
      <c r="M192" s="72">
        <v>40052</v>
      </c>
      <c r="N192" s="84">
        <v>0.97799999999999998</v>
      </c>
      <c r="O192" s="96">
        <f t="shared" si="11"/>
        <v>2</v>
      </c>
      <c r="P192" s="73"/>
      <c r="Q192" s="96"/>
      <c r="R192" s="96" t="s">
        <v>154</v>
      </c>
      <c r="S192" s="106">
        <f>IF(ISNA(VLOOKUP($R192&amp;S$2,$C$3:$F$4001,3,0)),"",VLOOKUP($R192&amp;S$2,$C$3:$F$4001,3,0))</f>
        <v>39941</v>
      </c>
      <c r="T192" s="107">
        <f>IF(ISNA(VLOOKUP($R192&amp;S$2,$C$3:$F$4001,4,0)),"",VLOOKUP($R192&amp;S$2,$C$3:$F$4001,4,0))</f>
        <v>7.0000000000000007E-2</v>
      </c>
      <c r="U192" s="106">
        <f>IF(ISNA(VLOOKUP($R192&amp;U$2,$C$3:$F$4001,3,0)),"",VLOOKUP($R192&amp;U$2,$C$3:$F$4001,3,0))</f>
        <v>40135</v>
      </c>
      <c r="V192" s="107">
        <f>IF(ISNA(VLOOKUP($R192&amp;U$2,$C$3:$F$4001,4,0)),"",VLOOKUP($R192&amp;U$2,$C$3:$F$4001,4,0))</f>
        <v>0.14000000000000001</v>
      </c>
      <c r="W192" s="106">
        <f>IF(ISNA(VLOOKUP($R192&amp;W$2,$C$3:$F$4001,3,0)),"",VLOOKUP($R192&amp;W$2,$C$3:$F$4001,3,0))</f>
        <v>40308</v>
      </c>
      <c r="X192" s="107">
        <f>IF(ISNA(VLOOKUP($R192&amp;W$2,$C$3:$F$4001,4,0)),"",VLOOKUP($R192&amp;W$2,$C$3:$F$4001,4,0))</f>
        <v>0.08</v>
      </c>
      <c r="Y192" s="106">
        <f>IF(ISNA(VLOOKUP($R192&amp;Y$2,$C$3:$F$4001,3,0)),"",VLOOKUP($R192&amp;Y$2,$C$3:$F$4001,3,0))</f>
        <v>40500</v>
      </c>
      <c r="Z192" s="107">
        <f>IF(ISNA(VLOOKUP($R192&amp;Y$2,$C$3:$F$4001,4,0)),"",VLOOKUP($R192&amp;Y$2,$C$3:$F$4001,4,0))</f>
        <v>0.16</v>
      </c>
      <c r="AA192" s="106">
        <f>IF(ISNA(VLOOKUP($R192&amp;AA$2,$C$3:$F$4001,3,0)),"",VLOOKUP($R192&amp;AA$2,$C$3:$F$4001,3,0))</f>
        <v>40673</v>
      </c>
      <c r="AB192" s="107">
        <f>IF(ISNA(VLOOKUP($R192&amp;AA$2,$C$3:$F$4001,4,0)),"",VLOOKUP($R192&amp;AA$2,$C$3:$F$4001,4,0))</f>
        <v>0.09</v>
      </c>
      <c r="AC192" s="106">
        <f>IF(ISNA(VLOOKUP($R192&amp;AC$2,$C$3:$F$4001,3,0)),"",VLOOKUP($R192&amp;AC$2,$C$3:$F$4001,3,0))</f>
        <v>40865</v>
      </c>
      <c r="AD192" s="107">
        <f>IF(ISNA(VLOOKUP($R192&amp;AC$2,$C$3:$F$4001,4,0)),"",VLOOKUP($R192&amp;AC$2,$C$3:$F$4001,4,0))</f>
        <v>0.18</v>
      </c>
      <c r="AE192" s="106">
        <f>IF(ISNA(VLOOKUP($R192&amp;AE$2,$C$3:$F$4001,3,0)),"",VLOOKUP($R192&amp;AE$2,$C$3:$F$4001,3,0))</f>
        <v>41039</v>
      </c>
      <c r="AF192" s="107">
        <f>IF(ISNA(VLOOKUP($R192&amp;AE$2,$C$3:$F$4001,4,0)),"",VLOOKUP($R192&amp;AE$2,$C$3:$F$4001,4,0))</f>
        <v>0.09</v>
      </c>
      <c r="AG192" s="106">
        <f>IF(ISNA(VLOOKUP($R192&amp;AG$2,$C$3:$F$4001,3,0)),"",VLOOKUP($R192&amp;AG$2,$C$3:$F$4001,3,0))</f>
        <v>41233</v>
      </c>
      <c r="AH192" s="107">
        <f>IF(ISNA(VLOOKUP($R192&amp;AG$2,$C$3:$F$4001,4,0)),"",VLOOKUP($R192&amp;AG$2,$C$3:$F$4001,4,0))</f>
        <v>0.2</v>
      </c>
      <c r="AI192" s="106">
        <f>IF(ISNA(VLOOKUP($R192&amp;AI$2,$C$3:$F$4001,3,0)),"",VLOOKUP($R192&amp;AI$2,$C$3:$F$4001,3,0))</f>
        <v>41404</v>
      </c>
      <c r="AJ192" s="107">
        <f>IF(ISNA(VLOOKUP($R192&amp;AI$2,$C$3:$F$4001,4,0)),"",VLOOKUP($R192&amp;AI$2,$C$3:$F$4001,4,0))</f>
        <v>0.1</v>
      </c>
      <c r="AK192" s="106">
        <f>IF(ISNA(VLOOKUP($R192&amp;AK$2,$C$3:$F$4001,3,0)),"",VLOOKUP($R192&amp;AK$2,$C$3:$F$4001,3,0))</f>
        <v>41598</v>
      </c>
      <c r="AL192" s="107">
        <f>IF(ISNA(VLOOKUP($R192&amp;AK$2,$C$3:$F$4001,4,0)),"",VLOOKUP($R192&amp;AK$2,$C$3:$F$4001,4,0))</f>
        <v>0.21</v>
      </c>
    </row>
    <row r="193" spans="3:38" x14ac:dyDescent="0.2">
      <c r="C193" s="96" t="str">
        <f t="shared" si="8"/>
        <v>ASX3</v>
      </c>
      <c r="D193" s="73" t="s">
        <v>83</v>
      </c>
      <c r="E193" s="100">
        <v>40233</v>
      </c>
      <c r="F193" s="101">
        <v>0.88300000000000001</v>
      </c>
      <c r="G193" s="96">
        <f t="shared" si="9"/>
        <v>3</v>
      </c>
      <c r="I193" s="96"/>
      <c r="K193" t="str">
        <f t="shared" si="10"/>
        <v>ASX3</v>
      </c>
      <c r="L193" s="73" t="s">
        <v>83</v>
      </c>
      <c r="M193" s="72">
        <v>40233</v>
      </c>
      <c r="N193" s="84">
        <v>0.88300000000000001</v>
      </c>
      <c r="O193" s="96">
        <f t="shared" si="11"/>
        <v>3</v>
      </c>
      <c r="P193" s="73"/>
      <c r="Q193" s="96"/>
      <c r="R193" s="96" t="str">
        <f>R192</f>
        <v>IPL</v>
      </c>
      <c r="S193" s="108">
        <f>IF(ISNA(VLOOKUP($R193&amp;S$2,$K$3:$N$4001,3,0)),"",VLOOKUP($R193&amp;S$2,$K$3:$N$4001,3,0))</f>
        <v>39941</v>
      </c>
      <c r="T193" s="109">
        <f>IF(ISNA(VLOOKUP($R193&amp;S$2,$K$3:$N$4001,4,0)),"",VLOOKUP($R193&amp;S$2,$K$3:$N$4001,4,0))</f>
        <v>7.0000000000000007E-2</v>
      </c>
      <c r="U193" s="108">
        <f>IF(ISNA(VLOOKUP($R193&amp;U$2,$K$3:$N$4001,3,0)),"",VLOOKUP($R193&amp;U$2,$K$3:$N$4001,3,0))</f>
        <v>40135</v>
      </c>
      <c r="V193" s="109">
        <f>IF(ISNA(VLOOKUP($R193&amp;U$2,$K$3:$N$4001,4,0)),"",VLOOKUP($R193&amp;U$2,$K$3:$N$4001,4,0))</f>
        <v>0.14000000000000001</v>
      </c>
      <c r="W193" s="108">
        <f>IF(ISNA(VLOOKUP($R193&amp;W$2,$K$3:$N$4001,3,0)),"",VLOOKUP($R193&amp;W$2,$K$3:$N$4001,3,0))</f>
        <v>40308</v>
      </c>
      <c r="X193" s="109">
        <f>IF(ISNA(VLOOKUP($R193&amp;W$2,$K$3:$N$4001,4,0)),"",VLOOKUP($R193&amp;W$2,$K$3:$N$4001,4,0))</f>
        <v>0.08</v>
      </c>
      <c r="Y193" s="108">
        <f>IF(ISNA(VLOOKUP($R193&amp;Y$2,$K$3:$N$4001,3,0)),"",VLOOKUP($R193&amp;Y$2,$K$3:$N$4001,3,0))</f>
        <v>40500</v>
      </c>
      <c r="Z193" s="109">
        <f>IF(ISNA(VLOOKUP($R193&amp;Y$2,$K$3:$N$4001,4,0)),"",VLOOKUP($R193&amp;Y$2,$K$3:$N$4001,4,0))</f>
        <v>0.16</v>
      </c>
      <c r="AA193" s="108">
        <f>IF(ISNA(VLOOKUP($R193&amp;AA$2,$K$3:$N$4001,3,0)),"",VLOOKUP($R193&amp;AA$2,$K$3:$N$4001,3,0))</f>
        <v>40673</v>
      </c>
      <c r="AB193" s="109">
        <f>IF(ISNA(VLOOKUP($R193&amp;AA$2,$K$3:$N$4001,4,0)),"",VLOOKUP($R193&amp;AA$2,$K$3:$N$4001,4,0))</f>
        <v>0.09</v>
      </c>
      <c r="AC193" s="108">
        <f>IF(ISNA(VLOOKUP($R193&amp;AC$2,$K$3:$N$4001,3,0)),"",VLOOKUP($R193&amp;AC$2,$K$3:$N$4001,3,0))</f>
        <v>40865</v>
      </c>
      <c r="AD193" s="109">
        <f>IF(ISNA(VLOOKUP($R193&amp;AC$2,$K$3:$N$4001,4,0)),"",VLOOKUP($R193&amp;AC$2,$K$3:$N$4001,4,0))</f>
        <v>0.18</v>
      </c>
      <c r="AE193" s="108">
        <f>IF(ISNA(VLOOKUP($R193&amp;AE$2,$K$3:$N$4001,3,0)),"",VLOOKUP($R193&amp;AE$2,$K$3:$N$4001,3,0))</f>
        <v>41039</v>
      </c>
      <c r="AF193" s="109">
        <f>IF(ISNA(VLOOKUP($R193&amp;AE$2,$K$3:$N$4001,4,0)),"",VLOOKUP($R193&amp;AE$2,$K$3:$N$4001,4,0))</f>
        <v>0.09</v>
      </c>
      <c r="AG193" s="108">
        <f>IF(ISNA(VLOOKUP($R193&amp;AG$2,$K$3:$N$4001,3,0)),"",VLOOKUP($R193&amp;AG$2,$K$3:$N$4001,3,0))</f>
        <v>41233</v>
      </c>
      <c r="AH193" s="109">
        <f>IF(ISNA(VLOOKUP($R193&amp;AG$2,$K$3:$N$4001,4,0)),"",VLOOKUP($R193&amp;AG$2,$K$3:$N$4001,4,0))</f>
        <v>0.2</v>
      </c>
      <c r="AI193" s="108">
        <f>IF(ISNA(VLOOKUP($R193&amp;AI$2,$K$3:$N$4001,3,0)),"",VLOOKUP($R193&amp;AI$2,$K$3:$N$4001,3,0))</f>
        <v>41404</v>
      </c>
      <c r="AJ193" s="109">
        <f>IF(ISNA(VLOOKUP($R193&amp;AI$2,$K$3:$N$4001,4,0)),"",VLOOKUP($R193&amp;AI$2,$K$3:$N$4001,4,0))</f>
        <v>0.1</v>
      </c>
      <c r="AK193" s="108">
        <f>IF(ISNA(VLOOKUP($R193&amp;AK$2,$K$3:$N$4001,3,0)),"",VLOOKUP($R193&amp;AK$2,$K$3:$N$4001,3,0))</f>
        <v>41598</v>
      </c>
      <c r="AL193" s="109">
        <f>IF(ISNA(VLOOKUP($R193&amp;AK$2,$K$3:$N$4001,4,0)),"",VLOOKUP($R193&amp;AK$2,$K$3:$N$4001,4,0))</f>
        <v>0.21</v>
      </c>
    </row>
    <row r="194" spans="3:38" x14ac:dyDescent="0.2">
      <c r="C194" s="96" t="str">
        <f t="shared" si="8"/>
        <v>ASX4</v>
      </c>
      <c r="D194" s="73" t="s">
        <v>83</v>
      </c>
      <c r="E194" s="100">
        <v>40417</v>
      </c>
      <c r="F194" s="101">
        <v>1.016</v>
      </c>
      <c r="G194" s="96">
        <f t="shared" si="9"/>
        <v>4</v>
      </c>
      <c r="I194" s="96"/>
      <c r="K194" t="str">
        <f t="shared" si="10"/>
        <v>ASX4</v>
      </c>
      <c r="L194" s="73" t="s">
        <v>83</v>
      </c>
      <c r="M194" s="72">
        <v>40417</v>
      </c>
      <c r="N194" s="84">
        <v>1.016</v>
      </c>
      <c r="O194" s="96">
        <f t="shared" si="11"/>
        <v>4</v>
      </c>
      <c r="P194" s="73"/>
      <c r="Q194" s="96"/>
      <c r="R194" s="96" t="s">
        <v>150</v>
      </c>
      <c r="S194" s="106">
        <f>IF(ISNA(VLOOKUP($R194&amp;S$2,$C$3:$F$4001,3,0)),"",VLOOKUP($R194&amp;S$2,$C$3:$F$4001,3,0))</f>
        <v>39875</v>
      </c>
      <c r="T194" s="107">
        <f>IF(ISNA(VLOOKUP($R194&amp;S$2,$C$3:$F$4001,4,0)),"",VLOOKUP($R194&amp;S$2,$C$3:$F$4001,4,0))</f>
        <v>0.01</v>
      </c>
      <c r="U194" s="106">
        <f>IF(ISNA(VLOOKUP($R194&amp;U$2,$C$3:$F$4001,3,0)),"",VLOOKUP($R194&amp;U$2,$C$3:$F$4001,3,0))</f>
        <v>40058</v>
      </c>
      <c r="V194" s="107">
        <f>IF(ISNA(VLOOKUP($R194&amp;U$2,$C$3:$F$4001,4,0)),"",VLOOKUP($R194&amp;U$2,$C$3:$F$4001,4,0))</f>
        <v>0.01</v>
      </c>
      <c r="W194" s="106">
        <f>IF(ISNA(VLOOKUP($R194&amp;W$2,$C$3:$F$4001,3,0)),"",VLOOKUP($R194&amp;W$2,$C$3:$F$4001,3,0))</f>
        <v>40241</v>
      </c>
      <c r="X194" s="107">
        <f>IF(ISNA(VLOOKUP($R194&amp;W$2,$C$3:$F$4001,4,0)),"",VLOOKUP($R194&amp;W$2,$C$3:$F$4001,4,0))</f>
        <v>0.01</v>
      </c>
      <c r="Y194" s="106">
        <f>IF(ISNA(VLOOKUP($R194&amp;Y$2,$C$3:$F$4001,3,0)),"",VLOOKUP($R194&amp;Y$2,$C$3:$F$4001,3,0))</f>
        <v>40423</v>
      </c>
      <c r="Z194" s="107">
        <f>IF(ISNA(VLOOKUP($R194&amp;Y$2,$C$3:$F$4001,4,0)),"",VLOOKUP($R194&amp;Y$2,$C$3:$F$4001,4,0))</f>
        <v>0.01</v>
      </c>
      <c r="AA194" s="106">
        <f>IF(ISNA(VLOOKUP($R194&amp;AA$2,$C$3:$F$4001,3,0)),"",VLOOKUP($R194&amp;AA$2,$C$3:$F$4001,3,0))</f>
        <v>40606</v>
      </c>
      <c r="AB194" s="107">
        <f>IF(ISNA(VLOOKUP($R194&amp;AA$2,$C$3:$F$4001,4,0)),"",VLOOKUP($R194&amp;AA$2,$C$3:$F$4001,4,0))</f>
        <v>1.2E-2</v>
      </c>
      <c r="AC194" s="106">
        <f>IF(ISNA(VLOOKUP($R194&amp;AC$2,$C$3:$F$4001,3,0)),"",VLOOKUP($R194&amp;AC$2,$C$3:$F$4001,3,0))</f>
        <v>40788</v>
      </c>
      <c r="AD194" s="107">
        <f>IF(ISNA(VLOOKUP($R194&amp;AC$2,$C$3:$F$4001,4,0)),"",VLOOKUP($R194&amp;AC$2,$C$3:$F$4001,4,0))</f>
        <v>1.2E-2</v>
      </c>
      <c r="AE194" s="106">
        <f>IF(ISNA(VLOOKUP($R194&amp;AE$2,$C$3:$F$4001,3,0)),"",VLOOKUP($R194&amp;AE$2,$C$3:$F$4001,3,0))</f>
        <v>40974</v>
      </c>
      <c r="AF194" s="107">
        <f>IF(ISNA(VLOOKUP($R194&amp;AE$2,$C$3:$F$4001,4,0)),"",VLOOKUP($R194&amp;AE$2,$C$3:$F$4001,4,0))</f>
        <v>1.2E-2</v>
      </c>
      <c r="AG194" s="106">
        <f>IF(ISNA(VLOOKUP($R194&amp;AG$2,$C$3:$F$4001,3,0)),"",VLOOKUP($R194&amp;AG$2,$C$3:$F$4001,3,0))</f>
        <v>41156</v>
      </c>
      <c r="AH194" s="107">
        <f>IF(ISNA(VLOOKUP($R194&amp;AG$2,$C$3:$F$4001,4,0)),"",VLOOKUP($R194&amp;AG$2,$C$3:$F$4001,4,0))</f>
        <v>1.2E-2</v>
      </c>
      <c r="AI194" s="106">
        <f>IF(ISNA(VLOOKUP($R194&amp;AI$2,$C$3:$F$4001,3,0)),"",VLOOKUP($R194&amp;AI$2,$C$3:$F$4001,3,0))</f>
        <v>41339</v>
      </c>
      <c r="AJ194" s="107">
        <f>IF(ISNA(VLOOKUP($R194&amp;AI$2,$C$3:$F$4001,4,0)),"",VLOOKUP($R194&amp;AI$2,$C$3:$F$4001,4,0))</f>
        <v>1.4999999999999999E-2</v>
      </c>
      <c r="AK194" s="106">
        <f>IF(ISNA(VLOOKUP($R194&amp;AK$2,$C$3:$F$4001,3,0)),"",VLOOKUP($R194&amp;AK$2,$C$3:$F$4001,3,0))</f>
        <v>41521</v>
      </c>
      <c r="AL194" s="107">
        <f>IF(ISNA(VLOOKUP($R194&amp;AK$2,$C$3:$F$4001,4,0)),"",VLOOKUP($R194&amp;AK$2,$C$3:$F$4001,4,0))</f>
        <v>1.4999999999999999E-2</v>
      </c>
    </row>
    <row r="195" spans="3:38" x14ac:dyDescent="0.2">
      <c r="C195" s="96" t="str">
        <f t="shared" ref="C195:C258" si="12">D195&amp;G195</f>
        <v>ASX5</v>
      </c>
      <c r="D195" s="73" t="s">
        <v>83</v>
      </c>
      <c r="E195" s="100">
        <v>40598</v>
      </c>
      <c r="F195" s="101">
        <v>0.94700000000000006</v>
      </c>
      <c r="G195" s="96">
        <f t="shared" ref="G195:G258" si="13">IF(D195&lt;&gt;D194,1,G194+1)</f>
        <v>5</v>
      </c>
      <c r="I195" s="96"/>
      <c r="K195" t="str">
        <f t="shared" ref="K195:K258" si="14">L195&amp;O195</f>
        <v>ASX5</v>
      </c>
      <c r="L195" s="73" t="s">
        <v>83</v>
      </c>
      <c r="M195" s="72">
        <v>40598</v>
      </c>
      <c r="N195" s="84">
        <v>0.94700000000000006</v>
      </c>
      <c r="O195" s="96">
        <f t="shared" ref="O195:O258" si="15">IF(L195&lt;&gt;L194,1,O194+1)</f>
        <v>5</v>
      </c>
      <c r="P195" s="73"/>
      <c r="Q195" s="96"/>
      <c r="R195" s="96" t="str">
        <f>R194</f>
        <v>IGO</v>
      </c>
      <c r="S195" s="108">
        <f>IF(ISNA(VLOOKUP($R195&amp;S$2,$K$3:$N$4001,3,0)),"",VLOOKUP($R195&amp;S$2,$K$3:$N$4001,3,0))</f>
        <v>39875</v>
      </c>
      <c r="T195" s="109">
        <f>IF(ISNA(VLOOKUP($R195&amp;S$2,$K$3:$N$4001,4,0)),"",VLOOKUP($R195&amp;S$2,$K$3:$N$4001,4,0))</f>
        <v>0.01</v>
      </c>
      <c r="U195" s="108">
        <f>IF(ISNA(VLOOKUP($R195&amp;U$2,$K$3:$N$4001,3,0)),"",VLOOKUP($R195&amp;U$2,$K$3:$N$4001,3,0))</f>
        <v>40058</v>
      </c>
      <c r="V195" s="109">
        <f>IF(ISNA(VLOOKUP($R195&amp;U$2,$K$3:$N$4001,4,0)),"",VLOOKUP($R195&amp;U$2,$K$3:$N$4001,4,0))</f>
        <v>0.01</v>
      </c>
      <c r="W195" s="108">
        <f>IF(ISNA(VLOOKUP($R195&amp;W$2,$K$3:$N$4001,3,0)),"",VLOOKUP($R195&amp;W$2,$K$3:$N$4001,3,0))</f>
        <v>40241</v>
      </c>
      <c r="X195" s="109">
        <f>IF(ISNA(VLOOKUP($R195&amp;W$2,$K$3:$N$4001,4,0)),"",VLOOKUP($R195&amp;W$2,$K$3:$N$4001,4,0))</f>
        <v>0.01</v>
      </c>
      <c r="Y195" s="108">
        <f>IF(ISNA(VLOOKUP($R195&amp;Y$2,$K$3:$N$4001,3,0)),"",VLOOKUP($R195&amp;Y$2,$K$3:$N$4001,3,0))</f>
        <v>40423</v>
      </c>
      <c r="Z195" s="109">
        <f>IF(ISNA(VLOOKUP($R195&amp;Y$2,$K$3:$N$4001,4,0)),"",VLOOKUP($R195&amp;Y$2,$K$3:$N$4001,4,0))</f>
        <v>0.01</v>
      </c>
      <c r="AA195" s="108">
        <f>IF(ISNA(VLOOKUP($R195&amp;AA$2,$K$3:$N$4001,3,0)),"",VLOOKUP($R195&amp;AA$2,$K$3:$N$4001,3,0))</f>
        <v>40606</v>
      </c>
      <c r="AB195" s="109">
        <f>IF(ISNA(VLOOKUP($R195&amp;AA$2,$K$3:$N$4001,4,0)),"",VLOOKUP($R195&amp;AA$2,$K$3:$N$4001,4,0))</f>
        <v>1.2E-2</v>
      </c>
      <c r="AC195" s="108">
        <f>IF(ISNA(VLOOKUP($R195&amp;AC$2,$K$3:$N$4001,3,0)),"",VLOOKUP($R195&amp;AC$2,$K$3:$N$4001,3,0))</f>
        <v>40788</v>
      </c>
      <c r="AD195" s="109">
        <f>IF(ISNA(VLOOKUP($R195&amp;AC$2,$K$3:$N$4001,4,0)),"",VLOOKUP($R195&amp;AC$2,$K$3:$N$4001,4,0))</f>
        <v>1.2E-2</v>
      </c>
      <c r="AE195" s="108">
        <f>IF(ISNA(VLOOKUP($R195&amp;AE$2,$K$3:$N$4001,3,0)),"",VLOOKUP($R195&amp;AE$2,$K$3:$N$4001,3,0))</f>
        <v>40974</v>
      </c>
      <c r="AF195" s="109">
        <f>IF(ISNA(VLOOKUP($R195&amp;AE$2,$K$3:$N$4001,4,0)),"",VLOOKUP($R195&amp;AE$2,$K$3:$N$4001,4,0))</f>
        <v>1.2E-2</v>
      </c>
      <c r="AG195" s="108">
        <f>IF(ISNA(VLOOKUP($R195&amp;AG$2,$K$3:$N$4001,3,0)),"",VLOOKUP($R195&amp;AG$2,$K$3:$N$4001,3,0))</f>
        <v>41156</v>
      </c>
      <c r="AH195" s="109">
        <f>IF(ISNA(VLOOKUP($R195&amp;AG$2,$K$3:$N$4001,4,0)),"",VLOOKUP($R195&amp;AG$2,$K$3:$N$4001,4,0))</f>
        <v>1.2E-2</v>
      </c>
      <c r="AI195" s="108">
        <f>IF(ISNA(VLOOKUP($R195&amp;AI$2,$K$3:$N$4001,3,0)),"",VLOOKUP($R195&amp;AI$2,$K$3:$N$4001,3,0))</f>
        <v>41339</v>
      </c>
      <c r="AJ195" s="109">
        <f>IF(ISNA(VLOOKUP($R195&amp;AI$2,$K$3:$N$4001,4,0)),"",VLOOKUP($R195&amp;AI$2,$K$3:$N$4001,4,0))</f>
        <v>1.4999999999999999E-2</v>
      </c>
      <c r="AK195" s="108">
        <f>IF(ISNA(VLOOKUP($R195&amp;AK$2,$K$3:$N$4001,3,0)),"",VLOOKUP($R195&amp;AK$2,$K$3:$N$4001,3,0))</f>
        <v>41521</v>
      </c>
      <c r="AL195" s="109">
        <f>IF(ISNA(VLOOKUP($R195&amp;AK$2,$K$3:$N$4001,4,0)),"",VLOOKUP($R195&amp;AK$2,$K$3:$N$4001,4,0))</f>
        <v>1.4999999999999999E-2</v>
      </c>
    </row>
    <row r="196" spans="3:38" x14ac:dyDescent="0.2">
      <c r="C196" s="96" t="str">
        <f t="shared" si="12"/>
        <v>ASX6</v>
      </c>
      <c r="D196" s="73" t="s">
        <v>83</v>
      </c>
      <c r="E196" s="100">
        <v>40784</v>
      </c>
      <c r="F196" s="101">
        <v>1.0900000000000001</v>
      </c>
      <c r="G196" s="96">
        <f t="shared" si="13"/>
        <v>6</v>
      </c>
      <c r="I196" s="96"/>
      <c r="K196" t="str">
        <f t="shared" si="14"/>
        <v>ASX6</v>
      </c>
      <c r="L196" s="73" t="s">
        <v>83</v>
      </c>
      <c r="M196" s="72">
        <v>40784</v>
      </c>
      <c r="N196" s="84">
        <v>1.0900000000000001</v>
      </c>
      <c r="O196" s="96">
        <f t="shared" si="15"/>
        <v>6</v>
      </c>
      <c r="P196" s="73"/>
      <c r="Q196" s="96"/>
      <c r="R196" s="96" t="s">
        <v>151</v>
      </c>
      <c r="S196" s="106">
        <f>IF(ISNA(VLOOKUP($R196&amp;S$2,$C$3:$F$4001,3,0)),"",VLOOKUP($R196&amp;S$2,$C$3:$F$4001,3,0))</f>
        <v>39897</v>
      </c>
      <c r="T196" s="107">
        <f>IF(ISNA(VLOOKUP($R196&amp;S$2,$C$3:$F$4001,4,0)),"",VLOOKUP($R196&amp;S$2,$C$3:$F$4001,4,0))</f>
        <v>0.01</v>
      </c>
      <c r="U196" s="106">
        <f>IF(ISNA(VLOOKUP($R196&amp;U$2,$C$3:$F$4001,3,0)),"",VLOOKUP($R196&amp;U$2,$C$3:$F$4001,3,0))</f>
        <v>39988</v>
      </c>
      <c r="V196" s="107">
        <f>IF(ISNA(VLOOKUP($R196&amp;U$2,$C$3:$F$4001,4,0)),"",VLOOKUP($R196&amp;U$2,$C$3:$F$4001,4,0))</f>
        <v>0.01</v>
      </c>
      <c r="W196" s="106">
        <f>IF(ISNA(VLOOKUP($R196&amp;W$2,$C$3:$F$4001,3,0)),"",VLOOKUP($R196&amp;W$2,$C$3:$F$4001,3,0))</f>
        <v>40080</v>
      </c>
      <c r="X196" s="107">
        <f>IF(ISNA(VLOOKUP($R196&amp;W$2,$C$3:$F$4001,4,0)),"",VLOOKUP($R196&amp;W$2,$C$3:$F$4001,4,0))</f>
        <v>0.01</v>
      </c>
      <c r="Y196" s="106">
        <f>IF(ISNA(VLOOKUP($R196&amp;Y$2,$C$3:$F$4001,3,0)),"",VLOOKUP($R196&amp;Y$2,$C$3:$F$4001,3,0))</f>
        <v>40170</v>
      </c>
      <c r="Z196" s="107">
        <f>IF(ISNA(VLOOKUP($R196&amp;Y$2,$C$3:$F$4001,4,0)),"",VLOOKUP($R196&amp;Y$2,$C$3:$F$4001,4,0))</f>
        <v>0.01</v>
      </c>
      <c r="AA196" s="106">
        <f>IF(ISNA(VLOOKUP($R196&amp;AA$2,$C$3:$F$4001,3,0)),"",VLOOKUP($R196&amp;AA$2,$C$3:$F$4001,3,0))</f>
        <v>40262</v>
      </c>
      <c r="AB196" s="107">
        <f>IF(ISNA(VLOOKUP($R196&amp;AA$2,$C$3:$F$4001,4,0)),"",VLOOKUP($R196&amp;AA$2,$C$3:$F$4001,4,0))</f>
        <v>1.4999999999999999E-2</v>
      </c>
      <c r="AC196" s="106">
        <f>IF(ISNA(VLOOKUP($R196&amp;AC$2,$C$3:$F$4001,3,0)),"",VLOOKUP($R196&amp;AC$2,$C$3:$F$4001,3,0))</f>
        <v>40353</v>
      </c>
      <c r="AD196" s="107">
        <f>IF(ISNA(VLOOKUP($R196&amp;AC$2,$C$3:$F$4001,4,0)),"",VLOOKUP($R196&amp;AC$2,$C$3:$F$4001,4,0))</f>
        <v>1.4999999999999999E-2</v>
      </c>
      <c r="AE196" s="106">
        <f>IF(ISNA(VLOOKUP($R196&amp;AE$2,$C$3:$F$4001,3,0)),"",VLOOKUP($R196&amp;AE$2,$C$3:$F$4001,3,0))</f>
        <v>40445</v>
      </c>
      <c r="AF196" s="107">
        <f>IF(ISNA(VLOOKUP($R196&amp;AE$2,$C$3:$F$4001,4,0)),"",VLOOKUP($R196&amp;AE$2,$C$3:$F$4001,4,0))</f>
        <v>1.4999999999999999E-2</v>
      </c>
      <c r="AG196" s="106">
        <f>IF(ISNA(VLOOKUP($R196&amp;AG$2,$C$3:$F$4001,3,0)),"",VLOOKUP($R196&amp;AG$2,$C$3:$F$4001,3,0))</f>
        <v>40535</v>
      </c>
      <c r="AH196" s="107">
        <f>IF(ISNA(VLOOKUP($R196&amp;AG$2,$C$3:$F$4001,4,0)),"",VLOOKUP($R196&amp;AG$2,$C$3:$F$4001,4,0))</f>
        <v>1.4999999999999999E-2</v>
      </c>
      <c r="AI196" s="106">
        <f>IF(ISNA(VLOOKUP($R196&amp;AI$2,$C$3:$F$4001,3,0)),"",VLOOKUP($R196&amp;AI$2,$C$3:$F$4001,3,0))</f>
        <v>40627</v>
      </c>
      <c r="AJ196" s="107">
        <f>IF(ISNA(VLOOKUP($R196&amp;AI$2,$C$3:$F$4001,4,0)),"",VLOOKUP($R196&amp;AI$2,$C$3:$F$4001,4,0))</f>
        <v>0.02</v>
      </c>
      <c r="AK196" s="106">
        <f>IF(ISNA(VLOOKUP($R196&amp;AK$2,$C$3:$F$4001,3,0)),"",VLOOKUP($R196&amp;AK$2,$C$3:$F$4001,3,0))</f>
        <v>40718</v>
      </c>
      <c r="AL196" s="107">
        <f>IF(ISNA(VLOOKUP($R196&amp;AK$2,$C$3:$F$4001,4,0)),"",VLOOKUP($R196&amp;AK$2,$C$3:$F$4001,4,0))</f>
        <v>0.02</v>
      </c>
    </row>
    <row r="197" spans="3:38" x14ac:dyDescent="0.2">
      <c r="C197" s="96" t="str">
        <f t="shared" si="12"/>
        <v>ASX7</v>
      </c>
      <c r="D197" s="73" t="s">
        <v>83</v>
      </c>
      <c r="E197" s="100">
        <v>40962</v>
      </c>
      <c r="F197" s="101">
        <v>1.0680000000000001</v>
      </c>
      <c r="G197" s="96">
        <f t="shared" si="13"/>
        <v>7</v>
      </c>
      <c r="I197" s="96"/>
      <c r="K197" t="str">
        <f t="shared" si="14"/>
        <v>ASX7</v>
      </c>
      <c r="L197" s="73" t="s">
        <v>83</v>
      </c>
      <c r="M197" s="72">
        <v>40962</v>
      </c>
      <c r="N197" s="84">
        <v>1.0680000000000001</v>
      </c>
      <c r="O197" s="96">
        <f t="shared" si="15"/>
        <v>7</v>
      </c>
      <c r="P197" s="73"/>
      <c r="Q197" s="96"/>
      <c r="R197" s="96" t="str">
        <f>R196</f>
        <v>IIF</v>
      </c>
      <c r="S197" s="108">
        <f>IF(ISNA(VLOOKUP($R197&amp;S$2,$K$3:$N$4001,3,0)),"",VLOOKUP($R197&amp;S$2,$K$3:$N$4001,3,0))</f>
        <v>39897</v>
      </c>
      <c r="T197" s="109">
        <f>IF(ISNA(VLOOKUP($R197&amp;S$2,$K$3:$N$4001,4,0)),"",VLOOKUP($R197&amp;S$2,$K$3:$N$4001,4,0))</f>
        <v>0.01</v>
      </c>
      <c r="U197" s="108">
        <f>IF(ISNA(VLOOKUP($R197&amp;U$2,$K$3:$N$4001,3,0)),"",VLOOKUP($R197&amp;U$2,$K$3:$N$4001,3,0))</f>
        <v>39988</v>
      </c>
      <c r="V197" s="109">
        <f>IF(ISNA(VLOOKUP($R197&amp;U$2,$K$3:$N$4001,4,0)),"",VLOOKUP($R197&amp;U$2,$K$3:$N$4001,4,0))</f>
        <v>0.01</v>
      </c>
      <c r="W197" s="108">
        <f>IF(ISNA(VLOOKUP($R197&amp;W$2,$K$3:$N$4001,3,0)),"",VLOOKUP($R197&amp;W$2,$K$3:$N$4001,3,0))</f>
        <v>40080</v>
      </c>
      <c r="X197" s="109">
        <f>IF(ISNA(VLOOKUP($R197&amp;W$2,$K$3:$N$4001,4,0)),"",VLOOKUP($R197&amp;W$2,$K$3:$N$4001,4,0))</f>
        <v>0.01</v>
      </c>
      <c r="Y197" s="108">
        <f>IF(ISNA(VLOOKUP($R197&amp;Y$2,$K$3:$N$4001,3,0)),"",VLOOKUP($R197&amp;Y$2,$K$3:$N$4001,3,0))</f>
        <v>40170</v>
      </c>
      <c r="Z197" s="109">
        <f>IF(ISNA(VLOOKUP($R197&amp;Y$2,$K$3:$N$4001,4,0)),"",VLOOKUP($R197&amp;Y$2,$K$3:$N$4001,4,0))</f>
        <v>0.01</v>
      </c>
      <c r="AA197" s="108">
        <f>IF(ISNA(VLOOKUP($R197&amp;AA$2,$K$3:$N$4001,3,0)),"",VLOOKUP($R197&amp;AA$2,$K$3:$N$4001,3,0))</f>
        <v>40262</v>
      </c>
      <c r="AB197" s="109">
        <f>IF(ISNA(VLOOKUP($R197&amp;AA$2,$K$3:$N$4001,4,0)),"",VLOOKUP($R197&amp;AA$2,$K$3:$N$4001,4,0))</f>
        <v>1.4999999999999999E-2</v>
      </c>
      <c r="AC197" s="108">
        <f>IF(ISNA(VLOOKUP($R197&amp;AC$2,$K$3:$N$4001,3,0)),"",VLOOKUP($R197&amp;AC$2,$K$3:$N$4001,3,0))</f>
        <v>40353</v>
      </c>
      <c r="AD197" s="109">
        <f>IF(ISNA(VLOOKUP($R197&amp;AC$2,$K$3:$N$4001,4,0)),"",VLOOKUP($R197&amp;AC$2,$K$3:$N$4001,4,0))</f>
        <v>1.4999999999999999E-2</v>
      </c>
      <c r="AE197" s="108">
        <f>IF(ISNA(VLOOKUP($R197&amp;AE$2,$K$3:$N$4001,3,0)),"",VLOOKUP($R197&amp;AE$2,$K$3:$N$4001,3,0))</f>
        <v>40445</v>
      </c>
      <c r="AF197" s="109">
        <f>IF(ISNA(VLOOKUP($R197&amp;AE$2,$K$3:$N$4001,4,0)),"",VLOOKUP($R197&amp;AE$2,$K$3:$N$4001,4,0))</f>
        <v>1.4999999999999999E-2</v>
      </c>
      <c r="AG197" s="108">
        <f>IF(ISNA(VLOOKUP($R197&amp;AG$2,$K$3:$N$4001,3,0)),"",VLOOKUP($R197&amp;AG$2,$K$3:$N$4001,3,0))</f>
        <v>40535</v>
      </c>
      <c r="AH197" s="109">
        <f>IF(ISNA(VLOOKUP($R197&amp;AG$2,$K$3:$N$4001,4,0)),"",VLOOKUP($R197&amp;AG$2,$K$3:$N$4001,4,0))</f>
        <v>1.4999999999999999E-2</v>
      </c>
      <c r="AI197" s="108">
        <f>IF(ISNA(VLOOKUP($R197&amp;AI$2,$K$3:$N$4001,3,0)),"",VLOOKUP($R197&amp;AI$2,$K$3:$N$4001,3,0))</f>
        <v>40627</v>
      </c>
      <c r="AJ197" s="109">
        <f>IF(ISNA(VLOOKUP($R197&amp;AI$2,$K$3:$N$4001,4,0)),"",VLOOKUP($R197&amp;AI$2,$K$3:$N$4001,4,0))</f>
        <v>0.02</v>
      </c>
      <c r="AK197" s="108">
        <f>IF(ISNA(VLOOKUP($R197&amp;AK$2,$K$3:$N$4001,3,0)),"",VLOOKUP($R197&amp;AK$2,$K$3:$N$4001,3,0))</f>
        <v>40718</v>
      </c>
      <c r="AL197" s="109">
        <f>IF(ISNA(VLOOKUP($R197&amp;AK$2,$K$3:$N$4001,4,0)),"",VLOOKUP($R197&amp;AK$2,$K$3:$N$4001,4,0))</f>
        <v>0.02</v>
      </c>
    </row>
    <row r="198" spans="3:38" x14ac:dyDescent="0.2">
      <c r="C198" s="96" t="str">
        <f t="shared" si="12"/>
        <v>ASX8</v>
      </c>
      <c r="D198" s="73" t="s">
        <v>83</v>
      </c>
      <c r="E198" s="100">
        <v>41148</v>
      </c>
      <c r="F198" s="101">
        <v>1.228</v>
      </c>
      <c r="G198" s="96">
        <f t="shared" si="13"/>
        <v>8</v>
      </c>
      <c r="I198" s="96"/>
      <c r="K198" t="str">
        <f t="shared" si="14"/>
        <v>ASX8</v>
      </c>
      <c r="L198" s="73" t="s">
        <v>83</v>
      </c>
      <c r="M198" s="72">
        <v>41148</v>
      </c>
      <c r="N198" s="84">
        <v>1.228</v>
      </c>
      <c r="O198" s="96">
        <f t="shared" si="15"/>
        <v>8</v>
      </c>
      <c r="P198" s="73"/>
      <c r="Q198" s="96"/>
      <c r="R198" s="96" t="s">
        <v>153</v>
      </c>
      <c r="S198" s="106">
        <f>IF(ISNA(VLOOKUP($R198&amp;S$2,$C$3:$F$4001,3,0)),"",VLOOKUP($R198&amp;S$2,$C$3:$F$4001,3,0))</f>
        <v>39897</v>
      </c>
      <c r="T198" s="107">
        <f>IF(ISNA(VLOOKUP($R198&amp;S$2,$C$3:$F$4001,4,0)),"",VLOOKUP($R198&amp;S$2,$C$3:$F$4001,4,0))</f>
        <v>2.12E-2</v>
      </c>
      <c r="U198" s="106">
        <f>IF(ISNA(VLOOKUP($R198&amp;U$2,$C$3:$F$4001,3,0)),"",VLOOKUP($R198&amp;U$2,$C$3:$F$4001,3,0))</f>
        <v>39988</v>
      </c>
      <c r="V198" s="107">
        <f>IF(ISNA(VLOOKUP($R198&amp;U$2,$C$3:$F$4001,4,0)),"",VLOOKUP($R198&amp;U$2,$C$3:$F$4001,4,0))</f>
        <v>2.12E-2</v>
      </c>
      <c r="W198" s="106">
        <f>IF(ISNA(VLOOKUP($R198&amp;W$2,$C$3:$F$4001,3,0)),"",VLOOKUP($R198&amp;W$2,$C$3:$F$4001,3,0))</f>
        <v>40080</v>
      </c>
      <c r="X198" s="107">
        <f>IF(ISNA(VLOOKUP($R198&amp;W$2,$C$3:$F$4001,4,0)),"",VLOOKUP($R198&amp;W$2,$C$3:$F$4001,4,0))</f>
        <v>2.1700000000000001E-2</v>
      </c>
      <c r="Y198" s="106">
        <f>IF(ISNA(VLOOKUP($R198&amp;Y$2,$C$3:$F$4001,3,0)),"",VLOOKUP($R198&amp;Y$2,$C$3:$F$4001,3,0))</f>
        <v>40170</v>
      </c>
      <c r="Z198" s="107">
        <f>IF(ISNA(VLOOKUP($R198&amp;Y$2,$C$3:$F$4001,4,0)),"",VLOOKUP($R198&amp;Y$2,$C$3:$F$4001,4,0))</f>
        <v>2.1700000000000001E-2</v>
      </c>
      <c r="AA198" s="106">
        <f>IF(ISNA(VLOOKUP($R198&amp;AA$2,$C$3:$F$4001,3,0)),"",VLOOKUP($R198&amp;AA$2,$C$3:$F$4001,3,0))</f>
        <v>40262</v>
      </c>
      <c r="AB198" s="107">
        <f>IF(ISNA(VLOOKUP($R198&amp;AA$2,$C$3:$F$4001,4,0)),"",VLOOKUP($R198&amp;AA$2,$C$3:$F$4001,4,0))</f>
        <v>2.1700000000000001E-2</v>
      </c>
      <c r="AC198" s="106">
        <f>IF(ISNA(VLOOKUP($R198&amp;AC$2,$C$3:$F$4001,3,0)),"",VLOOKUP($R198&amp;AC$2,$C$3:$F$4001,3,0))</f>
        <v>40353</v>
      </c>
      <c r="AD198" s="107">
        <f>IF(ISNA(VLOOKUP($R198&amp;AC$2,$C$3:$F$4001,4,0)),"",VLOOKUP($R198&amp;AC$2,$C$3:$F$4001,4,0))</f>
        <v>2.1899999999999999E-2</v>
      </c>
      <c r="AE198" s="106">
        <f>IF(ISNA(VLOOKUP($R198&amp;AE$2,$C$3:$F$4001,3,0)),"",VLOOKUP($R198&amp;AE$2,$C$3:$F$4001,3,0))</f>
        <v>40445</v>
      </c>
      <c r="AF198" s="107">
        <f>IF(ISNA(VLOOKUP($R198&amp;AE$2,$C$3:$F$4001,4,0)),"",VLOOKUP($R198&amp;AE$2,$C$3:$F$4001,4,0))</f>
        <v>2.1899999999999999E-2</v>
      </c>
      <c r="AG198" s="106">
        <f>IF(ISNA(VLOOKUP($R198&amp;AG$2,$C$3:$F$4001,3,0)),"",VLOOKUP($R198&amp;AG$2,$C$3:$F$4001,3,0))</f>
        <v>40535</v>
      </c>
      <c r="AH198" s="107">
        <f>IF(ISNA(VLOOKUP($R198&amp;AG$2,$C$3:$F$4001,4,0)),"",VLOOKUP($R198&amp;AG$2,$C$3:$F$4001,4,0))</f>
        <v>2.1899999999999999E-2</v>
      </c>
      <c r="AI198" s="106">
        <f>IF(ISNA(VLOOKUP($R198&amp;AI$2,$C$3:$F$4001,3,0)),"",VLOOKUP($R198&amp;AI$2,$C$3:$F$4001,3,0))</f>
        <v>40627</v>
      </c>
      <c r="AJ198" s="107">
        <f>IF(ISNA(VLOOKUP($R198&amp;AI$2,$C$3:$F$4001,4,0)),"",VLOOKUP($R198&amp;AI$2,$C$3:$F$4001,4,0))</f>
        <v>2.1899999999999999E-2</v>
      </c>
      <c r="AK198" s="106">
        <f>IF(ISNA(VLOOKUP($R198&amp;AK$2,$C$3:$F$4001,3,0)),"",VLOOKUP($R198&amp;AK$2,$C$3:$F$4001,3,0))</f>
        <v>40718</v>
      </c>
      <c r="AL198" s="107">
        <f>IF(ISNA(VLOOKUP($R198&amp;AK$2,$C$3:$F$4001,4,0)),"",VLOOKUP($R198&amp;AK$2,$C$3:$F$4001,4,0))</f>
        <v>2.23E-2</v>
      </c>
    </row>
    <row r="199" spans="3:38" x14ac:dyDescent="0.2">
      <c r="C199" s="96" t="str">
        <f t="shared" si="12"/>
        <v>ASX9</v>
      </c>
      <c r="D199" s="73" t="s">
        <v>83</v>
      </c>
      <c r="E199" s="100">
        <v>41327</v>
      </c>
      <c r="F199" s="101">
        <v>1.1619999999999999</v>
      </c>
      <c r="G199" s="96">
        <f t="shared" si="13"/>
        <v>9</v>
      </c>
      <c r="I199" s="96"/>
      <c r="K199" t="str">
        <f t="shared" si="14"/>
        <v>ASX9</v>
      </c>
      <c r="L199" s="73" t="s">
        <v>83</v>
      </c>
      <c r="M199" s="72">
        <v>41327</v>
      </c>
      <c r="N199" s="84">
        <v>1.1619999999999999</v>
      </c>
      <c r="O199" s="96">
        <f t="shared" si="15"/>
        <v>9</v>
      </c>
      <c r="P199" s="73"/>
      <c r="Q199" s="96"/>
      <c r="R199" s="96" t="str">
        <f>R198</f>
        <v>IOF</v>
      </c>
      <c r="S199" s="108">
        <f>IF(ISNA(VLOOKUP($R199&amp;S$2,$K$3:$N$4001,3,0)),"",VLOOKUP($R199&amp;S$2,$K$3:$N$4001,3,0))</f>
        <v>39897</v>
      </c>
      <c r="T199" s="109">
        <f>IF(ISNA(VLOOKUP($R199&amp;S$2,$K$3:$N$4001,4,0)),"",VLOOKUP($R199&amp;S$2,$K$3:$N$4001,4,0))</f>
        <v>2.12E-2</v>
      </c>
      <c r="U199" s="108">
        <f>IF(ISNA(VLOOKUP($R199&amp;U$2,$K$3:$N$4001,3,0)),"",VLOOKUP($R199&amp;U$2,$K$3:$N$4001,3,0))</f>
        <v>39988</v>
      </c>
      <c r="V199" s="109">
        <f>IF(ISNA(VLOOKUP($R199&amp;U$2,$K$3:$N$4001,4,0)),"",VLOOKUP($R199&amp;U$2,$K$3:$N$4001,4,0))</f>
        <v>2.12E-2</v>
      </c>
      <c r="W199" s="108">
        <f>IF(ISNA(VLOOKUP($R199&amp;W$2,$K$3:$N$4001,3,0)),"",VLOOKUP($R199&amp;W$2,$K$3:$N$4001,3,0))</f>
        <v>40080</v>
      </c>
      <c r="X199" s="109">
        <f>IF(ISNA(VLOOKUP($R199&amp;W$2,$K$3:$N$4001,4,0)),"",VLOOKUP($R199&amp;W$2,$K$3:$N$4001,4,0))</f>
        <v>2.1700000000000001E-2</v>
      </c>
      <c r="Y199" s="108">
        <f>IF(ISNA(VLOOKUP($R199&amp;Y$2,$K$3:$N$4001,3,0)),"",VLOOKUP($R199&amp;Y$2,$K$3:$N$4001,3,0))</f>
        <v>40170</v>
      </c>
      <c r="Z199" s="109">
        <f>IF(ISNA(VLOOKUP($R199&amp;Y$2,$K$3:$N$4001,4,0)),"",VLOOKUP($R199&amp;Y$2,$K$3:$N$4001,4,0))</f>
        <v>2.1700000000000001E-2</v>
      </c>
      <c r="AA199" s="108">
        <f>IF(ISNA(VLOOKUP($R199&amp;AA$2,$K$3:$N$4001,3,0)),"",VLOOKUP($R199&amp;AA$2,$K$3:$N$4001,3,0))</f>
        <v>40262</v>
      </c>
      <c r="AB199" s="109">
        <f>IF(ISNA(VLOOKUP($R199&amp;AA$2,$K$3:$N$4001,4,0)),"",VLOOKUP($R199&amp;AA$2,$K$3:$N$4001,4,0))</f>
        <v>2.1700000000000001E-2</v>
      </c>
      <c r="AC199" s="108">
        <f>IF(ISNA(VLOOKUP($R199&amp;AC$2,$K$3:$N$4001,3,0)),"",VLOOKUP($R199&amp;AC$2,$K$3:$N$4001,3,0))</f>
        <v>40353</v>
      </c>
      <c r="AD199" s="109">
        <f>IF(ISNA(VLOOKUP($R199&amp;AC$2,$K$3:$N$4001,4,0)),"",VLOOKUP($R199&amp;AC$2,$K$3:$N$4001,4,0))</f>
        <v>2.1899999999999999E-2</v>
      </c>
      <c r="AE199" s="108">
        <f>IF(ISNA(VLOOKUP($R199&amp;AE$2,$K$3:$N$4001,3,0)),"",VLOOKUP($R199&amp;AE$2,$K$3:$N$4001,3,0))</f>
        <v>40445</v>
      </c>
      <c r="AF199" s="109">
        <f>IF(ISNA(VLOOKUP($R199&amp;AE$2,$K$3:$N$4001,4,0)),"",VLOOKUP($R199&amp;AE$2,$K$3:$N$4001,4,0))</f>
        <v>2.1899999999999999E-2</v>
      </c>
      <c r="AG199" s="108">
        <f>IF(ISNA(VLOOKUP($R199&amp;AG$2,$K$3:$N$4001,3,0)),"",VLOOKUP($R199&amp;AG$2,$K$3:$N$4001,3,0))</f>
        <v>40535</v>
      </c>
      <c r="AH199" s="109">
        <f>IF(ISNA(VLOOKUP($R199&amp;AG$2,$K$3:$N$4001,4,0)),"",VLOOKUP($R199&amp;AG$2,$K$3:$N$4001,4,0))</f>
        <v>2.1899999999999999E-2</v>
      </c>
      <c r="AI199" s="108">
        <f>IF(ISNA(VLOOKUP($R199&amp;AI$2,$K$3:$N$4001,3,0)),"",VLOOKUP($R199&amp;AI$2,$K$3:$N$4001,3,0))</f>
        <v>40627</v>
      </c>
      <c r="AJ199" s="109">
        <f>IF(ISNA(VLOOKUP($R199&amp;AI$2,$K$3:$N$4001,4,0)),"",VLOOKUP($R199&amp;AI$2,$K$3:$N$4001,4,0))</f>
        <v>2.1899999999999999E-2</v>
      </c>
      <c r="AK199" s="108">
        <f>IF(ISNA(VLOOKUP($R199&amp;AK$2,$K$3:$N$4001,3,0)),"",VLOOKUP($R199&amp;AK$2,$K$3:$N$4001,3,0))</f>
        <v>40718</v>
      </c>
      <c r="AL199" s="109">
        <f>IF(ISNA(VLOOKUP($R199&amp;AK$2,$K$3:$N$4001,4,0)),"",VLOOKUP($R199&amp;AK$2,$K$3:$N$4001,4,0))</f>
        <v>2.23E-2</v>
      </c>
    </row>
    <row r="200" spans="3:38" x14ac:dyDescent="0.2">
      <c r="C200" s="96" t="str">
        <f t="shared" si="12"/>
        <v>ASX10</v>
      </c>
      <c r="D200" s="73" t="s">
        <v>83</v>
      </c>
      <c r="E200" s="100">
        <v>41513</v>
      </c>
      <c r="F200" s="101">
        <v>1.337</v>
      </c>
      <c r="G200" s="96">
        <f t="shared" si="13"/>
        <v>10</v>
      </c>
      <c r="I200" s="96"/>
      <c r="K200" t="str">
        <f t="shared" si="14"/>
        <v>ASX10</v>
      </c>
      <c r="L200" s="73" t="s">
        <v>83</v>
      </c>
      <c r="M200" s="72">
        <v>41513</v>
      </c>
      <c r="N200" s="84">
        <v>1.337</v>
      </c>
      <c r="O200" s="96">
        <f t="shared" si="15"/>
        <v>10</v>
      </c>
      <c r="P200" s="73"/>
      <c r="Q200" s="96"/>
      <c r="R200" s="96" t="s">
        <v>148</v>
      </c>
      <c r="S200" s="106">
        <f>IF(ISNA(VLOOKUP($R200&amp;S$2,$C$3:$F$4001,3,0)),"",VLOOKUP($R200&amp;S$2,$C$3:$F$4001,3,0))</f>
        <v>39876</v>
      </c>
      <c r="T200" s="107">
        <f>IF(ISNA(VLOOKUP($R200&amp;S$2,$C$3:$F$4001,4,0)),"",VLOOKUP($R200&amp;S$2,$C$3:$F$4001,4,0))</f>
        <v>0.08</v>
      </c>
      <c r="U200" s="106">
        <f>IF(ISNA(VLOOKUP($R200&amp;U$2,$C$3:$F$4001,3,0)),"",VLOOKUP($R200&amp;U$2,$C$3:$F$4001,3,0))</f>
        <v>40053</v>
      </c>
      <c r="V200" s="107">
        <f>IF(ISNA(VLOOKUP($R200&amp;U$2,$C$3:$F$4001,4,0)),"",VLOOKUP($R200&amp;U$2,$C$3:$F$4001,4,0))</f>
        <v>9.5000000000000001E-2</v>
      </c>
      <c r="W200" s="106">
        <f>IF(ISNA(VLOOKUP($R200&amp;W$2,$C$3:$F$4001,3,0)),"",VLOOKUP($R200&amp;W$2,$C$3:$F$4001,3,0))</f>
        <v>40242</v>
      </c>
      <c r="X200" s="107">
        <f>IF(ISNA(VLOOKUP($R200&amp;W$2,$C$3:$F$4001,4,0)),"",VLOOKUP($R200&amp;W$2,$C$3:$F$4001,4,0))</f>
        <v>0.1</v>
      </c>
      <c r="Y200" s="106">
        <f>IF(ISNA(VLOOKUP($R200&amp;Y$2,$C$3:$F$4001,3,0)),"",VLOOKUP($R200&amp;Y$2,$C$3:$F$4001,3,0))</f>
        <v>40420</v>
      </c>
      <c r="Z200" s="107">
        <f>IF(ISNA(VLOOKUP($R200&amp;Y$2,$C$3:$F$4001,4,0)),"",VLOOKUP($R200&amp;Y$2,$C$3:$F$4001,4,0))</f>
        <v>0.12</v>
      </c>
      <c r="AA200" s="106">
        <f>IF(ISNA(VLOOKUP($R200&amp;AA$2,$C$3:$F$4001,3,0)),"",VLOOKUP($R200&amp;AA$2,$C$3:$F$4001,3,0))</f>
        <v>40609</v>
      </c>
      <c r="AB200" s="107">
        <f>IF(ISNA(VLOOKUP($R200&amp;AA$2,$C$3:$F$4001,4,0)),"",VLOOKUP($R200&amp;AA$2,$C$3:$F$4001,4,0))</f>
        <v>0.1</v>
      </c>
      <c r="AC200" s="106">
        <f>IF(ISNA(VLOOKUP($R200&amp;AC$2,$C$3:$F$4001,3,0)),"",VLOOKUP($R200&amp;AC$2,$C$3:$F$4001,3,0))</f>
        <v>40785</v>
      </c>
      <c r="AD200" s="107">
        <f>IF(ISNA(VLOOKUP($R200&amp;AC$2,$C$3:$F$4001,4,0)),"",VLOOKUP($R200&amp;AC$2,$C$3:$F$4001,4,0))</f>
        <v>0.13500000000000001</v>
      </c>
      <c r="AE200" s="106">
        <f>IF(ISNA(VLOOKUP($R200&amp;AE$2,$C$3:$F$4001,3,0)),"",VLOOKUP($R200&amp;AE$2,$C$3:$F$4001,3,0))</f>
        <v>40974</v>
      </c>
      <c r="AF200" s="107">
        <f>IF(ISNA(VLOOKUP($R200&amp;AE$2,$C$3:$F$4001,4,0)),"",VLOOKUP($R200&amp;AE$2,$C$3:$F$4001,4,0))</f>
        <v>0.11</v>
      </c>
      <c r="AG200" s="106">
        <f>IF(ISNA(VLOOKUP($R200&amp;AG$2,$C$3:$F$4001,3,0)),"",VLOOKUP($R200&amp;AG$2,$C$3:$F$4001,3,0))</f>
        <v>41151</v>
      </c>
      <c r="AH200" s="107">
        <f>IF(ISNA(VLOOKUP($R200&amp;AG$2,$C$3:$F$4001,4,0)),"",VLOOKUP($R200&amp;AG$2,$C$3:$F$4001,4,0))</f>
        <v>0.14499999999999999</v>
      </c>
      <c r="AI200" s="106">
        <f>IF(ISNA(VLOOKUP($R200&amp;AI$2,$C$3:$F$4001,3,0)),"",VLOOKUP($R200&amp;AI$2,$C$3:$F$4001,3,0))</f>
        <v>41339</v>
      </c>
      <c r="AJ200" s="107">
        <f>IF(ISNA(VLOOKUP($R200&amp;AI$2,$C$3:$F$4001,4,0)),"",VLOOKUP($R200&amp;AI$2,$C$3:$F$4001,4,0))</f>
        <v>0.12</v>
      </c>
      <c r="AK200" s="106">
        <f>IF(ISNA(VLOOKUP($R200&amp;AK$2,$C$3:$F$4001,3,0)),"",VLOOKUP($R200&amp;AK$2,$C$3:$F$4001,3,0))</f>
        <v>41516</v>
      </c>
      <c r="AL200" s="107">
        <f>IF(ISNA(VLOOKUP($R200&amp;AK$2,$C$3:$F$4001,4,0)),"",VLOOKUP($R200&amp;AK$2,$C$3:$F$4001,4,0))</f>
        <v>0.15</v>
      </c>
    </row>
    <row r="201" spans="3:38" x14ac:dyDescent="0.2">
      <c r="C201" s="96" t="str">
        <f t="shared" si="12"/>
        <v>AUW1</v>
      </c>
      <c r="D201" s="73" t="s">
        <v>84</v>
      </c>
      <c r="E201" s="100">
        <v>39875</v>
      </c>
      <c r="F201" s="101">
        <v>0.05</v>
      </c>
      <c r="G201" s="96">
        <f t="shared" si="13"/>
        <v>1</v>
      </c>
      <c r="I201" s="96"/>
      <c r="K201" t="str">
        <f t="shared" si="14"/>
        <v>AUW1</v>
      </c>
      <c r="L201" s="73" t="s">
        <v>84</v>
      </c>
      <c r="M201" s="72">
        <v>39875</v>
      </c>
      <c r="N201" s="84">
        <v>0.05</v>
      </c>
      <c r="O201" s="96">
        <f t="shared" si="15"/>
        <v>1</v>
      </c>
      <c r="P201" s="73"/>
      <c r="Q201" s="96"/>
      <c r="R201" s="96" t="str">
        <f>R200</f>
        <v>IAG</v>
      </c>
      <c r="S201" s="108">
        <f>IF(ISNA(VLOOKUP($R201&amp;S$2,$K$3:$N$4001,3,0)),"",VLOOKUP($R201&amp;S$2,$K$3:$N$4001,3,0))</f>
        <v>39876</v>
      </c>
      <c r="T201" s="109">
        <f>IF(ISNA(VLOOKUP($R201&amp;S$2,$K$3:$N$4001,4,0)),"",VLOOKUP($R201&amp;S$2,$K$3:$N$4001,4,0))</f>
        <v>0.08</v>
      </c>
      <c r="U201" s="108">
        <f>IF(ISNA(VLOOKUP($R201&amp;U$2,$K$3:$N$4001,3,0)),"",VLOOKUP($R201&amp;U$2,$K$3:$N$4001,3,0))</f>
        <v>40053</v>
      </c>
      <c r="V201" s="109">
        <f>IF(ISNA(VLOOKUP($R201&amp;U$2,$K$3:$N$4001,4,0)),"",VLOOKUP($R201&amp;U$2,$K$3:$N$4001,4,0))</f>
        <v>9.5000000000000001E-2</v>
      </c>
      <c r="W201" s="108">
        <f>IF(ISNA(VLOOKUP($R201&amp;W$2,$K$3:$N$4001,3,0)),"",VLOOKUP($R201&amp;W$2,$K$3:$N$4001,3,0))</f>
        <v>40242</v>
      </c>
      <c r="X201" s="109">
        <f>IF(ISNA(VLOOKUP($R201&amp;W$2,$K$3:$N$4001,4,0)),"",VLOOKUP($R201&amp;W$2,$K$3:$N$4001,4,0))</f>
        <v>0.1</v>
      </c>
      <c r="Y201" s="108">
        <f>IF(ISNA(VLOOKUP($R201&amp;Y$2,$K$3:$N$4001,3,0)),"",VLOOKUP($R201&amp;Y$2,$K$3:$N$4001,3,0))</f>
        <v>40420</v>
      </c>
      <c r="Z201" s="109">
        <f>IF(ISNA(VLOOKUP($R201&amp;Y$2,$K$3:$N$4001,4,0)),"",VLOOKUP($R201&amp;Y$2,$K$3:$N$4001,4,0))</f>
        <v>0.12</v>
      </c>
      <c r="AA201" s="108">
        <f>IF(ISNA(VLOOKUP($R201&amp;AA$2,$K$3:$N$4001,3,0)),"",VLOOKUP($R201&amp;AA$2,$K$3:$N$4001,3,0))</f>
        <v>40609</v>
      </c>
      <c r="AB201" s="109">
        <f>IF(ISNA(VLOOKUP($R201&amp;AA$2,$K$3:$N$4001,4,0)),"",VLOOKUP($R201&amp;AA$2,$K$3:$N$4001,4,0))</f>
        <v>0.1</v>
      </c>
      <c r="AC201" s="108">
        <f>IF(ISNA(VLOOKUP($R201&amp;AC$2,$K$3:$N$4001,3,0)),"",VLOOKUP($R201&amp;AC$2,$K$3:$N$4001,3,0))</f>
        <v>40785</v>
      </c>
      <c r="AD201" s="109">
        <f>IF(ISNA(VLOOKUP($R201&amp;AC$2,$K$3:$N$4001,4,0)),"",VLOOKUP($R201&amp;AC$2,$K$3:$N$4001,4,0))</f>
        <v>0.13500000000000001</v>
      </c>
      <c r="AE201" s="108">
        <f>IF(ISNA(VLOOKUP($R201&amp;AE$2,$K$3:$N$4001,3,0)),"",VLOOKUP($R201&amp;AE$2,$K$3:$N$4001,3,0))</f>
        <v>40974</v>
      </c>
      <c r="AF201" s="109">
        <f>IF(ISNA(VLOOKUP($R201&amp;AE$2,$K$3:$N$4001,4,0)),"",VLOOKUP($R201&amp;AE$2,$K$3:$N$4001,4,0))</f>
        <v>0.11</v>
      </c>
      <c r="AG201" s="108">
        <f>IF(ISNA(VLOOKUP($R201&amp;AG$2,$K$3:$N$4001,3,0)),"",VLOOKUP($R201&amp;AG$2,$K$3:$N$4001,3,0))</f>
        <v>41151</v>
      </c>
      <c r="AH201" s="109">
        <f>IF(ISNA(VLOOKUP($R201&amp;AG$2,$K$3:$N$4001,4,0)),"",VLOOKUP($R201&amp;AG$2,$K$3:$N$4001,4,0))</f>
        <v>0.14499999999999999</v>
      </c>
      <c r="AI201" s="108">
        <f>IF(ISNA(VLOOKUP($R201&amp;AI$2,$K$3:$N$4001,3,0)),"",VLOOKUP($R201&amp;AI$2,$K$3:$N$4001,3,0))</f>
        <v>41339</v>
      </c>
      <c r="AJ201" s="109">
        <f>IF(ISNA(VLOOKUP($R201&amp;AI$2,$K$3:$N$4001,4,0)),"",VLOOKUP($R201&amp;AI$2,$K$3:$N$4001,4,0))</f>
        <v>0.12</v>
      </c>
      <c r="AK201" s="108">
        <f>IF(ISNA(VLOOKUP($R201&amp;AK$2,$K$3:$N$4001,3,0)),"",VLOOKUP($R201&amp;AK$2,$K$3:$N$4001,3,0))</f>
        <v>41516</v>
      </c>
      <c r="AL201" s="109">
        <f>IF(ISNA(VLOOKUP($R201&amp;AK$2,$K$3:$N$4001,4,0)),"",VLOOKUP($R201&amp;AK$2,$K$3:$N$4001,4,0))</f>
        <v>0.15</v>
      </c>
    </row>
    <row r="202" spans="3:38" x14ac:dyDescent="0.2">
      <c r="C202" s="96" t="str">
        <f t="shared" si="12"/>
        <v>AUW2</v>
      </c>
      <c r="D202" s="73" t="s">
        <v>84</v>
      </c>
      <c r="E202" s="100">
        <v>40058</v>
      </c>
      <c r="F202" s="101">
        <v>5.5E-2</v>
      </c>
      <c r="G202" s="96">
        <f t="shared" si="13"/>
        <v>2</v>
      </c>
      <c r="I202" s="96"/>
      <c r="K202" t="str">
        <f t="shared" si="14"/>
        <v>AUW2</v>
      </c>
      <c r="L202" s="73" t="s">
        <v>84</v>
      </c>
      <c r="M202" s="72">
        <v>40058</v>
      </c>
      <c r="N202" s="84">
        <v>5.5E-2</v>
      </c>
      <c r="O202" s="96">
        <f t="shared" si="15"/>
        <v>2</v>
      </c>
      <c r="P202" s="73"/>
      <c r="Q202" s="96"/>
      <c r="R202" s="96" t="s">
        <v>156</v>
      </c>
      <c r="S202" s="106">
        <f>IF(ISNA(VLOOKUP($R202&amp;S$2,$C$3:$F$4001,3,0)),"",VLOOKUP($R202&amp;S$2,$C$3:$F$4001,3,0))</f>
        <v>39888</v>
      </c>
      <c r="T202" s="107">
        <f>IF(ISNA(VLOOKUP($R202&amp;S$2,$C$3:$F$4001,4,0)),"",VLOOKUP($R202&amp;S$2,$C$3:$F$4001,4,0))</f>
        <v>0.13500000000000001</v>
      </c>
      <c r="U202" s="106">
        <f>IF(ISNA(VLOOKUP($R202&amp;U$2,$C$3:$F$4001,3,0)),"",VLOOKUP($R202&amp;U$2,$C$3:$F$4001,3,0))</f>
        <v>40071</v>
      </c>
      <c r="V202" s="107">
        <f>IF(ISNA(VLOOKUP($R202&amp;U$2,$C$3:$F$4001,4,0)),"",VLOOKUP($R202&amp;U$2,$C$3:$F$4001,4,0))</f>
        <v>0.10980000000000001</v>
      </c>
      <c r="W202" s="106">
        <f>IF(ISNA(VLOOKUP($R202&amp;W$2,$C$3:$F$4001,3,0)),"",VLOOKUP($R202&amp;W$2,$C$3:$F$4001,3,0))</f>
        <v>40253</v>
      </c>
      <c r="X202" s="107">
        <f>IF(ISNA(VLOOKUP($R202&amp;W$2,$C$3:$F$4001,4,0)),"",VLOOKUP($R202&amp;W$2,$C$3:$F$4001,4,0))</f>
        <v>0.14119999999999999</v>
      </c>
      <c r="Y202" s="106">
        <f>IF(ISNA(VLOOKUP($R202&amp;Y$2,$C$3:$F$4001,3,0)),"",VLOOKUP($R202&amp;Y$2,$C$3:$F$4001,3,0))</f>
        <v>40436</v>
      </c>
      <c r="Z202" s="107">
        <f>IF(ISNA(VLOOKUP($R202&amp;Y$2,$C$3:$F$4001,4,0)),"",VLOOKUP($R202&amp;Y$2,$C$3:$F$4001,4,0))</f>
        <v>0.11900000000000001</v>
      </c>
      <c r="AA202" s="106">
        <f>IF(ISNA(VLOOKUP($R202&amp;AA$2,$C$3:$F$4001,3,0)),"",VLOOKUP($R202&amp;AA$2,$C$3:$F$4001,3,0))</f>
        <v>40618</v>
      </c>
      <c r="AB202" s="107">
        <f>IF(ISNA(VLOOKUP($R202&amp;AA$2,$C$3:$F$4001,4,0)),"",VLOOKUP($R202&amp;AA$2,$C$3:$F$4001,4,0))</f>
        <v>0.153</v>
      </c>
      <c r="AC202" s="106">
        <f>IF(ISNA(VLOOKUP($R202&amp;AC$2,$C$3:$F$4001,3,0)),"",VLOOKUP($R202&amp;AC$2,$C$3:$F$4001,3,0))</f>
        <v>40801</v>
      </c>
      <c r="AD202" s="107">
        <f>IF(ISNA(VLOOKUP($R202&amp;AC$2,$C$3:$F$4001,4,0)),"",VLOOKUP($R202&amp;AC$2,$C$3:$F$4001,4,0))</f>
        <v>0.12909999999999999</v>
      </c>
      <c r="AE202" s="106">
        <f>IF(ISNA(VLOOKUP($R202&amp;AE$2,$C$3:$F$4001,3,0)),"",VLOOKUP($R202&amp;AE$2,$C$3:$F$4001,3,0))</f>
        <v>40984</v>
      </c>
      <c r="AF202" s="107">
        <f>IF(ISNA(VLOOKUP($R202&amp;AE$2,$C$3:$F$4001,4,0)),"",VLOOKUP($R202&amp;AE$2,$C$3:$F$4001,4,0))</f>
        <v>0.16589999999999999</v>
      </c>
      <c r="AG202" s="106">
        <f>IF(ISNA(VLOOKUP($R202&amp;AG$2,$C$3:$F$4001,3,0)),"",VLOOKUP($R202&amp;AG$2,$C$3:$F$4001,3,0))</f>
        <v>41169</v>
      </c>
      <c r="AH202" s="107">
        <f>IF(ISNA(VLOOKUP($R202&amp;AG$2,$C$3:$F$4001,4,0)),"",VLOOKUP($R202&amp;AG$2,$C$3:$F$4001,4,0))</f>
        <v>0.13519999999999999</v>
      </c>
      <c r="AI202" s="106">
        <f>IF(ISNA(VLOOKUP($R202&amp;AI$2,$C$3:$F$4001,3,0)),"",VLOOKUP($R202&amp;AI$2,$C$3:$F$4001,3,0))</f>
        <v>41351</v>
      </c>
      <c r="AJ202" s="107">
        <f>IF(ISNA(VLOOKUP($R202&amp;AI$2,$C$3:$F$4001,4,0)),"",VLOOKUP($R202&amp;AI$2,$C$3:$F$4001,4,0))</f>
        <v>0.17379999999999998</v>
      </c>
      <c r="AK202" s="106" t="str">
        <f>IF(ISNA(VLOOKUP($R202&amp;AK$2,$C$3:$F$4001,3,0)),"",VLOOKUP($R202&amp;AK$2,$C$3:$F$4001,3,0))</f>
        <v/>
      </c>
      <c r="AL202" s="107" t="str">
        <f>IF(ISNA(VLOOKUP($R202&amp;AK$2,$C$3:$F$4001,4,0)),"",VLOOKUP($R202&amp;AK$2,$C$3:$F$4001,4,0))</f>
        <v/>
      </c>
    </row>
    <row r="203" spans="3:38" x14ac:dyDescent="0.2">
      <c r="C203" s="96" t="str">
        <f t="shared" si="12"/>
        <v>AUW3</v>
      </c>
      <c r="D203" s="73" t="s">
        <v>84</v>
      </c>
      <c r="E203" s="100">
        <v>40241</v>
      </c>
      <c r="F203" s="101">
        <v>5.5E-2</v>
      </c>
      <c r="G203" s="96">
        <f t="shared" si="13"/>
        <v>3</v>
      </c>
      <c r="I203" s="96"/>
      <c r="K203" t="str">
        <f t="shared" si="14"/>
        <v>AUW3</v>
      </c>
      <c r="L203" s="73" t="s">
        <v>84</v>
      </c>
      <c r="M203" s="72">
        <v>40241</v>
      </c>
      <c r="N203" s="84">
        <v>5.5E-2</v>
      </c>
      <c r="O203" s="96">
        <f t="shared" si="15"/>
        <v>3</v>
      </c>
      <c r="P203" s="73"/>
      <c r="Q203" s="96"/>
      <c r="R203" s="96" t="str">
        <f>R202</f>
        <v>IVC</v>
      </c>
      <c r="S203" s="108">
        <f>IF(ISNA(VLOOKUP($R203&amp;S$2,$K$3:$N$4001,3,0)),"",VLOOKUP($R203&amp;S$2,$K$3:$N$4001,3,0))</f>
        <v>39888</v>
      </c>
      <c r="T203" s="109">
        <f>IF(ISNA(VLOOKUP($R203&amp;S$2,$K$3:$N$4001,4,0)),"",VLOOKUP($R203&amp;S$2,$K$3:$N$4001,4,0))</f>
        <v>0.13500000000000001</v>
      </c>
      <c r="U203" s="108">
        <f>IF(ISNA(VLOOKUP($R203&amp;U$2,$K$3:$N$4001,3,0)),"",VLOOKUP($R203&amp;U$2,$K$3:$N$4001,3,0))</f>
        <v>40071</v>
      </c>
      <c r="V203" s="109">
        <f>IF(ISNA(VLOOKUP($R203&amp;U$2,$K$3:$N$4001,4,0)),"",VLOOKUP($R203&amp;U$2,$K$3:$N$4001,4,0))</f>
        <v>0.10980000000000001</v>
      </c>
      <c r="W203" s="108">
        <f>IF(ISNA(VLOOKUP($R203&amp;W$2,$K$3:$N$4001,3,0)),"",VLOOKUP($R203&amp;W$2,$K$3:$N$4001,3,0))</f>
        <v>40253</v>
      </c>
      <c r="X203" s="109">
        <f>IF(ISNA(VLOOKUP($R203&amp;W$2,$K$3:$N$4001,4,0)),"",VLOOKUP($R203&amp;W$2,$K$3:$N$4001,4,0))</f>
        <v>0.14119999999999999</v>
      </c>
      <c r="Y203" s="108">
        <f>IF(ISNA(VLOOKUP($R203&amp;Y$2,$K$3:$N$4001,3,0)),"",VLOOKUP($R203&amp;Y$2,$K$3:$N$4001,3,0))</f>
        <v>40436</v>
      </c>
      <c r="Z203" s="109">
        <f>IF(ISNA(VLOOKUP($R203&amp;Y$2,$K$3:$N$4001,4,0)),"",VLOOKUP($R203&amp;Y$2,$K$3:$N$4001,4,0))</f>
        <v>0.11900000000000001</v>
      </c>
      <c r="AA203" s="108">
        <f>IF(ISNA(VLOOKUP($R203&amp;AA$2,$K$3:$N$4001,3,0)),"",VLOOKUP($R203&amp;AA$2,$K$3:$N$4001,3,0))</f>
        <v>40618</v>
      </c>
      <c r="AB203" s="109">
        <f>IF(ISNA(VLOOKUP($R203&amp;AA$2,$K$3:$N$4001,4,0)),"",VLOOKUP($R203&amp;AA$2,$K$3:$N$4001,4,0))</f>
        <v>0.153</v>
      </c>
      <c r="AC203" s="108">
        <f>IF(ISNA(VLOOKUP($R203&amp;AC$2,$K$3:$N$4001,3,0)),"",VLOOKUP($R203&amp;AC$2,$K$3:$N$4001,3,0))</f>
        <v>40801</v>
      </c>
      <c r="AD203" s="109">
        <f>IF(ISNA(VLOOKUP($R203&amp;AC$2,$K$3:$N$4001,4,0)),"",VLOOKUP($R203&amp;AC$2,$K$3:$N$4001,4,0))</f>
        <v>0.12909999999999999</v>
      </c>
      <c r="AE203" s="108">
        <f>IF(ISNA(VLOOKUP($R203&amp;AE$2,$K$3:$N$4001,3,0)),"",VLOOKUP($R203&amp;AE$2,$K$3:$N$4001,3,0))</f>
        <v>40984</v>
      </c>
      <c r="AF203" s="109">
        <f>IF(ISNA(VLOOKUP($R203&amp;AE$2,$K$3:$N$4001,4,0)),"",VLOOKUP($R203&amp;AE$2,$K$3:$N$4001,4,0))</f>
        <v>0.16589999999999999</v>
      </c>
      <c r="AG203" s="108">
        <f>IF(ISNA(VLOOKUP($R203&amp;AG$2,$K$3:$N$4001,3,0)),"",VLOOKUP($R203&amp;AG$2,$K$3:$N$4001,3,0))</f>
        <v>41169</v>
      </c>
      <c r="AH203" s="109">
        <f>IF(ISNA(VLOOKUP($R203&amp;AG$2,$K$3:$N$4001,4,0)),"",VLOOKUP($R203&amp;AG$2,$K$3:$N$4001,4,0))</f>
        <v>0.13519999999999999</v>
      </c>
      <c r="AI203" s="108">
        <f>IF(ISNA(VLOOKUP($R203&amp;AI$2,$K$3:$N$4001,3,0)),"",VLOOKUP($R203&amp;AI$2,$K$3:$N$4001,3,0))</f>
        <v>41351</v>
      </c>
      <c r="AJ203" s="109">
        <f>IF(ISNA(VLOOKUP($R203&amp;AI$2,$K$3:$N$4001,4,0)),"",VLOOKUP($R203&amp;AI$2,$K$3:$N$4001,4,0))</f>
        <v>0.17379999999999998</v>
      </c>
      <c r="AK203" s="108" t="str">
        <f>IF(ISNA(VLOOKUP($R203&amp;AK$2,$K$3:$N$4001,3,0)),"",VLOOKUP($R203&amp;AK$2,$K$3:$N$4001,3,0))</f>
        <v/>
      </c>
      <c r="AL203" s="109" t="str">
        <f>IF(ISNA(VLOOKUP($R203&amp;AK$2,$K$3:$N$4001,4,0)),"",VLOOKUP($R203&amp;AK$2,$K$3:$N$4001,4,0))</f>
        <v/>
      </c>
    </row>
    <row r="204" spans="3:38" x14ac:dyDescent="0.2">
      <c r="C204" s="96" t="str">
        <f t="shared" si="12"/>
        <v>AUW4</v>
      </c>
      <c r="D204" s="73" t="s">
        <v>84</v>
      </c>
      <c r="E204" s="100">
        <v>40423</v>
      </c>
      <c r="F204" s="101">
        <v>0.06</v>
      </c>
      <c r="G204" s="96">
        <f t="shared" si="13"/>
        <v>4</v>
      </c>
      <c r="I204" s="96"/>
      <c r="K204" t="str">
        <f t="shared" si="14"/>
        <v>AUW4</v>
      </c>
      <c r="L204" s="73" t="s">
        <v>84</v>
      </c>
      <c r="M204" s="72">
        <v>40423</v>
      </c>
      <c r="N204" s="84">
        <v>0.06</v>
      </c>
      <c r="O204" s="96">
        <f t="shared" si="15"/>
        <v>4</v>
      </c>
      <c r="P204" s="73"/>
      <c r="Q204" s="96"/>
      <c r="R204" s="96" t="s">
        <v>149</v>
      </c>
      <c r="S204" s="106">
        <f>IF(ISNA(VLOOKUP($R204&amp;S$2,$C$3:$F$4001,3,0)),"",VLOOKUP($R204&amp;S$2,$C$3:$F$4001,3,0))</f>
        <v>39885</v>
      </c>
      <c r="T204" s="107">
        <f>IF(ISNA(VLOOKUP($R204&amp;S$2,$C$3:$F$4001,4,0)),"",VLOOKUP($R204&amp;S$2,$C$3:$F$4001,4,0))</f>
        <v>0.14000000000000001</v>
      </c>
      <c r="U204" s="106">
        <f>IF(ISNA(VLOOKUP($R204&amp;U$2,$C$3:$F$4001,3,0)),"",VLOOKUP($R204&amp;U$2,$C$3:$F$4001,3,0))</f>
        <v>40074</v>
      </c>
      <c r="V204" s="107">
        <f>IF(ISNA(VLOOKUP($R204&amp;U$2,$C$3:$F$4001,4,0)),"",VLOOKUP($R204&amp;U$2,$C$3:$F$4001,4,0))</f>
        <v>0.14000000000000001</v>
      </c>
      <c r="W204" s="106">
        <f>IF(ISNA(VLOOKUP($R204&amp;W$2,$C$3:$F$4001,3,0)),"",VLOOKUP($R204&amp;W$2,$C$3:$F$4001,3,0))</f>
        <v>40252</v>
      </c>
      <c r="X204" s="107">
        <f>IF(ISNA(VLOOKUP($R204&amp;W$2,$C$3:$F$4001,4,0)),"",VLOOKUP($R204&amp;W$2,$C$3:$F$4001,4,0))</f>
        <v>0.14000000000000001</v>
      </c>
      <c r="Y204" s="106">
        <f>IF(ISNA(VLOOKUP($R204&amp;Y$2,$C$3:$F$4001,3,0)),"",VLOOKUP($R204&amp;Y$2,$C$3:$F$4001,3,0))</f>
        <v>40441</v>
      </c>
      <c r="Z204" s="107">
        <f>IF(ISNA(VLOOKUP($R204&amp;Y$2,$C$3:$F$4001,4,0)),"",VLOOKUP($R204&amp;Y$2,$C$3:$F$4001,4,0))</f>
        <v>0.15</v>
      </c>
      <c r="AA204" s="106">
        <f>IF(ISNA(VLOOKUP($R204&amp;AA$2,$C$3:$F$4001,3,0)),"",VLOOKUP($R204&amp;AA$2,$C$3:$F$4001,3,0))</f>
        <v>40617</v>
      </c>
      <c r="AB204" s="107">
        <f>IF(ISNA(VLOOKUP($R204&amp;AA$2,$C$3:$F$4001,4,0)),"",VLOOKUP($R204&amp;AA$2,$C$3:$F$4001,4,0))</f>
        <v>0.15</v>
      </c>
      <c r="AC204" s="106">
        <f>IF(ISNA(VLOOKUP($R204&amp;AC$2,$C$3:$F$4001,3,0)),"",VLOOKUP($R204&amp;AC$2,$C$3:$F$4001,3,0))</f>
        <v>40806</v>
      </c>
      <c r="AD204" s="107">
        <f>IF(ISNA(VLOOKUP($R204&amp;AC$2,$C$3:$F$4001,4,0)),"",VLOOKUP($R204&amp;AC$2,$C$3:$F$4001,4,0))</f>
        <v>0.15</v>
      </c>
      <c r="AE204" s="106">
        <f>IF(ISNA(VLOOKUP($R204&amp;AE$2,$C$3:$F$4001,3,0)),"",VLOOKUP($R204&amp;AE$2,$C$3:$F$4001,3,0))</f>
        <v>40983</v>
      </c>
      <c r="AF204" s="107">
        <f>IF(ISNA(VLOOKUP($R204&amp;AE$2,$C$3:$F$4001,4,0)),"",VLOOKUP($R204&amp;AE$2,$C$3:$F$4001,4,0))</f>
        <v>0.15</v>
      </c>
      <c r="AG204" s="106">
        <f>IF(ISNA(VLOOKUP($R204&amp;AG$2,$C$3:$F$4001,3,0)),"",VLOOKUP($R204&amp;AG$2,$C$3:$F$4001,3,0))</f>
        <v>41172</v>
      </c>
      <c r="AH204" s="107">
        <f>IF(ISNA(VLOOKUP($R204&amp;AG$2,$C$3:$F$4001,4,0)),"",VLOOKUP($R204&amp;AG$2,$C$3:$F$4001,4,0))</f>
        <v>0.16</v>
      </c>
      <c r="AI204" s="106">
        <f>IF(ISNA(VLOOKUP($R204&amp;AI$2,$C$3:$F$4001,3,0)),"",VLOOKUP($R204&amp;AI$2,$C$3:$F$4001,3,0))</f>
        <v>41348</v>
      </c>
      <c r="AJ204" s="107">
        <f>IF(ISNA(VLOOKUP($R204&amp;AI$2,$C$3:$F$4001,4,0)),"",VLOOKUP($R204&amp;AI$2,$C$3:$F$4001,4,0))</f>
        <v>0.15</v>
      </c>
      <c r="AK204" s="106">
        <f>IF(ISNA(VLOOKUP($R204&amp;AK$2,$C$3:$F$4001,3,0)),"",VLOOKUP($R204&amp;AK$2,$C$3:$F$4001,3,0))</f>
        <v>41537</v>
      </c>
      <c r="AL204" s="107">
        <f>IF(ISNA(VLOOKUP($R204&amp;AK$2,$C$3:$F$4001,4,0)),"",VLOOKUP($R204&amp;AK$2,$C$3:$F$4001,4,0))</f>
        <v>0.18</v>
      </c>
    </row>
    <row r="205" spans="3:38" x14ac:dyDescent="0.2">
      <c r="C205" s="96" t="str">
        <f t="shared" si="12"/>
        <v>AUW5</v>
      </c>
      <c r="D205" s="73" t="s">
        <v>84</v>
      </c>
      <c r="E205" s="100">
        <v>40606</v>
      </c>
      <c r="F205" s="101">
        <v>5.5E-2</v>
      </c>
      <c r="G205" s="96">
        <f t="shared" si="13"/>
        <v>5</v>
      </c>
      <c r="I205" s="96"/>
      <c r="K205" t="str">
        <f t="shared" si="14"/>
        <v>AUW5</v>
      </c>
      <c r="L205" s="73" t="s">
        <v>84</v>
      </c>
      <c r="M205" s="72">
        <v>40606</v>
      </c>
      <c r="N205" s="84">
        <v>5.5E-2</v>
      </c>
      <c r="O205" s="96">
        <f t="shared" si="15"/>
        <v>5</v>
      </c>
      <c r="P205" s="73"/>
      <c r="Q205" s="96"/>
      <c r="R205" s="96" t="str">
        <f>R204</f>
        <v>IFL</v>
      </c>
      <c r="S205" s="108">
        <f>IF(ISNA(VLOOKUP($R205&amp;S$2,$K$3:$N$4001,3,0)),"",VLOOKUP($R205&amp;S$2,$K$3:$N$4001,3,0))</f>
        <v>39885</v>
      </c>
      <c r="T205" s="109">
        <f>IF(ISNA(VLOOKUP($R205&amp;S$2,$K$3:$N$4001,4,0)),"",VLOOKUP($R205&amp;S$2,$K$3:$N$4001,4,0))</f>
        <v>0.14000000000000001</v>
      </c>
      <c r="U205" s="108">
        <f>IF(ISNA(VLOOKUP($R205&amp;U$2,$K$3:$N$4001,3,0)),"",VLOOKUP($R205&amp;U$2,$K$3:$N$4001,3,0))</f>
        <v>40074</v>
      </c>
      <c r="V205" s="109">
        <f>IF(ISNA(VLOOKUP($R205&amp;U$2,$K$3:$N$4001,4,0)),"",VLOOKUP($R205&amp;U$2,$K$3:$N$4001,4,0))</f>
        <v>0.14000000000000001</v>
      </c>
      <c r="W205" s="108">
        <f>IF(ISNA(VLOOKUP($R205&amp;W$2,$K$3:$N$4001,3,0)),"",VLOOKUP($R205&amp;W$2,$K$3:$N$4001,3,0))</f>
        <v>40252</v>
      </c>
      <c r="X205" s="109">
        <f>IF(ISNA(VLOOKUP($R205&amp;W$2,$K$3:$N$4001,4,0)),"",VLOOKUP($R205&amp;W$2,$K$3:$N$4001,4,0))</f>
        <v>0.14000000000000001</v>
      </c>
      <c r="Y205" s="108">
        <f>IF(ISNA(VLOOKUP($R205&amp;Y$2,$K$3:$N$4001,3,0)),"",VLOOKUP($R205&amp;Y$2,$K$3:$N$4001,3,0))</f>
        <v>40441</v>
      </c>
      <c r="Z205" s="109">
        <f>IF(ISNA(VLOOKUP($R205&amp;Y$2,$K$3:$N$4001,4,0)),"",VLOOKUP($R205&amp;Y$2,$K$3:$N$4001,4,0))</f>
        <v>0.15</v>
      </c>
      <c r="AA205" s="108">
        <f>IF(ISNA(VLOOKUP($R205&amp;AA$2,$K$3:$N$4001,3,0)),"",VLOOKUP($R205&amp;AA$2,$K$3:$N$4001,3,0))</f>
        <v>40617</v>
      </c>
      <c r="AB205" s="109">
        <f>IF(ISNA(VLOOKUP($R205&amp;AA$2,$K$3:$N$4001,4,0)),"",VLOOKUP($R205&amp;AA$2,$K$3:$N$4001,4,0))</f>
        <v>0.15</v>
      </c>
      <c r="AC205" s="108">
        <f>IF(ISNA(VLOOKUP($R205&amp;AC$2,$K$3:$N$4001,3,0)),"",VLOOKUP($R205&amp;AC$2,$K$3:$N$4001,3,0))</f>
        <v>40806</v>
      </c>
      <c r="AD205" s="109">
        <f>IF(ISNA(VLOOKUP($R205&amp;AC$2,$K$3:$N$4001,4,0)),"",VLOOKUP($R205&amp;AC$2,$K$3:$N$4001,4,0))</f>
        <v>0.15</v>
      </c>
      <c r="AE205" s="108">
        <f>IF(ISNA(VLOOKUP($R205&amp;AE$2,$K$3:$N$4001,3,0)),"",VLOOKUP($R205&amp;AE$2,$K$3:$N$4001,3,0))</f>
        <v>40983</v>
      </c>
      <c r="AF205" s="109">
        <f>IF(ISNA(VLOOKUP($R205&amp;AE$2,$K$3:$N$4001,4,0)),"",VLOOKUP($R205&amp;AE$2,$K$3:$N$4001,4,0))</f>
        <v>0.15</v>
      </c>
      <c r="AG205" s="108">
        <f>IF(ISNA(VLOOKUP($R205&amp;AG$2,$K$3:$N$4001,3,0)),"",VLOOKUP($R205&amp;AG$2,$K$3:$N$4001,3,0))</f>
        <v>41172</v>
      </c>
      <c r="AH205" s="109">
        <f>IF(ISNA(VLOOKUP($R205&amp;AG$2,$K$3:$N$4001,4,0)),"",VLOOKUP($R205&amp;AG$2,$K$3:$N$4001,4,0))</f>
        <v>0.16</v>
      </c>
      <c r="AI205" s="108">
        <f>IF(ISNA(VLOOKUP($R205&amp;AI$2,$K$3:$N$4001,3,0)),"",VLOOKUP($R205&amp;AI$2,$K$3:$N$4001,3,0))</f>
        <v>41348</v>
      </c>
      <c r="AJ205" s="109">
        <f>IF(ISNA(VLOOKUP($R205&amp;AI$2,$K$3:$N$4001,4,0)),"",VLOOKUP($R205&amp;AI$2,$K$3:$N$4001,4,0))</f>
        <v>0.15</v>
      </c>
      <c r="AK205" s="108">
        <f>IF(ISNA(VLOOKUP($R205&amp;AK$2,$K$3:$N$4001,3,0)),"",VLOOKUP($R205&amp;AK$2,$K$3:$N$4001,3,0))</f>
        <v>41537</v>
      </c>
      <c r="AL205" s="109">
        <f>IF(ISNA(VLOOKUP($R205&amp;AK$2,$K$3:$N$4001,4,0)),"",VLOOKUP($R205&amp;AK$2,$K$3:$N$4001,4,0))</f>
        <v>0.18</v>
      </c>
    </row>
    <row r="206" spans="3:38" x14ac:dyDescent="0.2">
      <c r="C206" s="96" t="str">
        <f t="shared" si="12"/>
        <v>AUW6</v>
      </c>
      <c r="D206" s="73" t="s">
        <v>84</v>
      </c>
      <c r="E206" s="100">
        <v>40788</v>
      </c>
      <c r="F206" s="101">
        <v>6.5000000000000002E-2</v>
      </c>
      <c r="G206" s="96">
        <f t="shared" si="13"/>
        <v>6</v>
      </c>
      <c r="I206" s="96"/>
      <c r="K206" t="str">
        <f t="shared" si="14"/>
        <v>AUW6</v>
      </c>
      <c r="L206" s="73" t="s">
        <v>84</v>
      </c>
      <c r="M206" s="72">
        <v>40788</v>
      </c>
      <c r="N206" s="84">
        <v>6.5000000000000002E-2</v>
      </c>
      <c r="O206" s="96">
        <f t="shared" si="15"/>
        <v>6</v>
      </c>
      <c r="P206" s="73"/>
      <c r="Q206" s="96"/>
      <c r="R206" s="96" t="s">
        <v>155</v>
      </c>
      <c r="S206" s="106">
        <f>IF(ISNA(VLOOKUP($R206&amp;S$2,$C$3:$F$4001,3,0)),"",VLOOKUP($R206&amp;S$2,$C$3:$F$4001,3,0))</f>
        <v>39883</v>
      </c>
      <c r="T206" s="107">
        <f>IF(ISNA(VLOOKUP($R206&amp;S$2,$C$3:$F$4001,4,0)),"",VLOOKUP($R206&amp;S$2,$C$3:$F$4001,4,0))</f>
        <v>0.17</v>
      </c>
      <c r="U206" s="106">
        <f>IF(ISNA(VLOOKUP($R206&amp;U$2,$C$3:$F$4001,3,0)),"",VLOOKUP($R206&amp;U$2,$C$3:$F$4001,3,0))</f>
        <v>40065</v>
      </c>
      <c r="V206" s="107">
        <f>IF(ISNA(VLOOKUP($R206&amp;U$2,$C$3:$F$4001,4,0)),"",VLOOKUP($R206&amp;U$2,$C$3:$F$4001,4,0))</f>
        <v>0.14000000000000001</v>
      </c>
      <c r="W206" s="106">
        <f>IF(ISNA(VLOOKUP($R206&amp;W$2,$C$3:$F$4001,3,0)),"",VLOOKUP($R206&amp;W$2,$C$3:$F$4001,3,0))</f>
        <v>40248</v>
      </c>
      <c r="X206" s="107">
        <f>IF(ISNA(VLOOKUP($R206&amp;W$2,$C$3:$F$4001,4,0)),"",VLOOKUP($R206&amp;W$2,$C$3:$F$4001,4,0))</f>
        <v>0.16</v>
      </c>
      <c r="Y206" s="106">
        <f>IF(ISNA(VLOOKUP($R206&amp;Y$2,$C$3:$F$4001,3,0)),"",VLOOKUP($R206&amp;Y$2,$C$3:$F$4001,3,0))</f>
        <v>40430</v>
      </c>
      <c r="Z206" s="107">
        <f>IF(ISNA(VLOOKUP($R206&amp;Y$2,$C$3:$F$4001,4,0)),"",VLOOKUP($R206&amp;Y$2,$C$3:$F$4001,4,0))</f>
        <v>0.16010000000000002</v>
      </c>
      <c r="AA206" s="106">
        <f>IF(ISNA(VLOOKUP($R206&amp;AA$2,$C$3:$F$4001,3,0)),"",VLOOKUP($R206&amp;AA$2,$C$3:$F$4001,3,0))</f>
        <v>40613</v>
      </c>
      <c r="AB206" s="107">
        <f>IF(ISNA(VLOOKUP($R206&amp;AA$2,$C$3:$F$4001,4,0)),"",VLOOKUP($R206&amp;AA$2,$C$3:$F$4001,4,0))</f>
        <v>0.18289999999999998</v>
      </c>
      <c r="AC206" s="106">
        <f>IF(ISNA(VLOOKUP($R206&amp;AC$2,$C$3:$F$4001,3,0)),"",VLOOKUP($R206&amp;AC$2,$C$3:$F$4001,3,0))</f>
        <v>40795</v>
      </c>
      <c r="AD206" s="107">
        <f>IF(ISNA(VLOOKUP($R206&amp;AC$2,$C$3:$F$4001,4,0)),"",VLOOKUP($R206&amp;AC$2,$C$3:$F$4001,4,0))</f>
        <v>0.19</v>
      </c>
      <c r="AE206" s="106">
        <f>IF(ISNA(VLOOKUP($R206&amp;AE$2,$C$3:$F$4001,3,0)),"",VLOOKUP($R206&amp;AE$2,$C$3:$F$4001,3,0))</f>
        <v>40981</v>
      </c>
      <c r="AF206" s="107">
        <f>IF(ISNA(VLOOKUP($R206&amp;AE$2,$C$3:$F$4001,4,0)),"",VLOOKUP($R206&amp;AE$2,$C$3:$F$4001,4,0))</f>
        <v>0.217</v>
      </c>
      <c r="AG206" s="106">
        <f>IF(ISNA(VLOOKUP($R206&amp;AG$2,$C$3:$F$4001,3,0)),"",VLOOKUP($R206&amp;AG$2,$C$3:$F$4001,3,0))</f>
        <v>41163</v>
      </c>
      <c r="AH206" s="107">
        <f>IF(ISNA(VLOOKUP($R206&amp;AG$2,$C$3:$F$4001,4,0)),"",VLOOKUP($R206&amp;AG$2,$C$3:$F$4001,4,0))</f>
        <v>0.185</v>
      </c>
      <c r="AI206" s="106">
        <f>IF(ISNA(VLOOKUP($R206&amp;AI$2,$C$3:$F$4001,3,0)),"",VLOOKUP($R206&amp;AI$2,$C$3:$F$4001,3,0))</f>
        <v>41346</v>
      </c>
      <c r="AJ206" s="107">
        <f>IF(ISNA(VLOOKUP($R206&amp;AI$2,$C$3:$F$4001,4,0)),"",VLOOKUP($R206&amp;AI$2,$C$3:$F$4001,4,0))</f>
        <v>0.3</v>
      </c>
      <c r="AK206" s="106" t="str">
        <f>IF(ISNA(VLOOKUP($R206&amp;AK$2,$C$3:$F$4001,3,0)),"",VLOOKUP($R206&amp;AK$2,$C$3:$F$4001,3,0))</f>
        <v/>
      </c>
      <c r="AL206" s="107" t="str">
        <f>IF(ISNA(VLOOKUP($R206&amp;AK$2,$C$3:$F$4001,4,0)),"",VLOOKUP($R206&amp;AK$2,$C$3:$F$4001,4,0))</f>
        <v/>
      </c>
    </row>
    <row r="207" spans="3:38" x14ac:dyDescent="0.2">
      <c r="C207" s="96" t="str">
        <f t="shared" si="12"/>
        <v>AUW7</v>
      </c>
      <c r="D207" s="73" t="s">
        <v>84</v>
      </c>
      <c r="E207" s="100">
        <v>40974</v>
      </c>
      <c r="F207" s="101">
        <v>0.06</v>
      </c>
      <c r="G207" s="96">
        <f t="shared" si="13"/>
        <v>7</v>
      </c>
      <c r="I207" s="96"/>
      <c r="K207" t="str">
        <f t="shared" si="14"/>
        <v>AUW7</v>
      </c>
      <c r="L207" s="73" t="s">
        <v>84</v>
      </c>
      <c r="M207" s="72">
        <v>40974</v>
      </c>
      <c r="N207" s="84">
        <v>0.06</v>
      </c>
      <c r="O207" s="96">
        <f t="shared" si="15"/>
        <v>7</v>
      </c>
      <c r="P207" s="73"/>
      <c r="Q207" s="96"/>
      <c r="R207" s="96" t="str">
        <f>R206</f>
        <v>IRE</v>
      </c>
      <c r="S207" s="108">
        <f>IF(ISNA(VLOOKUP($R207&amp;S$2,$K$3:$N$4001,3,0)),"",VLOOKUP($R207&amp;S$2,$K$3:$N$4001,3,0))</f>
        <v>39883</v>
      </c>
      <c r="T207" s="109">
        <f>IF(ISNA(VLOOKUP($R207&amp;S$2,$K$3:$N$4001,4,0)),"",VLOOKUP($R207&amp;S$2,$K$3:$N$4001,4,0))</f>
        <v>0.17</v>
      </c>
      <c r="U207" s="108">
        <f>IF(ISNA(VLOOKUP($R207&amp;U$2,$K$3:$N$4001,3,0)),"",VLOOKUP($R207&amp;U$2,$K$3:$N$4001,3,0))</f>
        <v>40065</v>
      </c>
      <c r="V207" s="109">
        <f>IF(ISNA(VLOOKUP($R207&amp;U$2,$K$3:$N$4001,4,0)),"",VLOOKUP($R207&amp;U$2,$K$3:$N$4001,4,0))</f>
        <v>0.14000000000000001</v>
      </c>
      <c r="W207" s="108">
        <f>IF(ISNA(VLOOKUP($R207&amp;W$2,$K$3:$N$4001,3,0)),"",VLOOKUP($R207&amp;W$2,$K$3:$N$4001,3,0))</f>
        <v>40248</v>
      </c>
      <c r="X207" s="109">
        <f>IF(ISNA(VLOOKUP($R207&amp;W$2,$K$3:$N$4001,4,0)),"",VLOOKUP($R207&amp;W$2,$K$3:$N$4001,4,0))</f>
        <v>0.16</v>
      </c>
      <c r="Y207" s="108">
        <f>IF(ISNA(VLOOKUP($R207&amp;Y$2,$K$3:$N$4001,3,0)),"",VLOOKUP($R207&amp;Y$2,$K$3:$N$4001,3,0))</f>
        <v>40430</v>
      </c>
      <c r="Z207" s="109">
        <f>IF(ISNA(VLOOKUP($R207&amp;Y$2,$K$3:$N$4001,4,0)),"",VLOOKUP($R207&amp;Y$2,$K$3:$N$4001,4,0))</f>
        <v>0.16010000000000002</v>
      </c>
      <c r="AA207" s="108">
        <f>IF(ISNA(VLOOKUP($R207&amp;AA$2,$K$3:$N$4001,3,0)),"",VLOOKUP($R207&amp;AA$2,$K$3:$N$4001,3,0))</f>
        <v>40613</v>
      </c>
      <c r="AB207" s="109">
        <f>IF(ISNA(VLOOKUP($R207&amp;AA$2,$K$3:$N$4001,4,0)),"",VLOOKUP($R207&amp;AA$2,$K$3:$N$4001,4,0))</f>
        <v>0.18289999999999998</v>
      </c>
      <c r="AC207" s="108">
        <f>IF(ISNA(VLOOKUP($R207&amp;AC$2,$K$3:$N$4001,3,0)),"",VLOOKUP($R207&amp;AC$2,$K$3:$N$4001,3,0))</f>
        <v>40795</v>
      </c>
      <c r="AD207" s="109">
        <f>IF(ISNA(VLOOKUP($R207&amp;AC$2,$K$3:$N$4001,4,0)),"",VLOOKUP($R207&amp;AC$2,$K$3:$N$4001,4,0))</f>
        <v>0.19</v>
      </c>
      <c r="AE207" s="108">
        <f>IF(ISNA(VLOOKUP($R207&amp;AE$2,$K$3:$N$4001,3,0)),"",VLOOKUP($R207&amp;AE$2,$K$3:$N$4001,3,0))</f>
        <v>40981</v>
      </c>
      <c r="AF207" s="109">
        <f>IF(ISNA(VLOOKUP($R207&amp;AE$2,$K$3:$N$4001,4,0)),"",VLOOKUP($R207&amp;AE$2,$K$3:$N$4001,4,0))</f>
        <v>0.217</v>
      </c>
      <c r="AG207" s="108">
        <f>IF(ISNA(VLOOKUP($R207&amp;AG$2,$K$3:$N$4001,3,0)),"",VLOOKUP($R207&amp;AG$2,$K$3:$N$4001,3,0))</f>
        <v>41163</v>
      </c>
      <c r="AH207" s="109">
        <f>IF(ISNA(VLOOKUP($R207&amp;AG$2,$K$3:$N$4001,4,0)),"",VLOOKUP($R207&amp;AG$2,$K$3:$N$4001,4,0))</f>
        <v>0.185</v>
      </c>
      <c r="AI207" s="108">
        <f>IF(ISNA(VLOOKUP($R207&amp;AI$2,$K$3:$N$4001,3,0)),"",VLOOKUP($R207&amp;AI$2,$K$3:$N$4001,3,0))</f>
        <v>41346</v>
      </c>
      <c r="AJ207" s="109">
        <f>IF(ISNA(VLOOKUP($R207&amp;AI$2,$K$3:$N$4001,4,0)),"",VLOOKUP($R207&amp;AI$2,$K$3:$N$4001,4,0))</f>
        <v>0.3</v>
      </c>
      <c r="AK207" s="108" t="str">
        <f>IF(ISNA(VLOOKUP($R207&amp;AK$2,$K$3:$N$4001,3,0)),"",VLOOKUP($R207&amp;AK$2,$K$3:$N$4001,3,0))</f>
        <v/>
      </c>
      <c r="AL207" s="109" t="str">
        <f>IF(ISNA(VLOOKUP($R207&amp;AK$2,$K$3:$N$4001,4,0)),"",VLOOKUP($R207&amp;AK$2,$K$3:$N$4001,4,0))</f>
        <v/>
      </c>
    </row>
    <row r="208" spans="3:38" x14ac:dyDescent="0.2">
      <c r="C208" s="96" t="str">
        <f t="shared" si="12"/>
        <v>AUW8</v>
      </c>
      <c r="D208" s="73" t="s">
        <v>84</v>
      </c>
      <c r="E208" s="100">
        <v>41156</v>
      </c>
      <c r="F208" s="101">
        <v>7.0000000000000007E-2</v>
      </c>
      <c r="G208" s="96">
        <f t="shared" si="13"/>
        <v>8</v>
      </c>
      <c r="I208" s="96"/>
      <c r="K208" t="str">
        <f t="shared" si="14"/>
        <v>AUW8</v>
      </c>
      <c r="L208" s="73" t="s">
        <v>84</v>
      </c>
      <c r="M208" s="72">
        <v>41156</v>
      </c>
      <c r="N208" s="84">
        <v>7.0000000000000007E-2</v>
      </c>
      <c r="O208" s="96">
        <f t="shared" si="15"/>
        <v>8</v>
      </c>
      <c r="P208" s="73"/>
      <c r="Q208" s="96"/>
      <c r="R208" s="96" t="s">
        <v>158</v>
      </c>
      <c r="S208" s="106">
        <f>IF(ISNA(VLOOKUP($R208&amp;S$2,$C$3:$F$4001,3,0)),"",VLOOKUP($R208&amp;S$2,$C$3:$F$4001,3,0))</f>
        <v>40507</v>
      </c>
      <c r="T208" s="107">
        <f>IF(ISNA(VLOOKUP($R208&amp;S$2,$C$3:$F$4001,4,0)),"",VLOOKUP($R208&amp;S$2,$C$3:$F$4001,4,0))</f>
        <v>0.08</v>
      </c>
      <c r="U208" s="106">
        <f>IF(ISNA(VLOOKUP($R208&amp;U$2,$C$3:$F$4001,3,0)),"",VLOOKUP($R208&amp;U$2,$C$3:$F$4001,3,0))</f>
        <v>40694</v>
      </c>
      <c r="V208" s="107">
        <f>IF(ISNA(VLOOKUP($R208&amp;U$2,$C$3:$F$4001,4,0)),"",VLOOKUP($R208&amp;U$2,$C$3:$F$4001,4,0))</f>
        <v>0.12</v>
      </c>
      <c r="W208" s="106">
        <f>IF(ISNA(VLOOKUP($R208&amp;W$2,$C$3:$F$4001,3,0)),"",VLOOKUP($R208&amp;W$2,$C$3:$F$4001,3,0))</f>
        <v>40872</v>
      </c>
      <c r="X208" s="107">
        <f>IF(ISNA(VLOOKUP($R208&amp;W$2,$C$3:$F$4001,4,0)),"",VLOOKUP($R208&amp;W$2,$C$3:$F$4001,4,0))</f>
        <v>0.09</v>
      </c>
      <c r="Y208" s="106">
        <f>IF(ISNA(VLOOKUP($R208&amp;Y$2,$C$3:$F$4001,3,0)),"",VLOOKUP($R208&amp;Y$2,$C$3:$F$4001,3,0))</f>
        <v>41060</v>
      </c>
      <c r="Z208" s="107">
        <f>IF(ISNA(VLOOKUP($R208&amp;Y$2,$C$3:$F$4001,4,0)),"",VLOOKUP($R208&amp;Y$2,$C$3:$F$4001,4,0))</f>
        <v>0.15</v>
      </c>
      <c r="AA208" s="106">
        <f>IF(ISNA(VLOOKUP($R208&amp;AA$2,$C$3:$F$4001,3,0)),"",VLOOKUP($R208&amp;AA$2,$C$3:$F$4001,3,0))</f>
        <v>41240</v>
      </c>
      <c r="AB208" s="107">
        <f>IF(ISNA(VLOOKUP($R208&amp;AA$2,$C$3:$F$4001,4,0)),"",VLOOKUP($R208&amp;AA$2,$C$3:$F$4001,4,0))</f>
        <v>0.13</v>
      </c>
      <c r="AC208" s="106">
        <f>IF(ISNA(VLOOKUP($R208&amp;AC$2,$C$3:$F$4001,3,0)),"",VLOOKUP($R208&amp;AC$2,$C$3:$F$4001,3,0))</f>
        <v>41425</v>
      </c>
      <c r="AD208" s="107">
        <f>IF(ISNA(VLOOKUP($R208&amp;AC$2,$C$3:$F$4001,4,0)),"",VLOOKUP($R208&amp;AC$2,$C$3:$F$4001,4,0))</f>
        <v>0.18</v>
      </c>
      <c r="AE208" s="106" t="str">
        <f>IF(ISNA(VLOOKUP($R208&amp;AE$2,$C$3:$F$4001,3,0)),"",VLOOKUP($R208&amp;AE$2,$C$3:$F$4001,3,0))</f>
        <v/>
      </c>
      <c r="AF208" s="107" t="str">
        <f>IF(ISNA(VLOOKUP($R208&amp;AE$2,$C$3:$F$4001,4,0)),"",VLOOKUP($R208&amp;AE$2,$C$3:$F$4001,4,0))</f>
        <v/>
      </c>
      <c r="AG208" s="106" t="str">
        <f>IF(ISNA(VLOOKUP($R208&amp;AG$2,$C$3:$F$4001,3,0)),"",VLOOKUP($R208&amp;AG$2,$C$3:$F$4001,3,0))</f>
        <v/>
      </c>
      <c r="AH208" s="107" t="str">
        <f>IF(ISNA(VLOOKUP($R208&amp;AG$2,$C$3:$F$4001,4,0)),"",VLOOKUP($R208&amp;AG$2,$C$3:$F$4001,4,0))</f>
        <v/>
      </c>
      <c r="AI208" s="106" t="str">
        <f>IF(ISNA(VLOOKUP($R208&amp;AI$2,$C$3:$F$4001,3,0)),"",VLOOKUP($R208&amp;AI$2,$C$3:$F$4001,3,0))</f>
        <v/>
      </c>
      <c r="AJ208" s="107" t="str">
        <f>IF(ISNA(VLOOKUP($R208&amp;AI$2,$C$3:$F$4001,4,0)),"",VLOOKUP($R208&amp;AI$2,$C$3:$F$4001,4,0))</f>
        <v/>
      </c>
      <c r="AK208" s="106" t="str">
        <f>IF(ISNA(VLOOKUP($R208&amp;AK$2,$C$3:$F$4001,3,0)),"",VLOOKUP($R208&amp;AK$2,$C$3:$F$4001,3,0))</f>
        <v/>
      </c>
      <c r="AL208" s="107" t="str">
        <f>IF(ISNA(VLOOKUP($R208&amp;AK$2,$C$3:$F$4001,4,0)),"",VLOOKUP($R208&amp;AK$2,$C$3:$F$4001,4,0))</f>
        <v/>
      </c>
    </row>
    <row r="209" spans="3:38" x14ac:dyDescent="0.2">
      <c r="C209" s="96" t="str">
        <f t="shared" si="12"/>
        <v>AUW9</v>
      </c>
      <c r="D209" s="73" t="s">
        <v>84</v>
      </c>
      <c r="E209" s="100">
        <v>41339</v>
      </c>
      <c r="F209" s="101">
        <v>0.06</v>
      </c>
      <c r="G209" s="96">
        <f t="shared" si="13"/>
        <v>9</v>
      </c>
      <c r="I209" s="96"/>
      <c r="K209" t="str">
        <f t="shared" si="14"/>
        <v>AUW9</v>
      </c>
      <c r="L209" s="73" t="s">
        <v>84</v>
      </c>
      <c r="M209" s="72">
        <v>41339</v>
      </c>
      <c r="N209" s="84">
        <v>0.06</v>
      </c>
      <c r="O209" s="96">
        <f t="shared" si="15"/>
        <v>9</v>
      </c>
      <c r="P209" s="73"/>
      <c r="Q209" s="96"/>
      <c r="R209" s="96" t="str">
        <f>R208</f>
        <v>JHX</v>
      </c>
      <c r="S209" s="108">
        <f>IF(ISNA(VLOOKUP($R209&amp;S$2,$K$3:$N$4001,3,0)),"",VLOOKUP($R209&amp;S$2,$K$3:$N$4001,3,0))</f>
        <v>40507</v>
      </c>
      <c r="T209" s="109">
        <f>IF(ISNA(VLOOKUP($R209&amp;S$2,$K$3:$N$4001,4,0)),"",VLOOKUP($R209&amp;S$2,$K$3:$N$4001,4,0))</f>
        <v>0.08</v>
      </c>
      <c r="U209" s="108">
        <f>IF(ISNA(VLOOKUP($R209&amp;U$2,$K$3:$N$4001,3,0)),"",VLOOKUP($R209&amp;U$2,$K$3:$N$4001,3,0))</f>
        <v>40694</v>
      </c>
      <c r="V209" s="109">
        <f>IF(ISNA(VLOOKUP($R209&amp;U$2,$K$3:$N$4001,4,0)),"",VLOOKUP($R209&amp;U$2,$K$3:$N$4001,4,0))</f>
        <v>0.12</v>
      </c>
      <c r="W209" s="108">
        <f>IF(ISNA(VLOOKUP($R209&amp;W$2,$K$3:$N$4001,3,0)),"",VLOOKUP($R209&amp;W$2,$K$3:$N$4001,3,0))</f>
        <v>40872</v>
      </c>
      <c r="X209" s="109">
        <f>IF(ISNA(VLOOKUP($R209&amp;W$2,$K$3:$N$4001,4,0)),"",VLOOKUP($R209&amp;W$2,$K$3:$N$4001,4,0))</f>
        <v>0.09</v>
      </c>
      <c r="Y209" s="108">
        <f>IF(ISNA(VLOOKUP($R209&amp;Y$2,$K$3:$N$4001,3,0)),"",VLOOKUP($R209&amp;Y$2,$K$3:$N$4001,3,0))</f>
        <v>41060</v>
      </c>
      <c r="Z209" s="109">
        <f>IF(ISNA(VLOOKUP($R209&amp;Y$2,$K$3:$N$4001,4,0)),"",VLOOKUP($R209&amp;Y$2,$K$3:$N$4001,4,0))</f>
        <v>0.15</v>
      </c>
      <c r="AA209" s="108">
        <f>IF(ISNA(VLOOKUP($R209&amp;AA$2,$K$3:$N$4001,3,0)),"",VLOOKUP($R209&amp;AA$2,$K$3:$N$4001,3,0))</f>
        <v>41240</v>
      </c>
      <c r="AB209" s="109">
        <f>IF(ISNA(VLOOKUP($R209&amp;AA$2,$K$3:$N$4001,4,0)),"",VLOOKUP($R209&amp;AA$2,$K$3:$N$4001,4,0))</f>
        <v>0.13</v>
      </c>
      <c r="AC209" s="108">
        <f>IF(ISNA(VLOOKUP($R209&amp;AC$2,$K$3:$N$4001,3,0)),"",VLOOKUP($R209&amp;AC$2,$K$3:$N$4001,3,0))</f>
        <v>41425</v>
      </c>
      <c r="AD209" s="109">
        <f>IF(ISNA(VLOOKUP($R209&amp;AC$2,$K$3:$N$4001,4,0)),"",VLOOKUP($R209&amp;AC$2,$K$3:$N$4001,4,0))</f>
        <v>0.18</v>
      </c>
      <c r="AE209" s="108" t="str">
        <f>IF(ISNA(VLOOKUP($R209&amp;AE$2,$K$3:$N$4001,3,0)),"",VLOOKUP($R209&amp;AE$2,$K$3:$N$4001,3,0))</f>
        <v/>
      </c>
      <c r="AF209" s="109" t="str">
        <f>IF(ISNA(VLOOKUP($R209&amp;AE$2,$K$3:$N$4001,4,0)),"",VLOOKUP($R209&amp;AE$2,$K$3:$N$4001,4,0))</f>
        <v/>
      </c>
      <c r="AG209" s="108" t="str">
        <f>IF(ISNA(VLOOKUP($R209&amp;AG$2,$K$3:$N$4001,3,0)),"",VLOOKUP($R209&amp;AG$2,$K$3:$N$4001,3,0))</f>
        <v/>
      </c>
      <c r="AH209" s="109" t="str">
        <f>IF(ISNA(VLOOKUP($R209&amp;AG$2,$K$3:$N$4001,4,0)),"",VLOOKUP($R209&amp;AG$2,$K$3:$N$4001,4,0))</f>
        <v/>
      </c>
      <c r="AI209" s="108" t="str">
        <f>IF(ISNA(VLOOKUP($R209&amp;AI$2,$K$3:$N$4001,3,0)),"",VLOOKUP($R209&amp;AI$2,$K$3:$N$4001,3,0))</f>
        <v/>
      </c>
      <c r="AJ209" s="109" t="str">
        <f>IF(ISNA(VLOOKUP($R209&amp;AI$2,$K$3:$N$4001,4,0)),"",VLOOKUP($R209&amp;AI$2,$K$3:$N$4001,4,0))</f>
        <v/>
      </c>
      <c r="AK209" s="108" t="str">
        <f>IF(ISNA(VLOOKUP($R209&amp;AK$2,$K$3:$N$4001,3,0)),"",VLOOKUP($R209&amp;AK$2,$K$3:$N$4001,3,0))</f>
        <v/>
      </c>
      <c r="AL209" s="109" t="str">
        <f>IF(ISNA(VLOOKUP($R209&amp;AK$2,$K$3:$N$4001,4,0)),"",VLOOKUP($R209&amp;AK$2,$K$3:$N$4001,4,0))</f>
        <v/>
      </c>
    </row>
    <row r="210" spans="3:38" x14ac:dyDescent="0.2">
      <c r="C210" s="96" t="str">
        <f t="shared" si="12"/>
        <v>AUW10</v>
      </c>
      <c r="D210" s="73" t="s">
        <v>84</v>
      </c>
      <c r="E210" s="100">
        <v>41521</v>
      </c>
      <c r="F210" s="101">
        <v>7.4999999999999997E-2</v>
      </c>
      <c r="G210" s="96">
        <f t="shared" si="13"/>
        <v>10</v>
      </c>
      <c r="I210" s="96"/>
      <c r="K210" t="str">
        <f t="shared" si="14"/>
        <v>AUW10</v>
      </c>
      <c r="L210" s="73" t="s">
        <v>84</v>
      </c>
      <c r="M210" s="72">
        <v>41521</v>
      </c>
      <c r="N210" s="84">
        <v>7.4999999999999997E-2</v>
      </c>
      <c r="O210" s="96">
        <f t="shared" si="15"/>
        <v>10</v>
      </c>
      <c r="P210" s="73"/>
      <c r="Q210" s="96"/>
      <c r="R210" s="96" t="s">
        <v>157</v>
      </c>
      <c r="S210" s="106">
        <f>IF(ISNA(VLOOKUP($R210&amp;S$2,$C$3:$F$4001,3,0)),"",VLOOKUP($R210&amp;S$2,$C$3:$F$4001,3,0))</f>
        <v>39861</v>
      </c>
      <c r="T210" s="107">
        <f>IF(ISNA(VLOOKUP($R210&amp;S$2,$C$3:$F$4001,4,0)),"",VLOOKUP($R210&amp;S$2,$C$3:$F$4001,4,0))</f>
        <v>0.1</v>
      </c>
      <c r="U210" s="106">
        <f>IF(ISNA(VLOOKUP($R210&amp;U$2,$C$3:$F$4001,3,0)),"",VLOOKUP($R210&amp;U$2,$C$3:$F$4001,3,0))</f>
        <v>40049</v>
      </c>
      <c r="V210" s="107">
        <f>IF(ISNA(VLOOKUP($R210&amp;U$2,$C$3:$F$4001,4,0)),"",VLOOKUP($R210&amp;U$2,$C$3:$F$4001,4,0))</f>
        <v>0.17</v>
      </c>
      <c r="W210" s="106">
        <f>IF(ISNA(VLOOKUP($R210&amp;W$2,$C$3:$F$4001,3,0)),"",VLOOKUP($R210&amp;W$2,$C$3:$F$4001,3,0))</f>
        <v>40226</v>
      </c>
      <c r="X210" s="107">
        <f>IF(ISNA(VLOOKUP($R210&amp;W$2,$C$3:$F$4001,4,0)),"",VLOOKUP($R210&amp;W$2,$C$3:$F$4001,4,0))</f>
        <v>0.1363</v>
      </c>
      <c r="Y210" s="106">
        <f>IF(ISNA(VLOOKUP($R210&amp;Y$2,$C$3:$F$4001,3,0)),"",VLOOKUP($R210&amp;Y$2,$C$3:$F$4001,3,0))</f>
        <v>40414</v>
      </c>
      <c r="Z210" s="107">
        <f>IF(ISNA(VLOOKUP($R210&amp;Y$2,$C$3:$F$4001,4,0)),"",VLOOKUP($R210&amp;Y$2,$C$3:$F$4001,4,0))</f>
        <v>0.23170000000000002</v>
      </c>
      <c r="AA210" s="106">
        <f>IF(ISNA(VLOOKUP($R210&amp;AA$2,$C$3:$F$4001,3,0)),"",VLOOKUP($R210&amp;AA$2,$C$3:$F$4001,3,0))</f>
        <v>40591</v>
      </c>
      <c r="AB210" s="107">
        <f>IF(ISNA(VLOOKUP($R210&amp;AA$2,$C$3:$F$4001,4,0)),"",VLOOKUP($R210&amp;AA$2,$C$3:$F$4001,4,0))</f>
        <v>0.15590000000000001</v>
      </c>
      <c r="AC210" s="106">
        <f>IF(ISNA(VLOOKUP($R210&amp;AC$2,$C$3:$F$4001,3,0)),"",VLOOKUP($R210&amp;AC$2,$C$3:$F$4001,3,0))</f>
        <v>40779</v>
      </c>
      <c r="AD210" s="107">
        <f>IF(ISNA(VLOOKUP($R210&amp;AC$2,$C$3:$F$4001,4,0)),"",VLOOKUP($R210&amp;AC$2,$C$3:$F$4001,4,0))</f>
        <v>0.2651</v>
      </c>
      <c r="AE210" s="106">
        <f>IF(ISNA(VLOOKUP($R210&amp;AE$2,$C$3:$F$4001,3,0)),"",VLOOKUP($R210&amp;AE$2,$C$3:$F$4001,3,0))</f>
        <v>40956</v>
      </c>
      <c r="AF210" s="107">
        <f>IF(ISNA(VLOOKUP($R210&amp;AE$2,$C$3:$F$4001,4,0)),"",VLOOKUP($R210&amp;AE$2,$C$3:$F$4001,4,0))</f>
        <v>0.16850000000000001</v>
      </c>
      <c r="AG210" s="106">
        <f>IF(ISNA(VLOOKUP($R210&amp;AG$2,$C$3:$F$4001,3,0)),"",VLOOKUP($R210&amp;AG$2,$C$3:$F$4001,3,0))</f>
        <v>41145</v>
      </c>
      <c r="AH210" s="107">
        <f>IF(ISNA(VLOOKUP($R210&amp;AG$2,$C$3:$F$4001,4,0)),"",VLOOKUP($R210&amp;AG$2,$C$3:$F$4001,4,0))</f>
        <v>0.28649999999999998</v>
      </c>
      <c r="AI210" s="106">
        <f>IF(ISNA(VLOOKUP($R210&amp;AI$2,$C$3:$F$4001,3,0)),"",VLOOKUP($R210&amp;AI$2,$C$3:$F$4001,3,0))</f>
        <v>41324</v>
      </c>
      <c r="AJ210" s="107">
        <f>IF(ISNA(VLOOKUP($R210&amp;AI$2,$C$3:$F$4001,4,0)),"",VLOOKUP($R210&amp;AI$2,$C$3:$F$4001,4,0))</f>
        <v>0.22329999999999997</v>
      </c>
      <c r="AK210" s="106">
        <f>IF(ISNA(VLOOKUP($R210&amp;AK$2,$C$3:$F$4001,3,0)),"",VLOOKUP($R210&amp;AK$2,$C$3:$F$4001,3,0))</f>
        <v>41512</v>
      </c>
      <c r="AL210" s="107">
        <f>IF(ISNA(VLOOKUP($R210&amp;AK$2,$C$3:$F$4001,4,0)),"",VLOOKUP($R210&amp;AK$2,$C$3:$F$4001,4,0))</f>
        <v>0.37969999999999998</v>
      </c>
    </row>
    <row r="211" spans="3:38" x14ac:dyDescent="0.2">
      <c r="C211" s="96" t="str">
        <f t="shared" si="12"/>
        <v>AWB1</v>
      </c>
      <c r="D211" s="73" t="s">
        <v>85</v>
      </c>
      <c r="E211" s="100">
        <v>39965</v>
      </c>
      <c r="F211" s="101">
        <v>0.05</v>
      </c>
      <c r="G211" s="96">
        <f t="shared" si="13"/>
        <v>1</v>
      </c>
      <c r="I211" s="96"/>
      <c r="K211" t="str">
        <f t="shared" si="14"/>
        <v>AWB1</v>
      </c>
      <c r="L211" s="73" t="s">
        <v>85</v>
      </c>
      <c r="M211" s="72">
        <v>39965</v>
      </c>
      <c r="N211" s="84">
        <v>0.05</v>
      </c>
      <c r="O211" s="96">
        <f t="shared" si="15"/>
        <v>1</v>
      </c>
      <c r="P211" s="73"/>
      <c r="Q211" s="96"/>
      <c r="R211" s="96" t="str">
        <f>R210</f>
        <v>JBH</v>
      </c>
      <c r="S211" s="108">
        <f>IF(ISNA(VLOOKUP($R211&amp;S$2,$K$3:$N$4001,3,0)),"",VLOOKUP($R211&amp;S$2,$K$3:$N$4001,3,0))</f>
        <v>39861</v>
      </c>
      <c r="T211" s="109">
        <f>IF(ISNA(VLOOKUP($R211&amp;S$2,$K$3:$N$4001,4,0)),"",VLOOKUP($R211&amp;S$2,$K$3:$N$4001,4,0))</f>
        <v>0.1</v>
      </c>
      <c r="U211" s="108">
        <f>IF(ISNA(VLOOKUP($R211&amp;U$2,$K$3:$N$4001,3,0)),"",VLOOKUP($R211&amp;U$2,$K$3:$N$4001,3,0))</f>
        <v>40049</v>
      </c>
      <c r="V211" s="109">
        <f>IF(ISNA(VLOOKUP($R211&amp;U$2,$K$3:$N$4001,4,0)),"",VLOOKUP($R211&amp;U$2,$K$3:$N$4001,4,0))</f>
        <v>0.17</v>
      </c>
      <c r="W211" s="108">
        <f>IF(ISNA(VLOOKUP($R211&amp;W$2,$K$3:$N$4001,3,0)),"",VLOOKUP($R211&amp;W$2,$K$3:$N$4001,3,0))</f>
        <v>40226</v>
      </c>
      <c r="X211" s="109">
        <f>IF(ISNA(VLOOKUP($R211&amp;W$2,$K$3:$N$4001,4,0)),"",VLOOKUP($R211&amp;W$2,$K$3:$N$4001,4,0))</f>
        <v>0.1363</v>
      </c>
      <c r="Y211" s="108">
        <f>IF(ISNA(VLOOKUP($R211&amp;Y$2,$K$3:$N$4001,3,0)),"",VLOOKUP($R211&amp;Y$2,$K$3:$N$4001,3,0))</f>
        <v>40414</v>
      </c>
      <c r="Z211" s="109">
        <f>IF(ISNA(VLOOKUP($R211&amp;Y$2,$K$3:$N$4001,4,0)),"",VLOOKUP($R211&amp;Y$2,$K$3:$N$4001,4,0))</f>
        <v>0.23170000000000002</v>
      </c>
      <c r="AA211" s="108">
        <f>IF(ISNA(VLOOKUP($R211&amp;AA$2,$K$3:$N$4001,3,0)),"",VLOOKUP($R211&amp;AA$2,$K$3:$N$4001,3,0))</f>
        <v>40591</v>
      </c>
      <c r="AB211" s="109">
        <f>IF(ISNA(VLOOKUP($R211&amp;AA$2,$K$3:$N$4001,4,0)),"",VLOOKUP($R211&amp;AA$2,$K$3:$N$4001,4,0))</f>
        <v>0.15590000000000001</v>
      </c>
      <c r="AC211" s="108">
        <f>IF(ISNA(VLOOKUP($R211&amp;AC$2,$K$3:$N$4001,3,0)),"",VLOOKUP($R211&amp;AC$2,$K$3:$N$4001,3,0))</f>
        <v>40779</v>
      </c>
      <c r="AD211" s="109">
        <f>IF(ISNA(VLOOKUP($R211&amp;AC$2,$K$3:$N$4001,4,0)),"",VLOOKUP($R211&amp;AC$2,$K$3:$N$4001,4,0))</f>
        <v>0.2651</v>
      </c>
      <c r="AE211" s="108">
        <f>IF(ISNA(VLOOKUP($R211&amp;AE$2,$K$3:$N$4001,3,0)),"",VLOOKUP($R211&amp;AE$2,$K$3:$N$4001,3,0))</f>
        <v>40956</v>
      </c>
      <c r="AF211" s="109">
        <f>IF(ISNA(VLOOKUP($R211&amp;AE$2,$K$3:$N$4001,4,0)),"",VLOOKUP($R211&amp;AE$2,$K$3:$N$4001,4,0))</f>
        <v>0.16850000000000001</v>
      </c>
      <c r="AG211" s="108">
        <f>IF(ISNA(VLOOKUP($R211&amp;AG$2,$K$3:$N$4001,3,0)),"",VLOOKUP($R211&amp;AG$2,$K$3:$N$4001,3,0))</f>
        <v>41145</v>
      </c>
      <c r="AH211" s="109">
        <f>IF(ISNA(VLOOKUP($R211&amp;AG$2,$K$3:$N$4001,4,0)),"",VLOOKUP($R211&amp;AG$2,$K$3:$N$4001,4,0))</f>
        <v>0.28649999999999998</v>
      </c>
      <c r="AI211" s="108">
        <f>IF(ISNA(VLOOKUP($R211&amp;AI$2,$K$3:$N$4001,3,0)),"",VLOOKUP($R211&amp;AI$2,$K$3:$N$4001,3,0))</f>
        <v>41324</v>
      </c>
      <c r="AJ211" s="109">
        <f>IF(ISNA(VLOOKUP($R211&amp;AI$2,$K$3:$N$4001,4,0)),"",VLOOKUP($R211&amp;AI$2,$K$3:$N$4001,4,0))</f>
        <v>0.22329999999999997</v>
      </c>
      <c r="AK211" s="108">
        <f>IF(ISNA(VLOOKUP($R211&amp;AK$2,$K$3:$N$4001,3,0)),"",VLOOKUP($R211&amp;AK$2,$K$3:$N$4001,3,0))</f>
        <v>41512</v>
      </c>
      <c r="AL211" s="109">
        <f>IF(ISNA(VLOOKUP($R211&amp;AK$2,$K$3:$N$4001,4,0)),"",VLOOKUP($R211&amp;AK$2,$K$3:$N$4001,4,0))</f>
        <v>0.37969999999999998</v>
      </c>
    </row>
    <row r="212" spans="3:38" x14ac:dyDescent="0.2">
      <c r="C212" s="96" t="str">
        <f t="shared" si="12"/>
        <v>AWB2</v>
      </c>
      <c r="D212" s="73" t="s">
        <v>85</v>
      </c>
      <c r="E212" s="100">
        <v>40141</v>
      </c>
      <c r="F212" s="101">
        <v>0.05</v>
      </c>
      <c r="G212" s="96">
        <f t="shared" si="13"/>
        <v>2</v>
      </c>
      <c r="I212" s="96"/>
      <c r="K212" t="str">
        <f t="shared" si="14"/>
        <v>AWB2</v>
      </c>
      <c r="L212" s="73" t="s">
        <v>85</v>
      </c>
      <c r="M212" s="72">
        <v>40141</v>
      </c>
      <c r="N212" s="84">
        <v>0.05</v>
      </c>
      <c r="O212" s="96">
        <f t="shared" si="15"/>
        <v>2</v>
      </c>
      <c r="P212" s="73"/>
      <c r="Q212" s="96"/>
      <c r="R212" s="96" t="s">
        <v>160</v>
      </c>
      <c r="S212" s="106">
        <f>IF(ISNA(VLOOKUP($R212&amp;S$2,$C$3:$F$4001,3,0)),"",VLOOKUP($R212&amp;S$2,$C$3:$F$4001,3,0))</f>
        <v>40093</v>
      </c>
      <c r="T212" s="107">
        <f>IF(ISNA(VLOOKUP($R212&amp;S$2,$C$3:$F$4001,4,0)),"",VLOOKUP($R212&amp;S$2,$C$3:$F$4001,4,0))</f>
        <v>0.12</v>
      </c>
      <c r="U212" s="106">
        <f>IF(ISNA(VLOOKUP($R212&amp;U$2,$C$3:$F$4001,3,0)),"",VLOOKUP($R212&amp;U$2,$C$3:$F$4001,3,0))</f>
        <v>40458</v>
      </c>
      <c r="V212" s="107">
        <f>IF(ISNA(VLOOKUP($R212&amp;U$2,$C$3:$F$4001,4,0)),"",VLOOKUP($R212&amp;U$2,$C$3:$F$4001,4,0))</f>
        <v>8.0000000000000002E-3</v>
      </c>
      <c r="W212" s="106">
        <f>IF(ISNA(VLOOKUP($R212&amp;W$2,$C$3:$F$4001,3,0)),"",VLOOKUP($R212&amp;W$2,$C$3:$F$4001,3,0))</f>
        <v>40823</v>
      </c>
      <c r="X212" s="107">
        <f>IF(ISNA(VLOOKUP($R212&amp;W$2,$C$3:$F$4001,4,0)),"",VLOOKUP($R212&amp;W$2,$C$3:$F$4001,4,0))</f>
        <v>5.7000000000000002E-2</v>
      </c>
      <c r="Y212" s="106">
        <f>IF(ISNA(VLOOKUP($R212&amp;Y$2,$C$3:$F$4001,3,0)),"",VLOOKUP($R212&amp;Y$2,$C$3:$F$4001,3,0))</f>
        <v>41191</v>
      </c>
      <c r="Z212" s="107">
        <f>IF(ISNA(VLOOKUP($R212&amp;Y$2,$C$3:$F$4001,4,0)),"",VLOOKUP($R212&amp;Y$2,$C$3:$F$4001,4,0))</f>
        <v>0.14000000000000001</v>
      </c>
      <c r="AA212" s="106">
        <f>IF(ISNA(VLOOKUP($R212&amp;AA$2,$C$3:$F$4001,3,0)),"",VLOOKUP($R212&amp;AA$2,$C$3:$F$4001,3,0))</f>
        <v>41556</v>
      </c>
      <c r="AB212" s="107">
        <f>IF(ISNA(VLOOKUP($R212&amp;AA$2,$C$3:$F$4001,4,0)),"",VLOOKUP($R212&amp;AA$2,$C$3:$F$4001,4,0))</f>
        <v>0.15</v>
      </c>
      <c r="AC212" s="106" t="str">
        <f>IF(ISNA(VLOOKUP($R212&amp;AC$2,$C$3:$F$4001,3,0)),"",VLOOKUP($R212&amp;AC$2,$C$3:$F$4001,3,0))</f>
        <v/>
      </c>
      <c r="AD212" s="107" t="str">
        <f>IF(ISNA(VLOOKUP($R212&amp;AC$2,$C$3:$F$4001,4,0)),"",VLOOKUP($R212&amp;AC$2,$C$3:$F$4001,4,0))</f>
        <v/>
      </c>
      <c r="AE212" s="106" t="str">
        <f>IF(ISNA(VLOOKUP($R212&amp;AE$2,$C$3:$F$4001,3,0)),"",VLOOKUP($R212&amp;AE$2,$C$3:$F$4001,3,0))</f>
        <v/>
      </c>
      <c r="AF212" s="107" t="str">
        <f>IF(ISNA(VLOOKUP($R212&amp;AE$2,$C$3:$F$4001,4,0)),"",VLOOKUP($R212&amp;AE$2,$C$3:$F$4001,4,0))</f>
        <v/>
      </c>
      <c r="AG212" s="106" t="str">
        <f>IF(ISNA(VLOOKUP($R212&amp;AG$2,$C$3:$F$4001,3,0)),"",VLOOKUP($R212&amp;AG$2,$C$3:$F$4001,3,0))</f>
        <v/>
      </c>
      <c r="AH212" s="107" t="str">
        <f>IF(ISNA(VLOOKUP($R212&amp;AG$2,$C$3:$F$4001,4,0)),"",VLOOKUP($R212&amp;AG$2,$C$3:$F$4001,4,0))</f>
        <v/>
      </c>
      <c r="AI212" s="106" t="str">
        <f>IF(ISNA(VLOOKUP($R212&amp;AI$2,$C$3:$F$4001,3,0)),"",VLOOKUP($R212&amp;AI$2,$C$3:$F$4001,3,0))</f>
        <v/>
      </c>
      <c r="AJ212" s="107" t="str">
        <f>IF(ISNA(VLOOKUP($R212&amp;AI$2,$C$3:$F$4001,4,0)),"",VLOOKUP($R212&amp;AI$2,$C$3:$F$4001,4,0))</f>
        <v/>
      </c>
      <c r="AK212" s="106" t="str">
        <f>IF(ISNA(VLOOKUP($R212&amp;AK$2,$C$3:$F$4001,3,0)),"",VLOOKUP($R212&amp;AK$2,$C$3:$F$4001,3,0))</f>
        <v/>
      </c>
      <c r="AL212" s="107" t="str">
        <f>IF(ISNA(VLOOKUP($R212&amp;AK$2,$C$3:$F$4001,4,0)),"",VLOOKUP($R212&amp;AK$2,$C$3:$F$4001,4,0))</f>
        <v/>
      </c>
    </row>
    <row r="213" spans="3:38" x14ac:dyDescent="0.2">
      <c r="C213" s="96" t="str">
        <f t="shared" si="12"/>
        <v>AWB3</v>
      </c>
      <c r="D213" s="73" t="s">
        <v>85</v>
      </c>
      <c r="E213" s="100">
        <v>40330</v>
      </c>
      <c r="F213" s="101">
        <v>5.5E-2</v>
      </c>
      <c r="G213" s="96">
        <f t="shared" si="13"/>
        <v>3</v>
      </c>
      <c r="I213" s="96"/>
      <c r="K213" t="str">
        <f t="shared" si="14"/>
        <v>AWB3</v>
      </c>
      <c r="L213" s="73" t="s">
        <v>85</v>
      </c>
      <c r="M213" s="72">
        <v>40330</v>
      </c>
      <c r="N213" s="84">
        <v>5.5E-2</v>
      </c>
      <c r="O213" s="96">
        <f t="shared" si="15"/>
        <v>3</v>
      </c>
      <c r="P213" s="73"/>
      <c r="Q213" s="96"/>
      <c r="R213" s="96" t="str">
        <f>R212</f>
        <v>KZL</v>
      </c>
      <c r="S213" s="108">
        <f>IF(ISNA(VLOOKUP($R213&amp;S$2,$K$3:$N$4001,3,0)),"",VLOOKUP($R213&amp;S$2,$K$3:$N$4001,3,0))</f>
        <v>40093</v>
      </c>
      <c r="T213" s="109">
        <f>IF(ISNA(VLOOKUP($R213&amp;S$2,$K$3:$N$4001,4,0)),"",VLOOKUP($R213&amp;S$2,$K$3:$N$4001,4,0))</f>
        <v>0.12</v>
      </c>
      <c r="U213" s="108">
        <f>IF(ISNA(VLOOKUP($R213&amp;U$2,$K$3:$N$4001,3,0)),"",VLOOKUP($R213&amp;U$2,$K$3:$N$4001,3,0))</f>
        <v>40458</v>
      </c>
      <c r="V213" s="109">
        <f>IF(ISNA(VLOOKUP($R213&amp;U$2,$K$3:$N$4001,4,0)),"",VLOOKUP($R213&amp;U$2,$K$3:$N$4001,4,0))</f>
        <v>8.0000000000000002E-3</v>
      </c>
      <c r="W213" s="108">
        <f>IF(ISNA(VLOOKUP($R213&amp;W$2,$K$3:$N$4001,3,0)),"",VLOOKUP($R213&amp;W$2,$K$3:$N$4001,3,0))</f>
        <v>40823</v>
      </c>
      <c r="X213" s="109">
        <f>IF(ISNA(VLOOKUP($R213&amp;W$2,$K$3:$N$4001,4,0)),"",VLOOKUP($R213&amp;W$2,$K$3:$N$4001,4,0))</f>
        <v>5.7000000000000002E-2</v>
      </c>
      <c r="Y213" s="108">
        <f>IF(ISNA(VLOOKUP($R213&amp;Y$2,$K$3:$N$4001,3,0)),"",VLOOKUP($R213&amp;Y$2,$K$3:$N$4001,3,0))</f>
        <v>41191</v>
      </c>
      <c r="Z213" s="109">
        <f>IF(ISNA(VLOOKUP($R213&amp;Y$2,$K$3:$N$4001,4,0)),"",VLOOKUP($R213&amp;Y$2,$K$3:$N$4001,4,0))</f>
        <v>0.14000000000000001</v>
      </c>
      <c r="AA213" s="108">
        <f>IF(ISNA(VLOOKUP($R213&amp;AA$2,$K$3:$N$4001,3,0)),"",VLOOKUP($R213&amp;AA$2,$K$3:$N$4001,3,0))</f>
        <v>41556</v>
      </c>
      <c r="AB213" s="109">
        <f>IF(ISNA(VLOOKUP($R213&amp;AA$2,$K$3:$N$4001,4,0)),"",VLOOKUP($R213&amp;AA$2,$K$3:$N$4001,4,0))</f>
        <v>0.15</v>
      </c>
      <c r="AC213" s="108" t="str">
        <f>IF(ISNA(VLOOKUP($R213&amp;AC$2,$K$3:$N$4001,3,0)),"",VLOOKUP($R213&amp;AC$2,$K$3:$N$4001,3,0))</f>
        <v/>
      </c>
      <c r="AD213" s="109" t="str">
        <f>IF(ISNA(VLOOKUP($R213&amp;AC$2,$K$3:$N$4001,4,0)),"",VLOOKUP($R213&amp;AC$2,$K$3:$N$4001,4,0))</f>
        <v/>
      </c>
      <c r="AE213" s="108" t="str">
        <f>IF(ISNA(VLOOKUP($R213&amp;AE$2,$K$3:$N$4001,3,0)),"",VLOOKUP($R213&amp;AE$2,$K$3:$N$4001,3,0))</f>
        <v/>
      </c>
      <c r="AF213" s="109" t="str">
        <f>IF(ISNA(VLOOKUP($R213&amp;AE$2,$K$3:$N$4001,4,0)),"",VLOOKUP($R213&amp;AE$2,$K$3:$N$4001,4,0))</f>
        <v/>
      </c>
      <c r="AG213" s="108" t="str">
        <f>IF(ISNA(VLOOKUP($R213&amp;AG$2,$K$3:$N$4001,3,0)),"",VLOOKUP($R213&amp;AG$2,$K$3:$N$4001,3,0))</f>
        <v/>
      </c>
      <c r="AH213" s="109" t="str">
        <f>IF(ISNA(VLOOKUP($R213&amp;AG$2,$K$3:$N$4001,4,0)),"",VLOOKUP($R213&amp;AG$2,$K$3:$N$4001,4,0))</f>
        <v/>
      </c>
      <c r="AI213" s="108" t="str">
        <f>IF(ISNA(VLOOKUP($R213&amp;AI$2,$K$3:$N$4001,3,0)),"",VLOOKUP($R213&amp;AI$2,$K$3:$N$4001,3,0))</f>
        <v/>
      </c>
      <c r="AJ213" s="109" t="str">
        <f>IF(ISNA(VLOOKUP($R213&amp;AI$2,$K$3:$N$4001,4,0)),"",VLOOKUP($R213&amp;AI$2,$K$3:$N$4001,4,0))</f>
        <v/>
      </c>
      <c r="AK213" s="108" t="str">
        <f>IF(ISNA(VLOOKUP($R213&amp;AK$2,$K$3:$N$4001,3,0)),"",VLOOKUP($R213&amp;AK$2,$K$3:$N$4001,3,0))</f>
        <v/>
      </c>
      <c r="AL213" s="109" t="str">
        <f>IF(ISNA(VLOOKUP($R213&amp;AK$2,$K$3:$N$4001,4,0)),"",VLOOKUP($R213&amp;AK$2,$K$3:$N$4001,4,0))</f>
        <v/>
      </c>
    </row>
    <row r="214" spans="3:38" x14ac:dyDescent="0.2">
      <c r="C214" s="96" t="str">
        <f t="shared" si="12"/>
        <v>AWB4</v>
      </c>
      <c r="D214" s="73" t="s">
        <v>85</v>
      </c>
      <c r="E214" s="100">
        <v>40506</v>
      </c>
      <c r="F214" s="101">
        <v>5.5E-2</v>
      </c>
      <c r="G214" s="96">
        <f t="shared" si="13"/>
        <v>4</v>
      </c>
      <c r="I214" s="96"/>
      <c r="K214" t="str">
        <f t="shared" si="14"/>
        <v>AWB4</v>
      </c>
      <c r="L214" s="73" t="s">
        <v>85</v>
      </c>
      <c r="M214" s="72">
        <v>40506</v>
      </c>
      <c r="N214" s="84">
        <v>5.5E-2</v>
      </c>
      <c r="O214" s="96">
        <f t="shared" si="15"/>
        <v>4</v>
      </c>
      <c r="P214" s="73"/>
      <c r="Q214" s="96"/>
      <c r="R214" s="96" t="s">
        <v>247</v>
      </c>
      <c r="S214" s="106">
        <f>IF(ISNA(VLOOKUP($R214&amp;S$2,$C$3:$F$4001,3,0)),"",VLOOKUP($R214&amp;S$2,$C$3:$F$4001,3,0))</f>
        <v>39888</v>
      </c>
      <c r="T214" s="107">
        <f>IF(ISNA(VLOOKUP($R214&amp;S$2,$C$3:$F$4001,4,0)),"",VLOOKUP($R214&amp;S$2,$C$3:$F$4001,4,0))</f>
        <v>0.05</v>
      </c>
      <c r="U214" s="106">
        <f>IF(ISNA(VLOOKUP($R214&amp;U$2,$C$3:$F$4001,3,0)),"",VLOOKUP($R214&amp;U$2,$C$3:$F$4001,3,0))</f>
        <v>40070</v>
      </c>
      <c r="V214" s="107">
        <f>IF(ISNA(VLOOKUP($R214&amp;U$2,$C$3:$F$4001,4,0)),"",VLOOKUP($R214&amp;U$2,$C$3:$F$4001,4,0))</f>
        <v>0.05</v>
      </c>
      <c r="W214" s="106">
        <f>IF(ISNA(VLOOKUP($R214&amp;W$2,$C$3:$F$4001,3,0)),"",VLOOKUP($R214&amp;W$2,$C$3:$F$4001,3,0))</f>
        <v>40253</v>
      </c>
      <c r="X214" s="107">
        <f>IF(ISNA(VLOOKUP($R214&amp;W$2,$C$3:$F$4001,4,0)),"",VLOOKUP($R214&amp;W$2,$C$3:$F$4001,4,0))</f>
        <v>0.05</v>
      </c>
      <c r="Y214" s="106">
        <f>IF(ISNA(VLOOKUP($R214&amp;Y$2,$C$3:$F$4001,3,0)),"",VLOOKUP($R214&amp;Y$2,$C$3:$F$4001,3,0))</f>
        <v>40435</v>
      </c>
      <c r="Z214" s="107">
        <f>IF(ISNA(VLOOKUP($R214&amp;Y$2,$C$3:$F$4001,4,0)),"",VLOOKUP($R214&amp;Y$2,$C$3:$F$4001,4,0))</f>
        <v>0.05</v>
      </c>
      <c r="AA214" s="106">
        <f>IF(ISNA(VLOOKUP($R214&amp;AA$2,$C$3:$F$4001,3,0)),"",VLOOKUP($R214&amp;AA$2,$C$3:$F$4001,3,0))</f>
        <v>40618</v>
      </c>
      <c r="AB214" s="107">
        <f>IF(ISNA(VLOOKUP($R214&amp;AA$2,$C$3:$F$4001,4,0)),"",VLOOKUP($R214&amp;AA$2,$C$3:$F$4001,4,0))</f>
        <v>0.05</v>
      </c>
      <c r="AC214" s="106">
        <f>IF(ISNA(VLOOKUP($R214&amp;AC$2,$C$3:$F$4001,3,0)),"",VLOOKUP($R214&amp;AC$2,$C$3:$F$4001,3,0))</f>
        <v>40800</v>
      </c>
      <c r="AD214" s="107">
        <f>IF(ISNA(VLOOKUP($R214&amp;AC$2,$C$3:$F$4001,4,0)),"",VLOOKUP($R214&amp;AC$2,$C$3:$F$4001,4,0))</f>
        <v>0.05</v>
      </c>
      <c r="AE214" s="106">
        <f>IF(ISNA(VLOOKUP($R214&amp;AE$2,$C$3:$F$4001,3,0)),"",VLOOKUP($R214&amp;AE$2,$C$3:$F$4001,3,0))</f>
        <v>40984</v>
      </c>
      <c r="AF214" s="107">
        <f>IF(ISNA(VLOOKUP($R214&amp;AE$2,$C$3:$F$4001,4,0)),"",VLOOKUP($R214&amp;AE$2,$C$3:$F$4001,4,0))</f>
        <v>7.4999999999999997E-2</v>
      </c>
      <c r="AG214" s="106">
        <f>IF(ISNA(VLOOKUP($R214&amp;AG$2,$C$3:$F$4001,3,0)),"",VLOOKUP($R214&amp;AG$2,$C$3:$F$4001,3,0))</f>
        <v>41166</v>
      </c>
      <c r="AH214" s="107">
        <f>IF(ISNA(VLOOKUP($R214&amp;AG$2,$C$3:$F$4001,4,0)),"",VLOOKUP($R214&amp;AG$2,$C$3:$F$4001,4,0))</f>
        <v>7.4999999999999997E-2</v>
      </c>
      <c r="AI214" s="106">
        <f>IF(ISNA(VLOOKUP($R214&amp;AI$2,$C$3:$F$4001,3,0)),"",VLOOKUP($R214&amp;AI$2,$C$3:$F$4001,3,0))</f>
        <v>41351</v>
      </c>
      <c r="AJ214" s="107">
        <f>IF(ISNA(VLOOKUP($R214&amp;AI$2,$C$3:$F$4001,4,0)),"",VLOOKUP($R214&amp;AI$2,$C$3:$F$4001,4,0))</f>
        <v>0.1</v>
      </c>
      <c r="AK214" s="106">
        <f>IF(ISNA(VLOOKUP($R214&amp;AK$2,$C$3:$F$4001,3,0)),"",VLOOKUP($R214&amp;AK$2,$C$3:$F$4001,3,0))</f>
        <v>41533</v>
      </c>
      <c r="AL214" s="107">
        <f>IF(ISNA(VLOOKUP($R214&amp;AK$2,$C$3:$F$4001,4,0)),"",VLOOKUP($R214&amp;AK$2,$C$3:$F$4001,4,0))</f>
        <v>0.1</v>
      </c>
    </row>
    <row r="215" spans="3:38" x14ac:dyDescent="0.2">
      <c r="C215" s="96" t="str">
        <f t="shared" si="12"/>
        <v>AWB5</v>
      </c>
      <c r="D215" s="73" t="s">
        <v>85</v>
      </c>
      <c r="E215" s="100">
        <v>40695</v>
      </c>
      <c r="F215" s="101">
        <v>0.06</v>
      </c>
      <c r="G215" s="96">
        <f t="shared" si="13"/>
        <v>5</v>
      </c>
      <c r="I215" s="96"/>
      <c r="K215" t="str">
        <f t="shared" si="14"/>
        <v>AWB5</v>
      </c>
      <c r="L215" s="73" t="s">
        <v>85</v>
      </c>
      <c r="M215" s="72">
        <v>40695</v>
      </c>
      <c r="N215" s="84">
        <v>0.06</v>
      </c>
      <c r="O215" s="96">
        <f t="shared" si="15"/>
        <v>5</v>
      </c>
      <c r="P215" s="73"/>
      <c r="Q215" s="96"/>
      <c r="R215" s="96" t="str">
        <f>R214</f>
        <v>KCN</v>
      </c>
      <c r="S215" s="108">
        <f>IF(ISNA(VLOOKUP($R215&amp;S$2,$K$3:$N$4001,3,0)),"",VLOOKUP($R215&amp;S$2,$K$3:$N$4001,3,0))</f>
        <v>39888</v>
      </c>
      <c r="T215" s="109">
        <f>IF(ISNA(VLOOKUP($R215&amp;S$2,$K$3:$N$4001,4,0)),"",VLOOKUP($R215&amp;S$2,$K$3:$N$4001,4,0))</f>
        <v>0.05</v>
      </c>
      <c r="U215" s="108">
        <f>IF(ISNA(VLOOKUP($R215&amp;U$2,$K$3:$N$4001,3,0)),"",VLOOKUP($R215&amp;U$2,$K$3:$N$4001,3,0))</f>
        <v>40070</v>
      </c>
      <c r="V215" s="109">
        <f>IF(ISNA(VLOOKUP($R215&amp;U$2,$K$3:$N$4001,4,0)),"",VLOOKUP($R215&amp;U$2,$K$3:$N$4001,4,0))</f>
        <v>0.05</v>
      </c>
      <c r="W215" s="108">
        <f>IF(ISNA(VLOOKUP($R215&amp;W$2,$K$3:$N$4001,3,0)),"",VLOOKUP($R215&amp;W$2,$K$3:$N$4001,3,0))</f>
        <v>40253</v>
      </c>
      <c r="X215" s="109">
        <f>IF(ISNA(VLOOKUP($R215&amp;W$2,$K$3:$N$4001,4,0)),"",VLOOKUP($R215&amp;W$2,$K$3:$N$4001,4,0))</f>
        <v>0.05</v>
      </c>
      <c r="Y215" s="108">
        <f>IF(ISNA(VLOOKUP($R215&amp;Y$2,$K$3:$N$4001,3,0)),"",VLOOKUP($R215&amp;Y$2,$K$3:$N$4001,3,0))</f>
        <v>40435</v>
      </c>
      <c r="Z215" s="109">
        <f>IF(ISNA(VLOOKUP($R215&amp;Y$2,$K$3:$N$4001,4,0)),"",VLOOKUP($R215&amp;Y$2,$K$3:$N$4001,4,0))</f>
        <v>0.05</v>
      </c>
      <c r="AA215" s="108">
        <f>IF(ISNA(VLOOKUP($R215&amp;AA$2,$K$3:$N$4001,3,0)),"",VLOOKUP($R215&amp;AA$2,$K$3:$N$4001,3,0))</f>
        <v>40618</v>
      </c>
      <c r="AB215" s="109">
        <f>IF(ISNA(VLOOKUP($R215&amp;AA$2,$K$3:$N$4001,4,0)),"",VLOOKUP($R215&amp;AA$2,$K$3:$N$4001,4,0))</f>
        <v>0.05</v>
      </c>
      <c r="AC215" s="108">
        <f>IF(ISNA(VLOOKUP($R215&amp;AC$2,$K$3:$N$4001,3,0)),"",VLOOKUP($R215&amp;AC$2,$K$3:$N$4001,3,0))</f>
        <v>40800</v>
      </c>
      <c r="AD215" s="109">
        <f>IF(ISNA(VLOOKUP($R215&amp;AC$2,$K$3:$N$4001,4,0)),"",VLOOKUP($R215&amp;AC$2,$K$3:$N$4001,4,0))</f>
        <v>0.05</v>
      </c>
      <c r="AE215" s="108">
        <f>IF(ISNA(VLOOKUP($R215&amp;AE$2,$K$3:$N$4001,3,0)),"",VLOOKUP($R215&amp;AE$2,$K$3:$N$4001,3,0))</f>
        <v>40984</v>
      </c>
      <c r="AF215" s="109">
        <f>IF(ISNA(VLOOKUP($R215&amp;AE$2,$K$3:$N$4001,4,0)),"",VLOOKUP($R215&amp;AE$2,$K$3:$N$4001,4,0))</f>
        <v>7.4999999999999997E-2</v>
      </c>
      <c r="AG215" s="108">
        <f>IF(ISNA(VLOOKUP($R215&amp;AG$2,$K$3:$N$4001,3,0)),"",VLOOKUP($R215&amp;AG$2,$K$3:$N$4001,3,0))</f>
        <v>41166</v>
      </c>
      <c r="AH215" s="109">
        <f>IF(ISNA(VLOOKUP($R215&amp;AG$2,$K$3:$N$4001,4,0)),"",VLOOKUP($R215&amp;AG$2,$K$3:$N$4001,4,0))</f>
        <v>7.4999999999999997E-2</v>
      </c>
      <c r="AI215" s="108">
        <f>IF(ISNA(VLOOKUP($R215&amp;AI$2,$K$3:$N$4001,3,0)),"",VLOOKUP($R215&amp;AI$2,$K$3:$N$4001,3,0))</f>
        <v>41351</v>
      </c>
      <c r="AJ215" s="109">
        <f>IF(ISNA(VLOOKUP($R215&amp;AI$2,$K$3:$N$4001,4,0)),"",VLOOKUP($R215&amp;AI$2,$K$3:$N$4001,4,0))</f>
        <v>0.1</v>
      </c>
      <c r="AK215" s="108">
        <f>IF(ISNA(VLOOKUP($R215&amp;AK$2,$K$3:$N$4001,3,0)),"",VLOOKUP($R215&amp;AK$2,$K$3:$N$4001,3,0))</f>
        <v>41533</v>
      </c>
      <c r="AL215" s="109">
        <f>IF(ISNA(VLOOKUP($R215&amp;AK$2,$K$3:$N$4001,4,0)),"",VLOOKUP($R215&amp;AK$2,$K$3:$N$4001,4,0))</f>
        <v>0.1</v>
      </c>
    </row>
    <row r="216" spans="3:38" x14ac:dyDescent="0.2">
      <c r="C216" s="96" t="str">
        <f t="shared" si="12"/>
        <v>AWB6</v>
      </c>
      <c r="D216" s="73" t="s">
        <v>85</v>
      </c>
      <c r="E216" s="100">
        <v>40871</v>
      </c>
      <c r="F216" s="101">
        <v>0.06</v>
      </c>
      <c r="G216" s="96">
        <f t="shared" si="13"/>
        <v>6</v>
      </c>
      <c r="I216" s="96"/>
      <c r="K216" t="str">
        <f t="shared" si="14"/>
        <v>AWB6</v>
      </c>
      <c r="L216" s="73" t="s">
        <v>85</v>
      </c>
      <c r="M216" s="72">
        <v>40871</v>
      </c>
      <c r="N216" s="84">
        <v>0.06</v>
      </c>
      <c r="O216" s="96">
        <f t="shared" si="15"/>
        <v>6</v>
      </c>
      <c r="P216" s="73"/>
      <c r="Q216" s="96"/>
      <c r="R216" s="96" t="s">
        <v>161</v>
      </c>
      <c r="S216" s="106">
        <f>IF(ISNA(VLOOKUP($R216&amp;S$2,$C$3:$F$4001,3,0)),"",VLOOKUP($R216&amp;S$2,$C$3:$F$4001,3,0))</f>
        <v>39878</v>
      </c>
      <c r="T216" s="107">
        <f>IF(ISNA(VLOOKUP($R216&amp;S$2,$C$3:$F$4001,4,0)),"",VLOOKUP($R216&amp;S$2,$C$3:$F$4001,4,0))</f>
        <v>0.6</v>
      </c>
      <c r="U216" s="106">
        <f>IF(ISNA(VLOOKUP($R216&amp;U$2,$C$3:$F$4001,3,0)),"",VLOOKUP($R216&amp;U$2,$C$3:$F$4001,3,0))</f>
        <v>40063</v>
      </c>
      <c r="V216" s="107">
        <f>IF(ISNA(VLOOKUP($R216&amp;U$2,$C$3:$F$4001,4,0)),"",VLOOKUP($R216&amp;U$2,$C$3:$F$4001,4,0))</f>
        <v>0.85</v>
      </c>
      <c r="W216" s="106">
        <f>IF(ISNA(VLOOKUP($R216&amp;W$2,$C$3:$F$4001,3,0)),"",VLOOKUP($R216&amp;W$2,$C$3:$F$4001,3,0))</f>
        <v>40246</v>
      </c>
      <c r="X216" s="107">
        <f>IF(ISNA(VLOOKUP($R216&amp;W$2,$C$3:$F$4001,4,0)),"",VLOOKUP($R216&amp;W$2,$C$3:$F$4001,4,0))</f>
        <v>0.6</v>
      </c>
      <c r="Y216" s="106">
        <f>IF(ISNA(VLOOKUP($R216&amp;Y$2,$C$3:$F$4001,3,0)),"",VLOOKUP($R216&amp;Y$2,$C$3:$F$4001,3,0))</f>
        <v>40428</v>
      </c>
      <c r="Z216" s="107">
        <f>IF(ISNA(VLOOKUP($R216&amp;Y$2,$C$3:$F$4001,4,0)),"",VLOOKUP($R216&amp;Y$2,$C$3:$F$4001,4,0))</f>
        <v>0.85</v>
      </c>
      <c r="AA216" s="106">
        <f>IF(ISNA(VLOOKUP($R216&amp;AA$2,$C$3:$F$4001,3,0)),"",VLOOKUP($R216&amp;AA$2,$C$3:$F$4001,3,0))</f>
        <v>40611</v>
      </c>
      <c r="AB216" s="107">
        <f>IF(ISNA(VLOOKUP($R216&amp;AA$2,$C$3:$F$4001,4,0)),"",VLOOKUP($R216&amp;AA$2,$C$3:$F$4001,4,0))</f>
        <v>0.63350000000000006</v>
      </c>
      <c r="AC216" s="106">
        <f>IF(ISNA(VLOOKUP($R216&amp;AC$2,$C$3:$F$4001,3,0)),"",VLOOKUP($R216&amp;AC$2,$C$3:$F$4001,3,0))</f>
        <v>40793</v>
      </c>
      <c r="AD216" s="107">
        <f>IF(ISNA(VLOOKUP($R216&amp;AC$2,$C$3:$F$4001,4,0)),"",VLOOKUP($R216&amp;AC$2,$C$3:$F$4001,4,0))</f>
        <v>0.89749999999999996</v>
      </c>
      <c r="AE216" s="106">
        <f>IF(ISNA(VLOOKUP($R216&amp;AE$2,$C$3:$F$4001,3,0)),"",VLOOKUP($R216&amp;AE$2,$C$3:$F$4001,3,0))</f>
        <v>40977</v>
      </c>
      <c r="AF216" s="107">
        <f>IF(ISNA(VLOOKUP($R216&amp;AE$2,$C$3:$F$4001,4,0)),"",VLOOKUP($R216&amp;AE$2,$C$3:$F$4001,4,0))</f>
        <v>0.71909999999999996</v>
      </c>
      <c r="AG216" s="106">
        <f>IF(ISNA(VLOOKUP($R216&amp;AG$2,$C$3:$F$4001,3,0)),"",VLOOKUP($R216&amp;AG$2,$C$3:$F$4001,3,0))</f>
        <v>41159</v>
      </c>
      <c r="AH216" s="107">
        <f>IF(ISNA(VLOOKUP($R216&amp;AG$2,$C$3:$F$4001,4,0)),"",VLOOKUP($R216&amp;AG$2,$C$3:$F$4001,4,0))</f>
        <v>1.0188999999999999</v>
      </c>
      <c r="AI216" s="106">
        <f>IF(ISNA(VLOOKUP($R216&amp;AI$2,$C$3:$F$4001,3,0)),"",VLOOKUP($R216&amp;AI$2,$C$3:$F$4001,3,0))</f>
        <v>41344</v>
      </c>
      <c r="AJ216" s="107">
        <f>IF(ISNA(VLOOKUP($R216&amp;AI$2,$C$3:$F$4001,4,0)),"",VLOOKUP($R216&amp;AI$2,$C$3:$F$4001,4,0))</f>
        <v>0.72730000000000006</v>
      </c>
      <c r="AK216" s="106">
        <f>IF(ISNA(VLOOKUP($R216&amp;AK$2,$C$3:$F$4001,3,0)),"",VLOOKUP($R216&amp;AK$2,$C$3:$F$4001,3,0))</f>
        <v>41526</v>
      </c>
      <c r="AL216" s="107">
        <f>IF(ISNA(VLOOKUP($R216&amp;AK$2,$C$3:$F$4001,4,0)),"",VLOOKUP($R216&amp;AK$2,$C$3:$F$4001,4,0))</f>
        <v>1.0306999999999999</v>
      </c>
    </row>
    <row r="217" spans="3:38" x14ac:dyDescent="0.2">
      <c r="C217" s="96" t="str">
        <f t="shared" si="12"/>
        <v>AWB7</v>
      </c>
      <c r="D217" s="73" t="s">
        <v>85</v>
      </c>
      <c r="E217" s="100">
        <v>41061</v>
      </c>
      <c r="F217" s="101">
        <v>6.6000000000000003E-2</v>
      </c>
      <c r="G217" s="96">
        <f t="shared" si="13"/>
        <v>7</v>
      </c>
      <c r="I217" s="96"/>
      <c r="K217" t="str">
        <f t="shared" si="14"/>
        <v>AWB7</v>
      </c>
      <c r="L217" s="73" t="s">
        <v>85</v>
      </c>
      <c r="M217" s="72">
        <v>41061</v>
      </c>
      <c r="N217" s="84">
        <v>6.6000000000000003E-2</v>
      </c>
      <c r="O217" s="96">
        <f t="shared" si="15"/>
        <v>7</v>
      </c>
      <c r="P217" s="73"/>
      <c r="Q217" s="96"/>
      <c r="R217" s="96" t="str">
        <f>R216</f>
        <v>LEI</v>
      </c>
      <c r="S217" s="108">
        <f>IF(ISNA(VLOOKUP($R217&amp;S$2,$K$3:$N$4001,3,0)),"",VLOOKUP($R217&amp;S$2,$K$3:$N$4001,3,0))</f>
        <v>39878</v>
      </c>
      <c r="T217" s="109">
        <f>IF(ISNA(VLOOKUP($R217&amp;S$2,$K$3:$N$4001,4,0)),"",VLOOKUP($R217&amp;S$2,$K$3:$N$4001,4,0))</f>
        <v>0.6</v>
      </c>
      <c r="U217" s="108">
        <f>IF(ISNA(VLOOKUP($R217&amp;U$2,$K$3:$N$4001,3,0)),"",VLOOKUP($R217&amp;U$2,$K$3:$N$4001,3,0))</f>
        <v>40063</v>
      </c>
      <c r="V217" s="109">
        <f>IF(ISNA(VLOOKUP($R217&amp;U$2,$K$3:$N$4001,4,0)),"",VLOOKUP($R217&amp;U$2,$K$3:$N$4001,4,0))</f>
        <v>0.85</v>
      </c>
      <c r="W217" s="108">
        <f>IF(ISNA(VLOOKUP($R217&amp;W$2,$K$3:$N$4001,3,0)),"",VLOOKUP($R217&amp;W$2,$K$3:$N$4001,3,0))</f>
        <v>40246</v>
      </c>
      <c r="X217" s="109">
        <f>IF(ISNA(VLOOKUP($R217&amp;W$2,$K$3:$N$4001,4,0)),"",VLOOKUP($R217&amp;W$2,$K$3:$N$4001,4,0))</f>
        <v>0.6</v>
      </c>
      <c r="Y217" s="108">
        <f>IF(ISNA(VLOOKUP($R217&amp;Y$2,$K$3:$N$4001,3,0)),"",VLOOKUP($R217&amp;Y$2,$K$3:$N$4001,3,0))</f>
        <v>40428</v>
      </c>
      <c r="Z217" s="109">
        <f>IF(ISNA(VLOOKUP($R217&amp;Y$2,$K$3:$N$4001,4,0)),"",VLOOKUP($R217&amp;Y$2,$K$3:$N$4001,4,0))</f>
        <v>0.85</v>
      </c>
      <c r="AA217" s="108">
        <f>IF(ISNA(VLOOKUP($R217&amp;AA$2,$K$3:$N$4001,3,0)),"",VLOOKUP($R217&amp;AA$2,$K$3:$N$4001,3,0))</f>
        <v>40611</v>
      </c>
      <c r="AB217" s="109">
        <f>IF(ISNA(VLOOKUP($R217&amp;AA$2,$K$3:$N$4001,4,0)),"",VLOOKUP($R217&amp;AA$2,$K$3:$N$4001,4,0))</f>
        <v>0.63350000000000006</v>
      </c>
      <c r="AC217" s="108">
        <f>IF(ISNA(VLOOKUP($R217&amp;AC$2,$K$3:$N$4001,3,0)),"",VLOOKUP($R217&amp;AC$2,$K$3:$N$4001,3,0))</f>
        <v>40793</v>
      </c>
      <c r="AD217" s="109">
        <f>IF(ISNA(VLOOKUP($R217&amp;AC$2,$K$3:$N$4001,4,0)),"",VLOOKUP($R217&amp;AC$2,$K$3:$N$4001,4,0))</f>
        <v>0.89749999999999996</v>
      </c>
      <c r="AE217" s="108">
        <f>IF(ISNA(VLOOKUP($R217&amp;AE$2,$K$3:$N$4001,3,0)),"",VLOOKUP($R217&amp;AE$2,$K$3:$N$4001,3,0))</f>
        <v>40977</v>
      </c>
      <c r="AF217" s="109">
        <f>IF(ISNA(VLOOKUP($R217&amp;AE$2,$K$3:$N$4001,4,0)),"",VLOOKUP($R217&amp;AE$2,$K$3:$N$4001,4,0))</f>
        <v>0.71909999999999996</v>
      </c>
      <c r="AG217" s="108">
        <f>IF(ISNA(VLOOKUP($R217&amp;AG$2,$K$3:$N$4001,3,0)),"",VLOOKUP($R217&amp;AG$2,$K$3:$N$4001,3,0))</f>
        <v>41159</v>
      </c>
      <c r="AH217" s="109">
        <f>IF(ISNA(VLOOKUP($R217&amp;AG$2,$K$3:$N$4001,4,0)),"",VLOOKUP($R217&amp;AG$2,$K$3:$N$4001,4,0))</f>
        <v>1.0188999999999999</v>
      </c>
      <c r="AI217" s="108">
        <f>IF(ISNA(VLOOKUP($R217&amp;AI$2,$K$3:$N$4001,3,0)),"",VLOOKUP($R217&amp;AI$2,$K$3:$N$4001,3,0))</f>
        <v>41344</v>
      </c>
      <c r="AJ217" s="109">
        <f>IF(ISNA(VLOOKUP($R217&amp;AI$2,$K$3:$N$4001,4,0)),"",VLOOKUP($R217&amp;AI$2,$K$3:$N$4001,4,0))</f>
        <v>0.72730000000000006</v>
      </c>
      <c r="AK217" s="108">
        <f>IF(ISNA(VLOOKUP($R217&amp;AK$2,$K$3:$N$4001,3,0)),"",VLOOKUP($R217&amp;AK$2,$K$3:$N$4001,3,0))</f>
        <v>41526</v>
      </c>
      <c r="AL217" s="109">
        <f>IF(ISNA(VLOOKUP($R217&amp;AK$2,$K$3:$N$4001,4,0)),"",VLOOKUP($R217&amp;AK$2,$K$3:$N$4001,4,0))</f>
        <v>1.0306999999999999</v>
      </c>
    </row>
    <row r="218" spans="3:38" x14ac:dyDescent="0.2">
      <c r="C218" s="96" t="str">
        <f t="shared" si="12"/>
        <v>AWB8</v>
      </c>
      <c r="D218" s="73" t="s">
        <v>85</v>
      </c>
      <c r="E218" s="100">
        <v>41239</v>
      </c>
      <c r="F218" s="101">
        <v>6.6000000000000003E-2</v>
      </c>
      <c r="G218" s="96">
        <f t="shared" si="13"/>
        <v>8</v>
      </c>
      <c r="I218" s="96"/>
      <c r="K218" t="str">
        <f t="shared" si="14"/>
        <v>AWB8</v>
      </c>
      <c r="L218" s="73" t="s">
        <v>85</v>
      </c>
      <c r="M218" s="72">
        <v>41239</v>
      </c>
      <c r="N218" s="84">
        <v>6.6000000000000003E-2</v>
      </c>
      <c r="O218" s="96">
        <f t="shared" si="15"/>
        <v>8</v>
      </c>
      <c r="P218" s="73"/>
      <c r="Q218" s="96"/>
      <c r="R218" s="96" t="s">
        <v>162</v>
      </c>
      <c r="S218" s="106">
        <f>IF(ISNA(VLOOKUP($R218&amp;S$2,$C$3:$F$4001,3,0)),"",VLOOKUP($R218&amp;S$2,$C$3:$F$4001,3,0))</f>
        <v>39877</v>
      </c>
      <c r="T218" s="107">
        <f>IF(ISNA(VLOOKUP($R218&amp;S$2,$C$3:$F$4001,4,0)),"",VLOOKUP($R218&amp;S$2,$C$3:$F$4001,4,0))</f>
        <v>0.3</v>
      </c>
      <c r="U218" s="106">
        <f>IF(ISNA(VLOOKUP($R218&amp;U$2,$C$3:$F$4001,3,0)),"",VLOOKUP($R218&amp;U$2,$C$3:$F$4001,3,0))</f>
        <v>40063</v>
      </c>
      <c r="V218" s="107">
        <f>IF(ISNA(VLOOKUP($R218&amp;U$2,$C$3:$F$4001,4,0)),"",VLOOKUP($R218&amp;U$2,$C$3:$F$4001,4,0))</f>
        <v>0.34</v>
      </c>
      <c r="W218" s="106">
        <f>IF(ISNA(VLOOKUP($R218&amp;W$2,$C$3:$F$4001,3,0)),"",VLOOKUP($R218&amp;W$2,$C$3:$F$4001,3,0))</f>
        <v>40245</v>
      </c>
      <c r="X218" s="107">
        <f>IF(ISNA(VLOOKUP($R218&amp;W$2,$C$3:$F$4001,4,0)),"",VLOOKUP($R218&amp;W$2,$C$3:$F$4001,4,0))</f>
        <v>0.3</v>
      </c>
      <c r="Y218" s="106">
        <f>IF(ISNA(VLOOKUP($R218&amp;Y$2,$C$3:$F$4001,3,0)),"",VLOOKUP($R218&amp;Y$2,$C$3:$F$4001,3,0))</f>
        <v>40428</v>
      </c>
      <c r="Z218" s="107">
        <f>IF(ISNA(VLOOKUP($R218&amp;Y$2,$C$3:$F$4001,4,0)),"",VLOOKUP($R218&amp;Y$2,$C$3:$F$4001,4,0))</f>
        <v>0.3</v>
      </c>
      <c r="AA218" s="106">
        <f>IF(ISNA(VLOOKUP($R218&amp;AA$2,$C$3:$F$4001,3,0)),"",VLOOKUP($R218&amp;AA$2,$C$3:$F$4001,3,0))</f>
        <v>40610</v>
      </c>
      <c r="AB218" s="107">
        <f>IF(ISNA(VLOOKUP($R218&amp;AA$2,$C$3:$F$4001,4,0)),"",VLOOKUP($R218&amp;AA$2,$C$3:$F$4001,4,0))</f>
        <v>0.3</v>
      </c>
      <c r="AC218" s="106">
        <f>IF(ISNA(VLOOKUP($R218&amp;AC$2,$C$3:$F$4001,3,0)),"",VLOOKUP($R218&amp;AC$2,$C$3:$F$4001,3,0))</f>
        <v>40793</v>
      </c>
      <c r="AD218" s="107">
        <f>IF(ISNA(VLOOKUP($R218&amp;AC$2,$C$3:$F$4001,4,0)),"",VLOOKUP($R218&amp;AC$2,$C$3:$F$4001,4,0))</f>
        <v>0.32</v>
      </c>
      <c r="AE218" s="106">
        <f>IF(ISNA(VLOOKUP($R218&amp;AE$2,$C$3:$F$4001,3,0)),"",VLOOKUP($R218&amp;AE$2,$C$3:$F$4001,3,0))</f>
        <v>40976</v>
      </c>
      <c r="AF218" s="107">
        <f>IF(ISNA(VLOOKUP($R218&amp;AE$2,$C$3:$F$4001,4,0)),"",VLOOKUP($R218&amp;AE$2,$C$3:$F$4001,4,0))</f>
        <v>0.3</v>
      </c>
      <c r="AG218" s="106">
        <f>IF(ISNA(VLOOKUP($R218&amp;AG$2,$C$3:$F$4001,3,0)),"",VLOOKUP($R218&amp;AG$2,$C$3:$F$4001,3,0))</f>
        <v>41159</v>
      </c>
      <c r="AH218" s="107">
        <f>IF(ISNA(VLOOKUP($R218&amp;AG$2,$C$3:$F$4001,4,0)),"",VLOOKUP($R218&amp;AG$2,$C$3:$F$4001,4,0))</f>
        <v>0.34</v>
      </c>
      <c r="AI218" s="106">
        <f>IF(ISNA(VLOOKUP($R218&amp;AI$2,$C$3:$F$4001,3,0)),"",VLOOKUP($R218&amp;AI$2,$C$3:$F$4001,3,0))</f>
        <v>41341</v>
      </c>
      <c r="AJ218" s="107">
        <f>IF(ISNA(VLOOKUP($R218&amp;AI$2,$C$3:$F$4001,4,0)),"",VLOOKUP($R218&amp;AI$2,$C$3:$F$4001,4,0))</f>
        <v>0.31</v>
      </c>
      <c r="AK218" s="106">
        <f>IF(ISNA(VLOOKUP($R218&amp;AK$2,$C$3:$F$4001,3,0)),"",VLOOKUP($R218&amp;AK$2,$C$3:$F$4001,3,0))</f>
        <v>41526</v>
      </c>
      <c r="AL218" s="107">
        <f>IF(ISNA(VLOOKUP($R218&amp;AK$2,$C$3:$F$4001,4,0)),"",VLOOKUP($R218&amp;AK$2,$C$3:$F$4001,4,0))</f>
        <v>0.35</v>
      </c>
    </row>
    <row r="219" spans="3:38" x14ac:dyDescent="0.2">
      <c r="C219" s="96" t="str">
        <f t="shared" si="12"/>
        <v>AWB9</v>
      </c>
      <c r="D219" s="73" t="s">
        <v>85</v>
      </c>
      <c r="E219" s="100">
        <v>41428</v>
      </c>
      <c r="F219" s="101">
        <v>0.11900000000000001</v>
      </c>
      <c r="G219" s="96">
        <f t="shared" si="13"/>
        <v>9</v>
      </c>
      <c r="I219" s="96"/>
      <c r="K219" t="str">
        <f t="shared" si="14"/>
        <v>AWB9</v>
      </c>
      <c r="L219" s="73" t="s">
        <v>85</v>
      </c>
      <c r="M219" s="72">
        <v>41428</v>
      </c>
      <c r="N219" s="84">
        <v>0.11900000000000001</v>
      </c>
      <c r="O219" s="96">
        <f t="shared" si="15"/>
        <v>9</v>
      </c>
      <c r="P219" s="73"/>
      <c r="Q219" s="96"/>
      <c r="R219" s="96" t="str">
        <f>R218</f>
        <v>LLC</v>
      </c>
      <c r="S219" s="108">
        <f>IF(ISNA(VLOOKUP($R219&amp;S$2,$K$3:$N$4001,3,0)),"",VLOOKUP($R219&amp;S$2,$K$3:$N$4001,3,0))</f>
        <v>39877</v>
      </c>
      <c r="T219" s="109">
        <f>IF(ISNA(VLOOKUP($R219&amp;S$2,$K$3:$N$4001,4,0)),"",VLOOKUP($R219&amp;S$2,$K$3:$N$4001,4,0))</f>
        <v>0.3</v>
      </c>
      <c r="U219" s="108">
        <f>IF(ISNA(VLOOKUP($R219&amp;U$2,$K$3:$N$4001,3,0)),"",VLOOKUP($R219&amp;U$2,$K$3:$N$4001,3,0))</f>
        <v>40063</v>
      </c>
      <c r="V219" s="109">
        <f>IF(ISNA(VLOOKUP($R219&amp;U$2,$K$3:$N$4001,4,0)),"",VLOOKUP($R219&amp;U$2,$K$3:$N$4001,4,0))</f>
        <v>0.34</v>
      </c>
      <c r="W219" s="108">
        <f>IF(ISNA(VLOOKUP($R219&amp;W$2,$K$3:$N$4001,3,0)),"",VLOOKUP($R219&amp;W$2,$K$3:$N$4001,3,0))</f>
        <v>40245</v>
      </c>
      <c r="X219" s="109">
        <f>IF(ISNA(VLOOKUP($R219&amp;W$2,$K$3:$N$4001,4,0)),"",VLOOKUP($R219&amp;W$2,$K$3:$N$4001,4,0))</f>
        <v>0.3</v>
      </c>
      <c r="Y219" s="108">
        <f>IF(ISNA(VLOOKUP($R219&amp;Y$2,$K$3:$N$4001,3,0)),"",VLOOKUP($R219&amp;Y$2,$K$3:$N$4001,3,0))</f>
        <v>40428</v>
      </c>
      <c r="Z219" s="109">
        <f>IF(ISNA(VLOOKUP($R219&amp;Y$2,$K$3:$N$4001,4,0)),"",VLOOKUP($R219&amp;Y$2,$K$3:$N$4001,4,0))</f>
        <v>0.3</v>
      </c>
      <c r="AA219" s="108">
        <f>IF(ISNA(VLOOKUP($R219&amp;AA$2,$K$3:$N$4001,3,0)),"",VLOOKUP($R219&amp;AA$2,$K$3:$N$4001,3,0))</f>
        <v>40610</v>
      </c>
      <c r="AB219" s="109">
        <f>IF(ISNA(VLOOKUP($R219&amp;AA$2,$K$3:$N$4001,4,0)),"",VLOOKUP($R219&amp;AA$2,$K$3:$N$4001,4,0))</f>
        <v>0.3</v>
      </c>
      <c r="AC219" s="108">
        <f>IF(ISNA(VLOOKUP($R219&amp;AC$2,$K$3:$N$4001,3,0)),"",VLOOKUP($R219&amp;AC$2,$K$3:$N$4001,3,0))</f>
        <v>40793</v>
      </c>
      <c r="AD219" s="109">
        <f>IF(ISNA(VLOOKUP($R219&amp;AC$2,$K$3:$N$4001,4,0)),"",VLOOKUP($R219&amp;AC$2,$K$3:$N$4001,4,0))</f>
        <v>0.32</v>
      </c>
      <c r="AE219" s="108">
        <f>IF(ISNA(VLOOKUP($R219&amp;AE$2,$K$3:$N$4001,3,0)),"",VLOOKUP($R219&amp;AE$2,$K$3:$N$4001,3,0))</f>
        <v>40976</v>
      </c>
      <c r="AF219" s="109">
        <f>IF(ISNA(VLOOKUP($R219&amp;AE$2,$K$3:$N$4001,4,0)),"",VLOOKUP($R219&amp;AE$2,$K$3:$N$4001,4,0))</f>
        <v>0.3</v>
      </c>
      <c r="AG219" s="108">
        <f>IF(ISNA(VLOOKUP($R219&amp;AG$2,$K$3:$N$4001,3,0)),"",VLOOKUP($R219&amp;AG$2,$K$3:$N$4001,3,0))</f>
        <v>41159</v>
      </c>
      <c r="AH219" s="109">
        <f>IF(ISNA(VLOOKUP($R219&amp;AG$2,$K$3:$N$4001,4,0)),"",VLOOKUP($R219&amp;AG$2,$K$3:$N$4001,4,0))</f>
        <v>0.34</v>
      </c>
      <c r="AI219" s="108">
        <f>IF(ISNA(VLOOKUP($R219&amp;AI$2,$K$3:$N$4001,3,0)),"",VLOOKUP($R219&amp;AI$2,$K$3:$N$4001,3,0))</f>
        <v>41341</v>
      </c>
      <c r="AJ219" s="109">
        <f>IF(ISNA(VLOOKUP($R219&amp;AI$2,$K$3:$N$4001,4,0)),"",VLOOKUP($R219&amp;AI$2,$K$3:$N$4001,4,0))</f>
        <v>0.31</v>
      </c>
      <c r="AK219" s="108">
        <f>IF(ISNA(VLOOKUP($R219&amp;AK$2,$K$3:$N$4001,3,0)),"",VLOOKUP($R219&amp;AK$2,$K$3:$N$4001,3,0))</f>
        <v>41526</v>
      </c>
      <c r="AL219" s="109">
        <f>IF(ISNA(VLOOKUP($R219&amp;AK$2,$K$3:$N$4001,4,0)),"",VLOOKUP($R219&amp;AK$2,$K$3:$N$4001,4,0))</f>
        <v>0.35</v>
      </c>
    </row>
    <row r="220" spans="3:38" x14ac:dyDescent="0.2">
      <c r="C220" s="96" t="str">
        <f t="shared" si="12"/>
        <v>AWB10</v>
      </c>
      <c r="D220" s="73" t="s">
        <v>85</v>
      </c>
      <c r="E220" s="100">
        <v>41604</v>
      </c>
      <c r="F220" s="101">
        <v>0.11900000000000001</v>
      </c>
      <c r="G220" s="96">
        <f t="shared" si="13"/>
        <v>10</v>
      </c>
      <c r="I220" s="96"/>
      <c r="K220" t="str">
        <f t="shared" si="14"/>
        <v>AWB10</v>
      </c>
      <c r="L220" s="73" t="s">
        <v>85</v>
      </c>
      <c r="M220" s="72">
        <v>41604</v>
      </c>
      <c r="N220" s="84">
        <v>0.11900000000000001</v>
      </c>
      <c r="O220" s="96">
        <f t="shared" si="15"/>
        <v>10</v>
      </c>
      <c r="P220" s="73"/>
      <c r="Q220" s="96"/>
      <c r="R220" s="96" t="s">
        <v>267</v>
      </c>
      <c r="S220" s="106" t="str">
        <f>IF(ISNA(VLOOKUP($R220&amp;S$2,$C$3:$F$4001,3,0)),"",VLOOKUP($R220&amp;S$2,$C$3:$F$4001,3,0))</f>
        <v/>
      </c>
      <c r="T220" s="107" t="str">
        <f>IF(ISNA(VLOOKUP($R220&amp;S$2,$C$3:$F$4001,4,0)),"",VLOOKUP($R220&amp;S$2,$C$3:$F$4001,4,0))</f>
        <v/>
      </c>
      <c r="U220" s="106" t="str">
        <f>IF(ISNA(VLOOKUP($R220&amp;U$2,$C$3:$F$4001,3,0)),"",VLOOKUP($R220&amp;U$2,$C$3:$F$4001,3,0))</f>
        <v/>
      </c>
      <c r="V220" s="107" t="str">
        <f>IF(ISNA(VLOOKUP($R220&amp;U$2,$C$3:$F$4001,4,0)),"",VLOOKUP($R220&amp;U$2,$C$3:$F$4001,4,0))</f>
        <v/>
      </c>
      <c r="W220" s="106" t="str">
        <f>IF(ISNA(VLOOKUP($R220&amp;W$2,$C$3:$F$4001,3,0)),"",VLOOKUP($R220&amp;W$2,$C$3:$F$4001,3,0))</f>
        <v/>
      </c>
      <c r="X220" s="107" t="str">
        <f>IF(ISNA(VLOOKUP($R220&amp;W$2,$C$3:$F$4001,4,0)),"",VLOOKUP($R220&amp;W$2,$C$3:$F$4001,4,0))</f>
        <v/>
      </c>
      <c r="Y220" s="106" t="str">
        <f>IF(ISNA(VLOOKUP($R220&amp;Y$2,$C$3:$F$4001,3,0)),"",VLOOKUP($R220&amp;Y$2,$C$3:$F$4001,3,0))</f>
        <v/>
      </c>
      <c r="Z220" s="107" t="str">
        <f>IF(ISNA(VLOOKUP($R220&amp;Y$2,$C$3:$F$4001,4,0)),"",VLOOKUP($R220&amp;Y$2,$C$3:$F$4001,4,0))</f>
        <v/>
      </c>
      <c r="AA220" s="106" t="str">
        <f>IF(ISNA(VLOOKUP($R220&amp;AA$2,$C$3:$F$4001,3,0)),"",VLOOKUP($R220&amp;AA$2,$C$3:$F$4001,3,0))</f>
        <v/>
      </c>
      <c r="AB220" s="107" t="str">
        <f>IF(ISNA(VLOOKUP($R220&amp;AA$2,$C$3:$F$4001,4,0)),"",VLOOKUP($R220&amp;AA$2,$C$3:$F$4001,4,0))</f>
        <v/>
      </c>
      <c r="AC220" s="106" t="str">
        <f>IF(ISNA(VLOOKUP($R220&amp;AC$2,$C$3:$F$4001,3,0)),"",VLOOKUP($R220&amp;AC$2,$C$3:$F$4001,3,0))</f>
        <v/>
      </c>
      <c r="AD220" s="107" t="str">
        <f>IF(ISNA(VLOOKUP($R220&amp;AC$2,$C$3:$F$4001,4,0)),"",VLOOKUP($R220&amp;AC$2,$C$3:$F$4001,4,0))</f>
        <v/>
      </c>
      <c r="AE220" s="106" t="str">
        <f>IF(ISNA(VLOOKUP($R220&amp;AE$2,$C$3:$F$4001,3,0)),"",VLOOKUP($R220&amp;AE$2,$C$3:$F$4001,3,0))</f>
        <v/>
      </c>
      <c r="AF220" s="107" t="str">
        <f>IF(ISNA(VLOOKUP($R220&amp;AE$2,$C$3:$F$4001,4,0)),"",VLOOKUP($R220&amp;AE$2,$C$3:$F$4001,4,0))</f>
        <v/>
      </c>
      <c r="AG220" s="106" t="str">
        <f>IF(ISNA(VLOOKUP($R220&amp;AG$2,$C$3:$F$4001,3,0)),"",VLOOKUP($R220&amp;AG$2,$C$3:$F$4001,3,0))</f>
        <v/>
      </c>
      <c r="AH220" s="107" t="str">
        <f>IF(ISNA(VLOOKUP($R220&amp;AG$2,$C$3:$F$4001,4,0)),"",VLOOKUP($R220&amp;AG$2,$C$3:$F$4001,4,0))</f>
        <v/>
      </c>
      <c r="AI220" s="106" t="str">
        <f>IF(ISNA(VLOOKUP($R220&amp;AI$2,$C$3:$F$4001,3,0)),"",VLOOKUP($R220&amp;AI$2,$C$3:$F$4001,3,0))</f>
        <v/>
      </c>
      <c r="AJ220" s="107" t="str">
        <f>IF(ISNA(VLOOKUP($R220&amp;AI$2,$C$3:$F$4001,4,0)),"",VLOOKUP($R220&amp;AI$2,$C$3:$F$4001,4,0))</f>
        <v/>
      </c>
      <c r="AK220" s="106" t="str">
        <f>IF(ISNA(VLOOKUP($R220&amp;AK$2,$C$3:$F$4001,3,0)),"",VLOOKUP($R220&amp;AK$2,$C$3:$F$4001,3,0))</f>
        <v/>
      </c>
      <c r="AL220" s="107" t="str">
        <f>IF(ISNA(VLOOKUP($R220&amp;AK$2,$C$3:$F$4001,4,0)),"",VLOOKUP($R220&amp;AK$2,$C$3:$F$4001,4,0))</f>
        <v/>
      </c>
    </row>
    <row r="221" spans="3:38" x14ac:dyDescent="0.2">
      <c r="C221" s="96" t="str">
        <f t="shared" si="12"/>
        <v>AWC1</v>
      </c>
      <c r="D221" s="73" t="s">
        <v>86</v>
      </c>
      <c r="E221" s="100">
        <v>40031</v>
      </c>
      <c r="F221" s="101">
        <v>0.02</v>
      </c>
      <c r="G221" s="96">
        <f t="shared" si="13"/>
        <v>1</v>
      </c>
      <c r="I221" s="96"/>
      <c r="K221" t="str">
        <f t="shared" si="14"/>
        <v>AWC1</v>
      </c>
      <c r="L221" s="73" t="s">
        <v>86</v>
      </c>
      <c r="M221" s="72">
        <v>40031</v>
      </c>
      <c r="N221" s="84">
        <v>0.02</v>
      </c>
      <c r="O221" s="96">
        <f t="shared" si="15"/>
        <v>1</v>
      </c>
      <c r="P221" s="73"/>
      <c r="Q221" s="96"/>
      <c r="R221" s="96" t="str">
        <f>R220</f>
        <v>LGL</v>
      </c>
      <c r="S221" s="108" t="str">
        <f>IF(ISNA(VLOOKUP($R221&amp;S$2,$K$3:$N$4001,3,0)),"",VLOOKUP($R221&amp;S$2,$K$3:$N$4001,3,0))</f>
        <v/>
      </c>
      <c r="T221" s="109" t="str">
        <f>IF(ISNA(VLOOKUP($R221&amp;S$2,$K$3:$N$4001,4,0)),"",VLOOKUP($R221&amp;S$2,$K$3:$N$4001,4,0))</f>
        <v/>
      </c>
      <c r="U221" s="108" t="str">
        <f>IF(ISNA(VLOOKUP($R221&amp;U$2,$K$3:$N$4001,3,0)),"",VLOOKUP($R221&amp;U$2,$K$3:$N$4001,3,0))</f>
        <v/>
      </c>
      <c r="V221" s="109" t="str">
        <f>IF(ISNA(VLOOKUP($R221&amp;U$2,$K$3:$N$4001,4,0)),"",VLOOKUP($R221&amp;U$2,$K$3:$N$4001,4,0))</f>
        <v/>
      </c>
      <c r="W221" s="108" t="str">
        <f>IF(ISNA(VLOOKUP($R221&amp;W$2,$K$3:$N$4001,3,0)),"",VLOOKUP($R221&amp;W$2,$K$3:$N$4001,3,0))</f>
        <v/>
      </c>
      <c r="X221" s="109" t="str">
        <f>IF(ISNA(VLOOKUP($R221&amp;W$2,$K$3:$N$4001,4,0)),"",VLOOKUP($R221&amp;W$2,$K$3:$N$4001,4,0))</f>
        <v/>
      </c>
      <c r="Y221" s="108" t="str">
        <f>IF(ISNA(VLOOKUP($R221&amp;Y$2,$K$3:$N$4001,3,0)),"",VLOOKUP($R221&amp;Y$2,$K$3:$N$4001,3,0))</f>
        <v/>
      </c>
      <c r="Z221" s="109" t="str">
        <f>IF(ISNA(VLOOKUP($R221&amp;Y$2,$K$3:$N$4001,4,0)),"",VLOOKUP($R221&amp;Y$2,$K$3:$N$4001,4,0))</f>
        <v/>
      </c>
      <c r="AA221" s="108" t="str">
        <f>IF(ISNA(VLOOKUP($R221&amp;AA$2,$K$3:$N$4001,3,0)),"",VLOOKUP($R221&amp;AA$2,$K$3:$N$4001,3,0))</f>
        <v/>
      </c>
      <c r="AB221" s="109" t="str">
        <f>IF(ISNA(VLOOKUP($R221&amp;AA$2,$K$3:$N$4001,4,0)),"",VLOOKUP($R221&amp;AA$2,$K$3:$N$4001,4,0))</f>
        <v/>
      </c>
      <c r="AC221" s="108" t="str">
        <f>IF(ISNA(VLOOKUP($R221&amp;AC$2,$K$3:$N$4001,3,0)),"",VLOOKUP($R221&amp;AC$2,$K$3:$N$4001,3,0))</f>
        <v/>
      </c>
      <c r="AD221" s="109" t="str">
        <f>IF(ISNA(VLOOKUP($R221&amp;AC$2,$K$3:$N$4001,4,0)),"",VLOOKUP($R221&amp;AC$2,$K$3:$N$4001,4,0))</f>
        <v/>
      </c>
      <c r="AE221" s="108" t="str">
        <f>IF(ISNA(VLOOKUP($R221&amp;AE$2,$K$3:$N$4001,3,0)),"",VLOOKUP($R221&amp;AE$2,$K$3:$N$4001,3,0))</f>
        <v/>
      </c>
      <c r="AF221" s="109" t="str">
        <f>IF(ISNA(VLOOKUP($R221&amp;AE$2,$K$3:$N$4001,4,0)),"",VLOOKUP($R221&amp;AE$2,$K$3:$N$4001,4,0))</f>
        <v/>
      </c>
      <c r="AG221" s="108" t="str">
        <f>IF(ISNA(VLOOKUP($R221&amp;AG$2,$K$3:$N$4001,3,0)),"",VLOOKUP($R221&amp;AG$2,$K$3:$N$4001,3,0))</f>
        <v/>
      </c>
      <c r="AH221" s="109" t="str">
        <f>IF(ISNA(VLOOKUP($R221&amp;AG$2,$K$3:$N$4001,4,0)),"",VLOOKUP($R221&amp;AG$2,$K$3:$N$4001,4,0))</f>
        <v/>
      </c>
      <c r="AI221" s="108" t="str">
        <f>IF(ISNA(VLOOKUP($R221&amp;AI$2,$K$3:$N$4001,3,0)),"",VLOOKUP($R221&amp;AI$2,$K$3:$N$4001,3,0))</f>
        <v/>
      </c>
      <c r="AJ221" s="109" t="str">
        <f>IF(ISNA(VLOOKUP($R221&amp;AI$2,$K$3:$N$4001,4,0)),"",VLOOKUP($R221&amp;AI$2,$K$3:$N$4001,4,0))</f>
        <v/>
      </c>
      <c r="AK221" s="108" t="str">
        <f>IF(ISNA(VLOOKUP($R221&amp;AK$2,$K$3:$N$4001,3,0)),"",VLOOKUP($R221&amp;AK$2,$K$3:$N$4001,3,0))</f>
        <v/>
      </c>
      <c r="AL221" s="109" t="str">
        <f>IF(ISNA(VLOOKUP($R221&amp;AK$2,$K$3:$N$4001,4,0)),"",VLOOKUP($R221&amp;AK$2,$K$3:$N$4001,4,0))</f>
        <v/>
      </c>
    </row>
    <row r="222" spans="3:38" x14ac:dyDescent="0.2">
      <c r="C222" s="96" t="str">
        <f t="shared" si="12"/>
        <v>AWC2</v>
      </c>
      <c r="D222" s="73" t="s">
        <v>86</v>
      </c>
      <c r="E222" s="100">
        <v>40233</v>
      </c>
      <c r="F222" s="101">
        <v>0.02</v>
      </c>
      <c r="G222" s="96">
        <f t="shared" si="13"/>
        <v>2</v>
      </c>
      <c r="I222" s="96"/>
      <c r="K222" t="str">
        <f t="shared" si="14"/>
        <v>AWC2</v>
      </c>
      <c r="L222" s="73" t="s">
        <v>86</v>
      </c>
      <c r="M222" s="72">
        <v>40233</v>
      </c>
      <c r="N222" s="84">
        <v>0.02</v>
      </c>
      <c r="O222" s="96">
        <f t="shared" si="15"/>
        <v>2</v>
      </c>
      <c r="P222" s="73"/>
      <c r="Q222" s="96"/>
      <c r="R222" s="96" t="s">
        <v>268</v>
      </c>
      <c r="S222" s="106" t="str">
        <f>IF(ISNA(VLOOKUP($R222&amp;S$2,$C$3:$F$4001,3,0)),"",VLOOKUP($R222&amp;S$2,$C$3:$F$4001,3,0))</f>
        <v/>
      </c>
      <c r="T222" s="107" t="str">
        <f>IF(ISNA(VLOOKUP($R222&amp;S$2,$C$3:$F$4001,4,0)),"",VLOOKUP($R222&amp;S$2,$C$3:$F$4001,4,0))</f>
        <v/>
      </c>
      <c r="U222" s="106" t="str">
        <f>IF(ISNA(VLOOKUP($R222&amp;U$2,$C$3:$F$4001,3,0)),"",VLOOKUP($R222&amp;U$2,$C$3:$F$4001,3,0))</f>
        <v/>
      </c>
      <c r="V222" s="107" t="str">
        <f>IF(ISNA(VLOOKUP($R222&amp;U$2,$C$3:$F$4001,4,0)),"",VLOOKUP($R222&amp;U$2,$C$3:$F$4001,4,0))</f>
        <v/>
      </c>
      <c r="W222" s="106" t="str">
        <f>IF(ISNA(VLOOKUP($R222&amp;W$2,$C$3:$F$4001,3,0)),"",VLOOKUP($R222&amp;W$2,$C$3:$F$4001,3,0))</f>
        <v/>
      </c>
      <c r="X222" s="107" t="str">
        <f>IF(ISNA(VLOOKUP($R222&amp;W$2,$C$3:$F$4001,4,0)),"",VLOOKUP($R222&amp;W$2,$C$3:$F$4001,4,0))</f>
        <v/>
      </c>
      <c r="Y222" s="106" t="str">
        <f>IF(ISNA(VLOOKUP($R222&amp;Y$2,$C$3:$F$4001,3,0)),"",VLOOKUP($R222&amp;Y$2,$C$3:$F$4001,3,0))</f>
        <v/>
      </c>
      <c r="Z222" s="107" t="str">
        <f>IF(ISNA(VLOOKUP($R222&amp;Y$2,$C$3:$F$4001,4,0)),"",VLOOKUP($R222&amp;Y$2,$C$3:$F$4001,4,0))</f>
        <v/>
      </c>
      <c r="AA222" s="106" t="str">
        <f>IF(ISNA(VLOOKUP($R222&amp;AA$2,$C$3:$F$4001,3,0)),"",VLOOKUP($R222&amp;AA$2,$C$3:$F$4001,3,0))</f>
        <v/>
      </c>
      <c r="AB222" s="107" t="str">
        <f>IF(ISNA(VLOOKUP($R222&amp;AA$2,$C$3:$F$4001,4,0)),"",VLOOKUP($R222&amp;AA$2,$C$3:$F$4001,4,0))</f>
        <v/>
      </c>
      <c r="AC222" s="106" t="str">
        <f>IF(ISNA(VLOOKUP($R222&amp;AC$2,$C$3:$F$4001,3,0)),"",VLOOKUP($R222&amp;AC$2,$C$3:$F$4001,3,0))</f>
        <v/>
      </c>
      <c r="AD222" s="107" t="str">
        <f>IF(ISNA(VLOOKUP($R222&amp;AC$2,$C$3:$F$4001,4,0)),"",VLOOKUP($R222&amp;AC$2,$C$3:$F$4001,4,0))</f>
        <v/>
      </c>
      <c r="AE222" s="106" t="str">
        <f>IF(ISNA(VLOOKUP($R222&amp;AE$2,$C$3:$F$4001,3,0)),"",VLOOKUP($R222&amp;AE$2,$C$3:$F$4001,3,0))</f>
        <v/>
      </c>
      <c r="AF222" s="107" t="str">
        <f>IF(ISNA(VLOOKUP($R222&amp;AE$2,$C$3:$F$4001,4,0)),"",VLOOKUP($R222&amp;AE$2,$C$3:$F$4001,4,0))</f>
        <v/>
      </c>
      <c r="AG222" s="106" t="str">
        <f>IF(ISNA(VLOOKUP($R222&amp;AG$2,$C$3:$F$4001,3,0)),"",VLOOKUP($R222&amp;AG$2,$C$3:$F$4001,3,0))</f>
        <v/>
      </c>
      <c r="AH222" s="107" t="str">
        <f>IF(ISNA(VLOOKUP($R222&amp;AG$2,$C$3:$F$4001,4,0)),"",VLOOKUP($R222&amp;AG$2,$C$3:$F$4001,4,0))</f>
        <v/>
      </c>
      <c r="AI222" s="106" t="str">
        <f>IF(ISNA(VLOOKUP($R222&amp;AI$2,$C$3:$F$4001,3,0)),"",VLOOKUP($R222&amp;AI$2,$C$3:$F$4001,3,0))</f>
        <v/>
      </c>
      <c r="AJ222" s="107" t="str">
        <f>IF(ISNA(VLOOKUP($R222&amp;AI$2,$C$3:$F$4001,4,0)),"",VLOOKUP($R222&amp;AI$2,$C$3:$F$4001,4,0))</f>
        <v/>
      </c>
      <c r="AK222" s="106" t="str">
        <f>IF(ISNA(VLOOKUP($R222&amp;AK$2,$C$3:$F$4001,3,0)),"",VLOOKUP($R222&amp;AK$2,$C$3:$F$4001,3,0))</f>
        <v/>
      </c>
      <c r="AL222" s="107" t="str">
        <f>IF(ISNA(VLOOKUP($R222&amp;AK$2,$C$3:$F$4001,4,0)),"",VLOOKUP($R222&amp;AK$2,$C$3:$F$4001,4,0))</f>
        <v/>
      </c>
    </row>
    <row r="223" spans="3:38" x14ac:dyDescent="0.2">
      <c r="C223" s="96" t="str">
        <f t="shared" si="12"/>
        <v>AWC3</v>
      </c>
      <c r="D223" s="73" t="s">
        <v>86</v>
      </c>
      <c r="E223" s="100">
        <v>40396</v>
      </c>
      <c r="F223" s="101">
        <v>0.02</v>
      </c>
      <c r="G223" s="96">
        <f t="shared" si="13"/>
        <v>3</v>
      </c>
      <c r="I223" s="96"/>
      <c r="K223" t="str">
        <f t="shared" si="14"/>
        <v>AWC3</v>
      </c>
      <c r="L223" s="73" t="s">
        <v>86</v>
      </c>
      <c r="M223" s="72">
        <v>40396</v>
      </c>
      <c r="N223" s="84">
        <v>0.02</v>
      </c>
      <c r="O223" s="96">
        <f t="shared" si="15"/>
        <v>3</v>
      </c>
      <c r="P223" s="73"/>
      <c r="Q223" s="96"/>
      <c r="R223" s="96" t="str">
        <f>R222</f>
        <v>LNC</v>
      </c>
      <c r="S223" s="108" t="str">
        <f>IF(ISNA(VLOOKUP($R223&amp;S$2,$K$3:$N$4001,3,0)),"",VLOOKUP($R223&amp;S$2,$K$3:$N$4001,3,0))</f>
        <v/>
      </c>
      <c r="T223" s="109" t="str">
        <f>IF(ISNA(VLOOKUP($R223&amp;S$2,$K$3:$N$4001,4,0)),"",VLOOKUP($R223&amp;S$2,$K$3:$N$4001,4,0))</f>
        <v/>
      </c>
      <c r="U223" s="108" t="str">
        <f>IF(ISNA(VLOOKUP($R223&amp;U$2,$K$3:$N$4001,3,0)),"",VLOOKUP($R223&amp;U$2,$K$3:$N$4001,3,0))</f>
        <v/>
      </c>
      <c r="V223" s="109" t="str">
        <f>IF(ISNA(VLOOKUP($R223&amp;U$2,$K$3:$N$4001,4,0)),"",VLOOKUP($R223&amp;U$2,$K$3:$N$4001,4,0))</f>
        <v/>
      </c>
      <c r="W223" s="108" t="str">
        <f>IF(ISNA(VLOOKUP($R223&amp;W$2,$K$3:$N$4001,3,0)),"",VLOOKUP($R223&amp;W$2,$K$3:$N$4001,3,0))</f>
        <v/>
      </c>
      <c r="X223" s="109" t="str">
        <f>IF(ISNA(VLOOKUP($R223&amp;W$2,$K$3:$N$4001,4,0)),"",VLOOKUP($R223&amp;W$2,$K$3:$N$4001,4,0))</f>
        <v/>
      </c>
      <c r="Y223" s="108" t="str">
        <f>IF(ISNA(VLOOKUP($R223&amp;Y$2,$K$3:$N$4001,3,0)),"",VLOOKUP($R223&amp;Y$2,$K$3:$N$4001,3,0))</f>
        <v/>
      </c>
      <c r="Z223" s="109" t="str">
        <f>IF(ISNA(VLOOKUP($R223&amp;Y$2,$K$3:$N$4001,4,0)),"",VLOOKUP($R223&amp;Y$2,$K$3:$N$4001,4,0))</f>
        <v/>
      </c>
      <c r="AA223" s="108" t="str">
        <f>IF(ISNA(VLOOKUP($R223&amp;AA$2,$K$3:$N$4001,3,0)),"",VLOOKUP($R223&amp;AA$2,$K$3:$N$4001,3,0))</f>
        <v/>
      </c>
      <c r="AB223" s="109" t="str">
        <f>IF(ISNA(VLOOKUP($R223&amp;AA$2,$K$3:$N$4001,4,0)),"",VLOOKUP($R223&amp;AA$2,$K$3:$N$4001,4,0))</f>
        <v/>
      </c>
      <c r="AC223" s="108" t="str">
        <f>IF(ISNA(VLOOKUP($R223&amp;AC$2,$K$3:$N$4001,3,0)),"",VLOOKUP($R223&amp;AC$2,$K$3:$N$4001,3,0))</f>
        <v/>
      </c>
      <c r="AD223" s="109" t="str">
        <f>IF(ISNA(VLOOKUP($R223&amp;AC$2,$K$3:$N$4001,4,0)),"",VLOOKUP($R223&amp;AC$2,$K$3:$N$4001,4,0))</f>
        <v/>
      </c>
      <c r="AE223" s="108" t="str">
        <f>IF(ISNA(VLOOKUP($R223&amp;AE$2,$K$3:$N$4001,3,0)),"",VLOOKUP($R223&amp;AE$2,$K$3:$N$4001,3,0))</f>
        <v/>
      </c>
      <c r="AF223" s="109" t="str">
        <f>IF(ISNA(VLOOKUP($R223&amp;AE$2,$K$3:$N$4001,4,0)),"",VLOOKUP($R223&amp;AE$2,$K$3:$N$4001,4,0))</f>
        <v/>
      </c>
      <c r="AG223" s="108" t="str">
        <f>IF(ISNA(VLOOKUP($R223&amp;AG$2,$K$3:$N$4001,3,0)),"",VLOOKUP($R223&amp;AG$2,$K$3:$N$4001,3,0))</f>
        <v/>
      </c>
      <c r="AH223" s="109" t="str">
        <f>IF(ISNA(VLOOKUP($R223&amp;AG$2,$K$3:$N$4001,4,0)),"",VLOOKUP($R223&amp;AG$2,$K$3:$N$4001,4,0))</f>
        <v/>
      </c>
      <c r="AI223" s="108" t="str">
        <f>IF(ISNA(VLOOKUP($R223&amp;AI$2,$K$3:$N$4001,3,0)),"",VLOOKUP($R223&amp;AI$2,$K$3:$N$4001,3,0))</f>
        <v/>
      </c>
      <c r="AJ223" s="109" t="str">
        <f>IF(ISNA(VLOOKUP($R223&amp;AI$2,$K$3:$N$4001,4,0)),"",VLOOKUP($R223&amp;AI$2,$K$3:$N$4001,4,0))</f>
        <v/>
      </c>
      <c r="AK223" s="108" t="str">
        <f>IF(ISNA(VLOOKUP($R223&amp;AK$2,$K$3:$N$4001,3,0)),"",VLOOKUP($R223&amp;AK$2,$K$3:$N$4001,3,0))</f>
        <v/>
      </c>
      <c r="AL223" s="109" t="str">
        <f>IF(ISNA(VLOOKUP($R223&amp;AK$2,$K$3:$N$4001,4,0)),"",VLOOKUP($R223&amp;AK$2,$K$3:$N$4001,4,0))</f>
        <v/>
      </c>
    </row>
    <row r="224" spans="3:38" x14ac:dyDescent="0.2">
      <c r="C224" s="96" t="str">
        <f t="shared" si="12"/>
        <v>AWC4</v>
      </c>
      <c r="D224" s="73" t="s">
        <v>86</v>
      </c>
      <c r="E224" s="100">
        <v>40598</v>
      </c>
      <c r="F224" s="101">
        <v>0.02</v>
      </c>
      <c r="G224" s="96">
        <f t="shared" si="13"/>
        <v>4</v>
      </c>
      <c r="I224" s="96"/>
      <c r="K224" t="str">
        <f t="shared" si="14"/>
        <v>AWC4</v>
      </c>
      <c r="L224" s="73" t="s">
        <v>86</v>
      </c>
      <c r="M224" s="72">
        <v>40598</v>
      </c>
      <c r="N224" s="84">
        <v>0.02</v>
      </c>
      <c r="O224" s="96">
        <f t="shared" si="15"/>
        <v>4</v>
      </c>
      <c r="P224" s="73"/>
      <c r="Q224" s="96"/>
      <c r="R224" s="96" t="s">
        <v>163</v>
      </c>
      <c r="S224" s="106">
        <f>IF(ISNA(VLOOKUP($R224&amp;S$2,$C$3:$F$4001,3,0)),"",VLOOKUP($R224&amp;S$2,$C$3:$F$4001,3,0))</f>
        <v>39966</v>
      </c>
      <c r="T224" s="107">
        <f>IF(ISNA(VLOOKUP($R224&amp;S$2,$C$3:$F$4001,4,0)),"",VLOOKUP($R224&amp;S$2,$C$3:$F$4001,4,0))</f>
        <v>0.22</v>
      </c>
      <c r="U224" s="106">
        <f>IF(ISNA(VLOOKUP($R224&amp;U$2,$C$3:$F$4001,3,0)),"",VLOOKUP($R224&amp;U$2,$C$3:$F$4001,3,0))</f>
        <v>40162</v>
      </c>
      <c r="V224" s="107">
        <f>IF(ISNA(VLOOKUP($R224&amp;U$2,$C$3:$F$4001,4,0)),"",VLOOKUP($R224&amp;U$2,$C$3:$F$4001,4,0))</f>
        <v>0.24</v>
      </c>
      <c r="W224" s="106">
        <f>IF(ISNA(VLOOKUP($R224&amp;W$2,$C$3:$F$4001,3,0)),"",VLOOKUP($R224&amp;W$2,$C$3:$F$4001,3,0))</f>
        <v>40332</v>
      </c>
      <c r="X224" s="107">
        <f>IF(ISNA(VLOOKUP($R224&amp;W$2,$C$3:$F$4001,4,0)),"",VLOOKUP($R224&amp;W$2,$C$3:$F$4001,4,0))</f>
        <v>0.23719999999999999</v>
      </c>
      <c r="Y224" s="106">
        <f>IF(ISNA(VLOOKUP($R224&amp;Y$2,$C$3:$F$4001,3,0)),"",VLOOKUP($R224&amp;Y$2,$C$3:$F$4001,3,0))</f>
        <v>40527</v>
      </c>
      <c r="Z224" s="107">
        <f>IF(ISNA(VLOOKUP($R224&amp;Y$2,$C$3:$F$4001,4,0)),"",VLOOKUP($R224&amp;Y$2,$C$3:$F$4001,4,0))</f>
        <v>0.25879999999999997</v>
      </c>
      <c r="AA224" s="106">
        <f>IF(ISNA(VLOOKUP($R224&amp;AA$2,$C$3:$F$4001,3,0)),"",VLOOKUP($R224&amp;AA$2,$C$3:$F$4001,3,0))</f>
        <v>40697</v>
      </c>
      <c r="AB224" s="107">
        <f>IF(ISNA(VLOOKUP($R224&amp;AA$2,$C$3:$F$4001,4,0)),"",VLOOKUP($R224&amp;AA$2,$C$3:$F$4001,4,0))</f>
        <v>0.25629999999999997</v>
      </c>
      <c r="AC224" s="106">
        <f>IF(ISNA(VLOOKUP($R224&amp;AC$2,$C$3:$F$4001,3,0)),"",VLOOKUP($R224&amp;AC$2,$C$3:$F$4001,3,0))</f>
        <v>40892</v>
      </c>
      <c r="AD224" s="107">
        <f>IF(ISNA(VLOOKUP($R224&amp;AC$2,$C$3:$F$4001,4,0)),"",VLOOKUP($R224&amp;AC$2,$C$3:$F$4001,4,0))</f>
        <v>0.2797</v>
      </c>
      <c r="AE224" s="106">
        <f>IF(ISNA(VLOOKUP($R224&amp;AE$2,$C$3:$F$4001,3,0)),"",VLOOKUP($R224&amp;AE$2,$C$3:$F$4001,3,0))</f>
        <v>41065</v>
      </c>
      <c r="AF224" s="107">
        <f>IF(ISNA(VLOOKUP($R224&amp;AE$2,$C$3:$F$4001,4,0)),"",VLOOKUP($R224&amp;AE$2,$C$3:$F$4001,4,0))</f>
        <v>0.27729999999999999</v>
      </c>
      <c r="AG224" s="106">
        <f>IF(ISNA(VLOOKUP($R224&amp;AG$2,$C$3:$F$4001,3,0)),"",VLOOKUP($R224&amp;AG$2,$C$3:$F$4001,3,0))</f>
        <v>41260</v>
      </c>
      <c r="AH224" s="107">
        <f>IF(ISNA(VLOOKUP($R224&amp;AG$2,$C$3:$F$4001,4,0)),"",VLOOKUP($R224&amp;AG$2,$C$3:$F$4001,4,0))</f>
        <v>0.30269999999999997</v>
      </c>
      <c r="AI224" s="106">
        <f>IF(ISNA(VLOOKUP($R224&amp;AI$2,$C$3:$F$4001,3,0)),"",VLOOKUP($R224&amp;AI$2,$C$3:$F$4001,3,0))</f>
        <v>41430</v>
      </c>
      <c r="AJ224" s="107">
        <f>IF(ISNA(VLOOKUP($R224&amp;AI$2,$C$3:$F$4001,4,0)),"",VLOOKUP($R224&amp;AI$2,$C$3:$F$4001,4,0))</f>
        <v>0.29260000000000003</v>
      </c>
      <c r="AK224" s="106">
        <f>IF(ISNA(VLOOKUP($R224&amp;AK$2,$C$3:$F$4001,3,0)),"",VLOOKUP($R224&amp;AK$2,$C$3:$F$4001,3,0))</f>
        <v>41625</v>
      </c>
      <c r="AL224" s="107">
        <f>IF(ISNA(VLOOKUP($R224&amp;AK$2,$C$3:$F$4001,4,0)),"",VLOOKUP($R224&amp;AK$2,$C$3:$F$4001,4,0))</f>
        <v>0.31940000000000002</v>
      </c>
    </row>
    <row r="225" spans="3:38" x14ac:dyDescent="0.2">
      <c r="C225" s="96" t="str">
        <f t="shared" si="12"/>
        <v>AWC5</v>
      </c>
      <c r="D225" s="73" t="s">
        <v>86</v>
      </c>
      <c r="E225" s="100">
        <v>40763</v>
      </c>
      <c r="F225" s="101">
        <v>0.05</v>
      </c>
      <c r="G225" s="96">
        <f t="shared" si="13"/>
        <v>5</v>
      </c>
      <c r="I225" s="96"/>
      <c r="K225" t="str">
        <f t="shared" si="14"/>
        <v>AWC5</v>
      </c>
      <c r="L225" s="73" t="s">
        <v>86</v>
      </c>
      <c r="M225" s="72">
        <v>40763</v>
      </c>
      <c r="N225" s="84">
        <v>0.05</v>
      </c>
      <c r="O225" s="96">
        <f t="shared" si="15"/>
        <v>5</v>
      </c>
      <c r="P225" s="73"/>
      <c r="Q225" s="96"/>
      <c r="R225" s="96" t="str">
        <f>R224</f>
        <v>LNN</v>
      </c>
      <c r="S225" s="108">
        <f>IF(ISNA(VLOOKUP($R225&amp;S$2,$K$3:$N$4001,3,0)),"",VLOOKUP($R225&amp;S$2,$K$3:$N$4001,3,0))</f>
        <v>39966</v>
      </c>
      <c r="T225" s="109">
        <f>IF(ISNA(VLOOKUP($R225&amp;S$2,$K$3:$N$4001,4,0)),"",VLOOKUP($R225&amp;S$2,$K$3:$N$4001,4,0))</f>
        <v>0.22</v>
      </c>
      <c r="U225" s="108">
        <f>IF(ISNA(VLOOKUP($R225&amp;U$2,$K$3:$N$4001,3,0)),"",VLOOKUP($R225&amp;U$2,$K$3:$N$4001,3,0))</f>
        <v>40162</v>
      </c>
      <c r="V225" s="109">
        <f>IF(ISNA(VLOOKUP($R225&amp;U$2,$K$3:$N$4001,4,0)),"",VLOOKUP($R225&amp;U$2,$K$3:$N$4001,4,0))</f>
        <v>0.24</v>
      </c>
      <c r="W225" s="108">
        <f>IF(ISNA(VLOOKUP($R225&amp;W$2,$K$3:$N$4001,3,0)),"",VLOOKUP($R225&amp;W$2,$K$3:$N$4001,3,0))</f>
        <v>40332</v>
      </c>
      <c r="X225" s="109">
        <f>IF(ISNA(VLOOKUP($R225&amp;W$2,$K$3:$N$4001,4,0)),"",VLOOKUP($R225&amp;W$2,$K$3:$N$4001,4,0))</f>
        <v>0.23719999999999999</v>
      </c>
      <c r="Y225" s="108">
        <f>IF(ISNA(VLOOKUP($R225&amp;Y$2,$K$3:$N$4001,3,0)),"",VLOOKUP($R225&amp;Y$2,$K$3:$N$4001,3,0))</f>
        <v>40527</v>
      </c>
      <c r="Z225" s="109">
        <f>IF(ISNA(VLOOKUP($R225&amp;Y$2,$K$3:$N$4001,4,0)),"",VLOOKUP($R225&amp;Y$2,$K$3:$N$4001,4,0))</f>
        <v>0.25879999999999997</v>
      </c>
      <c r="AA225" s="108">
        <f>IF(ISNA(VLOOKUP($R225&amp;AA$2,$K$3:$N$4001,3,0)),"",VLOOKUP($R225&amp;AA$2,$K$3:$N$4001,3,0))</f>
        <v>40697</v>
      </c>
      <c r="AB225" s="109">
        <f>IF(ISNA(VLOOKUP($R225&amp;AA$2,$K$3:$N$4001,4,0)),"",VLOOKUP($R225&amp;AA$2,$K$3:$N$4001,4,0))</f>
        <v>0.25629999999999997</v>
      </c>
      <c r="AC225" s="108">
        <f>IF(ISNA(VLOOKUP($R225&amp;AC$2,$K$3:$N$4001,3,0)),"",VLOOKUP($R225&amp;AC$2,$K$3:$N$4001,3,0))</f>
        <v>40892</v>
      </c>
      <c r="AD225" s="109">
        <f>IF(ISNA(VLOOKUP($R225&amp;AC$2,$K$3:$N$4001,4,0)),"",VLOOKUP($R225&amp;AC$2,$K$3:$N$4001,4,0))</f>
        <v>0.2797</v>
      </c>
      <c r="AE225" s="108">
        <f>IF(ISNA(VLOOKUP($R225&amp;AE$2,$K$3:$N$4001,3,0)),"",VLOOKUP($R225&amp;AE$2,$K$3:$N$4001,3,0))</f>
        <v>41065</v>
      </c>
      <c r="AF225" s="109">
        <f>IF(ISNA(VLOOKUP($R225&amp;AE$2,$K$3:$N$4001,4,0)),"",VLOOKUP($R225&amp;AE$2,$K$3:$N$4001,4,0))</f>
        <v>0.27729999999999999</v>
      </c>
      <c r="AG225" s="108">
        <f>IF(ISNA(VLOOKUP($R225&amp;AG$2,$K$3:$N$4001,3,0)),"",VLOOKUP($R225&amp;AG$2,$K$3:$N$4001,3,0))</f>
        <v>41260</v>
      </c>
      <c r="AH225" s="109">
        <f>IF(ISNA(VLOOKUP($R225&amp;AG$2,$K$3:$N$4001,4,0)),"",VLOOKUP($R225&amp;AG$2,$K$3:$N$4001,4,0))</f>
        <v>0.30269999999999997</v>
      </c>
      <c r="AI225" s="108">
        <f>IF(ISNA(VLOOKUP($R225&amp;AI$2,$K$3:$N$4001,3,0)),"",VLOOKUP($R225&amp;AI$2,$K$3:$N$4001,3,0))</f>
        <v>41430</v>
      </c>
      <c r="AJ225" s="109">
        <f>IF(ISNA(VLOOKUP($R225&amp;AI$2,$K$3:$N$4001,4,0)),"",VLOOKUP($R225&amp;AI$2,$K$3:$N$4001,4,0))</f>
        <v>0.29260000000000003</v>
      </c>
      <c r="AK225" s="108">
        <f>IF(ISNA(VLOOKUP($R225&amp;AK$2,$K$3:$N$4001,3,0)),"",VLOOKUP($R225&amp;AK$2,$K$3:$N$4001,3,0))</f>
        <v>41625</v>
      </c>
      <c r="AL225" s="109">
        <f>IF(ISNA(VLOOKUP($R225&amp;AK$2,$K$3:$N$4001,4,0)),"",VLOOKUP($R225&amp;AK$2,$K$3:$N$4001,4,0))</f>
        <v>0.31940000000000002</v>
      </c>
    </row>
    <row r="226" spans="3:38" x14ac:dyDescent="0.2">
      <c r="C226" s="96" t="str">
        <f t="shared" si="12"/>
        <v>AWC6</v>
      </c>
      <c r="D226" s="73" t="s">
        <v>86</v>
      </c>
      <c r="E226" s="100">
        <v>40966</v>
      </c>
      <c r="F226" s="101">
        <v>0.05</v>
      </c>
      <c r="G226" s="96">
        <f t="shared" si="13"/>
        <v>6</v>
      </c>
      <c r="I226" s="96"/>
      <c r="K226" t="str">
        <f t="shared" si="14"/>
        <v>AWC6</v>
      </c>
      <c r="L226" s="73" t="s">
        <v>86</v>
      </c>
      <c r="M226" s="72">
        <v>40966</v>
      </c>
      <c r="N226" s="84">
        <v>0.05</v>
      </c>
      <c r="O226" s="96">
        <f t="shared" si="15"/>
        <v>6</v>
      </c>
      <c r="P226" s="73"/>
      <c r="Q226" s="96"/>
      <c r="R226" s="96" t="s">
        <v>269</v>
      </c>
      <c r="S226" s="106" t="str">
        <f>IF(ISNA(VLOOKUP($R226&amp;S$2,$C$3:$F$4001,3,0)),"",VLOOKUP($R226&amp;S$2,$C$3:$F$4001,3,0))</f>
        <v/>
      </c>
      <c r="T226" s="107" t="str">
        <f>IF(ISNA(VLOOKUP($R226&amp;S$2,$C$3:$F$4001,4,0)),"",VLOOKUP($R226&amp;S$2,$C$3:$F$4001,4,0))</f>
        <v/>
      </c>
      <c r="U226" s="106" t="str">
        <f>IF(ISNA(VLOOKUP($R226&amp;U$2,$C$3:$F$4001,3,0)),"",VLOOKUP($R226&amp;U$2,$C$3:$F$4001,3,0))</f>
        <v/>
      </c>
      <c r="V226" s="107" t="str">
        <f>IF(ISNA(VLOOKUP($R226&amp;U$2,$C$3:$F$4001,4,0)),"",VLOOKUP($R226&amp;U$2,$C$3:$F$4001,4,0))</f>
        <v/>
      </c>
      <c r="W226" s="106" t="str">
        <f>IF(ISNA(VLOOKUP($R226&amp;W$2,$C$3:$F$4001,3,0)),"",VLOOKUP($R226&amp;W$2,$C$3:$F$4001,3,0))</f>
        <v/>
      </c>
      <c r="X226" s="107" t="str">
        <f>IF(ISNA(VLOOKUP($R226&amp;W$2,$C$3:$F$4001,4,0)),"",VLOOKUP($R226&amp;W$2,$C$3:$F$4001,4,0))</f>
        <v/>
      </c>
      <c r="Y226" s="106" t="str">
        <f>IF(ISNA(VLOOKUP($R226&amp;Y$2,$C$3:$F$4001,3,0)),"",VLOOKUP($R226&amp;Y$2,$C$3:$F$4001,3,0))</f>
        <v/>
      </c>
      <c r="Z226" s="107" t="str">
        <f>IF(ISNA(VLOOKUP($R226&amp;Y$2,$C$3:$F$4001,4,0)),"",VLOOKUP($R226&amp;Y$2,$C$3:$F$4001,4,0))</f>
        <v/>
      </c>
      <c r="AA226" s="106" t="str">
        <f>IF(ISNA(VLOOKUP($R226&amp;AA$2,$C$3:$F$4001,3,0)),"",VLOOKUP($R226&amp;AA$2,$C$3:$F$4001,3,0))</f>
        <v/>
      </c>
      <c r="AB226" s="107" t="str">
        <f>IF(ISNA(VLOOKUP($R226&amp;AA$2,$C$3:$F$4001,4,0)),"",VLOOKUP($R226&amp;AA$2,$C$3:$F$4001,4,0))</f>
        <v/>
      </c>
      <c r="AC226" s="106" t="str">
        <f>IF(ISNA(VLOOKUP($R226&amp;AC$2,$C$3:$F$4001,3,0)),"",VLOOKUP($R226&amp;AC$2,$C$3:$F$4001,3,0))</f>
        <v/>
      </c>
      <c r="AD226" s="107" t="str">
        <f>IF(ISNA(VLOOKUP($R226&amp;AC$2,$C$3:$F$4001,4,0)),"",VLOOKUP($R226&amp;AC$2,$C$3:$F$4001,4,0))</f>
        <v/>
      </c>
      <c r="AE226" s="106" t="str">
        <f>IF(ISNA(VLOOKUP($R226&amp;AE$2,$C$3:$F$4001,3,0)),"",VLOOKUP($R226&amp;AE$2,$C$3:$F$4001,3,0))</f>
        <v/>
      </c>
      <c r="AF226" s="107" t="str">
        <f>IF(ISNA(VLOOKUP($R226&amp;AE$2,$C$3:$F$4001,4,0)),"",VLOOKUP($R226&amp;AE$2,$C$3:$F$4001,4,0))</f>
        <v/>
      </c>
      <c r="AG226" s="106" t="str">
        <f>IF(ISNA(VLOOKUP($R226&amp;AG$2,$C$3:$F$4001,3,0)),"",VLOOKUP($R226&amp;AG$2,$C$3:$F$4001,3,0))</f>
        <v/>
      </c>
      <c r="AH226" s="107" t="str">
        <f>IF(ISNA(VLOOKUP($R226&amp;AG$2,$C$3:$F$4001,4,0)),"",VLOOKUP($R226&amp;AG$2,$C$3:$F$4001,4,0))</f>
        <v/>
      </c>
      <c r="AI226" s="106" t="str">
        <f>IF(ISNA(VLOOKUP($R226&amp;AI$2,$C$3:$F$4001,3,0)),"",VLOOKUP($R226&amp;AI$2,$C$3:$F$4001,3,0))</f>
        <v/>
      </c>
      <c r="AJ226" s="107" t="str">
        <f>IF(ISNA(VLOOKUP($R226&amp;AI$2,$C$3:$F$4001,4,0)),"",VLOOKUP($R226&amp;AI$2,$C$3:$F$4001,4,0))</f>
        <v/>
      </c>
      <c r="AK226" s="106" t="str">
        <f>IF(ISNA(VLOOKUP($R226&amp;AK$2,$C$3:$F$4001,3,0)),"",VLOOKUP($R226&amp;AK$2,$C$3:$F$4001,3,0))</f>
        <v/>
      </c>
      <c r="AL226" s="107" t="str">
        <f>IF(ISNA(VLOOKUP($R226&amp;AK$2,$C$3:$F$4001,4,0)),"",VLOOKUP($R226&amp;AK$2,$C$3:$F$4001,4,0))</f>
        <v/>
      </c>
    </row>
    <row r="227" spans="3:38" x14ac:dyDescent="0.2">
      <c r="C227" s="96" t="str">
        <f t="shared" si="12"/>
        <v>AWC7</v>
      </c>
      <c r="D227" s="73" t="s">
        <v>86</v>
      </c>
      <c r="E227" s="100">
        <v>41128</v>
      </c>
      <c r="F227" s="101">
        <v>0.08</v>
      </c>
      <c r="G227" s="96">
        <f t="shared" si="13"/>
        <v>7</v>
      </c>
      <c r="I227" s="96"/>
      <c r="K227" t="str">
        <f t="shared" si="14"/>
        <v>AWC7</v>
      </c>
      <c r="L227" s="73" t="s">
        <v>86</v>
      </c>
      <c r="M227" s="72">
        <v>41128</v>
      </c>
      <c r="N227" s="84">
        <v>0.08</v>
      </c>
      <c r="O227" s="96">
        <f t="shared" si="15"/>
        <v>7</v>
      </c>
      <c r="P227" s="73"/>
      <c r="Q227" s="96"/>
      <c r="R227" s="96" t="str">
        <f>R226</f>
        <v>LYC</v>
      </c>
      <c r="S227" s="108" t="str">
        <f>IF(ISNA(VLOOKUP($R227&amp;S$2,$K$3:$N$4001,3,0)),"",VLOOKUP($R227&amp;S$2,$K$3:$N$4001,3,0))</f>
        <v/>
      </c>
      <c r="T227" s="109" t="str">
        <f>IF(ISNA(VLOOKUP($R227&amp;S$2,$K$3:$N$4001,4,0)),"",VLOOKUP($R227&amp;S$2,$K$3:$N$4001,4,0))</f>
        <v/>
      </c>
      <c r="U227" s="108" t="str">
        <f>IF(ISNA(VLOOKUP($R227&amp;U$2,$K$3:$N$4001,3,0)),"",VLOOKUP($R227&amp;U$2,$K$3:$N$4001,3,0))</f>
        <v/>
      </c>
      <c r="V227" s="109" t="str">
        <f>IF(ISNA(VLOOKUP($R227&amp;U$2,$K$3:$N$4001,4,0)),"",VLOOKUP($R227&amp;U$2,$K$3:$N$4001,4,0))</f>
        <v/>
      </c>
      <c r="W227" s="108" t="str">
        <f>IF(ISNA(VLOOKUP($R227&amp;W$2,$K$3:$N$4001,3,0)),"",VLOOKUP($R227&amp;W$2,$K$3:$N$4001,3,0))</f>
        <v/>
      </c>
      <c r="X227" s="109" t="str">
        <f>IF(ISNA(VLOOKUP($R227&amp;W$2,$K$3:$N$4001,4,0)),"",VLOOKUP($R227&amp;W$2,$K$3:$N$4001,4,0))</f>
        <v/>
      </c>
      <c r="Y227" s="108" t="str">
        <f>IF(ISNA(VLOOKUP($R227&amp;Y$2,$K$3:$N$4001,3,0)),"",VLOOKUP($R227&amp;Y$2,$K$3:$N$4001,3,0))</f>
        <v/>
      </c>
      <c r="Z227" s="109" t="str">
        <f>IF(ISNA(VLOOKUP($R227&amp;Y$2,$K$3:$N$4001,4,0)),"",VLOOKUP($R227&amp;Y$2,$K$3:$N$4001,4,0))</f>
        <v/>
      </c>
      <c r="AA227" s="108" t="str">
        <f>IF(ISNA(VLOOKUP($R227&amp;AA$2,$K$3:$N$4001,3,0)),"",VLOOKUP($R227&amp;AA$2,$K$3:$N$4001,3,0))</f>
        <v/>
      </c>
      <c r="AB227" s="109" t="str">
        <f>IF(ISNA(VLOOKUP($R227&amp;AA$2,$K$3:$N$4001,4,0)),"",VLOOKUP($R227&amp;AA$2,$K$3:$N$4001,4,0))</f>
        <v/>
      </c>
      <c r="AC227" s="108" t="str">
        <f>IF(ISNA(VLOOKUP($R227&amp;AC$2,$K$3:$N$4001,3,0)),"",VLOOKUP($R227&amp;AC$2,$K$3:$N$4001,3,0))</f>
        <v/>
      </c>
      <c r="AD227" s="109" t="str">
        <f>IF(ISNA(VLOOKUP($R227&amp;AC$2,$K$3:$N$4001,4,0)),"",VLOOKUP($R227&amp;AC$2,$K$3:$N$4001,4,0))</f>
        <v/>
      </c>
      <c r="AE227" s="108" t="str">
        <f>IF(ISNA(VLOOKUP($R227&amp;AE$2,$K$3:$N$4001,3,0)),"",VLOOKUP($R227&amp;AE$2,$K$3:$N$4001,3,0))</f>
        <v/>
      </c>
      <c r="AF227" s="109" t="str">
        <f>IF(ISNA(VLOOKUP($R227&amp;AE$2,$K$3:$N$4001,4,0)),"",VLOOKUP($R227&amp;AE$2,$K$3:$N$4001,4,0))</f>
        <v/>
      </c>
      <c r="AG227" s="108" t="str">
        <f>IF(ISNA(VLOOKUP($R227&amp;AG$2,$K$3:$N$4001,3,0)),"",VLOOKUP($R227&amp;AG$2,$K$3:$N$4001,3,0))</f>
        <v/>
      </c>
      <c r="AH227" s="109" t="str">
        <f>IF(ISNA(VLOOKUP($R227&amp;AG$2,$K$3:$N$4001,4,0)),"",VLOOKUP($R227&amp;AG$2,$K$3:$N$4001,4,0))</f>
        <v/>
      </c>
      <c r="AI227" s="108" t="str">
        <f>IF(ISNA(VLOOKUP($R227&amp;AI$2,$K$3:$N$4001,3,0)),"",VLOOKUP($R227&amp;AI$2,$K$3:$N$4001,3,0))</f>
        <v/>
      </c>
      <c r="AJ227" s="109" t="str">
        <f>IF(ISNA(VLOOKUP($R227&amp;AI$2,$K$3:$N$4001,4,0)),"",VLOOKUP($R227&amp;AI$2,$K$3:$N$4001,4,0))</f>
        <v/>
      </c>
      <c r="AK227" s="108" t="str">
        <f>IF(ISNA(VLOOKUP($R227&amp;AK$2,$K$3:$N$4001,3,0)),"",VLOOKUP($R227&amp;AK$2,$K$3:$N$4001,3,0))</f>
        <v/>
      </c>
      <c r="AL227" s="109" t="str">
        <f>IF(ISNA(VLOOKUP($R227&amp;AK$2,$K$3:$N$4001,4,0)),"",VLOOKUP($R227&amp;AK$2,$K$3:$N$4001,4,0))</f>
        <v/>
      </c>
    </row>
    <row r="228" spans="3:38" x14ac:dyDescent="0.2">
      <c r="C228" s="96" t="str">
        <f t="shared" si="12"/>
        <v>AWC8</v>
      </c>
      <c r="D228" s="73" t="s">
        <v>86</v>
      </c>
      <c r="E228" s="100">
        <v>41331</v>
      </c>
      <c r="F228" s="101">
        <v>0.08</v>
      </c>
      <c r="G228" s="96">
        <f t="shared" si="13"/>
        <v>8</v>
      </c>
      <c r="I228" s="96"/>
      <c r="K228" t="str">
        <f t="shared" si="14"/>
        <v>AWC8</v>
      </c>
      <c r="L228" s="73" t="s">
        <v>86</v>
      </c>
      <c r="M228" s="72">
        <v>41331</v>
      </c>
      <c r="N228" s="84">
        <v>0.08</v>
      </c>
      <c r="O228" s="96">
        <f t="shared" si="15"/>
        <v>8</v>
      </c>
      <c r="P228" s="73"/>
      <c r="Q228" s="96"/>
      <c r="R228" s="96" t="s">
        <v>166</v>
      </c>
      <c r="S228" s="106">
        <f>IF(ISNA(VLOOKUP($R228&amp;S$2,$C$3:$F$4001,3,0)),"",VLOOKUP($R228&amp;S$2,$C$3:$F$4001,3,0))</f>
        <v>39883</v>
      </c>
      <c r="T228" s="107">
        <f>IF(ISNA(VLOOKUP($R228&amp;S$2,$C$3:$F$4001,4,0)),"",VLOOKUP($R228&amp;S$2,$C$3:$F$4001,4,0))</f>
        <v>0.1</v>
      </c>
      <c r="U228" s="106">
        <f>IF(ISNA(VLOOKUP($R228&amp;U$2,$C$3:$F$4001,3,0)),"",VLOOKUP($R228&amp;U$2,$C$3:$F$4001,3,0))</f>
        <v>40066</v>
      </c>
      <c r="V228" s="107">
        <f>IF(ISNA(VLOOKUP($R228&amp;U$2,$C$3:$F$4001,4,0)),"",VLOOKUP($R228&amp;U$2,$C$3:$F$4001,4,0))</f>
        <v>0.1</v>
      </c>
      <c r="W228" s="106">
        <f>IF(ISNA(VLOOKUP($R228&amp;W$2,$C$3:$F$4001,3,0)),"",VLOOKUP($R228&amp;W$2,$C$3:$F$4001,3,0))</f>
        <v>40248</v>
      </c>
      <c r="X228" s="107">
        <f>IF(ISNA(VLOOKUP($R228&amp;W$2,$C$3:$F$4001,4,0)),"",VLOOKUP($R228&amp;W$2,$C$3:$F$4001,4,0))</f>
        <v>0.12</v>
      </c>
      <c r="Y228" s="106">
        <f>IF(ISNA(VLOOKUP($R228&amp;Y$2,$C$3:$F$4001,3,0)),"",VLOOKUP($R228&amp;Y$2,$C$3:$F$4001,3,0))</f>
        <v>40431</v>
      </c>
      <c r="Z228" s="107">
        <f>IF(ISNA(VLOOKUP($R228&amp;Y$2,$C$3:$F$4001,4,0)),"",VLOOKUP($R228&amp;Y$2,$C$3:$F$4001,4,0))</f>
        <v>0.12</v>
      </c>
      <c r="AA228" s="106">
        <f>IF(ISNA(VLOOKUP($R228&amp;AA$2,$C$3:$F$4001,3,0)),"",VLOOKUP($R228&amp;AA$2,$C$3:$F$4001,3,0))</f>
        <v>40613</v>
      </c>
      <c r="AB228" s="107">
        <f>IF(ISNA(VLOOKUP($R228&amp;AA$2,$C$3:$F$4001,4,0)),"",VLOOKUP($R228&amp;AA$2,$C$3:$F$4001,4,0))</f>
        <v>0.15</v>
      </c>
      <c r="AC228" s="106">
        <f>IF(ISNA(VLOOKUP($R228&amp;AC$2,$C$3:$F$4001,3,0)),"",VLOOKUP($R228&amp;AC$2,$C$3:$F$4001,3,0))</f>
        <v>40798</v>
      </c>
      <c r="AD228" s="107">
        <f>IF(ISNA(VLOOKUP($R228&amp;AC$2,$C$3:$F$4001,4,0)),"",VLOOKUP($R228&amp;AC$2,$C$3:$F$4001,4,0))</f>
        <v>0.15</v>
      </c>
      <c r="AE228" s="106">
        <f>IF(ISNA(VLOOKUP($R228&amp;AE$2,$C$3:$F$4001,3,0)),"",VLOOKUP($R228&amp;AE$2,$C$3:$F$4001,3,0))</f>
        <v>40981</v>
      </c>
      <c r="AF228" s="107">
        <f>IF(ISNA(VLOOKUP($R228&amp;AE$2,$C$3:$F$4001,4,0)),"",VLOOKUP($R228&amp;AE$2,$C$3:$F$4001,4,0))</f>
        <v>0.2</v>
      </c>
      <c r="AG228" s="106">
        <f>IF(ISNA(VLOOKUP($R228&amp;AG$2,$C$3:$F$4001,3,0)),"",VLOOKUP($R228&amp;AG$2,$C$3:$F$4001,3,0))</f>
        <v>41163</v>
      </c>
      <c r="AH228" s="107">
        <f>IF(ISNA(VLOOKUP($R228&amp;AG$2,$C$3:$F$4001,4,0)),"",VLOOKUP($R228&amp;AG$2,$C$3:$F$4001,4,0))</f>
        <v>0.2</v>
      </c>
      <c r="AI228" s="106">
        <f>IF(ISNA(VLOOKUP($R228&amp;AI$2,$C$3:$F$4001,3,0)),"",VLOOKUP($R228&amp;AI$2,$C$3:$F$4001,3,0))</f>
        <v>41346</v>
      </c>
      <c r="AJ228" s="107">
        <f>IF(ISNA(VLOOKUP($R228&amp;AI$2,$C$3:$F$4001,4,0)),"",VLOOKUP($R228&amp;AI$2,$C$3:$F$4001,4,0))</f>
        <v>0.35950000000000004</v>
      </c>
      <c r="AK228" s="106">
        <f>IF(ISNA(VLOOKUP($R228&amp;AK$2,$C$3:$F$4001,3,0)),"",VLOOKUP($R228&amp;AK$2,$C$3:$F$4001,3,0))</f>
        <v>41528</v>
      </c>
      <c r="AL228" s="107">
        <f>IF(ISNA(VLOOKUP($R228&amp;AK$2,$C$3:$F$4001,4,0)),"",VLOOKUP($R228&amp;AK$2,$C$3:$F$4001,4,0))</f>
        <v>0.35950000000000004</v>
      </c>
    </row>
    <row r="229" spans="3:38" x14ac:dyDescent="0.2">
      <c r="C229" s="96" t="str">
        <f t="shared" si="12"/>
        <v>AXA1</v>
      </c>
      <c r="D229" s="73" t="s">
        <v>87</v>
      </c>
      <c r="E229" s="100">
        <v>39874</v>
      </c>
      <c r="F229" s="101">
        <v>0.13</v>
      </c>
      <c r="G229" s="96">
        <f t="shared" si="13"/>
        <v>1</v>
      </c>
      <c r="I229" s="96"/>
      <c r="K229" t="str">
        <f t="shared" si="14"/>
        <v>AXA1</v>
      </c>
      <c r="L229" s="73" t="s">
        <v>87</v>
      </c>
      <c r="M229" s="72">
        <v>39874</v>
      </c>
      <c r="N229" s="84">
        <v>0.13</v>
      </c>
      <c r="O229" s="96">
        <f t="shared" si="15"/>
        <v>1</v>
      </c>
      <c r="P229" s="73"/>
      <c r="Q229" s="96"/>
      <c r="R229" s="96" t="str">
        <f>R228</f>
        <v>MCC</v>
      </c>
      <c r="S229" s="108">
        <f>IF(ISNA(VLOOKUP($R229&amp;S$2,$K$3:$N$4001,3,0)),"",VLOOKUP($R229&amp;S$2,$K$3:$N$4001,3,0))</f>
        <v>39883</v>
      </c>
      <c r="T229" s="109">
        <f>IF(ISNA(VLOOKUP($R229&amp;S$2,$K$3:$N$4001,4,0)),"",VLOOKUP($R229&amp;S$2,$K$3:$N$4001,4,0))</f>
        <v>0.1</v>
      </c>
      <c r="U229" s="108">
        <f>IF(ISNA(VLOOKUP($R229&amp;U$2,$K$3:$N$4001,3,0)),"",VLOOKUP($R229&amp;U$2,$K$3:$N$4001,3,0))</f>
        <v>40066</v>
      </c>
      <c r="V229" s="109">
        <f>IF(ISNA(VLOOKUP($R229&amp;U$2,$K$3:$N$4001,4,0)),"",VLOOKUP($R229&amp;U$2,$K$3:$N$4001,4,0))</f>
        <v>0.1</v>
      </c>
      <c r="W229" s="108">
        <f>IF(ISNA(VLOOKUP($R229&amp;W$2,$K$3:$N$4001,3,0)),"",VLOOKUP($R229&amp;W$2,$K$3:$N$4001,3,0))</f>
        <v>40248</v>
      </c>
      <c r="X229" s="109">
        <f>IF(ISNA(VLOOKUP($R229&amp;W$2,$K$3:$N$4001,4,0)),"",VLOOKUP($R229&amp;W$2,$K$3:$N$4001,4,0))</f>
        <v>0.12</v>
      </c>
      <c r="Y229" s="108">
        <f>IF(ISNA(VLOOKUP($R229&amp;Y$2,$K$3:$N$4001,3,0)),"",VLOOKUP($R229&amp;Y$2,$K$3:$N$4001,3,0))</f>
        <v>40431</v>
      </c>
      <c r="Z229" s="109">
        <f>IF(ISNA(VLOOKUP($R229&amp;Y$2,$K$3:$N$4001,4,0)),"",VLOOKUP($R229&amp;Y$2,$K$3:$N$4001,4,0))</f>
        <v>0.12</v>
      </c>
      <c r="AA229" s="108">
        <f>IF(ISNA(VLOOKUP($R229&amp;AA$2,$K$3:$N$4001,3,0)),"",VLOOKUP($R229&amp;AA$2,$K$3:$N$4001,3,0))</f>
        <v>40613</v>
      </c>
      <c r="AB229" s="109">
        <f>IF(ISNA(VLOOKUP($R229&amp;AA$2,$K$3:$N$4001,4,0)),"",VLOOKUP($R229&amp;AA$2,$K$3:$N$4001,4,0))</f>
        <v>0.15</v>
      </c>
      <c r="AC229" s="108">
        <f>IF(ISNA(VLOOKUP($R229&amp;AC$2,$K$3:$N$4001,3,0)),"",VLOOKUP($R229&amp;AC$2,$K$3:$N$4001,3,0))</f>
        <v>40798</v>
      </c>
      <c r="AD229" s="109">
        <f>IF(ISNA(VLOOKUP($R229&amp;AC$2,$K$3:$N$4001,4,0)),"",VLOOKUP($R229&amp;AC$2,$K$3:$N$4001,4,0))</f>
        <v>0.15</v>
      </c>
      <c r="AE229" s="108">
        <f>IF(ISNA(VLOOKUP($R229&amp;AE$2,$K$3:$N$4001,3,0)),"",VLOOKUP($R229&amp;AE$2,$K$3:$N$4001,3,0))</f>
        <v>40981</v>
      </c>
      <c r="AF229" s="109">
        <f>IF(ISNA(VLOOKUP($R229&amp;AE$2,$K$3:$N$4001,4,0)),"",VLOOKUP($R229&amp;AE$2,$K$3:$N$4001,4,0))</f>
        <v>0.2</v>
      </c>
      <c r="AG229" s="108">
        <f>IF(ISNA(VLOOKUP($R229&amp;AG$2,$K$3:$N$4001,3,0)),"",VLOOKUP($R229&amp;AG$2,$K$3:$N$4001,3,0))</f>
        <v>41163</v>
      </c>
      <c r="AH229" s="109">
        <f>IF(ISNA(VLOOKUP($R229&amp;AG$2,$K$3:$N$4001,4,0)),"",VLOOKUP($R229&amp;AG$2,$K$3:$N$4001,4,0))</f>
        <v>0.2</v>
      </c>
      <c r="AI229" s="108">
        <f>IF(ISNA(VLOOKUP($R229&amp;AI$2,$K$3:$N$4001,3,0)),"",VLOOKUP($R229&amp;AI$2,$K$3:$N$4001,3,0))</f>
        <v>41346</v>
      </c>
      <c r="AJ229" s="109">
        <f>IF(ISNA(VLOOKUP($R229&amp;AI$2,$K$3:$N$4001,4,0)),"",VLOOKUP($R229&amp;AI$2,$K$3:$N$4001,4,0))</f>
        <v>0.35950000000000004</v>
      </c>
      <c r="AK229" s="108">
        <f>IF(ISNA(VLOOKUP($R229&amp;AK$2,$K$3:$N$4001,3,0)),"",VLOOKUP($R229&amp;AK$2,$K$3:$N$4001,3,0))</f>
        <v>41528</v>
      </c>
      <c r="AL229" s="109">
        <f>IF(ISNA(VLOOKUP($R229&amp;AK$2,$K$3:$N$4001,4,0)),"",VLOOKUP($R229&amp;AK$2,$K$3:$N$4001,4,0))</f>
        <v>0.35950000000000004</v>
      </c>
    </row>
    <row r="230" spans="3:38" x14ac:dyDescent="0.2">
      <c r="C230" s="96" t="str">
        <f t="shared" si="12"/>
        <v>AXA2</v>
      </c>
      <c r="D230" s="73" t="s">
        <v>87</v>
      </c>
      <c r="E230" s="100">
        <v>40043</v>
      </c>
      <c r="F230" s="101">
        <v>9.2499999999999999E-2</v>
      </c>
      <c r="G230" s="96">
        <f t="shared" si="13"/>
        <v>2</v>
      </c>
      <c r="I230" s="96"/>
      <c r="K230" t="str">
        <f t="shared" si="14"/>
        <v>AXA2</v>
      </c>
      <c r="L230" s="73" t="s">
        <v>87</v>
      </c>
      <c r="M230" s="72">
        <v>40043</v>
      </c>
      <c r="N230" s="84">
        <v>9.2499999999999999E-2</v>
      </c>
      <c r="O230" s="96">
        <f t="shared" si="15"/>
        <v>2</v>
      </c>
      <c r="P230" s="73"/>
      <c r="Q230" s="96"/>
      <c r="R230" s="96" t="s">
        <v>164</v>
      </c>
      <c r="S230" s="106">
        <f>IF(ISNA(VLOOKUP($R230&amp;S$2,$C$3:$F$4001,3,0)),"",VLOOKUP($R230&amp;S$2,$C$3:$F$4001,3,0))</f>
        <v>39888</v>
      </c>
      <c r="T230" s="107">
        <f>IF(ISNA(VLOOKUP($R230&amp;S$2,$C$3:$F$4001,4,0)),"",VLOOKUP($R230&amp;S$2,$C$3:$F$4001,4,0))</f>
        <v>0.02</v>
      </c>
      <c r="U230" s="106">
        <f>IF(ISNA(VLOOKUP($R230&amp;U$2,$C$3:$F$4001,3,0)),"",VLOOKUP($R230&amp;U$2,$C$3:$F$4001,3,0))</f>
        <v>40064</v>
      </c>
      <c r="V230" s="107">
        <f>IF(ISNA(VLOOKUP($R230&amp;U$2,$C$3:$F$4001,4,0)),"",VLOOKUP($R230&amp;U$2,$C$3:$F$4001,4,0))</f>
        <v>3.5000000000000003E-2</v>
      </c>
      <c r="W230" s="106">
        <f>IF(ISNA(VLOOKUP($R230&amp;W$2,$C$3:$F$4001,3,0)),"",VLOOKUP($R230&amp;W$2,$C$3:$F$4001,3,0))</f>
        <v>40253</v>
      </c>
      <c r="X230" s="107">
        <f>IF(ISNA(VLOOKUP($R230&amp;W$2,$C$3:$F$4001,4,0)),"",VLOOKUP($R230&amp;W$2,$C$3:$F$4001,4,0))</f>
        <v>1.6E-2</v>
      </c>
      <c r="Y230" s="106">
        <f>IF(ISNA(VLOOKUP($R230&amp;Y$2,$C$3:$F$4001,3,0)),"",VLOOKUP($R230&amp;Y$2,$C$3:$F$4001,3,0))</f>
        <v>40429</v>
      </c>
      <c r="Z230" s="107">
        <f>IF(ISNA(VLOOKUP($R230&amp;Y$2,$C$3:$F$4001,4,0)),"",VLOOKUP($R230&amp;Y$2,$C$3:$F$4001,4,0))</f>
        <v>2.7999999999999997E-2</v>
      </c>
      <c r="AA230" s="106">
        <f>IF(ISNA(VLOOKUP($R230&amp;AA$2,$C$3:$F$4001,3,0)),"",VLOOKUP($R230&amp;AA$2,$C$3:$F$4001,3,0))</f>
        <v>40618</v>
      </c>
      <c r="AB230" s="107">
        <f>IF(ISNA(VLOOKUP($R230&amp;AA$2,$C$3:$F$4001,4,0)),"",VLOOKUP($R230&amp;AA$2,$C$3:$F$4001,4,0))</f>
        <v>1.7399999999999999E-2</v>
      </c>
      <c r="AC230" s="106">
        <f>IF(ISNA(VLOOKUP($R230&amp;AC$2,$C$3:$F$4001,3,0)),"",VLOOKUP($R230&amp;AC$2,$C$3:$F$4001,3,0))</f>
        <v>40794</v>
      </c>
      <c r="AD230" s="107">
        <f>IF(ISNA(VLOOKUP($R230&amp;AC$2,$C$3:$F$4001,4,0)),"",VLOOKUP($R230&amp;AC$2,$C$3:$F$4001,4,0))</f>
        <v>3.0600000000000002E-2</v>
      </c>
      <c r="AE230" s="106">
        <f>IF(ISNA(VLOOKUP($R230&amp;AE$2,$C$3:$F$4001,3,0)),"",VLOOKUP($R230&amp;AE$2,$C$3:$F$4001,3,0))</f>
        <v>40984</v>
      </c>
      <c r="AF230" s="107">
        <f>IF(ISNA(VLOOKUP($R230&amp;AE$2,$C$3:$F$4001,4,0)),"",VLOOKUP($R230&amp;AE$2,$C$3:$F$4001,4,0))</f>
        <v>2.3599999999999999E-2</v>
      </c>
      <c r="AG230" s="106">
        <f>IF(ISNA(VLOOKUP($R230&amp;AG$2,$C$3:$F$4001,3,0)),"",VLOOKUP($R230&amp;AG$2,$C$3:$F$4001,3,0))</f>
        <v>41162</v>
      </c>
      <c r="AH230" s="107">
        <f>IF(ISNA(VLOOKUP($R230&amp;AG$2,$C$3:$F$4001,4,0)),"",VLOOKUP($R230&amp;AG$2,$C$3:$F$4001,4,0))</f>
        <v>4.1399999999999999E-2</v>
      </c>
      <c r="AI230" s="106">
        <f>IF(ISNA(VLOOKUP($R230&amp;AI$2,$C$3:$F$4001,3,0)),"",VLOOKUP($R230&amp;AI$2,$C$3:$F$4001,3,0))</f>
        <v>41351</v>
      </c>
      <c r="AJ230" s="107">
        <f>IF(ISNA(VLOOKUP($R230&amp;AI$2,$C$3:$F$4001,4,0)),"",VLOOKUP($R230&amp;AI$2,$C$3:$F$4001,4,0))</f>
        <v>2.4700000000000003E-2</v>
      </c>
      <c r="AK230" s="106">
        <f>IF(ISNA(VLOOKUP($R230&amp;AK$2,$C$3:$F$4001,3,0)),"",VLOOKUP($R230&amp;AK$2,$C$3:$F$4001,3,0))</f>
        <v>41527</v>
      </c>
      <c r="AL230" s="107">
        <f>IF(ISNA(VLOOKUP($R230&amp;AK$2,$C$3:$F$4001,4,0)),"",VLOOKUP($R230&amp;AK$2,$C$3:$F$4001,4,0))</f>
        <v>4.3299999999999998E-2</v>
      </c>
    </row>
    <row r="231" spans="3:38" x14ac:dyDescent="0.2">
      <c r="C231" s="96" t="str">
        <f t="shared" si="12"/>
        <v>AXA3</v>
      </c>
      <c r="D231" s="73" t="s">
        <v>87</v>
      </c>
      <c r="E231" s="100">
        <v>40239</v>
      </c>
      <c r="F231" s="101">
        <v>0.13</v>
      </c>
      <c r="G231" s="96">
        <f t="shared" si="13"/>
        <v>3</v>
      </c>
      <c r="I231" s="96"/>
      <c r="K231" t="str">
        <f t="shared" si="14"/>
        <v>AXA3</v>
      </c>
      <c r="L231" s="73" t="s">
        <v>87</v>
      </c>
      <c r="M231" s="72">
        <v>40239</v>
      </c>
      <c r="N231" s="84">
        <v>0.13</v>
      </c>
      <c r="O231" s="96">
        <f t="shared" si="15"/>
        <v>3</v>
      </c>
      <c r="P231" s="73"/>
      <c r="Q231" s="96"/>
      <c r="R231" s="96" t="str">
        <f>R230</f>
        <v>MAH</v>
      </c>
      <c r="S231" s="108">
        <f>IF(ISNA(VLOOKUP($R231&amp;S$2,$K$3:$N$4001,3,0)),"",VLOOKUP($R231&amp;S$2,$K$3:$N$4001,3,0))</f>
        <v>39888</v>
      </c>
      <c r="T231" s="109">
        <f>IF(ISNA(VLOOKUP($R231&amp;S$2,$K$3:$N$4001,4,0)),"",VLOOKUP($R231&amp;S$2,$K$3:$N$4001,4,0))</f>
        <v>0.02</v>
      </c>
      <c r="U231" s="108">
        <f>IF(ISNA(VLOOKUP($R231&amp;U$2,$K$3:$N$4001,3,0)),"",VLOOKUP($R231&amp;U$2,$K$3:$N$4001,3,0))</f>
        <v>40064</v>
      </c>
      <c r="V231" s="109">
        <f>IF(ISNA(VLOOKUP($R231&amp;U$2,$K$3:$N$4001,4,0)),"",VLOOKUP($R231&amp;U$2,$K$3:$N$4001,4,0))</f>
        <v>3.5000000000000003E-2</v>
      </c>
      <c r="W231" s="108">
        <f>IF(ISNA(VLOOKUP($R231&amp;W$2,$K$3:$N$4001,3,0)),"",VLOOKUP($R231&amp;W$2,$K$3:$N$4001,3,0))</f>
        <v>40253</v>
      </c>
      <c r="X231" s="109">
        <f>IF(ISNA(VLOOKUP($R231&amp;W$2,$K$3:$N$4001,4,0)),"",VLOOKUP($R231&amp;W$2,$K$3:$N$4001,4,0))</f>
        <v>1.6E-2</v>
      </c>
      <c r="Y231" s="108">
        <f>IF(ISNA(VLOOKUP($R231&amp;Y$2,$K$3:$N$4001,3,0)),"",VLOOKUP($R231&amp;Y$2,$K$3:$N$4001,3,0))</f>
        <v>40429</v>
      </c>
      <c r="Z231" s="109">
        <f>IF(ISNA(VLOOKUP($R231&amp;Y$2,$K$3:$N$4001,4,0)),"",VLOOKUP($R231&amp;Y$2,$K$3:$N$4001,4,0))</f>
        <v>2.7999999999999997E-2</v>
      </c>
      <c r="AA231" s="108">
        <f>IF(ISNA(VLOOKUP($R231&amp;AA$2,$K$3:$N$4001,3,0)),"",VLOOKUP($R231&amp;AA$2,$K$3:$N$4001,3,0))</f>
        <v>40618</v>
      </c>
      <c r="AB231" s="109">
        <f>IF(ISNA(VLOOKUP($R231&amp;AA$2,$K$3:$N$4001,4,0)),"",VLOOKUP($R231&amp;AA$2,$K$3:$N$4001,4,0))</f>
        <v>1.7399999999999999E-2</v>
      </c>
      <c r="AC231" s="108">
        <f>IF(ISNA(VLOOKUP($R231&amp;AC$2,$K$3:$N$4001,3,0)),"",VLOOKUP($R231&amp;AC$2,$K$3:$N$4001,3,0))</f>
        <v>40794</v>
      </c>
      <c r="AD231" s="109">
        <f>IF(ISNA(VLOOKUP($R231&amp;AC$2,$K$3:$N$4001,4,0)),"",VLOOKUP($R231&amp;AC$2,$K$3:$N$4001,4,0))</f>
        <v>3.0600000000000002E-2</v>
      </c>
      <c r="AE231" s="108">
        <f>IF(ISNA(VLOOKUP($R231&amp;AE$2,$K$3:$N$4001,3,0)),"",VLOOKUP($R231&amp;AE$2,$K$3:$N$4001,3,0))</f>
        <v>40984</v>
      </c>
      <c r="AF231" s="109">
        <f>IF(ISNA(VLOOKUP($R231&amp;AE$2,$K$3:$N$4001,4,0)),"",VLOOKUP($R231&amp;AE$2,$K$3:$N$4001,4,0))</f>
        <v>2.3599999999999999E-2</v>
      </c>
      <c r="AG231" s="108">
        <f>IF(ISNA(VLOOKUP($R231&amp;AG$2,$K$3:$N$4001,3,0)),"",VLOOKUP($R231&amp;AG$2,$K$3:$N$4001,3,0))</f>
        <v>41162</v>
      </c>
      <c r="AH231" s="109">
        <f>IF(ISNA(VLOOKUP($R231&amp;AG$2,$K$3:$N$4001,4,0)),"",VLOOKUP($R231&amp;AG$2,$K$3:$N$4001,4,0))</f>
        <v>4.1399999999999999E-2</v>
      </c>
      <c r="AI231" s="108">
        <f>IF(ISNA(VLOOKUP($R231&amp;AI$2,$K$3:$N$4001,3,0)),"",VLOOKUP($R231&amp;AI$2,$K$3:$N$4001,3,0))</f>
        <v>41351</v>
      </c>
      <c r="AJ231" s="109">
        <f>IF(ISNA(VLOOKUP($R231&amp;AI$2,$K$3:$N$4001,4,0)),"",VLOOKUP($R231&amp;AI$2,$K$3:$N$4001,4,0))</f>
        <v>2.4700000000000003E-2</v>
      </c>
      <c r="AK231" s="108">
        <f>IF(ISNA(VLOOKUP($R231&amp;AK$2,$K$3:$N$4001,3,0)),"",VLOOKUP($R231&amp;AK$2,$K$3:$N$4001,3,0))</f>
        <v>41527</v>
      </c>
      <c r="AL231" s="109">
        <f>IF(ISNA(VLOOKUP($R231&amp;AK$2,$K$3:$N$4001,4,0)),"",VLOOKUP($R231&amp;AK$2,$K$3:$N$4001,4,0))</f>
        <v>4.3299999999999998E-2</v>
      </c>
    </row>
    <row r="232" spans="3:38" x14ac:dyDescent="0.2">
      <c r="C232" s="96" t="str">
        <f t="shared" si="12"/>
        <v>AXA4</v>
      </c>
      <c r="D232" s="73" t="s">
        <v>87</v>
      </c>
      <c r="E232" s="100">
        <v>40408</v>
      </c>
      <c r="F232" s="101">
        <v>0.1</v>
      </c>
      <c r="G232" s="96">
        <f t="shared" si="13"/>
        <v>4</v>
      </c>
      <c r="I232" s="96"/>
      <c r="K232" t="str">
        <f t="shared" si="14"/>
        <v>AXA4</v>
      </c>
      <c r="L232" s="73" t="s">
        <v>87</v>
      </c>
      <c r="M232" s="72">
        <v>40408</v>
      </c>
      <c r="N232" s="84">
        <v>0.1</v>
      </c>
      <c r="O232" s="96">
        <f t="shared" si="15"/>
        <v>4</v>
      </c>
      <c r="P232" s="73"/>
      <c r="Q232" s="96"/>
      <c r="R232" s="96" t="s">
        <v>165</v>
      </c>
      <c r="S232" s="106">
        <f>IF(ISNA(VLOOKUP($R232&amp;S$2,$C$3:$F$4001,3,0)),"",VLOOKUP($R232&amp;S$2,$C$3:$F$4001,3,0))</f>
        <v>39988</v>
      </c>
      <c r="T232" s="107">
        <f>IF(ISNA(VLOOKUP($R232&amp;S$2,$C$3:$F$4001,4,0)),"",VLOOKUP($R232&amp;S$2,$C$3:$F$4001,4,0))</f>
        <v>0.13</v>
      </c>
      <c r="U232" s="106">
        <f>IF(ISNA(VLOOKUP($R232&amp;U$2,$C$3:$F$4001,3,0)),"",VLOOKUP($R232&amp;U$2,$C$3:$F$4001,3,0))</f>
        <v>40171</v>
      </c>
      <c r="V232" s="107">
        <f>IF(ISNA(VLOOKUP($R232&amp;U$2,$C$3:$F$4001,4,0)),"",VLOOKUP($R232&amp;U$2,$C$3:$F$4001,4,0))</f>
        <v>0.14000000000000001</v>
      </c>
      <c r="W232" s="106">
        <f>IF(ISNA(VLOOKUP($R232&amp;W$2,$C$3:$F$4001,3,0)),"",VLOOKUP($R232&amp;W$2,$C$3:$F$4001,3,0))</f>
        <v>40353</v>
      </c>
      <c r="X232" s="107">
        <f>IF(ISNA(VLOOKUP($R232&amp;W$2,$C$3:$F$4001,4,0)),"",VLOOKUP($R232&amp;W$2,$C$3:$F$4001,4,0))</f>
        <v>0.13</v>
      </c>
      <c r="Y232" s="106">
        <f>IF(ISNA(VLOOKUP($R232&amp;Y$2,$C$3:$F$4001,3,0)),"",VLOOKUP($R232&amp;Y$2,$C$3:$F$4001,3,0))</f>
        <v>40535</v>
      </c>
      <c r="Z232" s="107">
        <f>IF(ISNA(VLOOKUP($R232&amp;Y$2,$C$3:$F$4001,4,0)),"",VLOOKUP($R232&amp;Y$2,$C$3:$F$4001,4,0))</f>
        <v>0.14000000000000001</v>
      </c>
      <c r="AA232" s="106">
        <f>IF(ISNA(VLOOKUP($R232&amp;AA$2,$C$3:$F$4001,3,0)),"",VLOOKUP($R232&amp;AA$2,$C$3:$F$4001,3,0))</f>
        <v>40718</v>
      </c>
      <c r="AB232" s="107">
        <f>IF(ISNA(VLOOKUP($R232&amp;AA$2,$C$3:$F$4001,4,0)),"",VLOOKUP($R232&amp;AA$2,$C$3:$F$4001,4,0))</f>
        <v>0.14000000000000001</v>
      </c>
      <c r="AC232" s="106">
        <f>IF(ISNA(VLOOKUP($R232&amp;AC$2,$C$3:$F$4001,3,0)),"",VLOOKUP($R232&amp;AC$2,$C$3:$F$4001,3,0))</f>
        <v>40899</v>
      </c>
      <c r="AD232" s="107">
        <f>IF(ISNA(VLOOKUP($R232&amp;AC$2,$C$3:$F$4001,4,0)),"",VLOOKUP($R232&amp;AC$2,$C$3:$F$4001,4,0))</f>
        <v>0.15</v>
      </c>
      <c r="AE232" s="106">
        <f>IF(ISNA(VLOOKUP($R232&amp;AE$2,$C$3:$F$4001,3,0)),"",VLOOKUP($R232&amp;AE$2,$C$3:$F$4001,3,0))</f>
        <v>41085</v>
      </c>
      <c r="AF232" s="107">
        <f>IF(ISNA(VLOOKUP($R232&amp;AE$2,$C$3:$F$4001,4,0)),"",VLOOKUP($R232&amp;AE$2,$C$3:$F$4001,4,0))</f>
        <v>0.15</v>
      </c>
      <c r="AG232" s="106">
        <f>IF(ISNA(VLOOKUP($R232&amp;AG$2,$C$3:$F$4001,3,0)),"",VLOOKUP($R232&amp;AG$2,$C$3:$F$4001,3,0))</f>
        <v>41264</v>
      </c>
      <c r="AH232" s="107">
        <f>IF(ISNA(VLOOKUP($R232&amp;AG$2,$C$3:$F$4001,4,0)),"",VLOOKUP($R232&amp;AG$2,$C$3:$F$4001,4,0))</f>
        <v>0.16</v>
      </c>
      <c r="AI232" s="106" t="str">
        <f>IF(ISNA(VLOOKUP($R232&amp;AI$2,$C$3:$F$4001,3,0)),"",VLOOKUP($R232&amp;AI$2,$C$3:$F$4001,3,0))</f>
        <v/>
      </c>
      <c r="AJ232" s="107" t="str">
        <f>IF(ISNA(VLOOKUP($R232&amp;AI$2,$C$3:$F$4001,4,0)),"",VLOOKUP($R232&amp;AI$2,$C$3:$F$4001,4,0))</f>
        <v/>
      </c>
      <c r="AK232" s="106" t="str">
        <f>IF(ISNA(VLOOKUP($R232&amp;AK$2,$C$3:$F$4001,3,0)),"",VLOOKUP($R232&amp;AK$2,$C$3:$F$4001,3,0))</f>
        <v/>
      </c>
      <c r="AL232" s="107" t="str">
        <f>IF(ISNA(VLOOKUP($R232&amp;AK$2,$C$3:$F$4001,4,0)),"",VLOOKUP($R232&amp;AK$2,$C$3:$F$4001,4,0))</f>
        <v/>
      </c>
    </row>
    <row r="233" spans="3:38" x14ac:dyDescent="0.2">
      <c r="C233" s="96" t="str">
        <f t="shared" si="12"/>
        <v>AXA5</v>
      </c>
      <c r="D233" s="73" t="s">
        <v>87</v>
      </c>
      <c r="E233" s="100">
        <v>40604</v>
      </c>
      <c r="F233" s="101">
        <v>0.15</v>
      </c>
      <c r="G233" s="96">
        <f t="shared" si="13"/>
        <v>5</v>
      </c>
      <c r="I233" s="96"/>
      <c r="K233" t="str">
        <f t="shared" si="14"/>
        <v>AXA5</v>
      </c>
      <c r="L233" s="73" t="s">
        <v>87</v>
      </c>
      <c r="M233" s="72">
        <v>40604</v>
      </c>
      <c r="N233" s="84">
        <v>0.15</v>
      </c>
      <c r="O233" s="96">
        <f t="shared" si="15"/>
        <v>5</v>
      </c>
      <c r="P233" s="73"/>
      <c r="Q233" s="96"/>
      <c r="R233" s="96" t="str">
        <f>R232</f>
        <v>MAP</v>
      </c>
      <c r="S233" s="108">
        <f>IF(ISNA(VLOOKUP($R233&amp;S$2,$K$3:$N$4001,3,0)),"",VLOOKUP($R233&amp;S$2,$K$3:$N$4001,3,0))</f>
        <v>39988</v>
      </c>
      <c r="T233" s="109">
        <f>IF(ISNA(VLOOKUP($R233&amp;S$2,$K$3:$N$4001,4,0)),"",VLOOKUP($R233&amp;S$2,$K$3:$N$4001,4,0))</f>
        <v>0.13</v>
      </c>
      <c r="U233" s="108">
        <f>IF(ISNA(VLOOKUP($R233&amp;U$2,$K$3:$N$4001,3,0)),"",VLOOKUP($R233&amp;U$2,$K$3:$N$4001,3,0))</f>
        <v>40171</v>
      </c>
      <c r="V233" s="109">
        <f>IF(ISNA(VLOOKUP($R233&amp;U$2,$K$3:$N$4001,4,0)),"",VLOOKUP($R233&amp;U$2,$K$3:$N$4001,4,0))</f>
        <v>0.14000000000000001</v>
      </c>
      <c r="W233" s="108">
        <f>IF(ISNA(VLOOKUP($R233&amp;W$2,$K$3:$N$4001,3,0)),"",VLOOKUP($R233&amp;W$2,$K$3:$N$4001,3,0))</f>
        <v>40353</v>
      </c>
      <c r="X233" s="109">
        <f>IF(ISNA(VLOOKUP($R233&amp;W$2,$K$3:$N$4001,4,0)),"",VLOOKUP($R233&amp;W$2,$K$3:$N$4001,4,0))</f>
        <v>0.13</v>
      </c>
      <c r="Y233" s="108">
        <f>IF(ISNA(VLOOKUP($R233&amp;Y$2,$K$3:$N$4001,3,0)),"",VLOOKUP($R233&amp;Y$2,$K$3:$N$4001,3,0))</f>
        <v>40535</v>
      </c>
      <c r="Z233" s="109">
        <f>IF(ISNA(VLOOKUP($R233&amp;Y$2,$K$3:$N$4001,4,0)),"",VLOOKUP($R233&amp;Y$2,$K$3:$N$4001,4,0))</f>
        <v>0.14000000000000001</v>
      </c>
      <c r="AA233" s="108">
        <f>IF(ISNA(VLOOKUP($R233&amp;AA$2,$K$3:$N$4001,3,0)),"",VLOOKUP($R233&amp;AA$2,$K$3:$N$4001,3,0))</f>
        <v>40718</v>
      </c>
      <c r="AB233" s="109">
        <f>IF(ISNA(VLOOKUP($R233&amp;AA$2,$K$3:$N$4001,4,0)),"",VLOOKUP($R233&amp;AA$2,$K$3:$N$4001,4,0))</f>
        <v>0.14000000000000001</v>
      </c>
      <c r="AC233" s="108">
        <f>IF(ISNA(VLOOKUP($R233&amp;AC$2,$K$3:$N$4001,3,0)),"",VLOOKUP($R233&amp;AC$2,$K$3:$N$4001,3,0))</f>
        <v>40899</v>
      </c>
      <c r="AD233" s="109">
        <f>IF(ISNA(VLOOKUP($R233&amp;AC$2,$K$3:$N$4001,4,0)),"",VLOOKUP($R233&amp;AC$2,$K$3:$N$4001,4,0))</f>
        <v>0.15</v>
      </c>
      <c r="AE233" s="108">
        <f>IF(ISNA(VLOOKUP($R233&amp;AE$2,$K$3:$N$4001,3,0)),"",VLOOKUP($R233&amp;AE$2,$K$3:$N$4001,3,0))</f>
        <v>41085</v>
      </c>
      <c r="AF233" s="109">
        <f>IF(ISNA(VLOOKUP($R233&amp;AE$2,$K$3:$N$4001,4,0)),"",VLOOKUP($R233&amp;AE$2,$K$3:$N$4001,4,0))</f>
        <v>0.15</v>
      </c>
      <c r="AG233" s="108">
        <f>IF(ISNA(VLOOKUP($R233&amp;AG$2,$K$3:$N$4001,3,0)),"",VLOOKUP($R233&amp;AG$2,$K$3:$N$4001,3,0))</f>
        <v>41264</v>
      </c>
      <c r="AH233" s="109">
        <f>IF(ISNA(VLOOKUP($R233&amp;AG$2,$K$3:$N$4001,4,0)),"",VLOOKUP($R233&amp;AG$2,$K$3:$N$4001,4,0))</f>
        <v>0.16</v>
      </c>
      <c r="AI233" s="108" t="str">
        <f>IF(ISNA(VLOOKUP($R233&amp;AI$2,$K$3:$N$4001,3,0)),"",VLOOKUP($R233&amp;AI$2,$K$3:$N$4001,3,0))</f>
        <v/>
      </c>
      <c r="AJ233" s="109" t="str">
        <f>IF(ISNA(VLOOKUP($R233&amp;AI$2,$K$3:$N$4001,4,0)),"",VLOOKUP($R233&amp;AI$2,$K$3:$N$4001,4,0))</f>
        <v/>
      </c>
      <c r="AK233" s="108" t="str">
        <f>IF(ISNA(VLOOKUP($R233&amp;AK$2,$K$3:$N$4001,3,0)),"",VLOOKUP($R233&amp;AK$2,$K$3:$N$4001,3,0))</f>
        <v/>
      </c>
      <c r="AL233" s="109" t="str">
        <f>IF(ISNA(VLOOKUP($R233&amp;AK$2,$K$3:$N$4001,4,0)),"",VLOOKUP($R233&amp;AK$2,$K$3:$N$4001,4,0))</f>
        <v/>
      </c>
    </row>
    <row r="234" spans="3:38" x14ac:dyDescent="0.2">
      <c r="C234" s="96" t="str">
        <f t="shared" si="12"/>
        <v>AXA6</v>
      </c>
      <c r="D234" s="73" t="s">
        <v>87</v>
      </c>
      <c r="E234" s="100">
        <v>40773</v>
      </c>
      <c r="F234" s="101">
        <v>0.105</v>
      </c>
      <c r="G234" s="96">
        <f t="shared" si="13"/>
        <v>6</v>
      </c>
      <c r="I234" s="96"/>
      <c r="K234" t="str">
        <f t="shared" si="14"/>
        <v>AXA6</v>
      </c>
      <c r="L234" s="73" t="s">
        <v>87</v>
      </c>
      <c r="M234" s="72">
        <v>40773</v>
      </c>
      <c r="N234" s="84">
        <v>0.105</v>
      </c>
      <c r="O234" s="96">
        <f t="shared" si="15"/>
        <v>6</v>
      </c>
      <c r="P234" s="73"/>
      <c r="Q234" s="96"/>
      <c r="R234" s="96" t="s">
        <v>167</v>
      </c>
      <c r="S234" s="106">
        <f>IF(ISNA(VLOOKUP($R234&amp;S$2,$C$3:$F$4001,3,0)),"",VLOOKUP($R234&amp;S$2,$C$3:$F$4001,3,0))</f>
        <v>39988</v>
      </c>
      <c r="T234" s="107">
        <f>IF(ISNA(VLOOKUP($R234&amp;S$2,$C$3:$F$4001,4,0)),"",VLOOKUP($R234&amp;S$2,$C$3:$F$4001,4,0))</f>
        <v>0.05</v>
      </c>
      <c r="U234" s="106">
        <f>IF(ISNA(VLOOKUP($R234&amp;U$2,$C$3:$F$4001,3,0)),"",VLOOKUP($R234&amp;U$2,$C$3:$F$4001,3,0))</f>
        <v>40353</v>
      </c>
      <c r="V234" s="107">
        <f>IF(ISNA(VLOOKUP($R234&amp;U$2,$C$3:$F$4001,4,0)),"",VLOOKUP($R234&amp;U$2,$C$3:$F$4001,4,0))</f>
        <v>0.12</v>
      </c>
      <c r="W234" s="106">
        <f>IF(ISNA(VLOOKUP($R234&amp;W$2,$C$3:$F$4001,3,0)),"",VLOOKUP($R234&amp;W$2,$C$3:$F$4001,3,0))</f>
        <v>40718</v>
      </c>
      <c r="X234" s="107">
        <f>IF(ISNA(VLOOKUP($R234&amp;W$2,$C$3:$F$4001,4,0)),"",VLOOKUP($R234&amp;W$2,$C$3:$F$4001,4,0))</f>
        <v>0.15</v>
      </c>
      <c r="Y234" s="106">
        <f>IF(ISNA(VLOOKUP($R234&amp;Y$2,$C$3:$F$4001,3,0)),"",VLOOKUP($R234&amp;Y$2,$C$3:$F$4001,3,0))</f>
        <v>41085</v>
      </c>
      <c r="Z234" s="107">
        <f>IF(ISNA(VLOOKUP($R234&amp;Y$2,$C$3:$F$4001,4,0)),"",VLOOKUP($R234&amp;Y$2,$C$3:$F$4001,4,0))</f>
        <v>0.2</v>
      </c>
      <c r="AA234" s="106">
        <f>IF(ISNA(VLOOKUP($R234&amp;AA$2,$C$3:$F$4001,3,0)),"",VLOOKUP($R234&amp;AA$2,$C$3:$F$4001,3,0))</f>
        <v>41450</v>
      </c>
      <c r="AB234" s="107">
        <f>IF(ISNA(VLOOKUP($R234&amp;AA$2,$C$3:$F$4001,4,0)),"",VLOOKUP($R234&amp;AA$2,$C$3:$F$4001,4,0))</f>
        <v>0.27</v>
      </c>
      <c r="AC234" s="106" t="str">
        <f>IF(ISNA(VLOOKUP($R234&amp;AC$2,$C$3:$F$4001,3,0)),"",VLOOKUP($R234&amp;AC$2,$C$3:$F$4001,3,0))</f>
        <v/>
      </c>
      <c r="AD234" s="107" t="str">
        <f>IF(ISNA(VLOOKUP($R234&amp;AC$2,$C$3:$F$4001,4,0)),"",VLOOKUP($R234&amp;AC$2,$C$3:$F$4001,4,0))</f>
        <v/>
      </c>
      <c r="AE234" s="106" t="str">
        <f>IF(ISNA(VLOOKUP($R234&amp;AE$2,$C$3:$F$4001,3,0)),"",VLOOKUP($R234&amp;AE$2,$C$3:$F$4001,3,0))</f>
        <v/>
      </c>
      <c r="AF234" s="107" t="str">
        <f>IF(ISNA(VLOOKUP($R234&amp;AE$2,$C$3:$F$4001,4,0)),"",VLOOKUP($R234&amp;AE$2,$C$3:$F$4001,4,0))</f>
        <v/>
      </c>
      <c r="AG234" s="106" t="str">
        <f>IF(ISNA(VLOOKUP($R234&amp;AG$2,$C$3:$F$4001,3,0)),"",VLOOKUP($R234&amp;AG$2,$C$3:$F$4001,3,0))</f>
        <v/>
      </c>
      <c r="AH234" s="107" t="str">
        <f>IF(ISNA(VLOOKUP($R234&amp;AG$2,$C$3:$F$4001,4,0)),"",VLOOKUP($R234&amp;AG$2,$C$3:$F$4001,4,0))</f>
        <v/>
      </c>
      <c r="AI234" s="106" t="str">
        <f>IF(ISNA(VLOOKUP($R234&amp;AI$2,$C$3:$F$4001,3,0)),"",VLOOKUP($R234&amp;AI$2,$C$3:$F$4001,3,0))</f>
        <v/>
      </c>
      <c r="AJ234" s="107" t="str">
        <f>IF(ISNA(VLOOKUP($R234&amp;AI$2,$C$3:$F$4001,4,0)),"",VLOOKUP($R234&amp;AI$2,$C$3:$F$4001,4,0))</f>
        <v/>
      </c>
      <c r="AK234" s="106" t="str">
        <f>IF(ISNA(VLOOKUP($R234&amp;AK$2,$C$3:$F$4001,3,0)),"",VLOOKUP($R234&amp;AK$2,$C$3:$F$4001,3,0))</f>
        <v/>
      </c>
      <c r="AL234" s="107" t="str">
        <f>IF(ISNA(VLOOKUP($R234&amp;AK$2,$C$3:$F$4001,4,0)),"",VLOOKUP($R234&amp;AK$2,$C$3:$F$4001,4,0))</f>
        <v/>
      </c>
    </row>
    <row r="235" spans="3:38" x14ac:dyDescent="0.2">
      <c r="C235" s="96" t="str">
        <f t="shared" si="12"/>
        <v>AXA7</v>
      </c>
      <c r="D235" s="73" t="s">
        <v>87</v>
      </c>
      <c r="E235" s="100">
        <v>40970</v>
      </c>
      <c r="F235" s="101">
        <v>0.16250000000000001</v>
      </c>
      <c r="G235" s="96">
        <f t="shared" si="13"/>
        <v>7</v>
      </c>
      <c r="I235" s="96"/>
      <c r="K235" t="str">
        <f t="shared" si="14"/>
        <v>AXA7</v>
      </c>
      <c r="L235" s="73" t="s">
        <v>87</v>
      </c>
      <c r="M235" s="72">
        <v>40970</v>
      </c>
      <c r="N235" s="84">
        <v>0.16250000000000001</v>
      </c>
      <c r="O235" s="96">
        <f t="shared" si="15"/>
        <v>7</v>
      </c>
      <c r="P235" s="73"/>
      <c r="Q235" s="96"/>
      <c r="R235" s="96" t="str">
        <f>R234</f>
        <v>MCG</v>
      </c>
      <c r="S235" s="108">
        <f>IF(ISNA(VLOOKUP($R235&amp;S$2,$K$3:$N$4001,3,0)),"",VLOOKUP($R235&amp;S$2,$K$3:$N$4001,3,0))</f>
        <v>39988</v>
      </c>
      <c r="T235" s="109">
        <f>IF(ISNA(VLOOKUP($R235&amp;S$2,$K$3:$N$4001,4,0)),"",VLOOKUP($R235&amp;S$2,$K$3:$N$4001,4,0))</f>
        <v>0.05</v>
      </c>
      <c r="U235" s="108">
        <f>IF(ISNA(VLOOKUP($R235&amp;U$2,$K$3:$N$4001,3,0)),"",VLOOKUP($R235&amp;U$2,$K$3:$N$4001,3,0))</f>
        <v>40353</v>
      </c>
      <c r="V235" s="109">
        <f>IF(ISNA(VLOOKUP($R235&amp;U$2,$K$3:$N$4001,4,0)),"",VLOOKUP($R235&amp;U$2,$K$3:$N$4001,4,0))</f>
        <v>0.12</v>
      </c>
      <c r="W235" s="108">
        <f>IF(ISNA(VLOOKUP($R235&amp;W$2,$K$3:$N$4001,3,0)),"",VLOOKUP($R235&amp;W$2,$K$3:$N$4001,3,0))</f>
        <v>40718</v>
      </c>
      <c r="X235" s="109">
        <f>IF(ISNA(VLOOKUP($R235&amp;W$2,$K$3:$N$4001,4,0)),"",VLOOKUP($R235&amp;W$2,$K$3:$N$4001,4,0))</f>
        <v>0.15</v>
      </c>
      <c r="Y235" s="108">
        <f>IF(ISNA(VLOOKUP($R235&amp;Y$2,$K$3:$N$4001,3,0)),"",VLOOKUP($R235&amp;Y$2,$K$3:$N$4001,3,0))</f>
        <v>41085</v>
      </c>
      <c r="Z235" s="109">
        <f>IF(ISNA(VLOOKUP($R235&amp;Y$2,$K$3:$N$4001,4,0)),"",VLOOKUP($R235&amp;Y$2,$K$3:$N$4001,4,0))</f>
        <v>0.2</v>
      </c>
      <c r="AA235" s="108">
        <f>IF(ISNA(VLOOKUP($R235&amp;AA$2,$K$3:$N$4001,3,0)),"",VLOOKUP($R235&amp;AA$2,$K$3:$N$4001,3,0))</f>
        <v>41450</v>
      </c>
      <c r="AB235" s="109">
        <f>IF(ISNA(VLOOKUP($R235&amp;AA$2,$K$3:$N$4001,4,0)),"",VLOOKUP($R235&amp;AA$2,$K$3:$N$4001,4,0))</f>
        <v>0.27</v>
      </c>
      <c r="AC235" s="108" t="str">
        <f>IF(ISNA(VLOOKUP($R235&amp;AC$2,$K$3:$N$4001,3,0)),"",VLOOKUP($R235&amp;AC$2,$K$3:$N$4001,3,0))</f>
        <v/>
      </c>
      <c r="AD235" s="109" t="str">
        <f>IF(ISNA(VLOOKUP($R235&amp;AC$2,$K$3:$N$4001,4,0)),"",VLOOKUP($R235&amp;AC$2,$K$3:$N$4001,4,0))</f>
        <v/>
      </c>
      <c r="AE235" s="108" t="str">
        <f>IF(ISNA(VLOOKUP($R235&amp;AE$2,$K$3:$N$4001,3,0)),"",VLOOKUP($R235&amp;AE$2,$K$3:$N$4001,3,0))</f>
        <v/>
      </c>
      <c r="AF235" s="109" t="str">
        <f>IF(ISNA(VLOOKUP($R235&amp;AE$2,$K$3:$N$4001,4,0)),"",VLOOKUP($R235&amp;AE$2,$K$3:$N$4001,4,0))</f>
        <v/>
      </c>
      <c r="AG235" s="108" t="str">
        <f>IF(ISNA(VLOOKUP($R235&amp;AG$2,$K$3:$N$4001,3,0)),"",VLOOKUP($R235&amp;AG$2,$K$3:$N$4001,3,0))</f>
        <v/>
      </c>
      <c r="AH235" s="109" t="str">
        <f>IF(ISNA(VLOOKUP($R235&amp;AG$2,$K$3:$N$4001,4,0)),"",VLOOKUP($R235&amp;AG$2,$K$3:$N$4001,4,0))</f>
        <v/>
      </c>
      <c r="AI235" s="108" t="str">
        <f>IF(ISNA(VLOOKUP($R235&amp;AI$2,$K$3:$N$4001,3,0)),"",VLOOKUP($R235&amp;AI$2,$K$3:$N$4001,3,0))</f>
        <v/>
      </c>
      <c r="AJ235" s="109" t="str">
        <f>IF(ISNA(VLOOKUP($R235&amp;AI$2,$K$3:$N$4001,4,0)),"",VLOOKUP($R235&amp;AI$2,$K$3:$N$4001,4,0))</f>
        <v/>
      </c>
      <c r="AK235" s="108" t="str">
        <f>IF(ISNA(VLOOKUP($R235&amp;AK$2,$K$3:$N$4001,3,0)),"",VLOOKUP($R235&amp;AK$2,$K$3:$N$4001,3,0))</f>
        <v/>
      </c>
      <c r="AL235" s="109" t="str">
        <f>IF(ISNA(VLOOKUP($R235&amp;AK$2,$K$3:$N$4001,4,0)),"",VLOOKUP($R235&amp;AK$2,$K$3:$N$4001,4,0))</f>
        <v/>
      </c>
    </row>
    <row r="236" spans="3:38" x14ac:dyDescent="0.2">
      <c r="C236" s="96" t="str">
        <f t="shared" si="12"/>
        <v>AXA8</v>
      </c>
      <c r="D236" s="73" t="s">
        <v>87</v>
      </c>
      <c r="E236" s="100">
        <v>41141</v>
      </c>
      <c r="F236" s="101">
        <v>0.115</v>
      </c>
      <c r="G236" s="96">
        <f t="shared" si="13"/>
        <v>8</v>
      </c>
      <c r="I236" s="96"/>
      <c r="K236" t="str">
        <f t="shared" si="14"/>
        <v>AXA8</v>
      </c>
      <c r="L236" s="73" t="s">
        <v>87</v>
      </c>
      <c r="M236" s="72">
        <v>41141</v>
      </c>
      <c r="N236" s="84">
        <v>0.115</v>
      </c>
      <c r="O236" s="96">
        <f t="shared" si="15"/>
        <v>8</v>
      </c>
      <c r="P236" s="73"/>
      <c r="Q236" s="96"/>
      <c r="R236" s="96" t="s">
        <v>169</v>
      </c>
      <c r="S236" s="106">
        <f>IF(ISNA(VLOOKUP($R236&amp;S$2,$C$3:$F$4001,3,0)),"",VLOOKUP($R236&amp;S$2,$C$3:$F$4001,3,0))</f>
        <v>39988</v>
      </c>
      <c r="T236" s="107">
        <f>IF(ISNA(VLOOKUP($R236&amp;S$2,$C$3:$F$4001,4,0)),"",VLOOKUP($R236&amp;S$2,$C$3:$F$4001,4,0))</f>
        <v>0.04</v>
      </c>
      <c r="U236" s="106">
        <f>IF(ISNA(VLOOKUP($R236&amp;U$2,$C$3:$F$4001,3,0)),"",VLOOKUP($R236&amp;U$2,$C$3:$F$4001,3,0))</f>
        <v>40170</v>
      </c>
      <c r="V236" s="107">
        <f>IF(ISNA(VLOOKUP($R236&amp;U$2,$C$3:$F$4001,4,0)),"",VLOOKUP($R236&amp;U$2,$C$3:$F$4001,4,0))</f>
        <v>4.2500000000000003E-2</v>
      </c>
      <c r="W236" s="106">
        <f>IF(ISNA(VLOOKUP($R236&amp;W$2,$C$3:$F$4001,3,0)),"",VLOOKUP($R236&amp;W$2,$C$3:$F$4001,3,0))</f>
        <v>40353</v>
      </c>
      <c r="X236" s="107">
        <f>IF(ISNA(VLOOKUP($R236&amp;W$2,$C$3:$F$4001,4,0)),"",VLOOKUP($R236&amp;W$2,$C$3:$F$4001,4,0))</f>
        <v>4.2500000000000003E-2</v>
      </c>
      <c r="Y236" s="106">
        <f>IF(ISNA(VLOOKUP($R236&amp;Y$2,$C$3:$F$4001,3,0)),"",VLOOKUP($R236&amp;Y$2,$C$3:$F$4001,3,0))</f>
        <v>40535</v>
      </c>
      <c r="Z236" s="107">
        <f>IF(ISNA(VLOOKUP($R236&amp;Y$2,$C$3:$F$4001,4,0)),"",VLOOKUP($R236&amp;Y$2,$C$3:$F$4001,4,0))</f>
        <v>4.4999999999999998E-2</v>
      </c>
      <c r="AA236" s="106">
        <f>IF(ISNA(VLOOKUP($R236&amp;AA$2,$C$3:$F$4001,3,0)),"",VLOOKUP($R236&amp;AA$2,$C$3:$F$4001,3,0))</f>
        <v>40718</v>
      </c>
      <c r="AB236" s="107">
        <f>IF(ISNA(VLOOKUP($R236&amp;AA$2,$C$3:$F$4001,4,0)),"",VLOOKUP($R236&amp;AA$2,$C$3:$F$4001,4,0))</f>
        <v>4.4999999999999998E-2</v>
      </c>
      <c r="AC236" s="106">
        <f>IF(ISNA(VLOOKUP($R236&amp;AC$2,$C$3:$F$4001,3,0)),"",VLOOKUP($R236&amp;AC$2,$C$3:$F$4001,3,0))</f>
        <v>40899</v>
      </c>
      <c r="AD236" s="107">
        <f>IF(ISNA(VLOOKUP($R236&amp;AC$2,$C$3:$F$4001,4,0)),"",VLOOKUP($R236&amp;AC$2,$C$3:$F$4001,4,0))</f>
        <v>0.05</v>
      </c>
      <c r="AE236" s="106">
        <f>IF(ISNA(VLOOKUP($R236&amp;AE$2,$C$3:$F$4001,3,0)),"",VLOOKUP($R236&amp;AE$2,$C$3:$F$4001,3,0))</f>
        <v>41085</v>
      </c>
      <c r="AF236" s="107">
        <f>IF(ISNA(VLOOKUP($R236&amp;AE$2,$C$3:$F$4001,4,0)),"",VLOOKUP($R236&amp;AE$2,$C$3:$F$4001,4,0))</f>
        <v>0.05</v>
      </c>
      <c r="AG236" s="106">
        <f>IF(ISNA(VLOOKUP($R236&amp;AG$2,$C$3:$F$4001,3,0)),"",VLOOKUP($R236&amp;AG$2,$C$3:$F$4001,3,0))</f>
        <v>41268</v>
      </c>
      <c r="AH236" s="107">
        <f>IF(ISNA(VLOOKUP($R236&amp;AG$2,$C$3:$F$4001,4,0)),"",VLOOKUP($R236&amp;AG$2,$C$3:$F$4001,4,0))</f>
        <v>5.5E-2</v>
      </c>
      <c r="AI236" s="106">
        <f>IF(ISNA(VLOOKUP($R236&amp;AI$2,$C$3:$F$4001,3,0)),"",VLOOKUP($R236&amp;AI$2,$C$3:$F$4001,3,0))</f>
        <v>41450</v>
      </c>
      <c r="AJ236" s="107">
        <f>IF(ISNA(VLOOKUP($R236&amp;AI$2,$C$3:$F$4001,4,0)),"",VLOOKUP($R236&amp;AI$2,$C$3:$F$4001,4,0))</f>
        <v>5.5E-2</v>
      </c>
      <c r="AK236" s="106" t="str">
        <f>IF(ISNA(VLOOKUP($R236&amp;AK$2,$C$3:$F$4001,3,0)),"",VLOOKUP($R236&amp;AK$2,$C$3:$F$4001,3,0))</f>
        <v/>
      </c>
      <c r="AL236" s="107" t="str">
        <f>IF(ISNA(VLOOKUP($R236&amp;AK$2,$C$3:$F$4001,4,0)),"",VLOOKUP($R236&amp;AK$2,$C$3:$F$4001,4,0))</f>
        <v/>
      </c>
    </row>
    <row r="237" spans="3:38" x14ac:dyDescent="0.2">
      <c r="C237" s="96" t="str">
        <f t="shared" si="12"/>
        <v>AXA9</v>
      </c>
      <c r="D237" s="73" t="s">
        <v>87</v>
      </c>
      <c r="E237" s="100">
        <v>41337</v>
      </c>
      <c r="F237" s="101">
        <v>0.17499999999999999</v>
      </c>
      <c r="G237" s="96">
        <f t="shared" si="13"/>
        <v>9</v>
      </c>
      <c r="I237" s="96"/>
      <c r="K237" t="str">
        <f t="shared" si="14"/>
        <v>AXA9</v>
      </c>
      <c r="L237" s="73" t="s">
        <v>87</v>
      </c>
      <c r="M237" s="72">
        <v>41337</v>
      </c>
      <c r="N237" s="84">
        <v>0.17499999999999999</v>
      </c>
      <c r="O237" s="96">
        <f t="shared" si="15"/>
        <v>9</v>
      </c>
      <c r="P237" s="73"/>
      <c r="Q237" s="96"/>
      <c r="R237" s="96" t="str">
        <f>R236</f>
        <v>MCW</v>
      </c>
      <c r="S237" s="108">
        <f>IF(ISNA(VLOOKUP($R237&amp;S$2,$K$3:$N$4001,3,0)),"",VLOOKUP($R237&amp;S$2,$K$3:$N$4001,3,0))</f>
        <v>39988</v>
      </c>
      <c r="T237" s="109">
        <f>IF(ISNA(VLOOKUP($R237&amp;S$2,$K$3:$N$4001,4,0)),"",VLOOKUP($R237&amp;S$2,$K$3:$N$4001,4,0))</f>
        <v>0.04</v>
      </c>
      <c r="U237" s="108">
        <f>IF(ISNA(VLOOKUP($R237&amp;U$2,$K$3:$N$4001,3,0)),"",VLOOKUP($R237&amp;U$2,$K$3:$N$4001,3,0))</f>
        <v>40170</v>
      </c>
      <c r="V237" s="109">
        <f>IF(ISNA(VLOOKUP($R237&amp;U$2,$K$3:$N$4001,4,0)),"",VLOOKUP($R237&amp;U$2,$K$3:$N$4001,4,0))</f>
        <v>4.2500000000000003E-2</v>
      </c>
      <c r="W237" s="108">
        <f>IF(ISNA(VLOOKUP($R237&amp;W$2,$K$3:$N$4001,3,0)),"",VLOOKUP($R237&amp;W$2,$K$3:$N$4001,3,0))</f>
        <v>40353</v>
      </c>
      <c r="X237" s="109">
        <f>IF(ISNA(VLOOKUP($R237&amp;W$2,$K$3:$N$4001,4,0)),"",VLOOKUP($R237&amp;W$2,$K$3:$N$4001,4,0))</f>
        <v>4.2500000000000003E-2</v>
      </c>
      <c r="Y237" s="108">
        <f>IF(ISNA(VLOOKUP($R237&amp;Y$2,$K$3:$N$4001,3,0)),"",VLOOKUP($R237&amp;Y$2,$K$3:$N$4001,3,0))</f>
        <v>40535</v>
      </c>
      <c r="Z237" s="109">
        <f>IF(ISNA(VLOOKUP($R237&amp;Y$2,$K$3:$N$4001,4,0)),"",VLOOKUP($R237&amp;Y$2,$K$3:$N$4001,4,0))</f>
        <v>4.4999999999999998E-2</v>
      </c>
      <c r="AA237" s="108">
        <f>IF(ISNA(VLOOKUP($R237&amp;AA$2,$K$3:$N$4001,3,0)),"",VLOOKUP($R237&amp;AA$2,$K$3:$N$4001,3,0))</f>
        <v>40718</v>
      </c>
      <c r="AB237" s="109">
        <f>IF(ISNA(VLOOKUP($R237&amp;AA$2,$K$3:$N$4001,4,0)),"",VLOOKUP($R237&amp;AA$2,$K$3:$N$4001,4,0))</f>
        <v>4.4999999999999998E-2</v>
      </c>
      <c r="AC237" s="108">
        <f>IF(ISNA(VLOOKUP($R237&amp;AC$2,$K$3:$N$4001,3,0)),"",VLOOKUP($R237&amp;AC$2,$K$3:$N$4001,3,0))</f>
        <v>40899</v>
      </c>
      <c r="AD237" s="109">
        <f>IF(ISNA(VLOOKUP($R237&amp;AC$2,$K$3:$N$4001,4,0)),"",VLOOKUP($R237&amp;AC$2,$K$3:$N$4001,4,0))</f>
        <v>0.05</v>
      </c>
      <c r="AE237" s="108">
        <f>IF(ISNA(VLOOKUP($R237&amp;AE$2,$K$3:$N$4001,3,0)),"",VLOOKUP($R237&amp;AE$2,$K$3:$N$4001,3,0))</f>
        <v>41085</v>
      </c>
      <c r="AF237" s="109">
        <f>IF(ISNA(VLOOKUP($R237&amp;AE$2,$K$3:$N$4001,4,0)),"",VLOOKUP($R237&amp;AE$2,$K$3:$N$4001,4,0))</f>
        <v>0.05</v>
      </c>
      <c r="AG237" s="108">
        <f>IF(ISNA(VLOOKUP($R237&amp;AG$2,$K$3:$N$4001,3,0)),"",VLOOKUP($R237&amp;AG$2,$K$3:$N$4001,3,0))</f>
        <v>41268</v>
      </c>
      <c r="AH237" s="109">
        <f>IF(ISNA(VLOOKUP($R237&amp;AG$2,$K$3:$N$4001,4,0)),"",VLOOKUP($R237&amp;AG$2,$K$3:$N$4001,4,0))</f>
        <v>5.5E-2</v>
      </c>
      <c r="AI237" s="108">
        <f>IF(ISNA(VLOOKUP($R237&amp;AI$2,$K$3:$N$4001,3,0)),"",VLOOKUP($R237&amp;AI$2,$K$3:$N$4001,3,0))</f>
        <v>41450</v>
      </c>
      <c r="AJ237" s="109">
        <f>IF(ISNA(VLOOKUP($R237&amp;AI$2,$K$3:$N$4001,4,0)),"",VLOOKUP($R237&amp;AI$2,$K$3:$N$4001,4,0))</f>
        <v>5.5E-2</v>
      </c>
      <c r="AK237" s="108" t="str">
        <f>IF(ISNA(VLOOKUP($R237&amp;AK$2,$K$3:$N$4001,3,0)),"",VLOOKUP($R237&amp;AK$2,$K$3:$N$4001,3,0))</f>
        <v/>
      </c>
      <c r="AL237" s="109" t="str">
        <f>IF(ISNA(VLOOKUP($R237&amp;AK$2,$K$3:$N$4001,4,0)),"",VLOOKUP($R237&amp;AK$2,$K$3:$N$4001,4,0))</f>
        <v/>
      </c>
    </row>
    <row r="238" spans="3:38" x14ac:dyDescent="0.2">
      <c r="C238" s="96" t="str">
        <f t="shared" si="12"/>
        <v>BBG1</v>
      </c>
      <c r="D238" s="73" t="s">
        <v>88</v>
      </c>
      <c r="E238" s="100">
        <v>39891</v>
      </c>
      <c r="F238" s="101">
        <v>0.28499999999999998</v>
      </c>
      <c r="G238" s="96">
        <f t="shared" si="13"/>
        <v>1</v>
      </c>
      <c r="I238" s="96"/>
      <c r="K238" t="str">
        <f t="shared" si="14"/>
        <v>BBG1</v>
      </c>
      <c r="L238" s="73" t="s">
        <v>88</v>
      </c>
      <c r="M238" s="72">
        <v>39891</v>
      </c>
      <c r="N238" s="84">
        <v>0.28499999999999998</v>
      </c>
      <c r="O238" s="96">
        <f t="shared" si="15"/>
        <v>1</v>
      </c>
      <c r="P238" s="73"/>
      <c r="Q238" s="96"/>
      <c r="R238" s="96" t="s">
        <v>170</v>
      </c>
      <c r="S238" s="106">
        <f>IF(ISNA(VLOOKUP($R238&amp;S$2,$C$3:$F$4001,3,0)),"",VLOOKUP($R238&amp;S$2,$C$3:$F$4001,3,0))</f>
        <v>39988</v>
      </c>
      <c r="T238" s="107">
        <f>IF(ISNA(VLOOKUP($R238&amp;S$2,$C$3:$F$4001,4,0)),"",VLOOKUP($R238&amp;S$2,$C$3:$F$4001,4,0))</f>
        <v>0.03</v>
      </c>
      <c r="U238" s="106">
        <f>IF(ISNA(VLOOKUP($R238&amp;U$2,$C$3:$F$4001,3,0)),"",VLOOKUP($R238&amp;U$2,$C$3:$F$4001,3,0))</f>
        <v>40170</v>
      </c>
      <c r="V238" s="107">
        <f>IF(ISNA(VLOOKUP($R238&amp;U$2,$C$3:$F$4001,4,0)),"",VLOOKUP($R238&amp;U$2,$C$3:$F$4001,4,0))</f>
        <v>3.2000000000000001E-2</v>
      </c>
      <c r="W238" s="106">
        <f>IF(ISNA(VLOOKUP($R238&amp;W$2,$C$3:$F$4001,3,0)),"",VLOOKUP($R238&amp;W$2,$C$3:$F$4001,3,0))</f>
        <v>40353</v>
      </c>
      <c r="X238" s="107">
        <f>IF(ISNA(VLOOKUP($R238&amp;W$2,$C$3:$F$4001,4,0)),"",VLOOKUP($R238&amp;W$2,$C$3:$F$4001,4,0))</f>
        <v>3.2000000000000001E-2</v>
      </c>
      <c r="Y238" s="106">
        <f>IF(ISNA(VLOOKUP($R238&amp;Y$2,$C$3:$F$4001,3,0)),"",VLOOKUP($R238&amp;Y$2,$C$3:$F$4001,3,0))</f>
        <v>40536</v>
      </c>
      <c r="Z238" s="107">
        <f>IF(ISNA(VLOOKUP($R238&amp;Y$2,$C$3:$F$4001,4,0)),"",VLOOKUP($R238&amp;Y$2,$C$3:$F$4001,4,0))</f>
        <v>3.4000000000000002E-2</v>
      </c>
      <c r="AA238" s="106">
        <f>IF(ISNA(VLOOKUP($R238&amp;AA$2,$C$3:$F$4001,3,0)),"",VLOOKUP($R238&amp;AA$2,$C$3:$F$4001,3,0))</f>
        <v>40718</v>
      </c>
      <c r="AB238" s="107">
        <f>IF(ISNA(VLOOKUP($R238&amp;AA$2,$C$3:$F$4001,4,0)),"",VLOOKUP($R238&amp;AA$2,$C$3:$F$4001,4,0))</f>
        <v>3.4000000000000002E-2</v>
      </c>
      <c r="AC238" s="106">
        <f>IF(ISNA(VLOOKUP($R238&amp;AC$2,$C$3:$F$4001,3,0)),"",VLOOKUP($R238&amp;AC$2,$C$3:$F$4001,3,0))</f>
        <v>40899</v>
      </c>
      <c r="AD238" s="107">
        <f>IF(ISNA(VLOOKUP($R238&amp;AC$2,$C$3:$F$4001,4,0)),"",VLOOKUP($R238&amp;AC$2,$C$3:$F$4001,4,0))</f>
        <v>3.6000000000000004E-2</v>
      </c>
      <c r="AE238" s="106">
        <f>IF(ISNA(VLOOKUP($R238&amp;AE$2,$C$3:$F$4001,3,0)),"",VLOOKUP($R238&amp;AE$2,$C$3:$F$4001,3,0))</f>
        <v>41085</v>
      </c>
      <c r="AF238" s="107">
        <f>IF(ISNA(VLOOKUP($R238&amp;AE$2,$C$3:$F$4001,4,0)),"",VLOOKUP($R238&amp;AE$2,$C$3:$F$4001,4,0))</f>
        <v>3.6000000000000004E-2</v>
      </c>
      <c r="AG238" s="106">
        <f>IF(ISNA(VLOOKUP($R238&amp;AG$2,$C$3:$F$4001,3,0)),"",VLOOKUP($R238&amp;AG$2,$C$3:$F$4001,3,0))</f>
        <v>41264</v>
      </c>
      <c r="AH238" s="107">
        <f>IF(ISNA(VLOOKUP($R238&amp;AG$2,$C$3:$F$4001,4,0)),"",VLOOKUP($R238&amp;AG$2,$C$3:$F$4001,4,0))</f>
        <v>3.6000000000000004E-2</v>
      </c>
      <c r="AI238" s="106">
        <f>IF(ISNA(VLOOKUP($R238&amp;AI$2,$C$3:$F$4001,3,0)),"",VLOOKUP($R238&amp;AI$2,$C$3:$F$4001,3,0))</f>
        <v>41449</v>
      </c>
      <c r="AJ238" s="107">
        <f>IF(ISNA(VLOOKUP($R238&amp;AI$2,$C$3:$F$4001,4,0)),"",VLOOKUP($R238&amp;AI$2,$C$3:$F$4001,4,0))</f>
        <v>3.6000000000000004E-2</v>
      </c>
      <c r="AK238" s="106" t="str">
        <f>IF(ISNA(VLOOKUP($R238&amp;AK$2,$C$3:$F$4001,3,0)),"",VLOOKUP($R238&amp;AK$2,$C$3:$F$4001,3,0))</f>
        <v/>
      </c>
      <c r="AL238" s="107" t="str">
        <f>IF(ISNA(VLOOKUP($R238&amp;AK$2,$C$3:$F$4001,4,0)),"",VLOOKUP($R238&amp;AK$2,$C$3:$F$4001,4,0))</f>
        <v/>
      </c>
    </row>
    <row r="239" spans="3:38" x14ac:dyDescent="0.2">
      <c r="C239" s="96" t="str">
        <f t="shared" si="12"/>
        <v>BBG2</v>
      </c>
      <c r="D239" s="73" t="s">
        <v>88</v>
      </c>
      <c r="E239" s="100">
        <v>40078</v>
      </c>
      <c r="F239" s="101">
        <v>0.28999999999999998</v>
      </c>
      <c r="G239" s="96">
        <f t="shared" si="13"/>
        <v>2</v>
      </c>
      <c r="I239" s="96"/>
      <c r="K239" t="str">
        <f t="shared" si="14"/>
        <v>BBG2</v>
      </c>
      <c r="L239" s="73" t="s">
        <v>88</v>
      </c>
      <c r="M239" s="72">
        <v>40078</v>
      </c>
      <c r="N239" s="84">
        <v>0.28999999999999998</v>
      </c>
      <c r="O239" s="96">
        <f t="shared" si="15"/>
        <v>2</v>
      </c>
      <c r="P239" s="73"/>
      <c r="Q239" s="96"/>
      <c r="R239" s="96" t="str">
        <f>R238</f>
        <v>MDT</v>
      </c>
      <c r="S239" s="108">
        <f>IF(ISNA(VLOOKUP($R239&amp;S$2,$K$3:$N$4001,3,0)),"",VLOOKUP($R239&amp;S$2,$K$3:$N$4001,3,0))</f>
        <v>39988</v>
      </c>
      <c r="T239" s="109">
        <f>IF(ISNA(VLOOKUP($R239&amp;S$2,$K$3:$N$4001,4,0)),"",VLOOKUP($R239&amp;S$2,$K$3:$N$4001,4,0))</f>
        <v>0.03</v>
      </c>
      <c r="U239" s="108">
        <f>IF(ISNA(VLOOKUP($R239&amp;U$2,$K$3:$N$4001,3,0)),"",VLOOKUP($R239&amp;U$2,$K$3:$N$4001,3,0))</f>
        <v>40170</v>
      </c>
      <c r="V239" s="109">
        <f>IF(ISNA(VLOOKUP($R239&amp;U$2,$K$3:$N$4001,4,0)),"",VLOOKUP($R239&amp;U$2,$K$3:$N$4001,4,0))</f>
        <v>3.2000000000000001E-2</v>
      </c>
      <c r="W239" s="108">
        <f>IF(ISNA(VLOOKUP($R239&amp;W$2,$K$3:$N$4001,3,0)),"",VLOOKUP($R239&amp;W$2,$K$3:$N$4001,3,0))</f>
        <v>40353</v>
      </c>
      <c r="X239" s="109">
        <f>IF(ISNA(VLOOKUP($R239&amp;W$2,$K$3:$N$4001,4,0)),"",VLOOKUP($R239&amp;W$2,$K$3:$N$4001,4,0))</f>
        <v>3.2000000000000001E-2</v>
      </c>
      <c r="Y239" s="108">
        <f>IF(ISNA(VLOOKUP($R239&amp;Y$2,$K$3:$N$4001,3,0)),"",VLOOKUP($R239&amp;Y$2,$K$3:$N$4001,3,0))</f>
        <v>40536</v>
      </c>
      <c r="Z239" s="109">
        <f>IF(ISNA(VLOOKUP($R239&amp;Y$2,$K$3:$N$4001,4,0)),"",VLOOKUP($R239&amp;Y$2,$K$3:$N$4001,4,0))</f>
        <v>3.4000000000000002E-2</v>
      </c>
      <c r="AA239" s="108">
        <f>IF(ISNA(VLOOKUP($R239&amp;AA$2,$K$3:$N$4001,3,0)),"",VLOOKUP($R239&amp;AA$2,$K$3:$N$4001,3,0))</f>
        <v>40718</v>
      </c>
      <c r="AB239" s="109">
        <f>IF(ISNA(VLOOKUP($R239&amp;AA$2,$K$3:$N$4001,4,0)),"",VLOOKUP($R239&amp;AA$2,$K$3:$N$4001,4,0))</f>
        <v>3.4000000000000002E-2</v>
      </c>
      <c r="AC239" s="108">
        <f>IF(ISNA(VLOOKUP($R239&amp;AC$2,$K$3:$N$4001,3,0)),"",VLOOKUP($R239&amp;AC$2,$K$3:$N$4001,3,0))</f>
        <v>40899</v>
      </c>
      <c r="AD239" s="109">
        <f>IF(ISNA(VLOOKUP($R239&amp;AC$2,$K$3:$N$4001,4,0)),"",VLOOKUP($R239&amp;AC$2,$K$3:$N$4001,4,0))</f>
        <v>3.6000000000000004E-2</v>
      </c>
      <c r="AE239" s="108">
        <f>IF(ISNA(VLOOKUP($R239&amp;AE$2,$K$3:$N$4001,3,0)),"",VLOOKUP($R239&amp;AE$2,$K$3:$N$4001,3,0))</f>
        <v>41085</v>
      </c>
      <c r="AF239" s="109">
        <f>IF(ISNA(VLOOKUP($R239&amp;AE$2,$K$3:$N$4001,4,0)),"",VLOOKUP($R239&amp;AE$2,$K$3:$N$4001,4,0))</f>
        <v>3.6000000000000004E-2</v>
      </c>
      <c r="AG239" s="108">
        <f>IF(ISNA(VLOOKUP($R239&amp;AG$2,$K$3:$N$4001,3,0)),"",VLOOKUP($R239&amp;AG$2,$K$3:$N$4001,3,0))</f>
        <v>41264</v>
      </c>
      <c r="AH239" s="109">
        <f>IF(ISNA(VLOOKUP($R239&amp;AG$2,$K$3:$N$4001,4,0)),"",VLOOKUP($R239&amp;AG$2,$K$3:$N$4001,4,0))</f>
        <v>3.6000000000000004E-2</v>
      </c>
      <c r="AI239" s="108">
        <f>IF(ISNA(VLOOKUP($R239&amp;AI$2,$K$3:$N$4001,3,0)),"",VLOOKUP($R239&amp;AI$2,$K$3:$N$4001,3,0))</f>
        <v>41449</v>
      </c>
      <c r="AJ239" s="109">
        <f>IF(ISNA(VLOOKUP($R239&amp;AI$2,$K$3:$N$4001,4,0)),"",VLOOKUP($R239&amp;AI$2,$K$3:$N$4001,4,0))</f>
        <v>3.6000000000000004E-2</v>
      </c>
      <c r="AK239" s="108" t="str">
        <f>IF(ISNA(VLOOKUP($R239&amp;AK$2,$K$3:$N$4001,3,0)),"",VLOOKUP($R239&amp;AK$2,$K$3:$N$4001,3,0))</f>
        <v/>
      </c>
      <c r="AL239" s="109" t="str">
        <f>IF(ISNA(VLOOKUP($R239&amp;AK$2,$K$3:$N$4001,4,0)),"",VLOOKUP($R239&amp;AK$2,$K$3:$N$4001,4,0))</f>
        <v/>
      </c>
    </row>
    <row r="240" spans="3:38" x14ac:dyDescent="0.2">
      <c r="C240" s="96" t="str">
        <f t="shared" si="12"/>
        <v>BBG3</v>
      </c>
      <c r="D240" s="73" t="s">
        <v>88</v>
      </c>
      <c r="E240" s="100">
        <v>40256</v>
      </c>
      <c r="F240" s="101">
        <v>0.28999999999999998</v>
      </c>
      <c r="G240" s="96">
        <f t="shared" si="13"/>
        <v>3</v>
      </c>
      <c r="I240" s="96"/>
      <c r="K240" t="str">
        <f t="shared" si="14"/>
        <v>BBG3</v>
      </c>
      <c r="L240" s="73" t="s">
        <v>88</v>
      </c>
      <c r="M240" s="72">
        <v>40256</v>
      </c>
      <c r="N240" s="84">
        <v>0.28999999999999998</v>
      </c>
      <c r="O240" s="96">
        <f t="shared" si="15"/>
        <v>3</v>
      </c>
      <c r="P240" s="73"/>
      <c r="Q240" s="96"/>
      <c r="R240" s="96" t="s">
        <v>176</v>
      </c>
      <c r="S240" s="106">
        <f>IF(ISNA(VLOOKUP($R240&amp;S$2,$C$3:$F$4001,3,0)),"",VLOOKUP($R240&amp;S$2,$C$3:$F$4001,3,0))</f>
        <v>39944</v>
      </c>
      <c r="T240" s="107">
        <f>IF(ISNA(VLOOKUP($R240&amp;S$2,$C$3:$F$4001,4,0)),"",VLOOKUP($R240&amp;S$2,$C$3:$F$4001,4,0))</f>
        <v>1.05</v>
      </c>
      <c r="U240" s="106">
        <f>IF(ISNA(VLOOKUP($R240&amp;U$2,$C$3:$F$4001,3,0)),"",VLOOKUP($R240&amp;U$2,$C$3:$F$4001,3,0))</f>
        <v>40126</v>
      </c>
      <c r="V240" s="107">
        <f>IF(ISNA(VLOOKUP($R240&amp;U$2,$C$3:$F$4001,4,0)),"",VLOOKUP($R240&amp;U$2,$C$3:$F$4001,4,0))</f>
        <v>1.05</v>
      </c>
      <c r="W240" s="106">
        <f>IF(ISNA(VLOOKUP($R240&amp;W$2,$C$3:$F$4001,3,0)),"",VLOOKUP($R240&amp;W$2,$C$3:$F$4001,3,0))</f>
        <v>40309</v>
      </c>
      <c r="X240" s="107">
        <f>IF(ISNA(VLOOKUP($R240&amp;W$2,$C$3:$F$4001,4,0)),"",VLOOKUP($R240&amp;W$2,$C$3:$F$4001,4,0))</f>
        <v>1.45</v>
      </c>
      <c r="Y240" s="106">
        <f>IF(ISNA(VLOOKUP($R240&amp;Y$2,$C$3:$F$4001,3,0)),"",VLOOKUP($R240&amp;Y$2,$C$3:$F$4001,3,0))</f>
        <v>40491</v>
      </c>
      <c r="Z240" s="107">
        <f>IF(ISNA(VLOOKUP($R240&amp;Y$2,$C$3:$F$4001,4,0)),"",VLOOKUP($R240&amp;Y$2,$C$3:$F$4001,4,0))</f>
        <v>1.25</v>
      </c>
      <c r="AA240" s="106">
        <f>IF(ISNA(VLOOKUP($R240&amp;AA$2,$C$3:$F$4001,3,0)),"",VLOOKUP($R240&amp;AA$2,$C$3:$F$4001,3,0))</f>
        <v>40674</v>
      </c>
      <c r="AB240" s="107">
        <f>IF(ISNA(VLOOKUP($R240&amp;AA$2,$C$3:$F$4001,4,0)),"",VLOOKUP($R240&amp;AA$2,$C$3:$F$4001,4,0))</f>
        <v>1.45</v>
      </c>
      <c r="AC240" s="106">
        <f>IF(ISNA(VLOOKUP($R240&amp;AC$2,$C$3:$F$4001,3,0)),"",VLOOKUP($R240&amp;AC$2,$C$3:$F$4001,3,0))</f>
        <v>40856</v>
      </c>
      <c r="AD240" s="107">
        <f>IF(ISNA(VLOOKUP($R240&amp;AC$2,$C$3:$F$4001,4,0)),"",VLOOKUP($R240&amp;AC$2,$C$3:$F$4001,4,0))</f>
        <v>1.45</v>
      </c>
      <c r="AE240" s="106">
        <f>IF(ISNA(VLOOKUP($R240&amp;AE$2,$C$3:$F$4001,3,0)),"",VLOOKUP($R240&amp;AE$2,$C$3:$F$4001,3,0))</f>
        <v>41040</v>
      </c>
      <c r="AF240" s="107">
        <f>IF(ISNA(VLOOKUP($R240&amp;AE$2,$C$3:$F$4001,4,0)),"",VLOOKUP($R240&amp;AE$2,$C$3:$F$4001,4,0))</f>
        <v>1.45</v>
      </c>
      <c r="AG240" s="106">
        <f>IF(ISNA(VLOOKUP($R240&amp;AG$2,$C$3:$F$4001,3,0)),"",VLOOKUP($R240&amp;AG$2,$C$3:$F$4001,3,0))</f>
        <v>41222</v>
      </c>
      <c r="AH240" s="107">
        <f>IF(ISNA(VLOOKUP($R240&amp;AG$2,$C$3:$F$4001,4,0)),"",VLOOKUP($R240&amp;AG$2,$C$3:$F$4001,4,0))</f>
        <v>1.45</v>
      </c>
      <c r="AI240" s="106">
        <f>IF(ISNA(VLOOKUP($R240&amp;AI$2,$C$3:$F$4001,3,0)),"",VLOOKUP($R240&amp;AI$2,$C$3:$F$4001,3,0))</f>
        <v>41407</v>
      </c>
      <c r="AJ240" s="107">
        <f>IF(ISNA(VLOOKUP($R240&amp;AI$2,$C$3:$F$4001,4,0)),"",VLOOKUP($R240&amp;AI$2,$C$3:$F$4001,4,0))</f>
        <v>2</v>
      </c>
      <c r="AK240" s="106" t="str">
        <f>IF(ISNA(VLOOKUP($R240&amp;AK$2,$C$3:$F$4001,3,0)),"",VLOOKUP($R240&amp;AK$2,$C$3:$F$4001,3,0))</f>
        <v/>
      </c>
      <c r="AL240" s="107" t="str">
        <f>IF(ISNA(VLOOKUP($R240&amp;AK$2,$C$3:$F$4001,4,0)),"",VLOOKUP($R240&amp;AK$2,$C$3:$F$4001,4,0))</f>
        <v/>
      </c>
    </row>
    <row r="241" spans="3:38" x14ac:dyDescent="0.2">
      <c r="C241" s="96" t="str">
        <f t="shared" si="12"/>
        <v>BBG4</v>
      </c>
      <c r="D241" s="73" t="s">
        <v>88</v>
      </c>
      <c r="E241" s="100">
        <v>40443</v>
      </c>
      <c r="F241" s="101">
        <v>0.30499999999999999</v>
      </c>
      <c r="G241" s="96">
        <f t="shared" si="13"/>
        <v>4</v>
      </c>
      <c r="I241" s="96"/>
      <c r="K241" t="str">
        <f t="shared" si="14"/>
        <v>BBG4</v>
      </c>
      <c r="L241" s="73" t="s">
        <v>88</v>
      </c>
      <c r="M241" s="72">
        <v>40443</v>
      </c>
      <c r="N241" s="84">
        <v>0.30499999999999999</v>
      </c>
      <c r="O241" s="96">
        <f t="shared" si="15"/>
        <v>4</v>
      </c>
      <c r="P241" s="73"/>
      <c r="Q241" s="96"/>
      <c r="R241" s="96" t="str">
        <f>R240</f>
        <v>MQG</v>
      </c>
      <c r="S241" s="108">
        <f>IF(ISNA(VLOOKUP($R241&amp;S$2,$K$3:$N$4001,3,0)),"",VLOOKUP($R241&amp;S$2,$K$3:$N$4001,3,0))</f>
        <v>39944</v>
      </c>
      <c r="T241" s="109">
        <f>IF(ISNA(VLOOKUP($R241&amp;S$2,$K$3:$N$4001,4,0)),"",VLOOKUP($R241&amp;S$2,$K$3:$N$4001,4,0))</f>
        <v>1.05</v>
      </c>
      <c r="U241" s="108">
        <f>IF(ISNA(VLOOKUP($R241&amp;U$2,$K$3:$N$4001,3,0)),"",VLOOKUP($R241&amp;U$2,$K$3:$N$4001,3,0))</f>
        <v>40126</v>
      </c>
      <c r="V241" s="109">
        <f>IF(ISNA(VLOOKUP($R241&amp;U$2,$K$3:$N$4001,4,0)),"",VLOOKUP($R241&amp;U$2,$K$3:$N$4001,4,0))</f>
        <v>1.05</v>
      </c>
      <c r="W241" s="108">
        <f>IF(ISNA(VLOOKUP($R241&amp;W$2,$K$3:$N$4001,3,0)),"",VLOOKUP($R241&amp;W$2,$K$3:$N$4001,3,0))</f>
        <v>40309</v>
      </c>
      <c r="X241" s="109">
        <f>IF(ISNA(VLOOKUP($R241&amp;W$2,$K$3:$N$4001,4,0)),"",VLOOKUP($R241&amp;W$2,$K$3:$N$4001,4,0))</f>
        <v>1.45</v>
      </c>
      <c r="Y241" s="108">
        <f>IF(ISNA(VLOOKUP($R241&amp;Y$2,$K$3:$N$4001,3,0)),"",VLOOKUP($R241&amp;Y$2,$K$3:$N$4001,3,0))</f>
        <v>40491</v>
      </c>
      <c r="Z241" s="109">
        <f>IF(ISNA(VLOOKUP($R241&amp;Y$2,$K$3:$N$4001,4,0)),"",VLOOKUP($R241&amp;Y$2,$K$3:$N$4001,4,0))</f>
        <v>1.25</v>
      </c>
      <c r="AA241" s="108">
        <f>IF(ISNA(VLOOKUP($R241&amp;AA$2,$K$3:$N$4001,3,0)),"",VLOOKUP($R241&amp;AA$2,$K$3:$N$4001,3,0))</f>
        <v>40674</v>
      </c>
      <c r="AB241" s="109">
        <f>IF(ISNA(VLOOKUP($R241&amp;AA$2,$K$3:$N$4001,4,0)),"",VLOOKUP($R241&amp;AA$2,$K$3:$N$4001,4,0))</f>
        <v>1.45</v>
      </c>
      <c r="AC241" s="108">
        <f>IF(ISNA(VLOOKUP($R241&amp;AC$2,$K$3:$N$4001,3,0)),"",VLOOKUP($R241&amp;AC$2,$K$3:$N$4001,3,0))</f>
        <v>40856</v>
      </c>
      <c r="AD241" s="109">
        <f>IF(ISNA(VLOOKUP($R241&amp;AC$2,$K$3:$N$4001,4,0)),"",VLOOKUP($R241&amp;AC$2,$K$3:$N$4001,4,0))</f>
        <v>1.45</v>
      </c>
      <c r="AE241" s="108">
        <f>IF(ISNA(VLOOKUP($R241&amp;AE$2,$K$3:$N$4001,3,0)),"",VLOOKUP($R241&amp;AE$2,$K$3:$N$4001,3,0))</f>
        <v>41040</v>
      </c>
      <c r="AF241" s="109">
        <f>IF(ISNA(VLOOKUP($R241&amp;AE$2,$K$3:$N$4001,4,0)),"",VLOOKUP($R241&amp;AE$2,$K$3:$N$4001,4,0))</f>
        <v>1.45</v>
      </c>
      <c r="AG241" s="108">
        <f>IF(ISNA(VLOOKUP($R241&amp;AG$2,$K$3:$N$4001,3,0)),"",VLOOKUP($R241&amp;AG$2,$K$3:$N$4001,3,0))</f>
        <v>41222</v>
      </c>
      <c r="AH241" s="109">
        <f>IF(ISNA(VLOOKUP($R241&amp;AG$2,$K$3:$N$4001,4,0)),"",VLOOKUP($R241&amp;AG$2,$K$3:$N$4001,4,0))</f>
        <v>1.45</v>
      </c>
      <c r="AI241" s="108">
        <f>IF(ISNA(VLOOKUP($R241&amp;AI$2,$K$3:$N$4001,3,0)),"",VLOOKUP($R241&amp;AI$2,$K$3:$N$4001,3,0))</f>
        <v>41407</v>
      </c>
      <c r="AJ241" s="109">
        <f>IF(ISNA(VLOOKUP($R241&amp;AI$2,$K$3:$N$4001,4,0)),"",VLOOKUP($R241&amp;AI$2,$K$3:$N$4001,4,0))</f>
        <v>2</v>
      </c>
      <c r="AK241" s="108" t="str">
        <f>IF(ISNA(VLOOKUP($R241&amp;AK$2,$K$3:$N$4001,3,0)),"",VLOOKUP($R241&amp;AK$2,$K$3:$N$4001,3,0))</f>
        <v/>
      </c>
      <c r="AL241" s="109" t="str">
        <f>IF(ISNA(VLOOKUP($R241&amp;AK$2,$K$3:$N$4001,4,0)),"",VLOOKUP($R241&amp;AK$2,$K$3:$N$4001,4,0))</f>
        <v/>
      </c>
    </row>
    <row r="242" spans="3:38" x14ac:dyDescent="0.2">
      <c r="C242" s="96" t="str">
        <f t="shared" si="12"/>
        <v>BBG5</v>
      </c>
      <c r="D242" s="73" t="s">
        <v>88</v>
      </c>
      <c r="E242" s="100">
        <v>40623</v>
      </c>
      <c r="F242" s="101">
        <v>0.30499999999999999</v>
      </c>
      <c r="G242" s="96">
        <f t="shared" si="13"/>
        <v>5</v>
      </c>
      <c r="I242" s="96"/>
      <c r="K242" t="str">
        <f t="shared" si="14"/>
        <v>BBG5</v>
      </c>
      <c r="L242" s="73" t="s">
        <v>88</v>
      </c>
      <c r="M242" s="72">
        <v>40623</v>
      </c>
      <c r="N242" s="84">
        <v>0.30499999999999999</v>
      </c>
      <c r="O242" s="96">
        <f t="shared" si="15"/>
        <v>5</v>
      </c>
      <c r="P242" s="73"/>
      <c r="Q242" s="96"/>
      <c r="R242" s="96" t="s">
        <v>172</v>
      </c>
      <c r="S242" s="106">
        <f>IF(ISNA(VLOOKUP($R242&amp;S$2,$C$3:$F$4001,3,0)),"",VLOOKUP($R242&amp;S$2,$C$3:$F$4001,3,0))</f>
        <v>39988</v>
      </c>
      <c r="T242" s="107">
        <f>IF(ISNA(VLOOKUP($R242&amp;S$2,$C$3:$F$4001,4,0)),"",VLOOKUP($R242&amp;S$2,$C$3:$F$4001,4,0))</f>
        <v>0.1</v>
      </c>
      <c r="U242" s="106">
        <f>IF(ISNA(VLOOKUP($R242&amp;U$2,$C$3:$F$4001,3,0)),"",VLOOKUP($R242&amp;U$2,$C$3:$F$4001,3,0))</f>
        <v>40170</v>
      </c>
      <c r="V242" s="107">
        <f>IF(ISNA(VLOOKUP($R242&amp;U$2,$C$3:$F$4001,4,0)),"",VLOOKUP($R242&amp;U$2,$C$3:$F$4001,4,0))</f>
        <v>0.1</v>
      </c>
      <c r="W242" s="106">
        <f>IF(ISNA(VLOOKUP($R242&amp;W$2,$C$3:$F$4001,3,0)),"",VLOOKUP($R242&amp;W$2,$C$3:$F$4001,3,0))</f>
        <v>40353</v>
      </c>
      <c r="X242" s="107">
        <f>IF(ISNA(VLOOKUP($R242&amp;W$2,$C$3:$F$4001,4,0)),"",VLOOKUP($R242&amp;W$2,$C$3:$F$4001,4,0))</f>
        <v>0.1</v>
      </c>
      <c r="Y242" s="106">
        <f>IF(ISNA(VLOOKUP($R242&amp;Y$2,$C$3:$F$4001,3,0)),"",VLOOKUP($R242&amp;Y$2,$C$3:$F$4001,3,0))</f>
        <v>40535</v>
      </c>
      <c r="Z242" s="107">
        <f>IF(ISNA(VLOOKUP($R242&amp;Y$2,$C$3:$F$4001,4,0)),"",VLOOKUP($R242&amp;Y$2,$C$3:$F$4001,4,0))</f>
        <v>0.1</v>
      </c>
      <c r="AA242" s="106">
        <f>IF(ISNA(VLOOKUP($R242&amp;AA$2,$C$3:$F$4001,3,0)),"",VLOOKUP($R242&amp;AA$2,$C$3:$F$4001,3,0))</f>
        <v>40718</v>
      </c>
      <c r="AB242" s="107">
        <f>IF(ISNA(VLOOKUP($R242&amp;AA$2,$C$3:$F$4001,4,0)),"",VLOOKUP($R242&amp;AA$2,$C$3:$F$4001,4,0))</f>
        <v>0.1</v>
      </c>
      <c r="AC242" s="106">
        <f>IF(ISNA(VLOOKUP($R242&amp;AC$2,$C$3:$F$4001,3,0)),"",VLOOKUP($R242&amp;AC$2,$C$3:$F$4001,3,0))</f>
        <v>40899</v>
      </c>
      <c r="AD242" s="107">
        <f>IF(ISNA(VLOOKUP($R242&amp;AC$2,$C$3:$F$4001,4,0)),"",VLOOKUP($R242&amp;AC$2,$C$3:$F$4001,4,0))</f>
        <v>0.1</v>
      </c>
      <c r="AE242" s="106">
        <f>IF(ISNA(VLOOKUP($R242&amp;AE$2,$C$3:$F$4001,3,0)),"",VLOOKUP($R242&amp;AE$2,$C$3:$F$4001,3,0))</f>
        <v>41085</v>
      </c>
      <c r="AF242" s="107">
        <f>IF(ISNA(VLOOKUP($R242&amp;AE$2,$C$3:$F$4001,4,0)),"",VLOOKUP($R242&amp;AE$2,$C$3:$F$4001,4,0))</f>
        <v>0.1</v>
      </c>
      <c r="AG242" s="106">
        <f>IF(ISNA(VLOOKUP($R242&amp;AG$2,$C$3:$F$4001,3,0)),"",VLOOKUP($R242&amp;AG$2,$C$3:$F$4001,3,0))</f>
        <v>41267</v>
      </c>
      <c r="AH242" s="107">
        <f>IF(ISNA(VLOOKUP($R242&amp;AG$2,$C$3:$F$4001,4,0)),"",VLOOKUP($R242&amp;AG$2,$C$3:$F$4001,4,0))</f>
        <v>0.1</v>
      </c>
      <c r="AI242" s="106">
        <f>IF(ISNA(VLOOKUP($R242&amp;AI$2,$C$3:$F$4001,3,0)),"",VLOOKUP($R242&amp;AI$2,$C$3:$F$4001,3,0))</f>
        <v>41449</v>
      </c>
      <c r="AJ242" s="107">
        <f>IF(ISNA(VLOOKUP($R242&amp;AI$2,$C$3:$F$4001,4,0)),"",VLOOKUP($R242&amp;AI$2,$C$3:$F$4001,4,0))</f>
        <v>0.1</v>
      </c>
      <c r="AK242" s="106" t="str">
        <f>IF(ISNA(VLOOKUP($R242&amp;AK$2,$C$3:$F$4001,3,0)),"",VLOOKUP($R242&amp;AK$2,$C$3:$F$4001,3,0))</f>
        <v/>
      </c>
      <c r="AL242" s="107" t="str">
        <f>IF(ISNA(VLOOKUP($R242&amp;AK$2,$C$3:$F$4001,4,0)),"",VLOOKUP($R242&amp;AK$2,$C$3:$F$4001,4,0))</f>
        <v/>
      </c>
    </row>
    <row r="243" spans="3:38" x14ac:dyDescent="0.2">
      <c r="C243" s="96" t="str">
        <f t="shared" si="12"/>
        <v>BBG6</v>
      </c>
      <c r="D243" s="73" t="s">
        <v>88</v>
      </c>
      <c r="E243" s="100">
        <v>40808</v>
      </c>
      <c r="F243" s="101">
        <v>0.33</v>
      </c>
      <c r="G243" s="96">
        <f t="shared" si="13"/>
        <v>6</v>
      </c>
      <c r="I243" s="96"/>
      <c r="K243" t="str">
        <f t="shared" si="14"/>
        <v>BBG6</v>
      </c>
      <c r="L243" s="73" t="s">
        <v>88</v>
      </c>
      <c r="M243" s="72">
        <v>40808</v>
      </c>
      <c r="N243" s="84">
        <v>0.33</v>
      </c>
      <c r="O243" s="96">
        <f t="shared" si="15"/>
        <v>6</v>
      </c>
      <c r="P243" s="73"/>
      <c r="Q243" s="96"/>
      <c r="R243" s="96" t="str">
        <f>R242</f>
        <v>MIG</v>
      </c>
      <c r="S243" s="108">
        <f>IF(ISNA(VLOOKUP($R243&amp;S$2,$K$3:$N$4001,3,0)),"",VLOOKUP($R243&amp;S$2,$K$3:$N$4001,3,0))</f>
        <v>39988</v>
      </c>
      <c r="T243" s="109">
        <f>IF(ISNA(VLOOKUP($R243&amp;S$2,$K$3:$N$4001,4,0)),"",VLOOKUP($R243&amp;S$2,$K$3:$N$4001,4,0))</f>
        <v>0.1</v>
      </c>
      <c r="U243" s="108">
        <f>IF(ISNA(VLOOKUP($R243&amp;U$2,$K$3:$N$4001,3,0)),"",VLOOKUP($R243&amp;U$2,$K$3:$N$4001,3,0))</f>
        <v>40170</v>
      </c>
      <c r="V243" s="109">
        <f>IF(ISNA(VLOOKUP($R243&amp;U$2,$K$3:$N$4001,4,0)),"",VLOOKUP($R243&amp;U$2,$K$3:$N$4001,4,0))</f>
        <v>0.1</v>
      </c>
      <c r="W243" s="108">
        <f>IF(ISNA(VLOOKUP($R243&amp;W$2,$K$3:$N$4001,3,0)),"",VLOOKUP($R243&amp;W$2,$K$3:$N$4001,3,0))</f>
        <v>40353</v>
      </c>
      <c r="X243" s="109">
        <f>IF(ISNA(VLOOKUP($R243&amp;W$2,$K$3:$N$4001,4,0)),"",VLOOKUP($R243&amp;W$2,$K$3:$N$4001,4,0))</f>
        <v>0.1</v>
      </c>
      <c r="Y243" s="108">
        <f>IF(ISNA(VLOOKUP($R243&amp;Y$2,$K$3:$N$4001,3,0)),"",VLOOKUP($R243&amp;Y$2,$K$3:$N$4001,3,0))</f>
        <v>40535</v>
      </c>
      <c r="Z243" s="109">
        <f>IF(ISNA(VLOOKUP($R243&amp;Y$2,$K$3:$N$4001,4,0)),"",VLOOKUP($R243&amp;Y$2,$K$3:$N$4001,4,0))</f>
        <v>0.1</v>
      </c>
      <c r="AA243" s="108">
        <f>IF(ISNA(VLOOKUP($R243&amp;AA$2,$K$3:$N$4001,3,0)),"",VLOOKUP($R243&amp;AA$2,$K$3:$N$4001,3,0))</f>
        <v>40718</v>
      </c>
      <c r="AB243" s="109">
        <f>IF(ISNA(VLOOKUP($R243&amp;AA$2,$K$3:$N$4001,4,0)),"",VLOOKUP($R243&amp;AA$2,$K$3:$N$4001,4,0))</f>
        <v>0.1</v>
      </c>
      <c r="AC243" s="108">
        <f>IF(ISNA(VLOOKUP($R243&amp;AC$2,$K$3:$N$4001,3,0)),"",VLOOKUP($R243&amp;AC$2,$K$3:$N$4001,3,0))</f>
        <v>40899</v>
      </c>
      <c r="AD243" s="109">
        <f>IF(ISNA(VLOOKUP($R243&amp;AC$2,$K$3:$N$4001,4,0)),"",VLOOKUP($R243&amp;AC$2,$K$3:$N$4001,4,0))</f>
        <v>0.1</v>
      </c>
      <c r="AE243" s="108">
        <f>IF(ISNA(VLOOKUP($R243&amp;AE$2,$K$3:$N$4001,3,0)),"",VLOOKUP($R243&amp;AE$2,$K$3:$N$4001,3,0))</f>
        <v>41085</v>
      </c>
      <c r="AF243" s="109">
        <f>IF(ISNA(VLOOKUP($R243&amp;AE$2,$K$3:$N$4001,4,0)),"",VLOOKUP($R243&amp;AE$2,$K$3:$N$4001,4,0))</f>
        <v>0.1</v>
      </c>
      <c r="AG243" s="108">
        <f>IF(ISNA(VLOOKUP($R243&amp;AG$2,$K$3:$N$4001,3,0)),"",VLOOKUP($R243&amp;AG$2,$K$3:$N$4001,3,0))</f>
        <v>41267</v>
      </c>
      <c r="AH243" s="109">
        <f>IF(ISNA(VLOOKUP($R243&amp;AG$2,$K$3:$N$4001,4,0)),"",VLOOKUP($R243&amp;AG$2,$K$3:$N$4001,4,0))</f>
        <v>0.1</v>
      </c>
      <c r="AI243" s="108">
        <f>IF(ISNA(VLOOKUP($R243&amp;AI$2,$K$3:$N$4001,3,0)),"",VLOOKUP($R243&amp;AI$2,$K$3:$N$4001,3,0))</f>
        <v>41449</v>
      </c>
      <c r="AJ243" s="109">
        <f>IF(ISNA(VLOOKUP($R243&amp;AI$2,$K$3:$N$4001,4,0)),"",VLOOKUP($R243&amp;AI$2,$K$3:$N$4001,4,0))</f>
        <v>0.1</v>
      </c>
      <c r="AK243" s="108" t="str">
        <f>IF(ISNA(VLOOKUP($R243&amp;AK$2,$K$3:$N$4001,3,0)),"",VLOOKUP($R243&amp;AK$2,$K$3:$N$4001,3,0))</f>
        <v/>
      </c>
      <c r="AL243" s="109" t="str">
        <f>IF(ISNA(VLOOKUP($R243&amp;AK$2,$K$3:$N$4001,4,0)),"",VLOOKUP($R243&amp;AK$2,$K$3:$N$4001,4,0))</f>
        <v/>
      </c>
    </row>
    <row r="244" spans="3:38" x14ac:dyDescent="0.2">
      <c r="C244" s="96" t="str">
        <f t="shared" si="12"/>
        <v>BBG7</v>
      </c>
      <c r="D244" s="73" t="s">
        <v>88</v>
      </c>
      <c r="E244" s="100">
        <v>40988</v>
      </c>
      <c r="F244" s="101">
        <v>0.33</v>
      </c>
      <c r="G244" s="96">
        <f t="shared" si="13"/>
        <v>7</v>
      </c>
      <c r="I244" s="96"/>
      <c r="K244" t="str">
        <f t="shared" si="14"/>
        <v>BBG7</v>
      </c>
      <c r="L244" s="73" t="s">
        <v>88</v>
      </c>
      <c r="M244" s="72">
        <v>40988</v>
      </c>
      <c r="N244" s="84">
        <v>0.33</v>
      </c>
      <c r="O244" s="96">
        <f t="shared" si="15"/>
        <v>7</v>
      </c>
      <c r="P244" s="73"/>
      <c r="Q244" s="96"/>
      <c r="R244" s="96" t="s">
        <v>173</v>
      </c>
      <c r="S244" s="106">
        <f>IF(ISNA(VLOOKUP($R244&amp;S$2,$C$3:$F$4001,3,0)),"",VLOOKUP($R244&amp;S$2,$C$3:$F$4001,3,0))</f>
        <v>39988</v>
      </c>
      <c r="T244" s="107">
        <f>IF(ISNA(VLOOKUP($R244&amp;S$2,$C$3:$F$4001,4,0)),"",VLOOKUP($R244&amp;S$2,$C$3:$F$4001,4,0))</f>
        <v>4.4999999999999998E-2</v>
      </c>
      <c r="U244" s="106">
        <f>IF(ISNA(VLOOKUP($R244&amp;U$2,$C$3:$F$4001,3,0)),"",VLOOKUP($R244&amp;U$2,$C$3:$F$4001,3,0))</f>
        <v>40170</v>
      </c>
      <c r="V244" s="107">
        <f>IF(ISNA(VLOOKUP($R244&amp;U$2,$C$3:$F$4001,4,0)),"",VLOOKUP($R244&amp;U$2,$C$3:$F$4001,4,0))</f>
        <v>4.4999999999999998E-2</v>
      </c>
      <c r="W244" s="106">
        <f>IF(ISNA(VLOOKUP($R244&amp;W$2,$C$3:$F$4001,3,0)),"",VLOOKUP($R244&amp;W$2,$C$3:$F$4001,3,0))</f>
        <v>40353</v>
      </c>
      <c r="X244" s="107">
        <f>IF(ISNA(VLOOKUP($R244&amp;W$2,$C$3:$F$4001,4,0)),"",VLOOKUP($R244&amp;W$2,$C$3:$F$4001,4,0))</f>
        <v>4.4999999999999998E-2</v>
      </c>
      <c r="Y244" s="106">
        <f>IF(ISNA(VLOOKUP($R244&amp;Y$2,$C$3:$F$4001,3,0)),"",VLOOKUP($R244&amp;Y$2,$C$3:$F$4001,3,0))</f>
        <v>40535</v>
      </c>
      <c r="Z244" s="107">
        <f>IF(ISNA(VLOOKUP($R244&amp;Y$2,$C$3:$F$4001,4,0)),"",VLOOKUP($R244&amp;Y$2,$C$3:$F$4001,4,0))</f>
        <v>3.7999999999999999E-2</v>
      </c>
      <c r="AA244" s="106">
        <f>IF(ISNA(VLOOKUP($R244&amp;AA$2,$C$3:$F$4001,3,0)),"",VLOOKUP($R244&amp;AA$2,$C$3:$F$4001,3,0))</f>
        <v>40718</v>
      </c>
      <c r="AB244" s="107">
        <f>IF(ISNA(VLOOKUP($R244&amp;AA$2,$C$3:$F$4001,4,0)),"",VLOOKUP($R244&amp;AA$2,$C$3:$F$4001,4,0))</f>
        <v>3.7999999999999999E-2</v>
      </c>
      <c r="AC244" s="106">
        <f>IF(ISNA(VLOOKUP($R244&amp;AC$2,$C$3:$F$4001,3,0)),"",VLOOKUP($R244&amp;AC$2,$C$3:$F$4001,3,0))</f>
        <v>40899</v>
      </c>
      <c r="AD244" s="107">
        <f>IF(ISNA(VLOOKUP($R244&amp;AC$2,$C$3:$F$4001,4,0)),"",VLOOKUP($R244&amp;AC$2,$C$3:$F$4001,4,0))</f>
        <v>3.7999999999999999E-2</v>
      </c>
      <c r="AE244" s="106">
        <f>IF(ISNA(VLOOKUP($R244&amp;AE$2,$C$3:$F$4001,3,0)),"",VLOOKUP($R244&amp;AE$2,$C$3:$F$4001,3,0))</f>
        <v>41085</v>
      </c>
      <c r="AF244" s="107">
        <f>IF(ISNA(VLOOKUP($R244&amp;AE$2,$C$3:$F$4001,4,0)),"",VLOOKUP($R244&amp;AE$2,$C$3:$F$4001,4,0))</f>
        <v>3.7999999999999999E-2</v>
      </c>
      <c r="AG244" s="106">
        <f>IF(ISNA(VLOOKUP($R244&amp;AG$2,$C$3:$F$4001,3,0)),"",VLOOKUP($R244&amp;AG$2,$C$3:$F$4001,3,0))</f>
        <v>41264</v>
      </c>
      <c r="AH244" s="107">
        <f>IF(ISNA(VLOOKUP($R244&amp;AG$2,$C$3:$F$4001,4,0)),"",VLOOKUP($R244&amp;AG$2,$C$3:$F$4001,4,0))</f>
        <v>0.25</v>
      </c>
      <c r="AI244" s="106">
        <f>IF(ISNA(VLOOKUP($R244&amp;AI$2,$C$3:$F$4001,3,0)),"",VLOOKUP($R244&amp;AI$2,$C$3:$F$4001,3,0))</f>
        <v>41449</v>
      </c>
      <c r="AJ244" s="107">
        <f>IF(ISNA(VLOOKUP($R244&amp;AI$2,$C$3:$F$4001,4,0)),"",VLOOKUP($R244&amp;AI$2,$C$3:$F$4001,4,0))</f>
        <v>0.25</v>
      </c>
      <c r="AK244" s="106" t="str">
        <f>IF(ISNA(VLOOKUP($R244&amp;AK$2,$C$3:$F$4001,3,0)),"",VLOOKUP($R244&amp;AK$2,$C$3:$F$4001,3,0))</f>
        <v/>
      </c>
      <c r="AL244" s="107" t="str">
        <f>IF(ISNA(VLOOKUP($R244&amp;AK$2,$C$3:$F$4001,4,0)),"",VLOOKUP($R244&amp;AK$2,$C$3:$F$4001,4,0))</f>
        <v/>
      </c>
    </row>
    <row r="245" spans="3:38" x14ac:dyDescent="0.2">
      <c r="C245" s="96" t="str">
        <f t="shared" si="12"/>
        <v>BBG8</v>
      </c>
      <c r="D245" s="73" t="s">
        <v>88</v>
      </c>
      <c r="E245" s="100">
        <v>41176</v>
      </c>
      <c r="F245" s="101">
        <v>0.36499999999999999</v>
      </c>
      <c r="G245" s="96">
        <f t="shared" si="13"/>
        <v>8</v>
      </c>
      <c r="I245" s="96"/>
      <c r="K245" t="str">
        <f t="shared" si="14"/>
        <v>BBG8</v>
      </c>
      <c r="L245" s="73" t="s">
        <v>88</v>
      </c>
      <c r="M245" s="72">
        <v>41176</v>
      </c>
      <c r="N245" s="84">
        <v>0.36499999999999999</v>
      </c>
      <c r="O245" s="96">
        <f t="shared" si="15"/>
        <v>8</v>
      </c>
      <c r="P245" s="73"/>
      <c r="Q245" s="96"/>
      <c r="R245" s="96" t="str">
        <f>R244</f>
        <v>MMG</v>
      </c>
      <c r="S245" s="108">
        <f>IF(ISNA(VLOOKUP($R245&amp;S$2,$K$3:$N$4001,3,0)),"",VLOOKUP($R245&amp;S$2,$K$3:$N$4001,3,0))</f>
        <v>39988</v>
      </c>
      <c r="T245" s="109">
        <f>IF(ISNA(VLOOKUP($R245&amp;S$2,$K$3:$N$4001,4,0)),"",VLOOKUP($R245&amp;S$2,$K$3:$N$4001,4,0))</f>
        <v>4.4999999999999998E-2</v>
      </c>
      <c r="U245" s="108">
        <f>IF(ISNA(VLOOKUP($R245&amp;U$2,$K$3:$N$4001,3,0)),"",VLOOKUP($R245&amp;U$2,$K$3:$N$4001,3,0))</f>
        <v>40170</v>
      </c>
      <c r="V245" s="109">
        <f>IF(ISNA(VLOOKUP($R245&amp;U$2,$K$3:$N$4001,4,0)),"",VLOOKUP($R245&amp;U$2,$K$3:$N$4001,4,0))</f>
        <v>4.4999999999999998E-2</v>
      </c>
      <c r="W245" s="108">
        <f>IF(ISNA(VLOOKUP($R245&amp;W$2,$K$3:$N$4001,3,0)),"",VLOOKUP($R245&amp;W$2,$K$3:$N$4001,3,0))</f>
        <v>40353</v>
      </c>
      <c r="X245" s="109">
        <f>IF(ISNA(VLOOKUP($R245&amp;W$2,$K$3:$N$4001,4,0)),"",VLOOKUP($R245&amp;W$2,$K$3:$N$4001,4,0))</f>
        <v>4.4999999999999998E-2</v>
      </c>
      <c r="Y245" s="108">
        <f>IF(ISNA(VLOOKUP($R245&amp;Y$2,$K$3:$N$4001,3,0)),"",VLOOKUP($R245&amp;Y$2,$K$3:$N$4001,3,0))</f>
        <v>40535</v>
      </c>
      <c r="Z245" s="109">
        <f>IF(ISNA(VLOOKUP($R245&amp;Y$2,$K$3:$N$4001,4,0)),"",VLOOKUP($R245&amp;Y$2,$K$3:$N$4001,4,0))</f>
        <v>3.7999999999999999E-2</v>
      </c>
      <c r="AA245" s="108">
        <f>IF(ISNA(VLOOKUP($R245&amp;AA$2,$K$3:$N$4001,3,0)),"",VLOOKUP($R245&amp;AA$2,$K$3:$N$4001,3,0))</f>
        <v>40718</v>
      </c>
      <c r="AB245" s="109">
        <f>IF(ISNA(VLOOKUP($R245&amp;AA$2,$K$3:$N$4001,4,0)),"",VLOOKUP($R245&amp;AA$2,$K$3:$N$4001,4,0))</f>
        <v>3.7999999999999999E-2</v>
      </c>
      <c r="AC245" s="108">
        <f>IF(ISNA(VLOOKUP($R245&amp;AC$2,$K$3:$N$4001,3,0)),"",VLOOKUP($R245&amp;AC$2,$K$3:$N$4001,3,0))</f>
        <v>40899</v>
      </c>
      <c r="AD245" s="109">
        <f>IF(ISNA(VLOOKUP($R245&amp;AC$2,$K$3:$N$4001,4,0)),"",VLOOKUP($R245&amp;AC$2,$K$3:$N$4001,4,0))</f>
        <v>3.7999999999999999E-2</v>
      </c>
      <c r="AE245" s="108">
        <f>IF(ISNA(VLOOKUP($R245&amp;AE$2,$K$3:$N$4001,3,0)),"",VLOOKUP($R245&amp;AE$2,$K$3:$N$4001,3,0))</f>
        <v>41085</v>
      </c>
      <c r="AF245" s="109">
        <f>IF(ISNA(VLOOKUP($R245&amp;AE$2,$K$3:$N$4001,4,0)),"",VLOOKUP($R245&amp;AE$2,$K$3:$N$4001,4,0))</f>
        <v>3.7999999999999999E-2</v>
      </c>
      <c r="AG245" s="108">
        <f>IF(ISNA(VLOOKUP($R245&amp;AG$2,$K$3:$N$4001,3,0)),"",VLOOKUP($R245&amp;AG$2,$K$3:$N$4001,3,0))</f>
        <v>41264</v>
      </c>
      <c r="AH245" s="109">
        <f>IF(ISNA(VLOOKUP($R245&amp;AG$2,$K$3:$N$4001,4,0)),"",VLOOKUP($R245&amp;AG$2,$K$3:$N$4001,4,0))</f>
        <v>0.25</v>
      </c>
      <c r="AI245" s="108">
        <f>IF(ISNA(VLOOKUP($R245&amp;AI$2,$K$3:$N$4001,3,0)),"",VLOOKUP($R245&amp;AI$2,$K$3:$N$4001,3,0))</f>
        <v>41449</v>
      </c>
      <c r="AJ245" s="109">
        <f>IF(ISNA(VLOOKUP($R245&amp;AI$2,$K$3:$N$4001,4,0)),"",VLOOKUP($R245&amp;AI$2,$K$3:$N$4001,4,0))</f>
        <v>0.25</v>
      </c>
      <c r="AK245" s="108" t="str">
        <f>IF(ISNA(VLOOKUP($R245&amp;AK$2,$K$3:$N$4001,3,0)),"",VLOOKUP($R245&amp;AK$2,$K$3:$N$4001,3,0))</f>
        <v/>
      </c>
      <c r="AL245" s="109" t="str">
        <f>IF(ISNA(VLOOKUP($R245&amp;AK$2,$K$3:$N$4001,4,0)),"",VLOOKUP($R245&amp;AK$2,$K$3:$N$4001,4,0))</f>
        <v/>
      </c>
    </row>
    <row r="246" spans="3:38" x14ac:dyDescent="0.2">
      <c r="C246" s="96" t="str">
        <f t="shared" si="12"/>
        <v>BBG9</v>
      </c>
      <c r="D246" s="73" t="s">
        <v>88</v>
      </c>
      <c r="E246" s="100">
        <v>41353</v>
      </c>
      <c r="F246" s="101">
        <v>0.36499999999999999</v>
      </c>
      <c r="G246" s="96">
        <f t="shared" si="13"/>
        <v>9</v>
      </c>
      <c r="I246" s="96"/>
      <c r="K246" t="str">
        <f t="shared" si="14"/>
        <v>BBG9</v>
      </c>
      <c r="L246" s="73" t="s">
        <v>88</v>
      </c>
      <c r="M246" s="72">
        <v>41353</v>
      </c>
      <c r="N246" s="84">
        <v>0.36499999999999999</v>
      </c>
      <c r="O246" s="96">
        <f t="shared" si="15"/>
        <v>9</v>
      </c>
      <c r="P246" s="73"/>
      <c r="Q246" s="96"/>
      <c r="R246" s="96" t="s">
        <v>175</v>
      </c>
      <c r="S246" s="106">
        <f>IF(ISNA(VLOOKUP($R246&amp;S$2,$C$3:$F$4001,3,0)),"",VLOOKUP($R246&amp;S$2,$C$3:$F$4001,3,0))</f>
        <v>39897</v>
      </c>
      <c r="T246" s="107">
        <f>IF(ISNA(VLOOKUP($R246&amp;S$2,$C$3:$F$4001,4,0)),"",VLOOKUP($R246&amp;S$2,$C$3:$F$4001,4,0))</f>
        <v>7.4999999999999997E-3</v>
      </c>
      <c r="U246" s="106">
        <f>IF(ISNA(VLOOKUP($R246&amp;U$2,$C$3:$F$4001,3,0)),"",VLOOKUP($R246&amp;U$2,$C$3:$F$4001,3,0))</f>
        <v>39988</v>
      </c>
      <c r="V246" s="107">
        <f>IF(ISNA(VLOOKUP($R246&amp;U$2,$C$3:$F$4001,4,0)),"",VLOOKUP($R246&amp;U$2,$C$3:$F$4001,4,0))</f>
        <v>8.0000000000000002E-3</v>
      </c>
      <c r="W246" s="106">
        <f>IF(ISNA(VLOOKUP($R246&amp;W$2,$C$3:$F$4001,3,0)),"",VLOOKUP($R246&amp;W$2,$C$3:$F$4001,3,0))</f>
        <v>40080</v>
      </c>
      <c r="X246" s="107">
        <f>IF(ISNA(VLOOKUP($R246&amp;W$2,$C$3:$F$4001,4,0)),"",VLOOKUP($R246&amp;W$2,$C$3:$F$4001,4,0))</f>
        <v>7.4999999999999997E-3</v>
      </c>
      <c r="Y246" s="106">
        <f>IF(ISNA(VLOOKUP($R246&amp;Y$2,$C$3:$F$4001,3,0)),"",VLOOKUP($R246&amp;Y$2,$C$3:$F$4001,3,0))</f>
        <v>40170</v>
      </c>
      <c r="Z246" s="107">
        <f>IF(ISNA(VLOOKUP($R246&amp;Y$2,$C$3:$F$4001,4,0)),"",VLOOKUP($R246&amp;Y$2,$C$3:$F$4001,4,0))</f>
        <v>7.4999999999999997E-3</v>
      </c>
      <c r="AA246" s="106">
        <f>IF(ISNA(VLOOKUP($R246&amp;AA$2,$C$3:$F$4001,3,0)),"",VLOOKUP($R246&amp;AA$2,$C$3:$F$4001,3,0))</f>
        <v>40262</v>
      </c>
      <c r="AB246" s="107">
        <f>IF(ISNA(VLOOKUP($R246&amp;AA$2,$C$3:$F$4001,4,0)),"",VLOOKUP($R246&amp;AA$2,$C$3:$F$4001,4,0))</f>
        <v>7.4999999999999997E-3</v>
      </c>
      <c r="AC246" s="106">
        <f>IF(ISNA(VLOOKUP($R246&amp;AC$2,$C$3:$F$4001,3,0)),"",VLOOKUP($R246&amp;AC$2,$C$3:$F$4001,3,0))</f>
        <v>40353</v>
      </c>
      <c r="AD246" s="107">
        <f>IF(ISNA(VLOOKUP($R246&amp;AC$2,$C$3:$F$4001,4,0)),"",VLOOKUP($R246&amp;AC$2,$C$3:$F$4001,4,0))</f>
        <v>7.4999999999999997E-3</v>
      </c>
      <c r="AE246" s="106">
        <f>IF(ISNA(VLOOKUP($R246&amp;AE$2,$C$3:$F$4001,3,0)),"",VLOOKUP($R246&amp;AE$2,$C$3:$F$4001,3,0))</f>
        <v>40445</v>
      </c>
      <c r="AF246" s="107">
        <f>IF(ISNA(VLOOKUP($R246&amp;AE$2,$C$3:$F$4001,4,0)),"",VLOOKUP($R246&amp;AE$2,$C$3:$F$4001,4,0))</f>
        <v>7.4999999999999997E-3</v>
      </c>
      <c r="AG246" s="106">
        <f>IF(ISNA(VLOOKUP($R246&amp;AG$2,$C$3:$F$4001,3,0)),"",VLOOKUP($R246&amp;AG$2,$C$3:$F$4001,3,0))</f>
        <v>40535</v>
      </c>
      <c r="AH246" s="107">
        <f>IF(ISNA(VLOOKUP($R246&amp;AG$2,$C$3:$F$4001,4,0)),"",VLOOKUP($R246&amp;AG$2,$C$3:$F$4001,4,0))</f>
        <v>7.4999999999999997E-3</v>
      </c>
      <c r="AI246" s="106">
        <f>IF(ISNA(VLOOKUP($R246&amp;AI$2,$C$3:$F$4001,3,0)),"",VLOOKUP($R246&amp;AI$2,$C$3:$F$4001,3,0))</f>
        <v>40627</v>
      </c>
      <c r="AJ246" s="107">
        <f>IF(ISNA(VLOOKUP($R246&amp;AI$2,$C$3:$F$4001,4,0)),"",VLOOKUP($R246&amp;AI$2,$C$3:$F$4001,4,0))</f>
        <v>7.4999999999999997E-3</v>
      </c>
      <c r="AK246" s="106">
        <f>IF(ISNA(VLOOKUP($R246&amp;AK$2,$C$3:$F$4001,3,0)),"",VLOOKUP($R246&amp;AK$2,$C$3:$F$4001,3,0))</f>
        <v>40718</v>
      </c>
      <c r="AL246" s="107">
        <f>IF(ISNA(VLOOKUP($R246&amp;AK$2,$C$3:$F$4001,4,0)),"",VLOOKUP($R246&amp;AK$2,$C$3:$F$4001,4,0))</f>
        <v>7.4999999999999997E-3</v>
      </c>
    </row>
    <row r="247" spans="3:38" x14ac:dyDescent="0.2">
      <c r="C247" s="96" t="str">
        <f t="shared" si="12"/>
        <v>BBG10</v>
      </c>
      <c r="D247" s="73" t="s">
        <v>88</v>
      </c>
      <c r="E247" s="100">
        <v>41541</v>
      </c>
      <c r="F247" s="101">
        <v>0.4</v>
      </c>
      <c r="G247" s="96">
        <f t="shared" si="13"/>
        <v>10</v>
      </c>
      <c r="I247" s="96"/>
      <c r="K247" t="str">
        <f t="shared" si="14"/>
        <v>BBG10</v>
      </c>
      <c r="L247" s="73" t="s">
        <v>88</v>
      </c>
      <c r="M247" s="72">
        <v>41541</v>
      </c>
      <c r="N247" s="84">
        <v>0.4</v>
      </c>
      <c r="O247" s="96">
        <f t="shared" si="15"/>
        <v>10</v>
      </c>
      <c r="P247" s="73"/>
      <c r="Q247" s="96"/>
      <c r="R247" s="96" t="str">
        <f>R246</f>
        <v>MOF</v>
      </c>
      <c r="S247" s="108">
        <f>IF(ISNA(VLOOKUP($R247&amp;S$2,$K$3:$N$4001,3,0)),"",VLOOKUP($R247&amp;S$2,$K$3:$N$4001,3,0))</f>
        <v>39897</v>
      </c>
      <c r="T247" s="109">
        <f>IF(ISNA(VLOOKUP($R247&amp;S$2,$K$3:$N$4001,4,0)),"",VLOOKUP($R247&amp;S$2,$K$3:$N$4001,4,0))</f>
        <v>7.4999999999999997E-3</v>
      </c>
      <c r="U247" s="108">
        <f>IF(ISNA(VLOOKUP($R247&amp;U$2,$K$3:$N$4001,3,0)),"",VLOOKUP($R247&amp;U$2,$K$3:$N$4001,3,0))</f>
        <v>39988</v>
      </c>
      <c r="V247" s="109">
        <f>IF(ISNA(VLOOKUP($R247&amp;U$2,$K$3:$N$4001,4,0)),"",VLOOKUP($R247&amp;U$2,$K$3:$N$4001,4,0))</f>
        <v>8.0000000000000002E-3</v>
      </c>
      <c r="W247" s="108">
        <f>IF(ISNA(VLOOKUP($R247&amp;W$2,$K$3:$N$4001,3,0)),"",VLOOKUP($R247&amp;W$2,$K$3:$N$4001,3,0))</f>
        <v>40080</v>
      </c>
      <c r="X247" s="109">
        <f>IF(ISNA(VLOOKUP($R247&amp;W$2,$K$3:$N$4001,4,0)),"",VLOOKUP($R247&amp;W$2,$K$3:$N$4001,4,0))</f>
        <v>7.4999999999999997E-3</v>
      </c>
      <c r="Y247" s="108">
        <f>IF(ISNA(VLOOKUP($R247&amp;Y$2,$K$3:$N$4001,3,0)),"",VLOOKUP($R247&amp;Y$2,$K$3:$N$4001,3,0))</f>
        <v>40170</v>
      </c>
      <c r="Z247" s="109">
        <f>IF(ISNA(VLOOKUP($R247&amp;Y$2,$K$3:$N$4001,4,0)),"",VLOOKUP($R247&amp;Y$2,$K$3:$N$4001,4,0))</f>
        <v>7.4999999999999997E-3</v>
      </c>
      <c r="AA247" s="108">
        <f>IF(ISNA(VLOOKUP($R247&amp;AA$2,$K$3:$N$4001,3,0)),"",VLOOKUP($R247&amp;AA$2,$K$3:$N$4001,3,0))</f>
        <v>40262</v>
      </c>
      <c r="AB247" s="109">
        <f>IF(ISNA(VLOOKUP($R247&amp;AA$2,$K$3:$N$4001,4,0)),"",VLOOKUP($R247&amp;AA$2,$K$3:$N$4001,4,0))</f>
        <v>7.4999999999999997E-3</v>
      </c>
      <c r="AC247" s="108">
        <f>IF(ISNA(VLOOKUP($R247&amp;AC$2,$K$3:$N$4001,3,0)),"",VLOOKUP($R247&amp;AC$2,$K$3:$N$4001,3,0))</f>
        <v>40353</v>
      </c>
      <c r="AD247" s="109">
        <f>IF(ISNA(VLOOKUP($R247&amp;AC$2,$K$3:$N$4001,4,0)),"",VLOOKUP($R247&amp;AC$2,$K$3:$N$4001,4,0))</f>
        <v>7.4999999999999997E-3</v>
      </c>
      <c r="AE247" s="108">
        <f>IF(ISNA(VLOOKUP($R247&amp;AE$2,$K$3:$N$4001,3,0)),"",VLOOKUP($R247&amp;AE$2,$K$3:$N$4001,3,0))</f>
        <v>40445</v>
      </c>
      <c r="AF247" s="109">
        <f>IF(ISNA(VLOOKUP($R247&amp;AE$2,$K$3:$N$4001,4,0)),"",VLOOKUP($R247&amp;AE$2,$K$3:$N$4001,4,0))</f>
        <v>7.4999999999999997E-3</v>
      </c>
      <c r="AG247" s="108">
        <f>IF(ISNA(VLOOKUP($R247&amp;AG$2,$K$3:$N$4001,3,0)),"",VLOOKUP($R247&amp;AG$2,$K$3:$N$4001,3,0))</f>
        <v>40535</v>
      </c>
      <c r="AH247" s="109">
        <f>IF(ISNA(VLOOKUP($R247&amp;AG$2,$K$3:$N$4001,4,0)),"",VLOOKUP($R247&amp;AG$2,$K$3:$N$4001,4,0))</f>
        <v>7.4999999999999997E-3</v>
      </c>
      <c r="AI247" s="108">
        <f>IF(ISNA(VLOOKUP($R247&amp;AI$2,$K$3:$N$4001,3,0)),"",VLOOKUP($R247&amp;AI$2,$K$3:$N$4001,3,0))</f>
        <v>40627</v>
      </c>
      <c r="AJ247" s="109">
        <f>IF(ISNA(VLOOKUP($R247&amp;AI$2,$K$3:$N$4001,4,0)),"",VLOOKUP($R247&amp;AI$2,$K$3:$N$4001,4,0))</f>
        <v>7.4999999999999997E-3</v>
      </c>
      <c r="AK247" s="108">
        <f>IF(ISNA(VLOOKUP($R247&amp;AK$2,$K$3:$N$4001,3,0)),"",VLOOKUP($R247&amp;AK$2,$K$3:$N$4001,3,0))</f>
        <v>40718</v>
      </c>
      <c r="AL247" s="109">
        <f>IF(ISNA(VLOOKUP($R247&amp;AK$2,$K$3:$N$4001,4,0)),"",VLOOKUP($R247&amp;AK$2,$K$3:$N$4001,4,0))</f>
        <v>7.4999999999999997E-3</v>
      </c>
    </row>
    <row r="248" spans="3:38" x14ac:dyDescent="0.2">
      <c r="C248" s="96" t="str">
        <f t="shared" si="12"/>
        <v>BBP1</v>
      </c>
      <c r="D248" s="73" t="s">
        <v>89</v>
      </c>
      <c r="E248" s="100">
        <v>40535</v>
      </c>
      <c r="F248" s="101">
        <v>1.55E-2</v>
      </c>
      <c r="G248" s="96">
        <f t="shared" si="13"/>
        <v>1</v>
      </c>
      <c r="I248" s="96"/>
      <c r="K248" t="str">
        <f t="shared" si="14"/>
        <v>BBP1</v>
      </c>
      <c r="L248" s="73" t="s">
        <v>89</v>
      </c>
      <c r="M248" s="72">
        <v>40535</v>
      </c>
      <c r="N248" s="84">
        <v>1.55E-2</v>
      </c>
      <c r="O248" s="96">
        <f t="shared" si="15"/>
        <v>1</v>
      </c>
      <c r="P248" s="73"/>
      <c r="Q248" s="96"/>
      <c r="R248" s="96" t="s">
        <v>177</v>
      </c>
      <c r="S248" s="106">
        <f>IF(ISNA(VLOOKUP($R248&amp;S$2,$C$3:$F$4001,3,0)),"",VLOOKUP($R248&amp;S$2,$C$3:$F$4001,3,0))</f>
        <v>39987</v>
      </c>
      <c r="T248" s="107">
        <f>IF(ISNA(VLOOKUP($R248&amp;S$2,$C$3:$F$4001,4,0)),"",VLOOKUP($R248&amp;S$2,$C$3:$F$4001,4,0))</f>
        <v>0.125</v>
      </c>
      <c r="U248" s="106">
        <f>IF(ISNA(VLOOKUP($R248&amp;U$2,$C$3:$F$4001,3,0)),"",VLOOKUP($R248&amp;U$2,$C$3:$F$4001,3,0))</f>
        <v>40157</v>
      </c>
      <c r="V248" s="107">
        <f>IF(ISNA(VLOOKUP($R248&amp;U$2,$C$3:$F$4001,4,0)),"",VLOOKUP($R248&amp;U$2,$C$3:$F$4001,4,0))</f>
        <v>0.11</v>
      </c>
      <c r="W248" s="106">
        <f>IF(ISNA(VLOOKUP($R248&amp;W$2,$C$3:$F$4001,3,0)),"",VLOOKUP($R248&amp;W$2,$C$3:$F$4001,3,0))</f>
        <v>40352</v>
      </c>
      <c r="X248" s="107">
        <f>IF(ISNA(VLOOKUP($R248&amp;W$2,$C$3:$F$4001,4,0)),"",VLOOKUP($R248&amp;W$2,$C$3:$F$4001,4,0))</f>
        <v>0.13500000000000001</v>
      </c>
      <c r="Y248" s="106">
        <f>IF(ISNA(VLOOKUP($R248&amp;Y$2,$C$3:$F$4001,3,0)),"",VLOOKUP($R248&amp;Y$2,$C$3:$F$4001,3,0))</f>
        <v>40522</v>
      </c>
      <c r="Z248" s="107">
        <f>IF(ISNA(VLOOKUP($R248&amp;Y$2,$C$3:$F$4001,4,0)),"",VLOOKUP($R248&amp;Y$2,$C$3:$F$4001,4,0))</f>
        <v>0.115</v>
      </c>
      <c r="AA248" s="106">
        <f>IF(ISNA(VLOOKUP($R248&amp;AA$2,$C$3:$F$4001,3,0)),"",VLOOKUP($R248&amp;AA$2,$C$3:$F$4001,3,0))</f>
        <v>40717</v>
      </c>
      <c r="AB248" s="107">
        <f>IF(ISNA(VLOOKUP($R248&amp;AA$2,$C$3:$F$4001,4,0)),"",VLOOKUP($R248&amp;AA$2,$C$3:$F$4001,4,0))</f>
        <v>0.14499999999999999</v>
      </c>
      <c r="AC248" s="106">
        <f>IF(ISNA(VLOOKUP($R248&amp;AC$2,$C$3:$F$4001,3,0)),"",VLOOKUP($R248&amp;AC$2,$C$3:$F$4001,3,0))</f>
        <v>40889</v>
      </c>
      <c r="AD248" s="107">
        <f>IF(ISNA(VLOOKUP($R248&amp;AC$2,$C$3:$F$4001,4,0)),"",VLOOKUP($R248&amp;AC$2,$C$3:$F$4001,4,0))</f>
        <v>0.13500000000000001</v>
      </c>
      <c r="AE248" s="106">
        <f>IF(ISNA(VLOOKUP($R248&amp;AE$2,$C$3:$F$4001,3,0)),"",VLOOKUP($R248&amp;AE$2,$C$3:$F$4001,3,0))</f>
        <v>41085</v>
      </c>
      <c r="AF248" s="107">
        <f>IF(ISNA(VLOOKUP($R248&amp;AE$2,$C$3:$F$4001,4,0)),"",VLOOKUP($R248&amp;AE$2,$C$3:$F$4001,4,0))</f>
        <v>0.155</v>
      </c>
      <c r="AG248" s="106">
        <f>IF(ISNA(VLOOKUP($R248&amp;AG$2,$C$3:$F$4001,3,0)),"",VLOOKUP($R248&amp;AG$2,$C$3:$F$4001,3,0))</f>
        <v>41254</v>
      </c>
      <c r="AH248" s="107">
        <f>IF(ISNA(VLOOKUP($R248&amp;AG$2,$C$3:$F$4001,4,0)),"",VLOOKUP($R248&amp;AG$2,$C$3:$F$4001,4,0))</f>
        <v>0.14000000000000001</v>
      </c>
      <c r="AI248" s="106">
        <f>IF(ISNA(VLOOKUP($R248&amp;AI$2,$C$3:$F$4001,3,0)),"",VLOOKUP($R248&amp;AI$2,$C$3:$F$4001,3,0))</f>
        <v>41450</v>
      </c>
      <c r="AJ248" s="107">
        <f>IF(ISNA(VLOOKUP($R248&amp;AI$2,$C$3:$F$4001,4,0)),"",VLOOKUP($R248&amp;AI$2,$C$3:$F$4001,4,0))</f>
        <v>0.16500000000000001</v>
      </c>
      <c r="AK248" s="106" t="str">
        <f>IF(ISNA(VLOOKUP($R248&amp;AK$2,$C$3:$F$4001,3,0)),"",VLOOKUP($R248&amp;AK$2,$C$3:$F$4001,3,0))</f>
        <v/>
      </c>
      <c r="AL248" s="107" t="str">
        <f>IF(ISNA(VLOOKUP($R248&amp;AK$2,$C$3:$F$4001,4,0)),"",VLOOKUP($R248&amp;AK$2,$C$3:$F$4001,4,0))</f>
        <v/>
      </c>
    </row>
    <row r="249" spans="3:38" x14ac:dyDescent="0.2">
      <c r="C249" s="96" t="str">
        <f t="shared" si="12"/>
        <v>BBP2</v>
      </c>
      <c r="D249" s="73" t="s">
        <v>89</v>
      </c>
      <c r="E249" s="100">
        <v>40718</v>
      </c>
      <c r="F249" s="101">
        <v>1.55E-2</v>
      </c>
      <c r="G249" s="96">
        <f t="shared" si="13"/>
        <v>2</v>
      </c>
      <c r="I249" s="96"/>
      <c r="K249" t="str">
        <f t="shared" si="14"/>
        <v>BBP2</v>
      </c>
      <c r="L249" s="73" t="s">
        <v>89</v>
      </c>
      <c r="M249" s="72">
        <v>40718</v>
      </c>
      <c r="N249" s="84">
        <v>1.55E-2</v>
      </c>
      <c r="O249" s="96">
        <f t="shared" si="15"/>
        <v>2</v>
      </c>
      <c r="P249" s="73"/>
      <c r="Q249" s="96"/>
      <c r="R249" s="96" t="str">
        <f>R248</f>
        <v>MTS</v>
      </c>
      <c r="S249" s="108">
        <f>IF(ISNA(VLOOKUP($R249&amp;S$2,$K$3:$N$4001,3,0)),"",VLOOKUP($R249&amp;S$2,$K$3:$N$4001,3,0))</f>
        <v>39987</v>
      </c>
      <c r="T249" s="109">
        <f>IF(ISNA(VLOOKUP($R249&amp;S$2,$K$3:$N$4001,4,0)),"",VLOOKUP($R249&amp;S$2,$K$3:$N$4001,4,0))</f>
        <v>0.125</v>
      </c>
      <c r="U249" s="108">
        <f>IF(ISNA(VLOOKUP($R249&amp;U$2,$K$3:$N$4001,3,0)),"",VLOOKUP($R249&amp;U$2,$K$3:$N$4001,3,0))</f>
        <v>40157</v>
      </c>
      <c r="V249" s="109">
        <f>IF(ISNA(VLOOKUP($R249&amp;U$2,$K$3:$N$4001,4,0)),"",VLOOKUP($R249&amp;U$2,$K$3:$N$4001,4,0))</f>
        <v>0.11</v>
      </c>
      <c r="W249" s="108">
        <f>IF(ISNA(VLOOKUP($R249&amp;W$2,$K$3:$N$4001,3,0)),"",VLOOKUP($R249&amp;W$2,$K$3:$N$4001,3,0))</f>
        <v>40352</v>
      </c>
      <c r="X249" s="109">
        <f>IF(ISNA(VLOOKUP($R249&amp;W$2,$K$3:$N$4001,4,0)),"",VLOOKUP($R249&amp;W$2,$K$3:$N$4001,4,0))</f>
        <v>0.13500000000000001</v>
      </c>
      <c r="Y249" s="108">
        <f>IF(ISNA(VLOOKUP($R249&amp;Y$2,$K$3:$N$4001,3,0)),"",VLOOKUP($R249&amp;Y$2,$K$3:$N$4001,3,0))</f>
        <v>40522</v>
      </c>
      <c r="Z249" s="109">
        <f>IF(ISNA(VLOOKUP($R249&amp;Y$2,$K$3:$N$4001,4,0)),"",VLOOKUP($R249&amp;Y$2,$K$3:$N$4001,4,0))</f>
        <v>0.115</v>
      </c>
      <c r="AA249" s="108">
        <f>IF(ISNA(VLOOKUP($R249&amp;AA$2,$K$3:$N$4001,3,0)),"",VLOOKUP($R249&amp;AA$2,$K$3:$N$4001,3,0))</f>
        <v>40717</v>
      </c>
      <c r="AB249" s="109">
        <f>IF(ISNA(VLOOKUP($R249&amp;AA$2,$K$3:$N$4001,4,0)),"",VLOOKUP($R249&amp;AA$2,$K$3:$N$4001,4,0))</f>
        <v>0.14499999999999999</v>
      </c>
      <c r="AC249" s="108">
        <f>IF(ISNA(VLOOKUP($R249&amp;AC$2,$K$3:$N$4001,3,0)),"",VLOOKUP($R249&amp;AC$2,$K$3:$N$4001,3,0))</f>
        <v>40889</v>
      </c>
      <c r="AD249" s="109">
        <f>IF(ISNA(VLOOKUP($R249&amp;AC$2,$K$3:$N$4001,4,0)),"",VLOOKUP($R249&amp;AC$2,$K$3:$N$4001,4,0))</f>
        <v>0.13500000000000001</v>
      </c>
      <c r="AE249" s="108">
        <f>IF(ISNA(VLOOKUP($R249&amp;AE$2,$K$3:$N$4001,3,0)),"",VLOOKUP($R249&amp;AE$2,$K$3:$N$4001,3,0))</f>
        <v>41085</v>
      </c>
      <c r="AF249" s="109">
        <f>IF(ISNA(VLOOKUP($R249&amp;AE$2,$K$3:$N$4001,4,0)),"",VLOOKUP($R249&amp;AE$2,$K$3:$N$4001,4,0))</f>
        <v>0.155</v>
      </c>
      <c r="AG249" s="108">
        <f>IF(ISNA(VLOOKUP($R249&amp;AG$2,$K$3:$N$4001,3,0)),"",VLOOKUP($R249&amp;AG$2,$K$3:$N$4001,3,0))</f>
        <v>41254</v>
      </c>
      <c r="AH249" s="109">
        <f>IF(ISNA(VLOOKUP($R249&amp;AG$2,$K$3:$N$4001,4,0)),"",VLOOKUP($R249&amp;AG$2,$K$3:$N$4001,4,0))</f>
        <v>0.14000000000000001</v>
      </c>
      <c r="AI249" s="108">
        <f>IF(ISNA(VLOOKUP($R249&amp;AI$2,$K$3:$N$4001,3,0)),"",VLOOKUP($R249&amp;AI$2,$K$3:$N$4001,3,0))</f>
        <v>41450</v>
      </c>
      <c r="AJ249" s="109">
        <f>IF(ISNA(VLOOKUP($R249&amp;AI$2,$K$3:$N$4001,4,0)),"",VLOOKUP($R249&amp;AI$2,$K$3:$N$4001,4,0))</f>
        <v>0.16500000000000001</v>
      </c>
      <c r="AK249" s="108" t="str">
        <f>IF(ISNA(VLOOKUP($R249&amp;AK$2,$K$3:$N$4001,3,0)),"",VLOOKUP($R249&amp;AK$2,$K$3:$N$4001,3,0))</f>
        <v/>
      </c>
      <c r="AL249" s="109" t="str">
        <f>IF(ISNA(VLOOKUP($R249&amp;AK$2,$K$3:$N$4001,4,0)),"",VLOOKUP($R249&amp;AK$2,$K$3:$N$4001,4,0))</f>
        <v/>
      </c>
    </row>
    <row r="250" spans="3:38" x14ac:dyDescent="0.2">
      <c r="C250" s="96" t="str">
        <f t="shared" si="12"/>
        <v>BBP3</v>
      </c>
      <c r="D250" s="73" t="s">
        <v>89</v>
      </c>
      <c r="E250" s="100">
        <v>40899</v>
      </c>
      <c r="F250" s="101">
        <v>1.9E-2</v>
      </c>
      <c r="G250" s="96">
        <f t="shared" si="13"/>
        <v>3</v>
      </c>
      <c r="I250" s="96"/>
      <c r="K250" t="str">
        <f t="shared" si="14"/>
        <v>BBP3</v>
      </c>
      <c r="L250" s="73" t="s">
        <v>89</v>
      </c>
      <c r="M250" s="72">
        <v>40899</v>
      </c>
      <c r="N250" s="84">
        <v>1.9E-2</v>
      </c>
      <c r="O250" s="96">
        <f t="shared" si="15"/>
        <v>3</v>
      </c>
      <c r="P250" s="73"/>
      <c r="Q250" s="96"/>
      <c r="R250" s="96" t="s">
        <v>270</v>
      </c>
      <c r="S250" s="106" t="str">
        <f>IF(ISNA(VLOOKUP($R250&amp;S$2,$C$3:$F$4001,3,0)),"",VLOOKUP($R250&amp;S$2,$C$3:$F$4001,3,0))</f>
        <v/>
      </c>
      <c r="T250" s="107" t="str">
        <f>IF(ISNA(VLOOKUP($R250&amp;S$2,$C$3:$F$4001,4,0)),"",VLOOKUP($R250&amp;S$2,$C$3:$F$4001,4,0))</f>
        <v/>
      </c>
      <c r="U250" s="106" t="str">
        <f>IF(ISNA(VLOOKUP($R250&amp;U$2,$C$3:$F$4001,3,0)),"",VLOOKUP($R250&amp;U$2,$C$3:$F$4001,3,0))</f>
        <v/>
      </c>
      <c r="V250" s="107" t="str">
        <f>IF(ISNA(VLOOKUP($R250&amp;U$2,$C$3:$F$4001,4,0)),"",VLOOKUP($R250&amp;U$2,$C$3:$F$4001,4,0))</f>
        <v/>
      </c>
      <c r="W250" s="106" t="str">
        <f>IF(ISNA(VLOOKUP($R250&amp;W$2,$C$3:$F$4001,3,0)),"",VLOOKUP($R250&amp;W$2,$C$3:$F$4001,3,0))</f>
        <v/>
      </c>
      <c r="X250" s="107" t="str">
        <f>IF(ISNA(VLOOKUP($R250&amp;W$2,$C$3:$F$4001,4,0)),"",VLOOKUP($R250&amp;W$2,$C$3:$F$4001,4,0))</f>
        <v/>
      </c>
      <c r="Y250" s="106" t="str">
        <f>IF(ISNA(VLOOKUP($R250&amp;Y$2,$C$3:$F$4001,3,0)),"",VLOOKUP($R250&amp;Y$2,$C$3:$F$4001,3,0))</f>
        <v/>
      </c>
      <c r="Z250" s="107" t="str">
        <f>IF(ISNA(VLOOKUP($R250&amp;Y$2,$C$3:$F$4001,4,0)),"",VLOOKUP($R250&amp;Y$2,$C$3:$F$4001,4,0))</f>
        <v/>
      </c>
      <c r="AA250" s="106" t="str">
        <f>IF(ISNA(VLOOKUP($R250&amp;AA$2,$C$3:$F$4001,3,0)),"",VLOOKUP($R250&amp;AA$2,$C$3:$F$4001,3,0))</f>
        <v/>
      </c>
      <c r="AB250" s="107" t="str">
        <f>IF(ISNA(VLOOKUP($R250&amp;AA$2,$C$3:$F$4001,4,0)),"",VLOOKUP($R250&amp;AA$2,$C$3:$F$4001,4,0))</f>
        <v/>
      </c>
      <c r="AC250" s="106" t="str">
        <f>IF(ISNA(VLOOKUP($R250&amp;AC$2,$C$3:$F$4001,3,0)),"",VLOOKUP($R250&amp;AC$2,$C$3:$F$4001,3,0))</f>
        <v/>
      </c>
      <c r="AD250" s="107" t="str">
        <f>IF(ISNA(VLOOKUP($R250&amp;AC$2,$C$3:$F$4001,4,0)),"",VLOOKUP($R250&amp;AC$2,$C$3:$F$4001,4,0))</f>
        <v/>
      </c>
      <c r="AE250" s="106" t="str">
        <f>IF(ISNA(VLOOKUP($R250&amp;AE$2,$C$3:$F$4001,3,0)),"",VLOOKUP($R250&amp;AE$2,$C$3:$F$4001,3,0))</f>
        <v/>
      </c>
      <c r="AF250" s="107" t="str">
        <f>IF(ISNA(VLOOKUP($R250&amp;AE$2,$C$3:$F$4001,4,0)),"",VLOOKUP($R250&amp;AE$2,$C$3:$F$4001,4,0))</f>
        <v/>
      </c>
      <c r="AG250" s="106" t="str">
        <f>IF(ISNA(VLOOKUP($R250&amp;AG$2,$C$3:$F$4001,3,0)),"",VLOOKUP($R250&amp;AG$2,$C$3:$F$4001,3,0))</f>
        <v/>
      </c>
      <c r="AH250" s="107" t="str">
        <f>IF(ISNA(VLOOKUP($R250&amp;AG$2,$C$3:$F$4001,4,0)),"",VLOOKUP($R250&amp;AG$2,$C$3:$F$4001,4,0))</f>
        <v/>
      </c>
      <c r="AI250" s="106" t="str">
        <f>IF(ISNA(VLOOKUP($R250&amp;AI$2,$C$3:$F$4001,3,0)),"",VLOOKUP($R250&amp;AI$2,$C$3:$F$4001,3,0))</f>
        <v/>
      </c>
      <c r="AJ250" s="107" t="str">
        <f>IF(ISNA(VLOOKUP($R250&amp;AI$2,$C$3:$F$4001,4,0)),"",VLOOKUP($R250&amp;AI$2,$C$3:$F$4001,4,0))</f>
        <v/>
      </c>
      <c r="AK250" s="106" t="str">
        <f>IF(ISNA(VLOOKUP($R250&amp;AK$2,$C$3:$F$4001,3,0)),"",VLOOKUP($R250&amp;AK$2,$C$3:$F$4001,3,0))</f>
        <v/>
      </c>
      <c r="AL250" s="107" t="str">
        <f>IF(ISNA(VLOOKUP($R250&amp;AK$2,$C$3:$F$4001,4,0)),"",VLOOKUP($R250&amp;AK$2,$C$3:$F$4001,4,0))</f>
        <v/>
      </c>
    </row>
    <row r="251" spans="3:38" x14ac:dyDescent="0.2">
      <c r="C251" s="96" t="str">
        <f t="shared" si="12"/>
        <v>BBP4</v>
      </c>
      <c r="D251" s="73" t="s">
        <v>89</v>
      </c>
      <c r="E251" s="100">
        <v>41085</v>
      </c>
      <c r="F251" s="101">
        <v>1.9E-2</v>
      </c>
      <c r="G251" s="96">
        <f t="shared" si="13"/>
        <v>4</v>
      </c>
      <c r="I251" s="96"/>
      <c r="K251" t="str">
        <f t="shared" si="14"/>
        <v>BBP4</v>
      </c>
      <c r="L251" s="73" t="s">
        <v>89</v>
      </c>
      <c r="M251" s="72">
        <v>41085</v>
      </c>
      <c r="N251" s="84">
        <v>1.9E-2</v>
      </c>
      <c r="O251" s="96">
        <f t="shared" si="15"/>
        <v>4</v>
      </c>
      <c r="P251" s="73"/>
      <c r="Q251" s="96"/>
      <c r="R251" s="96" t="str">
        <f>R250</f>
        <v>MRE</v>
      </c>
      <c r="S251" s="108" t="str">
        <f>IF(ISNA(VLOOKUP($R251&amp;S$2,$K$3:$N$4001,3,0)),"",VLOOKUP($R251&amp;S$2,$K$3:$N$4001,3,0))</f>
        <v/>
      </c>
      <c r="T251" s="109" t="str">
        <f>IF(ISNA(VLOOKUP($R251&amp;S$2,$K$3:$N$4001,4,0)),"",VLOOKUP($R251&amp;S$2,$K$3:$N$4001,4,0))</f>
        <v/>
      </c>
      <c r="U251" s="108" t="str">
        <f>IF(ISNA(VLOOKUP($R251&amp;U$2,$K$3:$N$4001,3,0)),"",VLOOKUP($R251&amp;U$2,$K$3:$N$4001,3,0))</f>
        <v/>
      </c>
      <c r="V251" s="109" t="str">
        <f>IF(ISNA(VLOOKUP($R251&amp;U$2,$K$3:$N$4001,4,0)),"",VLOOKUP($R251&amp;U$2,$K$3:$N$4001,4,0))</f>
        <v/>
      </c>
      <c r="W251" s="108" t="str">
        <f>IF(ISNA(VLOOKUP($R251&amp;W$2,$K$3:$N$4001,3,0)),"",VLOOKUP($R251&amp;W$2,$K$3:$N$4001,3,0))</f>
        <v/>
      </c>
      <c r="X251" s="109" t="str">
        <f>IF(ISNA(VLOOKUP($R251&amp;W$2,$K$3:$N$4001,4,0)),"",VLOOKUP($R251&amp;W$2,$K$3:$N$4001,4,0))</f>
        <v/>
      </c>
      <c r="Y251" s="108" t="str">
        <f>IF(ISNA(VLOOKUP($R251&amp;Y$2,$K$3:$N$4001,3,0)),"",VLOOKUP($R251&amp;Y$2,$K$3:$N$4001,3,0))</f>
        <v/>
      </c>
      <c r="Z251" s="109" t="str">
        <f>IF(ISNA(VLOOKUP($R251&amp;Y$2,$K$3:$N$4001,4,0)),"",VLOOKUP($R251&amp;Y$2,$K$3:$N$4001,4,0))</f>
        <v/>
      </c>
      <c r="AA251" s="108" t="str">
        <f>IF(ISNA(VLOOKUP($R251&amp;AA$2,$K$3:$N$4001,3,0)),"",VLOOKUP($R251&amp;AA$2,$K$3:$N$4001,3,0))</f>
        <v/>
      </c>
      <c r="AB251" s="109" t="str">
        <f>IF(ISNA(VLOOKUP($R251&amp;AA$2,$K$3:$N$4001,4,0)),"",VLOOKUP($R251&amp;AA$2,$K$3:$N$4001,4,0))</f>
        <v/>
      </c>
      <c r="AC251" s="108" t="str">
        <f>IF(ISNA(VLOOKUP($R251&amp;AC$2,$K$3:$N$4001,3,0)),"",VLOOKUP($R251&amp;AC$2,$K$3:$N$4001,3,0))</f>
        <v/>
      </c>
      <c r="AD251" s="109" t="str">
        <f>IF(ISNA(VLOOKUP($R251&amp;AC$2,$K$3:$N$4001,4,0)),"",VLOOKUP($R251&amp;AC$2,$K$3:$N$4001,4,0))</f>
        <v/>
      </c>
      <c r="AE251" s="108" t="str">
        <f>IF(ISNA(VLOOKUP($R251&amp;AE$2,$K$3:$N$4001,3,0)),"",VLOOKUP($R251&amp;AE$2,$K$3:$N$4001,3,0))</f>
        <v/>
      </c>
      <c r="AF251" s="109" t="str">
        <f>IF(ISNA(VLOOKUP($R251&amp;AE$2,$K$3:$N$4001,4,0)),"",VLOOKUP($R251&amp;AE$2,$K$3:$N$4001,4,0))</f>
        <v/>
      </c>
      <c r="AG251" s="108" t="str">
        <f>IF(ISNA(VLOOKUP($R251&amp;AG$2,$K$3:$N$4001,3,0)),"",VLOOKUP($R251&amp;AG$2,$K$3:$N$4001,3,0))</f>
        <v/>
      </c>
      <c r="AH251" s="109" t="str">
        <f>IF(ISNA(VLOOKUP($R251&amp;AG$2,$K$3:$N$4001,4,0)),"",VLOOKUP($R251&amp;AG$2,$K$3:$N$4001,4,0))</f>
        <v/>
      </c>
      <c r="AI251" s="108" t="str">
        <f>IF(ISNA(VLOOKUP($R251&amp;AI$2,$K$3:$N$4001,3,0)),"",VLOOKUP($R251&amp;AI$2,$K$3:$N$4001,3,0))</f>
        <v/>
      </c>
      <c r="AJ251" s="109" t="str">
        <f>IF(ISNA(VLOOKUP($R251&amp;AI$2,$K$3:$N$4001,4,0)),"",VLOOKUP($R251&amp;AI$2,$K$3:$N$4001,4,0))</f>
        <v/>
      </c>
      <c r="AK251" s="108" t="str">
        <f>IF(ISNA(VLOOKUP($R251&amp;AK$2,$K$3:$N$4001,3,0)),"",VLOOKUP($R251&amp;AK$2,$K$3:$N$4001,3,0))</f>
        <v/>
      </c>
      <c r="AL251" s="109" t="str">
        <f>IF(ISNA(VLOOKUP($R251&amp;AK$2,$K$3:$N$4001,4,0)),"",VLOOKUP($R251&amp;AK$2,$K$3:$N$4001,4,0))</f>
        <v/>
      </c>
    </row>
    <row r="252" spans="3:38" x14ac:dyDescent="0.2">
      <c r="C252" s="96" t="str">
        <f t="shared" si="12"/>
        <v>BBP5</v>
      </c>
      <c r="D252" s="73" t="s">
        <v>89</v>
      </c>
      <c r="E252" s="100">
        <v>41268</v>
      </c>
      <c r="F252" s="101">
        <v>5.2000000000000005E-2</v>
      </c>
      <c r="G252" s="96">
        <f t="shared" si="13"/>
        <v>5</v>
      </c>
      <c r="I252" s="96"/>
      <c r="K252" t="str">
        <f t="shared" si="14"/>
        <v>BBP5</v>
      </c>
      <c r="L252" s="73" t="s">
        <v>89</v>
      </c>
      <c r="M252" s="72">
        <v>41268</v>
      </c>
      <c r="N252" s="84">
        <v>5.2000000000000005E-2</v>
      </c>
      <c r="O252" s="96">
        <f t="shared" si="15"/>
        <v>5</v>
      </c>
      <c r="P252" s="73"/>
      <c r="Q252" s="96"/>
      <c r="R252" s="96" t="s">
        <v>168</v>
      </c>
      <c r="S252" s="106">
        <f>IF(ISNA(VLOOKUP($R252&amp;S$2,$C$3:$F$4001,3,0)),"",VLOOKUP($R252&amp;S$2,$C$3:$F$4001,3,0))</f>
        <v>39868</v>
      </c>
      <c r="T252" s="107">
        <f>IF(ISNA(VLOOKUP($R252&amp;S$2,$C$3:$F$4001,4,0)),"",VLOOKUP($R252&amp;S$2,$C$3:$F$4001,4,0))</f>
        <v>0.06</v>
      </c>
      <c r="U252" s="106">
        <f>IF(ISNA(VLOOKUP($R252&amp;U$2,$C$3:$F$4001,3,0)),"",VLOOKUP($R252&amp;U$2,$C$3:$F$4001,3,0))</f>
        <v>40051</v>
      </c>
      <c r="V252" s="107">
        <f>IF(ISNA(VLOOKUP($R252&amp;U$2,$C$3:$F$4001,4,0)),"",VLOOKUP($R252&amp;U$2,$C$3:$F$4001,4,0))</f>
        <v>0.06</v>
      </c>
      <c r="W252" s="106">
        <f>IF(ISNA(VLOOKUP($R252&amp;W$2,$C$3:$F$4001,3,0)),"",VLOOKUP($R252&amp;W$2,$C$3:$F$4001,3,0))</f>
        <v>40233</v>
      </c>
      <c r="X252" s="107">
        <f>IF(ISNA(VLOOKUP($R252&amp;W$2,$C$3:$F$4001,4,0)),"",VLOOKUP($R252&amp;W$2,$C$3:$F$4001,4,0))</f>
        <v>0.01</v>
      </c>
      <c r="Y252" s="106">
        <f>IF(ISNA(VLOOKUP($R252&amp;Y$2,$C$3:$F$4001,3,0)),"",VLOOKUP($R252&amp;Y$2,$C$3:$F$4001,3,0))</f>
        <v>40416</v>
      </c>
      <c r="Z252" s="107">
        <f>IF(ISNA(VLOOKUP($R252&amp;Y$2,$C$3:$F$4001,4,0)),"",VLOOKUP($R252&amp;Y$2,$C$3:$F$4001,4,0))</f>
        <v>0.01</v>
      </c>
      <c r="AA252" s="106">
        <f>IF(ISNA(VLOOKUP($R252&amp;AA$2,$C$3:$F$4001,3,0)),"",VLOOKUP($R252&amp;AA$2,$C$3:$F$4001,3,0))</f>
        <v>40598</v>
      </c>
      <c r="AB252" s="107">
        <f>IF(ISNA(VLOOKUP($R252&amp;AA$2,$C$3:$F$4001,4,0)),"",VLOOKUP($R252&amp;AA$2,$C$3:$F$4001,4,0))</f>
        <v>6.6000000000000003E-2</v>
      </c>
      <c r="AC252" s="106">
        <f>IF(ISNA(VLOOKUP($R252&amp;AC$2,$C$3:$F$4001,3,0)),"",VLOOKUP($R252&amp;AC$2,$C$3:$F$4001,3,0))</f>
        <v>40781</v>
      </c>
      <c r="AD252" s="107">
        <f>IF(ISNA(VLOOKUP($R252&amp;AC$2,$C$3:$F$4001,4,0)),"",VLOOKUP($R252&amp;AC$2,$C$3:$F$4001,4,0))</f>
        <v>6.6000000000000003E-2</v>
      </c>
      <c r="AE252" s="106">
        <f>IF(ISNA(VLOOKUP($R252&amp;AE$2,$C$3:$F$4001,3,0)),"",VLOOKUP($R252&amp;AE$2,$C$3:$F$4001,3,0))</f>
        <v>40966</v>
      </c>
      <c r="AF252" s="107">
        <f>IF(ISNA(VLOOKUP($R252&amp;AE$2,$C$3:$F$4001,4,0)),"",VLOOKUP($R252&amp;AE$2,$C$3:$F$4001,4,0))</f>
        <v>6.8000000000000005E-2</v>
      </c>
      <c r="AG252" s="106">
        <f>IF(ISNA(VLOOKUP($R252&amp;AG$2,$C$3:$F$4001,3,0)),"",VLOOKUP($R252&amp;AG$2,$C$3:$F$4001,3,0))</f>
        <v>41149</v>
      </c>
      <c r="AH252" s="107">
        <f>IF(ISNA(VLOOKUP($R252&amp;AG$2,$C$3:$F$4001,4,0)),"",VLOOKUP($R252&amp;AG$2,$C$3:$F$4001,4,0))</f>
        <v>6.8000000000000005E-2</v>
      </c>
      <c r="AI252" s="106">
        <f>IF(ISNA(VLOOKUP($R252&amp;AI$2,$C$3:$F$4001,3,0)),"",VLOOKUP($R252&amp;AI$2,$C$3:$F$4001,3,0))</f>
        <v>41331</v>
      </c>
      <c r="AJ252" s="107">
        <f>IF(ISNA(VLOOKUP($R252&amp;AI$2,$C$3:$F$4001,4,0)),"",VLOOKUP($R252&amp;AI$2,$C$3:$F$4001,4,0))</f>
        <v>0.02</v>
      </c>
      <c r="AK252" s="106">
        <f>IF(ISNA(VLOOKUP($R252&amp;AK$2,$C$3:$F$4001,3,0)),"",VLOOKUP($R252&amp;AK$2,$C$3:$F$4001,3,0))</f>
        <v>41514</v>
      </c>
      <c r="AL252" s="107">
        <f>IF(ISNA(VLOOKUP($R252&amp;AK$2,$C$3:$F$4001,4,0)),"",VLOOKUP($R252&amp;AK$2,$C$3:$F$4001,4,0))</f>
        <v>0.02</v>
      </c>
    </row>
    <row r="253" spans="3:38" x14ac:dyDescent="0.2">
      <c r="C253" s="96" t="str">
        <f t="shared" si="12"/>
        <v>BBP6</v>
      </c>
      <c r="D253" s="73" t="s">
        <v>89</v>
      </c>
      <c r="E253" s="100">
        <v>41450</v>
      </c>
      <c r="F253" s="101">
        <v>5.2000000000000005E-2</v>
      </c>
      <c r="G253" s="96">
        <f t="shared" si="13"/>
        <v>6</v>
      </c>
      <c r="I253" s="96"/>
      <c r="K253" t="str">
        <f t="shared" si="14"/>
        <v>BBP6</v>
      </c>
      <c r="L253" s="73" t="s">
        <v>89</v>
      </c>
      <c r="M253" s="72">
        <v>41450</v>
      </c>
      <c r="N253" s="84">
        <v>5.2000000000000005E-2</v>
      </c>
      <c r="O253" s="96">
        <f t="shared" si="15"/>
        <v>6</v>
      </c>
      <c r="P253" s="73"/>
      <c r="Q253" s="96"/>
      <c r="R253" s="96" t="str">
        <f>R252</f>
        <v>MCR</v>
      </c>
      <c r="S253" s="108">
        <f>IF(ISNA(VLOOKUP($R253&amp;S$2,$K$3:$N$4001,3,0)),"",VLOOKUP($R253&amp;S$2,$K$3:$N$4001,3,0))</f>
        <v>39868</v>
      </c>
      <c r="T253" s="109">
        <f>IF(ISNA(VLOOKUP($R253&amp;S$2,$K$3:$N$4001,4,0)),"",VLOOKUP($R253&amp;S$2,$K$3:$N$4001,4,0))</f>
        <v>0.06</v>
      </c>
      <c r="U253" s="108">
        <f>IF(ISNA(VLOOKUP($R253&amp;U$2,$K$3:$N$4001,3,0)),"",VLOOKUP($R253&amp;U$2,$K$3:$N$4001,3,0))</f>
        <v>40051</v>
      </c>
      <c r="V253" s="109">
        <f>IF(ISNA(VLOOKUP($R253&amp;U$2,$K$3:$N$4001,4,0)),"",VLOOKUP($R253&amp;U$2,$K$3:$N$4001,4,0))</f>
        <v>0.06</v>
      </c>
      <c r="W253" s="108">
        <f>IF(ISNA(VLOOKUP($R253&amp;W$2,$K$3:$N$4001,3,0)),"",VLOOKUP($R253&amp;W$2,$K$3:$N$4001,3,0))</f>
        <v>40233</v>
      </c>
      <c r="X253" s="109">
        <f>IF(ISNA(VLOOKUP($R253&amp;W$2,$K$3:$N$4001,4,0)),"",VLOOKUP($R253&amp;W$2,$K$3:$N$4001,4,0))</f>
        <v>0.01</v>
      </c>
      <c r="Y253" s="108">
        <f>IF(ISNA(VLOOKUP($R253&amp;Y$2,$K$3:$N$4001,3,0)),"",VLOOKUP($R253&amp;Y$2,$K$3:$N$4001,3,0))</f>
        <v>40416</v>
      </c>
      <c r="Z253" s="109">
        <f>IF(ISNA(VLOOKUP($R253&amp;Y$2,$K$3:$N$4001,4,0)),"",VLOOKUP($R253&amp;Y$2,$K$3:$N$4001,4,0))</f>
        <v>0.01</v>
      </c>
      <c r="AA253" s="108">
        <f>IF(ISNA(VLOOKUP($R253&amp;AA$2,$K$3:$N$4001,3,0)),"",VLOOKUP($R253&amp;AA$2,$K$3:$N$4001,3,0))</f>
        <v>40598</v>
      </c>
      <c r="AB253" s="109">
        <f>IF(ISNA(VLOOKUP($R253&amp;AA$2,$K$3:$N$4001,4,0)),"",VLOOKUP($R253&amp;AA$2,$K$3:$N$4001,4,0))</f>
        <v>6.6000000000000003E-2</v>
      </c>
      <c r="AC253" s="108">
        <f>IF(ISNA(VLOOKUP($R253&amp;AC$2,$K$3:$N$4001,3,0)),"",VLOOKUP($R253&amp;AC$2,$K$3:$N$4001,3,0))</f>
        <v>40781</v>
      </c>
      <c r="AD253" s="109">
        <f>IF(ISNA(VLOOKUP($R253&amp;AC$2,$K$3:$N$4001,4,0)),"",VLOOKUP($R253&amp;AC$2,$K$3:$N$4001,4,0))</f>
        <v>6.6000000000000003E-2</v>
      </c>
      <c r="AE253" s="108">
        <f>IF(ISNA(VLOOKUP($R253&amp;AE$2,$K$3:$N$4001,3,0)),"",VLOOKUP($R253&amp;AE$2,$K$3:$N$4001,3,0))</f>
        <v>40966</v>
      </c>
      <c r="AF253" s="109">
        <f>IF(ISNA(VLOOKUP($R253&amp;AE$2,$K$3:$N$4001,4,0)),"",VLOOKUP($R253&amp;AE$2,$K$3:$N$4001,4,0))</f>
        <v>6.8000000000000005E-2</v>
      </c>
      <c r="AG253" s="108">
        <f>IF(ISNA(VLOOKUP($R253&amp;AG$2,$K$3:$N$4001,3,0)),"",VLOOKUP($R253&amp;AG$2,$K$3:$N$4001,3,0))</f>
        <v>41149</v>
      </c>
      <c r="AH253" s="109">
        <f>IF(ISNA(VLOOKUP($R253&amp;AG$2,$K$3:$N$4001,4,0)),"",VLOOKUP($R253&amp;AG$2,$K$3:$N$4001,4,0))</f>
        <v>6.8000000000000005E-2</v>
      </c>
      <c r="AI253" s="108">
        <f>IF(ISNA(VLOOKUP($R253&amp;AI$2,$K$3:$N$4001,3,0)),"",VLOOKUP($R253&amp;AI$2,$K$3:$N$4001,3,0))</f>
        <v>41331</v>
      </c>
      <c r="AJ253" s="109">
        <f>IF(ISNA(VLOOKUP($R253&amp;AI$2,$K$3:$N$4001,4,0)),"",VLOOKUP($R253&amp;AI$2,$K$3:$N$4001,4,0))</f>
        <v>0.02</v>
      </c>
      <c r="AK253" s="108">
        <f>IF(ISNA(VLOOKUP($R253&amp;AK$2,$K$3:$N$4001,3,0)),"",VLOOKUP($R253&amp;AK$2,$K$3:$N$4001,3,0))</f>
        <v>41514</v>
      </c>
      <c r="AL253" s="109">
        <f>IF(ISNA(VLOOKUP($R253&amp;AK$2,$K$3:$N$4001,4,0)),"",VLOOKUP($R253&amp;AK$2,$K$3:$N$4001,4,0))</f>
        <v>0.02</v>
      </c>
    </row>
    <row r="254" spans="3:38" x14ac:dyDescent="0.2">
      <c r="C254" s="96" t="str">
        <f t="shared" si="12"/>
        <v>BBW1</v>
      </c>
      <c r="D254" s="73" t="s">
        <v>90</v>
      </c>
      <c r="E254" s="100">
        <v>39988</v>
      </c>
      <c r="F254" s="101">
        <v>4.4999999999999998E-2</v>
      </c>
      <c r="G254" s="96">
        <f t="shared" si="13"/>
        <v>1</v>
      </c>
      <c r="I254" s="96"/>
      <c r="K254" t="str">
        <f t="shared" si="14"/>
        <v>BBW1</v>
      </c>
      <c r="L254" s="73" t="s">
        <v>90</v>
      </c>
      <c r="M254" s="72">
        <v>39988</v>
      </c>
      <c r="N254" s="84">
        <v>4.4999999999999998E-2</v>
      </c>
      <c r="O254" s="96">
        <f t="shared" si="15"/>
        <v>1</v>
      </c>
      <c r="P254" s="73"/>
      <c r="Q254" s="96"/>
      <c r="R254" s="96" t="s">
        <v>171</v>
      </c>
      <c r="S254" s="106">
        <f>IF(ISNA(VLOOKUP($R254&amp;S$2,$C$3:$F$4001,3,0)),"",VLOOKUP($R254&amp;S$2,$C$3:$F$4001,3,0))</f>
        <v>39897</v>
      </c>
      <c r="T254" s="107">
        <f>IF(ISNA(VLOOKUP($R254&amp;S$2,$C$3:$F$4001,4,0)),"",VLOOKUP($R254&amp;S$2,$C$3:$F$4001,4,0))</f>
        <v>2.7999999999999997E-2</v>
      </c>
      <c r="U254" s="106">
        <f>IF(ISNA(VLOOKUP($R254&amp;U$2,$C$3:$F$4001,3,0)),"",VLOOKUP($R254&amp;U$2,$C$3:$F$4001,3,0))</f>
        <v>39988</v>
      </c>
      <c r="V254" s="107">
        <f>IF(ISNA(VLOOKUP($R254&amp;U$2,$C$3:$F$4001,4,0)),"",VLOOKUP($R254&amp;U$2,$C$3:$F$4001,4,0))</f>
        <v>2.7999999999999997E-2</v>
      </c>
      <c r="W254" s="106">
        <f>IF(ISNA(VLOOKUP($R254&amp;W$2,$C$3:$F$4001,3,0)),"",VLOOKUP($R254&amp;W$2,$C$3:$F$4001,3,0))</f>
        <v>40080</v>
      </c>
      <c r="X254" s="107">
        <f>IF(ISNA(VLOOKUP($R254&amp;W$2,$C$3:$F$4001,4,0)),"",VLOOKUP($R254&amp;W$2,$C$3:$F$4001,4,0))</f>
        <v>3.4000000000000002E-2</v>
      </c>
      <c r="Y254" s="106">
        <f>IF(ISNA(VLOOKUP($R254&amp;Y$2,$C$3:$F$4001,3,0)),"",VLOOKUP($R254&amp;Y$2,$C$3:$F$4001,3,0))</f>
        <v>40170</v>
      </c>
      <c r="Z254" s="107">
        <f>IF(ISNA(VLOOKUP($R254&amp;Y$2,$C$3:$F$4001,4,0)),"",VLOOKUP($R254&amp;Y$2,$C$3:$F$4001,4,0))</f>
        <v>3.4000000000000002E-2</v>
      </c>
      <c r="AA254" s="106">
        <f>IF(ISNA(VLOOKUP($R254&amp;AA$2,$C$3:$F$4001,3,0)),"",VLOOKUP($R254&amp;AA$2,$C$3:$F$4001,3,0))</f>
        <v>40262</v>
      </c>
      <c r="AB254" s="107">
        <f>IF(ISNA(VLOOKUP($R254&amp;AA$2,$C$3:$F$4001,4,0)),"",VLOOKUP($R254&amp;AA$2,$C$3:$F$4001,4,0))</f>
        <v>3.5000000000000003E-2</v>
      </c>
      <c r="AC254" s="106">
        <f>IF(ISNA(VLOOKUP($R254&amp;AC$2,$C$3:$F$4001,3,0)),"",VLOOKUP($R254&amp;AC$2,$C$3:$F$4001,3,0))</f>
        <v>40353</v>
      </c>
      <c r="AD254" s="107">
        <f>IF(ISNA(VLOOKUP($R254&amp;AC$2,$C$3:$F$4001,4,0)),"",VLOOKUP($R254&amp;AC$2,$C$3:$F$4001,4,0))</f>
        <v>3.5000000000000003E-2</v>
      </c>
      <c r="AE254" s="106">
        <f>IF(ISNA(VLOOKUP($R254&amp;AE$2,$C$3:$F$4001,3,0)),"",VLOOKUP($R254&amp;AE$2,$C$3:$F$4001,3,0))</f>
        <v>40445</v>
      </c>
      <c r="AF254" s="107">
        <f>IF(ISNA(VLOOKUP($R254&amp;AE$2,$C$3:$F$4001,4,0)),"",VLOOKUP($R254&amp;AE$2,$C$3:$F$4001,4,0))</f>
        <v>3.5000000000000003E-2</v>
      </c>
      <c r="AG254" s="106">
        <f>IF(ISNA(VLOOKUP($R254&amp;AG$2,$C$3:$F$4001,3,0)),"",VLOOKUP($R254&amp;AG$2,$C$3:$F$4001,3,0))</f>
        <v>40535</v>
      </c>
      <c r="AH254" s="107">
        <f>IF(ISNA(VLOOKUP($R254&amp;AG$2,$C$3:$F$4001,4,0)),"",VLOOKUP($R254&amp;AG$2,$C$3:$F$4001,4,0))</f>
        <v>3.5000000000000003E-2</v>
      </c>
      <c r="AI254" s="106">
        <f>IF(ISNA(VLOOKUP($R254&amp;AI$2,$C$3:$F$4001,3,0)),"",VLOOKUP($R254&amp;AI$2,$C$3:$F$4001,3,0))</f>
        <v>40627</v>
      </c>
      <c r="AJ254" s="107">
        <f>IF(ISNA(VLOOKUP($R254&amp;AI$2,$C$3:$F$4001,4,0)),"",VLOOKUP($R254&amp;AI$2,$C$3:$F$4001,4,0))</f>
        <v>3.5000000000000003E-2</v>
      </c>
      <c r="AK254" s="106">
        <f>IF(ISNA(VLOOKUP($R254&amp;AK$2,$C$3:$F$4001,3,0)),"",VLOOKUP($R254&amp;AK$2,$C$3:$F$4001,3,0))</f>
        <v>40718</v>
      </c>
      <c r="AL254" s="107">
        <f>IF(ISNA(VLOOKUP($R254&amp;AK$2,$C$3:$F$4001,4,0)),"",VLOOKUP($R254&amp;AK$2,$C$3:$F$4001,4,0))</f>
        <v>3.5000000000000003E-2</v>
      </c>
    </row>
    <row r="255" spans="3:38" x14ac:dyDescent="0.2">
      <c r="C255" s="96" t="str">
        <f t="shared" si="12"/>
        <v>BBW2</v>
      </c>
      <c r="D255" s="73" t="s">
        <v>90</v>
      </c>
      <c r="E255" s="100">
        <v>40170</v>
      </c>
      <c r="F255" s="101">
        <v>4.7500000000000001E-2</v>
      </c>
      <c r="G255" s="96">
        <f t="shared" si="13"/>
        <v>2</v>
      </c>
      <c r="I255" s="96"/>
      <c r="K255" t="str">
        <f t="shared" si="14"/>
        <v>BBW2</v>
      </c>
      <c r="L255" s="73" t="s">
        <v>90</v>
      </c>
      <c r="M255" s="72">
        <v>40170</v>
      </c>
      <c r="N255" s="84">
        <v>4.7500000000000001E-2</v>
      </c>
      <c r="O255" s="96">
        <f t="shared" si="15"/>
        <v>2</v>
      </c>
      <c r="P255" s="73"/>
      <c r="Q255" s="96"/>
      <c r="R255" s="96" t="str">
        <f>R254</f>
        <v>MGR</v>
      </c>
      <c r="S255" s="108">
        <f>IF(ISNA(VLOOKUP($R255&amp;S$2,$K$3:$N$4001,3,0)),"",VLOOKUP($R255&amp;S$2,$K$3:$N$4001,3,0))</f>
        <v>39897</v>
      </c>
      <c r="T255" s="109">
        <f>IF(ISNA(VLOOKUP($R255&amp;S$2,$K$3:$N$4001,4,0)),"",VLOOKUP($R255&amp;S$2,$K$3:$N$4001,4,0))</f>
        <v>2.7999999999999997E-2</v>
      </c>
      <c r="U255" s="108">
        <f>IF(ISNA(VLOOKUP($R255&amp;U$2,$K$3:$N$4001,3,0)),"",VLOOKUP($R255&amp;U$2,$K$3:$N$4001,3,0))</f>
        <v>39988</v>
      </c>
      <c r="V255" s="109">
        <f>IF(ISNA(VLOOKUP($R255&amp;U$2,$K$3:$N$4001,4,0)),"",VLOOKUP($R255&amp;U$2,$K$3:$N$4001,4,0))</f>
        <v>2.7999999999999997E-2</v>
      </c>
      <c r="W255" s="108">
        <f>IF(ISNA(VLOOKUP($R255&amp;W$2,$K$3:$N$4001,3,0)),"",VLOOKUP($R255&amp;W$2,$K$3:$N$4001,3,0))</f>
        <v>40080</v>
      </c>
      <c r="X255" s="109">
        <f>IF(ISNA(VLOOKUP($R255&amp;W$2,$K$3:$N$4001,4,0)),"",VLOOKUP($R255&amp;W$2,$K$3:$N$4001,4,0))</f>
        <v>3.4000000000000002E-2</v>
      </c>
      <c r="Y255" s="108">
        <f>IF(ISNA(VLOOKUP($R255&amp;Y$2,$K$3:$N$4001,3,0)),"",VLOOKUP($R255&amp;Y$2,$K$3:$N$4001,3,0))</f>
        <v>40170</v>
      </c>
      <c r="Z255" s="109">
        <f>IF(ISNA(VLOOKUP($R255&amp;Y$2,$K$3:$N$4001,4,0)),"",VLOOKUP($R255&amp;Y$2,$K$3:$N$4001,4,0))</f>
        <v>3.4000000000000002E-2</v>
      </c>
      <c r="AA255" s="108">
        <f>IF(ISNA(VLOOKUP($R255&amp;AA$2,$K$3:$N$4001,3,0)),"",VLOOKUP($R255&amp;AA$2,$K$3:$N$4001,3,0))</f>
        <v>40262</v>
      </c>
      <c r="AB255" s="109">
        <f>IF(ISNA(VLOOKUP($R255&amp;AA$2,$K$3:$N$4001,4,0)),"",VLOOKUP($R255&amp;AA$2,$K$3:$N$4001,4,0))</f>
        <v>3.5000000000000003E-2</v>
      </c>
      <c r="AC255" s="108">
        <f>IF(ISNA(VLOOKUP($R255&amp;AC$2,$K$3:$N$4001,3,0)),"",VLOOKUP($R255&amp;AC$2,$K$3:$N$4001,3,0))</f>
        <v>40353</v>
      </c>
      <c r="AD255" s="109">
        <f>IF(ISNA(VLOOKUP($R255&amp;AC$2,$K$3:$N$4001,4,0)),"",VLOOKUP($R255&amp;AC$2,$K$3:$N$4001,4,0))</f>
        <v>3.5000000000000003E-2</v>
      </c>
      <c r="AE255" s="108">
        <f>IF(ISNA(VLOOKUP($R255&amp;AE$2,$K$3:$N$4001,3,0)),"",VLOOKUP($R255&amp;AE$2,$K$3:$N$4001,3,0))</f>
        <v>40445</v>
      </c>
      <c r="AF255" s="109">
        <f>IF(ISNA(VLOOKUP($R255&amp;AE$2,$K$3:$N$4001,4,0)),"",VLOOKUP($R255&amp;AE$2,$K$3:$N$4001,4,0))</f>
        <v>3.5000000000000003E-2</v>
      </c>
      <c r="AG255" s="108">
        <f>IF(ISNA(VLOOKUP($R255&amp;AG$2,$K$3:$N$4001,3,0)),"",VLOOKUP($R255&amp;AG$2,$K$3:$N$4001,3,0))</f>
        <v>40535</v>
      </c>
      <c r="AH255" s="109">
        <f>IF(ISNA(VLOOKUP($R255&amp;AG$2,$K$3:$N$4001,4,0)),"",VLOOKUP($R255&amp;AG$2,$K$3:$N$4001,4,0))</f>
        <v>3.5000000000000003E-2</v>
      </c>
      <c r="AI255" s="108">
        <f>IF(ISNA(VLOOKUP($R255&amp;AI$2,$K$3:$N$4001,3,0)),"",VLOOKUP($R255&amp;AI$2,$K$3:$N$4001,3,0))</f>
        <v>40627</v>
      </c>
      <c r="AJ255" s="109">
        <f>IF(ISNA(VLOOKUP($R255&amp;AI$2,$K$3:$N$4001,4,0)),"",VLOOKUP($R255&amp;AI$2,$K$3:$N$4001,4,0))</f>
        <v>3.5000000000000003E-2</v>
      </c>
      <c r="AK255" s="108">
        <f>IF(ISNA(VLOOKUP($R255&amp;AK$2,$K$3:$N$4001,3,0)),"",VLOOKUP($R255&amp;AK$2,$K$3:$N$4001,3,0))</f>
        <v>40718</v>
      </c>
      <c r="AL255" s="109">
        <f>IF(ISNA(VLOOKUP($R255&amp;AK$2,$K$3:$N$4001,4,0)),"",VLOOKUP($R255&amp;AK$2,$K$3:$N$4001,4,0))</f>
        <v>3.5000000000000003E-2</v>
      </c>
    </row>
    <row r="256" spans="3:38" x14ac:dyDescent="0.2">
      <c r="C256" s="96" t="str">
        <f t="shared" si="12"/>
        <v>BBW3</v>
      </c>
      <c r="D256" s="73" t="s">
        <v>90</v>
      </c>
      <c r="E256" s="100">
        <v>40353</v>
      </c>
      <c r="F256" s="101">
        <v>4.7500000000000001E-2</v>
      </c>
      <c r="G256" s="96">
        <f t="shared" si="13"/>
        <v>3</v>
      </c>
      <c r="I256" s="96"/>
      <c r="K256" t="str">
        <f t="shared" si="14"/>
        <v>BBW3</v>
      </c>
      <c r="L256" s="73" t="s">
        <v>90</v>
      </c>
      <c r="M256" s="72">
        <v>40353</v>
      </c>
      <c r="N256" s="84">
        <v>4.7500000000000001E-2</v>
      </c>
      <c r="O256" s="96">
        <f t="shared" si="15"/>
        <v>3</v>
      </c>
      <c r="P256" s="73"/>
      <c r="Q256" s="96"/>
      <c r="R256" s="96" t="s">
        <v>174</v>
      </c>
      <c r="S256" s="106">
        <f>IF(ISNA(VLOOKUP($R256&amp;S$2,$C$3:$F$4001,3,0)),"",VLOOKUP($R256&amp;S$2,$C$3:$F$4001,3,0))</f>
        <v>39875</v>
      </c>
      <c r="T256" s="107">
        <f>IF(ISNA(VLOOKUP($R256&amp;S$2,$C$3:$F$4001,4,0)),"",VLOOKUP($R256&amp;S$2,$C$3:$F$4001,4,0))</f>
        <v>0.30649999999999999</v>
      </c>
      <c r="U256" s="106">
        <f>IF(ISNA(VLOOKUP($R256&amp;U$2,$C$3:$F$4001,3,0)),"",VLOOKUP($R256&amp;U$2,$C$3:$F$4001,3,0))</f>
        <v>40057</v>
      </c>
      <c r="V256" s="107">
        <f>IF(ISNA(VLOOKUP($R256&amp;U$2,$C$3:$F$4001,4,0)),"",VLOOKUP($R256&amp;U$2,$C$3:$F$4001,4,0))</f>
        <v>0.45450000000000002</v>
      </c>
      <c r="W256" s="106">
        <f>IF(ISNA(VLOOKUP($R256&amp;W$2,$C$3:$F$4001,3,0)),"",VLOOKUP($R256&amp;W$2,$C$3:$F$4001,3,0))</f>
        <v>40241</v>
      </c>
      <c r="X256" s="107">
        <f>IF(ISNA(VLOOKUP($R256&amp;W$2,$C$3:$F$4001,4,0)),"",VLOOKUP($R256&amp;W$2,$C$3:$F$4001,4,0))</f>
        <v>0.28749999999999998</v>
      </c>
      <c r="Y256" s="106">
        <f>IF(ISNA(VLOOKUP($R256&amp;Y$2,$C$3:$F$4001,3,0)),"",VLOOKUP($R256&amp;Y$2,$C$3:$F$4001,3,0))</f>
        <v>40422</v>
      </c>
      <c r="Z256" s="107">
        <f>IF(ISNA(VLOOKUP($R256&amp;Y$2,$C$3:$F$4001,4,0)),"",VLOOKUP($R256&amp;Y$2,$C$3:$F$4001,4,0))</f>
        <v>0.42649999999999999</v>
      </c>
      <c r="AA256" s="106">
        <f>IF(ISNA(VLOOKUP($R256&amp;AA$2,$C$3:$F$4001,3,0)),"",VLOOKUP($R256&amp;AA$2,$C$3:$F$4001,3,0))</f>
        <v>40606</v>
      </c>
      <c r="AB256" s="107">
        <f>IF(ISNA(VLOOKUP($R256&amp;AA$2,$C$3:$F$4001,4,0)),"",VLOOKUP($R256&amp;AA$2,$C$3:$F$4001,4,0))</f>
        <v>0.26940000000000003</v>
      </c>
      <c r="AC256" s="106">
        <f>IF(ISNA(VLOOKUP($R256&amp;AC$2,$C$3:$F$4001,3,0)),"",VLOOKUP($R256&amp;AC$2,$C$3:$F$4001,3,0))</f>
        <v>40787</v>
      </c>
      <c r="AD256" s="107">
        <f>IF(ISNA(VLOOKUP($R256&amp;AC$2,$C$3:$F$4001,4,0)),"",VLOOKUP($R256&amp;AC$2,$C$3:$F$4001,4,0))</f>
        <v>0.39960000000000001</v>
      </c>
      <c r="AE256" s="106">
        <f>IF(ISNA(VLOOKUP($R256&amp;AE$2,$C$3:$F$4001,3,0)),"",VLOOKUP($R256&amp;AE$2,$C$3:$F$4001,3,0))</f>
        <v>40974</v>
      </c>
      <c r="AF256" s="107">
        <f>IF(ISNA(VLOOKUP($R256&amp;AE$2,$C$3:$F$4001,4,0)),"",VLOOKUP($R256&amp;AE$2,$C$3:$F$4001,4,0))</f>
        <v>0.19450000000000001</v>
      </c>
      <c r="AG256" s="106">
        <f>IF(ISNA(VLOOKUP($R256&amp;AG$2,$C$3:$F$4001,3,0)),"",VLOOKUP($R256&amp;AG$2,$C$3:$F$4001,3,0))</f>
        <v>41155</v>
      </c>
      <c r="AH256" s="107">
        <f>IF(ISNA(VLOOKUP($R256&amp;AG$2,$C$3:$F$4001,4,0)),"",VLOOKUP($R256&amp;AG$2,$C$3:$F$4001,4,0))</f>
        <v>0.28850000000000003</v>
      </c>
      <c r="AI256" s="106">
        <f>IF(ISNA(VLOOKUP($R256&amp;AI$2,$C$3:$F$4001,3,0)),"",VLOOKUP($R256&amp;AI$2,$C$3:$F$4001,3,0))</f>
        <v>41339</v>
      </c>
      <c r="AJ256" s="107">
        <f>IF(ISNA(VLOOKUP($R256&amp;AI$2,$C$3:$F$4001,4,0)),"",VLOOKUP($R256&amp;AI$2,$C$3:$F$4001,4,0))</f>
        <v>0.20660000000000001</v>
      </c>
      <c r="AK256" s="106">
        <f>IF(ISNA(VLOOKUP($R256&amp;AK$2,$C$3:$F$4001,3,0)),"",VLOOKUP($R256&amp;AK$2,$C$3:$F$4001,3,0))</f>
        <v>41520</v>
      </c>
      <c r="AL256" s="107">
        <f>IF(ISNA(VLOOKUP($R256&amp;AK$2,$C$3:$F$4001,4,0)),"",VLOOKUP($R256&amp;AK$2,$C$3:$F$4001,4,0))</f>
        <v>0.30640000000000001</v>
      </c>
    </row>
    <row r="257" spans="3:38" x14ac:dyDescent="0.2">
      <c r="C257" s="96" t="str">
        <f t="shared" si="12"/>
        <v>BBW4</v>
      </c>
      <c r="D257" s="73" t="s">
        <v>90</v>
      </c>
      <c r="E257" s="100">
        <v>40535</v>
      </c>
      <c r="F257" s="101">
        <v>4.9000000000000002E-2</v>
      </c>
      <c r="G257" s="96">
        <f t="shared" si="13"/>
        <v>4</v>
      </c>
      <c r="I257" s="96"/>
      <c r="K257" t="str">
        <f t="shared" si="14"/>
        <v>BBW4</v>
      </c>
      <c r="L257" s="73" t="s">
        <v>90</v>
      </c>
      <c r="M257" s="72">
        <v>40535</v>
      </c>
      <c r="N257" s="84">
        <v>4.9000000000000002E-2</v>
      </c>
      <c r="O257" s="96">
        <f t="shared" si="15"/>
        <v>4</v>
      </c>
      <c r="P257" s="73"/>
      <c r="Q257" s="96"/>
      <c r="R257" s="96" t="str">
        <f>R256</f>
        <v>MND</v>
      </c>
      <c r="S257" s="108">
        <f>IF(ISNA(VLOOKUP($R257&amp;S$2,$K$3:$N$4001,3,0)),"",VLOOKUP($R257&amp;S$2,$K$3:$N$4001,3,0))</f>
        <v>39875</v>
      </c>
      <c r="T257" s="109">
        <f>IF(ISNA(VLOOKUP($R257&amp;S$2,$K$3:$N$4001,4,0)),"",VLOOKUP($R257&amp;S$2,$K$3:$N$4001,4,0))</f>
        <v>0.30649999999999999</v>
      </c>
      <c r="U257" s="108">
        <f>IF(ISNA(VLOOKUP($R257&amp;U$2,$K$3:$N$4001,3,0)),"",VLOOKUP($R257&amp;U$2,$K$3:$N$4001,3,0))</f>
        <v>40057</v>
      </c>
      <c r="V257" s="109">
        <f>IF(ISNA(VLOOKUP($R257&amp;U$2,$K$3:$N$4001,4,0)),"",VLOOKUP($R257&amp;U$2,$K$3:$N$4001,4,0))</f>
        <v>0.45450000000000002</v>
      </c>
      <c r="W257" s="108">
        <f>IF(ISNA(VLOOKUP($R257&amp;W$2,$K$3:$N$4001,3,0)),"",VLOOKUP($R257&amp;W$2,$K$3:$N$4001,3,0))</f>
        <v>40241</v>
      </c>
      <c r="X257" s="109">
        <f>IF(ISNA(VLOOKUP($R257&amp;W$2,$K$3:$N$4001,4,0)),"",VLOOKUP($R257&amp;W$2,$K$3:$N$4001,4,0))</f>
        <v>0.28749999999999998</v>
      </c>
      <c r="Y257" s="108">
        <f>IF(ISNA(VLOOKUP($R257&amp;Y$2,$K$3:$N$4001,3,0)),"",VLOOKUP($R257&amp;Y$2,$K$3:$N$4001,3,0))</f>
        <v>40422</v>
      </c>
      <c r="Z257" s="109">
        <f>IF(ISNA(VLOOKUP($R257&amp;Y$2,$K$3:$N$4001,4,0)),"",VLOOKUP($R257&amp;Y$2,$K$3:$N$4001,4,0))</f>
        <v>0.42649999999999999</v>
      </c>
      <c r="AA257" s="108">
        <f>IF(ISNA(VLOOKUP($R257&amp;AA$2,$K$3:$N$4001,3,0)),"",VLOOKUP($R257&amp;AA$2,$K$3:$N$4001,3,0))</f>
        <v>40606</v>
      </c>
      <c r="AB257" s="109">
        <f>IF(ISNA(VLOOKUP($R257&amp;AA$2,$K$3:$N$4001,4,0)),"",VLOOKUP($R257&amp;AA$2,$K$3:$N$4001,4,0))</f>
        <v>0.26940000000000003</v>
      </c>
      <c r="AC257" s="108">
        <f>IF(ISNA(VLOOKUP($R257&amp;AC$2,$K$3:$N$4001,3,0)),"",VLOOKUP($R257&amp;AC$2,$K$3:$N$4001,3,0))</f>
        <v>40787</v>
      </c>
      <c r="AD257" s="109">
        <f>IF(ISNA(VLOOKUP($R257&amp;AC$2,$K$3:$N$4001,4,0)),"",VLOOKUP($R257&amp;AC$2,$K$3:$N$4001,4,0))</f>
        <v>0.39960000000000001</v>
      </c>
      <c r="AE257" s="108">
        <f>IF(ISNA(VLOOKUP($R257&amp;AE$2,$K$3:$N$4001,3,0)),"",VLOOKUP($R257&amp;AE$2,$K$3:$N$4001,3,0))</f>
        <v>40974</v>
      </c>
      <c r="AF257" s="109">
        <f>IF(ISNA(VLOOKUP($R257&amp;AE$2,$K$3:$N$4001,4,0)),"",VLOOKUP($R257&amp;AE$2,$K$3:$N$4001,4,0))</f>
        <v>0.19450000000000001</v>
      </c>
      <c r="AG257" s="108">
        <f>IF(ISNA(VLOOKUP($R257&amp;AG$2,$K$3:$N$4001,3,0)),"",VLOOKUP($R257&amp;AG$2,$K$3:$N$4001,3,0))</f>
        <v>41155</v>
      </c>
      <c r="AH257" s="109">
        <f>IF(ISNA(VLOOKUP($R257&amp;AG$2,$K$3:$N$4001,4,0)),"",VLOOKUP($R257&amp;AG$2,$K$3:$N$4001,4,0))</f>
        <v>0.28850000000000003</v>
      </c>
      <c r="AI257" s="108">
        <f>IF(ISNA(VLOOKUP($R257&amp;AI$2,$K$3:$N$4001,3,0)),"",VLOOKUP($R257&amp;AI$2,$K$3:$N$4001,3,0))</f>
        <v>41339</v>
      </c>
      <c r="AJ257" s="109">
        <f>IF(ISNA(VLOOKUP($R257&amp;AI$2,$K$3:$N$4001,4,0)),"",VLOOKUP($R257&amp;AI$2,$K$3:$N$4001,4,0))</f>
        <v>0.20660000000000001</v>
      </c>
      <c r="AK257" s="108">
        <f>IF(ISNA(VLOOKUP($R257&amp;AK$2,$K$3:$N$4001,3,0)),"",VLOOKUP($R257&amp;AK$2,$K$3:$N$4001,3,0))</f>
        <v>41520</v>
      </c>
      <c r="AL257" s="109">
        <f>IF(ISNA(VLOOKUP($R257&amp;AK$2,$K$3:$N$4001,4,0)),"",VLOOKUP($R257&amp;AK$2,$K$3:$N$4001,4,0))</f>
        <v>0.30640000000000001</v>
      </c>
    </row>
    <row r="258" spans="3:38" x14ac:dyDescent="0.2">
      <c r="C258" s="96" t="str">
        <f t="shared" si="12"/>
        <v>BBW5</v>
      </c>
      <c r="D258" s="73" t="s">
        <v>90</v>
      </c>
      <c r="E258" s="100">
        <v>40718</v>
      </c>
      <c r="F258" s="101">
        <v>4.9000000000000002E-2</v>
      </c>
      <c r="G258" s="96">
        <f t="shared" si="13"/>
        <v>5</v>
      </c>
      <c r="I258" s="96"/>
      <c r="K258" t="str">
        <f t="shared" si="14"/>
        <v>BBW5</v>
      </c>
      <c r="L258" s="73" t="s">
        <v>90</v>
      </c>
      <c r="M258" s="72">
        <v>40718</v>
      </c>
      <c r="N258" s="84">
        <v>4.9000000000000002E-2</v>
      </c>
      <c r="O258" s="96">
        <f t="shared" si="15"/>
        <v>5</v>
      </c>
      <c r="P258" s="73"/>
      <c r="Q258" s="96"/>
      <c r="R258" s="96" t="s">
        <v>271</v>
      </c>
      <c r="S258" s="106" t="str">
        <f>IF(ISNA(VLOOKUP($R258&amp;S$2,$C$3:$F$4001,3,0)),"",VLOOKUP($R258&amp;S$2,$C$3:$F$4001,3,0))</f>
        <v/>
      </c>
      <c r="T258" s="107" t="str">
        <f>IF(ISNA(VLOOKUP($R258&amp;S$2,$C$3:$F$4001,4,0)),"",VLOOKUP($R258&amp;S$2,$C$3:$F$4001,4,0))</f>
        <v/>
      </c>
      <c r="U258" s="106" t="str">
        <f>IF(ISNA(VLOOKUP($R258&amp;U$2,$C$3:$F$4001,3,0)),"",VLOOKUP($R258&amp;U$2,$C$3:$F$4001,3,0))</f>
        <v/>
      </c>
      <c r="V258" s="107" t="str">
        <f>IF(ISNA(VLOOKUP($R258&amp;U$2,$C$3:$F$4001,4,0)),"",VLOOKUP($R258&amp;U$2,$C$3:$F$4001,4,0))</f>
        <v/>
      </c>
      <c r="W258" s="106" t="str">
        <f>IF(ISNA(VLOOKUP($R258&amp;W$2,$C$3:$F$4001,3,0)),"",VLOOKUP($R258&amp;W$2,$C$3:$F$4001,3,0))</f>
        <v/>
      </c>
      <c r="X258" s="107" t="str">
        <f>IF(ISNA(VLOOKUP($R258&amp;W$2,$C$3:$F$4001,4,0)),"",VLOOKUP($R258&amp;W$2,$C$3:$F$4001,4,0))</f>
        <v/>
      </c>
      <c r="Y258" s="106" t="str">
        <f>IF(ISNA(VLOOKUP($R258&amp;Y$2,$C$3:$F$4001,3,0)),"",VLOOKUP($R258&amp;Y$2,$C$3:$F$4001,3,0))</f>
        <v/>
      </c>
      <c r="Z258" s="107" t="str">
        <f>IF(ISNA(VLOOKUP($R258&amp;Y$2,$C$3:$F$4001,4,0)),"",VLOOKUP($R258&amp;Y$2,$C$3:$F$4001,4,0))</f>
        <v/>
      </c>
      <c r="AA258" s="106" t="str">
        <f>IF(ISNA(VLOOKUP($R258&amp;AA$2,$C$3:$F$4001,3,0)),"",VLOOKUP($R258&amp;AA$2,$C$3:$F$4001,3,0))</f>
        <v/>
      </c>
      <c r="AB258" s="107" t="str">
        <f>IF(ISNA(VLOOKUP($R258&amp;AA$2,$C$3:$F$4001,4,0)),"",VLOOKUP($R258&amp;AA$2,$C$3:$F$4001,4,0))</f>
        <v/>
      </c>
      <c r="AC258" s="106" t="str">
        <f>IF(ISNA(VLOOKUP($R258&amp;AC$2,$C$3:$F$4001,3,0)),"",VLOOKUP($R258&amp;AC$2,$C$3:$F$4001,3,0))</f>
        <v/>
      </c>
      <c r="AD258" s="107" t="str">
        <f>IF(ISNA(VLOOKUP($R258&amp;AC$2,$C$3:$F$4001,4,0)),"",VLOOKUP($R258&amp;AC$2,$C$3:$F$4001,4,0))</f>
        <v/>
      </c>
      <c r="AE258" s="106" t="str">
        <f>IF(ISNA(VLOOKUP($R258&amp;AE$2,$C$3:$F$4001,3,0)),"",VLOOKUP($R258&amp;AE$2,$C$3:$F$4001,3,0))</f>
        <v/>
      </c>
      <c r="AF258" s="107" t="str">
        <f>IF(ISNA(VLOOKUP($R258&amp;AE$2,$C$3:$F$4001,4,0)),"",VLOOKUP($R258&amp;AE$2,$C$3:$F$4001,4,0))</f>
        <v/>
      </c>
      <c r="AG258" s="106" t="str">
        <f>IF(ISNA(VLOOKUP($R258&amp;AG$2,$C$3:$F$4001,3,0)),"",VLOOKUP($R258&amp;AG$2,$C$3:$F$4001,3,0))</f>
        <v/>
      </c>
      <c r="AH258" s="107" t="str">
        <f>IF(ISNA(VLOOKUP($R258&amp;AG$2,$C$3:$F$4001,4,0)),"",VLOOKUP($R258&amp;AG$2,$C$3:$F$4001,4,0))</f>
        <v/>
      </c>
      <c r="AI258" s="106" t="str">
        <f>IF(ISNA(VLOOKUP($R258&amp;AI$2,$C$3:$F$4001,3,0)),"",VLOOKUP($R258&amp;AI$2,$C$3:$F$4001,3,0))</f>
        <v/>
      </c>
      <c r="AJ258" s="107" t="str">
        <f>IF(ISNA(VLOOKUP($R258&amp;AI$2,$C$3:$F$4001,4,0)),"",VLOOKUP($R258&amp;AI$2,$C$3:$F$4001,4,0))</f>
        <v/>
      </c>
      <c r="AK258" s="106" t="str">
        <f>IF(ISNA(VLOOKUP($R258&amp;AK$2,$C$3:$F$4001,3,0)),"",VLOOKUP($R258&amp;AK$2,$C$3:$F$4001,3,0))</f>
        <v/>
      </c>
      <c r="AL258" s="107" t="str">
        <f>IF(ISNA(VLOOKUP($R258&amp;AK$2,$C$3:$F$4001,4,0)),"",VLOOKUP($R258&amp;AK$2,$C$3:$F$4001,4,0))</f>
        <v/>
      </c>
    </row>
    <row r="259" spans="3:38" x14ac:dyDescent="0.2">
      <c r="C259" s="96" t="str">
        <f t="shared" ref="C259:C322" si="16">D259&amp;G259</f>
        <v>BBW6</v>
      </c>
      <c r="D259" s="73" t="s">
        <v>90</v>
      </c>
      <c r="E259" s="100">
        <v>40899</v>
      </c>
      <c r="F259" s="101">
        <v>5.0999999999999997E-2</v>
      </c>
      <c r="G259" s="96">
        <f t="shared" ref="G259:G322" si="17">IF(D259&lt;&gt;D258,1,G258+1)</f>
        <v>6</v>
      </c>
      <c r="I259" s="96"/>
      <c r="K259" t="str">
        <f t="shared" ref="K259:K322" si="18">L259&amp;O259</f>
        <v>BBW6</v>
      </c>
      <c r="L259" s="73" t="s">
        <v>90</v>
      </c>
      <c r="M259" s="72">
        <v>40899</v>
      </c>
      <c r="N259" s="84">
        <v>5.0999999999999997E-2</v>
      </c>
      <c r="O259" s="96">
        <f t="shared" ref="O259:O322" si="19">IF(L259&lt;&gt;L258,1,O258+1)</f>
        <v>6</v>
      </c>
      <c r="P259" s="73"/>
      <c r="Q259" s="96"/>
      <c r="R259" s="96" t="str">
        <f>R258</f>
        <v>MGX</v>
      </c>
      <c r="S259" s="108" t="str">
        <f>IF(ISNA(VLOOKUP($R259&amp;S$2,$K$3:$N$4001,3,0)),"",VLOOKUP($R259&amp;S$2,$K$3:$N$4001,3,0))</f>
        <v/>
      </c>
      <c r="T259" s="109" t="str">
        <f>IF(ISNA(VLOOKUP($R259&amp;S$2,$K$3:$N$4001,4,0)),"",VLOOKUP($R259&amp;S$2,$K$3:$N$4001,4,0))</f>
        <v/>
      </c>
      <c r="U259" s="108" t="str">
        <f>IF(ISNA(VLOOKUP($R259&amp;U$2,$K$3:$N$4001,3,0)),"",VLOOKUP($R259&amp;U$2,$K$3:$N$4001,3,0))</f>
        <v/>
      </c>
      <c r="V259" s="109" t="str">
        <f>IF(ISNA(VLOOKUP($R259&amp;U$2,$K$3:$N$4001,4,0)),"",VLOOKUP($R259&amp;U$2,$K$3:$N$4001,4,0))</f>
        <v/>
      </c>
      <c r="W259" s="108" t="str">
        <f>IF(ISNA(VLOOKUP($R259&amp;W$2,$K$3:$N$4001,3,0)),"",VLOOKUP($R259&amp;W$2,$K$3:$N$4001,3,0))</f>
        <v/>
      </c>
      <c r="X259" s="109" t="str">
        <f>IF(ISNA(VLOOKUP($R259&amp;W$2,$K$3:$N$4001,4,0)),"",VLOOKUP($R259&amp;W$2,$K$3:$N$4001,4,0))</f>
        <v/>
      </c>
      <c r="Y259" s="108" t="str">
        <f>IF(ISNA(VLOOKUP($R259&amp;Y$2,$K$3:$N$4001,3,0)),"",VLOOKUP($R259&amp;Y$2,$K$3:$N$4001,3,0))</f>
        <v/>
      </c>
      <c r="Z259" s="109" t="str">
        <f>IF(ISNA(VLOOKUP($R259&amp;Y$2,$K$3:$N$4001,4,0)),"",VLOOKUP($R259&amp;Y$2,$K$3:$N$4001,4,0))</f>
        <v/>
      </c>
      <c r="AA259" s="108" t="str">
        <f>IF(ISNA(VLOOKUP($R259&amp;AA$2,$K$3:$N$4001,3,0)),"",VLOOKUP($R259&amp;AA$2,$K$3:$N$4001,3,0))</f>
        <v/>
      </c>
      <c r="AB259" s="109" t="str">
        <f>IF(ISNA(VLOOKUP($R259&amp;AA$2,$K$3:$N$4001,4,0)),"",VLOOKUP($R259&amp;AA$2,$K$3:$N$4001,4,0))</f>
        <v/>
      </c>
      <c r="AC259" s="108" t="str">
        <f>IF(ISNA(VLOOKUP($R259&amp;AC$2,$K$3:$N$4001,3,0)),"",VLOOKUP($R259&amp;AC$2,$K$3:$N$4001,3,0))</f>
        <v/>
      </c>
      <c r="AD259" s="109" t="str">
        <f>IF(ISNA(VLOOKUP($R259&amp;AC$2,$K$3:$N$4001,4,0)),"",VLOOKUP($R259&amp;AC$2,$K$3:$N$4001,4,0))</f>
        <v/>
      </c>
      <c r="AE259" s="108" t="str">
        <f>IF(ISNA(VLOOKUP($R259&amp;AE$2,$K$3:$N$4001,3,0)),"",VLOOKUP($R259&amp;AE$2,$K$3:$N$4001,3,0))</f>
        <v/>
      </c>
      <c r="AF259" s="109" t="str">
        <f>IF(ISNA(VLOOKUP($R259&amp;AE$2,$K$3:$N$4001,4,0)),"",VLOOKUP($R259&amp;AE$2,$K$3:$N$4001,4,0))</f>
        <v/>
      </c>
      <c r="AG259" s="108" t="str">
        <f>IF(ISNA(VLOOKUP($R259&amp;AG$2,$K$3:$N$4001,3,0)),"",VLOOKUP($R259&amp;AG$2,$K$3:$N$4001,3,0))</f>
        <v/>
      </c>
      <c r="AH259" s="109" t="str">
        <f>IF(ISNA(VLOOKUP($R259&amp;AG$2,$K$3:$N$4001,4,0)),"",VLOOKUP($R259&amp;AG$2,$K$3:$N$4001,4,0))</f>
        <v/>
      </c>
      <c r="AI259" s="108" t="str">
        <f>IF(ISNA(VLOOKUP($R259&amp;AI$2,$K$3:$N$4001,3,0)),"",VLOOKUP($R259&amp;AI$2,$K$3:$N$4001,3,0))</f>
        <v/>
      </c>
      <c r="AJ259" s="109" t="str">
        <f>IF(ISNA(VLOOKUP($R259&amp;AI$2,$K$3:$N$4001,4,0)),"",VLOOKUP($R259&amp;AI$2,$K$3:$N$4001,4,0))</f>
        <v/>
      </c>
      <c r="AK259" s="108" t="str">
        <f>IF(ISNA(VLOOKUP($R259&amp;AK$2,$K$3:$N$4001,3,0)),"",VLOOKUP($R259&amp;AK$2,$K$3:$N$4001,3,0))</f>
        <v/>
      </c>
      <c r="AL259" s="109" t="str">
        <f>IF(ISNA(VLOOKUP($R259&amp;AK$2,$K$3:$N$4001,4,0)),"",VLOOKUP($R259&amp;AK$2,$K$3:$N$4001,4,0))</f>
        <v/>
      </c>
    </row>
    <row r="260" spans="3:38" x14ac:dyDescent="0.2">
      <c r="C260" s="96" t="str">
        <f t="shared" si="16"/>
        <v>BBW7</v>
      </c>
      <c r="D260" s="73" t="s">
        <v>90</v>
      </c>
      <c r="E260" s="100">
        <v>41085</v>
      </c>
      <c r="F260" s="101">
        <v>5.0999999999999997E-2</v>
      </c>
      <c r="G260" s="96">
        <f t="shared" si="17"/>
        <v>7</v>
      </c>
      <c r="I260" s="96"/>
      <c r="K260" t="str">
        <f t="shared" si="18"/>
        <v>BBW7</v>
      </c>
      <c r="L260" s="73" t="s">
        <v>90</v>
      </c>
      <c r="M260" s="72">
        <v>41085</v>
      </c>
      <c r="N260" s="84">
        <v>5.0999999999999997E-2</v>
      </c>
      <c r="O260" s="96">
        <f t="shared" si="19"/>
        <v>7</v>
      </c>
      <c r="P260" s="73"/>
      <c r="Q260" s="96"/>
      <c r="R260" s="96" t="s">
        <v>272</v>
      </c>
      <c r="S260" s="106" t="str">
        <f>IF(ISNA(VLOOKUP($R260&amp;S$2,$C$3:$F$4001,3,0)),"",VLOOKUP($R260&amp;S$2,$C$3:$F$4001,3,0))</f>
        <v/>
      </c>
      <c r="T260" s="107" t="str">
        <f>IF(ISNA(VLOOKUP($R260&amp;S$2,$C$3:$F$4001,4,0)),"",VLOOKUP($R260&amp;S$2,$C$3:$F$4001,4,0))</f>
        <v/>
      </c>
      <c r="U260" s="106" t="str">
        <f>IF(ISNA(VLOOKUP($R260&amp;U$2,$C$3:$F$4001,3,0)),"",VLOOKUP($R260&amp;U$2,$C$3:$F$4001,3,0))</f>
        <v/>
      </c>
      <c r="V260" s="107" t="str">
        <f>IF(ISNA(VLOOKUP($R260&amp;U$2,$C$3:$F$4001,4,0)),"",VLOOKUP($R260&amp;U$2,$C$3:$F$4001,4,0))</f>
        <v/>
      </c>
      <c r="W260" s="106" t="str">
        <f>IF(ISNA(VLOOKUP($R260&amp;W$2,$C$3:$F$4001,3,0)),"",VLOOKUP($R260&amp;W$2,$C$3:$F$4001,3,0))</f>
        <v/>
      </c>
      <c r="X260" s="107" t="str">
        <f>IF(ISNA(VLOOKUP($R260&amp;W$2,$C$3:$F$4001,4,0)),"",VLOOKUP($R260&amp;W$2,$C$3:$F$4001,4,0))</f>
        <v/>
      </c>
      <c r="Y260" s="106" t="str">
        <f>IF(ISNA(VLOOKUP($R260&amp;Y$2,$C$3:$F$4001,3,0)),"",VLOOKUP($R260&amp;Y$2,$C$3:$F$4001,3,0))</f>
        <v/>
      </c>
      <c r="Z260" s="107" t="str">
        <f>IF(ISNA(VLOOKUP($R260&amp;Y$2,$C$3:$F$4001,4,0)),"",VLOOKUP($R260&amp;Y$2,$C$3:$F$4001,4,0))</f>
        <v/>
      </c>
      <c r="AA260" s="106" t="str">
        <f>IF(ISNA(VLOOKUP($R260&amp;AA$2,$C$3:$F$4001,3,0)),"",VLOOKUP($R260&amp;AA$2,$C$3:$F$4001,3,0))</f>
        <v/>
      </c>
      <c r="AB260" s="107" t="str">
        <f>IF(ISNA(VLOOKUP($R260&amp;AA$2,$C$3:$F$4001,4,0)),"",VLOOKUP($R260&amp;AA$2,$C$3:$F$4001,4,0))</f>
        <v/>
      </c>
      <c r="AC260" s="106" t="str">
        <f>IF(ISNA(VLOOKUP($R260&amp;AC$2,$C$3:$F$4001,3,0)),"",VLOOKUP($R260&amp;AC$2,$C$3:$F$4001,3,0))</f>
        <v/>
      </c>
      <c r="AD260" s="107" t="str">
        <f>IF(ISNA(VLOOKUP($R260&amp;AC$2,$C$3:$F$4001,4,0)),"",VLOOKUP($R260&amp;AC$2,$C$3:$F$4001,4,0))</f>
        <v/>
      </c>
      <c r="AE260" s="106" t="str">
        <f>IF(ISNA(VLOOKUP($R260&amp;AE$2,$C$3:$F$4001,3,0)),"",VLOOKUP($R260&amp;AE$2,$C$3:$F$4001,3,0))</f>
        <v/>
      </c>
      <c r="AF260" s="107" t="str">
        <f>IF(ISNA(VLOOKUP($R260&amp;AE$2,$C$3:$F$4001,4,0)),"",VLOOKUP($R260&amp;AE$2,$C$3:$F$4001,4,0))</f>
        <v/>
      </c>
      <c r="AG260" s="106" t="str">
        <f>IF(ISNA(VLOOKUP($R260&amp;AG$2,$C$3:$F$4001,3,0)),"",VLOOKUP($R260&amp;AG$2,$C$3:$F$4001,3,0))</f>
        <v/>
      </c>
      <c r="AH260" s="107" t="str">
        <f>IF(ISNA(VLOOKUP($R260&amp;AG$2,$C$3:$F$4001,4,0)),"",VLOOKUP($R260&amp;AG$2,$C$3:$F$4001,4,0))</f>
        <v/>
      </c>
      <c r="AI260" s="106" t="str">
        <f>IF(ISNA(VLOOKUP($R260&amp;AI$2,$C$3:$F$4001,3,0)),"",VLOOKUP($R260&amp;AI$2,$C$3:$F$4001,3,0))</f>
        <v/>
      </c>
      <c r="AJ260" s="107" t="str">
        <f>IF(ISNA(VLOOKUP($R260&amp;AI$2,$C$3:$F$4001,4,0)),"",VLOOKUP($R260&amp;AI$2,$C$3:$F$4001,4,0))</f>
        <v/>
      </c>
      <c r="AK260" s="106" t="str">
        <f>IF(ISNA(VLOOKUP($R260&amp;AK$2,$C$3:$F$4001,3,0)),"",VLOOKUP($R260&amp;AK$2,$C$3:$F$4001,3,0))</f>
        <v/>
      </c>
      <c r="AL260" s="107" t="str">
        <f>IF(ISNA(VLOOKUP($R260&amp;AK$2,$C$3:$F$4001,4,0)),"",VLOOKUP($R260&amp;AK$2,$C$3:$F$4001,4,0))</f>
        <v/>
      </c>
    </row>
    <row r="261" spans="3:38" x14ac:dyDescent="0.2">
      <c r="C261" s="96" t="str">
        <f t="shared" si="16"/>
        <v>BBW8</v>
      </c>
      <c r="D261" s="73" t="s">
        <v>90</v>
      </c>
      <c r="E261" s="100">
        <v>41268</v>
      </c>
      <c r="F261" s="101">
        <v>6.0999999999999999E-2</v>
      </c>
      <c r="G261" s="96">
        <f t="shared" si="17"/>
        <v>8</v>
      </c>
      <c r="I261" s="96"/>
      <c r="K261" t="str">
        <f t="shared" si="18"/>
        <v>BBW8</v>
      </c>
      <c r="L261" s="73" t="s">
        <v>90</v>
      </c>
      <c r="M261" s="72">
        <v>41268</v>
      </c>
      <c r="N261" s="84">
        <v>6.0999999999999999E-2</v>
      </c>
      <c r="O261" s="96">
        <f t="shared" si="19"/>
        <v>8</v>
      </c>
      <c r="P261" s="73"/>
      <c r="Q261" s="96"/>
      <c r="R261" s="96" t="str">
        <f>R260</f>
        <v>MMX</v>
      </c>
      <c r="S261" s="108" t="str">
        <f>IF(ISNA(VLOOKUP($R261&amp;S$2,$K$3:$N$4001,3,0)),"",VLOOKUP($R261&amp;S$2,$K$3:$N$4001,3,0))</f>
        <v/>
      </c>
      <c r="T261" s="109" t="str">
        <f>IF(ISNA(VLOOKUP($R261&amp;S$2,$K$3:$N$4001,4,0)),"",VLOOKUP($R261&amp;S$2,$K$3:$N$4001,4,0))</f>
        <v/>
      </c>
      <c r="U261" s="108" t="str">
        <f>IF(ISNA(VLOOKUP($R261&amp;U$2,$K$3:$N$4001,3,0)),"",VLOOKUP($R261&amp;U$2,$K$3:$N$4001,3,0))</f>
        <v/>
      </c>
      <c r="V261" s="109" t="str">
        <f>IF(ISNA(VLOOKUP($R261&amp;U$2,$K$3:$N$4001,4,0)),"",VLOOKUP($R261&amp;U$2,$K$3:$N$4001,4,0))</f>
        <v/>
      </c>
      <c r="W261" s="108" t="str">
        <f>IF(ISNA(VLOOKUP($R261&amp;W$2,$K$3:$N$4001,3,0)),"",VLOOKUP($R261&amp;W$2,$K$3:$N$4001,3,0))</f>
        <v/>
      </c>
      <c r="X261" s="109" t="str">
        <f>IF(ISNA(VLOOKUP($R261&amp;W$2,$K$3:$N$4001,4,0)),"",VLOOKUP($R261&amp;W$2,$K$3:$N$4001,4,0))</f>
        <v/>
      </c>
      <c r="Y261" s="108" t="str">
        <f>IF(ISNA(VLOOKUP($R261&amp;Y$2,$K$3:$N$4001,3,0)),"",VLOOKUP($R261&amp;Y$2,$K$3:$N$4001,3,0))</f>
        <v/>
      </c>
      <c r="Z261" s="109" t="str">
        <f>IF(ISNA(VLOOKUP($R261&amp;Y$2,$K$3:$N$4001,4,0)),"",VLOOKUP($R261&amp;Y$2,$K$3:$N$4001,4,0))</f>
        <v/>
      </c>
      <c r="AA261" s="108" t="str">
        <f>IF(ISNA(VLOOKUP($R261&amp;AA$2,$K$3:$N$4001,3,0)),"",VLOOKUP($R261&amp;AA$2,$K$3:$N$4001,3,0))</f>
        <v/>
      </c>
      <c r="AB261" s="109" t="str">
        <f>IF(ISNA(VLOOKUP($R261&amp;AA$2,$K$3:$N$4001,4,0)),"",VLOOKUP($R261&amp;AA$2,$K$3:$N$4001,4,0))</f>
        <v/>
      </c>
      <c r="AC261" s="108" t="str">
        <f>IF(ISNA(VLOOKUP($R261&amp;AC$2,$K$3:$N$4001,3,0)),"",VLOOKUP($R261&amp;AC$2,$K$3:$N$4001,3,0))</f>
        <v/>
      </c>
      <c r="AD261" s="109" t="str">
        <f>IF(ISNA(VLOOKUP($R261&amp;AC$2,$K$3:$N$4001,4,0)),"",VLOOKUP($R261&amp;AC$2,$K$3:$N$4001,4,0))</f>
        <v/>
      </c>
      <c r="AE261" s="108" t="str">
        <f>IF(ISNA(VLOOKUP($R261&amp;AE$2,$K$3:$N$4001,3,0)),"",VLOOKUP($R261&amp;AE$2,$K$3:$N$4001,3,0))</f>
        <v/>
      </c>
      <c r="AF261" s="109" t="str">
        <f>IF(ISNA(VLOOKUP($R261&amp;AE$2,$K$3:$N$4001,4,0)),"",VLOOKUP($R261&amp;AE$2,$K$3:$N$4001,4,0))</f>
        <v/>
      </c>
      <c r="AG261" s="108" t="str">
        <f>IF(ISNA(VLOOKUP($R261&amp;AG$2,$K$3:$N$4001,3,0)),"",VLOOKUP($R261&amp;AG$2,$K$3:$N$4001,3,0))</f>
        <v/>
      </c>
      <c r="AH261" s="109" t="str">
        <f>IF(ISNA(VLOOKUP($R261&amp;AG$2,$K$3:$N$4001,4,0)),"",VLOOKUP($R261&amp;AG$2,$K$3:$N$4001,4,0))</f>
        <v/>
      </c>
      <c r="AI261" s="108" t="str">
        <f>IF(ISNA(VLOOKUP($R261&amp;AI$2,$K$3:$N$4001,3,0)),"",VLOOKUP($R261&amp;AI$2,$K$3:$N$4001,3,0))</f>
        <v/>
      </c>
      <c r="AJ261" s="109" t="str">
        <f>IF(ISNA(VLOOKUP($R261&amp;AI$2,$K$3:$N$4001,4,0)),"",VLOOKUP($R261&amp;AI$2,$K$3:$N$4001,4,0))</f>
        <v/>
      </c>
      <c r="AK261" s="108" t="str">
        <f>IF(ISNA(VLOOKUP($R261&amp;AK$2,$K$3:$N$4001,3,0)),"",VLOOKUP($R261&amp;AK$2,$K$3:$N$4001,3,0))</f>
        <v/>
      </c>
      <c r="AL261" s="109" t="str">
        <f>IF(ISNA(VLOOKUP($R261&amp;AK$2,$K$3:$N$4001,4,0)),"",VLOOKUP($R261&amp;AK$2,$K$3:$N$4001,4,0))</f>
        <v/>
      </c>
    </row>
    <row r="262" spans="3:38" x14ac:dyDescent="0.2">
      <c r="C262" s="96" t="str">
        <f t="shared" si="16"/>
        <v>BBW9</v>
      </c>
      <c r="D262" s="73" t="s">
        <v>90</v>
      </c>
      <c r="E262" s="100">
        <v>41450</v>
      </c>
      <c r="F262" s="101">
        <v>6.0999999999999999E-2</v>
      </c>
      <c r="G262" s="96">
        <f t="shared" si="17"/>
        <v>9</v>
      </c>
      <c r="I262" s="96"/>
      <c r="K262" t="str">
        <f t="shared" si="18"/>
        <v>BBW9</v>
      </c>
      <c r="L262" s="73" t="s">
        <v>90</v>
      </c>
      <c r="M262" s="72">
        <v>41450</v>
      </c>
      <c r="N262" s="84">
        <v>6.0999999999999999E-2</v>
      </c>
      <c r="O262" s="96">
        <f t="shared" si="19"/>
        <v>9</v>
      </c>
      <c r="P262" s="73"/>
      <c r="Q262" s="96"/>
      <c r="R262" s="96" t="s">
        <v>178</v>
      </c>
      <c r="S262" s="106">
        <f>IF(ISNA(VLOOKUP($R262&amp;S$2,$C$3:$F$4001,3,0)),"",VLOOKUP($R262&amp;S$2,$C$3:$F$4001,3,0))</f>
        <v>39968</v>
      </c>
      <c r="T262" s="107">
        <f>IF(ISNA(VLOOKUP($R262&amp;S$2,$C$3:$F$4001,4,0)),"",VLOOKUP($R262&amp;S$2,$C$3:$F$4001,4,0))</f>
        <v>0.9</v>
      </c>
      <c r="U262" s="106">
        <f>IF(ISNA(VLOOKUP($R262&amp;U$2,$C$3:$F$4001,3,0)),"",VLOOKUP($R262&amp;U$2,$C$3:$F$4001,3,0))</f>
        <v>40130</v>
      </c>
      <c r="V262" s="107">
        <f>IF(ISNA(VLOOKUP($R262&amp;U$2,$C$3:$F$4001,4,0)),"",VLOOKUP($R262&amp;U$2,$C$3:$F$4001,4,0))</f>
        <v>0.93</v>
      </c>
      <c r="W262" s="106">
        <f>IF(ISNA(VLOOKUP($R262&amp;W$2,$C$3:$F$4001,3,0)),"",VLOOKUP($R262&amp;W$2,$C$3:$F$4001,3,0))</f>
        <v>40336</v>
      </c>
      <c r="X262" s="107">
        <f>IF(ISNA(VLOOKUP($R262&amp;W$2,$C$3:$F$4001,4,0)),"",VLOOKUP($R262&amp;W$2,$C$3:$F$4001,4,0))</f>
        <v>0.9</v>
      </c>
      <c r="Y262" s="106">
        <f>IF(ISNA(VLOOKUP($R262&amp;Y$2,$C$3:$F$4001,3,0)),"",VLOOKUP($R262&amp;Y$2,$C$3:$F$4001,3,0))</f>
        <v>40497</v>
      </c>
      <c r="Z262" s="107">
        <f>IF(ISNA(VLOOKUP($R262&amp;Y$2,$C$3:$F$4001,4,0)),"",VLOOKUP($R262&amp;Y$2,$C$3:$F$4001,4,0))</f>
        <v>0.93</v>
      </c>
      <c r="AA262" s="106">
        <f>IF(ISNA(VLOOKUP($R262&amp;AA$2,$C$3:$F$4001,3,0)),"",VLOOKUP($R262&amp;AA$2,$C$3:$F$4001,3,0))</f>
        <v>40701</v>
      </c>
      <c r="AB262" s="107">
        <f>IF(ISNA(VLOOKUP($R262&amp;AA$2,$C$3:$F$4001,4,0)),"",VLOOKUP($R262&amp;AA$2,$C$3:$F$4001,4,0))</f>
        <v>0.93</v>
      </c>
      <c r="AC262" s="106">
        <f>IF(ISNA(VLOOKUP($R262&amp;AC$2,$C$3:$F$4001,3,0)),"",VLOOKUP($R262&amp;AC$2,$C$3:$F$4001,3,0))</f>
        <v>40862</v>
      </c>
      <c r="AD262" s="107">
        <f>IF(ISNA(VLOOKUP($R262&amp;AC$2,$C$3:$F$4001,4,0)),"",VLOOKUP($R262&amp;AC$2,$C$3:$F$4001,4,0))</f>
        <v>0.96</v>
      </c>
      <c r="AE262" s="106">
        <f>IF(ISNA(VLOOKUP($R262&amp;AE$2,$C$3:$F$4001,3,0)),"",VLOOKUP($R262&amp;AE$2,$C$3:$F$4001,3,0))</f>
        <v>41067</v>
      </c>
      <c r="AF262" s="107">
        <f>IF(ISNA(VLOOKUP($R262&amp;AE$2,$C$3:$F$4001,4,0)),"",VLOOKUP($R262&amp;AE$2,$C$3:$F$4001,4,0))</f>
        <v>0.96</v>
      </c>
      <c r="AG262" s="106">
        <f>IF(ISNA(VLOOKUP($R262&amp;AG$2,$C$3:$F$4001,3,0)),"",VLOOKUP($R262&amp;AG$2,$C$3:$F$4001,3,0))</f>
        <v>41228</v>
      </c>
      <c r="AH262" s="107">
        <f>IF(ISNA(VLOOKUP($R262&amp;AG$2,$C$3:$F$4001,4,0)),"",VLOOKUP($R262&amp;AG$2,$C$3:$F$4001,4,0))</f>
        <v>1</v>
      </c>
      <c r="AI262" s="106">
        <f>IF(ISNA(VLOOKUP($R262&amp;AI$2,$C$3:$F$4001,3,0)),"",VLOOKUP($R262&amp;AI$2,$C$3:$F$4001,3,0))</f>
        <v>41432</v>
      </c>
      <c r="AJ262" s="107">
        <f>IF(ISNA(VLOOKUP($R262&amp;AI$2,$C$3:$F$4001,4,0)),"",VLOOKUP($R262&amp;AI$2,$C$3:$F$4001,4,0))</f>
        <v>0.98</v>
      </c>
      <c r="AK262" s="106">
        <f>IF(ISNA(VLOOKUP($R262&amp;AK$2,$C$3:$F$4001,3,0)),"",VLOOKUP($R262&amp;AK$2,$C$3:$F$4001,3,0))</f>
        <v>41593</v>
      </c>
      <c r="AL262" s="107">
        <f>IF(ISNA(VLOOKUP($R262&amp;AK$2,$C$3:$F$4001,4,0)),"",VLOOKUP($R262&amp;AK$2,$C$3:$F$4001,4,0))</f>
        <v>1.05</v>
      </c>
    </row>
    <row r="263" spans="3:38" x14ac:dyDescent="0.2">
      <c r="C263" s="96" t="str">
        <f t="shared" si="16"/>
        <v>BEN1</v>
      </c>
      <c r="D263" s="73" t="s">
        <v>91</v>
      </c>
      <c r="E263" s="100">
        <v>39870</v>
      </c>
      <c r="F263" s="101">
        <v>0.28000000000000003</v>
      </c>
      <c r="G263" s="96">
        <f t="shared" si="17"/>
        <v>1</v>
      </c>
      <c r="I263" s="96"/>
      <c r="K263" t="str">
        <f t="shared" si="18"/>
        <v>BEN1</v>
      </c>
      <c r="L263" s="73" t="s">
        <v>91</v>
      </c>
      <c r="M263" s="72">
        <v>39870</v>
      </c>
      <c r="N263" s="84">
        <v>0.28000000000000003</v>
      </c>
      <c r="O263" s="96">
        <f t="shared" si="19"/>
        <v>1</v>
      </c>
      <c r="P263" s="73"/>
      <c r="Q263" s="96"/>
      <c r="R263" s="96" t="str">
        <f>R262</f>
        <v>NAB</v>
      </c>
      <c r="S263" s="108">
        <f>IF(ISNA(VLOOKUP($R263&amp;S$2,$K$3:$N$4001,3,0)),"",VLOOKUP($R263&amp;S$2,$K$3:$N$4001,3,0))</f>
        <v>39968</v>
      </c>
      <c r="T263" s="109">
        <f>IF(ISNA(VLOOKUP($R263&amp;S$2,$K$3:$N$4001,4,0)),"",VLOOKUP($R263&amp;S$2,$K$3:$N$4001,4,0))</f>
        <v>0.9</v>
      </c>
      <c r="U263" s="108">
        <f>IF(ISNA(VLOOKUP($R263&amp;U$2,$K$3:$N$4001,3,0)),"",VLOOKUP($R263&amp;U$2,$K$3:$N$4001,3,0))</f>
        <v>40130</v>
      </c>
      <c r="V263" s="109">
        <f>IF(ISNA(VLOOKUP($R263&amp;U$2,$K$3:$N$4001,4,0)),"",VLOOKUP($R263&amp;U$2,$K$3:$N$4001,4,0))</f>
        <v>0.93</v>
      </c>
      <c r="W263" s="108">
        <f>IF(ISNA(VLOOKUP($R263&amp;W$2,$K$3:$N$4001,3,0)),"",VLOOKUP($R263&amp;W$2,$K$3:$N$4001,3,0))</f>
        <v>40336</v>
      </c>
      <c r="X263" s="109">
        <f>IF(ISNA(VLOOKUP($R263&amp;W$2,$K$3:$N$4001,4,0)),"",VLOOKUP($R263&amp;W$2,$K$3:$N$4001,4,0))</f>
        <v>0.9</v>
      </c>
      <c r="Y263" s="108">
        <f>IF(ISNA(VLOOKUP($R263&amp;Y$2,$K$3:$N$4001,3,0)),"",VLOOKUP($R263&amp;Y$2,$K$3:$N$4001,3,0))</f>
        <v>40497</v>
      </c>
      <c r="Z263" s="109">
        <f>IF(ISNA(VLOOKUP($R263&amp;Y$2,$K$3:$N$4001,4,0)),"",VLOOKUP($R263&amp;Y$2,$K$3:$N$4001,4,0))</f>
        <v>0.93</v>
      </c>
      <c r="AA263" s="108">
        <f>IF(ISNA(VLOOKUP($R263&amp;AA$2,$K$3:$N$4001,3,0)),"",VLOOKUP($R263&amp;AA$2,$K$3:$N$4001,3,0))</f>
        <v>40701</v>
      </c>
      <c r="AB263" s="109">
        <f>IF(ISNA(VLOOKUP($R263&amp;AA$2,$K$3:$N$4001,4,0)),"",VLOOKUP($R263&amp;AA$2,$K$3:$N$4001,4,0))</f>
        <v>0.93</v>
      </c>
      <c r="AC263" s="108">
        <f>IF(ISNA(VLOOKUP($R263&amp;AC$2,$K$3:$N$4001,3,0)),"",VLOOKUP($R263&amp;AC$2,$K$3:$N$4001,3,0))</f>
        <v>40862</v>
      </c>
      <c r="AD263" s="109">
        <f>IF(ISNA(VLOOKUP($R263&amp;AC$2,$K$3:$N$4001,4,0)),"",VLOOKUP($R263&amp;AC$2,$K$3:$N$4001,4,0))</f>
        <v>0.96</v>
      </c>
      <c r="AE263" s="108">
        <f>IF(ISNA(VLOOKUP($R263&amp;AE$2,$K$3:$N$4001,3,0)),"",VLOOKUP($R263&amp;AE$2,$K$3:$N$4001,3,0))</f>
        <v>41067</v>
      </c>
      <c r="AF263" s="109">
        <f>IF(ISNA(VLOOKUP($R263&amp;AE$2,$K$3:$N$4001,4,0)),"",VLOOKUP($R263&amp;AE$2,$K$3:$N$4001,4,0))</f>
        <v>0.96</v>
      </c>
      <c r="AG263" s="108">
        <f>IF(ISNA(VLOOKUP($R263&amp;AG$2,$K$3:$N$4001,3,0)),"",VLOOKUP($R263&amp;AG$2,$K$3:$N$4001,3,0))</f>
        <v>41228</v>
      </c>
      <c r="AH263" s="109">
        <f>IF(ISNA(VLOOKUP($R263&amp;AG$2,$K$3:$N$4001,4,0)),"",VLOOKUP($R263&amp;AG$2,$K$3:$N$4001,4,0))</f>
        <v>1</v>
      </c>
      <c r="AI263" s="108">
        <f>IF(ISNA(VLOOKUP($R263&amp;AI$2,$K$3:$N$4001,3,0)),"",VLOOKUP($R263&amp;AI$2,$K$3:$N$4001,3,0))</f>
        <v>41432</v>
      </c>
      <c r="AJ263" s="109">
        <f>IF(ISNA(VLOOKUP($R263&amp;AI$2,$K$3:$N$4001,4,0)),"",VLOOKUP($R263&amp;AI$2,$K$3:$N$4001,4,0))</f>
        <v>0.98</v>
      </c>
      <c r="AK263" s="108">
        <f>IF(ISNA(VLOOKUP($R263&amp;AK$2,$K$3:$N$4001,3,0)),"",VLOOKUP($R263&amp;AK$2,$K$3:$N$4001,3,0))</f>
        <v>41593</v>
      </c>
      <c r="AL263" s="109">
        <f>IF(ISNA(VLOOKUP($R263&amp;AK$2,$K$3:$N$4001,4,0)),"",VLOOKUP($R263&amp;AK$2,$K$3:$N$4001,4,0))</f>
        <v>1.05</v>
      </c>
    </row>
    <row r="264" spans="3:38" x14ac:dyDescent="0.2">
      <c r="C264" s="96" t="str">
        <f t="shared" si="16"/>
        <v>BEN2</v>
      </c>
      <c r="D264" s="73" t="s">
        <v>91</v>
      </c>
      <c r="E264" s="100">
        <v>40052</v>
      </c>
      <c r="F264" s="101">
        <v>0.37</v>
      </c>
      <c r="G264" s="96">
        <f t="shared" si="17"/>
        <v>2</v>
      </c>
      <c r="I264" s="96"/>
      <c r="K264" t="str">
        <f t="shared" si="18"/>
        <v>BEN2</v>
      </c>
      <c r="L264" s="73" t="s">
        <v>91</v>
      </c>
      <c r="M264" s="72">
        <v>40052</v>
      </c>
      <c r="N264" s="84">
        <v>0.37</v>
      </c>
      <c r="O264" s="96">
        <f t="shared" si="19"/>
        <v>2</v>
      </c>
      <c r="P264" s="73"/>
      <c r="Q264" s="96"/>
      <c r="R264" s="96" t="s">
        <v>179</v>
      </c>
      <c r="S264" s="106">
        <f>IF(ISNA(VLOOKUP($R264&amp;S$2,$C$3:$F$4001,3,0)),"",VLOOKUP($R264&amp;S$2,$C$3:$F$4001,3,0))</f>
        <v>40078</v>
      </c>
      <c r="T264" s="107">
        <f>IF(ISNA(VLOOKUP($R264&amp;S$2,$C$3:$F$4001,4,0)),"",VLOOKUP($R264&amp;S$2,$C$3:$F$4001,4,0))</f>
        <v>0.1</v>
      </c>
      <c r="U264" s="106">
        <f>IF(ISNA(VLOOKUP($R264&amp;U$2,$C$3:$F$4001,3,0)),"",VLOOKUP($R264&amp;U$2,$C$3:$F$4001,3,0))</f>
        <v>40443</v>
      </c>
      <c r="V264" s="107">
        <f>IF(ISNA(VLOOKUP($R264&amp;U$2,$C$3:$F$4001,4,0)),"",VLOOKUP($R264&amp;U$2,$C$3:$F$4001,4,0))</f>
        <v>0.1</v>
      </c>
      <c r="W264" s="106">
        <f>IF(ISNA(VLOOKUP($R264&amp;W$2,$C$3:$F$4001,3,0)),"",VLOOKUP($R264&amp;W$2,$C$3:$F$4001,3,0))</f>
        <v>40808</v>
      </c>
      <c r="X264" s="107">
        <f>IF(ISNA(VLOOKUP($R264&amp;W$2,$C$3:$F$4001,4,0)),"",VLOOKUP($R264&amp;W$2,$C$3:$F$4001,4,0))</f>
        <v>0.1</v>
      </c>
      <c r="Y264" s="106">
        <f>IF(ISNA(VLOOKUP($R264&amp;Y$2,$C$3:$F$4001,3,0)),"",VLOOKUP($R264&amp;Y$2,$C$3:$F$4001,3,0))</f>
        <v>41176</v>
      </c>
      <c r="Z264" s="107">
        <f>IF(ISNA(VLOOKUP($R264&amp;Y$2,$C$3:$F$4001,4,0)),"",VLOOKUP($R264&amp;Y$2,$C$3:$F$4001,4,0))</f>
        <v>0.1</v>
      </c>
      <c r="AA264" s="106">
        <f>IF(ISNA(VLOOKUP($R264&amp;AA$2,$C$3:$F$4001,3,0)),"",VLOOKUP($R264&amp;AA$2,$C$3:$F$4001,3,0))</f>
        <v>41541</v>
      </c>
      <c r="AB264" s="107">
        <f>IF(ISNA(VLOOKUP($R264&amp;AA$2,$C$3:$F$4001,4,0)),"",VLOOKUP($R264&amp;AA$2,$C$3:$F$4001,4,0))</f>
        <v>0.1</v>
      </c>
      <c r="AC264" s="106" t="str">
        <f>IF(ISNA(VLOOKUP($R264&amp;AC$2,$C$3:$F$4001,3,0)),"",VLOOKUP($R264&amp;AC$2,$C$3:$F$4001,3,0))</f>
        <v/>
      </c>
      <c r="AD264" s="107" t="str">
        <f>IF(ISNA(VLOOKUP($R264&amp;AC$2,$C$3:$F$4001,4,0)),"",VLOOKUP($R264&amp;AC$2,$C$3:$F$4001,4,0))</f>
        <v/>
      </c>
      <c r="AE264" s="106" t="str">
        <f>IF(ISNA(VLOOKUP($R264&amp;AE$2,$C$3:$F$4001,3,0)),"",VLOOKUP($R264&amp;AE$2,$C$3:$F$4001,3,0))</f>
        <v/>
      </c>
      <c r="AF264" s="107" t="str">
        <f>IF(ISNA(VLOOKUP($R264&amp;AE$2,$C$3:$F$4001,4,0)),"",VLOOKUP($R264&amp;AE$2,$C$3:$F$4001,4,0))</f>
        <v/>
      </c>
      <c r="AG264" s="106" t="str">
        <f>IF(ISNA(VLOOKUP($R264&amp;AG$2,$C$3:$F$4001,3,0)),"",VLOOKUP($R264&amp;AG$2,$C$3:$F$4001,3,0))</f>
        <v/>
      </c>
      <c r="AH264" s="107" t="str">
        <f>IF(ISNA(VLOOKUP($R264&amp;AG$2,$C$3:$F$4001,4,0)),"",VLOOKUP($R264&amp;AG$2,$C$3:$F$4001,4,0))</f>
        <v/>
      </c>
      <c r="AI264" s="106" t="str">
        <f>IF(ISNA(VLOOKUP($R264&amp;AI$2,$C$3:$F$4001,3,0)),"",VLOOKUP($R264&amp;AI$2,$C$3:$F$4001,3,0))</f>
        <v/>
      </c>
      <c r="AJ264" s="107" t="str">
        <f>IF(ISNA(VLOOKUP($R264&amp;AI$2,$C$3:$F$4001,4,0)),"",VLOOKUP($R264&amp;AI$2,$C$3:$F$4001,4,0))</f>
        <v/>
      </c>
      <c r="AK264" s="106" t="str">
        <f>IF(ISNA(VLOOKUP($R264&amp;AK$2,$C$3:$F$4001,3,0)),"",VLOOKUP($R264&amp;AK$2,$C$3:$F$4001,3,0))</f>
        <v/>
      </c>
      <c r="AL264" s="107" t="str">
        <f>IF(ISNA(VLOOKUP($R264&amp;AK$2,$C$3:$F$4001,4,0)),"",VLOOKUP($R264&amp;AK$2,$C$3:$F$4001,4,0))</f>
        <v/>
      </c>
    </row>
    <row r="265" spans="3:38" x14ac:dyDescent="0.2">
      <c r="C265" s="96" t="str">
        <f t="shared" si="16"/>
        <v>BEN3</v>
      </c>
      <c r="D265" s="73" t="s">
        <v>91</v>
      </c>
      <c r="E265" s="100">
        <v>40235</v>
      </c>
      <c r="F265" s="101">
        <v>0.3</v>
      </c>
      <c r="G265" s="96">
        <f t="shared" si="17"/>
        <v>3</v>
      </c>
      <c r="I265" s="96"/>
      <c r="K265" t="str">
        <f t="shared" si="18"/>
        <v>BEN3</v>
      </c>
      <c r="L265" s="73" t="s">
        <v>91</v>
      </c>
      <c r="M265" s="72">
        <v>40235</v>
      </c>
      <c r="N265" s="84">
        <v>0.3</v>
      </c>
      <c r="O265" s="96">
        <f t="shared" si="19"/>
        <v>3</v>
      </c>
      <c r="P265" s="73"/>
      <c r="Q265" s="96"/>
      <c r="R265" s="96" t="str">
        <f>R264</f>
        <v>NCM</v>
      </c>
      <c r="S265" s="108">
        <f>IF(ISNA(VLOOKUP($R265&amp;S$2,$K$3:$N$4001,3,0)),"",VLOOKUP($R265&amp;S$2,$K$3:$N$4001,3,0))</f>
        <v>40078</v>
      </c>
      <c r="T265" s="109">
        <f>IF(ISNA(VLOOKUP($R265&amp;S$2,$K$3:$N$4001,4,0)),"",VLOOKUP($R265&amp;S$2,$K$3:$N$4001,4,0))</f>
        <v>0.1</v>
      </c>
      <c r="U265" s="108">
        <f>IF(ISNA(VLOOKUP($R265&amp;U$2,$K$3:$N$4001,3,0)),"",VLOOKUP($R265&amp;U$2,$K$3:$N$4001,3,0))</f>
        <v>40443</v>
      </c>
      <c r="V265" s="109">
        <f>IF(ISNA(VLOOKUP($R265&amp;U$2,$K$3:$N$4001,4,0)),"",VLOOKUP($R265&amp;U$2,$K$3:$N$4001,4,0))</f>
        <v>0.1</v>
      </c>
      <c r="W265" s="108">
        <f>IF(ISNA(VLOOKUP($R265&amp;W$2,$K$3:$N$4001,3,0)),"",VLOOKUP($R265&amp;W$2,$K$3:$N$4001,3,0))</f>
        <v>40808</v>
      </c>
      <c r="X265" s="109">
        <f>IF(ISNA(VLOOKUP($R265&amp;W$2,$K$3:$N$4001,4,0)),"",VLOOKUP($R265&amp;W$2,$K$3:$N$4001,4,0))</f>
        <v>0.1</v>
      </c>
      <c r="Y265" s="108">
        <f>IF(ISNA(VLOOKUP($R265&amp;Y$2,$K$3:$N$4001,3,0)),"",VLOOKUP($R265&amp;Y$2,$K$3:$N$4001,3,0))</f>
        <v>41176</v>
      </c>
      <c r="Z265" s="109">
        <f>IF(ISNA(VLOOKUP($R265&amp;Y$2,$K$3:$N$4001,4,0)),"",VLOOKUP($R265&amp;Y$2,$K$3:$N$4001,4,0))</f>
        <v>0.1</v>
      </c>
      <c r="AA265" s="108">
        <f>IF(ISNA(VLOOKUP($R265&amp;AA$2,$K$3:$N$4001,3,0)),"",VLOOKUP($R265&amp;AA$2,$K$3:$N$4001,3,0))</f>
        <v>41541</v>
      </c>
      <c r="AB265" s="109">
        <f>IF(ISNA(VLOOKUP($R265&amp;AA$2,$K$3:$N$4001,4,0)),"",VLOOKUP($R265&amp;AA$2,$K$3:$N$4001,4,0))</f>
        <v>0.1</v>
      </c>
      <c r="AC265" s="108" t="str">
        <f>IF(ISNA(VLOOKUP($R265&amp;AC$2,$K$3:$N$4001,3,0)),"",VLOOKUP($R265&amp;AC$2,$K$3:$N$4001,3,0))</f>
        <v/>
      </c>
      <c r="AD265" s="109" t="str">
        <f>IF(ISNA(VLOOKUP($R265&amp;AC$2,$K$3:$N$4001,4,0)),"",VLOOKUP($R265&amp;AC$2,$K$3:$N$4001,4,0))</f>
        <v/>
      </c>
      <c r="AE265" s="108" t="str">
        <f>IF(ISNA(VLOOKUP($R265&amp;AE$2,$K$3:$N$4001,3,0)),"",VLOOKUP($R265&amp;AE$2,$K$3:$N$4001,3,0))</f>
        <v/>
      </c>
      <c r="AF265" s="109" t="str">
        <f>IF(ISNA(VLOOKUP($R265&amp;AE$2,$K$3:$N$4001,4,0)),"",VLOOKUP($R265&amp;AE$2,$K$3:$N$4001,4,0))</f>
        <v/>
      </c>
      <c r="AG265" s="108" t="str">
        <f>IF(ISNA(VLOOKUP($R265&amp;AG$2,$K$3:$N$4001,3,0)),"",VLOOKUP($R265&amp;AG$2,$K$3:$N$4001,3,0))</f>
        <v/>
      </c>
      <c r="AH265" s="109" t="str">
        <f>IF(ISNA(VLOOKUP($R265&amp;AG$2,$K$3:$N$4001,4,0)),"",VLOOKUP($R265&amp;AG$2,$K$3:$N$4001,4,0))</f>
        <v/>
      </c>
      <c r="AI265" s="108" t="str">
        <f>IF(ISNA(VLOOKUP($R265&amp;AI$2,$K$3:$N$4001,3,0)),"",VLOOKUP($R265&amp;AI$2,$K$3:$N$4001,3,0))</f>
        <v/>
      </c>
      <c r="AJ265" s="109" t="str">
        <f>IF(ISNA(VLOOKUP($R265&amp;AI$2,$K$3:$N$4001,4,0)),"",VLOOKUP($R265&amp;AI$2,$K$3:$N$4001,4,0))</f>
        <v/>
      </c>
      <c r="AK265" s="108" t="str">
        <f>IF(ISNA(VLOOKUP($R265&amp;AK$2,$K$3:$N$4001,3,0)),"",VLOOKUP($R265&amp;AK$2,$K$3:$N$4001,3,0))</f>
        <v/>
      </c>
      <c r="AL265" s="109" t="str">
        <f>IF(ISNA(VLOOKUP($R265&amp;AK$2,$K$3:$N$4001,4,0)),"",VLOOKUP($R265&amp;AK$2,$K$3:$N$4001,4,0))</f>
        <v/>
      </c>
    </row>
    <row r="266" spans="3:38" x14ac:dyDescent="0.2">
      <c r="C266" s="96" t="str">
        <f t="shared" si="16"/>
        <v>BEN4</v>
      </c>
      <c r="D266" s="73" t="s">
        <v>91</v>
      </c>
      <c r="E266" s="100">
        <v>40417</v>
      </c>
      <c r="F266" s="101">
        <v>0.4</v>
      </c>
      <c r="G266" s="96">
        <f t="shared" si="17"/>
        <v>4</v>
      </c>
      <c r="I266" s="96"/>
      <c r="K266" t="str">
        <f t="shared" si="18"/>
        <v>BEN4</v>
      </c>
      <c r="L266" s="73" t="s">
        <v>91</v>
      </c>
      <c r="M266" s="72">
        <v>40417</v>
      </c>
      <c r="N266" s="84">
        <v>0.4</v>
      </c>
      <c r="O266" s="96">
        <f t="shared" si="19"/>
        <v>4</v>
      </c>
      <c r="P266" s="73"/>
      <c r="Q266" s="96"/>
      <c r="R266" s="96" t="s">
        <v>182</v>
      </c>
      <c r="S266" s="106">
        <f>IF(ISNA(VLOOKUP($R266&amp;S$2,$C$3:$F$4001,3,0)),"",VLOOKUP($R266&amp;S$2,$C$3:$F$4001,3,0))</f>
        <v>39877</v>
      </c>
      <c r="T266" s="107">
        <f>IF(ISNA(VLOOKUP($R266&amp;S$2,$C$3:$F$4001,4,0)),"",VLOOKUP($R266&amp;S$2,$C$3:$F$4001,4,0))</f>
        <v>0.06</v>
      </c>
      <c r="U266" s="106">
        <f>IF(ISNA(VLOOKUP($R266&amp;U$2,$C$3:$F$4001,3,0)),"",VLOOKUP($R266&amp;U$2,$C$3:$F$4001,3,0))</f>
        <v>40060</v>
      </c>
      <c r="V266" s="107">
        <f>IF(ISNA(VLOOKUP($R266&amp;U$2,$C$3:$F$4001,4,0)),"",VLOOKUP($R266&amp;U$2,$C$3:$F$4001,4,0))</f>
        <v>0.06</v>
      </c>
      <c r="W266" s="106">
        <f>IF(ISNA(VLOOKUP($R266&amp;W$2,$C$3:$F$4001,3,0)),"",VLOOKUP($R266&amp;W$2,$C$3:$F$4001,3,0))</f>
        <v>40245</v>
      </c>
      <c r="X266" s="107">
        <f>IF(ISNA(VLOOKUP($R266&amp;W$2,$C$3:$F$4001,4,0)),"",VLOOKUP($R266&amp;W$2,$C$3:$F$4001,4,0))</f>
        <v>0.06</v>
      </c>
      <c r="Y266" s="106">
        <f>IF(ISNA(VLOOKUP($R266&amp;Y$2,$C$3:$F$4001,3,0)),"",VLOOKUP($R266&amp;Y$2,$C$3:$F$4001,3,0))</f>
        <v>40427</v>
      </c>
      <c r="Z266" s="107">
        <f>IF(ISNA(VLOOKUP($R266&amp;Y$2,$C$3:$F$4001,4,0)),"",VLOOKUP($R266&amp;Y$2,$C$3:$F$4001,4,0))</f>
        <v>0.06</v>
      </c>
      <c r="AA266" s="106">
        <f>IF(ISNA(VLOOKUP($R266&amp;AA$2,$C$3:$F$4001,3,0)),"",VLOOKUP($R266&amp;AA$2,$C$3:$F$4001,3,0))</f>
        <v>40610</v>
      </c>
      <c r="AB266" s="107">
        <f>IF(ISNA(VLOOKUP($R266&amp;AA$2,$C$3:$F$4001,4,0)),"",VLOOKUP($R266&amp;AA$2,$C$3:$F$4001,4,0))</f>
        <v>0.06</v>
      </c>
      <c r="AC266" s="106">
        <f>IF(ISNA(VLOOKUP($R266&amp;AC$2,$C$3:$F$4001,3,0)),"",VLOOKUP($R266&amp;AC$2,$C$3:$F$4001,3,0))</f>
        <v>40792</v>
      </c>
      <c r="AD266" s="107">
        <f>IF(ISNA(VLOOKUP($R266&amp;AC$2,$C$3:$F$4001,4,0)),"",VLOOKUP($R266&amp;AC$2,$C$3:$F$4001,4,0))</f>
        <v>0.06</v>
      </c>
      <c r="AE266" s="106">
        <f>IF(ISNA(VLOOKUP($R266&amp;AE$2,$C$3:$F$4001,3,0)),"",VLOOKUP($R266&amp;AE$2,$C$3:$F$4001,3,0))</f>
        <v>40976</v>
      </c>
      <c r="AF266" s="107">
        <f>IF(ISNA(VLOOKUP($R266&amp;AE$2,$C$3:$F$4001,4,0)),"",VLOOKUP($R266&amp;AE$2,$C$3:$F$4001,4,0))</f>
        <v>7.0000000000000007E-2</v>
      </c>
      <c r="AG266" s="106">
        <f>IF(ISNA(VLOOKUP($R266&amp;AG$2,$C$3:$F$4001,3,0)),"",VLOOKUP($R266&amp;AG$2,$C$3:$F$4001,3,0))</f>
        <v>41158</v>
      </c>
      <c r="AH266" s="107">
        <f>IF(ISNA(VLOOKUP($R266&amp;AG$2,$C$3:$F$4001,4,0)),"",VLOOKUP($R266&amp;AG$2,$C$3:$F$4001,4,0))</f>
        <v>7.0000000000000007E-2</v>
      </c>
      <c r="AI266" s="106">
        <f>IF(ISNA(VLOOKUP($R266&amp;AI$2,$C$3:$F$4001,3,0)),"",VLOOKUP($R266&amp;AI$2,$C$3:$F$4001,3,0))</f>
        <v>41341</v>
      </c>
      <c r="AJ266" s="107">
        <f>IF(ISNA(VLOOKUP($R266&amp;AI$2,$C$3:$F$4001,4,0)),"",VLOOKUP($R266&amp;AI$2,$C$3:$F$4001,4,0))</f>
        <v>7.0000000000000007E-2</v>
      </c>
      <c r="AK266" s="106">
        <f>IF(ISNA(VLOOKUP($R266&amp;AK$2,$C$3:$F$4001,3,0)),"",VLOOKUP($R266&amp;AK$2,$C$3:$F$4001,3,0))</f>
        <v>41523</v>
      </c>
      <c r="AL266" s="107">
        <f>IF(ISNA(VLOOKUP($R266&amp;AK$2,$C$3:$F$4001,4,0)),"",VLOOKUP($R266&amp;AK$2,$C$3:$F$4001,4,0))</f>
        <v>7.0000000000000007E-2</v>
      </c>
    </row>
    <row r="267" spans="3:38" x14ac:dyDescent="0.2">
      <c r="C267" s="96" t="str">
        <f t="shared" si="16"/>
        <v>BEN5</v>
      </c>
      <c r="D267" s="73" t="s">
        <v>91</v>
      </c>
      <c r="E267" s="100">
        <v>40602</v>
      </c>
      <c r="F267" s="101">
        <v>0.32</v>
      </c>
      <c r="G267" s="96">
        <f t="shared" si="17"/>
        <v>5</v>
      </c>
      <c r="I267" s="96"/>
      <c r="K267" t="str">
        <f t="shared" si="18"/>
        <v>BEN5</v>
      </c>
      <c r="L267" s="73" t="s">
        <v>91</v>
      </c>
      <c r="M267" s="72">
        <v>40602</v>
      </c>
      <c r="N267" s="84">
        <v>0.32</v>
      </c>
      <c r="O267" s="96">
        <f t="shared" si="19"/>
        <v>5</v>
      </c>
      <c r="P267" s="73"/>
      <c r="Q267" s="96"/>
      <c r="R267" s="96" t="str">
        <f>R266</f>
        <v>NWS</v>
      </c>
      <c r="S267" s="108">
        <f>IF(ISNA(VLOOKUP($R267&amp;S$2,$K$3:$N$4001,3,0)),"",VLOOKUP($R267&amp;S$2,$K$3:$N$4001,3,0))</f>
        <v>39877</v>
      </c>
      <c r="T267" s="109">
        <f>IF(ISNA(VLOOKUP($R267&amp;S$2,$K$3:$N$4001,4,0)),"",VLOOKUP($R267&amp;S$2,$K$3:$N$4001,4,0))</f>
        <v>0.06</v>
      </c>
      <c r="U267" s="108">
        <f>IF(ISNA(VLOOKUP($R267&amp;U$2,$K$3:$N$4001,3,0)),"",VLOOKUP($R267&amp;U$2,$K$3:$N$4001,3,0))</f>
        <v>40060</v>
      </c>
      <c r="V267" s="109">
        <f>IF(ISNA(VLOOKUP($R267&amp;U$2,$K$3:$N$4001,4,0)),"",VLOOKUP($R267&amp;U$2,$K$3:$N$4001,4,0))</f>
        <v>0.06</v>
      </c>
      <c r="W267" s="108">
        <f>IF(ISNA(VLOOKUP($R267&amp;W$2,$K$3:$N$4001,3,0)),"",VLOOKUP($R267&amp;W$2,$K$3:$N$4001,3,0))</f>
        <v>40245</v>
      </c>
      <c r="X267" s="109">
        <f>IF(ISNA(VLOOKUP($R267&amp;W$2,$K$3:$N$4001,4,0)),"",VLOOKUP($R267&amp;W$2,$K$3:$N$4001,4,0))</f>
        <v>0.06</v>
      </c>
      <c r="Y267" s="108">
        <f>IF(ISNA(VLOOKUP($R267&amp;Y$2,$K$3:$N$4001,3,0)),"",VLOOKUP($R267&amp;Y$2,$K$3:$N$4001,3,0))</f>
        <v>40427</v>
      </c>
      <c r="Z267" s="109">
        <f>IF(ISNA(VLOOKUP($R267&amp;Y$2,$K$3:$N$4001,4,0)),"",VLOOKUP($R267&amp;Y$2,$K$3:$N$4001,4,0))</f>
        <v>0.06</v>
      </c>
      <c r="AA267" s="108">
        <f>IF(ISNA(VLOOKUP($R267&amp;AA$2,$K$3:$N$4001,3,0)),"",VLOOKUP($R267&amp;AA$2,$K$3:$N$4001,3,0))</f>
        <v>40610</v>
      </c>
      <c r="AB267" s="109">
        <f>IF(ISNA(VLOOKUP($R267&amp;AA$2,$K$3:$N$4001,4,0)),"",VLOOKUP($R267&amp;AA$2,$K$3:$N$4001,4,0))</f>
        <v>0.06</v>
      </c>
      <c r="AC267" s="108">
        <f>IF(ISNA(VLOOKUP($R267&amp;AC$2,$K$3:$N$4001,3,0)),"",VLOOKUP($R267&amp;AC$2,$K$3:$N$4001,3,0))</f>
        <v>40792</v>
      </c>
      <c r="AD267" s="109">
        <f>IF(ISNA(VLOOKUP($R267&amp;AC$2,$K$3:$N$4001,4,0)),"",VLOOKUP($R267&amp;AC$2,$K$3:$N$4001,4,0))</f>
        <v>0.06</v>
      </c>
      <c r="AE267" s="108">
        <f>IF(ISNA(VLOOKUP($R267&amp;AE$2,$K$3:$N$4001,3,0)),"",VLOOKUP($R267&amp;AE$2,$K$3:$N$4001,3,0))</f>
        <v>40976</v>
      </c>
      <c r="AF267" s="109">
        <f>IF(ISNA(VLOOKUP($R267&amp;AE$2,$K$3:$N$4001,4,0)),"",VLOOKUP($R267&amp;AE$2,$K$3:$N$4001,4,0))</f>
        <v>7.0000000000000007E-2</v>
      </c>
      <c r="AG267" s="108">
        <f>IF(ISNA(VLOOKUP($R267&amp;AG$2,$K$3:$N$4001,3,0)),"",VLOOKUP($R267&amp;AG$2,$K$3:$N$4001,3,0))</f>
        <v>41158</v>
      </c>
      <c r="AH267" s="109">
        <f>IF(ISNA(VLOOKUP($R267&amp;AG$2,$K$3:$N$4001,4,0)),"",VLOOKUP($R267&amp;AG$2,$K$3:$N$4001,4,0))</f>
        <v>7.0000000000000007E-2</v>
      </c>
      <c r="AI267" s="108">
        <f>IF(ISNA(VLOOKUP($R267&amp;AI$2,$K$3:$N$4001,3,0)),"",VLOOKUP($R267&amp;AI$2,$K$3:$N$4001,3,0))</f>
        <v>41341</v>
      </c>
      <c r="AJ267" s="109">
        <f>IF(ISNA(VLOOKUP($R267&amp;AI$2,$K$3:$N$4001,4,0)),"",VLOOKUP($R267&amp;AI$2,$K$3:$N$4001,4,0))</f>
        <v>7.0000000000000007E-2</v>
      </c>
      <c r="AK267" s="108">
        <f>IF(ISNA(VLOOKUP($R267&amp;AK$2,$K$3:$N$4001,3,0)),"",VLOOKUP($R267&amp;AK$2,$K$3:$N$4001,3,0))</f>
        <v>41523</v>
      </c>
      <c r="AL267" s="109">
        <f>IF(ISNA(VLOOKUP($R267&amp;AK$2,$K$3:$N$4001,4,0)),"",VLOOKUP($R267&amp;AK$2,$K$3:$N$4001,4,0))</f>
        <v>7.0000000000000007E-2</v>
      </c>
    </row>
    <row r="268" spans="3:38" x14ac:dyDescent="0.2">
      <c r="C268" s="96" t="str">
        <f t="shared" si="16"/>
        <v>BEN6</v>
      </c>
      <c r="D268" s="73" t="s">
        <v>91</v>
      </c>
      <c r="E268" s="100">
        <v>40784</v>
      </c>
      <c r="F268" s="101">
        <v>0.42</v>
      </c>
      <c r="G268" s="96">
        <f t="shared" si="17"/>
        <v>6</v>
      </c>
      <c r="I268" s="96"/>
      <c r="K268" t="str">
        <f t="shared" si="18"/>
        <v>BEN6</v>
      </c>
      <c r="L268" s="73" t="s">
        <v>91</v>
      </c>
      <c r="M268" s="72">
        <v>40784</v>
      </c>
      <c r="N268" s="84">
        <v>0.42</v>
      </c>
      <c r="O268" s="96">
        <f t="shared" si="19"/>
        <v>6</v>
      </c>
      <c r="Q268" s="96"/>
      <c r="R268" s="96" t="s">
        <v>273</v>
      </c>
      <c r="S268" s="106" t="str">
        <f>IF(ISNA(VLOOKUP($R268&amp;S$2,$C$3:$F$4001,3,0)),"",VLOOKUP($R268&amp;S$2,$C$3:$F$4001,3,0))</f>
        <v/>
      </c>
      <c r="T268" s="107" t="str">
        <f>IF(ISNA(VLOOKUP($R268&amp;S$2,$C$3:$F$4001,4,0)),"",VLOOKUP($R268&amp;S$2,$C$3:$F$4001,4,0))</f>
        <v/>
      </c>
      <c r="U268" s="106" t="str">
        <f>IF(ISNA(VLOOKUP($R268&amp;U$2,$C$3:$F$4001,3,0)),"",VLOOKUP($R268&amp;U$2,$C$3:$F$4001,3,0))</f>
        <v/>
      </c>
      <c r="V268" s="107" t="str">
        <f>IF(ISNA(VLOOKUP($R268&amp;U$2,$C$3:$F$4001,4,0)),"",VLOOKUP($R268&amp;U$2,$C$3:$F$4001,4,0))</f>
        <v/>
      </c>
      <c r="W268" s="106" t="str">
        <f>IF(ISNA(VLOOKUP($R268&amp;W$2,$C$3:$F$4001,3,0)),"",VLOOKUP($R268&amp;W$2,$C$3:$F$4001,3,0))</f>
        <v/>
      </c>
      <c r="X268" s="107" t="str">
        <f>IF(ISNA(VLOOKUP($R268&amp;W$2,$C$3:$F$4001,4,0)),"",VLOOKUP($R268&amp;W$2,$C$3:$F$4001,4,0))</f>
        <v/>
      </c>
      <c r="Y268" s="106" t="str">
        <f>IF(ISNA(VLOOKUP($R268&amp;Y$2,$C$3:$F$4001,3,0)),"",VLOOKUP($R268&amp;Y$2,$C$3:$F$4001,3,0))</f>
        <v/>
      </c>
      <c r="Z268" s="107" t="str">
        <f>IF(ISNA(VLOOKUP($R268&amp;Y$2,$C$3:$F$4001,4,0)),"",VLOOKUP($R268&amp;Y$2,$C$3:$F$4001,4,0))</f>
        <v/>
      </c>
      <c r="AA268" s="106" t="str">
        <f>IF(ISNA(VLOOKUP($R268&amp;AA$2,$C$3:$F$4001,3,0)),"",VLOOKUP($R268&amp;AA$2,$C$3:$F$4001,3,0))</f>
        <v/>
      </c>
      <c r="AB268" s="107" t="str">
        <f>IF(ISNA(VLOOKUP($R268&amp;AA$2,$C$3:$F$4001,4,0)),"",VLOOKUP($R268&amp;AA$2,$C$3:$F$4001,4,0))</f>
        <v/>
      </c>
      <c r="AC268" s="106" t="str">
        <f>IF(ISNA(VLOOKUP($R268&amp;AC$2,$C$3:$F$4001,3,0)),"",VLOOKUP($R268&amp;AC$2,$C$3:$F$4001,3,0))</f>
        <v/>
      </c>
      <c r="AD268" s="107" t="str">
        <f>IF(ISNA(VLOOKUP($R268&amp;AC$2,$C$3:$F$4001,4,0)),"",VLOOKUP($R268&amp;AC$2,$C$3:$F$4001,4,0))</f>
        <v/>
      </c>
      <c r="AE268" s="106" t="str">
        <f>IF(ISNA(VLOOKUP($R268&amp;AE$2,$C$3:$F$4001,3,0)),"",VLOOKUP($R268&amp;AE$2,$C$3:$F$4001,3,0))</f>
        <v/>
      </c>
      <c r="AF268" s="107" t="str">
        <f>IF(ISNA(VLOOKUP($R268&amp;AE$2,$C$3:$F$4001,4,0)),"",VLOOKUP($R268&amp;AE$2,$C$3:$F$4001,4,0))</f>
        <v/>
      </c>
      <c r="AG268" s="106" t="str">
        <f>IF(ISNA(VLOOKUP($R268&amp;AG$2,$C$3:$F$4001,3,0)),"",VLOOKUP($R268&amp;AG$2,$C$3:$F$4001,3,0))</f>
        <v/>
      </c>
      <c r="AH268" s="107" t="str">
        <f>IF(ISNA(VLOOKUP($R268&amp;AG$2,$C$3:$F$4001,4,0)),"",VLOOKUP($R268&amp;AG$2,$C$3:$F$4001,4,0))</f>
        <v/>
      </c>
      <c r="AI268" s="106" t="str">
        <f>IF(ISNA(VLOOKUP($R268&amp;AI$2,$C$3:$F$4001,3,0)),"",VLOOKUP($R268&amp;AI$2,$C$3:$F$4001,3,0))</f>
        <v/>
      </c>
      <c r="AJ268" s="107" t="str">
        <f>IF(ISNA(VLOOKUP($R268&amp;AI$2,$C$3:$F$4001,4,0)),"",VLOOKUP($R268&amp;AI$2,$C$3:$F$4001,4,0))</f>
        <v/>
      </c>
      <c r="AK268" s="106" t="str">
        <f>IF(ISNA(VLOOKUP($R268&amp;AK$2,$C$3:$F$4001,3,0)),"",VLOOKUP($R268&amp;AK$2,$C$3:$F$4001,3,0))</f>
        <v/>
      </c>
      <c r="AL268" s="107" t="str">
        <f>IF(ISNA(VLOOKUP($R268&amp;AK$2,$C$3:$F$4001,4,0)),"",VLOOKUP($R268&amp;AK$2,$C$3:$F$4001,4,0))</f>
        <v/>
      </c>
    </row>
    <row r="269" spans="3:38" x14ac:dyDescent="0.2">
      <c r="C269" s="96" t="str">
        <f t="shared" si="16"/>
        <v>BEN7</v>
      </c>
      <c r="D269" s="73" t="s">
        <v>91</v>
      </c>
      <c r="E269" s="100">
        <v>40967</v>
      </c>
      <c r="F269" s="101">
        <v>0.34</v>
      </c>
      <c r="G269" s="96">
        <f t="shared" si="17"/>
        <v>7</v>
      </c>
      <c r="I269" s="96"/>
      <c r="K269" t="str">
        <f t="shared" si="18"/>
        <v>BEN7</v>
      </c>
      <c r="L269" s="73" t="s">
        <v>91</v>
      </c>
      <c r="M269" s="72">
        <v>40967</v>
      </c>
      <c r="N269" s="84">
        <v>0.34</v>
      </c>
      <c r="O269" s="96">
        <f t="shared" si="19"/>
        <v>7</v>
      </c>
      <c r="Q269" s="96"/>
      <c r="R269" s="96" t="str">
        <f>R268</f>
        <v>NXS</v>
      </c>
      <c r="S269" s="108" t="str">
        <f>IF(ISNA(VLOOKUP($R269&amp;S$2,$K$3:$N$4001,3,0)),"",VLOOKUP($R269&amp;S$2,$K$3:$N$4001,3,0))</f>
        <v/>
      </c>
      <c r="T269" s="109" t="str">
        <f>IF(ISNA(VLOOKUP($R269&amp;S$2,$K$3:$N$4001,4,0)),"",VLOOKUP($R269&amp;S$2,$K$3:$N$4001,4,0))</f>
        <v/>
      </c>
      <c r="U269" s="108" t="str">
        <f>IF(ISNA(VLOOKUP($R269&amp;U$2,$K$3:$N$4001,3,0)),"",VLOOKUP($R269&amp;U$2,$K$3:$N$4001,3,0))</f>
        <v/>
      </c>
      <c r="V269" s="109" t="str">
        <f>IF(ISNA(VLOOKUP($R269&amp;U$2,$K$3:$N$4001,4,0)),"",VLOOKUP($R269&amp;U$2,$K$3:$N$4001,4,0))</f>
        <v/>
      </c>
      <c r="W269" s="108" t="str">
        <f>IF(ISNA(VLOOKUP($R269&amp;W$2,$K$3:$N$4001,3,0)),"",VLOOKUP($R269&amp;W$2,$K$3:$N$4001,3,0))</f>
        <v/>
      </c>
      <c r="X269" s="109" t="str">
        <f>IF(ISNA(VLOOKUP($R269&amp;W$2,$K$3:$N$4001,4,0)),"",VLOOKUP($R269&amp;W$2,$K$3:$N$4001,4,0))</f>
        <v/>
      </c>
      <c r="Y269" s="108" t="str">
        <f>IF(ISNA(VLOOKUP($R269&amp;Y$2,$K$3:$N$4001,3,0)),"",VLOOKUP($R269&amp;Y$2,$K$3:$N$4001,3,0))</f>
        <v/>
      </c>
      <c r="Z269" s="109" t="str">
        <f>IF(ISNA(VLOOKUP($R269&amp;Y$2,$K$3:$N$4001,4,0)),"",VLOOKUP($R269&amp;Y$2,$K$3:$N$4001,4,0))</f>
        <v/>
      </c>
      <c r="AA269" s="108" t="str">
        <f>IF(ISNA(VLOOKUP($R269&amp;AA$2,$K$3:$N$4001,3,0)),"",VLOOKUP($R269&amp;AA$2,$K$3:$N$4001,3,0))</f>
        <v/>
      </c>
      <c r="AB269" s="109" t="str">
        <f>IF(ISNA(VLOOKUP($R269&amp;AA$2,$K$3:$N$4001,4,0)),"",VLOOKUP($R269&amp;AA$2,$K$3:$N$4001,4,0))</f>
        <v/>
      </c>
      <c r="AC269" s="108" t="str">
        <f>IF(ISNA(VLOOKUP($R269&amp;AC$2,$K$3:$N$4001,3,0)),"",VLOOKUP($R269&amp;AC$2,$K$3:$N$4001,3,0))</f>
        <v/>
      </c>
      <c r="AD269" s="109" t="str">
        <f>IF(ISNA(VLOOKUP($R269&amp;AC$2,$K$3:$N$4001,4,0)),"",VLOOKUP($R269&amp;AC$2,$K$3:$N$4001,4,0))</f>
        <v/>
      </c>
      <c r="AE269" s="108" t="str">
        <f>IF(ISNA(VLOOKUP($R269&amp;AE$2,$K$3:$N$4001,3,0)),"",VLOOKUP($R269&amp;AE$2,$K$3:$N$4001,3,0))</f>
        <v/>
      </c>
      <c r="AF269" s="109" t="str">
        <f>IF(ISNA(VLOOKUP($R269&amp;AE$2,$K$3:$N$4001,4,0)),"",VLOOKUP($R269&amp;AE$2,$K$3:$N$4001,4,0))</f>
        <v/>
      </c>
      <c r="AG269" s="108" t="str">
        <f>IF(ISNA(VLOOKUP($R269&amp;AG$2,$K$3:$N$4001,3,0)),"",VLOOKUP($R269&amp;AG$2,$K$3:$N$4001,3,0))</f>
        <v/>
      </c>
      <c r="AH269" s="109" t="str">
        <f>IF(ISNA(VLOOKUP($R269&amp;AG$2,$K$3:$N$4001,4,0)),"",VLOOKUP($R269&amp;AG$2,$K$3:$N$4001,4,0))</f>
        <v/>
      </c>
      <c r="AI269" s="108" t="str">
        <f>IF(ISNA(VLOOKUP($R269&amp;AI$2,$K$3:$N$4001,3,0)),"",VLOOKUP($R269&amp;AI$2,$K$3:$N$4001,3,0))</f>
        <v/>
      </c>
      <c r="AJ269" s="109" t="str">
        <f>IF(ISNA(VLOOKUP($R269&amp;AI$2,$K$3:$N$4001,4,0)),"",VLOOKUP($R269&amp;AI$2,$K$3:$N$4001,4,0))</f>
        <v/>
      </c>
      <c r="AK269" s="108" t="str">
        <f>IF(ISNA(VLOOKUP($R269&amp;AK$2,$K$3:$N$4001,3,0)),"",VLOOKUP($R269&amp;AK$2,$K$3:$N$4001,3,0))</f>
        <v/>
      </c>
      <c r="AL269" s="109" t="str">
        <f>IF(ISNA(VLOOKUP($R269&amp;AK$2,$K$3:$N$4001,4,0)),"",VLOOKUP($R269&amp;AK$2,$K$3:$N$4001,4,0))</f>
        <v/>
      </c>
    </row>
    <row r="270" spans="3:38" x14ac:dyDescent="0.2">
      <c r="C270" s="96" t="str">
        <f t="shared" si="16"/>
        <v>BEN8</v>
      </c>
      <c r="D270" s="73" t="s">
        <v>91</v>
      </c>
      <c r="E270" s="100">
        <v>41149</v>
      </c>
      <c r="F270" s="101">
        <v>0.44</v>
      </c>
      <c r="G270" s="96">
        <f t="shared" si="17"/>
        <v>8</v>
      </c>
      <c r="I270" s="96"/>
      <c r="K270" t="str">
        <f t="shared" si="18"/>
        <v>BEN8</v>
      </c>
      <c r="L270" s="73" t="s">
        <v>91</v>
      </c>
      <c r="M270" s="72">
        <v>41149</v>
      </c>
      <c r="N270" s="84">
        <v>0.44</v>
      </c>
      <c r="O270" s="96">
        <f t="shared" si="19"/>
        <v>8</v>
      </c>
      <c r="Q270" s="96"/>
      <c r="R270" s="96" t="s">
        <v>181</v>
      </c>
      <c r="S270" s="106">
        <f>IF(ISNA(VLOOKUP($R270&amp;S$2,$C$3:$F$4001,3,0)),"",VLOOKUP($R270&amp;S$2,$C$3:$F$4001,3,0))</f>
        <v>39869</v>
      </c>
      <c r="T270" s="107">
        <f>IF(ISNA(VLOOKUP($R270&amp;S$2,$C$3:$F$4001,4,0)),"",VLOOKUP($R270&amp;S$2,$C$3:$F$4001,4,0))</f>
        <v>4.4999999999999998E-2</v>
      </c>
      <c r="U270" s="106">
        <f>IF(ISNA(VLOOKUP($R270&amp;U$2,$C$3:$F$4001,3,0)),"",VLOOKUP($R270&amp;U$2,$C$3:$F$4001,3,0))</f>
        <v>40099</v>
      </c>
      <c r="V270" s="107">
        <f>IF(ISNA(VLOOKUP($R270&amp;U$2,$C$3:$F$4001,4,0)),"",VLOOKUP($R270&amp;U$2,$C$3:$F$4001,4,0))</f>
        <v>0.05</v>
      </c>
      <c r="W270" s="106">
        <f>IF(ISNA(VLOOKUP($R270&amp;W$2,$C$3:$F$4001,3,0)),"",VLOOKUP($R270&amp;W$2,$C$3:$F$4001,3,0))</f>
        <v>40234</v>
      </c>
      <c r="X270" s="107">
        <f>IF(ISNA(VLOOKUP($R270&amp;W$2,$C$3:$F$4001,4,0)),"",VLOOKUP($R270&amp;W$2,$C$3:$F$4001,4,0))</f>
        <v>0.05</v>
      </c>
      <c r="Y270" s="106">
        <f>IF(ISNA(VLOOKUP($R270&amp;Y$2,$C$3:$F$4001,3,0)),"",VLOOKUP($R270&amp;Y$2,$C$3:$F$4001,3,0))</f>
        <v>40464</v>
      </c>
      <c r="Z270" s="107">
        <f>IF(ISNA(VLOOKUP($R270&amp;Y$2,$C$3:$F$4001,4,0)),"",VLOOKUP($R270&amp;Y$2,$C$3:$F$4001,4,0))</f>
        <v>5.4000000000000006E-2</v>
      </c>
      <c r="AA270" s="106">
        <f>IF(ISNA(VLOOKUP($R270&amp;AA$2,$C$3:$F$4001,3,0)),"",VLOOKUP($R270&amp;AA$2,$C$3:$F$4001,3,0))</f>
        <v>40599</v>
      </c>
      <c r="AB270" s="107">
        <f>IF(ISNA(VLOOKUP($R270&amp;AA$2,$C$3:$F$4001,4,0)),"",VLOOKUP($R270&amp;AA$2,$C$3:$F$4001,4,0))</f>
        <v>5.2000000000000005E-2</v>
      </c>
      <c r="AC270" s="106">
        <f>IF(ISNA(VLOOKUP($R270&amp;AC$2,$C$3:$F$4001,3,0)),"",VLOOKUP($R270&amp;AC$2,$C$3:$F$4001,3,0))</f>
        <v>40829</v>
      </c>
      <c r="AD270" s="107">
        <f>IF(ISNA(VLOOKUP($R270&amp;AC$2,$C$3:$F$4001,4,0)),"",VLOOKUP($R270&amp;AC$2,$C$3:$F$4001,4,0))</f>
        <v>5.7999999999999996E-2</v>
      </c>
      <c r="AE270" s="106">
        <f>IF(ISNA(VLOOKUP($R270&amp;AE$2,$C$3:$F$4001,3,0)),"",VLOOKUP($R270&amp;AE$2,$C$3:$F$4001,3,0))</f>
        <v>40967</v>
      </c>
      <c r="AF270" s="107">
        <f>IF(ISNA(VLOOKUP($R270&amp;AE$2,$C$3:$F$4001,4,0)),"",VLOOKUP($R270&amp;AE$2,$C$3:$F$4001,4,0))</f>
        <v>5.5E-2</v>
      </c>
      <c r="AG270" s="106">
        <f>IF(ISNA(VLOOKUP($R270&amp;AG$2,$C$3:$F$4001,3,0)),"",VLOOKUP($R270&amp;AG$2,$C$3:$F$4001,3,0))</f>
        <v>41197</v>
      </c>
      <c r="AH270" s="107">
        <f>IF(ISNA(VLOOKUP($R270&amp;AG$2,$C$3:$F$4001,4,0)),"",VLOOKUP($R270&amp;AG$2,$C$3:$F$4001,4,0))</f>
        <v>0.06</v>
      </c>
      <c r="AI270" s="106">
        <f>IF(ISNA(VLOOKUP($R270&amp;AI$2,$C$3:$F$4001,3,0)),"",VLOOKUP($R270&amp;AI$2,$C$3:$F$4001,3,0))</f>
        <v>41332</v>
      </c>
      <c r="AJ270" s="107">
        <f>IF(ISNA(VLOOKUP($R270&amp;AI$2,$C$3:$F$4001,4,0)),"",VLOOKUP($R270&amp;AI$2,$C$3:$F$4001,4,0))</f>
        <v>0.06</v>
      </c>
      <c r="AK270" s="106">
        <f>IF(ISNA(VLOOKUP($R270&amp;AK$2,$C$3:$F$4001,3,0)),"",VLOOKUP($R270&amp;AK$2,$C$3:$F$4001,3,0))</f>
        <v>41562</v>
      </c>
      <c r="AL270" s="107">
        <f>IF(ISNA(VLOOKUP($R270&amp;AK$2,$C$3:$F$4001,4,0)),"",VLOOKUP($R270&amp;AK$2,$C$3:$F$4001,4,0))</f>
        <v>7.4999999999999997E-2</v>
      </c>
    </row>
    <row r="271" spans="3:38" x14ac:dyDescent="0.2">
      <c r="C271" s="96" t="str">
        <f t="shared" si="16"/>
        <v>BEN9</v>
      </c>
      <c r="D271" s="73" t="s">
        <v>91</v>
      </c>
      <c r="E271" s="100">
        <v>41332</v>
      </c>
      <c r="F271" s="101">
        <v>0.36</v>
      </c>
      <c r="G271" s="96">
        <f t="shared" si="17"/>
        <v>9</v>
      </c>
      <c r="I271" s="96"/>
      <c r="K271" t="str">
        <f t="shared" si="18"/>
        <v>BEN9</v>
      </c>
      <c r="L271" s="73" t="s">
        <v>91</v>
      </c>
      <c r="M271" s="72">
        <v>41332</v>
      </c>
      <c r="N271" s="84">
        <v>0.36</v>
      </c>
      <c r="O271" s="96">
        <f t="shared" si="19"/>
        <v>9</v>
      </c>
      <c r="Q271" s="96"/>
      <c r="R271" s="96" t="str">
        <f>R270</f>
        <v>NWH</v>
      </c>
      <c r="S271" s="108">
        <f>IF(ISNA(VLOOKUP($R271&amp;S$2,$K$3:$N$4001,3,0)),"",VLOOKUP($R271&amp;S$2,$K$3:$N$4001,3,0))</f>
        <v>39869</v>
      </c>
      <c r="T271" s="109">
        <f>IF(ISNA(VLOOKUP($R271&amp;S$2,$K$3:$N$4001,4,0)),"",VLOOKUP($R271&amp;S$2,$K$3:$N$4001,4,0))</f>
        <v>4.4999999999999998E-2</v>
      </c>
      <c r="U271" s="108">
        <f>IF(ISNA(VLOOKUP($R271&amp;U$2,$K$3:$N$4001,3,0)),"",VLOOKUP($R271&amp;U$2,$K$3:$N$4001,3,0))</f>
        <v>40099</v>
      </c>
      <c r="V271" s="109">
        <f>IF(ISNA(VLOOKUP($R271&amp;U$2,$K$3:$N$4001,4,0)),"",VLOOKUP($R271&amp;U$2,$K$3:$N$4001,4,0))</f>
        <v>0.05</v>
      </c>
      <c r="W271" s="108">
        <f>IF(ISNA(VLOOKUP($R271&amp;W$2,$K$3:$N$4001,3,0)),"",VLOOKUP($R271&amp;W$2,$K$3:$N$4001,3,0))</f>
        <v>40234</v>
      </c>
      <c r="X271" s="109">
        <f>IF(ISNA(VLOOKUP($R271&amp;W$2,$K$3:$N$4001,4,0)),"",VLOOKUP($R271&amp;W$2,$K$3:$N$4001,4,0))</f>
        <v>0.05</v>
      </c>
      <c r="Y271" s="108">
        <f>IF(ISNA(VLOOKUP($R271&amp;Y$2,$K$3:$N$4001,3,0)),"",VLOOKUP($R271&amp;Y$2,$K$3:$N$4001,3,0))</f>
        <v>40464</v>
      </c>
      <c r="Z271" s="109">
        <f>IF(ISNA(VLOOKUP($R271&amp;Y$2,$K$3:$N$4001,4,0)),"",VLOOKUP($R271&amp;Y$2,$K$3:$N$4001,4,0))</f>
        <v>5.4000000000000006E-2</v>
      </c>
      <c r="AA271" s="108">
        <f>IF(ISNA(VLOOKUP($R271&amp;AA$2,$K$3:$N$4001,3,0)),"",VLOOKUP($R271&amp;AA$2,$K$3:$N$4001,3,0))</f>
        <v>40599</v>
      </c>
      <c r="AB271" s="109">
        <f>IF(ISNA(VLOOKUP($R271&amp;AA$2,$K$3:$N$4001,4,0)),"",VLOOKUP($R271&amp;AA$2,$K$3:$N$4001,4,0))</f>
        <v>5.2000000000000005E-2</v>
      </c>
      <c r="AC271" s="108">
        <f>IF(ISNA(VLOOKUP($R271&amp;AC$2,$K$3:$N$4001,3,0)),"",VLOOKUP($R271&amp;AC$2,$K$3:$N$4001,3,0))</f>
        <v>40829</v>
      </c>
      <c r="AD271" s="109">
        <f>IF(ISNA(VLOOKUP($R271&amp;AC$2,$K$3:$N$4001,4,0)),"",VLOOKUP($R271&amp;AC$2,$K$3:$N$4001,4,0))</f>
        <v>5.7999999999999996E-2</v>
      </c>
      <c r="AE271" s="108">
        <f>IF(ISNA(VLOOKUP($R271&amp;AE$2,$K$3:$N$4001,3,0)),"",VLOOKUP($R271&amp;AE$2,$K$3:$N$4001,3,0))</f>
        <v>40967</v>
      </c>
      <c r="AF271" s="109">
        <f>IF(ISNA(VLOOKUP($R271&amp;AE$2,$K$3:$N$4001,4,0)),"",VLOOKUP($R271&amp;AE$2,$K$3:$N$4001,4,0))</f>
        <v>5.5E-2</v>
      </c>
      <c r="AG271" s="108">
        <f>IF(ISNA(VLOOKUP($R271&amp;AG$2,$K$3:$N$4001,3,0)),"",VLOOKUP($R271&amp;AG$2,$K$3:$N$4001,3,0))</f>
        <v>41197</v>
      </c>
      <c r="AH271" s="109">
        <f>IF(ISNA(VLOOKUP($R271&amp;AG$2,$K$3:$N$4001,4,0)),"",VLOOKUP($R271&amp;AG$2,$K$3:$N$4001,4,0))</f>
        <v>0.06</v>
      </c>
      <c r="AI271" s="108">
        <f>IF(ISNA(VLOOKUP($R271&amp;AI$2,$K$3:$N$4001,3,0)),"",VLOOKUP($R271&amp;AI$2,$K$3:$N$4001,3,0))</f>
        <v>41332</v>
      </c>
      <c r="AJ271" s="109">
        <f>IF(ISNA(VLOOKUP($R271&amp;AI$2,$K$3:$N$4001,4,0)),"",VLOOKUP($R271&amp;AI$2,$K$3:$N$4001,4,0))</f>
        <v>0.06</v>
      </c>
      <c r="AK271" s="108">
        <f>IF(ISNA(VLOOKUP($R271&amp;AK$2,$K$3:$N$4001,3,0)),"",VLOOKUP($R271&amp;AK$2,$K$3:$N$4001,3,0))</f>
        <v>41562</v>
      </c>
      <c r="AL271" s="109">
        <f>IF(ISNA(VLOOKUP($R271&amp;AK$2,$K$3:$N$4001,4,0)),"",VLOOKUP($R271&amp;AK$2,$K$3:$N$4001,4,0))</f>
        <v>7.4999999999999997E-2</v>
      </c>
    </row>
    <row r="272" spans="3:38" x14ac:dyDescent="0.2">
      <c r="C272" s="96" t="str">
        <f t="shared" si="16"/>
        <v>BEN10</v>
      </c>
      <c r="D272" s="73" t="s">
        <v>91</v>
      </c>
      <c r="E272" s="100">
        <v>41514</v>
      </c>
      <c r="F272" s="101">
        <v>0.46</v>
      </c>
      <c r="G272" s="96">
        <f t="shared" si="17"/>
        <v>10</v>
      </c>
      <c r="I272" s="96"/>
      <c r="K272" t="str">
        <f t="shared" si="18"/>
        <v>BEN10</v>
      </c>
      <c r="L272" s="73" t="s">
        <v>91</v>
      </c>
      <c r="M272" s="72">
        <v>41514</v>
      </c>
      <c r="N272" s="84">
        <v>0.46</v>
      </c>
      <c r="O272" s="96">
        <f t="shared" si="19"/>
        <v>10</v>
      </c>
      <c r="Q272" s="96"/>
      <c r="R272" s="96" t="s">
        <v>180</v>
      </c>
      <c r="S272" s="106">
        <f>IF(ISNA(VLOOKUP($R272&amp;S$2,$C$3:$F$4001,3,0)),"",VLOOKUP($R272&amp;S$2,$C$3:$F$4001,3,0))</f>
        <v>39904</v>
      </c>
      <c r="T272" s="107">
        <f>IF(ISNA(VLOOKUP($R272&amp;S$2,$C$3:$F$4001,4,0)),"",VLOOKUP($R272&amp;S$2,$C$3:$F$4001,4,0))</f>
        <v>0.14880000000000002</v>
      </c>
      <c r="U272" s="106">
        <f>IF(ISNA(VLOOKUP($R272&amp;U$2,$C$3:$F$4001,3,0)),"",VLOOKUP($R272&amp;U$2,$C$3:$F$4001,3,0))</f>
        <v>40106</v>
      </c>
      <c r="V272" s="107">
        <f>IF(ISNA(VLOOKUP($R272&amp;U$2,$C$3:$F$4001,4,0)),"",VLOOKUP($R272&amp;U$2,$C$3:$F$4001,4,0))</f>
        <v>0.28520000000000001</v>
      </c>
      <c r="W272" s="106">
        <f>IF(ISNA(VLOOKUP($R272&amp;W$2,$C$3:$F$4001,3,0)),"",VLOOKUP($R272&amp;W$2,$C$3:$F$4001,3,0))</f>
        <v>40269</v>
      </c>
      <c r="X272" s="107">
        <f>IF(ISNA(VLOOKUP($R272&amp;W$2,$C$3:$F$4001,4,0)),"",VLOOKUP($R272&amp;W$2,$C$3:$F$4001,4,0))</f>
        <v>0.16589999999999999</v>
      </c>
      <c r="Y272" s="106">
        <f>IF(ISNA(VLOOKUP($R272&amp;Y$2,$C$3:$F$4001,3,0)),"",VLOOKUP($R272&amp;Y$2,$C$3:$F$4001,3,0))</f>
        <v>40471</v>
      </c>
      <c r="Z272" s="107">
        <f>IF(ISNA(VLOOKUP($R272&amp;Y$2,$C$3:$F$4001,4,0)),"",VLOOKUP($R272&amp;Y$2,$C$3:$F$4001,4,0))</f>
        <v>0.31809999999999999</v>
      </c>
      <c r="AA272" s="106">
        <f>IF(ISNA(VLOOKUP($R272&amp;AA$2,$C$3:$F$4001,3,0)),"",VLOOKUP($R272&amp;AA$2,$C$3:$F$4001,3,0))</f>
        <v>40638</v>
      </c>
      <c r="AB272" s="107">
        <f>IF(ISNA(VLOOKUP($R272&amp;AA$2,$C$3:$F$4001,4,0)),"",VLOOKUP($R272&amp;AA$2,$C$3:$F$4001,4,0))</f>
        <v>0.182</v>
      </c>
      <c r="AC272" s="106">
        <f>IF(ISNA(VLOOKUP($R272&amp;AC$2,$C$3:$F$4001,3,0)),"",VLOOKUP($R272&amp;AC$2,$C$3:$F$4001,3,0))</f>
        <v>40836</v>
      </c>
      <c r="AD272" s="107">
        <f>IF(ISNA(VLOOKUP($R272&amp;AC$2,$C$3:$F$4001,4,0)),"",VLOOKUP($R272&amp;AC$2,$C$3:$F$4001,4,0))</f>
        <v>0.34899999999999998</v>
      </c>
      <c r="AE272" s="106">
        <f>IF(ISNA(VLOOKUP($R272&amp;AE$2,$C$3:$F$4001,3,0)),"",VLOOKUP($R272&amp;AE$2,$C$3:$F$4001,3,0))</f>
        <v>41004</v>
      </c>
      <c r="AF272" s="107">
        <f>IF(ISNA(VLOOKUP($R272&amp;AE$2,$C$3:$F$4001,4,0)),"",VLOOKUP($R272&amp;AE$2,$C$3:$F$4001,4,0))</f>
        <v>0.15</v>
      </c>
      <c r="AG272" s="106">
        <f>IF(ISNA(VLOOKUP($R272&amp;AG$2,$C$3:$F$4001,3,0)),"",VLOOKUP($R272&amp;AG$2,$C$3:$F$4001,3,0))</f>
        <v>41204</v>
      </c>
      <c r="AH272" s="107">
        <f>IF(ISNA(VLOOKUP($R272&amp;AG$2,$C$3:$F$4001,4,0)),"",VLOOKUP($R272&amp;AG$2,$C$3:$F$4001,4,0))</f>
        <v>0.3</v>
      </c>
      <c r="AI272" s="106">
        <f>IF(ISNA(VLOOKUP($R272&amp;AI$2,$C$3:$F$4001,3,0)),"",VLOOKUP($R272&amp;AI$2,$C$3:$F$4001,3,0))</f>
        <v>41369</v>
      </c>
      <c r="AJ272" s="107">
        <f>IF(ISNA(VLOOKUP($R272&amp;AI$2,$C$3:$F$4001,4,0)),"",VLOOKUP($R272&amp;AI$2,$C$3:$F$4001,4,0))</f>
        <v>0.19500000000000001</v>
      </c>
      <c r="AK272" s="106">
        <f>IF(ISNA(VLOOKUP($R272&amp;AK$2,$C$3:$F$4001,3,0)),"",VLOOKUP($R272&amp;AK$2,$C$3:$F$4001,3,0))</f>
        <v>41569</v>
      </c>
      <c r="AL272" s="107">
        <f>IF(ISNA(VLOOKUP($R272&amp;AK$2,$C$3:$F$4001,4,0)),"",VLOOKUP($R272&amp;AK$2,$C$3:$F$4001,4,0))</f>
        <v>0.39</v>
      </c>
    </row>
    <row r="273" spans="3:38" x14ac:dyDescent="0.2">
      <c r="C273" s="96" t="str">
        <f t="shared" si="16"/>
        <v>BHP1</v>
      </c>
      <c r="D273" s="73" t="s">
        <v>92</v>
      </c>
      <c r="E273" s="100">
        <v>39867</v>
      </c>
      <c r="F273" s="101">
        <v>0</v>
      </c>
      <c r="G273" s="96">
        <f t="shared" si="17"/>
        <v>1</v>
      </c>
      <c r="I273" s="96"/>
      <c r="K273" t="str">
        <f t="shared" si="18"/>
        <v>BHP1</v>
      </c>
      <c r="L273" s="73" t="s">
        <v>92</v>
      </c>
      <c r="M273" s="72">
        <v>39867</v>
      </c>
      <c r="N273" s="84">
        <v>0.312</v>
      </c>
      <c r="O273" s="96">
        <f t="shared" si="19"/>
        <v>1</v>
      </c>
      <c r="Q273" s="96"/>
      <c r="R273" s="96" t="str">
        <f>R272</f>
        <v>NUF</v>
      </c>
      <c r="S273" s="108">
        <f>IF(ISNA(VLOOKUP($R273&amp;S$2,$K$3:$N$4001,3,0)),"",VLOOKUP($R273&amp;S$2,$K$3:$N$4001,3,0))</f>
        <v>39904</v>
      </c>
      <c r="T273" s="109">
        <f>IF(ISNA(VLOOKUP($R273&amp;S$2,$K$3:$N$4001,4,0)),"",VLOOKUP($R273&amp;S$2,$K$3:$N$4001,4,0))</f>
        <v>0.14880000000000002</v>
      </c>
      <c r="U273" s="108">
        <f>IF(ISNA(VLOOKUP($R273&amp;U$2,$K$3:$N$4001,3,0)),"",VLOOKUP($R273&amp;U$2,$K$3:$N$4001,3,0))</f>
        <v>40106</v>
      </c>
      <c r="V273" s="109">
        <f>IF(ISNA(VLOOKUP($R273&amp;U$2,$K$3:$N$4001,4,0)),"",VLOOKUP($R273&amp;U$2,$K$3:$N$4001,4,0))</f>
        <v>0.28520000000000001</v>
      </c>
      <c r="W273" s="108">
        <f>IF(ISNA(VLOOKUP($R273&amp;W$2,$K$3:$N$4001,3,0)),"",VLOOKUP($R273&amp;W$2,$K$3:$N$4001,3,0))</f>
        <v>40269</v>
      </c>
      <c r="X273" s="109">
        <f>IF(ISNA(VLOOKUP($R273&amp;W$2,$K$3:$N$4001,4,0)),"",VLOOKUP($R273&amp;W$2,$K$3:$N$4001,4,0))</f>
        <v>0.16589999999999999</v>
      </c>
      <c r="Y273" s="108">
        <f>IF(ISNA(VLOOKUP($R273&amp;Y$2,$K$3:$N$4001,3,0)),"",VLOOKUP($R273&amp;Y$2,$K$3:$N$4001,3,0))</f>
        <v>40471</v>
      </c>
      <c r="Z273" s="109">
        <f>IF(ISNA(VLOOKUP($R273&amp;Y$2,$K$3:$N$4001,4,0)),"",VLOOKUP($R273&amp;Y$2,$K$3:$N$4001,4,0))</f>
        <v>0.31809999999999999</v>
      </c>
      <c r="AA273" s="108">
        <f>IF(ISNA(VLOOKUP($R273&amp;AA$2,$K$3:$N$4001,3,0)),"",VLOOKUP($R273&amp;AA$2,$K$3:$N$4001,3,0))</f>
        <v>40638</v>
      </c>
      <c r="AB273" s="109">
        <f>IF(ISNA(VLOOKUP($R273&amp;AA$2,$K$3:$N$4001,4,0)),"",VLOOKUP($R273&amp;AA$2,$K$3:$N$4001,4,0))</f>
        <v>0.182</v>
      </c>
      <c r="AC273" s="108">
        <f>IF(ISNA(VLOOKUP($R273&amp;AC$2,$K$3:$N$4001,3,0)),"",VLOOKUP($R273&amp;AC$2,$K$3:$N$4001,3,0))</f>
        <v>40836</v>
      </c>
      <c r="AD273" s="109">
        <f>IF(ISNA(VLOOKUP($R273&amp;AC$2,$K$3:$N$4001,4,0)),"",VLOOKUP($R273&amp;AC$2,$K$3:$N$4001,4,0))</f>
        <v>0.34899999999999998</v>
      </c>
      <c r="AE273" s="108">
        <f>IF(ISNA(VLOOKUP($R273&amp;AE$2,$K$3:$N$4001,3,0)),"",VLOOKUP($R273&amp;AE$2,$K$3:$N$4001,3,0))</f>
        <v>41004</v>
      </c>
      <c r="AF273" s="109">
        <f>IF(ISNA(VLOOKUP($R273&amp;AE$2,$K$3:$N$4001,4,0)),"",VLOOKUP($R273&amp;AE$2,$K$3:$N$4001,4,0))</f>
        <v>0.15</v>
      </c>
      <c r="AG273" s="108">
        <f>IF(ISNA(VLOOKUP($R273&amp;AG$2,$K$3:$N$4001,3,0)),"",VLOOKUP($R273&amp;AG$2,$K$3:$N$4001,3,0))</f>
        <v>41204</v>
      </c>
      <c r="AH273" s="109">
        <f>IF(ISNA(VLOOKUP($R273&amp;AG$2,$K$3:$N$4001,4,0)),"",VLOOKUP($R273&amp;AG$2,$K$3:$N$4001,4,0))</f>
        <v>0.3</v>
      </c>
      <c r="AI273" s="108">
        <f>IF(ISNA(VLOOKUP($R273&amp;AI$2,$K$3:$N$4001,3,0)),"",VLOOKUP($R273&amp;AI$2,$K$3:$N$4001,3,0))</f>
        <v>41369</v>
      </c>
      <c r="AJ273" s="109">
        <f>IF(ISNA(VLOOKUP($R273&amp;AI$2,$K$3:$N$4001,4,0)),"",VLOOKUP($R273&amp;AI$2,$K$3:$N$4001,4,0))</f>
        <v>0.19500000000000001</v>
      </c>
      <c r="AK273" s="108">
        <f>IF(ISNA(VLOOKUP($R273&amp;AK$2,$K$3:$N$4001,3,0)),"",VLOOKUP($R273&amp;AK$2,$K$3:$N$4001,3,0))</f>
        <v>41569</v>
      </c>
      <c r="AL273" s="109">
        <f>IF(ISNA(VLOOKUP($R273&amp;AK$2,$K$3:$N$4001,4,0)),"",VLOOKUP($R273&amp;AK$2,$K$3:$N$4001,4,0))</f>
        <v>0.39</v>
      </c>
    </row>
    <row r="274" spans="3:38" x14ac:dyDescent="0.2">
      <c r="C274" s="96" t="str">
        <f t="shared" si="16"/>
        <v>BHP2</v>
      </c>
      <c r="D274" s="73" t="s">
        <v>92</v>
      </c>
      <c r="E274" s="100">
        <v>40063</v>
      </c>
      <c r="F274" s="101">
        <v>0.442</v>
      </c>
      <c r="G274" s="96">
        <f t="shared" si="17"/>
        <v>2</v>
      </c>
      <c r="I274" s="96"/>
      <c r="K274" t="str">
        <f t="shared" si="18"/>
        <v>BHP2</v>
      </c>
      <c r="L274" s="73" t="s">
        <v>92</v>
      </c>
      <c r="M274" s="72">
        <v>40063</v>
      </c>
      <c r="N274" s="84">
        <v>0.442</v>
      </c>
      <c r="O274" s="96">
        <f t="shared" si="19"/>
        <v>2</v>
      </c>
      <c r="Q274" s="96"/>
      <c r="R274" s="96" t="s">
        <v>186</v>
      </c>
      <c r="S274" s="106">
        <f>IF(ISNA(VLOOKUP($R274&amp;S$2,$C$3:$F$4001,3,0)),"",VLOOKUP($R274&amp;S$2,$C$3:$F$4001,3,0))</f>
        <v>39874</v>
      </c>
      <c r="T274" s="107">
        <f>IF(ISNA(VLOOKUP($R274&amp;S$2,$C$3:$F$4001,4,0)),"",VLOOKUP($R274&amp;S$2,$C$3:$F$4001,4,0))</f>
        <v>0.04</v>
      </c>
      <c r="U274" s="106">
        <f>IF(ISNA(VLOOKUP($R274&amp;U$2,$C$3:$F$4001,3,0)),"",VLOOKUP($R274&amp;U$2,$C$3:$F$4001,3,0))</f>
        <v>40077</v>
      </c>
      <c r="V274" s="107">
        <f>IF(ISNA(VLOOKUP($R274&amp;U$2,$C$3:$F$4001,4,0)),"",VLOOKUP($R274&amp;U$2,$C$3:$F$4001,4,0))</f>
        <v>0.04</v>
      </c>
      <c r="W274" s="106">
        <f>IF(ISNA(VLOOKUP($R274&amp;W$2,$C$3:$F$4001,3,0)),"",VLOOKUP($R274&amp;W$2,$C$3:$F$4001,3,0))</f>
        <v>40239</v>
      </c>
      <c r="X274" s="107">
        <f>IF(ISNA(VLOOKUP($R274&amp;W$2,$C$3:$F$4001,4,0)),"",VLOOKUP($R274&amp;W$2,$C$3:$F$4001,4,0))</f>
        <v>0.04</v>
      </c>
      <c r="Y274" s="106">
        <f>IF(ISNA(VLOOKUP($R274&amp;Y$2,$C$3:$F$4001,3,0)),"",VLOOKUP($R274&amp;Y$2,$C$3:$F$4001,3,0))</f>
        <v>40442</v>
      </c>
      <c r="Z274" s="107">
        <f>IF(ISNA(VLOOKUP($R274&amp;Y$2,$C$3:$F$4001,4,0)),"",VLOOKUP($R274&amp;Y$2,$C$3:$F$4001,4,0))</f>
        <v>0.04</v>
      </c>
      <c r="AA274" s="106">
        <f>IF(ISNA(VLOOKUP($R274&amp;AA$2,$C$3:$F$4001,3,0)),"",VLOOKUP($R274&amp;AA$2,$C$3:$F$4001,3,0))</f>
        <v>40604</v>
      </c>
      <c r="AB274" s="107">
        <f>IF(ISNA(VLOOKUP($R274&amp;AA$2,$C$3:$F$4001,4,0)),"",VLOOKUP($R274&amp;AA$2,$C$3:$F$4001,4,0))</f>
        <v>0.04</v>
      </c>
      <c r="AC274" s="106">
        <f>IF(ISNA(VLOOKUP($R274&amp;AC$2,$C$3:$F$4001,3,0)),"",VLOOKUP($R274&amp;AC$2,$C$3:$F$4001,3,0))</f>
        <v>40807</v>
      </c>
      <c r="AD274" s="107">
        <f>IF(ISNA(VLOOKUP($R274&amp;AC$2,$C$3:$F$4001,4,0)),"",VLOOKUP($R274&amp;AC$2,$C$3:$F$4001,4,0))</f>
        <v>4.4999999999999998E-2</v>
      </c>
      <c r="AE274" s="106">
        <f>IF(ISNA(VLOOKUP($R274&amp;AE$2,$C$3:$F$4001,3,0)),"",VLOOKUP($R274&amp;AE$2,$C$3:$F$4001,3,0))</f>
        <v>40970</v>
      </c>
      <c r="AF274" s="107">
        <f>IF(ISNA(VLOOKUP($R274&amp;AE$2,$C$3:$F$4001,4,0)),"",VLOOKUP($R274&amp;AE$2,$C$3:$F$4001,4,0))</f>
        <v>4.4999999999999998E-2</v>
      </c>
      <c r="AG274" s="106">
        <f>IF(ISNA(VLOOKUP($R274&amp;AG$2,$C$3:$F$4001,3,0)),"",VLOOKUP($R274&amp;AG$2,$C$3:$F$4001,3,0))</f>
        <v>41173</v>
      </c>
      <c r="AH274" s="107">
        <f>IF(ISNA(VLOOKUP($R274&amp;AG$2,$C$3:$F$4001,4,0)),"",VLOOKUP($R274&amp;AG$2,$C$3:$F$4001,4,0))</f>
        <v>4.4999999999999998E-2</v>
      </c>
      <c r="AI274" s="106">
        <f>IF(ISNA(VLOOKUP($R274&amp;AI$2,$C$3:$F$4001,3,0)),"",VLOOKUP($R274&amp;AI$2,$C$3:$F$4001,3,0))</f>
        <v>41337</v>
      </c>
      <c r="AJ274" s="107">
        <f>IF(ISNA(VLOOKUP($R274&amp;AI$2,$C$3:$F$4001,4,0)),"",VLOOKUP($R274&amp;AI$2,$C$3:$F$4001,4,0))</f>
        <v>4.4999999999999998E-2</v>
      </c>
      <c r="AK274" s="106" t="str">
        <f>IF(ISNA(VLOOKUP($R274&amp;AK$2,$C$3:$F$4001,3,0)),"",VLOOKUP($R274&amp;AK$2,$C$3:$F$4001,3,0))</f>
        <v/>
      </c>
      <c r="AL274" s="107" t="str">
        <f>IF(ISNA(VLOOKUP($R274&amp;AK$2,$C$3:$F$4001,4,0)),"",VLOOKUP($R274&amp;AK$2,$C$3:$F$4001,4,0))</f>
        <v/>
      </c>
    </row>
    <row r="275" spans="3:38" x14ac:dyDescent="0.2">
      <c r="C275" s="96" t="str">
        <f t="shared" si="16"/>
        <v>BHP3</v>
      </c>
      <c r="D275" s="73" t="s">
        <v>92</v>
      </c>
      <c r="E275" s="100">
        <v>40231</v>
      </c>
      <c r="F275" s="101">
        <v>0.34399999999999997</v>
      </c>
      <c r="G275" s="96">
        <f t="shared" si="17"/>
        <v>3</v>
      </c>
      <c r="I275" s="96"/>
      <c r="K275" t="str">
        <f t="shared" si="18"/>
        <v>BHP3</v>
      </c>
      <c r="L275" s="73" t="s">
        <v>92</v>
      </c>
      <c r="M275" s="72">
        <v>40231</v>
      </c>
      <c r="N275" s="84">
        <v>0.34399999999999997</v>
      </c>
      <c r="O275" s="96">
        <f t="shared" si="19"/>
        <v>3</v>
      </c>
      <c r="Q275" s="96"/>
      <c r="R275" s="96" t="str">
        <f>R274</f>
        <v>OSH</v>
      </c>
      <c r="S275" s="108">
        <f>IF(ISNA(VLOOKUP($R275&amp;S$2,$K$3:$N$4001,3,0)),"",VLOOKUP($R275&amp;S$2,$K$3:$N$4001,3,0))</f>
        <v>39874</v>
      </c>
      <c r="T275" s="109">
        <f>IF(ISNA(VLOOKUP($R275&amp;S$2,$K$3:$N$4001,4,0)),"",VLOOKUP($R275&amp;S$2,$K$3:$N$4001,4,0))</f>
        <v>0.04</v>
      </c>
      <c r="U275" s="108">
        <f>IF(ISNA(VLOOKUP($R275&amp;U$2,$K$3:$N$4001,3,0)),"",VLOOKUP($R275&amp;U$2,$K$3:$N$4001,3,0))</f>
        <v>40077</v>
      </c>
      <c r="V275" s="109">
        <f>IF(ISNA(VLOOKUP($R275&amp;U$2,$K$3:$N$4001,4,0)),"",VLOOKUP($R275&amp;U$2,$K$3:$N$4001,4,0))</f>
        <v>0.04</v>
      </c>
      <c r="W275" s="108">
        <f>IF(ISNA(VLOOKUP($R275&amp;W$2,$K$3:$N$4001,3,0)),"",VLOOKUP($R275&amp;W$2,$K$3:$N$4001,3,0))</f>
        <v>40239</v>
      </c>
      <c r="X275" s="109">
        <f>IF(ISNA(VLOOKUP($R275&amp;W$2,$K$3:$N$4001,4,0)),"",VLOOKUP($R275&amp;W$2,$K$3:$N$4001,4,0))</f>
        <v>0.04</v>
      </c>
      <c r="Y275" s="108">
        <f>IF(ISNA(VLOOKUP($R275&amp;Y$2,$K$3:$N$4001,3,0)),"",VLOOKUP($R275&amp;Y$2,$K$3:$N$4001,3,0))</f>
        <v>40442</v>
      </c>
      <c r="Z275" s="109">
        <f>IF(ISNA(VLOOKUP($R275&amp;Y$2,$K$3:$N$4001,4,0)),"",VLOOKUP($R275&amp;Y$2,$K$3:$N$4001,4,0))</f>
        <v>0.04</v>
      </c>
      <c r="AA275" s="108">
        <f>IF(ISNA(VLOOKUP($R275&amp;AA$2,$K$3:$N$4001,3,0)),"",VLOOKUP($R275&amp;AA$2,$K$3:$N$4001,3,0))</f>
        <v>40604</v>
      </c>
      <c r="AB275" s="109">
        <f>IF(ISNA(VLOOKUP($R275&amp;AA$2,$K$3:$N$4001,4,0)),"",VLOOKUP($R275&amp;AA$2,$K$3:$N$4001,4,0))</f>
        <v>0.04</v>
      </c>
      <c r="AC275" s="108">
        <f>IF(ISNA(VLOOKUP($R275&amp;AC$2,$K$3:$N$4001,3,0)),"",VLOOKUP($R275&amp;AC$2,$K$3:$N$4001,3,0))</f>
        <v>40807</v>
      </c>
      <c r="AD275" s="109">
        <f>IF(ISNA(VLOOKUP($R275&amp;AC$2,$K$3:$N$4001,4,0)),"",VLOOKUP($R275&amp;AC$2,$K$3:$N$4001,4,0))</f>
        <v>4.4999999999999998E-2</v>
      </c>
      <c r="AE275" s="108">
        <f>IF(ISNA(VLOOKUP($R275&amp;AE$2,$K$3:$N$4001,3,0)),"",VLOOKUP($R275&amp;AE$2,$K$3:$N$4001,3,0))</f>
        <v>40970</v>
      </c>
      <c r="AF275" s="109">
        <f>IF(ISNA(VLOOKUP($R275&amp;AE$2,$K$3:$N$4001,4,0)),"",VLOOKUP($R275&amp;AE$2,$K$3:$N$4001,4,0))</f>
        <v>4.4999999999999998E-2</v>
      </c>
      <c r="AG275" s="108">
        <f>IF(ISNA(VLOOKUP($R275&amp;AG$2,$K$3:$N$4001,3,0)),"",VLOOKUP($R275&amp;AG$2,$K$3:$N$4001,3,0))</f>
        <v>41173</v>
      </c>
      <c r="AH275" s="109">
        <f>IF(ISNA(VLOOKUP($R275&amp;AG$2,$K$3:$N$4001,4,0)),"",VLOOKUP($R275&amp;AG$2,$K$3:$N$4001,4,0))</f>
        <v>4.4999999999999998E-2</v>
      </c>
      <c r="AI275" s="108">
        <f>IF(ISNA(VLOOKUP($R275&amp;AI$2,$K$3:$N$4001,3,0)),"",VLOOKUP($R275&amp;AI$2,$K$3:$N$4001,3,0))</f>
        <v>41337</v>
      </c>
      <c r="AJ275" s="109">
        <f>IF(ISNA(VLOOKUP($R275&amp;AI$2,$K$3:$N$4001,4,0)),"",VLOOKUP($R275&amp;AI$2,$K$3:$N$4001,4,0))</f>
        <v>4.4999999999999998E-2</v>
      </c>
      <c r="AK275" s="108" t="str">
        <f>IF(ISNA(VLOOKUP($R275&amp;AK$2,$K$3:$N$4001,3,0)),"",VLOOKUP($R275&amp;AK$2,$K$3:$N$4001,3,0))</f>
        <v/>
      </c>
      <c r="AL275" s="109" t="str">
        <f>IF(ISNA(VLOOKUP($R275&amp;AK$2,$K$3:$N$4001,4,0)),"",VLOOKUP($R275&amp;AK$2,$K$3:$N$4001,4,0))</f>
        <v/>
      </c>
    </row>
    <row r="276" spans="3:38" x14ac:dyDescent="0.2">
      <c r="C276" s="96" t="str">
        <f t="shared" si="16"/>
        <v>BHP4</v>
      </c>
      <c r="D276" s="73" t="s">
        <v>92</v>
      </c>
      <c r="E276" s="100">
        <v>40427</v>
      </c>
      <c r="F276" s="101">
        <v>0.48599999999999999</v>
      </c>
      <c r="G276" s="96">
        <f t="shared" si="17"/>
        <v>4</v>
      </c>
      <c r="I276" s="96"/>
      <c r="K276" t="str">
        <f t="shared" si="18"/>
        <v>BHP4</v>
      </c>
      <c r="L276" s="73" t="s">
        <v>92</v>
      </c>
      <c r="M276" s="72">
        <v>40427</v>
      </c>
      <c r="N276" s="84">
        <v>0.48599999999999999</v>
      </c>
      <c r="O276" s="96">
        <f t="shared" si="19"/>
        <v>4</v>
      </c>
      <c r="Q276" s="96"/>
      <c r="R276" s="96" t="s">
        <v>248</v>
      </c>
      <c r="S276" s="106">
        <f>IF(ISNA(VLOOKUP($R276&amp;S$2,$C$3:$F$4001,3,0)),"",VLOOKUP($R276&amp;S$2,$C$3:$F$4001,3,0))</f>
        <v>39923</v>
      </c>
      <c r="T276" s="107">
        <f>IF(ISNA(VLOOKUP($R276&amp;S$2,$C$3:$F$4001,4,0)),"",VLOOKUP($R276&amp;S$2,$C$3:$F$4001,4,0))</f>
        <v>0.02</v>
      </c>
      <c r="U276" s="106">
        <f>IF(ISNA(VLOOKUP($R276&amp;U$2,$C$3:$F$4001,3,0)),"",VLOOKUP($R276&amp;U$2,$C$3:$F$4001,3,0))</f>
        <v>40071</v>
      </c>
      <c r="V276" s="107">
        <f>IF(ISNA(VLOOKUP($R276&amp;U$2,$C$3:$F$4001,4,0)),"",VLOOKUP($R276&amp;U$2,$C$3:$F$4001,4,0))</f>
        <v>0.17120000000000002</v>
      </c>
      <c r="W276" s="106">
        <f>IF(ISNA(VLOOKUP($R276&amp;W$2,$C$3:$F$4001,3,0)),"",VLOOKUP($R276&amp;W$2,$C$3:$F$4001,3,0))</f>
        <v>40288</v>
      </c>
      <c r="X276" s="107">
        <f>IF(ISNA(VLOOKUP($R276&amp;W$2,$C$3:$F$4001,4,0)),"",VLOOKUP($R276&amp;W$2,$C$3:$F$4001,4,0))</f>
        <v>9.7799999999999998E-2</v>
      </c>
      <c r="Y276" s="106">
        <f>IF(ISNA(VLOOKUP($R276&amp;Y$2,$C$3:$F$4001,3,0)),"",VLOOKUP($R276&amp;Y$2,$C$3:$F$4001,3,0))</f>
        <v>40436</v>
      </c>
      <c r="Z276" s="107">
        <f>IF(ISNA(VLOOKUP($R276&amp;Y$2,$C$3:$F$4001,4,0)),"",VLOOKUP($R276&amp;Y$2,$C$3:$F$4001,4,0))</f>
        <v>0.36149999999999999</v>
      </c>
      <c r="AA276" s="106">
        <f>IF(ISNA(VLOOKUP($R276&amp;AA$2,$C$3:$F$4001,3,0)),"",VLOOKUP($R276&amp;AA$2,$C$3:$F$4001,3,0))</f>
        <v>40653</v>
      </c>
      <c r="AB276" s="107">
        <f>IF(ISNA(VLOOKUP($R276&amp;AA$2,$C$3:$F$4001,4,0)),"",VLOOKUP($R276&amp;AA$2,$C$3:$F$4001,4,0))</f>
        <v>0.20649999999999999</v>
      </c>
      <c r="AC276" s="106">
        <f>IF(ISNA(VLOOKUP($R276&amp;AC$2,$C$3:$F$4001,3,0)),"",VLOOKUP($R276&amp;AC$2,$C$3:$F$4001,3,0))</f>
        <v>40801</v>
      </c>
      <c r="AD276" s="107">
        <f>IF(ISNA(VLOOKUP($R276&amp;AC$2,$C$3:$F$4001,4,0)),"",VLOOKUP($R276&amp;AC$2,$C$3:$F$4001,4,0))</f>
        <v>0.40350000000000003</v>
      </c>
      <c r="AE276" s="106">
        <f>IF(ISNA(VLOOKUP($R276&amp;AE$2,$C$3:$F$4001,3,0)),"",VLOOKUP($R276&amp;AE$2,$C$3:$F$4001,3,0))</f>
        <v>41019</v>
      </c>
      <c r="AF276" s="107">
        <f>IF(ISNA(VLOOKUP($R276&amp;AE$2,$C$3:$F$4001,4,0)),"",VLOOKUP($R276&amp;AE$2,$C$3:$F$4001,4,0))</f>
        <v>0.23050000000000001</v>
      </c>
      <c r="AG276" s="106">
        <f>IF(ISNA(VLOOKUP($R276&amp;AG$2,$C$3:$F$4001,3,0)),"",VLOOKUP($R276&amp;AG$2,$C$3:$F$4001,3,0))</f>
        <v>41169</v>
      </c>
      <c r="AH276" s="107">
        <f>IF(ISNA(VLOOKUP($R276&amp;AG$2,$C$3:$F$4001,4,0)),"",VLOOKUP($R276&amp;AG$2,$C$3:$F$4001,4,0))</f>
        <v>0.38689999999999997</v>
      </c>
      <c r="AI276" s="106">
        <f>IF(ISNA(VLOOKUP($R276&amp;AI$2,$C$3:$F$4001,3,0)),"",VLOOKUP($R276&amp;AI$2,$C$3:$F$4001,3,0))</f>
        <v>41386</v>
      </c>
      <c r="AJ276" s="107">
        <f>IF(ISNA(VLOOKUP($R276&amp;AI$2,$C$3:$F$4001,4,0)),"",VLOOKUP($R276&amp;AI$2,$C$3:$F$4001,4,0))</f>
        <v>0.22109999999999999</v>
      </c>
      <c r="AK276" s="106" t="str">
        <f>IF(ISNA(VLOOKUP($R276&amp;AK$2,$C$3:$F$4001,3,0)),"",VLOOKUP($R276&amp;AK$2,$C$3:$F$4001,3,0))</f>
        <v/>
      </c>
      <c r="AL276" s="107" t="str">
        <f>IF(ISNA(VLOOKUP($R276&amp;AK$2,$C$3:$F$4001,4,0)),"",VLOOKUP($R276&amp;AK$2,$C$3:$F$4001,4,0))</f>
        <v/>
      </c>
    </row>
    <row r="277" spans="3:38" x14ac:dyDescent="0.2">
      <c r="C277" s="96" t="str">
        <f t="shared" si="16"/>
        <v>BHP5</v>
      </c>
      <c r="D277" s="73" t="s">
        <v>92</v>
      </c>
      <c r="E277" s="100">
        <v>40595</v>
      </c>
      <c r="F277" s="101">
        <v>0.37799999999999995</v>
      </c>
      <c r="G277" s="96">
        <f t="shared" si="17"/>
        <v>5</v>
      </c>
      <c r="I277" s="96"/>
      <c r="K277" t="str">
        <f t="shared" si="18"/>
        <v>BHP5</v>
      </c>
      <c r="L277" s="73" t="s">
        <v>92</v>
      </c>
      <c r="M277" s="72">
        <v>40595</v>
      </c>
      <c r="N277" s="84">
        <v>0.37799999999999995</v>
      </c>
      <c r="O277" s="96">
        <f t="shared" si="19"/>
        <v>5</v>
      </c>
      <c r="Q277" s="96"/>
      <c r="R277" s="96" t="str">
        <f>R276</f>
        <v>OMH</v>
      </c>
      <c r="S277" s="108">
        <f>IF(ISNA(VLOOKUP($R277&amp;S$2,$K$3:$N$4001,3,0)),"",VLOOKUP($R277&amp;S$2,$K$3:$N$4001,3,0))</f>
        <v>39923</v>
      </c>
      <c r="T277" s="109">
        <f>IF(ISNA(VLOOKUP($R277&amp;S$2,$K$3:$N$4001,4,0)),"",VLOOKUP($R277&amp;S$2,$K$3:$N$4001,4,0))</f>
        <v>0.02</v>
      </c>
      <c r="U277" s="108">
        <f>IF(ISNA(VLOOKUP($R277&amp;U$2,$K$3:$N$4001,3,0)),"",VLOOKUP($R277&amp;U$2,$K$3:$N$4001,3,0))</f>
        <v>40071</v>
      </c>
      <c r="V277" s="109">
        <f>IF(ISNA(VLOOKUP($R277&amp;U$2,$K$3:$N$4001,4,0)),"",VLOOKUP($R277&amp;U$2,$K$3:$N$4001,4,0))</f>
        <v>0.17120000000000002</v>
      </c>
      <c r="W277" s="108">
        <f>IF(ISNA(VLOOKUP($R277&amp;W$2,$K$3:$N$4001,3,0)),"",VLOOKUP($R277&amp;W$2,$K$3:$N$4001,3,0))</f>
        <v>40288</v>
      </c>
      <c r="X277" s="109">
        <f>IF(ISNA(VLOOKUP($R277&amp;W$2,$K$3:$N$4001,4,0)),"",VLOOKUP($R277&amp;W$2,$K$3:$N$4001,4,0))</f>
        <v>9.7799999999999998E-2</v>
      </c>
      <c r="Y277" s="108">
        <f>IF(ISNA(VLOOKUP($R277&amp;Y$2,$K$3:$N$4001,3,0)),"",VLOOKUP($R277&amp;Y$2,$K$3:$N$4001,3,0))</f>
        <v>40436</v>
      </c>
      <c r="Z277" s="109">
        <f>IF(ISNA(VLOOKUP($R277&amp;Y$2,$K$3:$N$4001,4,0)),"",VLOOKUP($R277&amp;Y$2,$K$3:$N$4001,4,0))</f>
        <v>0.36149999999999999</v>
      </c>
      <c r="AA277" s="108">
        <f>IF(ISNA(VLOOKUP($R277&amp;AA$2,$K$3:$N$4001,3,0)),"",VLOOKUP($R277&amp;AA$2,$K$3:$N$4001,3,0))</f>
        <v>40653</v>
      </c>
      <c r="AB277" s="109">
        <f>IF(ISNA(VLOOKUP($R277&amp;AA$2,$K$3:$N$4001,4,0)),"",VLOOKUP($R277&amp;AA$2,$K$3:$N$4001,4,0))</f>
        <v>0.20649999999999999</v>
      </c>
      <c r="AC277" s="108">
        <f>IF(ISNA(VLOOKUP($R277&amp;AC$2,$K$3:$N$4001,3,0)),"",VLOOKUP($R277&amp;AC$2,$K$3:$N$4001,3,0))</f>
        <v>40801</v>
      </c>
      <c r="AD277" s="109">
        <f>IF(ISNA(VLOOKUP($R277&amp;AC$2,$K$3:$N$4001,4,0)),"",VLOOKUP($R277&amp;AC$2,$K$3:$N$4001,4,0))</f>
        <v>0.40350000000000003</v>
      </c>
      <c r="AE277" s="108">
        <f>IF(ISNA(VLOOKUP($R277&amp;AE$2,$K$3:$N$4001,3,0)),"",VLOOKUP($R277&amp;AE$2,$K$3:$N$4001,3,0))</f>
        <v>41019</v>
      </c>
      <c r="AF277" s="109">
        <f>IF(ISNA(VLOOKUP($R277&amp;AE$2,$K$3:$N$4001,4,0)),"",VLOOKUP($R277&amp;AE$2,$K$3:$N$4001,4,0))</f>
        <v>0.23050000000000001</v>
      </c>
      <c r="AG277" s="108">
        <f>IF(ISNA(VLOOKUP($R277&amp;AG$2,$K$3:$N$4001,3,0)),"",VLOOKUP($R277&amp;AG$2,$K$3:$N$4001,3,0))</f>
        <v>41169</v>
      </c>
      <c r="AH277" s="109">
        <f>IF(ISNA(VLOOKUP($R277&amp;AG$2,$K$3:$N$4001,4,0)),"",VLOOKUP($R277&amp;AG$2,$K$3:$N$4001,4,0))</f>
        <v>0.38689999999999997</v>
      </c>
      <c r="AI277" s="108">
        <f>IF(ISNA(VLOOKUP($R277&amp;AI$2,$K$3:$N$4001,3,0)),"",VLOOKUP($R277&amp;AI$2,$K$3:$N$4001,3,0))</f>
        <v>41386</v>
      </c>
      <c r="AJ277" s="109">
        <f>IF(ISNA(VLOOKUP($R277&amp;AI$2,$K$3:$N$4001,4,0)),"",VLOOKUP($R277&amp;AI$2,$K$3:$N$4001,4,0))</f>
        <v>0.22109999999999999</v>
      </c>
      <c r="AK277" s="108" t="str">
        <f>IF(ISNA(VLOOKUP($R277&amp;AK$2,$K$3:$N$4001,3,0)),"",VLOOKUP($R277&amp;AK$2,$K$3:$N$4001,3,0))</f>
        <v/>
      </c>
      <c r="AL277" s="109" t="str">
        <f>IF(ISNA(VLOOKUP($R277&amp;AK$2,$K$3:$N$4001,4,0)),"",VLOOKUP($R277&amp;AK$2,$K$3:$N$4001,4,0))</f>
        <v/>
      </c>
    </row>
    <row r="278" spans="3:38" x14ac:dyDescent="0.2">
      <c r="C278" s="96" t="str">
        <f t="shared" si="16"/>
        <v>BHP6</v>
      </c>
      <c r="D278" s="73" t="s">
        <v>92</v>
      </c>
      <c r="E278" s="100">
        <v>40791</v>
      </c>
      <c r="F278" s="101">
        <v>0.53400000000000003</v>
      </c>
      <c r="G278" s="96">
        <f t="shared" si="17"/>
        <v>6</v>
      </c>
      <c r="I278" s="96"/>
      <c r="K278" t="str">
        <f t="shared" si="18"/>
        <v>BHP6</v>
      </c>
      <c r="L278" s="73" t="s">
        <v>92</v>
      </c>
      <c r="M278" s="72">
        <v>40791</v>
      </c>
      <c r="N278" s="84">
        <v>0.53400000000000003</v>
      </c>
      <c r="O278" s="96">
        <f t="shared" si="19"/>
        <v>6</v>
      </c>
      <c r="Q278" s="96"/>
      <c r="R278" s="96" t="s">
        <v>187</v>
      </c>
      <c r="S278" s="106">
        <f>IF(ISNA(VLOOKUP($R278&amp;S$2,$C$3:$F$4001,3,0)),"",VLOOKUP($R278&amp;S$2,$C$3:$F$4001,3,0))</f>
        <v>39874</v>
      </c>
      <c r="T278" s="107">
        <f>IF(ISNA(VLOOKUP($R278&amp;S$2,$C$3:$F$4001,4,0)),"",VLOOKUP($R278&amp;S$2,$C$3:$F$4001,4,0))</f>
        <v>0.08</v>
      </c>
      <c r="U278" s="106">
        <f>IF(ISNA(VLOOKUP($R278&amp;U$2,$C$3:$F$4001,3,0)),"",VLOOKUP($R278&amp;U$2,$C$3:$F$4001,3,0))</f>
        <v>40063</v>
      </c>
      <c r="V278" s="107">
        <f>IF(ISNA(VLOOKUP($R278&amp;U$2,$C$3:$F$4001,4,0)),"",VLOOKUP($R278&amp;U$2,$C$3:$F$4001,4,0))</f>
        <v>0.13500000000000001</v>
      </c>
      <c r="W278" s="106">
        <f>IF(ISNA(VLOOKUP($R278&amp;W$2,$C$3:$F$4001,3,0)),"",VLOOKUP($R278&amp;W$2,$C$3:$F$4001,3,0))</f>
        <v>40239</v>
      </c>
      <c r="X278" s="107">
        <f>IF(ISNA(VLOOKUP($R278&amp;W$2,$C$3:$F$4001,4,0)),"",VLOOKUP($R278&amp;W$2,$C$3:$F$4001,4,0))</f>
        <v>0.08</v>
      </c>
      <c r="Y278" s="106">
        <f>IF(ISNA(VLOOKUP($R278&amp;Y$2,$C$3:$F$4001,3,0)),"",VLOOKUP($R278&amp;Y$2,$C$3:$F$4001,3,0))</f>
        <v>40428</v>
      </c>
      <c r="Z278" s="107">
        <f>IF(ISNA(VLOOKUP($R278&amp;Y$2,$C$3:$F$4001,4,0)),"",VLOOKUP($R278&amp;Y$2,$C$3:$F$4001,4,0))</f>
        <v>0.13500000000000001</v>
      </c>
      <c r="AA278" s="106">
        <f>IF(ISNA(VLOOKUP($R278&amp;AA$2,$C$3:$F$4001,3,0)),"",VLOOKUP($R278&amp;AA$2,$C$3:$F$4001,3,0))</f>
        <v>40604</v>
      </c>
      <c r="AB278" s="107">
        <f>IF(ISNA(VLOOKUP($R278&amp;AA$2,$C$3:$F$4001,4,0)),"",VLOOKUP($R278&amp;AA$2,$C$3:$F$4001,4,0))</f>
        <v>0.09</v>
      </c>
      <c r="AC278" s="106">
        <f>IF(ISNA(VLOOKUP($R278&amp;AC$2,$C$3:$F$4001,3,0)),"",VLOOKUP($R278&amp;AC$2,$C$3:$F$4001,3,0))</f>
        <v>40793</v>
      </c>
      <c r="AD278" s="107">
        <f>IF(ISNA(VLOOKUP($R278&amp;AC$2,$C$3:$F$4001,4,0)),"",VLOOKUP($R278&amp;AC$2,$C$3:$F$4001,4,0))</f>
        <v>0.15</v>
      </c>
      <c r="AE278" s="106">
        <f>IF(ISNA(VLOOKUP($R278&amp;AE$2,$C$3:$F$4001,3,0)),"",VLOOKUP($R278&amp;AE$2,$C$3:$F$4001,3,0))</f>
        <v>40970</v>
      </c>
      <c r="AF278" s="107">
        <f>IF(ISNA(VLOOKUP($R278&amp;AE$2,$C$3:$F$4001,4,0)),"",VLOOKUP($R278&amp;AE$2,$C$3:$F$4001,4,0))</f>
        <v>0.09</v>
      </c>
      <c r="AG278" s="106">
        <f>IF(ISNA(VLOOKUP($R278&amp;AG$2,$C$3:$F$4001,3,0)),"",VLOOKUP($R278&amp;AG$2,$C$3:$F$4001,3,0))</f>
        <v>41159</v>
      </c>
      <c r="AH278" s="107">
        <f>IF(ISNA(VLOOKUP($R278&amp;AG$2,$C$3:$F$4001,4,0)),"",VLOOKUP($R278&amp;AG$2,$C$3:$F$4001,4,0))</f>
        <v>0.17</v>
      </c>
      <c r="AI278" s="106">
        <f>IF(ISNA(VLOOKUP($R278&amp;AI$2,$C$3:$F$4001,3,0)),"",VLOOKUP($R278&amp;AI$2,$C$3:$F$4001,3,0))</f>
        <v>41337</v>
      </c>
      <c r="AJ278" s="107">
        <f>IF(ISNA(VLOOKUP($R278&amp;AI$2,$C$3:$F$4001,4,0)),"",VLOOKUP($R278&amp;AI$2,$C$3:$F$4001,4,0))</f>
        <v>0.09</v>
      </c>
      <c r="AK278" s="106">
        <f>IF(ISNA(VLOOKUP($R278&amp;AK$2,$C$3:$F$4001,3,0)),"",VLOOKUP($R278&amp;AK$2,$C$3:$F$4001,3,0))</f>
        <v>41526</v>
      </c>
      <c r="AL278" s="107">
        <f>IF(ISNA(VLOOKUP($R278&amp;AK$2,$C$3:$F$4001,4,0)),"",VLOOKUP($R278&amp;AK$2,$C$3:$F$4001,4,0))</f>
        <v>0.18</v>
      </c>
    </row>
    <row r="279" spans="3:38" x14ac:dyDescent="0.2">
      <c r="C279" s="96" t="str">
        <f t="shared" si="16"/>
        <v>BHP7</v>
      </c>
      <c r="D279" s="73" t="s">
        <v>92</v>
      </c>
      <c r="E279" s="100">
        <v>40959</v>
      </c>
      <c r="F279" s="101">
        <v>0.41600000000000004</v>
      </c>
      <c r="G279" s="96">
        <f t="shared" si="17"/>
        <v>7</v>
      </c>
      <c r="I279" s="96"/>
      <c r="K279" t="str">
        <f t="shared" si="18"/>
        <v>BHP7</v>
      </c>
      <c r="L279" s="73" t="s">
        <v>92</v>
      </c>
      <c r="M279" s="72">
        <v>40959</v>
      </c>
      <c r="N279" s="84">
        <v>0.41600000000000004</v>
      </c>
      <c r="O279" s="96">
        <f t="shared" si="19"/>
        <v>7</v>
      </c>
      <c r="Q279" s="96"/>
      <c r="R279" s="96" t="str">
        <f>R278</f>
        <v>OST</v>
      </c>
      <c r="S279" s="108">
        <f>IF(ISNA(VLOOKUP($R279&amp;S$2,$K$3:$N$4001,3,0)),"",VLOOKUP($R279&amp;S$2,$K$3:$N$4001,3,0))</f>
        <v>39874</v>
      </c>
      <c r="T279" s="109">
        <f>IF(ISNA(VLOOKUP($R279&amp;S$2,$K$3:$N$4001,4,0)),"",VLOOKUP($R279&amp;S$2,$K$3:$N$4001,4,0))</f>
        <v>0.08</v>
      </c>
      <c r="U279" s="108">
        <f>IF(ISNA(VLOOKUP($R279&amp;U$2,$K$3:$N$4001,3,0)),"",VLOOKUP($R279&amp;U$2,$K$3:$N$4001,3,0))</f>
        <v>40063</v>
      </c>
      <c r="V279" s="109">
        <f>IF(ISNA(VLOOKUP($R279&amp;U$2,$K$3:$N$4001,4,0)),"",VLOOKUP($R279&amp;U$2,$K$3:$N$4001,4,0))</f>
        <v>0.13500000000000001</v>
      </c>
      <c r="W279" s="108">
        <f>IF(ISNA(VLOOKUP($R279&amp;W$2,$K$3:$N$4001,3,0)),"",VLOOKUP($R279&amp;W$2,$K$3:$N$4001,3,0))</f>
        <v>40239</v>
      </c>
      <c r="X279" s="109">
        <f>IF(ISNA(VLOOKUP($R279&amp;W$2,$K$3:$N$4001,4,0)),"",VLOOKUP($R279&amp;W$2,$K$3:$N$4001,4,0))</f>
        <v>0.08</v>
      </c>
      <c r="Y279" s="108">
        <f>IF(ISNA(VLOOKUP($R279&amp;Y$2,$K$3:$N$4001,3,0)),"",VLOOKUP($R279&amp;Y$2,$K$3:$N$4001,3,0))</f>
        <v>40428</v>
      </c>
      <c r="Z279" s="109">
        <f>IF(ISNA(VLOOKUP($R279&amp;Y$2,$K$3:$N$4001,4,0)),"",VLOOKUP($R279&amp;Y$2,$K$3:$N$4001,4,0))</f>
        <v>0.13500000000000001</v>
      </c>
      <c r="AA279" s="108">
        <f>IF(ISNA(VLOOKUP($R279&amp;AA$2,$K$3:$N$4001,3,0)),"",VLOOKUP($R279&amp;AA$2,$K$3:$N$4001,3,0))</f>
        <v>40604</v>
      </c>
      <c r="AB279" s="109">
        <f>IF(ISNA(VLOOKUP($R279&amp;AA$2,$K$3:$N$4001,4,0)),"",VLOOKUP($R279&amp;AA$2,$K$3:$N$4001,4,0))</f>
        <v>0.09</v>
      </c>
      <c r="AC279" s="108">
        <f>IF(ISNA(VLOOKUP($R279&amp;AC$2,$K$3:$N$4001,3,0)),"",VLOOKUP($R279&amp;AC$2,$K$3:$N$4001,3,0))</f>
        <v>40793</v>
      </c>
      <c r="AD279" s="109">
        <f>IF(ISNA(VLOOKUP($R279&amp;AC$2,$K$3:$N$4001,4,0)),"",VLOOKUP($R279&amp;AC$2,$K$3:$N$4001,4,0))</f>
        <v>0.15</v>
      </c>
      <c r="AE279" s="108">
        <f>IF(ISNA(VLOOKUP($R279&amp;AE$2,$K$3:$N$4001,3,0)),"",VLOOKUP($R279&amp;AE$2,$K$3:$N$4001,3,0))</f>
        <v>40970</v>
      </c>
      <c r="AF279" s="109">
        <f>IF(ISNA(VLOOKUP($R279&amp;AE$2,$K$3:$N$4001,4,0)),"",VLOOKUP($R279&amp;AE$2,$K$3:$N$4001,4,0))</f>
        <v>0.09</v>
      </c>
      <c r="AG279" s="108">
        <f>IF(ISNA(VLOOKUP($R279&amp;AG$2,$K$3:$N$4001,3,0)),"",VLOOKUP($R279&amp;AG$2,$K$3:$N$4001,3,0))</f>
        <v>41159</v>
      </c>
      <c r="AH279" s="109">
        <f>IF(ISNA(VLOOKUP($R279&amp;AG$2,$K$3:$N$4001,4,0)),"",VLOOKUP($R279&amp;AG$2,$K$3:$N$4001,4,0))</f>
        <v>0.17</v>
      </c>
      <c r="AI279" s="108">
        <f>IF(ISNA(VLOOKUP($R279&amp;AI$2,$K$3:$N$4001,3,0)),"",VLOOKUP($R279&amp;AI$2,$K$3:$N$4001,3,0))</f>
        <v>41337</v>
      </c>
      <c r="AJ279" s="109">
        <f>IF(ISNA(VLOOKUP($R279&amp;AI$2,$K$3:$N$4001,4,0)),"",VLOOKUP($R279&amp;AI$2,$K$3:$N$4001,4,0))</f>
        <v>0.09</v>
      </c>
      <c r="AK279" s="108">
        <f>IF(ISNA(VLOOKUP($R279&amp;AK$2,$K$3:$N$4001,3,0)),"",VLOOKUP($R279&amp;AK$2,$K$3:$N$4001,3,0))</f>
        <v>41526</v>
      </c>
      <c r="AL279" s="109">
        <f>IF(ISNA(VLOOKUP($R279&amp;AK$2,$K$3:$N$4001,4,0)),"",VLOOKUP($R279&amp;AK$2,$K$3:$N$4001,4,0))</f>
        <v>0.18</v>
      </c>
    </row>
    <row r="280" spans="3:38" x14ac:dyDescent="0.2">
      <c r="C280" s="96" t="str">
        <f t="shared" si="16"/>
        <v>BHP8</v>
      </c>
      <c r="D280" s="73" t="s">
        <v>92</v>
      </c>
      <c r="E280" s="100">
        <v>41155</v>
      </c>
      <c r="F280" s="101">
        <v>0.58799999999999997</v>
      </c>
      <c r="G280" s="96">
        <f t="shared" si="17"/>
        <v>8</v>
      </c>
      <c r="I280" s="96"/>
      <c r="K280" t="str">
        <f t="shared" si="18"/>
        <v>BHP8</v>
      </c>
      <c r="L280" s="73" t="s">
        <v>92</v>
      </c>
      <c r="M280" s="72">
        <v>41155</v>
      </c>
      <c r="N280" s="84">
        <v>0.58799999999999997</v>
      </c>
      <c r="O280" s="96">
        <f t="shared" si="19"/>
        <v>8</v>
      </c>
      <c r="Q280" s="96"/>
      <c r="R280" s="96" t="s">
        <v>185</v>
      </c>
      <c r="S280" s="106">
        <f>IF(ISNA(VLOOKUP($R280&amp;S$2,$C$3:$F$4001,3,0)),"",VLOOKUP($R280&amp;S$2,$C$3:$F$4001,3,0))</f>
        <v>39974</v>
      </c>
      <c r="T280" s="107">
        <f>IF(ISNA(VLOOKUP($R280&amp;S$2,$C$3:$F$4001,4,0)),"",VLOOKUP($R280&amp;S$2,$C$3:$F$4001,4,0))</f>
        <v>0.42</v>
      </c>
      <c r="U280" s="106">
        <f>IF(ISNA(VLOOKUP($R280&amp;U$2,$C$3:$F$4001,3,0)),"",VLOOKUP($R280&amp;U$2,$C$3:$F$4001,3,0))</f>
        <v>40128</v>
      </c>
      <c r="V280" s="107">
        <f>IF(ISNA(VLOOKUP($R280&amp;U$2,$C$3:$F$4001,4,0)),"",VLOOKUP($R280&amp;U$2,$C$3:$F$4001,4,0))</f>
        <v>0.57999999999999996</v>
      </c>
      <c r="W280" s="106">
        <f>IF(ISNA(VLOOKUP($R280&amp;W$2,$C$3:$F$4001,3,0)),"",VLOOKUP($R280&amp;W$2,$C$3:$F$4001,3,0))</f>
        <v>40339</v>
      </c>
      <c r="X280" s="107">
        <f>IF(ISNA(VLOOKUP($R280&amp;W$2,$C$3:$F$4001,4,0)),"",VLOOKUP($R280&amp;W$2,$C$3:$F$4001,4,0))</f>
        <v>0.42380000000000001</v>
      </c>
      <c r="Y280" s="106">
        <f>IF(ISNA(VLOOKUP($R280&amp;Y$2,$C$3:$F$4001,3,0)),"",VLOOKUP($R280&amp;Y$2,$C$3:$F$4001,3,0))</f>
        <v>40493</v>
      </c>
      <c r="Z280" s="107">
        <f>IF(ISNA(VLOOKUP($R280&amp;Y$2,$C$3:$F$4001,4,0)),"",VLOOKUP($R280&amp;Y$2,$C$3:$F$4001,4,0))</f>
        <v>0.58520000000000005</v>
      </c>
      <c r="AA280" s="106">
        <f>IF(ISNA(VLOOKUP($R280&amp;AA$2,$C$3:$F$4001,3,0)),"",VLOOKUP($R280&amp;AA$2,$C$3:$F$4001,3,0))</f>
        <v>40704</v>
      </c>
      <c r="AB280" s="107">
        <f>IF(ISNA(VLOOKUP($R280&amp;AA$2,$C$3:$F$4001,4,0)),"",VLOOKUP($R280&amp;AA$2,$C$3:$F$4001,4,0))</f>
        <v>0.441</v>
      </c>
      <c r="AC280" s="106">
        <f>IF(ISNA(VLOOKUP($R280&amp;AC$2,$C$3:$F$4001,3,0)),"",VLOOKUP($R280&amp;AC$2,$C$3:$F$4001,3,0))</f>
        <v>40858</v>
      </c>
      <c r="AD280" s="107">
        <f>IF(ISNA(VLOOKUP($R280&amp;AC$2,$C$3:$F$4001,4,0)),"",VLOOKUP($R280&amp;AC$2,$C$3:$F$4001,4,0))</f>
        <v>0.60899999999999999</v>
      </c>
      <c r="AE280" s="106">
        <f>IF(ISNA(VLOOKUP($R280&amp;AE$2,$C$3:$F$4001,3,0)),"",VLOOKUP($R280&amp;AE$2,$C$3:$F$4001,3,0))</f>
        <v>41072</v>
      </c>
      <c r="AF280" s="107">
        <f>IF(ISNA(VLOOKUP($R280&amp;AE$2,$C$3:$F$4001,4,0)),"",VLOOKUP($R280&amp;AE$2,$C$3:$F$4001,4,0))</f>
        <v>0.49520000000000003</v>
      </c>
      <c r="AG280" s="106">
        <f>IF(ISNA(VLOOKUP($R280&amp;AG$2,$C$3:$F$4001,3,0)),"",VLOOKUP($R280&amp;AG$2,$C$3:$F$4001,3,0))</f>
        <v>41226</v>
      </c>
      <c r="AH280" s="107">
        <f>IF(ISNA(VLOOKUP($R280&amp;AG$2,$C$3:$F$4001,4,0)),"",VLOOKUP($R280&amp;AG$2,$C$3:$F$4001,4,0))</f>
        <v>0.68379999999999996</v>
      </c>
      <c r="AI280" s="106">
        <f>IF(ISNA(VLOOKUP($R280&amp;AI$2,$C$3:$F$4001,3,0)),"",VLOOKUP($R280&amp;AI$2,$C$3:$F$4001,3,0))</f>
        <v>41437</v>
      </c>
      <c r="AJ280" s="107">
        <f>IF(ISNA(VLOOKUP($R280&amp;AI$2,$C$3:$F$4001,4,0)),"",VLOOKUP($R280&amp;AI$2,$C$3:$F$4001,4,0))</f>
        <v>0.54179999999999995</v>
      </c>
      <c r="AK280" s="106">
        <f>IF(ISNA(VLOOKUP($R280&amp;AK$2,$C$3:$F$4001,3,0)),"",VLOOKUP($R280&amp;AK$2,$C$3:$F$4001,3,0))</f>
        <v>41591</v>
      </c>
      <c r="AL280" s="107">
        <f>IF(ISNA(VLOOKUP($R280&amp;AK$2,$C$3:$F$4001,4,0)),"",VLOOKUP($R280&amp;AK$2,$C$3:$F$4001,4,0))</f>
        <v>0.74819999999999998</v>
      </c>
    </row>
    <row r="281" spans="3:38" x14ac:dyDescent="0.2">
      <c r="C281" s="96" t="str">
        <f t="shared" si="16"/>
        <v>BHP9</v>
      </c>
      <c r="D281" s="73" t="s">
        <v>92</v>
      </c>
      <c r="E281" s="100">
        <v>41324</v>
      </c>
      <c r="F281" s="101">
        <v>0.56999999999999995</v>
      </c>
      <c r="G281" s="96">
        <f t="shared" si="17"/>
        <v>9</v>
      </c>
      <c r="I281" s="96"/>
      <c r="K281" t="str">
        <f t="shared" si="18"/>
        <v>BHP9</v>
      </c>
      <c r="L281" s="73" t="s">
        <v>92</v>
      </c>
      <c r="M281" s="72">
        <v>41324</v>
      </c>
      <c r="N281" s="84">
        <v>0.56999999999999995</v>
      </c>
      <c r="O281" s="96">
        <f t="shared" si="19"/>
        <v>9</v>
      </c>
      <c r="Q281" s="96"/>
      <c r="R281" s="96" t="str">
        <f>R280</f>
        <v>ORI</v>
      </c>
      <c r="S281" s="108">
        <f>IF(ISNA(VLOOKUP($R281&amp;S$2,$K$3:$N$4001,3,0)),"",VLOOKUP($R281&amp;S$2,$K$3:$N$4001,3,0))</f>
        <v>39974</v>
      </c>
      <c r="T281" s="109">
        <f>IF(ISNA(VLOOKUP($R281&amp;S$2,$K$3:$N$4001,4,0)),"",VLOOKUP($R281&amp;S$2,$K$3:$N$4001,4,0))</f>
        <v>0.42</v>
      </c>
      <c r="U281" s="108">
        <f>IF(ISNA(VLOOKUP($R281&amp;U$2,$K$3:$N$4001,3,0)),"",VLOOKUP($R281&amp;U$2,$K$3:$N$4001,3,0))</f>
        <v>40128</v>
      </c>
      <c r="V281" s="109">
        <f>IF(ISNA(VLOOKUP($R281&amp;U$2,$K$3:$N$4001,4,0)),"",VLOOKUP($R281&amp;U$2,$K$3:$N$4001,4,0))</f>
        <v>0.57999999999999996</v>
      </c>
      <c r="W281" s="108">
        <f>IF(ISNA(VLOOKUP($R281&amp;W$2,$K$3:$N$4001,3,0)),"",VLOOKUP($R281&amp;W$2,$K$3:$N$4001,3,0))</f>
        <v>40339</v>
      </c>
      <c r="X281" s="109">
        <f>IF(ISNA(VLOOKUP($R281&amp;W$2,$K$3:$N$4001,4,0)),"",VLOOKUP($R281&amp;W$2,$K$3:$N$4001,4,0))</f>
        <v>0.42380000000000001</v>
      </c>
      <c r="Y281" s="108">
        <f>IF(ISNA(VLOOKUP($R281&amp;Y$2,$K$3:$N$4001,3,0)),"",VLOOKUP($R281&amp;Y$2,$K$3:$N$4001,3,0))</f>
        <v>40493</v>
      </c>
      <c r="Z281" s="109">
        <f>IF(ISNA(VLOOKUP($R281&amp;Y$2,$K$3:$N$4001,4,0)),"",VLOOKUP($R281&amp;Y$2,$K$3:$N$4001,4,0))</f>
        <v>0.58520000000000005</v>
      </c>
      <c r="AA281" s="108">
        <f>IF(ISNA(VLOOKUP($R281&amp;AA$2,$K$3:$N$4001,3,0)),"",VLOOKUP($R281&amp;AA$2,$K$3:$N$4001,3,0))</f>
        <v>40704</v>
      </c>
      <c r="AB281" s="109">
        <f>IF(ISNA(VLOOKUP($R281&amp;AA$2,$K$3:$N$4001,4,0)),"",VLOOKUP($R281&amp;AA$2,$K$3:$N$4001,4,0))</f>
        <v>0.441</v>
      </c>
      <c r="AC281" s="108">
        <f>IF(ISNA(VLOOKUP($R281&amp;AC$2,$K$3:$N$4001,3,0)),"",VLOOKUP($R281&amp;AC$2,$K$3:$N$4001,3,0))</f>
        <v>40858</v>
      </c>
      <c r="AD281" s="109">
        <f>IF(ISNA(VLOOKUP($R281&amp;AC$2,$K$3:$N$4001,4,0)),"",VLOOKUP($R281&amp;AC$2,$K$3:$N$4001,4,0))</f>
        <v>0.60899999999999999</v>
      </c>
      <c r="AE281" s="108">
        <f>IF(ISNA(VLOOKUP($R281&amp;AE$2,$K$3:$N$4001,3,0)),"",VLOOKUP($R281&amp;AE$2,$K$3:$N$4001,3,0))</f>
        <v>41072</v>
      </c>
      <c r="AF281" s="109">
        <f>IF(ISNA(VLOOKUP($R281&amp;AE$2,$K$3:$N$4001,4,0)),"",VLOOKUP($R281&amp;AE$2,$K$3:$N$4001,4,0))</f>
        <v>0.49520000000000003</v>
      </c>
      <c r="AG281" s="108">
        <f>IF(ISNA(VLOOKUP($R281&amp;AG$2,$K$3:$N$4001,3,0)),"",VLOOKUP($R281&amp;AG$2,$K$3:$N$4001,3,0))</f>
        <v>41226</v>
      </c>
      <c r="AH281" s="109">
        <f>IF(ISNA(VLOOKUP($R281&amp;AG$2,$K$3:$N$4001,4,0)),"",VLOOKUP($R281&amp;AG$2,$K$3:$N$4001,4,0))</f>
        <v>0.68379999999999996</v>
      </c>
      <c r="AI281" s="108">
        <f>IF(ISNA(VLOOKUP($R281&amp;AI$2,$K$3:$N$4001,3,0)),"",VLOOKUP($R281&amp;AI$2,$K$3:$N$4001,3,0))</f>
        <v>41437</v>
      </c>
      <c r="AJ281" s="109">
        <f>IF(ISNA(VLOOKUP($R281&amp;AI$2,$K$3:$N$4001,4,0)),"",VLOOKUP($R281&amp;AI$2,$K$3:$N$4001,4,0))</f>
        <v>0.54179999999999995</v>
      </c>
      <c r="AK281" s="108">
        <f>IF(ISNA(VLOOKUP($R281&amp;AK$2,$K$3:$N$4001,3,0)),"",VLOOKUP($R281&amp;AK$2,$K$3:$N$4001,3,0))</f>
        <v>41591</v>
      </c>
      <c r="AL281" s="109">
        <f>IF(ISNA(VLOOKUP($R281&amp;AK$2,$K$3:$N$4001,4,0)),"",VLOOKUP($R281&amp;AK$2,$K$3:$N$4001,4,0))</f>
        <v>0.74819999999999998</v>
      </c>
    </row>
    <row r="282" spans="3:38" x14ac:dyDescent="0.2">
      <c r="C282" s="96" t="str">
        <f t="shared" si="16"/>
        <v>BHP10</v>
      </c>
      <c r="D282" s="73" t="s">
        <v>92</v>
      </c>
      <c r="E282" s="100">
        <v>41520</v>
      </c>
      <c r="F282" s="101">
        <v>0.69</v>
      </c>
      <c r="G282" s="96">
        <f t="shared" si="17"/>
        <v>10</v>
      </c>
      <c r="I282" s="96"/>
      <c r="K282" t="str">
        <f t="shared" si="18"/>
        <v>BHP10</v>
      </c>
      <c r="L282" s="73" t="s">
        <v>92</v>
      </c>
      <c r="M282" s="72">
        <v>41520</v>
      </c>
      <c r="N282" s="84">
        <v>0.69</v>
      </c>
      <c r="O282" s="96">
        <f t="shared" si="19"/>
        <v>10</v>
      </c>
      <c r="Q282" s="96"/>
      <c r="R282" s="96" t="s">
        <v>184</v>
      </c>
      <c r="S282" s="106">
        <f>IF(ISNA(VLOOKUP($R282&amp;S$2,$C$3:$F$4001,3,0)),"",VLOOKUP($R282&amp;S$2,$C$3:$F$4001,3,0))</f>
        <v>39876</v>
      </c>
      <c r="T282" s="107">
        <f>IF(ISNA(VLOOKUP($R282&amp;S$2,$C$3:$F$4001,4,0)),"",VLOOKUP($R282&amp;S$2,$C$3:$F$4001,4,0))</f>
        <v>0.13</v>
      </c>
      <c r="U282" s="106">
        <f>IF(ISNA(VLOOKUP($R282&amp;U$2,$C$3:$F$4001,3,0)),"",VLOOKUP($R282&amp;U$2,$C$3:$F$4001,3,0))</f>
        <v>40059</v>
      </c>
      <c r="V282" s="107">
        <f>IF(ISNA(VLOOKUP($R282&amp;U$2,$C$3:$F$4001,4,0)),"",VLOOKUP($R282&amp;U$2,$C$3:$F$4001,4,0))</f>
        <v>0.14000000000000001</v>
      </c>
      <c r="W282" s="106">
        <f>IF(ISNA(VLOOKUP($R282&amp;W$2,$C$3:$F$4001,3,0)),"",VLOOKUP($R282&amp;W$2,$C$3:$F$4001,3,0))</f>
        <v>40242</v>
      </c>
      <c r="X282" s="107">
        <f>IF(ISNA(VLOOKUP($R282&amp;W$2,$C$3:$F$4001,4,0)),"",VLOOKUP($R282&amp;W$2,$C$3:$F$4001,4,0))</f>
        <v>0.14000000000000001</v>
      </c>
      <c r="Y282" s="106">
        <f>IF(ISNA(VLOOKUP($R282&amp;Y$2,$C$3:$F$4001,3,0)),"",VLOOKUP($R282&amp;Y$2,$C$3:$F$4001,3,0))</f>
        <v>40424</v>
      </c>
      <c r="Z282" s="107">
        <f>IF(ISNA(VLOOKUP($R282&amp;Y$2,$C$3:$F$4001,4,0)),"",VLOOKUP($R282&amp;Y$2,$C$3:$F$4001,4,0))</f>
        <v>0.15</v>
      </c>
      <c r="AA282" s="106">
        <f>IF(ISNA(VLOOKUP($R282&amp;AA$2,$C$3:$F$4001,3,0)),"",VLOOKUP($R282&amp;AA$2,$C$3:$F$4001,3,0))</f>
        <v>40609</v>
      </c>
      <c r="AB282" s="107">
        <f>IF(ISNA(VLOOKUP($R282&amp;AA$2,$C$3:$F$4001,4,0)),"",VLOOKUP($R282&amp;AA$2,$C$3:$F$4001,4,0))</f>
        <v>0.19</v>
      </c>
      <c r="AC282" s="106">
        <f>IF(ISNA(VLOOKUP($R282&amp;AC$2,$C$3:$F$4001,3,0)),"",VLOOKUP($R282&amp;AC$2,$C$3:$F$4001,3,0))</f>
        <v>40791</v>
      </c>
      <c r="AD282" s="107">
        <f>IF(ISNA(VLOOKUP($R282&amp;AC$2,$C$3:$F$4001,4,0)),"",VLOOKUP($R282&amp;AC$2,$C$3:$F$4001,4,0))</f>
        <v>0.2</v>
      </c>
      <c r="AE282" s="106">
        <f>IF(ISNA(VLOOKUP($R282&amp;AE$2,$C$3:$F$4001,3,0)),"",VLOOKUP($R282&amp;AE$2,$C$3:$F$4001,3,0))</f>
        <v>40974</v>
      </c>
      <c r="AF282" s="107">
        <f>IF(ISNA(VLOOKUP($R282&amp;AE$2,$C$3:$F$4001,4,0)),"",VLOOKUP($R282&amp;AE$2,$C$3:$F$4001,4,0))</f>
        <v>0.25</v>
      </c>
      <c r="AG282" s="106">
        <f>IF(ISNA(VLOOKUP($R282&amp;AG$2,$C$3:$F$4001,3,0)),"",VLOOKUP($R282&amp;AG$2,$C$3:$F$4001,3,0))</f>
        <v>41156</v>
      </c>
      <c r="AH282" s="107">
        <f>IF(ISNA(VLOOKUP($R282&amp;AG$2,$C$3:$F$4001,4,0)),"",VLOOKUP($R282&amp;AG$2,$C$3:$F$4001,4,0))</f>
        <v>0.26</v>
      </c>
      <c r="AI282" s="106">
        <f>IF(ISNA(VLOOKUP($R282&amp;AI$2,$C$3:$F$4001,3,0)),"",VLOOKUP($R282&amp;AI$2,$C$3:$F$4001,3,0))</f>
        <v>41339</v>
      </c>
      <c r="AJ282" s="107">
        <f>IF(ISNA(VLOOKUP($R282&amp;AI$2,$C$3:$F$4001,4,0)),"",VLOOKUP($R282&amp;AI$2,$C$3:$F$4001,4,0))</f>
        <v>0.28999999999999998</v>
      </c>
      <c r="AK282" s="106">
        <f>IF(ISNA(VLOOKUP($R282&amp;AK$2,$C$3:$F$4001,3,0)),"",VLOOKUP($R282&amp;AK$2,$C$3:$F$4001,3,0))</f>
        <v>41521</v>
      </c>
      <c r="AL282" s="107">
        <f>IF(ISNA(VLOOKUP($R282&amp;AK$2,$C$3:$F$4001,4,0)),"",VLOOKUP($R282&amp;AK$2,$C$3:$F$4001,4,0))</f>
        <v>0.3</v>
      </c>
    </row>
    <row r="283" spans="3:38" x14ac:dyDescent="0.2">
      <c r="C283" s="96" t="str">
        <f t="shared" si="16"/>
        <v>BJT1</v>
      </c>
      <c r="D283" s="73" t="s">
        <v>93</v>
      </c>
      <c r="E283" s="100">
        <v>39988</v>
      </c>
      <c r="F283" s="101">
        <v>6.5000000000000002E-2</v>
      </c>
      <c r="G283" s="96">
        <f t="shared" si="17"/>
        <v>1</v>
      </c>
      <c r="I283" s="96"/>
      <c r="K283" t="str">
        <f t="shared" si="18"/>
        <v>BJT1</v>
      </c>
      <c r="L283" s="73" t="s">
        <v>93</v>
      </c>
      <c r="M283" s="72">
        <v>39988</v>
      </c>
      <c r="N283" s="84">
        <v>6.5000000000000002E-2</v>
      </c>
      <c r="O283" s="96">
        <f t="shared" si="19"/>
        <v>1</v>
      </c>
      <c r="Q283" s="96"/>
      <c r="R283" s="96" t="str">
        <f>R282</f>
        <v>ORG</v>
      </c>
      <c r="S283" s="108">
        <f>IF(ISNA(VLOOKUP($R283&amp;S$2,$K$3:$N$4001,3,0)),"",VLOOKUP($R283&amp;S$2,$K$3:$N$4001,3,0))</f>
        <v>39876</v>
      </c>
      <c r="T283" s="109">
        <f>IF(ISNA(VLOOKUP($R283&amp;S$2,$K$3:$N$4001,4,0)),"",VLOOKUP($R283&amp;S$2,$K$3:$N$4001,4,0))</f>
        <v>0.13</v>
      </c>
      <c r="U283" s="108">
        <f>IF(ISNA(VLOOKUP($R283&amp;U$2,$K$3:$N$4001,3,0)),"",VLOOKUP($R283&amp;U$2,$K$3:$N$4001,3,0))</f>
        <v>40059</v>
      </c>
      <c r="V283" s="109">
        <f>IF(ISNA(VLOOKUP($R283&amp;U$2,$K$3:$N$4001,4,0)),"",VLOOKUP($R283&amp;U$2,$K$3:$N$4001,4,0))</f>
        <v>0.14000000000000001</v>
      </c>
      <c r="W283" s="108">
        <f>IF(ISNA(VLOOKUP($R283&amp;W$2,$K$3:$N$4001,3,0)),"",VLOOKUP($R283&amp;W$2,$K$3:$N$4001,3,0))</f>
        <v>40242</v>
      </c>
      <c r="X283" s="109">
        <f>IF(ISNA(VLOOKUP($R283&amp;W$2,$K$3:$N$4001,4,0)),"",VLOOKUP($R283&amp;W$2,$K$3:$N$4001,4,0))</f>
        <v>0.14000000000000001</v>
      </c>
      <c r="Y283" s="108">
        <f>IF(ISNA(VLOOKUP($R283&amp;Y$2,$K$3:$N$4001,3,0)),"",VLOOKUP($R283&amp;Y$2,$K$3:$N$4001,3,0))</f>
        <v>40424</v>
      </c>
      <c r="Z283" s="109">
        <f>IF(ISNA(VLOOKUP($R283&amp;Y$2,$K$3:$N$4001,4,0)),"",VLOOKUP($R283&amp;Y$2,$K$3:$N$4001,4,0))</f>
        <v>0.15</v>
      </c>
      <c r="AA283" s="108">
        <f>IF(ISNA(VLOOKUP($R283&amp;AA$2,$K$3:$N$4001,3,0)),"",VLOOKUP($R283&amp;AA$2,$K$3:$N$4001,3,0))</f>
        <v>40609</v>
      </c>
      <c r="AB283" s="109">
        <f>IF(ISNA(VLOOKUP($R283&amp;AA$2,$K$3:$N$4001,4,0)),"",VLOOKUP($R283&amp;AA$2,$K$3:$N$4001,4,0))</f>
        <v>0.19</v>
      </c>
      <c r="AC283" s="108">
        <f>IF(ISNA(VLOOKUP($R283&amp;AC$2,$K$3:$N$4001,3,0)),"",VLOOKUP($R283&amp;AC$2,$K$3:$N$4001,3,0))</f>
        <v>40791</v>
      </c>
      <c r="AD283" s="109">
        <f>IF(ISNA(VLOOKUP($R283&amp;AC$2,$K$3:$N$4001,4,0)),"",VLOOKUP($R283&amp;AC$2,$K$3:$N$4001,4,0))</f>
        <v>0.2</v>
      </c>
      <c r="AE283" s="108">
        <f>IF(ISNA(VLOOKUP($R283&amp;AE$2,$K$3:$N$4001,3,0)),"",VLOOKUP($R283&amp;AE$2,$K$3:$N$4001,3,0))</f>
        <v>40974</v>
      </c>
      <c r="AF283" s="109">
        <f>IF(ISNA(VLOOKUP($R283&amp;AE$2,$K$3:$N$4001,4,0)),"",VLOOKUP($R283&amp;AE$2,$K$3:$N$4001,4,0))</f>
        <v>0.25</v>
      </c>
      <c r="AG283" s="108">
        <f>IF(ISNA(VLOOKUP($R283&amp;AG$2,$K$3:$N$4001,3,0)),"",VLOOKUP($R283&amp;AG$2,$K$3:$N$4001,3,0))</f>
        <v>41156</v>
      </c>
      <c r="AH283" s="109">
        <f>IF(ISNA(VLOOKUP($R283&amp;AG$2,$K$3:$N$4001,4,0)),"",VLOOKUP($R283&amp;AG$2,$K$3:$N$4001,4,0))</f>
        <v>0.26</v>
      </c>
      <c r="AI283" s="108">
        <f>IF(ISNA(VLOOKUP($R283&amp;AI$2,$K$3:$N$4001,3,0)),"",VLOOKUP($R283&amp;AI$2,$K$3:$N$4001,3,0))</f>
        <v>41339</v>
      </c>
      <c r="AJ283" s="109">
        <f>IF(ISNA(VLOOKUP($R283&amp;AI$2,$K$3:$N$4001,4,0)),"",VLOOKUP($R283&amp;AI$2,$K$3:$N$4001,4,0))</f>
        <v>0.28999999999999998</v>
      </c>
      <c r="AK283" s="108">
        <f>IF(ISNA(VLOOKUP($R283&amp;AK$2,$K$3:$N$4001,3,0)),"",VLOOKUP($R283&amp;AK$2,$K$3:$N$4001,3,0))</f>
        <v>41521</v>
      </c>
      <c r="AL283" s="109">
        <f>IF(ISNA(VLOOKUP($R283&amp;AK$2,$K$3:$N$4001,4,0)),"",VLOOKUP($R283&amp;AK$2,$K$3:$N$4001,4,0))</f>
        <v>0.3</v>
      </c>
    </row>
    <row r="284" spans="3:38" x14ac:dyDescent="0.2">
      <c r="C284" s="96" t="str">
        <f t="shared" si="16"/>
        <v>BJT2</v>
      </c>
      <c r="D284" s="73" t="s">
        <v>93</v>
      </c>
      <c r="E284" s="100">
        <v>40170</v>
      </c>
      <c r="F284" s="101">
        <v>0.04</v>
      </c>
      <c r="G284" s="96">
        <f t="shared" si="17"/>
        <v>2</v>
      </c>
      <c r="I284" s="96"/>
      <c r="K284" t="str">
        <f t="shared" si="18"/>
        <v>BJT2</v>
      </c>
      <c r="L284" s="73" t="s">
        <v>93</v>
      </c>
      <c r="M284" s="72">
        <v>40170</v>
      </c>
      <c r="N284" s="84">
        <v>0.04</v>
      </c>
      <c r="O284" s="96">
        <f t="shared" si="19"/>
        <v>2</v>
      </c>
      <c r="Q284" s="96"/>
      <c r="R284" s="96" t="s">
        <v>274</v>
      </c>
      <c r="S284" s="106" t="str">
        <f>IF(ISNA(VLOOKUP($R284&amp;S$2,$C$3:$F$4001,3,0)),"",VLOOKUP($R284&amp;S$2,$C$3:$F$4001,3,0))</f>
        <v/>
      </c>
      <c r="T284" s="107" t="str">
        <f>IF(ISNA(VLOOKUP($R284&amp;S$2,$C$3:$F$4001,4,0)),"",VLOOKUP($R284&amp;S$2,$C$3:$F$4001,4,0))</f>
        <v/>
      </c>
      <c r="U284" s="106" t="str">
        <f>IF(ISNA(VLOOKUP($R284&amp;U$2,$C$3:$F$4001,3,0)),"",VLOOKUP($R284&amp;U$2,$C$3:$F$4001,3,0))</f>
        <v/>
      </c>
      <c r="V284" s="107" t="str">
        <f>IF(ISNA(VLOOKUP($R284&amp;U$2,$C$3:$F$4001,4,0)),"",VLOOKUP($R284&amp;U$2,$C$3:$F$4001,4,0))</f>
        <v/>
      </c>
      <c r="W284" s="106" t="str">
        <f>IF(ISNA(VLOOKUP($R284&amp;W$2,$C$3:$F$4001,3,0)),"",VLOOKUP($R284&amp;W$2,$C$3:$F$4001,3,0))</f>
        <v/>
      </c>
      <c r="X284" s="107" t="str">
        <f>IF(ISNA(VLOOKUP($R284&amp;W$2,$C$3:$F$4001,4,0)),"",VLOOKUP($R284&amp;W$2,$C$3:$F$4001,4,0))</f>
        <v/>
      </c>
      <c r="Y284" s="106" t="str">
        <f>IF(ISNA(VLOOKUP($R284&amp;Y$2,$C$3:$F$4001,3,0)),"",VLOOKUP($R284&amp;Y$2,$C$3:$F$4001,3,0))</f>
        <v/>
      </c>
      <c r="Z284" s="107" t="str">
        <f>IF(ISNA(VLOOKUP($R284&amp;Y$2,$C$3:$F$4001,4,0)),"",VLOOKUP($R284&amp;Y$2,$C$3:$F$4001,4,0))</f>
        <v/>
      </c>
      <c r="AA284" s="106" t="str">
        <f>IF(ISNA(VLOOKUP($R284&amp;AA$2,$C$3:$F$4001,3,0)),"",VLOOKUP($R284&amp;AA$2,$C$3:$F$4001,3,0))</f>
        <v/>
      </c>
      <c r="AB284" s="107" t="str">
        <f>IF(ISNA(VLOOKUP($R284&amp;AA$2,$C$3:$F$4001,4,0)),"",VLOOKUP($R284&amp;AA$2,$C$3:$F$4001,4,0))</f>
        <v/>
      </c>
      <c r="AC284" s="106" t="str">
        <f>IF(ISNA(VLOOKUP($R284&amp;AC$2,$C$3:$F$4001,3,0)),"",VLOOKUP($R284&amp;AC$2,$C$3:$F$4001,3,0))</f>
        <v/>
      </c>
      <c r="AD284" s="107" t="str">
        <f>IF(ISNA(VLOOKUP($R284&amp;AC$2,$C$3:$F$4001,4,0)),"",VLOOKUP($R284&amp;AC$2,$C$3:$F$4001,4,0))</f>
        <v/>
      </c>
      <c r="AE284" s="106" t="str">
        <f>IF(ISNA(VLOOKUP($R284&amp;AE$2,$C$3:$F$4001,3,0)),"",VLOOKUP($R284&amp;AE$2,$C$3:$F$4001,3,0))</f>
        <v/>
      </c>
      <c r="AF284" s="107" t="str">
        <f>IF(ISNA(VLOOKUP($R284&amp;AE$2,$C$3:$F$4001,4,0)),"",VLOOKUP($R284&amp;AE$2,$C$3:$F$4001,4,0))</f>
        <v/>
      </c>
      <c r="AG284" s="106" t="str">
        <f>IF(ISNA(VLOOKUP($R284&amp;AG$2,$C$3:$F$4001,3,0)),"",VLOOKUP($R284&amp;AG$2,$C$3:$F$4001,3,0))</f>
        <v/>
      </c>
      <c r="AH284" s="107" t="str">
        <f>IF(ISNA(VLOOKUP($R284&amp;AG$2,$C$3:$F$4001,4,0)),"",VLOOKUP($R284&amp;AG$2,$C$3:$F$4001,4,0))</f>
        <v/>
      </c>
      <c r="AI284" s="106" t="str">
        <f>IF(ISNA(VLOOKUP($R284&amp;AI$2,$C$3:$F$4001,3,0)),"",VLOOKUP($R284&amp;AI$2,$C$3:$F$4001,3,0))</f>
        <v/>
      </c>
      <c r="AJ284" s="107" t="str">
        <f>IF(ISNA(VLOOKUP($R284&amp;AI$2,$C$3:$F$4001,4,0)),"",VLOOKUP($R284&amp;AI$2,$C$3:$F$4001,4,0))</f>
        <v/>
      </c>
      <c r="AK284" s="106" t="str">
        <f>IF(ISNA(VLOOKUP($R284&amp;AK$2,$C$3:$F$4001,3,0)),"",VLOOKUP($R284&amp;AK$2,$C$3:$F$4001,3,0))</f>
        <v/>
      </c>
      <c r="AL284" s="107" t="str">
        <f>IF(ISNA(VLOOKUP($R284&amp;AK$2,$C$3:$F$4001,4,0)),"",VLOOKUP($R284&amp;AK$2,$C$3:$F$4001,4,0))</f>
        <v/>
      </c>
    </row>
    <row r="285" spans="3:38" x14ac:dyDescent="0.2">
      <c r="C285" s="96" t="str">
        <f t="shared" si="16"/>
        <v>BJT3</v>
      </c>
      <c r="D285" s="73" t="s">
        <v>93</v>
      </c>
      <c r="E285" s="100">
        <v>40353</v>
      </c>
      <c r="F285" s="101">
        <v>0.06</v>
      </c>
      <c r="G285" s="96">
        <f t="shared" si="17"/>
        <v>3</v>
      </c>
      <c r="I285" s="96"/>
      <c r="K285" t="str">
        <f t="shared" si="18"/>
        <v>BJT3</v>
      </c>
      <c r="L285" s="73" t="s">
        <v>93</v>
      </c>
      <c r="M285" s="72">
        <v>40353</v>
      </c>
      <c r="N285" s="84">
        <v>0.06</v>
      </c>
      <c r="O285" s="96">
        <f t="shared" si="19"/>
        <v>3</v>
      </c>
      <c r="Q285" s="96"/>
      <c r="R285" s="96" t="str">
        <f>R284</f>
        <v>OZL</v>
      </c>
      <c r="S285" s="108" t="str">
        <f>IF(ISNA(VLOOKUP($R285&amp;S$2,$K$3:$N$4001,3,0)),"",VLOOKUP($R285&amp;S$2,$K$3:$N$4001,3,0))</f>
        <v/>
      </c>
      <c r="T285" s="109" t="str">
        <f>IF(ISNA(VLOOKUP($R285&amp;S$2,$K$3:$N$4001,4,0)),"",VLOOKUP($R285&amp;S$2,$K$3:$N$4001,4,0))</f>
        <v/>
      </c>
      <c r="U285" s="108" t="str">
        <f>IF(ISNA(VLOOKUP($R285&amp;U$2,$K$3:$N$4001,3,0)),"",VLOOKUP($R285&amp;U$2,$K$3:$N$4001,3,0))</f>
        <v/>
      </c>
      <c r="V285" s="109" t="str">
        <f>IF(ISNA(VLOOKUP($R285&amp;U$2,$K$3:$N$4001,4,0)),"",VLOOKUP($R285&amp;U$2,$K$3:$N$4001,4,0))</f>
        <v/>
      </c>
      <c r="W285" s="108" t="str">
        <f>IF(ISNA(VLOOKUP($R285&amp;W$2,$K$3:$N$4001,3,0)),"",VLOOKUP($R285&amp;W$2,$K$3:$N$4001,3,0))</f>
        <v/>
      </c>
      <c r="X285" s="109" t="str">
        <f>IF(ISNA(VLOOKUP($R285&amp;W$2,$K$3:$N$4001,4,0)),"",VLOOKUP($R285&amp;W$2,$K$3:$N$4001,4,0))</f>
        <v/>
      </c>
      <c r="Y285" s="108" t="str">
        <f>IF(ISNA(VLOOKUP($R285&amp;Y$2,$K$3:$N$4001,3,0)),"",VLOOKUP($R285&amp;Y$2,$K$3:$N$4001,3,0))</f>
        <v/>
      </c>
      <c r="Z285" s="109" t="str">
        <f>IF(ISNA(VLOOKUP($R285&amp;Y$2,$K$3:$N$4001,4,0)),"",VLOOKUP($R285&amp;Y$2,$K$3:$N$4001,4,0))</f>
        <v/>
      </c>
      <c r="AA285" s="108" t="str">
        <f>IF(ISNA(VLOOKUP($R285&amp;AA$2,$K$3:$N$4001,3,0)),"",VLOOKUP($R285&amp;AA$2,$K$3:$N$4001,3,0))</f>
        <v/>
      </c>
      <c r="AB285" s="109" t="str">
        <f>IF(ISNA(VLOOKUP($R285&amp;AA$2,$K$3:$N$4001,4,0)),"",VLOOKUP($R285&amp;AA$2,$K$3:$N$4001,4,0))</f>
        <v/>
      </c>
      <c r="AC285" s="108" t="str">
        <f>IF(ISNA(VLOOKUP($R285&amp;AC$2,$K$3:$N$4001,3,0)),"",VLOOKUP($R285&amp;AC$2,$K$3:$N$4001,3,0))</f>
        <v/>
      </c>
      <c r="AD285" s="109" t="str">
        <f>IF(ISNA(VLOOKUP($R285&amp;AC$2,$K$3:$N$4001,4,0)),"",VLOOKUP($R285&amp;AC$2,$K$3:$N$4001,4,0))</f>
        <v/>
      </c>
      <c r="AE285" s="108" t="str">
        <f>IF(ISNA(VLOOKUP($R285&amp;AE$2,$K$3:$N$4001,3,0)),"",VLOOKUP($R285&amp;AE$2,$K$3:$N$4001,3,0))</f>
        <v/>
      </c>
      <c r="AF285" s="109" t="str">
        <f>IF(ISNA(VLOOKUP($R285&amp;AE$2,$K$3:$N$4001,4,0)),"",VLOOKUP($R285&amp;AE$2,$K$3:$N$4001,4,0))</f>
        <v/>
      </c>
      <c r="AG285" s="108" t="str">
        <f>IF(ISNA(VLOOKUP($R285&amp;AG$2,$K$3:$N$4001,3,0)),"",VLOOKUP($R285&amp;AG$2,$K$3:$N$4001,3,0))</f>
        <v/>
      </c>
      <c r="AH285" s="109" t="str">
        <f>IF(ISNA(VLOOKUP($R285&amp;AG$2,$K$3:$N$4001,4,0)),"",VLOOKUP($R285&amp;AG$2,$K$3:$N$4001,4,0))</f>
        <v/>
      </c>
      <c r="AI285" s="108" t="str">
        <f>IF(ISNA(VLOOKUP($R285&amp;AI$2,$K$3:$N$4001,3,0)),"",VLOOKUP($R285&amp;AI$2,$K$3:$N$4001,3,0))</f>
        <v/>
      </c>
      <c r="AJ285" s="109" t="str">
        <f>IF(ISNA(VLOOKUP($R285&amp;AI$2,$K$3:$N$4001,4,0)),"",VLOOKUP($R285&amp;AI$2,$K$3:$N$4001,4,0))</f>
        <v/>
      </c>
      <c r="AK285" s="108" t="str">
        <f>IF(ISNA(VLOOKUP($R285&amp;AK$2,$K$3:$N$4001,3,0)),"",VLOOKUP($R285&amp;AK$2,$K$3:$N$4001,3,0))</f>
        <v/>
      </c>
      <c r="AL285" s="109" t="str">
        <f>IF(ISNA(VLOOKUP($R285&amp;AK$2,$K$3:$N$4001,4,0)),"",VLOOKUP($R285&amp;AK$2,$K$3:$N$4001,4,0))</f>
        <v/>
      </c>
    </row>
    <row r="286" spans="3:38" x14ac:dyDescent="0.2">
      <c r="C286" s="96" t="str">
        <f t="shared" si="16"/>
        <v>BJT4</v>
      </c>
      <c r="D286" s="73" t="s">
        <v>93</v>
      </c>
      <c r="E286" s="100">
        <v>40535</v>
      </c>
      <c r="F286" s="101">
        <v>4.2000000000000003E-2</v>
      </c>
      <c r="G286" s="96">
        <f t="shared" si="17"/>
        <v>4</v>
      </c>
      <c r="I286" s="96"/>
      <c r="K286" t="str">
        <f t="shared" si="18"/>
        <v>BJT4</v>
      </c>
      <c r="L286" s="73" t="s">
        <v>93</v>
      </c>
      <c r="M286" s="72">
        <v>40535</v>
      </c>
      <c r="N286" s="84">
        <v>4.2000000000000003E-2</v>
      </c>
      <c r="O286" s="96">
        <f t="shared" si="19"/>
        <v>4</v>
      </c>
      <c r="Q286" s="96"/>
      <c r="R286" s="96" t="s">
        <v>190</v>
      </c>
      <c r="S286" s="106">
        <f>IF(ISNA(VLOOKUP($R286&amp;S$2,$C$3:$F$4001,3,0)),"",VLOOKUP($R286&amp;S$2,$C$3:$F$4001,3,0))</f>
        <v>39876</v>
      </c>
      <c r="T286" s="107">
        <f>IF(ISNA(VLOOKUP($R286&amp;S$2,$C$3:$F$4001,4,0)),"",VLOOKUP($R286&amp;S$2,$C$3:$F$4001,4,0))</f>
        <v>0.03</v>
      </c>
      <c r="U286" s="106">
        <f>IF(ISNA(VLOOKUP($R286&amp;U$2,$C$3:$F$4001,3,0)),"",VLOOKUP($R286&amp;U$2,$C$3:$F$4001,3,0))</f>
        <v>40050</v>
      </c>
      <c r="V286" s="107">
        <f>IF(ISNA(VLOOKUP($R286&amp;U$2,$C$3:$F$4001,4,0)),"",VLOOKUP($R286&amp;U$2,$C$3:$F$4001,4,0))</f>
        <v>0.03</v>
      </c>
      <c r="W286" s="106">
        <f>IF(ISNA(VLOOKUP($R286&amp;W$2,$C$3:$F$4001,3,0)),"",VLOOKUP($R286&amp;W$2,$C$3:$F$4001,3,0))</f>
        <v>40242</v>
      </c>
      <c r="X286" s="107">
        <f>IF(ISNA(VLOOKUP($R286&amp;W$2,$C$3:$F$4001,4,0)),"",VLOOKUP($R286&amp;W$2,$C$3:$F$4001,4,0))</f>
        <v>0.04</v>
      </c>
      <c r="Y286" s="106">
        <f>IF(ISNA(VLOOKUP($R286&amp;Y$2,$C$3:$F$4001,3,0)),"",VLOOKUP($R286&amp;Y$2,$C$3:$F$4001,3,0))</f>
        <v>40415</v>
      </c>
      <c r="Z286" s="107">
        <f>IF(ISNA(VLOOKUP($R286&amp;Y$2,$C$3:$F$4001,4,0)),"",VLOOKUP($R286&amp;Y$2,$C$3:$F$4001,4,0))</f>
        <v>0.04</v>
      </c>
      <c r="AA286" s="106">
        <f>IF(ISNA(VLOOKUP($R286&amp;AA$2,$C$3:$F$4001,3,0)),"",VLOOKUP($R286&amp;AA$2,$C$3:$F$4001,3,0))</f>
        <v>40609</v>
      </c>
      <c r="AB286" s="107">
        <f>IF(ISNA(VLOOKUP($R286&amp;AA$2,$C$3:$F$4001,4,0)),"",VLOOKUP($R286&amp;AA$2,$C$3:$F$4001,4,0))</f>
        <v>0.05</v>
      </c>
      <c r="AC286" s="106">
        <f>IF(ISNA(VLOOKUP($R286&amp;AC$2,$C$3:$F$4001,3,0)),"",VLOOKUP($R286&amp;AC$2,$C$3:$F$4001,3,0))</f>
        <v>40780</v>
      </c>
      <c r="AD286" s="107">
        <f>IF(ISNA(VLOOKUP($R286&amp;AC$2,$C$3:$F$4001,4,0)),"",VLOOKUP($R286&amp;AC$2,$C$3:$F$4001,4,0))</f>
        <v>0.05</v>
      </c>
      <c r="AE286" s="106">
        <f>IF(ISNA(VLOOKUP($R286&amp;AE$2,$C$3:$F$4001,3,0)),"",VLOOKUP($R286&amp;AE$2,$C$3:$F$4001,3,0))</f>
        <v>40974</v>
      </c>
      <c r="AF286" s="107">
        <f>IF(ISNA(VLOOKUP($R286&amp;AE$2,$C$3:$F$4001,4,0)),"",VLOOKUP($R286&amp;AE$2,$C$3:$F$4001,4,0))</f>
        <v>7.0000000000000007E-2</v>
      </c>
      <c r="AG286" s="106">
        <f>IF(ISNA(VLOOKUP($R286&amp;AG$2,$C$3:$F$4001,3,0)),"",VLOOKUP($R286&amp;AG$2,$C$3:$F$4001,3,0))</f>
        <v>41148</v>
      </c>
      <c r="AH286" s="107">
        <f>IF(ISNA(VLOOKUP($R286&amp;AG$2,$C$3:$F$4001,4,0)),"",VLOOKUP($R286&amp;AG$2,$C$3:$F$4001,4,0))</f>
        <v>7.0000000000000007E-2</v>
      </c>
      <c r="AI286" s="106">
        <f>IF(ISNA(VLOOKUP($R286&amp;AI$2,$C$3:$F$4001,3,0)),"",VLOOKUP($R286&amp;AI$2,$C$3:$F$4001,3,0))</f>
        <v>41339</v>
      </c>
      <c r="AJ286" s="107">
        <f>IF(ISNA(VLOOKUP($R286&amp;AI$2,$C$3:$F$4001,4,0)),"",VLOOKUP($R286&amp;AI$2,$C$3:$F$4001,4,0))</f>
        <v>0.1</v>
      </c>
      <c r="AK286" s="106">
        <f>IF(ISNA(VLOOKUP($R286&amp;AK$2,$C$3:$F$4001,3,0)),"",VLOOKUP($R286&amp;AK$2,$C$3:$F$4001,3,0))</f>
        <v>41513</v>
      </c>
      <c r="AL286" s="107">
        <f>IF(ISNA(VLOOKUP($R286&amp;AK$2,$C$3:$F$4001,4,0)),"",VLOOKUP($R286&amp;AK$2,$C$3:$F$4001,4,0))</f>
        <v>0.1</v>
      </c>
    </row>
    <row r="287" spans="3:38" x14ac:dyDescent="0.2">
      <c r="C287" s="96" t="str">
        <f t="shared" si="16"/>
        <v>BJT5</v>
      </c>
      <c r="D287" s="73" t="s">
        <v>93</v>
      </c>
      <c r="E287" s="100">
        <v>40718</v>
      </c>
      <c r="F287" s="101">
        <v>6.3E-2</v>
      </c>
      <c r="G287" s="96">
        <f t="shared" si="17"/>
        <v>5</v>
      </c>
      <c r="I287" s="96"/>
      <c r="K287" t="str">
        <f t="shared" si="18"/>
        <v>BJT5</v>
      </c>
      <c r="L287" s="73" t="s">
        <v>93</v>
      </c>
      <c r="M287" s="72">
        <v>40718</v>
      </c>
      <c r="N287" s="84">
        <v>6.3E-2</v>
      </c>
      <c r="O287" s="96">
        <f t="shared" si="19"/>
        <v>5</v>
      </c>
      <c r="Q287" s="96"/>
      <c r="R287" s="96" t="str">
        <f>R286</f>
        <v>PBG</v>
      </c>
      <c r="S287" s="108">
        <f>IF(ISNA(VLOOKUP($R287&amp;S$2,$K$3:$N$4001,3,0)),"",VLOOKUP($R287&amp;S$2,$K$3:$N$4001,3,0))</f>
        <v>39876</v>
      </c>
      <c r="T287" s="109">
        <f>IF(ISNA(VLOOKUP($R287&amp;S$2,$K$3:$N$4001,4,0)),"",VLOOKUP($R287&amp;S$2,$K$3:$N$4001,4,0))</f>
        <v>0.03</v>
      </c>
      <c r="U287" s="108">
        <f>IF(ISNA(VLOOKUP($R287&amp;U$2,$K$3:$N$4001,3,0)),"",VLOOKUP($R287&amp;U$2,$K$3:$N$4001,3,0))</f>
        <v>40050</v>
      </c>
      <c r="V287" s="109">
        <f>IF(ISNA(VLOOKUP($R287&amp;U$2,$K$3:$N$4001,4,0)),"",VLOOKUP($R287&amp;U$2,$K$3:$N$4001,4,0))</f>
        <v>0.03</v>
      </c>
      <c r="W287" s="108">
        <f>IF(ISNA(VLOOKUP($R287&amp;W$2,$K$3:$N$4001,3,0)),"",VLOOKUP($R287&amp;W$2,$K$3:$N$4001,3,0))</f>
        <v>40242</v>
      </c>
      <c r="X287" s="109">
        <f>IF(ISNA(VLOOKUP($R287&amp;W$2,$K$3:$N$4001,4,0)),"",VLOOKUP($R287&amp;W$2,$K$3:$N$4001,4,0))</f>
        <v>0.04</v>
      </c>
      <c r="Y287" s="108">
        <f>IF(ISNA(VLOOKUP($R287&amp;Y$2,$K$3:$N$4001,3,0)),"",VLOOKUP($R287&amp;Y$2,$K$3:$N$4001,3,0))</f>
        <v>40415</v>
      </c>
      <c r="Z287" s="109">
        <f>IF(ISNA(VLOOKUP($R287&amp;Y$2,$K$3:$N$4001,4,0)),"",VLOOKUP($R287&amp;Y$2,$K$3:$N$4001,4,0))</f>
        <v>0.04</v>
      </c>
      <c r="AA287" s="108">
        <f>IF(ISNA(VLOOKUP($R287&amp;AA$2,$K$3:$N$4001,3,0)),"",VLOOKUP($R287&amp;AA$2,$K$3:$N$4001,3,0))</f>
        <v>40609</v>
      </c>
      <c r="AB287" s="109">
        <f>IF(ISNA(VLOOKUP($R287&amp;AA$2,$K$3:$N$4001,4,0)),"",VLOOKUP($R287&amp;AA$2,$K$3:$N$4001,4,0))</f>
        <v>0.05</v>
      </c>
      <c r="AC287" s="108">
        <f>IF(ISNA(VLOOKUP($R287&amp;AC$2,$K$3:$N$4001,3,0)),"",VLOOKUP($R287&amp;AC$2,$K$3:$N$4001,3,0))</f>
        <v>40780</v>
      </c>
      <c r="AD287" s="109">
        <f>IF(ISNA(VLOOKUP($R287&amp;AC$2,$K$3:$N$4001,4,0)),"",VLOOKUP($R287&amp;AC$2,$K$3:$N$4001,4,0))</f>
        <v>0.05</v>
      </c>
      <c r="AE287" s="108">
        <f>IF(ISNA(VLOOKUP($R287&amp;AE$2,$K$3:$N$4001,3,0)),"",VLOOKUP($R287&amp;AE$2,$K$3:$N$4001,3,0))</f>
        <v>40974</v>
      </c>
      <c r="AF287" s="109">
        <f>IF(ISNA(VLOOKUP($R287&amp;AE$2,$K$3:$N$4001,4,0)),"",VLOOKUP($R287&amp;AE$2,$K$3:$N$4001,4,0))</f>
        <v>7.0000000000000007E-2</v>
      </c>
      <c r="AG287" s="108">
        <f>IF(ISNA(VLOOKUP($R287&amp;AG$2,$K$3:$N$4001,3,0)),"",VLOOKUP($R287&amp;AG$2,$K$3:$N$4001,3,0))</f>
        <v>41148</v>
      </c>
      <c r="AH287" s="109">
        <f>IF(ISNA(VLOOKUP($R287&amp;AG$2,$K$3:$N$4001,4,0)),"",VLOOKUP($R287&amp;AG$2,$K$3:$N$4001,4,0))</f>
        <v>7.0000000000000007E-2</v>
      </c>
      <c r="AI287" s="108">
        <f>IF(ISNA(VLOOKUP($R287&amp;AI$2,$K$3:$N$4001,3,0)),"",VLOOKUP($R287&amp;AI$2,$K$3:$N$4001,3,0))</f>
        <v>41339</v>
      </c>
      <c r="AJ287" s="109">
        <f>IF(ISNA(VLOOKUP($R287&amp;AI$2,$K$3:$N$4001,4,0)),"",VLOOKUP($R287&amp;AI$2,$K$3:$N$4001,4,0))</f>
        <v>0.1</v>
      </c>
      <c r="AK287" s="108">
        <f>IF(ISNA(VLOOKUP($R287&amp;AK$2,$K$3:$N$4001,3,0)),"",VLOOKUP($R287&amp;AK$2,$K$3:$N$4001,3,0))</f>
        <v>41513</v>
      </c>
      <c r="AL287" s="109">
        <f>IF(ISNA(VLOOKUP($R287&amp;AK$2,$K$3:$N$4001,4,0)),"",VLOOKUP($R287&amp;AK$2,$K$3:$N$4001,4,0))</f>
        <v>0.1</v>
      </c>
    </row>
    <row r="288" spans="3:38" x14ac:dyDescent="0.2">
      <c r="C288" s="96" t="str">
        <f t="shared" si="16"/>
        <v>BJT6</v>
      </c>
      <c r="D288" s="73" t="s">
        <v>93</v>
      </c>
      <c r="E288" s="100">
        <v>40899</v>
      </c>
      <c r="F288" s="101">
        <v>4.4999999999999998E-2</v>
      </c>
      <c r="G288" s="96">
        <f t="shared" si="17"/>
        <v>6</v>
      </c>
      <c r="I288" s="96"/>
      <c r="K288" t="str">
        <f t="shared" si="18"/>
        <v>BJT6</v>
      </c>
      <c r="L288" s="73" t="s">
        <v>93</v>
      </c>
      <c r="M288" s="72">
        <v>40899</v>
      </c>
      <c r="N288" s="84">
        <v>4.4999999999999998E-2</v>
      </c>
      <c r="O288" s="96">
        <f t="shared" si="19"/>
        <v>6</v>
      </c>
      <c r="Q288" s="96"/>
      <c r="R288" s="96" t="s">
        <v>275</v>
      </c>
      <c r="S288" s="106" t="str">
        <f>IF(ISNA(VLOOKUP($R288&amp;S$2,$C$3:$F$4001,3,0)),"",VLOOKUP($R288&amp;S$2,$C$3:$F$4001,3,0))</f>
        <v/>
      </c>
      <c r="T288" s="107" t="str">
        <f>IF(ISNA(VLOOKUP($R288&amp;S$2,$C$3:$F$4001,4,0)),"",VLOOKUP($R288&amp;S$2,$C$3:$F$4001,4,0))</f>
        <v/>
      </c>
      <c r="U288" s="106" t="str">
        <f>IF(ISNA(VLOOKUP($R288&amp;U$2,$C$3:$F$4001,3,0)),"",VLOOKUP($R288&amp;U$2,$C$3:$F$4001,3,0))</f>
        <v/>
      </c>
      <c r="V288" s="107" t="str">
        <f>IF(ISNA(VLOOKUP($R288&amp;U$2,$C$3:$F$4001,4,0)),"",VLOOKUP($R288&amp;U$2,$C$3:$F$4001,4,0))</f>
        <v/>
      </c>
      <c r="W288" s="106" t="str">
        <f>IF(ISNA(VLOOKUP($R288&amp;W$2,$C$3:$F$4001,3,0)),"",VLOOKUP($R288&amp;W$2,$C$3:$F$4001,3,0))</f>
        <v/>
      </c>
      <c r="X288" s="107" t="str">
        <f>IF(ISNA(VLOOKUP($R288&amp;W$2,$C$3:$F$4001,4,0)),"",VLOOKUP($R288&amp;W$2,$C$3:$F$4001,4,0))</f>
        <v/>
      </c>
      <c r="Y288" s="106" t="str">
        <f>IF(ISNA(VLOOKUP($R288&amp;Y$2,$C$3:$F$4001,3,0)),"",VLOOKUP($R288&amp;Y$2,$C$3:$F$4001,3,0))</f>
        <v/>
      </c>
      <c r="Z288" s="107" t="str">
        <f>IF(ISNA(VLOOKUP($R288&amp;Y$2,$C$3:$F$4001,4,0)),"",VLOOKUP($R288&amp;Y$2,$C$3:$F$4001,4,0))</f>
        <v/>
      </c>
      <c r="AA288" s="106" t="str">
        <f>IF(ISNA(VLOOKUP($R288&amp;AA$2,$C$3:$F$4001,3,0)),"",VLOOKUP($R288&amp;AA$2,$C$3:$F$4001,3,0))</f>
        <v/>
      </c>
      <c r="AB288" s="107" t="str">
        <f>IF(ISNA(VLOOKUP($R288&amp;AA$2,$C$3:$F$4001,4,0)),"",VLOOKUP($R288&amp;AA$2,$C$3:$F$4001,4,0))</f>
        <v/>
      </c>
      <c r="AC288" s="106" t="str">
        <f>IF(ISNA(VLOOKUP($R288&amp;AC$2,$C$3:$F$4001,3,0)),"",VLOOKUP($R288&amp;AC$2,$C$3:$F$4001,3,0))</f>
        <v/>
      </c>
      <c r="AD288" s="107" t="str">
        <f>IF(ISNA(VLOOKUP($R288&amp;AC$2,$C$3:$F$4001,4,0)),"",VLOOKUP($R288&amp;AC$2,$C$3:$F$4001,4,0))</f>
        <v/>
      </c>
      <c r="AE288" s="106" t="str">
        <f>IF(ISNA(VLOOKUP($R288&amp;AE$2,$C$3:$F$4001,3,0)),"",VLOOKUP($R288&amp;AE$2,$C$3:$F$4001,3,0))</f>
        <v/>
      </c>
      <c r="AF288" s="107" t="str">
        <f>IF(ISNA(VLOOKUP($R288&amp;AE$2,$C$3:$F$4001,4,0)),"",VLOOKUP($R288&amp;AE$2,$C$3:$F$4001,4,0))</f>
        <v/>
      </c>
      <c r="AG288" s="106" t="str">
        <f>IF(ISNA(VLOOKUP($R288&amp;AG$2,$C$3:$F$4001,3,0)),"",VLOOKUP($R288&amp;AG$2,$C$3:$F$4001,3,0))</f>
        <v/>
      </c>
      <c r="AH288" s="107" t="str">
        <f>IF(ISNA(VLOOKUP($R288&amp;AG$2,$C$3:$F$4001,4,0)),"",VLOOKUP($R288&amp;AG$2,$C$3:$F$4001,4,0))</f>
        <v/>
      </c>
      <c r="AI288" s="106" t="str">
        <f>IF(ISNA(VLOOKUP($R288&amp;AI$2,$C$3:$F$4001,3,0)),"",VLOOKUP($R288&amp;AI$2,$C$3:$F$4001,3,0))</f>
        <v/>
      </c>
      <c r="AJ288" s="107" t="str">
        <f>IF(ISNA(VLOOKUP($R288&amp;AI$2,$C$3:$F$4001,4,0)),"",VLOOKUP($R288&amp;AI$2,$C$3:$F$4001,4,0))</f>
        <v/>
      </c>
      <c r="AK288" s="106" t="str">
        <f>IF(ISNA(VLOOKUP($R288&amp;AK$2,$C$3:$F$4001,3,0)),"",VLOOKUP($R288&amp;AK$2,$C$3:$F$4001,3,0))</f>
        <v/>
      </c>
      <c r="AL288" s="107" t="str">
        <f>IF(ISNA(VLOOKUP($R288&amp;AK$2,$C$3:$F$4001,4,0)),"",VLOOKUP($R288&amp;AK$2,$C$3:$F$4001,4,0))</f>
        <v/>
      </c>
    </row>
    <row r="289" spans="3:38" x14ac:dyDescent="0.2">
      <c r="C289" s="96" t="str">
        <f t="shared" si="16"/>
        <v>BJT7</v>
      </c>
      <c r="D289" s="73" t="s">
        <v>93</v>
      </c>
      <c r="E289" s="100">
        <v>41085</v>
      </c>
      <c r="F289" s="101">
        <v>6.5000000000000002E-2</v>
      </c>
      <c r="G289" s="96">
        <f t="shared" si="17"/>
        <v>7</v>
      </c>
      <c r="I289" s="96"/>
      <c r="K289" t="str">
        <f t="shared" si="18"/>
        <v>BJT7</v>
      </c>
      <c r="L289" s="73" t="s">
        <v>93</v>
      </c>
      <c r="M289" s="72">
        <v>41085</v>
      </c>
      <c r="N289" s="84">
        <v>6.5000000000000002E-2</v>
      </c>
      <c r="O289" s="96">
        <f t="shared" si="19"/>
        <v>7</v>
      </c>
      <c r="Q289" s="96"/>
      <c r="R289" s="96" t="str">
        <f>R288</f>
        <v>PDN</v>
      </c>
      <c r="S289" s="108" t="str">
        <f>IF(ISNA(VLOOKUP($R289&amp;S$2,$K$3:$N$4001,3,0)),"",VLOOKUP($R289&amp;S$2,$K$3:$N$4001,3,0))</f>
        <v/>
      </c>
      <c r="T289" s="109" t="str">
        <f>IF(ISNA(VLOOKUP($R289&amp;S$2,$K$3:$N$4001,4,0)),"",VLOOKUP($R289&amp;S$2,$K$3:$N$4001,4,0))</f>
        <v/>
      </c>
      <c r="U289" s="108" t="str">
        <f>IF(ISNA(VLOOKUP($R289&amp;U$2,$K$3:$N$4001,3,0)),"",VLOOKUP($R289&amp;U$2,$K$3:$N$4001,3,0))</f>
        <v/>
      </c>
      <c r="V289" s="109" t="str">
        <f>IF(ISNA(VLOOKUP($R289&amp;U$2,$K$3:$N$4001,4,0)),"",VLOOKUP($R289&amp;U$2,$K$3:$N$4001,4,0))</f>
        <v/>
      </c>
      <c r="W289" s="108" t="str">
        <f>IF(ISNA(VLOOKUP($R289&amp;W$2,$K$3:$N$4001,3,0)),"",VLOOKUP($R289&amp;W$2,$K$3:$N$4001,3,0))</f>
        <v/>
      </c>
      <c r="X289" s="109" t="str">
        <f>IF(ISNA(VLOOKUP($R289&amp;W$2,$K$3:$N$4001,4,0)),"",VLOOKUP($R289&amp;W$2,$K$3:$N$4001,4,0))</f>
        <v/>
      </c>
      <c r="Y289" s="108" t="str">
        <f>IF(ISNA(VLOOKUP($R289&amp;Y$2,$K$3:$N$4001,3,0)),"",VLOOKUP($R289&amp;Y$2,$K$3:$N$4001,3,0))</f>
        <v/>
      </c>
      <c r="Z289" s="109" t="str">
        <f>IF(ISNA(VLOOKUP($R289&amp;Y$2,$K$3:$N$4001,4,0)),"",VLOOKUP($R289&amp;Y$2,$K$3:$N$4001,4,0))</f>
        <v/>
      </c>
      <c r="AA289" s="108" t="str">
        <f>IF(ISNA(VLOOKUP($R289&amp;AA$2,$K$3:$N$4001,3,0)),"",VLOOKUP($R289&amp;AA$2,$K$3:$N$4001,3,0))</f>
        <v/>
      </c>
      <c r="AB289" s="109" t="str">
        <f>IF(ISNA(VLOOKUP($R289&amp;AA$2,$K$3:$N$4001,4,0)),"",VLOOKUP($R289&amp;AA$2,$K$3:$N$4001,4,0))</f>
        <v/>
      </c>
      <c r="AC289" s="108" t="str">
        <f>IF(ISNA(VLOOKUP($R289&amp;AC$2,$K$3:$N$4001,3,0)),"",VLOOKUP($R289&amp;AC$2,$K$3:$N$4001,3,0))</f>
        <v/>
      </c>
      <c r="AD289" s="109" t="str">
        <f>IF(ISNA(VLOOKUP($R289&amp;AC$2,$K$3:$N$4001,4,0)),"",VLOOKUP($R289&amp;AC$2,$K$3:$N$4001,4,0))</f>
        <v/>
      </c>
      <c r="AE289" s="108" t="str">
        <f>IF(ISNA(VLOOKUP($R289&amp;AE$2,$K$3:$N$4001,3,0)),"",VLOOKUP($R289&amp;AE$2,$K$3:$N$4001,3,0))</f>
        <v/>
      </c>
      <c r="AF289" s="109" t="str">
        <f>IF(ISNA(VLOOKUP($R289&amp;AE$2,$K$3:$N$4001,4,0)),"",VLOOKUP($R289&amp;AE$2,$K$3:$N$4001,4,0))</f>
        <v/>
      </c>
      <c r="AG289" s="108" t="str">
        <f>IF(ISNA(VLOOKUP($R289&amp;AG$2,$K$3:$N$4001,3,0)),"",VLOOKUP($R289&amp;AG$2,$K$3:$N$4001,3,0))</f>
        <v/>
      </c>
      <c r="AH289" s="109" t="str">
        <f>IF(ISNA(VLOOKUP($R289&amp;AG$2,$K$3:$N$4001,4,0)),"",VLOOKUP($R289&amp;AG$2,$K$3:$N$4001,4,0))</f>
        <v/>
      </c>
      <c r="AI289" s="108" t="str">
        <f>IF(ISNA(VLOOKUP($R289&amp;AI$2,$K$3:$N$4001,3,0)),"",VLOOKUP($R289&amp;AI$2,$K$3:$N$4001,3,0))</f>
        <v/>
      </c>
      <c r="AJ289" s="109" t="str">
        <f>IF(ISNA(VLOOKUP($R289&amp;AI$2,$K$3:$N$4001,4,0)),"",VLOOKUP($R289&amp;AI$2,$K$3:$N$4001,4,0))</f>
        <v/>
      </c>
      <c r="AK289" s="108" t="str">
        <f>IF(ISNA(VLOOKUP($R289&amp;AK$2,$K$3:$N$4001,3,0)),"",VLOOKUP($R289&amp;AK$2,$K$3:$N$4001,3,0))</f>
        <v/>
      </c>
      <c r="AL289" s="109" t="str">
        <f>IF(ISNA(VLOOKUP($R289&amp;AK$2,$K$3:$N$4001,4,0)),"",VLOOKUP($R289&amp;AK$2,$K$3:$N$4001,4,0))</f>
        <v/>
      </c>
    </row>
    <row r="290" spans="3:38" x14ac:dyDescent="0.2">
      <c r="C290" s="96" t="str">
        <f t="shared" si="16"/>
        <v>BJT8</v>
      </c>
      <c r="D290" s="73" t="s">
        <v>93</v>
      </c>
      <c r="E290" s="100">
        <v>41268</v>
      </c>
      <c r="F290" s="101">
        <v>5.5199999999999999E-2</v>
      </c>
      <c r="G290" s="96">
        <f t="shared" si="17"/>
        <v>8</v>
      </c>
      <c r="I290" s="96"/>
      <c r="K290" t="str">
        <f t="shared" si="18"/>
        <v>BJT8</v>
      </c>
      <c r="L290" s="73" t="s">
        <v>93</v>
      </c>
      <c r="M290" s="72">
        <v>41268</v>
      </c>
      <c r="N290" s="84">
        <v>5.5199999999999999E-2</v>
      </c>
      <c r="O290" s="96">
        <f t="shared" si="19"/>
        <v>8</v>
      </c>
      <c r="Q290" s="96"/>
      <c r="R290" s="96" t="s">
        <v>276</v>
      </c>
      <c r="S290" s="106" t="str">
        <f>IF(ISNA(VLOOKUP($R290&amp;S$2,$C$3:$F$4001,3,0)),"",VLOOKUP($R290&amp;S$2,$C$3:$F$4001,3,0))</f>
        <v/>
      </c>
      <c r="T290" s="107" t="str">
        <f>IF(ISNA(VLOOKUP($R290&amp;S$2,$C$3:$F$4001,4,0)),"",VLOOKUP($R290&amp;S$2,$C$3:$F$4001,4,0))</f>
        <v/>
      </c>
      <c r="U290" s="106" t="str">
        <f>IF(ISNA(VLOOKUP($R290&amp;U$2,$C$3:$F$4001,3,0)),"",VLOOKUP($R290&amp;U$2,$C$3:$F$4001,3,0))</f>
        <v/>
      </c>
      <c r="V290" s="107" t="str">
        <f>IF(ISNA(VLOOKUP($R290&amp;U$2,$C$3:$F$4001,4,0)),"",VLOOKUP($R290&amp;U$2,$C$3:$F$4001,4,0))</f>
        <v/>
      </c>
      <c r="W290" s="106" t="str">
        <f>IF(ISNA(VLOOKUP($R290&amp;W$2,$C$3:$F$4001,3,0)),"",VLOOKUP($R290&amp;W$2,$C$3:$F$4001,3,0))</f>
        <v/>
      </c>
      <c r="X290" s="107" t="str">
        <f>IF(ISNA(VLOOKUP($R290&amp;W$2,$C$3:$F$4001,4,0)),"",VLOOKUP($R290&amp;W$2,$C$3:$F$4001,4,0))</f>
        <v/>
      </c>
      <c r="Y290" s="106" t="str">
        <f>IF(ISNA(VLOOKUP($R290&amp;Y$2,$C$3:$F$4001,3,0)),"",VLOOKUP($R290&amp;Y$2,$C$3:$F$4001,3,0))</f>
        <v/>
      </c>
      <c r="Z290" s="107" t="str">
        <f>IF(ISNA(VLOOKUP($R290&amp;Y$2,$C$3:$F$4001,4,0)),"",VLOOKUP($R290&amp;Y$2,$C$3:$F$4001,4,0))</f>
        <v/>
      </c>
      <c r="AA290" s="106" t="str">
        <f>IF(ISNA(VLOOKUP($R290&amp;AA$2,$C$3:$F$4001,3,0)),"",VLOOKUP($R290&amp;AA$2,$C$3:$F$4001,3,0))</f>
        <v/>
      </c>
      <c r="AB290" s="107" t="str">
        <f>IF(ISNA(VLOOKUP($R290&amp;AA$2,$C$3:$F$4001,4,0)),"",VLOOKUP($R290&amp;AA$2,$C$3:$F$4001,4,0))</f>
        <v/>
      </c>
      <c r="AC290" s="106" t="str">
        <f>IF(ISNA(VLOOKUP($R290&amp;AC$2,$C$3:$F$4001,3,0)),"",VLOOKUP($R290&amp;AC$2,$C$3:$F$4001,3,0))</f>
        <v/>
      </c>
      <c r="AD290" s="107" t="str">
        <f>IF(ISNA(VLOOKUP($R290&amp;AC$2,$C$3:$F$4001,4,0)),"",VLOOKUP($R290&amp;AC$2,$C$3:$F$4001,4,0))</f>
        <v/>
      </c>
      <c r="AE290" s="106" t="str">
        <f>IF(ISNA(VLOOKUP($R290&amp;AE$2,$C$3:$F$4001,3,0)),"",VLOOKUP($R290&amp;AE$2,$C$3:$F$4001,3,0))</f>
        <v/>
      </c>
      <c r="AF290" s="107" t="str">
        <f>IF(ISNA(VLOOKUP($R290&amp;AE$2,$C$3:$F$4001,4,0)),"",VLOOKUP($R290&amp;AE$2,$C$3:$F$4001,4,0))</f>
        <v/>
      </c>
      <c r="AG290" s="106" t="str">
        <f>IF(ISNA(VLOOKUP($R290&amp;AG$2,$C$3:$F$4001,3,0)),"",VLOOKUP($R290&amp;AG$2,$C$3:$F$4001,3,0))</f>
        <v/>
      </c>
      <c r="AH290" s="107" t="str">
        <f>IF(ISNA(VLOOKUP($R290&amp;AG$2,$C$3:$F$4001,4,0)),"",VLOOKUP($R290&amp;AG$2,$C$3:$F$4001,4,0))</f>
        <v/>
      </c>
      <c r="AI290" s="106" t="str">
        <f>IF(ISNA(VLOOKUP($R290&amp;AI$2,$C$3:$F$4001,3,0)),"",VLOOKUP($R290&amp;AI$2,$C$3:$F$4001,3,0))</f>
        <v/>
      </c>
      <c r="AJ290" s="107" t="str">
        <f>IF(ISNA(VLOOKUP($R290&amp;AI$2,$C$3:$F$4001,4,0)),"",VLOOKUP($R290&amp;AI$2,$C$3:$F$4001,4,0))</f>
        <v/>
      </c>
      <c r="AK290" s="106" t="str">
        <f>IF(ISNA(VLOOKUP($R290&amp;AK$2,$C$3:$F$4001,3,0)),"",VLOOKUP($R290&amp;AK$2,$C$3:$F$4001,3,0))</f>
        <v/>
      </c>
      <c r="AL290" s="107" t="str">
        <f>IF(ISNA(VLOOKUP($R290&amp;AK$2,$C$3:$F$4001,4,0)),"",VLOOKUP($R290&amp;AK$2,$C$3:$F$4001,4,0))</f>
        <v/>
      </c>
    </row>
    <row r="291" spans="3:38" x14ac:dyDescent="0.2">
      <c r="C291" s="96" t="str">
        <f t="shared" si="16"/>
        <v>BJT9</v>
      </c>
      <c r="D291" s="73" t="s">
        <v>93</v>
      </c>
      <c r="E291" s="100">
        <v>41450</v>
      </c>
      <c r="F291" s="101">
        <v>7.980000000000001E-2</v>
      </c>
      <c r="G291" s="96">
        <f t="shared" si="17"/>
        <v>9</v>
      </c>
      <c r="I291" s="96"/>
      <c r="K291" t="str">
        <f t="shared" si="18"/>
        <v>BJT9</v>
      </c>
      <c r="L291" s="73" t="s">
        <v>93</v>
      </c>
      <c r="M291" s="72">
        <v>41450</v>
      </c>
      <c r="N291" s="84">
        <v>7.980000000000001E-2</v>
      </c>
      <c r="O291" s="96">
        <f t="shared" si="19"/>
        <v>9</v>
      </c>
      <c r="Q291" s="96"/>
      <c r="R291" s="96" t="str">
        <f>R290</f>
        <v>PNA</v>
      </c>
      <c r="S291" s="108" t="str">
        <f>IF(ISNA(VLOOKUP($R291&amp;S$2,$K$3:$N$4001,3,0)),"",VLOOKUP($R291&amp;S$2,$K$3:$N$4001,3,0))</f>
        <v/>
      </c>
      <c r="T291" s="109" t="str">
        <f>IF(ISNA(VLOOKUP($R291&amp;S$2,$K$3:$N$4001,4,0)),"",VLOOKUP($R291&amp;S$2,$K$3:$N$4001,4,0))</f>
        <v/>
      </c>
      <c r="U291" s="108" t="str">
        <f>IF(ISNA(VLOOKUP($R291&amp;U$2,$K$3:$N$4001,3,0)),"",VLOOKUP($R291&amp;U$2,$K$3:$N$4001,3,0))</f>
        <v/>
      </c>
      <c r="V291" s="109" t="str">
        <f>IF(ISNA(VLOOKUP($R291&amp;U$2,$K$3:$N$4001,4,0)),"",VLOOKUP($R291&amp;U$2,$K$3:$N$4001,4,0))</f>
        <v/>
      </c>
      <c r="W291" s="108" t="str">
        <f>IF(ISNA(VLOOKUP($R291&amp;W$2,$K$3:$N$4001,3,0)),"",VLOOKUP($R291&amp;W$2,$K$3:$N$4001,3,0))</f>
        <v/>
      </c>
      <c r="X291" s="109" t="str">
        <f>IF(ISNA(VLOOKUP($R291&amp;W$2,$K$3:$N$4001,4,0)),"",VLOOKUP($R291&amp;W$2,$K$3:$N$4001,4,0))</f>
        <v/>
      </c>
      <c r="Y291" s="108" t="str">
        <f>IF(ISNA(VLOOKUP($R291&amp;Y$2,$K$3:$N$4001,3,0)),"",VLOOKUP($R291&amp;Y$2,$K$3:$N$4001,3,0))</f>
        <v/>
      </c>
      <c r="Z291" s="109" t="str">
        <f>IF(ISNA(VLOOKUP($R291&amp;Y$2,$K$3:$N$4001,4,0)),"",VLOOKUP($R291&amp;Y$2,$K$3:$N$4001,4,0))</f>
        <v/>
      </c>
      <c r="AA291" s="108" t="str">
        <f>IF(ISNA(VLOOKUP($R291&amp;AA$2,$K$3:$N$4001,3,0)),"",VLOOKUP($R291&amp;AA$2,$K$3:$N$4001,3,0))</f>
        <v/>
      </c>
      <c r="AB291" s="109" t="str">
        <f>IF(ISNA(VLOOKUP($R291&amp;AA$2,$K$3:$N$4001,4,0)),"",VLOOKUP($R291&amp;AA$2,$K$3:$N$4001,4,0))</f>
        <v/>
      </c>
      <c r="AC291" s="108" t="str">
        <f>IF(ISNA(VLOOKUP($R291&amp;AC$2,$K$3:$N$4001,3,0)),"",VLOOKUP($R291&amp;AC$2,$K$3:$N$4001,3,0))</f>
        <v/>
      </c>
      <c r="AD291" s="109" t="str">
        <f>IF(ISNA(VLOOKUP($R291&amp;AC$2,$K$3:$N$4001,4,0)),"",VLOOKUP($R291&amp;AC$2,$K$3:$N$4001,4,0))</f>
        <v/>
      </c>
      <c r="AE291" s="108" t="str">
        <f>IF(ISNA(VLOOKUP($R291&amp;AE$2,$K$3:$N$4001,3,0)),"",VLOOKUP($R291&amp;AE$2,$K$3:$N$4001,3,0))</f>
        <v/>
      </c>
      <c r="AF291" s="109" t="str">
        <f>IF(ISNA(VLOOKUP($R291&amp;AE$2,$K$3:$N$4001,4,0)),"",VLOOKUP($R291&amp;AE$2,$K$3:$N$4001,4,0))</f>
        <v/>
      </c>
      <c r="AG291" s="108" t="str">
        <f>IF(ISNA(VLOOKUP($R291&amp;AG$2,$K$3:$N$4001,3,0)),"",VLOOKUP($R291&amp;AG$2,$K$3:$N$4001,3,0))</f>
        <v/>
      </c>
      <c r="AH291" s="109" t="str">
        <f>IF(ISNA(VLOOKUP($R291&amp;AG$2,$K$3:$N$4001,4,0)),"",VLOOKUP($R291&amp;AG$2,$K$3:$N$4001,4,0))</f>
        <v/>
      </c>
      <c r="AI291" s="108" t="str">
        <f>IF(ISNA(VLOOKUP($R291&amp;AI$2,$K$3:$N$4001,3,0)),"",VLOOKUP($R291&amp;AI$2,$K$3:$N$4001,3,0))</f>
        <v/>
      </c>
      <c r="AJ291" s="109" t="str">
        <f>IF(ISNA(VLOOKUP($R291&amp;AI$2,$K$3:$N$4001,4,0)),"",VLOOKUP($R291&amp;AI$2,$K$3:$N$4001,4,0))</f>
        <v/>
      </c>
      <c r="AK291" s="108" t="str">
        <f>IF(ISNA(VLOOKUP($R291&amp;AK$2,$K$3:$N$4001,3,0)),"",VLOOKUP($R291&amp;AK$2,$K$3:$N$4001,3,0))</f>
        <v/>
      </c>
      <c r="AL291" s="109" t="str">
        <f>IF(ISNA(VLOOKUP($R291&amp;AK$2,$K$3:$N$4001,4,0)),"",VLOOKUP($R291&amp;AK$2,$K$3:$N$4001,4,0))</f>
        <v/>
      </c>
    </row>
    <row r="292" spans="3:38" x14ac:dyDescent="0.2">
      <c r="C292" s="96" t="str">
        <f t="shared" si="16"/>
        <v>BKN1</v>
      </c>
      <c r="D292" s="73" t="s">
        <v>94</v>
      </c>
      <c r="E292" s="100">
        <v>39864</v>
      </c>
      <c r="F292" s="101">
        <v>0.1573</v>
      </c>
      <c r="G292" s="96">
        <f t="shared" si="17"/>
        <v>1</v>
      </c>
      <c r="I292" s="96"/>
      <c r="K292" t="str">
        <f t="shared" si="18"/>
        <v>BKN1</v>
      </c>
      <c r="L292" s="73" t="s">
        <v>94</v>
      </c>
      <c r="M292" s="72">
        <v>39864</v>
      </c>
      <c r="N292" s="84">
        <v>0.1573</v>
      </c>
      <c r="O292" s="96">
        <f t="shared" si="19"/>
        <v>1</v>
      </c>
      <c r="Q292" s="96"/>
      <c r="R292" s="96" t="s">
        <v>189</v>
      </c>
      <c r="S292" s="106">
        <f>IF(ISNA(VLOOKUP($R292&amp;S$2,$C$3:$F$4001,3,0)),"",VLOOKUP($R292&amp;S$2,$C$3:$F$4001,3,0))</f>
        <v>39867</v>
      </c>
      <c r="T292" s="107">
        <f>IF(ISNA(VLOOKUP($R292&amp;S$2,$C$3:$F$4001,4,0)),"",VLOOKUP($R292&amp;S$2,$C$3:$F$4001,4,0))</f>
        <v>0.03</v>
      </c>
      <c r="U292" s="106">
        <f>IF(ISNA(VLOOKUP($R292&amp;U$2,$C$3:$F$4001,3,0)),"",VLOOKUP($R292&amp;U$2,$C$3:$F$4001,3,0))</f>
        <v>40060</v>
      </c>
      <c r="V292" s="107">
        <f>IF(ISNA(VLOOKUP($R292&amp;U$2,$C$3:$F$4001,4,0)),"",VLOOKUP($R292&amp;U$2,$C$3:$F$4001,4,0))</f>
        <v>0.02</v>
      </c>
      <c r="W292" s="106">
        <f>IF(ISNA(VLOOKUP($R292&amp;W$2,$C$3:$F$4001,3,0)),"",VLOOKUP($R292&amp;W$2,$C$3:$F$4001,3,0))</f>
        <v>40232</v>
      </c>
      <c r="X292" s="107">
        <f>IF(ISNA(VLOOKUP($R292&amp;W$2,$C$3:$F$4001,4,0)),"",VLOOKUP($R292&amp;W$2,$C$3:$F$4001,4,0))</f>
        <v>0.03</v>
      </c>
      <c r="Y292" s="106">
        <f>IF(ISNA(VLOOKUP($R292&amp;Y$2,$C$3:$F$4001,3,0)),"",VLOOKUP($R292&amp;Y$2,$C$3:$F$4001,3,0))</f>
        <v>40427</v>
      </c>
      <c r="Z292" s="107">
        <f>IF(ISNA(VLOOKUP($R292&amp;Y$2,$C$3:$F$4001,4,0)),"",VLOOKUP($R292&amp;Y$2,$C$3:$F$4001,4,0))</f>
        <v>0.02</v>
      </c>
      <c r="AA292" s="106">
        <f>IF(ISNA(VLOOKUP($R292&amp;AA$2,$C$3:$F$4001,3,0)),"",VLOOKUP($R292&amp;AA$2,$C$3:$F$4001,3,0))</f>
        <v>40597</v>
      </c>
      <c r="AB292" s="107">
        <f>IF(ISNA(VLOOKUP($R292&amp;AA$2,$C$3:$F$4001,4,0)),"",VLOOKUP($R292&amp;AA$2,$C$3:$F$4001,4,0))</f>
        <v>0.03</v>
      </c>
      <c r="AC292" s="106">
        <f>IF(ISNA(VLOOKUP($R292&amp;AC$2,$C$3:$F$4001,3,0)),"",VLOOKUP($R292&amp;AC$2,$C$3:$F$4001,3,0))</f>
        <v>40792</v>
      </c>
      <c r="AD292" s="107">
        <f>IF(ISNA(VLOOKUP($R292&amp;AC$2,$C$3:$F$4001,4,0)),"",VLOOKUP($R292&amp;AC$2,$C$3:$F$4001,4,0))</f>
        <v>0.02</v>
      </c>
      <c r="AE292" s="106">
        <f>IF(ISNA(VLOOKUP($R292&amp;AE$2,$C$3:$F$4001,3,0)),"",VLOOKUP($R292&amp;AE$2,$C$3:$F$4001,3,0))</f>
        <v>40963</v>
      </c>
      <c r="AF292" s="107">
        <f>IF(ISNA(VLOOKUP($R292&amp;AE$2,$C$3:$F$4001,4,0)),"",VLOOKUP($R292&amp;AE$2,$C$3:$F$4001,4,0))</f>
        <v>0.03</v>
      </c>
      <c r="AG292" s="106">
        <f>IF(ISNA(VLOOKUP($R292&amp;AG$2,$C$3:$F$4001,3,0)),"",VLOOKUP($R292&amp;AG$2,$C$3:$F$4001,3,0))</f>
        <v>41158</v>
      </c>
      <c r="AH292" s="107">
        <f>IF(ISNA(VLOOKUP($R292&amp;AG$2,$C$3:$F$4001,4,0)),"",VLOOKUP($R292&amp;AG$2,$C$3:$F$4001,4,0))</f>
        <v>0.02</v>
      </c>
      <c r="AI292" s="106">
        <f>IF(ISNA(VLOOKUP($R292&amp;AI$2,$C$3:$F$4001,3,0)),"",VLOOKUP($R292&amp;AI$2,$C$3:$F$4001,3,0))</f>
        <v>41330</v>
      </c>
      <c r="AJ292" s="107">
        <f>IF(ISNA(VLOOKUP($R292&amp;AI$2,$C$3:$F$4001,4,0)),"",VLOOKUP($R292&amp;AI$2,$C$3:$F$4001,4,0))</f>
        <v>0.03</v>
      </c>
      <c r="AK292" s="106">
        <f>IF(ISNA(VLOOKUP($R292&amp;AK$2,$C$3:$F$4001,3,0)),"",VLOOKUP($R292&amp;AK$2,$C$3:$F$4001,3,0))</f>
        <v>41523</v>
      </c>
      <c r="AL292" s="107">
        <f>IF(ISNA(VLOOKUP($R292&amp;AK$2,$C$3:$F$4001,4,0)),"",VLOOKUP($R292&amp;AK$2,$C$3:$F$4001,4,0))</f>
        <v>0.02</v>
      </c>
    </row>
    <row r="293" spans="3:38" x14ac:dyDescent="0.2">
      <c r="C293" s="96" t="str">
        <f t="shared" si="16"/>
        <v>BKN2</v>
      </c>
      <c r="D293" s="73" t="s">
        <v>94</v>
      </c>
      <c r="E293" s="100">
        <v>40042</v>
      </c>
      <c r="F293" s="101">
        <v>0.23070000000000002</v>
      </c>
      <c r="G293" s="96">
        <f t="shared" si="17"/>
        <v>2</v>
      </c>
      <c r="I293" s="96"/>
      <c r="K293" t="str">
        <f t="shared" si="18"/>
        <v>BKN2</v>
      </c>
      <c r="L293" s="73" t="s">
        <v>94</v>
      </c>
      <c r="M293" s="72">
        <v>40042</v>
      </c>
      <c r="N293" s="84">
        <v>0.23070000000000002</v>
      </c>
      <c r="O293" s="96">
        <f t="shared" si="19"/>
        <v>2</v>
      </c>
      <c r="Q293" s="96"/>
      <c r="R293" s="96" t="str">
        <f>R292</f>
        <v>PAN</v>
      </c>
      <c r="S293" s="108">
        <f>IF(ISNA(VLOOKUP($R293&amp;S$2,$K$3:$N$4001,3,0)),"",VLOOKUP($R293&amp;S$2,$K$3:$N$4001,3,0))</f>
        <v>39867</v>
      </c>
      <c r="T293" s="109">
        <f>IF(ISNA(VLOOKUP($R293&amp;S$2,$K$3:$N$4001,4,0)),"",VLOOKUP($R293&amp;S$2,$K$3:$N$4001,4,0))</f>
        <v>0.03</v>
      </c>
      <c r="U293" s="108">
        <f>IF(ISNA(VLOOKUP($R293&amp;U$2,$K$3:$N$4001,3,0)),"",VLOOKUP($R293&amp;U$2,$K$3:$N$4001,3,0))</f>
        <v>40060</v>
      </c>
      <c r="V293" s="109">
        <f>IF(ISNA(VLOOKUP($R293&amp;U$2,$K$3:$N$4001,4,0)),"",VLOOKUP($R293&amp;U$2,$K$3:$N$4001,4,0))</f>
        <v>0.02</v>
      </c>
      <c r="W293" s="108">
        <f>IF(ISNA(VLOOKUP($R293&amp;W$2,$K$3:$N$4001,3,0)),"",VLOOKUP($R293&amp;W$2,$K$3:$N$4001,3,0))</f>
        <v>40232</v>
      </c>
      <c r="X293" s="109">
        <f>IF(ISNA(VLOOKUP($R293&amp;W$2,$K$3:$N$4001,4,0)),"",VLOOKUP($R293&amp;W$2,$K$3:$N$4001,4,0))</f>
        <v>0.03</v>
      </c>
      <c r="Y293" s="108">
        <f>IF(ISNA(VLOOKUP($R293&amp;Y$2,$K$3:$N$4001,3,0)),"",VLOOKUP($R293&amp;Y$2,$K$3:$N$4001,3,0))</f>
        <v>40427</v>
      </c>
      <c r="Z293" s="109">
        <f>IF(ISNA(VLOOKUP($R293&amp;Y$2,$K$3:$N$4001,4,0)),"",VLOOKUP($R293&amp;Y$2,$K$3:$N$4001,4,0))</f>
        <v>0.02</v>
      </c>
      <c r="AA293" s="108">
        <f>IF(ISNA(VLOOKUP($R293&amp;AA$2,$K$3:$N$4001,3,0)),"",VLOOKUP($R293&amp;AA$2,$K$3:$N$4001,3,0))</f>
        <v>40597</v>
      </c>
      <c r="AB293" s="109">
        <f>IF(ISNA(VLOOKUP($R293&amp;AA$2,$K$3:$N$4001,4,0)),"",VLOOKUP($R293&amp;AA$2,$K$3:$N$4001,4,0))</f>
        <v>0.03</v>
      </c>
      <c r="AC293" s="108">
        <f>IF(ISNA(VLOOKUP($R293&amp;AC$2,$K$3:$N$4001,3,0)),"",VLOOKUP($R293&amp;AC$2,$K$3:$N$4001,3,0))</f>
        <v>40792</v>
      </c>
      <c r="AD293" s="109">
        <f>IF(ISNA(VLOOKUP($R293&amp;AC$2,$K$3:$N$4001,4,0)),"",VLOOKUP($R293&amp;AC$2,$K$3:$N$4001,4,0))</f>
        <v>0.02</v>
      </c>
      <c r="AE293" s="108">
        <f>IF(ISNA(VLOOKUP($R293&amp;AE$2,$K$3:$N$4001,3,0)),"",VLOOKUP($R293&amp;AE$2,$K$3:$N$4001,3,0))</f>
        <v>40963</v>
      </c>
      <c r="AF293" s="109">
        <f>IF(ISNA(VLOOKUP($R293&amp;AE$2,$K$3:$N$4001,4,0)),"",VLOOKUP($R293&amp;AE$2,$K$3:$N$4001,4,0))</f>
        <v>0.03</v>
      </c>
      <c r="AG293" s="108">
        <f>IF(ISNA(VLOOKUP($R293&amp;AG$2,$K$3:$N$4001,3,0)),"",VLOOKUP($R293&amp;AG$2,$K$3:$N$4001,3,0))</f>
        <v>41158</v>
      </c>
      <c r="AH293" s="109">
        <f>IF(ISNA(VLOOKUP($R293&amp;AG$2,$K$3:$N$4001,4,0)),"",VLOOKUP($R293&amp;AG$2,$K$3:$N$4001,4,0))</f>
        <v>0.02</v>
      </c>
      <c r="AI293" s="108">
        <f>IF(ISNA(VLOOKUP($R293&amp;AI$2,$K$3:$N$4001,3,0)),"",VLOOKUP($R293&amp;AI$2,$K$3:$N$4001,3,0))</f>
        <v>41330</v>
      </c>
      <c r="AJ293" s="109">
        <f>IF(ISNA(VLOOKUP($R293&amp;AI$2,$K$3:$N$4001,4,0)),"",VLOOKUP($R293&amp;AI$2,$K$3:$N$4001,4,0))</f>
        <v>0.03</v>
      </c>
      <c r="AK293" s="108">
        <f>IF(ISNA(VLOOKUP($R293&amp;AK$2,$K$3:$N$4001,3,0)),"",VLOOKUP($R293&amp;AK$2,$K$3:$N$4001,3,0))</f>
        <v>41523</v>
      </c>
      <c r="AL293" s="109">
        <f>IF(ISNA(VLOOKUP($R293&amp;AK$2,$K$3:$N$4001,4,0)),"",VLOOKUP($R293&amp;AK$2,$K$3:$N$4001,4,0))</f>
        <v>0.02</v>
      </c>
    </row>
    <row r="294" spans="3:38" x14ac:dyDescent="0.2">
      <c r="C294" s="96" t="str">
        <f t="shared" si="16"/>
        <v>BKN3</v>
      </c>
      <c r="D294" s="73" t="s">
        <v>94</v>
      </c>
      <c r="E294" s="100">
        <v>40231</v>
      </c>
      <c r="F294" s="101">
        <v>0.1605</v>
      </c>
      <c r="G294" s="96">
        <f t="shared" si="17"/>
        <v>3</v>
      </c>
      <c r="I294" s="96"/>
      <c r="K294" t="str">
        <f t="shared" si="18"/>
        <v>BKN3</v>
      </c>
      <c r="L294" s="73" t="s">
        <v>94</v>
      </c>
      <c r="M294" s="72">
        <v>40231</v>
      </c>
      <c r="N294" s="84">
        <v>0.1605</v>
      </c>
      <c r="O294" s="96">
        <f t="shared" si="19"/>
        <v>3</v>
      </c>
      <c r="Q294" s="96"/>
      <c r="R294" s="96" t="s">
        <v>195</v>
      </c>
      <c r="S294" s="106">
        <f>IF(ISNA(VLOOKUP($R294&amp;S$2,$C$3:$F$4001,3,0)),"",VLOOKUP($R294&amp;S$2,$C$3:$F$4001,3,0))</f>
        <v>39871</v>
      </c>
      <c r="T294" s="107">
        <f>IF(ISNA(VLOOKUP($R294&amp;S$2,$C$3:$F$4001,4,0)),"",VLOOKUP($R294&amp;S$2,$C$3:$F$4001,4,0))</f>
        <v>0.03</v>
      </c>
      <c r="U294" s="106">
        <f>IF(ISNA(VLOOKUP($R294&amp;U$2,$C$3:$F$4001,3,0)),"",VLOOKUP($R294&amp;U$2,$C$3:$F$4001,3,0))</f>
        <v>40071</v>
      </c>
      <c r="V294" s="107">
        <f>IF(ISNA(VLOOKUP($R294&amp;U$2,$C$3:$F$4001,4,0)),"",VLOOKUP($R294&amp;U$2,$C$3:$F$4001,4,0))</f>
        <v>3.5000000000000003E-2</v>
      </c>
      <c r="W294" s="106">
        <f>IF(ISNA(VLOOKUP($R294&amp;W$2,$C$3:$F$4001,3,0)),"",VLOOKUP($R294&amp;W$2,$C$3:$F$4001,3,0))</f>
        <v>40238</v>
      </c>
      <c r="X294" s="107">
        <f>IF(ISNA(VLOOKUP($R294&amp;W$2,$C$3:$F$4001,4,0)),"",VLOOKUP($R294&amp;W$2,$C$3:$F$4001,4,0))</f>
        <v>3.78E-2</v>
      </c>
      <c r="Y294" s="106">
        <f>IF(ISNA(VLOOKUP($R294&amp;Y$2,$C$3:$F$4001,3,0)),"",VLOOKUP($R294&amp;Y$2,$C$3:$F$4001,3,0))</f>
        <v>40436</v>
      </c>
      <c r="Z294" s="107">
        <f>IF(ISNA(VLOOKUP($R294&amp;Y$2,$C$3:$F$4001,4,0)),"",VLOOKUP($R294&amp;Y$2,$C$3:$F$4001,4,0))</f>
        <v>4.4199999999999996E-2</v>
      </c>
      <c r="AA294" s="106">
        <f>IF(ISNA(VLOOKUP($R294&amp;AA$2,$C$3:$F$4001,3,0)),"",VLOOKUP($R294&amp;AA$2,$C$3:$F$4001,3,0))</f>
        <v>40603</v>
      </c>
      <c r="AB294" s="107">
        <f>IF(ISNA(VLOOKUP($R294&amp;AA$2,$C$3:$F$4001,4,0)),"",VLOOKUP($R294&amp;AA$2,$C$3:$F$4001,4,0))</f>
        <v>4.24E-2</v>
      </c>
      <c r="AC294" s="106">
        <f>IF(ISNA(VLOOKUP($R294&amp;AC$2,$C$3:$F$4001,3,0)),"",VLOOKUP($R294&amp;AC$2,$C$3:$F$4001,3,0))</f>
        <v>40801</v>
      </c>
      <c r="AD294" s="107">
        <f>IF(ISNA(VLOOKUP($R294&amp;AC$2,$C$3:$F$4001,4,0)),"",VLOOKUP($R294&amp;AC$2,$C$3:$F$4001,4,0))</f>
        <v>4.9599999999999998E-2</v>
      </c>
      <c r="AE294" s="106">
        <f>IF(ISNA(VLOOKUP($R294&amp;AE$2,$C$3:$F$4001,3,0)),"",VLOOKUP($R294&amp;AE$2,$C$3:$F$4001,3,0))</f>
        <v>40969</v>
      </c>
      <c r="AF294" s="107">
        <f>IF(ISNA(VLOOKUP($R294&amp;AE$2,$C$3:$F$4001,4,0)),"",VLOOKUP($R294&amp;AE$2,$C$3:$F$4001,4,0))</f>
        <v>5.1100000000000007E-2</v>
      </c>
      <c r="AG294" s="106">
        <f>IF(ISNA(VLOOKUP($R294&amp;AG$2,$C$3:$F$4001,3,0)),"",VLOOKUP($R294&amp;AG$2,$C$3:$F$4001,3,0))</f>
        <v>41169</v>
      </c>
      <c r="AH294" s="107">
        <f>IF(ISNA(VLOOKUP($R294&amp;AG$2,$C$3:$F$4001,4,0)),"",VLOOKUP($R294&amp;AG$2,$C$3:$F$4001,4,0))</f>
        <v>5.9900000000000002E-2</v>
      </c>
      <c r="AI294" s="106">
        <f>IF(ISNA(VLOOKUP($R294&amp;AI$2,$C$3:$F$4001,3,0)),"",VLOOKUP($R294&amp;AI$2,$C$3:$F$4001,3,0))</f>
        <v>41334</v>
      </c>
      <c r="AJ294" s="107">
        <f>IF(ISNA(VLOOKUP($R294&amp;AI$2,$C$3:$F$4001,4,0)),"",VLOOKUP($R294&amp;AI$2,$C$3:$F$4001,4,0))</f>
        <v>5.5199999999999999E-2</v>
      </c>
      <c r="AK294" s="106">
        <f>IF(ISNA(VLOOKUP($R294&amp;AK$2,$C$3:$F$4001,3,0)),"",VLOOKUP($R294&amp;AK$2,$C$3:$F$4001,3,0))</f>
        <v>41534</v>
      </c>
      <c r="AL294" s="107">
        <f>IF(ISNA(VLOOKUP($R294&amp;AK$2,$C$3:$F$4001,4,0)),"",VLOOKUP($R294&amp;AK$2,$C$3:$F$4001,4,0))</f>
        <v>6.480000000000001E-2</v>
      </c>
    </row>
    <row r="295" spans="3:38" x14ac:dyDescent="0.2">
      <c r="C295" s="96" t="str">
        <f t="shared" si="16"/>
        <v>BKN4</v>
      </c>
      <c r="D295" s="73" t="s">
        <v>94</v>
      </c>
      <c r="E295" s="100">
        <v>40407</v>
      </c>
      <c r="F295" s="101">
        <v>0.23550000000000001</v>
      </c>
      <c r="G295" s="96">
        <f t="shared" si="17"/>
        <v>4</v>
      </c>
      <c r="I295" s="96"/>
      <c r="K295" t="str">
        <f t="shared" si="18"/>
        <v>BKN4</v>
      </c>
      <c r="L295" s="73" t="s">
        <v>94</v>
      </c>
      <c r="M295" s="72">
        <v>40407</v>
      </c>
      <c r="N295" s="84">
        <v>0.23550000000000001</v>
      </c>
      <c r="O295" s="96">
        <f t="shared" si="19"/>
        <v>4</v>
      </c>
      <c r="Q295" s="96"/>
      <c r="R295" s="96" t="str">
        <f>R294</f>
        <v>PPX</v>
      </c>
      <c r="S295" s="108">
        <f>IF(ISNA(VLOOKUP($R295&amp;S$2,$K$3:$N$4001,3,0)),"",VLOOKUP($R295&amp;S$2,$K$3:$N$4001,3,0))</f>
        <v>39871</v>
      </c>
      <c r="T295" s="109">
        <f>IF(ISNA(VLOOKUP($R295&amp;S$2,$K$3:$N$4001,4,0)),"",VLOOKUP($R295&amp;S$2,$K$3:$N$4001,4,0))</f>
        <v>0.03</v>
      </c>
      <c r="U295" s="108">
        <f>IF(ISNA(VLOOKUP($R295&amp;U$2,$K$3:$N$4001,3,0)),"",VLOOKUP($R295&amp;U$2,$K$3:$N$4001,3,0))</f>
        <v>40071</v>
      </c>
      <c r="V295" s="109">
        <f>IF(ISNA(VLOOKUP($R295&amp;U$2,$K$3:$N$4001,4,0)),"",VLOOKUP($R295&amp;U$2,$K$3:$N$4001,4,0))</f>
        <v>3.5000000000000003E-2</v>
      </c>
      <c r="W295" s="108">
        <f>IF(ISNA(VLOOKUP($R295&amp;W$2,$K$3:$N$4001,3,0)),"",VLOOKUP($R295&amp;W$2,$K$3:$N$4001,3,0))</f>
        <v>40238</v>
      </c>
      <c r="X295" s="109">
        <f>IF(ISNA(VLOOKUP($R295&amp;W$2,$K$3:$N$4001,4,0)),"",VLOOKUP($R295&amp;W$2,$K$3:$N$4001,4,0))</f>
        <v>3.78E-2</v>
      </c>
      <c r="Y295" s="108">
        <f>IF(ISNA(VLOOKUP($R295&amp;Y$2,$K$3:$N$4001,3,0)),"",VLOOKUP($R295&amp;Y$2,$K$3:$N$4001,3,0))</f>
        <v>40436</v>
      </c>
      <c r="Z295" s="109">
        <f>IF(ISNA(VLOOKUP($R295&amp;Y$2,$K$3:$N$4001,4,0)),"",VLOOKUP($R295&amp;Y$2,$K$3:$N$4001,4,0))</f>
        <v>4.4199999999999996E-2</v>
      </c>
      <c r="AA295" s="108">
        <f>IF(ISNA(VLOOKUP($R295&amp;AA$2,$K$3:$N$4001,3,0)),"",VLOOKUP($R295&amp;AA$2,$K$3:$N$4001,3,0))</f>
        <v>40603</v>
      </c>
      <c r="AB295" s="109">
        <f>IF(ISNA(VLOOKUP($R295&amp;AA$2,$K$3:$N$4001,4,0)),"",VLOOKUP($R295&amp;AA$2,$K$3:$N$4001,4,0))</f>
        <v>4.24E-2</v>
      </c>
      <c r="AC295" s="108">
        <f>IF(ISNA(VLOOKUP($R295&amp;AC$2,$K$3:$N$4001,3,0)),"",VLOOKUP($R295&amp;AC$2,$K$3:$N$4001,3,0))</f>
        <v>40801</v>
      </c>
      <c r="AD295" s="109">
        <f>IF(ISNA(VLOOKUP($R295&amp;AC$2,$K$3:$N$4001,4,0)),"",VLOOKUP($R295&amp;AC$2,$K$3:$N$4001,4,0))</f>
        <v>4.9599999999999998E-2</v>
      </c>
      <c r="AE295" s="108">
        <f>IF(ISNA(VLOOKUP($R295&amp;AE$2,$K$3:$N$4001,3,0)),"",VLOOKUP($R295&amp;AE$2,$K$3:$N$4001,3,0))</f>
        <v>40969</v>
      </c>
      <c r="AF295" s="109">
        <f>IF(ISNA(VLOOKUP($R295&amp;AE$2,$K$3:$N$4001,4,0)),"",VLOOKUP($R295&amp;AE$2,$K$3:$N$4001,4,0))</f>
        <v>5.1100000000000007E-2</v>
      </c>
      <c r="AG295" s="108">
        <f>IF(ISNA(VLOOKUP($R295&amp;AG$2,$K$3:$N$4001,3,0)),"",VLOOKUP($R295&amp;AG$2,$K$3:$N$4001,3,0))</f>
        <v>41169</v>
      </c>
      <c r="AH295" s="109">
        <f>IF(ISNA(VLOOKUP($R295&amp;AG$2,$K$3:$N$4001,4,0)),"",VLOOKUP($R295&amp;AG$2,$K$3:$N$4001,4,0))</f>
        <v>5.9900000000000002E-2</v>
      </c>
      <c r="AI295" s="108">
        <f>IF(ISNA(VLOOKUP($R295&amp;AI$2,$K$3:$N$4001,3,0)),"",VLOOKUP($R295&amp;AI$2,$K$3:$N$4001,3,0))</f>
        <v>41334</v>
      </c>
      <c r="AJ295" s="109">
        <f>IF(ISNA(VLOOKUP($R295&amp;AI$2,$K$3:$N$4001,4,0)),"",VLOOKUP($R295&amp;AI$2,$K$3:$N$4001,4,0))</f>
        <v>5.5199999999999999E-2</v>
      </c>
      <c r="AK295" s="108">
        <f>IF(ISNA(VLOOKUP($R295&amp;AK$2,$K$3:$N$4001,3,0)),"",VLOOKUP($R295&amp;AK$2,$K$3:$N$4001,3,0))</f>
        <v>41534</v>
      </c>
      <c r="AL295" s="109">
        <f>IF(ISNA(VLOOKUP($R295&amp;AK$2,$K$3:$N$4001,4,0)),"",VLOOKUP($R295&amp;AK$2,$K$3:$N$4001,4,0))</f>
        <v>6.480000000000001E-2</v>
      </c>
    </row>
    <row r="296" spans="3:38" x14ac:dyDescent="0.2">
      <c r="C296" s="96" t="str">
        <f t="shared" si="16"/>
        <v>BKN5</v>
      </c>
      <c r="D296" s="73" t="s">
        <v>94</v>
      </c>
      <c r="E296" s="100">
        <v>40596</v>
      </c>
      <c r="F296" s="101">
        <v>0.184</v>
      </c>
      <c r="G296" s="96">
        <f t="shared" si="17"/>
        <v>5</v>
      </c>
      <c r="I296" s="96"/>
      <c r="K296" t="str">
        <f t="shared" si="18"/>
        <v>BKN5</v>
      </c>
      <c r="L296" s="73" t="s">
        <v>94</v>
      </c>
      <c r="M296" s="72">
        <v>40596</v>
      </c>
      <c r="N296" s="84">
        <v>0.184</v>
      </c>
      <c r="O296" s="96">
        <f t="shared" si="19"/>
        <v>5</v>
      </c>
      <c r="Q296" s="96"/>
      <c r="R296" s="96" t="s">
        <v>194</v>
      </c>
      <c r="S296" s="106">
        <f>IF(ISNA(VLOOKUP($R296&amp;S$2,$C$3:$F$4001,3,0)),"",VLOOKUP($R296&amp;S$2,$C$3:$F$4001,3,0))</f>
        <v>39868</v>
      </c>
      <c r="T296" s="107">
        <f>IF(ISNA(VLOOKUP($R296&amp;S$2,$C$3:$F$4001,4,0)),"",VLOOKUP($R296&amp;S$2,$C$3:$F$4001,4,0))</f>
        <v>1.2</v>
      </c>
      <c r="U296" s="106">
        <f>IF(ISNA(VLOOKUP($R296&amp;U$2,$C$3:$F$4001,3,0)),"",VLOOKUP($R296&amp;U$2,$C$3:$F$4001,3,0))</f>
        <v>40050</v>
      </c>
      <c r="V296" s="107">
        <f>IF(ISNA(VLOOKUP($R296&amp;U$2,$C$3:$F$4001,4,0)),"",VLOOKUP($R296&amp;U$2,$C$3:$F$4001,4,0))</f>
        <v>1.2</v>
      </c>
      <c r="W296" s="106">
        <f>IF(ISNA(VLOOKUP($R296&amp;W$2,$C$3:$F$4001,3,0)),"",VLOOKUP($R296&amp;W$2,$C$3:$F$4001,3,0))</f>
        <v>40233</v>
      </c>
      <c r="X296" s="107">
        <f>IF(ISNA(VLOOKUP($R296&amp;W$2,$C$3:$F$4001,4,0)),"",VLOOKUP($R296&amp;W$2,$C$3:$F$4001,4,0))</f>
        <v>1.47</v>
      </c>
      <c r="Y296" s="106">
        <f>IF(ISNA(VLOOKUP($R296&amp;Y$2,$C$3:$F$4001,3,0)),"",VLOOKUP($R296&amp;Y$2,$C$3:$F$4001,3,0))</f>
        <v>40415</v>
      </c>
      <c r="Z296" s="107">
        <f>IF(ISNA(VLOOKUP($R296&amp;Y$2,$C$3:$F$4001,4,0)),"",VLOOKUP($R296&amp;Y$2,$C$3:$F$4001,4,0))</f>
        <v>1.47</v>
      </c>
      <c r="AA296" s="106">
        <f>IF(ISNA(VLOOKUP($R296&amp;AA$2,$C$3:$F$4001,3,0)),"",VLOOKUP($R296&amp;AA$2,$C$3:$F$4001,3,0))</f>
        <v>40598</v>
      </c>
      <c r="AB296" s="107">
        <f>IF(ISNA(VLOOKUP($R296&amp;AA$2,$C$3:$F$4001,4,0)),"",VLOOKUP($R296&amp;AA$2,$C$3:$F$4001,4,0))</f>
        <v>1.3109999999999999</v>
      </c>
      <c r="AC296" s="106">
        <f>IF(ISNA(VLOOKUP($R296&amp;AC$2,$C$3:$F$4001,3,0)),"",VLOOKUP($R296&amp;AC$2,$C$3:$F$4001,3,0))</f>
        <v>40780</v>
      </c>
      <c r="AD296" s="107">
        <f>IF(ISNA(VLOOKUP($R296&amp;AC$2,$C$3:$F$4001,4,0)),"",VLOOKUP($R296&amp;AC$2,$C$3:$F$4001,4,0))</f>
        <v>1.3109999999999999</v>
      </c>
      <c r="AE296" s="106">
        <f>IF(ISNA(VLOOKUP($R296&amp;AE$2,$C$3:$F$4001,3,0)),"",VLOOKUP($R296&amp;AE$2,$C$3:$F$4001,3,0))</f>
        <v>40966</v>
      </c>
      <c r="AF296" s="107">
        <f>IF(ISNA(VLOOKUP($R296&amp;AE$2,$C$3:$F$4001,4,0)),"",VLOOKUP($R296&amp;AE$2,$C$3:$F$4001,4,0))</f>
        <v>1.4019999999999999</v>
      </c>
      <c r="AG296" s="106">
        <f>IF(ISNA(VLOOKUP($R296&amp;AG$2,$C$3:$F$4001,3,0)),"",VLOOKUP($R296&amp;AG$2,$C$3:$F$4001,3,0))</f>
        <v>41148</v>
      </c>
      <c r="AH296" s="107">
        <f>IF(ISNA(VLOOKUP($R296&amp;AG$2,$C$3:$F$4001,4,0)),"",VLOOKUP($R296&amp;AG$2,$C$3:$F$4001,4,0))</f>
        <v>1.4019999999999999</v>
      </c>
      <c r="AI296" s="106">
        <f>IF(ISNA(VLOOKUP($R296&amp;AI$2,$C$3:$F$4001,3,0)),"",VLOOKUP($R296&amp;AI$2,$C$3:$F$4001,3,0))</f>
        <v>41331</v>
      </c>
      <c r="AJ296" s="107">
        <f>IF(ISNA(VLOOKUP($R296&amp;AI$2,$C$3:$F$4001,4,0)),"",VLOOKUP($R296&amp;AI$2,$C$3:$F$4001,4,0))</f>
        <v>1.4380000000000002</v>
      </c>
      <c r="AK296" s="106">
        <f>IF(ISNA(VLOOKUP($R296&amp;AK$2,$C$3:$F$4001,3,0)),"",VLOOKUP($R296&amp;AK$2,$C$3:$F$4001,3,0))</f>
        <v>41513</v>
      </c>
      <c r="AL296" s="107">
        <f>IF(ISNA(VLOOKUP($R296&amp;AK$2,$C$3:$F$4001,4,0)),"",VLOOKUP($R296&amp;AK$2,$C$3:$F$4001,4,0))</f>
        <v>1.4380000000000002</v>
      </c>
    </row>
    <row r="297" spans="3:38" x14ac:dyDescent="0.2">
      <c r="C297" s="96" t="str">
        <f t="shared" si="16"/>
        <v>BKN6</v>
      </c>
      <c r="D297" s="73" t="s">
        <v>94</v>
      </c>
      <c r="E297" s="100">
        <v>40772</v>
      </c>
      <c r="F297" s="101">
        <v>0.27</v>
      </c>
      <c r="G297" s="96">
        <f t="shared" si="17"/>
        <v>6</v>
      </c>
      <c r="I297" s="96"/>
      <c r="K297" t="str">
        <f t="shared" si="18"/>
        <v>BKN6</v>
      </c>
      <c r="L297" s="73" t="s">
        <v>94</v>
      </c>
      <c r="M297" s="72">
        <v>40772</v>
      </c>
      <c r="N297" s="84">
        <v>0.27</v>
      </c>
      <c r="O297" s="96">
        <f t="shared" si="19"/>
        <v>6</v>
      </c>
      <c r="Q297" s="96"/>
      <c r="R297" s="96" t="str">
        <f>R296</f>
        <v>PPT</v>
      </c>
      <c r="S297" s="108">
        <f>IF(ISNA(VLOOKUP($R297&amp;S$2,$K$3:$N$4001,3,0)),"",VLOOKUP($R297&amp;S$2,$K$3:$N$4001,3,0))</f>
        <v>39868</v>
      </c>
      <c r="T297" s="109">
        <f>IF(ISNA(VLOOKUP($R297&amp;S$2,$K$3:$N$4001,4,0)),"",VLOOKUP($R297&amp;S$2,$K$3:$N$4001,4,0))</f>
        <v>1.2</v>
      </c>
      <c r="U297" s="108">
        <f>IF(ISNA(VLOOKUP($R297&amp;U$2,$K$3:$N$4001,3,0)),"",VLOOKUP($R297&amp;U$2,$K$3:$N$4001,3,0))</f>
        <v>40050</v>
      </c>
      <c r="V297" s="109">
        <f>IF(ISNA(VLOOKUP($R297&amp;U$2,$K$3:$N$4001,4,0)),"",VLOOKUP($R297&amp;U$2,$K$3:$N$4001,4,0))</f>
        <v>1.2</v>
      </c>
      <c r="W297" s="108">
        <f>IF(ISNA(VLOOKUP($R297&amp;W$2,$K$3:$N$4001,3,0)),"",VLOOKUP($R297&amp;W$2,$K$3:$N$4001,3,0))</f>
        <v>40233</v>
      </c>
      <c r="X297" s="109">
        <f>IF(ISNA(VLOOKUP($R297&amp;W$2,$K$3:$N$4001,4,0)),"",VLOOKUP($R297&amp;W$2,$K$3:$N$4001,4,0))</f>
        <v>1.47</v>
      </c>
      <c r="Y297" s="108">
        <f>IF(ISNA(VLOOKUP($R297&amp;Y$2,$K$3:$N$4001,3,0)),"",VLOOKUP($R297&amp;Y$2,$K$3:$N$4001,3,0))</f>
        <v>40415</v>
      </c>
      <c r="Z297" s="109">
        <f>IF(ISNA(VLOOKUP($R297&amp;Y$2,$K$3:$N$4001,4,0)),"",VLOOKUP($R297&amp;Y$2,$K$3:$N$4001,4,0))</f>
        <v>1.47</v>
      </c>
      <c r="AA297" s="108">
        <f>IF(ISNA(VLOOKUP($R297&amp;AA$2,$K$3:$N$4001,3,0)),"",VLOOKUP($R297&amp;AA$2,$K$3:$N$4001,3,0))</f>
        <v>40598</v>
      </c>
      <c r="AB297" s="109">
        <f>IF(ISNA(VLOOKUP($R297&amp;AA$2,$K$3:$N$4001,4,0)),"",VLOOKUP($R297&amp;AA$2,$K$3:$N$4001,4,0))</f>
        <v>1.3109999999999999</v>
      </c>
      <c r="AC297" s="108">
        <f>IF(ISNA(VLOOKUP($R297&amp;AC$2,$K$3:$N$4001,3,0)),"",VLOOKUP($R297&amp;AC$2,$K$3:$N$4001,3,0))</f>
        <v>40780</v>
      </c>
      <c r="AD297" s="109">
        <f>IF(ISNA(VLOOKUP($R297&amp;AC$2,$K$3:$N$4001,4,0)),"",VLOOKUP($R297&amp;AC$2,$K$3:$N$4001,4,0))</f>
        <v>1.3109999999999999</v>
      </c>
      <c r="AE297" s="108">
        <f>IF(ISNA(VLOOKUP($R297&amp;AE$2,$K$3:$N$4001,3,0)),"",VLOOKUP($R297&amp;AE$2,$K$3:$N$4001,3,0))</f>
        <v>40966</v>
      </c>
      <c r="AF297" s="109">
        <f>IF(ISNA(VLOOKUP($R297&amp;AE$2,$K$3:$N$4001,4,0)),"",VLOOKUP($R297&amp;AE$2,$K$3:$N$4001,4,0))</f>
        <v>1.4019999999999999</v>
      </c>
      <c r="AG297" s="108">
        <f>IF(ISNA(VLOOKUP($R297&amp;AG$2,$K$3:$N$4001,3,0)),"",VLOOKUP($R297&amp;AG$2,$K$3:$N$4001,3,0))</f>
        <v>41148</v>
      </c>
      <c r="AH297" s="109">
        <f>IF(ISNA(VLOOKUP($R297&amp;AG$2,$K$3:$N$4001,4,0)),"",VLOOKUP($R297&amp;AG$2,$K$3:$N$4001,4,0))</f>
        <v>1.4019999999999999</v>
      </c>
      <c r="AI297" s="108">
        <f>IF(ISNA(VLOOKUP($R297&amp;AI$2,$K$3:$N$4001,3,0)),"",VLOOKUP($R297&amp;AI$2,$K$3:$N$4001,3,0))</f>
        <v>41331</v>
      </c>
      <c r="AJ297" s="109">
        <f>IF(ISNA(VLOOKUP($R297&amp;AI$2,$K$3:$N$4001,4,0)),"",VLOOKUP($R297&amp;AI$2,$K$3:$N$4001,4,0))</f>
        <v>1.4380000000000002</v>
      </c>
      <c r="AK297" s="108">
        <f>IF(ISNA(VLOOKUP($R297&amp;AK$2,$K$3:$N$4001,3,0)),"",VLOOKUP($R297&amp;AK$2,$K$3:$N$4001,3,0))</f>
        <v>41513</v>
      </c>
      <c r="AL297" s="109">
        <f>IF(ISNA(VLOOKUP($R297&amp;AK$2,$K$3:$N$4001,4,0)),"",VLOOKUP($R297&amp;AK$2,$K$3:$N$4001,4,0))</f>
        <v>1.4380000000000002</v>
      </c>
    </row>
    <row r="298" spans="3:38" x14ac:dyDescent="0.2">
      <c r="C298" s="96" t="str">
        <f t="shared" si="16"/>
        <v>BKN7</v>
      </c>
      <c r="D298" s="73" t="s">
        <v>94</v>
      </c>
      <c r="E298" s="100">
        <v>40961</v>
      </c>
      <c r="F298" s="101">
        <v>0.21719999999999998</v>
      </c>
      <c r="G298" s="96">
        <f t="shared" si="17"/>
        <v>7</v>
      </c>
      <c r="I298" s="96"/>
      <c r="K298" t="str">
        <f t="shared" si="18"/>
        <v>BKN7</v>
      </c>
      <c r="L298" s="73" t="s">
        <v>94</v>
      </c>
      <c r="M298" s="72">
        <v>40961</v>
      </c>
      <c r="N298" s="84">
        <v>0.21719999999999998</v>
      </c>
      <c r="O298" s="96">
        <f t="shared" si="19"/>
        <v>7</v>
      </c>
      <c r="Q298" s="96"/>
      <c r="R298" s="96" t="s">
        <v>196</v>
      </c>
      <c r="S298" s="106">
        <f>IF(ISNA(VLOOKUP($R298&amp;S$2,$C$3:$F$4001,3,0)),"",VLOOKUP($R298&amp;S$2,$C$3:$F$4001,3,0))</f>
        <v>39868</v>
      </c>
      <c r="T298" s="107">
        <f>IF(ISNA(VLOOKUP($R298&amp;S$2,$C$3:$F$4001,4,0)),"",VLOOKUP($R298&amp;S$2,$C$3:$F$4001,4,0))</f>
        <v>0.12</v>
      </c>
      <c r="U298" s="106">
        <f>IF(ISNA(VLOOKUP($R298&amp;U$2,$C$3:$F$4001,3,0)),"",VLOOKUP($R298&amp;U$2,$C$3:$F$4001,3,0))</f>
        <v>40051</v>
      </c>
      <c r="V298" s="107">
        <f>IF(ISNA(VLOOKUP($R298&amp;U$2,$C$3:$F$4001,4,0)),"",VLOOKUP($R298&amp;U$2,$C$3:$F$4001,4,0))</f>
        <v>0.12</v>
      </c>
      <c r="W298" s="106">
        <f>IF(ISNA(VLOOKUP($R298&amp;W$2,$C$3:$F$4001,3,0)),"",VLOOKUP($R298&amp;W$2,$C$3:$F$4001,3,0))</f>
        <v>40233</v>
      </c>
      <c r="X298" s="107">
        <f>IF(ISNA(VLOOKUP($R298&amp;W$2,$C$3:$F$4001,4,0)),"",VLOOKUP($R298&amp;W$2,$C$3:$F$4001,4,0))</f>
        <v>0.12</v>
      </c>
      <c r="Y298" s="106">
        <f>IF(ISNA(VLOOKUP($R298&amp;Y$2,$C$3:$F$4001,3,0)),"",VLOOKUP($R298&amp;Y$2,$C$3:$F$4001,3,0))</f>
        <v>40416</v>
      </c>
      <c r="Z298" s="107">
        <f>IF(ISNA(VLOOKUP($R298&amp;Y$2,$C$3:$F$4001,4,0)),"",VLOOKUP($R298&amp;Y$2,$C$3:$F$4001,4,0))</f>
        <v>0.12</v>
      </c>
      <c r="AA298" s="106">
        <f>IF(ISNA(VLOOKUP($R298&amp;AA$2,$C$3:$F$4001,3,0)),"",VLOOKUP($R298&amp;AA$2,$C$3:$F$4001,3,0))</f>
        <v>40598</v>
      </c>
      <c r="AB298" s="107">
        <f>IF(ISNA(VLOOKUP($R298&amp;AA$2,$C$3:$F$4001,4,0)),"",VLOOKUP($R298&amp;AA$2,$C$3:$F$4001,4,0))</f>
        <v>0.12</v>
      </c>
      <c r="AC298" s="106">
        <f>IF(ISNA(VLOOKUP($R298&amp;AC$2,$C$3:$F$4001,3,0)),"",VLOOKUP($R298&amp;AC$2,$C$3:$F$4001,3,0))</f>
        <v>40781</v>
      </c>
      <c r="AD298" s="107">
        <f>IF(ISNA(VLOOKUP($R298&amp;AC$2,$C$3:$F$4001,4,0)),"",VLOOKUP($R298&amp;AC$2,$C$3:$F$4001,4,0))</f>
        <v>0.12</v>
      </c>
      <c r="AE298" s="106">
        <f>IF(ISNA(VLOOKUP($R298&amp;AE$2,$C$3:$F$4001,3,0)),"",VLOOKUP($R298&amp;AE$2,$C$3:$F$4001,3,0))</f>
        <v>40966</v>
      </c>
      <c r="AF298" s="107">
        <f>IF(ISNA(VLOOKUP($R298&amp;AE$2,$C$3:$F$4001,4,0)),"",VLOOKUP($R298&amp;AE$2,$C$3:$F$4001,4,0))</f>
        <v>0.12</v>
      </c>
      <c r="AG298" s="106">
        <f>IF(ISNA(VLOOKUP($R298&amp;AG$2,$C$3:$F$4001,3,0)),"",VLOOKUP($R298&amp;AG$2,$C$3:$F$4001,3,0))</f>
        <v>41149</v>
      </c>
      <c r="AH298" s="107">
        <f>IF(ISNA(VLOOKUP($R298&amp;AG$2,$C$3:$F$4001,4,0)),"",VLOOKUP($R298&amp;AG$2,$C$3:$F$4001,4,0))</f>
        <v>0.12</v>
      </c>
      <c r="AI298" s="106">
        <f>IF(ISNA(VLOOKUP($R298&amp;AI$2,$C$3:$F$4001,3,0)),"",VLOOKUP($R298&amp;AI$2,$C$3:$F$4001,3,0))</f>
        <v>41331</v>
      </c>
      <c r="AJ298" s="107">
        <f>IF(ISNA(VLOOKUP($R298&amp;AI$2,$C$3:$F$4001,4,0)),"",VLOOKUP($R298&amp;AI$2,$C$3:$F$4001,4,0))</f>
        <v>0.12</v>
      </c>
      <c r="AK298" s="106">
        <f>IF(ISNA(VLOOKUP($R298&amp;AK$2,$C$3:$F$4001,3,0)),"",VLOOKUP($R298&amp;AK$2,$C$3:$F$4001,3,0))</f>
        <v>41514</v>
      </c>
      <c r="AL298" s="107">
        <f>IF(ISNA(VLOOKUP($R298&amp;AK$2,$C$3:$F$4001,4,0)),"",VLOOKUP($R298&amp;AK$2,$C$3:$F$4001,4,0))</f>
        <v>0.12</v>
      </c>
    </row>
    <row r="299" spans="3:38" x14ac:dyDescent="0.2">
      <c r="C299" s="96" t="str">
        <f t="shared" si="16"/>
        <v>BKN8</v>
      </c>
      <c r="D299" s="73" t="s">
        <v>94</v>
      </c>
      <c r="E299" s="100">
        <v>41138</v>
      </c>
      <c r="F299" s="101">
        <v>0.31879999999999997</v>
      </c>
      <c r="G299" s="96">
        <f t="shared" si="17"/>
        <v>8</v>
      </c>
      <c r="I299" s="96"/>
      <c r="K299" t="str">
        <f t="shared" si="18"/>
        <v>BKN8</v>
      </c>
      <c r="L299" s="73" t="s">
        <v>94</v>
      </c>
      <c r="M299" s="72">
        <v>41138</v>
      </c>
      <c r="N299" s="84">
        <v>0.31879999999999997</v>
      </c>
      <c r="O299" s="96">
        <f t="shared" si="19"/>
        <v>8</v>
      </c>
      <c r="Q299" s="96"/>
      <c r="R299" s="96" t="str">
        <f>R298</f>
        <v>PTM</v>
      </c>
      <c r="S299" s="108">
        <f>IF(ISNA(VLOOKUP($R299&amp;S$2,$K$3:$N$4001,3,0)),"",VLOOKUP($R299&amp;S$2,$K$3:$N$4001,3,0))</f>
        <v>39868</v>
      </c>
      <c r="T299" s="109">
        <f>IF(ISNA(VLOOKUP($R299&amp;S$2,$K$3:$N$4001,4,0)),"",VLOOKUP($R299&amp;S$2,$K$3:$N$4001,4,0))</f>
        <v>0.12</v>
      </c>
      <c r="U299" s="108">
        <f>IF(ISNA(VLOOKUP($R299&amp;U$2,$K$3:$N$4001,3,0)),"",VLOOKUP($R299&amp;U$2,$K$3:$N$4001,3,0))</f>
        <v>40051</v>
      </c>
      <c r="V299" s="109">
        <f>IF(ISNA(VLOOKUP($R299&amp;U$2,$K$3:$N$4001,4,0)),"",VLOOKUP($R299&amp;U$2,$K$3:$N$4001,4,0))</f>
        <v>0.12</v>
      </c>
      <c r="W299" s="108">
        <f>IF(ISNA(VLOOKUP($R299&amp;W$2,$K$3:$N$4001,3,0)),"",VLOOKUP($R299&amp;W$2,$K$3:$N$4001,3,0))</f>
        <v>40233</v>
      </c>
      <c r="X299" s="109">
        <f>IF(ISNA(VLOOKUP($R299&amp;W$2,$K$3:$N$4001,4,0)),"",VLOOKUP($R299&amp;W$2,$K$3:$N$4001,4,0))</f>
        <v>0.12</v>
      </c>
      <c r="Y299" s="108">
        <f>IF(ISNA(VLOOKUP($R299&amp;Y$2,$K$3:$N$4001,3,0)),"",VLOOKUP($R299&amp;Y$2,$K$3:$N$4001,3,0))</f>
        <v>40416</v>
      </c>
      <c r="Z299" s="109">
        <f>IF(ISNA(VLOOKUP($R299&amp;Y$2,$K$3:$N$4001,4,0)),"",VLOOKUP($R299&amp;Y$2,$K$3:$N$4001,4,0))</f>
        <v>0.12</v>
      </c>
      <c r="AA299" s="108">
        <f>IF(ISNA(VLOOKUP($R299&amp;AA$2,$K$3:$N$4001,3,0)),"",VLOOKUP($R299&amp;AA$2,$K$3:$N$4001,3,0))</f>
        <v>40598</v>
      </c>
      <c r="AB299" s="109">
        <f>IF(ISNA(VLOOKUP($R299&amp;AA$2,$K$3:$N$4001,4,0)),"",VLOOKUP($R299&amp;AA$2,$K$3:$N$4001,4,0))</f>
        <v>0.12</v>
      </c>
      <c r="AC299" s="108">
        <f>IF(ISNA(VLOOKUP($R299&amp;AC$2,$K$3:$N$4001,3,0)),"",VLOOKUP($R299&amp;AC$2,$K$3:$N$4001,3,0))</f>
        <v>40781</v>
      </c>
      <c r="AD299" s="109">
        <f>IF(ISNA(VLOOKUP($R299&amp;AC$2,$K$3:$N$4001,4,0)),"",VLOOKUP($R299&amp;AC$2,$K$3:$N$4001,4,0))</f>
        <v>0.12</v>
      </c>
      <c r="AE299" s="108">
        <f>IF(ISNA(VLOOKUP($R299&amp;AE$2,$K$3:$N$4001,3,0)),"",VLOOKUP($R299&amp;AE$2,$K$3:$N$4001,3,0))</f>
        <v>40966</v>
      </c>
      <c r="AF299" s="109">
        <f>IF(ISNA(VLOOKUP($R299&amp;AE$2,$K$3:$N$4001,4,0)),"",VLOOKUP($R299&amp;AE$2,$K$3:$N$4001,4,0))</f>
        <v>0.12</v>
      </c>
      <c r="AG299" s="108">
        <f>IF(ISNA(VLOOKUP($R299&amp;AG$2,$K$3:$N$4001,3,0)),"",VLOOKUP($R299&amp;AG$2,$K$3:$N$4001,3,0))</f>
        <v>41149</v>
      </c>
      <c r="AH299" s="109">
        <f>IF(ISNA(VLOOKUP($R299&amp;AG$2,$K$3:$N$4001,4,0)),"",VLOOKUP($R299&amp;AG$2,$K$3:$N$4001,4,0))</f>
        <v>0.12</v>
      </c>
      <c r="AI299" s="108">
        <f>IF(ISNA(VLOOKUP($R299&amp;AI$2,$K$3:$N$4001,3,0)),"",VLOOKUP($R299&amp;AI$2,$K$3:$N$4001,3,0))</f>
        <v>41331</v>
      </c>
      <c r="AJ299" s="109">
        <f>IF(ISNA(VLOOKUP($R299&amp;AI$2,$K$3:$N$4001,4,0)),"",VLOOKUP($R299&amp;AI$2,$K$3:$N$4001,4,0))</f>
        <v>0.12</v>
      </c>
      <c r="AK299" s="108">
        <f>IF(ISNA(VLOOKUP($R299&amp;AK$2,$K$3:$N$4001,3,0)),"",VLOOKUP($R299&amp;AK$2,$K$3:$N$4001,3,0))</f>
        <v>41514</v>
      </c>
      <c r="AL299" s="109">
        <f>IF(ISNA(VLOOKUP($R299&amp;AK$2,$K$3:$N$4001,4,0)),"",VLOOKUP($R299&amp;AK$2,$K$3:$N$4001,4,0))</f>
        <v>0.12</v>
      </c>
    </row>
    <row r="300" spans="3:38" x14ac:dyDescent="0.2">
      <c r="C300" s="96" t="str">
        <f t="shared" si="16"/>
        <v>BKN9</v>
      </c>
      <c r="D300" s="73" t="s">
        <v>94</v>
      </c>
      <c r="E300" s="100">
        <v>41327</v>
      </c>
      <c r="F300" s="101">
        <v>0.24350000000000002</v>
      </c>
      <c r="G300" s="96">
        <f t="shared" si="17"/>
        <v>9</v>
      </c>
      <c r="I300" s="96"/>
      <c r="K300" t="str">
        <f t="shared" si="18"/>
        <v>BKN9</v>
      </c>
      <c r="L300" s="73" t="s">
        <v>94</v>
      </c>
      <c r="M300" s="72">
        <v>41327</v>
      </c>
      <c r="N300" s="84">
        <v>0.24350000000000002</v>
      </c>
      <c r="O300" s="96">
        <f t="shared" si="19"/>
        <v>9</v>
      </c>
      <c r="Q300" s="96"/>
      <c r="R300" s="96" t="s">
        <v>277</v>
      </c>
      <c r="S300" s="106" t="str">
        <f>IF(ISNA(VLOOKUP($R300&amp;S$2,$C$3:$F$4001,3,0)),"",VLOOKUP($R300&amp;S$2,$C$3:$F$4001,3,0))</f>
        <v/>
      </c>
      <c r="T300" s="107" t="str">
        <f>IF(ISNA(VLOOKUP($R300&amp;S$2,$C$3:$F$4001,4,0)),"",VLOOKUP($R300&amp;S$2,$C$3:$F$4001,4,0))</f>
        <v/>
      </c>
      <c r="U300" s="106" t="str">
        <f>IF(ISNA(VLOOKUP($R300&amp;U$2,$C$3:$F$4001,3,0)),"",VLOOKUP($R300&amp;U$2,$C$3:$F$4001,3,0))</f>
        <v/>
      </c>
      <c r="V300" s="107" t="str">
        <f>IF(ISNA(VLOOKUP($R300&amp;U$2,$C$3:$F$4001,4,0)),"",VLOOKUP($R300&amp;U$2,$C$3:$F$4001,4,0))</f>
        <v/>
      </c>
      <c r="W300" s="106" t="str">
        <f>IF(ISNA(VLOOKUP($R300&amp;W$2,$C$3:$F$4001,3,0)),"",VLOOKUP($R300&amp;W$2,$C$3:$F$4001,3,0))</f>
        <v/>
      </c>
      <c r="X300" s="107" t="str">
        <f>IF(ISNA(VLOOKUP($R300&amp;W$2,$C$3:$F$4001,4,0)),"",VLOOKUP($R300&amp;W$2,$C$3:$F$4001,4,0))</f>
        <v/>
      </c>
      <c r="Y300" s="106" t="str">
        <f>IF(ISNA(VLOOKUP($R300&amp;Y$2,$C$3:$F$4001,3,0)),"",VLOOKUP($R300&amp;Y$2,$C$3:$F$4001,3,0))</f>
        <v/>
      </c>
      <c r="Z300" s="107" t="str">
        <f>IF(ISNA(VLOOKUP($R300&amp;Y$2,$C$3:$F$4001,4,0)),"",VLOOKUP($R300&amp;Y$2,$C$3:$F$4001,4,0))</f>
        <v/>
      </c>
      <c r="AA300" s="106" t="str">
        <f>IF(ISNA(VLOOKUP($R300&amp;AA$2,$C$3:$F$4001,3,0)),"",VLOOKUP($R300&amp;AA$2,$C$3:$F$4001,3,0))</f>
        <v/>
      </c>
      <c r="AB300" s="107" t="str">
        <f>IF(ISNA(VLOOKUP($R300&amp;AA$2,$C$3:$F$4001,4,0)),"",VLOOKUP($R300&amp;AA$2,$C$3:$F$4001,4,0))</f>
        <v/>
      </c>
      <c r="AC300" s="106" t="str">
        <f>IF(ISNA(VLOOKUP($R300&amp;AC$2,$C$3:$F$4001,3,0)),"",VLOOKUP($R300&amp;AC$2,$C$3:$F$4001,3,0))</f>
        <v/>
      </c>
      <c r="AD300" s="107" t="str">
        <f>IF(ISNA(VLOOKUP($R300&amp;AC$2,$C$3:$F$4001,4,0)),"",VLOOKUP($R300&amp;AC$2,$C$3:$F$4001,4,0))</f>
        <v/>
      </c>
      <c r="AE300" s="106" t="str">
        <f>IF(ISNA(VLOOKUP($R300&amp;AE$2,$C$3:$F$4001,3,0)),"",VLOOKUP($R300&amp;AE$2,$C$3:$F$4001,3,0))</f>
        <v/>
      </c>
      <c r="AF300" s="107" t="str">
        <f>IF(ISNA(VLOOKUP($R300&amp;AE$2,$C$3:$F$4001,4,0)),"",VLOOKUP($R300&amp;AE$2,$C$3:$F$4001,4,0))</f>
        <v/>
      </c>
      <c r="AG300" s="106" t="str">
        <f>IF(ISNA(VLOOKUP($R300&amp;AG$2,$C$3:$F$4001,3,0)),"",VLOOKUP($R300&amp;AG$2,$C$3:$F$4001,3,0))</f>
        <v/>
      </c>
      <c r="AH300" s="107" t="str">
        <f>IF(ISNA(VLOOKUP($R300&amp;AG$2,$C$3:$F$4001,4,0)),"",VLOOKUP($R300&amp;AG$2,$C$3:$F$4001,4,0))</f>
        <v/>
      </c>
      <c r="AI300" s="106" t="str">
        <f>IF(ISNA(VLOOKUP($R300&amp;AI$2,$C$3:$F$4001,3,0)),"",VLOOKUP($R300&amp;AI$2,$C$3:$F$4001,3,0))</f>
        <v/>
      </c>
      <c r="AJ300" s="107" t="str">
        <f>IF(ISNA(VLOOKUP($R300&amp;AI$2,$C$3:$F$4001,4,0)),"",VLOOKUP($R300&amp;AI$2,$C$3:$F$4001,4,0))</f>
        <v/>
      </c>
      <c r="AK300" s="106" t="str">
        <f>IF(ISNA(VLOOKUP($R300&amp;AK$2,$C$3:$F$4001,3,0)),"",VLOOKUP($R300&amp;AK$2,$C$3:$F$4001,3,0))</f>
        <v/>
      </c>
      <c r="AL300" s="107" t="str">
        <f>IF(ISNA(VLOOKUP($R300&amp;AK$2,$C$3:$F$4001,4,0)),"",VLOOKUP($R300&amp;AK$2,$C$3:$F$4001,4,0))</f>
        <v/>
      </c>
    </row>
    <row r="301" spans="3:38" x14ac:dyDescent="0.2">
      <c r="C301" s="96" t="str">
        <f t="shared" si="16"/>
        <v>BKN10</v>
      </c>
      <c r="D301" s="73" t="s">
        <v>94</v>
      </c>
      <c r="E301" s="100">
        <v>41505</v>
      </c>
      <c r="F301" s="101">
        <v>0.35749999999999998</v>
      </c>
      <c r="G301" s="96">
        <f t="shared" si="17"/>
        <v>10</v>
      </c>
      <c r="I301" s="96"/>
      <c r="K301" t="str">
        <f t="shared" si="18"/>
        <v>BKN10</v>
      </c>
      <c r="L301" s="73" t="s">
        <v>94</v>
      </c>
      <c r="M301" s="72">
        <v>41505</v>
      </c>
      <c r="N301" s="84">
        <v>0.35749999999999998</v>
      </c>
      <c r="O301" s="96">
        <f t="shared" si="19"/>
        <v>10</v>
      </c>
      <c r="Q301" s="96"/>
      <c r="R301" s="96" t="str">
        <f>R300</f>
        <v>PLA</v>
      </c>
      <c r="S301" s="108" t="str">
        <f>IF(ISNA(VLOOKUP($R301&amp;S$2,$K$3:$N$4001,3,0)),"",VLOOKUP($R301&amp;S$2,$K$3:$N$4001,3,0))</f>
        <v/>
      </c>
      <c r="T301" s="109" t="str">
        <f>IF(ISNA(VLOOKUP($R301&amp;S$2,$K$3:$N$4001,4,0)),"",VLOOKUP($R301&amp;S$2,$K$3:$N$4001,4,0))</f>
        <v/>
      </c>
      <c r="U301" s="108" t="str">
        <f>IF(ISNA(VLOOKUP($R301&amp;U$2,$K$3:$N$4001,3,0)),"",VLOOKUP($R301&amp;U$2,$K$3:$N$4001,3,0))</f>
        <v/>
      </c>
      <c r="V301" s="109" t="str">
        <f>IF(ISNA(VLOOKUP($R301&amp;U$2,$K$3:$N$4001,4,0)),"",VLOOKUP($R301&amp;U$2,$K$3:$N$4001,4,0))</f>
        <v/>
      </c>
      <c r="W301" s="108" t="str">
        <f>IF(ISNA(VLOOKUP($R301&amp;W$2,$K$3:$N$4001,3,0)),"",VLOOKUP($R301&amp;W$2,$K$3:$N$4001,3,0))</f>
        <v/>
      </c>
      <c r="X301" s="109" t="str">
        <f>IF(ISNA(VLOOKUP($R301&amp;W$2,$K$3:$N$4001,4,0)),"",VLOOKUP($R301&amp;W$2,$K$3:$N$4001,4,0))</f>
        <v/>
      </c>
      <c r="Y301" s="108" t="str">
        <f>IF(ISNA(VLOOKUP($R301&amp;Y$2,$K$3:$N$4001,3,0)),"",VLOOKUP($R301&amp;Y$2,$K$3:$N$4001,3,0))</f>
        <v/>
      </c>
      <c r="Z301" s="109" t="str">
        <f>IF(ISNA(VLOOKUP($R301&amp;Y$2,$K$3:$N$4001,4,0)),"",VLOOKUP($R301&amp;Y$2,$K$3:$N$4001,4,0))</f>
        <v/>
      </c>
      <c r="AA301" s="108" t="str">
        <f>IF(ISNA(VLOOKUP($R301&amp;AA$2,$K$3:$N$4001,3,0)),"",VLOOKUP($R301&amp;AA$2,$K$3:$N$4001,3,0))</f>
        <v/>
      </c>
      <c r="AB301" s="109" t="str">
        <f>IF(ISNA(VLOOKUP($R301&amp;AA$2,$K$3:$N$4001,4,0)),"",VLOOKUP($R301&amp;AA$2,$K$3:$N$4001,4,0))</f>
        <v/>
      </c>
      <c r="AC301" s="108" t="str">
        <f>IF(ISNA(VLOOKUP($R301&amp;AC$2,$K$3:$N$4001,3,0)),"",VLOOKUP($R301&amp;AC$2,$K$3:$N$4001,3,0))</f>
        <v/>
      </c>
      <c r="AD301" s="109" t="str">
        <f>IF(ISNA(VLOOKUP($R301&amp;AC$2,$K$3:$N$4001,4,0)),"",VLOOKUP($R301&amp;AC$2,$K$3:$N$4001,4,0))</f>
        <v/>
      </c>
      <c r="AE301" s="108" t="str">
        <f>IF(ISNA(VLOOKUP($R301&amp;AE$2,$K$3:$N$4001,3,0)),"",VLOOKUP($R301&amp;AE$2,$K$3:$N$4001,3,0))</f>
        <v/>
      </c>
      <c r="AF301" s="109" t="str">
        <f>IF(ISNA(VLOOKUP($R301&amp;AE$2,$K$3:$N$4001,4,0)),"",VLOOKUP($R301&amp;AE$2,$K$3:$N$4001,4,0))</f>
        <v/>
      </c>
      <c r="AG301" s="108" t="str">
        <f>IF(ISNA(VLOOKUP($R301&amp;AG$2,$K$3:$N$4001,3,0)),"",VLOOKUP($R301&amp;AG$2,$K$3:$N$4001,3,0))</f>
        <v/>
      </c>
      <c r="AH301" s="109" t="str">
        <f>IF(ISNA(VLOOKUP($R301&amp;AG$2,$K$3:$N$4001,4,0)),"",VLOOKUP($R301&amp;AG$2,$K$3:$N$4001,4,0))</f>
        <v/>
      </c>
      <c r="AI301" s="108" t="str">
        <f>IF(ISNA(VLOOKUP($R301&amp;AI$2,$K$3:$N$4001,3,0)),"",VLOOKUP($R301&amp;AI$2,$K$3:$N$4001,3,0))</f>
        <v/>
      </c>
      <c r="AJ301" s="109" t="str">
        <f>IF(ISNA(VLOOKUP($R301&amp;AI$2,$K$3:$N$4001,4,0)),"",VLOOKUP($R301&amp;AI$2,$K$3:$N$4001,4,0))</f>
        <v/>
      </c>
      <c r="AK301" s="108" t="str">
        <f>IF(ISNA(VLOOKUP($R301&amp;AK$2,$K$3:$N$4001,3,0)),"",VLOOKUP($R301&amp;AK$2,$K$3:$N$4001,3,0))</f>
        <v/>
      </c>
      <c r="AL301" s="109" t="str">
        <f>IF(ISNA(VLOOKUP($R301&amp;AK$2,$K$3:$N$4001,4,0)),"",VLOOKUP($R301&amp;AK$2,$K$3:$N$4001,4,0))</f>
        <v/>
      </c>
    </row>
    <row r="302" spans="3:38" x14ac:dyDescent="0.2">
      <c r="C302" s="96" t="str">
        <f t="shared" si="16"/>
        <v>BLD1</v>
      </c>
      <c r="D302" s="73" t="s">
        <v>95</v>
      </c>
      <c r="E302" s="100">
        <v>39867</v>
      </c>
      <c r="F302" s="101">
        <v>0.1</v>
      </c>
      <c r="G302" s="96">
        <f t="shared" si="17"/>
        <v>1</v>
      </c>
      <c r="I302" s="96"/>
      <c r="K302" t="str">
        <f t="shared" si="18"/>
        <v>BLD1</v>
      </c>
      <c r="L302" s="73" t="s">
        <v>95</v>
      </c>
      <c r="M302" s="72">
        <v>39867</v>
      </c>
      <c r="N302" s="84">
        <v>0.1</v>
      </c>
      <c r="O302" s="96">
        <f t="shared" si="19"/>
        <v>1</v>
      </c>
      <c r="Q302" s="96"/>
      <c r="R302" s="96" t="s">
        <v>192</v>
      </c>
      <c r="S302" s="106">
        <f>IF(ISNA(VLOOKUP($R302&amp;S$2,$C$3:$F$4001,3,0)),"",VLOOKUP($R302&amp;S$2,$C$3:$F$4001,3,0))</f>
        <v>39868</v>
      </c>
      <c r="T302" s="107">
        <f>IF(ISNA(VLOOKUP($R302&amp;S$2,$C$3:$F$4001,4,0)),"",VLOOKUP($R302&amp;S$2,$C$3:$F$4001,4,0))</f>
        <v>1.4999999999999999E-2</v>
      </c>
      <c r="U302" s="106">
        <f>IF(ISNA(VLOOKUP($R302&amp;U$2,$C$3:$F$4001,3,0)),"",VLOOKUP($R302&amp;U$2,$C$3:$F$4001,3,0))</f>
        <v>40085</v>
      </c>
      <c r="V302" s="107">
        <f>IF(ISNA(VLOOKUP($R302&amp;U$2,$C$3:$F$4001,4,0)),"",VLOOKUP($R302&amp;U$2,$C$3:$F$4001,4,0))</f>
        <v>0.03</v>
      </c>
      <c r="W302" s="106">
        <f>IF(ISNA(VLOOKUP($R302&amp;W$2,$C$3:$F$4001,3,0)),"",VLOOKUP($R302&amp;W$2,$C$3:$F$4001,3,0))</f>
        <v>40233</v>
      </c>
      <c r="X302" s="107">
        <f>IF(ISNA(VLOOKUP($R302&amp;W$2,$C$3:$F$4001,4,0)),"",VLOOKUP($R302&amp;W$2,$C$3:$F$4001,4,0))</f>
        <v>1.2699999999999999E-2</v>
      </c>
      <c r="Y302" s="106">
        <f>IF(ISNA(VLOOKUP($R302&amp;Y$2,$C$3:$F$4001,3,0)),"",VLOOKUP($R302&amp;Y$2,$C$3:$F$4001,3,0))</f>
        <v>40450</v>
      </c>
      <c r="Z302" s="107">
        <f>IF(ISNA(VLOOKUP($R302&amp;Y$2,$C$3:$F$4001,4,0)),"",VLOOKUP($R302&amp;Y$2,$C$3:$F$4001,4,0))</f>
        <v>2.53E-2</v>
      </c>
      <c r="AA302" s="106">
        <f>IF(ISNA(VLOOKUP($R302&amp;AA$2,$C$3:$F$4001,3,0)),"",VLOOKUP($R302&amp;AA$2,$C$3:$F$4001,3,0))</f>
        <v>40598</v>
      </c>
      <c r="AB302" s="107">
        <f>IF(ISNA(VLOOKUP($R302&amp;AA$2,$C$3:$F$4001,4,0)),"",VLOOKUP($R302&amp;AA$2,$C$3:$F$4001,4,0))</f>
        <v>1.3999999999999999E-2</v>
      </c>
      <c r="AC302" s="106">
        <f>IF(ISNA(VLOOKUP($R302&amp;AC$2,$C$3:$F$4001,3,0)),"",VLOOKUP($R302&amp;AC$2,$C$3:$F$4001,3,0))</f>
        <v>40816</v>
      </c>
      <c r="AD302" s="107">
        <f>IF(ISNA(VLOOKUP($R302&amp;AC$2,$C$3:$F$4001,4,0)),"",VLOOKUP($R302&amp;AC$2,$C$3:$F$4001,4,0))</f>
        <v>2.7999999999999997E-2</v>
      </c>
      <c r="AE302" s="106">
        <f>IF(ISNA(VLOOKUP($R302&amp;AE$2,$C$3:$F$4001,3,0)),"",VLOOKUP($R302&amp;AE$2,$C$3:$F$4001,3,0))</f>
        <v>40966</v>
      </c>
      <c r="AF302" s="107">
        <f>IF(ISNA(VLOOKUP($R302&amp;AE$2,$C$3:$F$4001,4,0)),"",VLOOKUP($R302&amp;AE$2,$C$3:$F$4001,4,0))</f>
        <v>1.67E-2</v>
      </c>
      <c r="AG302" s="106">
        <f>IF(ISNA(VLOOKUP($R302&amp;AG$2,$C$3:$F$4001,3,0)),"",VLOOKUP($R302&amp;AG$2,$C$3:$F$4001,3,0))</f>
        <v>41184</v>
      </c>
      <c r="AH302" s="107">
        <f>IF(ISNA(VLOOKUP($R302&amp;AG$2,$C$3:$F$4001,4,0)),"",VLOOKUP($R302&amp;AG$2,$C$3:$F$4001,4,0))</f>
        <v>3.3300000000000003E-2</v>
      </c>
      <c r="AI302" s="106">
        <f>IF(ISNA(VLOOKUP($R302&amp;AI$2,$C$3:$F$4001,3,0)),"",VLOOKUP($R302&amp;AI$2,$C$3:$F$4001,3,0))</f>
        <v>41331</v>
      </c>
      <c r="AJ302" s="107">
        <f>IF(ISNA(VLOOKUP($R302&amp;AI$2,$C$3:$F$4001,4,0)),"",VLOOKUP($R302&amp;AI$2,$C$3:$F$4001,4,0))</f>
        <v>1.84E-2</v>
      </c>
      <c r="AK302" s="106">
        <f>IF(ISNA(VLOOKUP($R302&amp;AK$2,$C$3:$F$4001,3,0)),"",VLOOKUP($R302&amp;AK$2,$C$3:$F$4001,3,0))</f>
        <v>41549</v>
      </c>
    </row>
    <row r="303" spans="3:38" x14ac:dyDescent="0.2">
      <c r="C303" s="96" t="str">
        <f t="shared" si="16"/>
        <v>BLD2</v>
      </c>
      <c r="D303" s="73" t="s">
        <v>95</v>
      </c>
      <c r="E303" s="100">
        <v>40050</v>
      </c>
      <c r="F303" s="101">
        <v>0.1</v>
      </c>
      <c r="G303" s="96">
        <f t="shared" si="17"/>
        <v>2</v>
      </c>
      <c r="I303" s="96"/>
      <c r="K303" t="str">
        <f t="shared" si="18"/>
        <v>BLD2</v>
      </c>
      <c r="L303" s="73" t="s">
        <v>95</v>
      </c>
      <c r="M303" s="72">
        <v>40050</v>
      </c>
      <c r="N303" s="84">
        <v>0.1</v>
      </c>
      <c r="O303" s="96">
        <f t="shared" si="19"/>
        <v>2</v>
      </c>
      <c r="Q303" s="96"/>
      <c r="R303" s="96" t="str">
        <f>R302</f>
        <v>PMP</v>
      </c>
      <c r="S303" s="108">
        <f>IF(ISNA(VLOOKUP($R303&amp;S$2,$K$3:$N$4001,3,0)),"",VLOOKUP($R303&amp;S$2,$K$3:$N$4001,3,0))</f>
        <v>39868</v>
      </c>
      <c r="T303" s="109">
        <f>IF(ISNA(VLOOKUP($R303&amp;S$2,$K$3:$N$4001,4,0)),"",VLOOKUP($R303&amp;S$2,$K$3:$N$4001,4,0))</f>
        <v>1.4999999999999999E-2</v>
      </c>
      <c r="U303" s="108">
        <f>IF(ISNA(VLOOKUP($R303&amp;U$2,$K$3:$N$4001,3,0)),"",VLOOKUP($R303&amp;U$2,$K$3:$N$4001,3,0))</f>
        <v>40085</v>
      </c>
      <c r="V303" s="109">
        <f>IF(ISNA(VLOOKUP($R303&amp;U$2,$K$3:$N$4001,4,0)),"",VLOOKUP($R303&amp;U$2,$K$3:$N$4001,4,0))</f>
        <v>0.03</v>
      </c>
      <c r="W303" s="108">
        <f>IF(ISNA(VLOOKUP($R303&amp;W$2,$K$3:$N$4001,3,0)),"",VLOOKUP($R303&amp;W$2,$K$3:$N$4001,3,0))</f>
        <v>40233</v>
      </c>
      <c r="X303" s="109">
        <f>IF(ISNA(VLOOKUP($R303&amp;W$2,$K$3:$N$4001,4,0)),"",VLOOKUP($R303&amp;W$2,$K$3:$N$4001,4,0))</f>
        <v>1.2699999999999999E-2</v>
      </c>
      <c r="Y303" s="108">
        <f>IF(ISNA(VLOOKUP($R303&amp;Y$2,$K$3:$N$4001,3,0)),"",VLOOKUP($R303&amp;Y$2,$K$3:$N$4001,3,0))</f>
        <v>40450</v>
      </c>
      <c r="Z303" s="109">
        <f>IF(ISNA(VLOOKUP($R303&amp;Y$2,$K$3:$N$4001,4,0)),"",VLOOKUP($R303&amp;Y$2,$K$3:$N$4001,4,0))</f>
        <v>2.53E-2</v>
      </c>
      <c r="AA303" s="108">
        <f>IF(ISNA(VLOOKUP($R303&amp;AA$2,$K$3:$N$4001,3,0)),"",VLOOKUP($R303&amp;AA$2,$K$3:$N$4001,3,0))</f>
        <v>40598</v>
      </c>
      <c r="AB303" s="109">
        <f>IF(ISNA(VLOOKUP($R303&amp;AA$2,$K$3:$N$4001,4,0)),"",VLOOKUP($R303&amp;AA$2,$K$3:$N$4001,4,0))</f>
        <v>1.3999999999999999E-2</v>
      </c>
      <c r="AC303" s="108">
        <f>IF(ISNA(VLOOKUP($R303&amp;AC$2,$K$3:$N$4001,3,0)),"",VLOOKUP($R303&amp;AC$2,$K$3:$N$4001,3,0))</f>
        <v>40816</v>
      </c>
      <c r="AD303" s="109">
        <f>IF(ISNA(VLOOKUP($R303&amp;AC$2,$K$3:$N$4001,4,0)),"",VLOOKUP($R303&amp;AC$2,$K$3:$N$4001,4,0))</f>
        <v>2.7999999999999997E-2</v>
      </c>
      <c r="AE303" s="108">
        <f>IF(ISNA(VLOOKUP($R303&amp;AE$2,$K$3:$N$4001,3,0)),"",VLOOKUP($R303&amp;AE$2,$K$3:$N$4001,3,0))</f>
        <v>40966</v>
      </c>
      <c r="AF303" s="109">
        <f>IF(ISNA(VLOOKUP($R303&amp;AE$2,$K$3:$N$4001,4,0)),"",VLOOKUP($R303&amp;AE$2,$K$3:$N$4001,4,0))</f>
        <v>1.67E-2</v>
      </c>
      <c r="AG303" s="108">
        <f>IF(ISNA(VLOOKUP($R303&amp;AG$2,$K$3:$N$4001,3,0)),"",VLOOKUP($R303&amp;AG$2,$K$3:$N$4001,3,0))</f>
        <v>41184</v>
      </c>
      <c r="AH303" s="109">
        <f>IF(ISNA(VLOOKUP($R303&amp;AG$2,$K$3:$N$4001,4,0)),"",VLOOKUP($R303&amp;AG$2,$K$3:$N$4001,4,0))</f>
        <v>3.3300000000000003E-2</v>
      </c>
      <c r="AI303" s="108">
        <f>IF(ISNA(VLOOKUP($R303&amp;AI$2,$K$3:$N$4001,3,0)),"",VLOOKUP($R303&amp;AI$2,$K$3:$N$4001,3,0))</f>
        <v>41331</v>
      </c>
      <c r="AJ303" s="109">
        <f>IF(ISNA(VLOOKUP($R303&amp;AI$2,$K$3:$N$4001,4,0)),"",VLOOKUP($R303&amp;AI$2,$K$3:$N$4001,4,0))</f>
        <v>1.84E-2</v>
      </c>
      <c r="AK303" s="108">
        <f>IF(ISNA(VLOOKUP($R303&amp;AK$2,$K$3:$N$4001,3,0)),"",VLOOKUP($R303&amp;AK$2,$K$3:$N$4001,3,0))</f>
        <v>41549</v>
      </c>
    </row>
    <row r="304" spans="3:38" x14ac:dyDescent="0.2">
      <c r="C304" s="96" t="str">
        <f t="shared" si="16"/>
        <v>BLD3</v>
      </c>
      <c r="D304" s="73" t="s">
        <v>95</v>
      </c>
      <c r="E304" s="100">
        <v>40232</v>
      </c>
      <c r="F304" s="101">
        <v>0.12</v>
      </c>
      <c r="G304" s="96">
        <f t="shared" si="17"/>
        <v>3</v>
      </c>
      <c r="I304" s="96"/>
      <c r="K304" t="str">
        <f t="shared" si="18"/>
        <v>BLD3</v>
      </c>
      <c r="L304" s="73" t="s">
        <v>95</v>
      </c>
      <c r="M304" s="72">
        <v>40232</v>
      </c>
      <c r="N304" s="84">
        <v>0.12</v>
      </c>
      <c r="O304" s="96">
        <f t="shared" si="19"/>
        <v>3</v>
      </c>
      <c r="Q304" s="96"/>
      <c r="R304" s="96" t="s">
        <v>249</v>
      </c>
      <c r="S304" s="106">
        <f>IF(ISNA(VLOOKUP($R304&amp;S$2,$C$3:$F$4001,3,0)),"",VLOOKUP($R304&amp;S$2,$C$3:$F$4001,3,0))</f>
        <v>39868</v>
      </c>
      <c r="T304" s="107">
        <f>IF(ISNA(VLOOKUP($R304&amp;S$2,$C$3:$F$4001,4,0)),"",VLOOKUP($R304&amp;S$2,$C$3:$F$4001,4,0))</f>
        <v>0.1613</v>
      </c>
      <c r="U304" s="106">
        <f>IF(ISNA(VLOOKUP($R304&amp;U$2,$C$3:$F$4001,3,0)),"",VLOOKUP($R304&amp;U$2,$C$3:$F$4001,3,0))</f>
        <v>40064</v>
      </c>
      <c r="V304" s="107">
        <f>IF(ISNA(VLOOKUP($R304&amp;U$2,$C$3:$F$4001,4,0)),"",VLOOKUP($R304&amp;U$2,$C$3:$F$4001,4,0))</f>
        <v>3.6699999999999997E-2</v>
      </c>
      <c r="W304" s="106">
        <f>IF(ISNA(VLOOKUP($R304&amp;W$2,$C$3:$F$4001,3,0)),"",VLOOKUP($R304&amp;W$2,$C$3:$F$4001,3,0))</f>
        <v>40233</v>
      </c>
      <c r="X304" s="107">
        <f>IF(ISNA(VLOOKUP($R304&amp;W$2,$C$3:$F$4001,4,0)),"",VLOOKUP($R304&amp;W$2,$C$3:$F$4001,4,0))</f>
        <v>0.2656</v>
      </c>
      <c r="Y304" s="106">
        <f>IF(ISNA(VLOOKUP($R304&amp;Y$2,$C$3:$F$4001,3,0)),"",VLOOKUP($R304&amp;Y$2,$C$3:$F$4001,3,0))</f>
        <v>40429</v>
      </c>
      <c r="Z304" s="107">
        <f>IF(ISNA(VLOOKUP($R304&amp;Y$2,$C$3:$F$4001,4,0)),"",VLOOKUP($R304&amp;Y$2,$C$3:$F$4001,4,0))</f>
        <v>6.0400000000000002E-2</v>
      </c>
      <c r="AA304" s="106">
        <f>IF(ISNA(VLOOKUP($R304&amp;AA$2,$C$3:$F$4001,3,0)),"",VLOOKUP($R304&amp;AA$2,$C$3:$F$4001,3,0))</f>
        <v>40598</v>
      </c>
      <c r="AB304" s="107">
        <f>IF(ISNA(VLOOKUP($R304&amp;AA$2,$C$3:$F$4001,4,0)),"",VLOOKUP($R304&amp;AA$2,$C$3:$F$4001,4,0))</f>
        <v>0.30309999999999998</v>
      </c>
      <c r="AC304" s="106">
        <f>IF(ISNA(VLOOKUP($R304&amp;AC$2,$C$3:$F$4001,3,0)),"",VLOOKUP($R304&amp;AC$2,$C$3:$F$4001,3,0))</f>
        <v>40794</v>
      </c>
      <c r="AD304" s="107">
        <f>IF(ISNA(VLOOKUP($R304&amp;AC$2,$C$3:$F$4001,4,0)),"",VLOOKUP($R304&amp;AC$2,$C$3:$F$4001,4,0))</f>
        <v>6.8900000000000003E-2</v>
      </c>
      <c r="AE304" s="106">
        <f>IF(ISNA(VLOOKUP($R304&amp;AE$2,$C$3:$F$4001,3,0)),"",VLOOKUP($R304&amp;AE$2,$C$3:$F$4001,3,0))</f>
        <v>40966</v>
      </c>
      <c r="AF304" s="107">
        <f>IF(ISNA(VLOOKUP($R304&amp;AE$2,$C$3:$F$4001,4,0)),"",VLOOKUP($R304&amp;AE$2,$C$3:$F$4001,4,0))</f>
        <v>0.33810000000000001</v>
      </c>
      <c r="AG304" s="106">
        <f>IF(ISNA(VLOOKUP($R304&amp;AG$2,$C$3:$F$4001,3,0)),"",VLOOKUP($R304&amp;AG$2,$C$3:$F$4001,3,0))</f>
        <v>41162</v>
      </c>
      <c r="AH304" s="107">
        <f>IF(ISNA(VLOOKUP($R304&amp;AG$2,$C$3:$F$4001,4,0)),"",VLOOKUP($R304&amp;AG$2,$C$3:$F$4001,4,0))</f>
        <v>7.690000000000001E-2</v>
      </c>
      <c r="AI304" s="106">
        <f>IF(ISNA(VLOOKUP($R304&amp;AI$2,$C$3:$F$4001,3,0)),"",VLOOKUP($R304&amp;AI$2,$C$3:$F$4001,3,0))</f>
        <v>41331</v>
      </c>
      <c r="AJ304" s="107">
        <f>IF(ISNA(VLOOKUP($R304&amp;AI$2,$C$3:$F$4001,4,0)),"",VLOOKUP($R304&amp;AI$2,$C$3:$F$4001,4,0))</f>
        <v>0.39590000000000003</v>
      </c>
      <c r="AK304" s="106">
        <f>IF(ISNA(VLOOKUP($R304&amp;AK$2,$C$3:$F$4001,3,0)),"",VLOOKUP($R304&amp;AK$2,$C$3:$F$4001,3,0))</f>
        <v>41527</v>
      </c>
    </row>
    <row r="305" spans="3:37" x14ac:dyDescent="0.2">
      <c r="C305" s="96" t="str">
        <f t="shared" si="16"/>
        <v>BLD4</v>
      </c>
      <c r="D305" s="73" t="s">
        <v>95</v>
      </c>
      <c r="E305" s="100">
        <v>40415</v>
      </c>
      <c r="F305" s="101">
        <v>0.12</v>
      </c>
      <c r="G305" s="96">
        <f t="shared" si="17"/>
        <v>4</v>
      </c>
      <c r="I305" s="96"/>
      <c r="K305" t="str">
        <f t="shared" si="18"/>
        <v>BLD4</v>
      </c>
      <c r="L305" s="73" t="s">
        <v>95</v>
      </c>
      <c r="M305" s="72">
        <v>40415</v>
      </c>
      <c r="N305" s="84">
        <v>0.12</v>
      </c>
      <c r="O305" s="96">
        <f t="shared" si="19"/>
        <v>4</v>
      </c>
      <c r="Q305" s="96"/>
      <c r="R305" s="96" t="str">
        <f>R304</f>
        <v>PRY</v>
      </c>
      <c r="S305" s="108">
        <f>IF(ISNA(VLOOKUP($R305&amp;S$2,$K$3:$N$4001,3,0)),"",VLOOKUP($R305&amp;S$2,$K$3:$N$4001,3,0))</f>
        <v>39868</v>
      </c>
      <c r="T305" s="109">
        <f>IF(ISNA(VLOOKUP($R305&amp;S$2,$K$3:$N$4001,4,0)),"",VLOOKUP($R305&amp;S$2,$K$3:$N$4001,4,0))</f>
        <v>0.1613</v>
      </c>
      <c r="U305" s="108">
        <f>IF(ISNA(VLOOKUP($R305&amp;U$2,$K$3:$N$4001,3,0)),"",VLOOKUP($R305&amp;U$2,$K$3:$N$4001,3,0))</f>
        <v>40064</v>
      </c>
      <c r="V305" s="109">
        <f>IF(ISNA(VLOOKUP($R305&amp;U$2,$K$3:$N$4001,4,0)),"",VLOOKUP($R305&amp;U$2,$K$3:$N$4001,4,0))</f>
        <v>3.6699999999999997E-2</v>
      </c>
      <c r="W305" s="108">
        <f>IF(ISNA(VLOOKUP($R305&amp;W$2,$K$3:$N$4001,3,0)),"",VLOOKUP($R305&amp;W$2,$K$3:$N$4001,3,0))</f>
        <v>40233</v>
      </c>
      <c r="X305" s="109">
        <f>IF(ISNA(VLOOKUP($R305&amp;W$2,$K$3:$N$4001,4,0)),"",VLOOKUP($R305&amp;W$2,$K$3:$N$4001,4,0))</f>
        <v>0.2656</v>
      </c>
      <c r="Y305" s="108">
        <f>IF(ISNA(VLOOKUP($R305&amp;Y$2,$K$3:$N$4001,3,0)),"",VLOOKUP($R305&amp;Y$2,$K$3:$N$4001,3,0))</f>
        <v>40429</v>
      </c>
      <c r="Z305" s="109">
        <f>IF(ISNA(VLOOKUP($R305&amp;Y$2,$K$3:$N$4001,4,0)),"",VLOOKUP($R305&amp;Y$2,$K$3:$N$4001,4,0))</f>
        <v>6.0400000000000002E-2</v>
      </c>
      <c r="AA305" s="108">
        <f>IF(ISNA(VLOOKUP($R305&amp;AA$2,$K$3:$N$4001,3,0)),"",VLOOKUP($R305&amp;AA$2,$K$3:$N$4001,3,0))</f>
        <v>40598</v>
      </c>
      <c r="AB305" s="109">
        <f>IF(ISNA(VLOOKUP($R305&amp;AA$2,$K$3:$N$4001,4,0)),"",VLOOKUP($R305&amp;AA$2,$K$3:$N$4001,4,0))</f>
        <v>0.30309999999999998</v>
      </c>
      <c r="AC305" s="108">
        <f>IF(ISNA(VLOOKUP($R305&amp;AC$2,$K$3:$N$4001,3,0)),"",VLOOKUP($R305&amp;AC$2,$K$3:$N$4001,3,0))</f>
        <v>40794</v>
      </c>
      <c r="AD305" s="109">
        <f>IF(ISNA(VLOOKUP($R305&amp;AC$2,$K$3:$N$4001,4,0)),"",VLOOKUP($R305&amp;AC$2,$K$3:$N$4001,4,0))</f>
        <v>6.8900000000000003E-2</v>
      </c>
      <c r="AE305" s="108">
        <f>IF(ISNA(VLOOKUP($R305&amp;AE$2,$K$3:$N$4001,3,0)),"",VLOOKUP($R305&amp;AE$2,$K$3:$N$4001,3,0))</f>
        <v>40966</v>
      </c>
      <c r="AF305" s="109">
        <f>IF(ISNA(VLOOKUP($R305&amp;AE$2,$K$3:$N$4001,4,0)),"",VLOOKUP($R305&amp;AE$2,$K$3:$N$4001,4,0))</f>
        <v>0.33810000000000001</v>
      </c>
      <c r="AG305" s="108">
        <f>IF(ISNA(VLOOKUP($R305&amp;AG$2,$K$3:$N$4001,3,0)),"",VLOOKUP($R305&amp;AG$2,$K$3:$N$4001,3,0))</f>
        <v>41162</v>
      </c>
      <c r="AH305" s="109">
        <f>IF(ISNA(VLOOKUP($R305&amp;AG$2,$K$3:$N$4001,4,0)),"",VLOOKUP($R305&amp;AG$2,$K$3:$N$4001,4,0))</f>
        <v>7.690000000000001E-2</v>
      </c>
      <c r="AI305" s="108">
        <f>IF(ISNA(VLOOKUP($R305&amp;AI$2,$K$3:$N$4001,3,0)),"",VLOOKUP($R305&amp;AI$2,$K$3:$N$4001,3,0))</f>
        <v>41331</v>
      </c>
      <c r="AJ305" s="109">
        <f>IF(ISNA(VLOOKUP($R305&amp;AI$2,$K$3:$N$4001,4,0)),"",VLOOKUP($R305&amp;AI$2,$K$3:$N$4001,4,0))</f>
        <v>0.39590000000000003</v>
      </c>
      <c r="AK305" s="108">
        <f>IF(ISNA(VLOOKUP($R305&amp;AK$2,$K$3:$N$4001,3,0)),"",VLOOKUP($R305&amp;AK$2,$K$3:$N$4001,3,0))</f>
        <v>41527</v>
      </c>
    </row>
    <row r="306" spans="3:37" x14ac:dyDescent="0.2">
      <c r="C306" s="96" t="str">
        <f t="shared" si="16"/>
        <v>BLD5</v>
      </c>
      <c r="D306" s="73" t="s">
        <v>95</v>
      </c>
      <c r="E306" s="100">
        <v>40597</v>
      </c>
      <c r="F306" s="101">
        <v>0.12</v>
      </c>
      <c r="G306" s="96">
        <f t="shared" si="17"/>
        <v>5</v>
      </c>
      <c r="I306" s="96"/>
      <c r="K306" t="str">
        <f t="shared" si="18"/>
        <v>BLD5</v>
      </c>
      <c r="L306" s="73" t="s">
        <v>95</v>
      </c>
      <c r="M306" s="72">
        <v>40597</v>
      </c>
      <c r="N306" s="84">
        <v>0.12</v>
      </c>
      <c r="O306" s="96">
        <f t="shared" si="19"/>
        <v>5</v>
      </c>
      <c r="Q306" s="96"/>
      <c r="R306" s="96" t="s">
        <v>197</v>
      </c>
      <c r="S306" s="106">
        <f>IF(ISNA(VLOOKUP($R306&amp;S$2,$C$3:$F$4001,3,0)),"",VLOOKUP($R306&amp;S$2,$C$3:$F$4001,3,0))</f>
        <v>39882</v>
      </c>
      <c r="T306" s="107">
        <f>IF(ISNA(VLOOKUP($R306&amp;S$2,$C$3:$F$4001,4,0)),"",VLOOKUP($R306&amp;S$2,$C$3:$F$4001,4,0))</f>
        <v>0.1</v>
      </c>
      <c r="U306" s="106">
        <f>IF(ISNA(VLOOKUP($R306&amp;U$2,$C$3:$F$4001,3,0)),"",VLOOKUP($R306&amp;U$2,$C$3:$F$4001,3,0))</f>
        <v>40056</v>
      </c>
      <c r="V306" s="107">
        <f>IF(ISNA(VLOOKUP($R306&amp;U$2,$C$3:$F$4001,4,0)),"",VLOOKUP($R306&amp;U$2,$C$3:$F$4001,4,0))</f>
        <v>0.1</v>
      </c>
      <c r="W306" s="106">
        <f>IF(ISNA(VLOOKUP($R306&amp;W$2,$C$3:$F$4001,3,0)),"",VLOOKUP($R306&amp;W$2,$C$3:$F$4001,3,0))</f>
        <v>40247</v>
      </c>
      <c r="X306" s="107">
        <f>IF(ISNA(VLOOKUP($R306&amp;W$2,$C$3:$F$4001,4,0)),"",VLOOKUP($R306&amp;W$2,$C$3:$F$4001,4,0))</f>
        <v>0.1</v>
      </c>
      <c r="Y306" s="106">
        <f>IF(ISNA(VLOOKUP($R306&amp;Y$2,$C$3:$F$4001,3,0)),"",VLOOKUP($R306&amp;Y$2,$C$3:$F$4001,3,0))</f>
        <v>40421</v>
      </c>
      <c r="Z306" s="107">
        <f>IF(ISNA(VLOOKUP($R306&amp;Y$2,$C$3:$F$4001,4,0)),"",VLOOKUP($R306&amp;Y$2,$C$3:$F$4001,4,0))</f>
        <v>0.11</v>
      </c>
      <c r="AA306" s="106">
        <f>IF(ISNA(VLOOKUP($R306&amp;AA$2,$C$3:$F$4001,3,0)),"",VLOOKUP($R306&amp;AA$2,$C$3:$F$4001,3,0))</f>
        <v>40612</v>
      </c>
      <c r="AB306" s="107">
        <f>IF(ISNA(VLOOKUP($R306&amp;AA$2,$C$3:$F$4001,4,0)),"",VLOOKUP($R306&amp;AA$2,$C$3:$F$4001,4,0))</f>
        <v>0.11</v>
      </c>
      <c r="AC306" s="106">
        <f>IF(ISNA(VLOOKUP($R306&amp;AC$2,$C$3:$F$4001,3,0)),"",VLOOKUP($R306&amp;AC$2,$C$3:$F$4001,3,0))</f>
        <v>40786</v>
      </c>
      <c r="AD306" s="107">
        <f>IF(ISNA(VLOOKUP($R306&amp;AC$2,$C$3:$F$4001,4,0)),"",VLOOKUP($R306&amp;AC$2,$C$3:$F$4001,4,0))</f>
        <v>0.11</v>
      </c>
      <c r="AE306" s="106">
        <f>IF(ISNA(VLOOKUP($R306&amp;AE$2,$C$3:$F$4001,3,0)),"",VLOOKUP($R306&amp;AE$2,$C$3:$F$4001,3,0))</f>
        <v>40980</v>
      </c>
      <c r="AF306" s="107">
        <f>IF(ISNA(VLOOKUP($R306&amp;AE$2,$C$3:$F$4001,4,0)),"",VLOOKUP($R306&amp;AE$2,$C$3:$F$4001,4,0))</f>
        <v>0.12</v>
      </c>
      <c r="AG306" s="106">
        <f>IF(ISNA(VLOOKUP($R306&amp;AG$2,$C$3:$F$4001,3,0)),"",VLOOKUP($R306&amp;AG$2,$C$3:$F$4001,3,0))</f>
        <v>41152</v>
      </c>
      <c r="AH306" s="107">
        <f>IF(ISNA(VLOOKUP($R306&amp;AG$2,$C$3:$F$4001,4,0)),"",VLOOKUP($R306&amp;AG$2,$C$3:$F$4001,4,0))</f>
        <v>0.12</v>
      </c>
      <c r="AI306" s="106">
        <f>IF(ISNA(VLOOKUP($R306&amp;AI$2,$C$3:$F$4001,3,0)),"",VLOOKUP($R306&amp;AI$2,$C$3:$F$4001,3,0))</f>
        <v>41345</v>
      </c>
      <c r="AJ306" s="107">
        <f>IF(ISNA(VLOOKUP($R306&amp;AI$2,$C$3:$F$4001,4,0)),"",VLOOKUP($R306&amp;AI$2,$C$3:$F$4001,4,0))</f>
        <v>0.13350000000000001</v>
      </c>
      <c r="AK306" s="106">
        <f>IF(ISNA(VLOOKUP($R306&amp;AK$2,$C$3:$F$4001,3,0)),"",VLOOKUP($R306&amp;AK$2,$C$3:$F$4001,3,0))</f>
        <v>41519</v>
      </c>
    </row>
    <row r="307" spans="3:37" x14ac:dyDescent="0.2">
      <c r="C307" s="96" t="str">
        <f t="shared" si="16"/>
        <v>BLD6</v>
      </c>
      <c r="D307" s="73" t="s">
        <v>95</v>
      </c>
      <c r="E307" s="100">
        <v>40780</v>
      </c>
      <c r="F307" s="101">
        <v>0.12</v>
      </c>
      <c r="G307" s="96">
        <f t="shared" si="17"/>
        <v>6</v>
      </c>
      <c r="I307" s="96"/>
      <c r="K307" t="str">
        <f t="shared" si="18"/>
        <v>BLD6</v>
      </c>
      <c r="L307" s="73" t="s">
        <v>95</v>
      </c>
      <c r="M307" s="72">
        <v>40780</v>
      </c>
      <c r="N307" s="84">
        <v>0.12</v>
      </c>
      <c r="O307" s="96">
        <f t="shared" si="19"/>
        <v>6</v>
      </c>
      <c r="Q307" s="96"/>
      <c r="R307" s="96" t="str">
        <f>R306</f>
        <v>QAN</v>
      </c>
      <c r="S307" s="108">
        <f>IF(ISNA(VLOOKUP($R307&amp;S$2,$K$3:$N$4001,3,0)),"",VLOOKUP($R307&amp;S$2,$K$3:$N$4001,3,0))</f>
        <v>39882</v>
      </c>
      <c r="T307" s="109">
        <f>IF(ISNA(VLOOKUP($R307&amp;S$2,$K$3:$N$4001,4,0)),"",VLOOKUP($R307&amp;S$2,$K$3:$N$4001,4,0))</f>
        <v>0.1</v>
      </c>
      <c r="U307" s="108">
        <f>IF(ISNA(VLOOKUP($R307&amp;U$2,$K$3:$N$4001,3,0)),"",VLOOKUP($R307&amp;U$2,$K$3:$N$4001,3,0))</f>
        <v>40056</v>
      </c>
      <c r="V307" s="109">
        <f>IF(ISNA(VLOOKUP($R307&amp;U$2,$K$3:$N$4001,4,0)),"",VLOOKUP($R307&amp;U$2,$K$3:$N$4001,4,0))</f>
        <v>0.1</v>
      </c>
      <c r="W307" s="108">
        <f>IF(ISNA(VLOOKUP($R307&amp;W$2,$K$3:$N$4001,3,0)),"",VLOOKUP($R307&amp;W$2,$K$3:$N$4001,3,0))</f>
        <v>40247</v>
      </c>
      <c r="X307" s="109">
        <f>IF(ISNA(VLOOKUP($R307&amp;W$2,$K$3:$N$4001,4,0)),"",VLOOKUP($R307&amp;W$2,$K$3:$N$4001,4,0))</f>
        <v>0.1</v>
      </c>
      <c r="Y307" s="108">
        <f>IF(ISNA(VLOOKUP($R307&amp;Y$2,$K$3:$N$4001,3,0)),"",VLOOKUP($R307&amp;Y$2,$K$3:$N$4001,3,0))</f>
        <v>40421</v>
      </c>
      <c r="Z307" s="109">
        <f>IF(ISNA(VLOOKUP($R307&amp;Y$2,$K$3:$N$4001,4,0)),"",VLOOKUP($R307&amp;Y$2,$K$3:$N$4001,4,0))</f>
        <v>0.11</v>
      </c>
      <c r="AA307" s="108">
        <f>IF(ISNA(VLOOKUP($R307&amp;AA$2,$K$3:$N$4001,3,0)),"",VLOOKUP($R307&amp;AA$2,$K$3:$N$4001,3,0))</f>
        <v>40612</v>
      </c>
      <c r="AB307" s="109">
        <f>IF(ISNA(VLOOKUP($R307&amp;AA$2,$K$3:$N$4001,4,0)),"",VLOOKUP($R307&amp;AA$2,$K$3:$N$4001,4,0))</f>
        <v>0.11</v>
      </c>
      <c r="AC307" s="108">
        <f>IF(ISNA(VLOOKUP($R307&amp;AC$2,$K$3:$N$4001,3,0)),"",VLOOKUP($R307&amp;AC$2,$K$3:$N$4001,3,0))</f>
        <v>40786</v>
      </c>
      <c r="AD307" s="109">
        <f>IF(ISNA(VLOOKUP($R307&amp;AC$2,$K$3:$N$4001,4,0)),"",VLOOKUP($R307&amp;AC$2,$K$3:$N$4001,4,0))</f>
        <v>0.11</v>
      </c>
      <c r="AE307" s="108">
        <f>IF(ISNA(VLOOKUP($R307&amp;AE$2,$K$3:$N$4001,3,0)),"",VLOOKUP($R307&amp;AE$2,$K$3:$N$4001,3,0))</f>
        <v>40980</v>
      </c>
      <c r="AF307" s="109">
        <f>IF(ISNA(VLOOKUP($R307&amp;AE$2,$K$3:$N$4001,4,0)),"",VLOOKUP($R307&amp;AE$2,$K$3:$N$4001,4,0))</f>
        <v>0.12</v>
      </c>
      <c r="AG307" s="108">
        <f>IF(ISNA(VLOOKUP($R307&amp;AG$2,$K$3:$N$4001,3,0)),"",VLOOKUP($R307&amp;AG$2,$K$3:$N$4001,3,0))</f>
        <v>41152</v>
      </c>
      <c r="AH307" s="109">
        <f>IF(ISNA(VLOOKUP($R307&amp;AG$2,$K$3:$N$4001,4,0)),"",VLOOKUP($R307&amp;AG$2,$K$3:$N$4001,4,0))</f>
        <v>0.12</v>
      </c>
      <c r="AI307" s="108">
        <f>IF(ISNA(VLOOKUP($R307&amp;AI$2,$K$3:$N$4001,3,0)),"",VLOOKUP($R307&amp;AI$2,$K$3:$N$4001,3,0))</f>
        <v>41345</v>
      </c>
      <c r="AJ307" s="109">
        <f>IF(ISNA(VLOOKUP($R307&amp;AI$2,$K$3:$N$4001,4,0)),"",VLOOKUP($R307&amp;AI$2,$K$3:$N$4001,4,0))</f>
        <v>0.13350000000000001</v>
      </c>
      <c r="AK307" s="108">
        <f>IF(ISNA(VLOOKUP($R307&amp;AK$2,$K$3:$N$4001,3,0)),"",VLOOKUP($R307&amp;AK$2,$K$3:$N$4001,3,0))</f>
        <v>41519</v>
      </c>
    </row>
    <row r="308" spans="3:37" x14ac:dyDescent="0.2">
      <c r="C308" s="96" t="str">
        <f t="shared" si="16"/>
        <v>BLD7</v>
      </c>
      <c r="D308" s="73" t="s">
        <v>95</v>
      </c>
      <c r="E308" s="100">
        <v>40963</v>
      </c>
      <c r="F308" s="101">
        <v>0.15</v>
      </c>
      <c r="G308" s="96">
        <f t="shared" si="17"/>
        <v>7</v>
      </c>
      <c r="I308" s="96"/>
      <c r="K308" t="str">
        <f t="shared" si="18"/>
        <v>BLD7</v>
      </c>
      <c r="L308" s="73" t="s">
        <v>95</v>
      </c>
      <c r="M308" s="72">
        <v>40963</v>
      </c>
      <c r="N308" s="84">
        <v>0.15</v>
      </c>
      <c r="O308" s="96">
        <f t="shared" si="19"/>
        <v>7</v>
      </c>
      <c r="Q308" s="96"/>
      <c r="R308" s="96" t="s">
        <v>198</v>
      </c>
      <c r="S308" s="106">
        <f>IF(ISNA(VLOOKUP($R308&amp;S$2,$C$3:$F$4001,3,0)),"",VLOOKUP($R308&amp;S$2,$C$3:$F$4001,3,0))</f>
        <v>39876</v>
      </c>
      <c r="T308" s="107">
        <f>IF(ISNA(VLOOKUP($R308&amp;S$2,$C$3:$F$4001,4,0)),"",VLOOKUP($R308&amp;S$2,$C$3:$F$4001,4,0))</f>
        <v>0.61</v>
      </c>
      <c r="U308" s="106">
        <f>IF(ISNA(VLOOKUP($R308&amp;U$2,$C$3:$F$4001,3,0)),"",VLOOKUP($R308&amp;U$2,$C$3:$F$4001,3,0))</f>
        <v>40051</v>
      </c>
      <c r="V308" s="107">
        <f>IF(ISNA(VLOOKUP($R308&amp;U$2,$C$3:$F$4001,4,0)),"",VLOOKUP($R308&amp;U$2,$C$3:$F$4001,4,0))</f>
        <v>0.61</v>
      </c>
      <c r="W308" s="106">
        <f>IF(ISNA(VLOOKUP($R308&amp;W$2,$C$3:$F$4001,3,0)),"",VLOOKUP($R308&amp;W$2,$C$3:$F$4001,3,0))</f>
        <v>40242</v>
      </c>
      <c r="X308" s="107">
        <f>IF(ISNA(VLOOKUP($R308&amp;W$2,$C$3:$F$4001,4,0)),"",VLOOKUP($R308&amp;W$2,$C$3:$F$4001,4,0))</f>
        <v>0.61</v>
      </c>
      <c r="Y308" s="106">
        <f>IF(ISNA(VLOOKUP($R308&amp;Y$2,$C$3:$F$4001,3,0)),"",VLOOKUP($R308&amp;Y$2,$C$3:$F$4001,3,0))</f>
        <v>40416</v>
      </c>
      <c r="Z308" s="107">
        <f>IF(ISNA(VLOOKUP($R308&amp;Y$2,$C$3:$F$4001,4,0)),"",VLOOKUP($R308&amp;Y$2,$C$3:$F$4001,4,0))</f>
        <v>0.61</v>
      </c>
      <c r="AA308" s="106">
        <f>IF(ISNA(VLOOKUP($R308&amp;AA$2,$C$3:$F$4001,3,0)),"",VLOOKUP($R308&amp;AA$2,$C$3:$F$4001,3,0))</f>
        <v>40609</v>
      </c>
      <c r="AB308" s="107">
        <f>IF(ISNA(VLOOKUP($R308&amp;AA$2,$C$3:$F$4001,4,0)),"",VLOOKUP($R308&amp;AA$2,$C$3:$F$4001,4,0))</f>
        <v>0.64</v>
      </c>
      <c r="AC308" s="106">
        <f>IF(ISNA(VLOOKUP($R308&amp;AC$2,$C$3:$F$4001,3,0)),"",VLOOKUP($R308&amp;AC$2,$C$3:$F$4001,3,0))</f>
        <v>40781</v>
      </c>
      <c r="AD308" s="107">
        <f>IF(ISNA(VLOOKUP($R308&amp;AC$2,$C$3:$F$4001,4,0)),"",VLOOKUP($R308&amp;AC$2,$C$3:$F$4001,4,0))</f>
        <v>0.64</v>
      </c>
      <c r="AE308" s="106">
        <f>IF(ISNA(VLOOKUP($R308&amp;AE$2,$C$3:$F$4001,3,0)),"",VLOOKUP($R308&amp;AE$2,$C$3:$F$4001,3,0))</f>
        <v>40974</v>
      </c>
      <c r="AF308" s="107">
        <f>IF(ISNA(VLOOKUP($R308&amp;AE$2,$C$3:$F$4001,4,0)),"",VLOOKUP($R308&amp;AE$2,$C$3:$F$4001,4,0))</f>
        <v>0.67</v>
      </c>
      <c r="AG308" s="106">
        <f>IF(ISNA(VLOOKUP($R308&amp;AG$2,$C$3:$F$4001,3,0)),"",VLOOKUP($R308&amp;AG$2,$C$3:$F$4001,3,0))</f>
        <v>41149</v>
      </c>
      <c r="AH308" s="107">
        <f>IF(ISNA(VLOOKUP($R308&amp;AG$2,$C$3:$F$4001,4,0)),"",VLOOKUP($R308&amp;AG$2,$C$3:$F$4001,4,0))</f>
        <v>0.67</v>
      </c>
      <c r="AI308" s="106">
        <f>IF(ISNA(VLOOKUP($R308&amp;AI$2,$C$3:$F$4001,3,0)),"",VLOOKUP($R308&amp;AI$2,$C$3:$F$4001,3,0))</f>
        <v>41339</v>
      </c>
      <c r="AJ308" s="107">
        <f>IF(ISNA(VLOOKUP($R308&amp;AI$2,$C$3:$F$4001,4,0)),"",VLOOKUP($R308&amp;AI$2,$C$3:$F$4001,4,0))</f>
        <v>0.71</v>
      </c>
      <c r="AK308" s="106" t="str">
        <f>IF(ISNA(VLOOKUP($R308&amp;AK$2,$C$3:$F$4001,3,0)),"",VLOOKUP($R308&amp;AK$2,$C$3:$F$4001,3,0))</f>
        <v/>
      </c>
    </row>
    <row r="309" spans="3:37" x14ac:dyDescent="0.2">
      <c r="C309" s="96" t="str">
        <f t="shared" si="16"/>
        <v>BLD8</v>
      </c>
      <c r="D309" s="73" t="s">
        <v>95</v>
      </c>
      <c r="E309" s="100">
        <v>41148</v>
      </c>
      <c r="F309" s="101">
        <v>0.15</v>
      </c>
      <c r="G309" s="96">
        <f t="shared" si="17"/>
        <v>8</v>
      </c>
      <c r="I309" s="96"/>
      <c r="K309" t="str">
        <f t="shared" si="18"/>
        <v>BLD8</v>
      </c>
      <c r="L309" s="73" t="s">
        <v>95</v>
      </c>
      <c r="M309" s="72">
        <v>41148</v>
      </c>
      <c r="N309" s="84">
        <v>0.15</v>
      </c>
      <c r="O309" s="96">
        <f t="shared" si="19"/>
        <v>8</v>
      </c>
      <c r="Q309" s="96"/>
      <c r="R309" s="96" t="str">
        <f>R308</f>
        <v>QBE</v>
      </c>
      <c r="S309" s="108">
        <f>IF(ISNA(VLOOKUP($R309&amp;S$2,$K$3:$N$4001,3,0)),"",VLOOKUP($R309&amp;S$2,$K$3:$N$4001,3,0))</f>
        <v>39876</v>
      </c>
      <c r="T309" s="109">
        <f>IF(ISNA(VLOOKUP($R309&amp;S$2,$K$3:$N$4001,4,0)),"",VLOOKUP($R309&amp;S$2,$K$3:$N$4001,4,0))</f>
        <v>0.61</v>
      </c>
      <c r="U309" s="108">
        <f>IF(ISNA(VLOOKUP($R309&amp;U$2,$K$3:$N$4001,3,0)),"",VLOOKUP($R309&amp;U$2,$K$3:$N$4001,3,0))</f>
        <v>40051</v>
      </c>
      <c r="V309" s="109">
        <f>IF(ISNA(VLOOKUP($R309&amp;U$2,$K$3:$N$4001,4,0)),"",VLOOKUP($R309&amp;U$2,$K$3:$N$4001,4,0))</f>
        <v>0.61</v>
      </c>
      <c r="W309" s="108">
        <f>IF(ISNA(VLOOKUP($R309&amp;W$2,$K$3:$N$4001,3,0)),"",VLOOKUP($R309&amp;W$2,$K$3:$N$4001,3,0))</f>
        <v>40242</v>
      </c>
      <c r="X309" s="109">
        <f>IF(ISNA(VLOOKUP($R309&amp;W$2,$K$3:$N$4001,4,0)),"",VLOOKUP($R309&amp;W$2,$K$3:$N$4001,4,0))</f>
        <v>0.61</v>
      </c>
      <c r="Y309" s="108">
        <f>IF(ISNA(VLOOKUP($R309&amp;Y$2,$K$3:$N$4001,3,0)),"",VLOOKUP($R309&amp;Y$2,$K$3:$N$4001,3,0))</f>
        <v>40416</v>
      </c>
      <c r="Z309" s="109">
        <f>IF(ISNA(VLOOKUP($R309&amp;Y$2,$K$3:$N$4001,4,0)),"",VLOOKUP($R309&amp;Y$2,$K$3:$N$4001,4,0))</f>
        <v>0.61</v>
      </c>
      <c r="AA309" s="108">
        <f>IF(ISNA(VLOOKUP($R309&amp;AA$2,$K$3:$N$4001,3,0)),"",VLOOKUP($R309&amp;AA$2,$K$3:$N$4001,3,0))</f>
        <v>40609</v>
      </c>
      <c r="AB309" s="109">
        <f>IF(ISNA(VLOOKUP($R309&amp;AA$2,$K$3:$N$4001,4,0)),"",VLOOKUP($R309&amp;AA$2,$K$3:$N$4001,4,0))</f>
        <v>0.64</v>
      </c>
      <c r="AC309" s="108">
        <f>IF(ISNA(VLOOKUP($R309&amp;AC$2,$K$3:$N$4001,3,0)),"",VLOOKUP($R309&amp;AC$2,$K$3:$N$4001,3,0))</f>
        <v>40781</v>
      </c>
      <c r="AD309" s="109">
        <f>IF(ISNA(VLOOKUP($R309&amp;AC$2,$K$3:$N$4001,4,0)),"",VLOOKUP($R309&amp;AC$2,$K$3:$N$4001,4,0))</f>
        <v>0.64</v>
      </c>
      <c r="AE309" s="108">
        <f>IF(ISNA(VLOOKUP($R309&amp;AE$2,$K$3:$N$4001,3,0)),"",VLOOKUP($R309&amp;AE$2,$K$3:$N$4001,3,0))</f>
        <v>40974</v>
      </c>
      <c r="AF309" s="109">
        <f>IF(ISNA(VLOOKUP($R309&amp;AE$2,$K$3:$N$4001,4,0)),"",VLOOKUP($R309&amp;AE$2,$K$3:$N$4001,4,0))</f>
        <v>0.67</v>
      </c>
      <c r="AG309" s="108">
        <f>IF(ISNA(VLOOKUP($R309&amp;AG$2,$K$3:$N$4001,3,0)),"",VLOOKUP($R309&amp;AG$2,$K$3:$N$4001,3,0))</f>
        <v>41149</v>
      </c>
      <c r="AH309" s="109">
        <f>IF(ISNA(VLOOKUP($R309&amp;AG$2,$K$3:$N$4001,4,0)),"",VLOOKUP($R309&amp;AG$2,$K$3:$N$4001,4,0))</f>
        <v>0.67</v>
      </c>
      <c r="AI309" s="108">
        <f>IF(ISNA(VLOOKUP($R309&amp;AI$2,$K$3:$N$4001,3,0)),"",VLOOKUP($R309&amp;AI$2,$K$3:$N$4001,3,0))</f>
        <v>41339</v>
      </c>
      <c r="AJ309" s="109">
        <f>IF(ISNA(VLOOKUP($R309&amp;AI$2,$K$3:$N$4001,4,0)),"",VLOOKUP($R309&amp;AI$2,$K$3:$N$4001,4,0))</f>
        <v>0.71</v>
      </c>
      <c r="AK309" s="108" t="str">
        <f>IF(ISNA(VLOOKUP($R309&amp;AK$2,$K$3:$N$4001,3,0)),"",VLOOKUP($R309&amp;AK$2,$K$3:$N$4001,3,0))</f>
        <v/>
      </c>
    </row>
    <row r="310" spans="3:37" x14ac:dyDescent="0.2">
      <c r="C310" s="96" t="str">
        <f t="shared" si="16"/>
        <v>BLD9</v>
      </c>
      <c r="D310" s="73" t="s">
        <v>95</v>
      </c>
      <c r="E310" s="100">
        <v>41330</v>
      </c>
      <c r="F310" s="101">
        <v>0.17</v>
      </c>
      <c r="G310" s="96">
        <f t="shared" si="17"/>
        <v>9</v>
      </c>
      <c r="I310" s="96"/>
      <c r="K310" t="str">
        <f t="shared" si="18"/>
        <v>BLD9</v>
      </c>
      <c r="L310" s="73" t="s">
        <v>95</v>
      </c>
      <c r="M310" s="72">
        <v>41330</v>
      </c>
      <c r="N310" s="84">
        <v>0.17</v>
      </c>
      <c r="O310" s="96">
        <f t="shared" si="19"/>
        <v>9</v>
      </c>
      <c r="Q310" s="96"/>
      <c r="R310" s="96" t="s">
        <v>278</v>
      </c>
      <c r="S310" s="106" t="str">
        <f>IF(ISNA(VLOOKUP($R310&amp;S$2,$C$3:$F$4001,3,0)),"",VLOOKUP($R310&amp;S$2,$C$3:$F$4001,3,0))</f>
        <v/>
      </c>
      <c r="T310" s="107" t="str">
        <f>IF(ISNA(VLOOKUP($R310&amp;S$2,$C$3:$F$4001,4,0)),"",VLOOKUP($R310&amp;S$2,$C$3:$F$4001,4,0))</f>
        <v/>
      </c>
      <c r="U310" s="106" t="str">
        <f>IF(ISNA(VLOOKUP($R310&amp;U$2,$C$3:$F$4001,3,0)),"",VLOOKUP($R310&amp;U$2,$C$3:$F$4001,3,0))</f>
        <v/>
      </c>
      <c r="V310" s="107" t="str">
        <f>IF(ISNA(VLOOKUP($R310&amp;U$2,$C$3:$F$4001,4,0)),"",VLOOKUP($R310&amp;U$2,$C$3:$F$4001,4,0))</f>
        <v/>
      </c>
      <c r="W310" s="106" t="str">
        <f>IF(ISNA(VLOOKUP($R310&amp;W$2,$C$3:$F$4001,3,0)),"",VLOOKUP($R310&amp;W$2,$C$3:$F$4001,3,0))</f>
        <v/>
      </c>
      <c r="X310" s="107" t="str">
        <f>IF(ISNA(VLOOKUP($R310&amp;W$2,$C$3:$F$4001,4,0)),"",VLOOKUP($R310&amp;W$2,$C$3:$F$4001,4,0))</f>
        <v/>
      </c>
      <c r="Y310" s="106" t="str">
        <f>IF(ISNA(VLOOKUP($R310&amp;Y$2,$C$3:$F$4001,3,0)),"",VLOOKUP($R310&amp;Y$2,$C$3:$F$4001,3,0))</f>
        <v/>
      </c>
      <c r="Z310" s="107" t="str">
        <f>IF(ISNA(VLOOKUP($R310&amp;Y$2,$C$3:$F$4001,4,0)),"",VLOOKUP($R310&amp;Y$2,$C$3:$F$4001,4,0))</f>
        <v/>
      </c>
      <c r="AA310" s="106" t="str">
        <f>IF(ISNA(VLOOKUP($R310&amp;AA$2,$C$3:$F$4001,3,0)),"",VLOOKUP($R310&amp;AA$2,$C$3:$F$4001,3,0))</f>
        <v/>
      </c>
      <c r="AB310" s="107" t="str">
        <f>IF(ISNA(VLOOKUP($R310&amp;AA$2,$C$3:$F$4001,4,0)),"",VLOOKUP($R310&amp;AA$2,$C$3:$F$4001,4,0))</f>
        <v/>
      </c>
      <c r="AC310" s="106" t="str">
        <f>IF(ISNA(VLOOKUP($R310&amp;AC$2,$C$3:$F$4001,3,0)),"",VLOOKUP($R310&amp;AC$2,$C$3:$F$4001,3,0))</f>
        <v/>
      </c>
      <c r="AD310" s="107" t="str">
        <f>IF(ISNA(VLOOKUP($R310&amp;AC$2,$C$3:$F$4001,4,0)),"",VLOOKUP($R310&amp;AC$2,$C$3:$F$4001,4,0))</f>
        <v/>
      </c>
      <c r="AE310" s="106" t="str">
        <f>IF(ISNA(VLOOKUP($R310&amp;AE$2,$C$3:$F$4001,3,0)),"",VLOOKUP($R310&amp;AE$2,$C$3:$F$4001,3,0))</f>
        <v/>
      </c>
      <c r="AF310" s="107" t="str">
        <f>IF(ISNA(VLOOKUP($R310&amp;AE$2,$C$3:$F$4001,4,0)),"",VLOOKUP($R310&amp;AE$2,$C$3:$F$4001,4,0))</f>
        <v/>
      </c>
      <c r="AG310" s="106" t="str">
        <f>IF(ISNA(VLOOKUP($R310&amp;AG$2,$C$3:$F$4001,3,0)),"",VLOOKUP($R310&amp;AG$2,$C$3:$F$4001,3,0))</f>
        <v/>
      </c>
      <c r="AH310" s="107" t="str">
        <f>IF(ISNA(VLOOKUP($R310&amp;AG$2,$C$3:$F$4001,4,0)),"",VLOOKUP($R310&amp;AG$2,$C$3:$F$4001,4,0))</f>
        <v/>
      </c>
      <c r="AI310" s="106" t="str">
        <f>IF(ISNA(VLOOKUP($R310&amp;AI$2,$C$3:$F$4001,3,0)),"",VLOOKUP($R310&amp;AI$2,$C$3:$F$4001,3,0))</f>
        <v/>
      </c>
      <c r="AJ310" s="107" t="str">
        <f>IF(ISNA(VLOOKUP($R310&amp;AI$2,$C$3:$F$4001,4,0)),"",VLOOKUP($R310&amp;AI$2,$C$3:$F$4001,4,0))</f>
        <v/>
      </c>
      <c r="AK310" s="106" t="str">
        <f>IF(ISNA(VLOOKUP($R310&amp;AK$2,$C$3:$F$4001,3,0)),"",VLOOKUP($R310&amp;AK$2,$C$3:$F$4001,3,0))</f>
        <v/>
      </c>
    </row>
    <row r="311" spans="3:37" x14ac:dyDescent="0.2">
      <c r="C311" s="96" t="str">
        <f t="shared" si="16"/>
        <v>BLD10</v>
      </c>
      <c r="D311" s="73" t="s">
        <v>95</v>
      </c>
      <c r="E311" s="100">
        <v>41513</v>
      </c>
      <c r="F311" s="101">
        <v>0.17</v>
      </c>
      <c r="G311" s="96">
        <f t="shared" si="17"/>
        <v>10</v>
      </c>
      <c r="I311" s="96"/>
      <c r="K311" t="str">
        <f t="shared" si="18"/>
        <v>BLD10</v>
      </c>
      <c r="L311" s="73" t="s">
        <v>95</v>
      </c>
      <c r="M311" s="72">
        <v>41513</v>
      </c>
      <c r="N311" s="84">
        <v>0.17</v>
      </c>
      <c r="O311" s="96">
        <f t="shared" si="19"/>
        <v>10</v>
      </c>
      <c r="Q311" s="96"/>
      <c r="R311" s="96" t="str">
        <f>R310</f>
        <v>QGC</v>
      </c>
      <c r="S311" s="108" t="str">
        <f>IF(ISNA(VLOOKUP($R311&amp;S$2,$K$3:$N$4001,3,0)),"",VLOOKUP($R311&amp;S$2,$K$3:$N$4001,3,0))</f>
        <v/>
      </c>
      <c r="T311" s="109" t="str">
        <f>IF(ISNA(VLOOKUP($R311&amp;S$2,$K$3:$N$4001,4,0)),"",VLOOKUP($R311&amp;S$2,$K$3:$N$4001,4,0))</f>
        <v/>
      </c>
      <c r="U311" s="108" t="str">
        <f>IF(ISNA(VLOOKUP($R311&amp;U$2,$K$3:$N$4001,3,0)),"",VLOOKUP($R311&amp;U$2,$K$3:$N$4001,3,0))</f>
        <v/>
      </c>
      <c r="V311" s="109" t="str">
        <f>IF(ISNA(VLOOKUP($R311&amp;U$2,$K$3:$N$4001,4,0)),"",VLOOKUP($R311&amp;U$2,$K$3:$N$4001,4,0))</f>
        <v/>
      </c>
      <c r="W311" s="108" t="str">
        <f>IF(ISNA(VLOOKUP($R311&amp;W$2,$K$3:$N$4001,3,0)),"",VLOOKUP($R311&amp;W$2,$K$3:$N$4001,3,0))</f>
        <v/>
      </c>
      <c r="X311" s="109" t="str">
        <f>IF(ISNA(VLOOKUP($R311&amp;W$2,$K$3:$N$4001,4,0)),"",VLOOKUP($R311&amp;W$2,$K$3:$N$4001,4,0))</f>
        <v/>
      </c>
      <c r="Y311" s="108" t="str">
        <f>IF(ISNA(VLOOKUP($R311&amp;Y$2,$K$3:$N$4001,3,0)),"",VLOOKUP($R311&amp;Y$2,$K$3:$N$4001,3,0))</f>
        <v/>
      </c>
      <c r="Z311" s="109" t="str">
        <f>IF(ISNA(VLOOKUP($R311&amp;Y$2,$K$3:$N$4001,4,0)),"",VLOOKUP($R311&amp;Y$2,$K$3:$N$4001,4,0))</f>
        <v/>
      </c>
      <c r="AA311" s="108" t="str">
        <f>IF(ISNA(VLOOKUP($R311&amp;AA$2,$K$3:$N$4001,3,0)),"",VLOOKUP($R311&amp;AA$2,$K$3:$N$4001,3,0))</f>
        <v/>
      </c>
      <c r="AB311" s="109" t="str">
        <f>IF(ISNA(VLOOKUP($R311&amp;AA$2,$K$3:$N$4001,4,0)),"",VLOOKUP($R311&amp;AA$2,$K$3:$N$4001,4,0))</f>
        <v/>
      </c>
      <c r="AC311" s="108" t="str">
        <f>IF(ISNA(VLOOKUP($R311&amp;AC$2,$K$3:$N$4001,3,0)),"",VLOOKUP($R311&amp;AC$2,$K$3:$N$4001,3,0))</f>
        <v/>
      </c>
      <c r="AD311" s="109" t="str">
        <f>IF(ISNA(VLOOKUP($R311&amp;AC$2,$K$3:$N$4001,4,0)),"",VLOOKUP($R311&amp;AC$2,$K$3:$N$4001,4,0))</f>
        <v/>
      </c>
      <c r="AE311" s="108" t="str">
        <f>IF(ISNA(VLOOKUP($R311&amp;AE$2,$K$3:$N$4001,3,0)),"",VLOOKUP($R311&amp;AE$2,$K$3:$N$4001,3,0))</f>
        <v/>
      </c>
      <c r="AF311" s="109" t="str">
        <f>IF(ISNA(VLOOKUP($R311&amp;AE$2,$K$3:$N$4001,4,0)),"",VLOOKUP($R311&amp;AE$2,$K$3:$N$4001,4,0))</f>
        <v/>
      </c>
      <c r="AG311" s="108" t="str">
        <f>IF(ISNA(VLOOKUP($R311&amp;AG$2,$K$3:$N$4001,3,0)),"",VLOOKUP($R311&amp;AG$2,$K$3:$N$4001,3,0))</f>
        <v/>
      </c>
      <c r="AH311" s="109" t="str">
        <f>IF(ISNA(VLOOKUP($R311&amp;AG$2,$K$3:$N$4001,4,0)),"",VLOOKUP($R311&amp;AG$2,$K$3:$N$4001,4,0))</f>
        <v/>
      </c>
      <c r="AI311" s="108" t="str">
        <f>IF(ISNA(VLOOKUP($R311&amp;AI$2,$K$3:$N$4001,3,0)),"",VLOOKUP($R311&amp;AI$2,$K$3:$N$4001,3,0))</f>
        <v/>
      </c>
      <c r="AJ311" s="109" t="str">
        <f>IF(ISNA(VLOOKUP($R311&amp;AI$2,$K$3:$N$4001,4,0)),"",VLOOKUP($R311&amp;AI$2,$K$3:$N$4001,4,0))</f>
        <v/>
      </c>
      <c r="AK311" s="108" t="str">
        <f>IF(ISNA(VLOOKUP($R311&amp;AK$2,$K$3:$N$4001,3,0)),"",VLOOKUP($R311&amp;AK$2,$K$3:$N$4001,3,0))</f>
        <v/>
      </c>
    </row>
    <row r="312" spans="3:37" x14ac:dyDescent="0.2">
      <c r="C312" s="96" t="str">
        <f t="shared" si="16"/>
        <v>BLY1</v>
      </c>
      <c r="D312" s="73" t="s">
        <v>96</v>
      </c>
      <c r="E312" s="100">
        <v>39888</v>
      </c>
      <c r="F312" s="101">
        <v>1.4999999999999999E-2</v>
      </c>
      <c r="G312" s="96">
        <f t="shared" si="17"/>
        <v>1</v>
      </c>
      <c r="I312" s="96"/>
      <c r="K312" t="str">
        <f t="shared" si="18"/>
        <v>BLY1</v>
      </c>
      <c r="L312" s="73" t="s">
        <v>96</v>
      </c>
      <c r="M312" s="72">
        <v>39888</v>
      </c>
      <c r="N312" s="84">
        <v>1.4999999999999999E-2</v>
      </c>
      <c r="O312" s="96">
        <f t="shared" si="19"/>
        <v>1</v>
      </c>
      <c r="Q312" s="96"/>
      <c r="R312" s="96" t="s">
        <v>199</v>
      </c>
      <c r="S312" s="106">
        <f>IF(ISNA(VLOOKUP($R312&amp;S$2,$C$3:$F$4001,3,0)),"",VLOOKUP($R312&amp;S$2,$C$3:$F$4001,3,0))</f>
        <v>39897</v>
      </c>
      <c r="T312" s="107">
        <f>IF(ISNA(VLOOKUP($R312&amp;S$2,$C$3:$F$4001,4,0)),"",VLOOKUP($R312&amp;S$2,$C$3:$F$4001,4,0))</f>
        <v>0.17499999999999999</v>
      </c>
      <c r="U312" s="106">
        <f>IF(ISNA(VLOOKUP($R312&amp;U$2,$C$3:$F$4001,3,0)),"",VLOOKUP($R312&amp;U$2,$C$3:$F$4001,3,0))</f>
        <v>40081</v>
      </c>
      <c r="V312" s="107">
        <f>IF(ISNA(VLOOKUP($R312&amp;U$2,$C$3:$F$4001,4,0)),"",VLOOKUP($R312&amp;U$2,$C$3:$F$4001,4,0))</f>
        <v>0.19</v>
      </c>
      <c r="W312" s="106">
        <f>IF(ISNA(VLOOKUP($R312&amp;W$2,$C$3:$F$4001,3,0)),"",VLOOKUP($R312&amp;W$2,$C$3:$F$4001,3,0))</f>
        <v>40262</v>
      </c>
      <c r="X312" s="107">
        <f>IF(ISNA(VLOOKUP($R312&amp;W$2,$C$3:$F$4001,4,0)),"",VLOOKUP($R312&amp;W$2,$C$3:$F$4001,4,0))</f>
        <v>0.19899999999999998</v>
      </c>
      <c r="Y312" s="106">
        <f>IF(ISNA(VLOOKUP($R312&amp;Y$2,$C$3:$F$4001,3,0)),"",VLOOKUP($R312&amp;Y$2,$C$3:$F$4001,3,0))</f>
        <v>40448</v>
      </c>
      <c r="Z312" s="107">
        <f>IF(ISNA(VLOOKUP($R312&amp;Y$2,$C$3:$F$4001,4,0)),"",VLOOKUP($R312&amp;Y$2,$C$3:$F$4001,4,0))</f>
        <v>0.21600000000000003</v>
      </c>
      <c r="AA312" s="106">
        <f>IF(ISNA(VLOOKUP($R312&amp;AA$2,$C$3:$F$4001,3,0)),"",VLOOKUP($R312&amp;AA$2,$C$3:$F$4001,3,0))</f>
        <v>40627</v>
      </c>
      <c r="AB312" s="107">
        <f>IF(ISNA(VLOOKUP($R312&amp;AA$2,$C$3:$F$4001,4,0)),"",VLOOKUP($R312&amp;AA$2,$C$3:$F$4001,4,0))</f>
        <v>0.2354</v>
      </c>
      <c r="AC312" s="106">
        <f>IF(ISNA(VLOOKUP($R312&amp;AC$2,$C$3:$F$4001,3,0)),"",VLOOKUP($R312&amp;AC$2,$C$3:$F$4001,3,0))</f>
        <v>40813</v>
      </c>
      <c r="AD312" s="107">
        <f>IF(ISNA(VLOOKUP($R312&amp;AC$2,$C$3:$F$4001,4,0)),"",VLOOKUP($R312&amp;AC$2,$C$3:$F$4001,4,0))</f>
        <v>0.25559999999999999</v>
      </c>
      <c r="AE312" s="106">
        <f>IF(ISNA(VLOOKUP($R312&amp;AE$2,$C$3:$F$4001,3,0)),"",VLOOKUP($R312&amp;AE$2,$C$3:$F$4001,3,0))</f>
        <v>40995</v>
      </c>
      <c r="AF312" s="107">
        <f>IF(ISNA(VLOOKUP($R312&amp;AE$2,$C$3:$F$4001,4,0)),"",VLOOKUP($R312&amp;AE$2,$C$3:$F$4001,4,0))</f>
        <v>0.26750000000000002</v>
      </c>
      <c r="AG312" s="106">
        <f>IF(ISNA(VLOOKUP($R312&amp;AG$2,$C$3:$F$4001,3,0)),"",VLOOKUP($R312&amp;AG$2,$C$3:$F$4001,3,0))</f>
        <v>41179</v>
      </c>
      <c r="AH312" s="107">
        <f>IF(ISNA(VLOOKUP($R312&amp;AG$2,$C$3:$F$4001,4,0)),"",VLOOKUP($R312&amp;AG$2,$C$3:$F$4001,4,0))</f>
        <v>0.29049999999999998</v>
      </c>
      <c r="AI312" s="106">
        <f>IF(ISNA(VLOOKUP($R312&amp;AI$2,$C$3:$F$4001,3,0)),"",VLOOKUP($R312&amp;AI$2,$C$3:$F$4001,3,0))</f>
        <v>41360</v>
      </c>
      <c r="AJ312" s="107">
        <f>IF(ISNA(VLOOKUP($R312&amp;AI$2,$C$3:$F$4001,4,0)),"",VLOOKUP($R312&amp;AI$2,$C$3:$F$4001,4,0))</f>
        <v>0.29820000000000002</v>
      </c>
      <c r="AK312" s="106">
        <f>IF(ISNA(VLOOKUP($R312&amp;AK$2,$C$3:$F$4001,3,0)),"",VLOOKUP($R312&amp;AK$2,$C$3:$F$4001,3,0))</f>
        <v>41544</v>
      </c>
    </row>
    <row r="313" spans="3:37" x14ac:dyDescent="0.2">
      <c r="C313" s="96" t="str">
        <f t="shared" si="16"/>
        <v>BLY2</v>
      </c>
      <c r="D313" s="73" t="s">
        <v>96</v>
      </c>
      <c r="E313" s="100">
        <v>40983</v>
      </c>
      <c r="F313" s="101">
        <v>1.4999999999999999E-2</v>
      </c>
      <c r="G313" s="96">
        <f t="shared" si="17"/>
        <v>2</v>
      </c>
      <c r="I313" s="96"/>
      <c r="K313" t="str">
        <f t="shared" si="18"/>
        <v>BLY2</v>
      </c>
      <c r="L313" s="73" t="s">
        <v>96</v>
      </c>
      <c r="M313" s="72">
        <v>40983</v>
      </c>
      <c r="N313" s="84">
        <v>1.4999999999999999E-2</v>
      </c>
      <c r="O313" s="96">
        <f t="shared" si="19"/>
        <v>2</v>
      </c>
      <c r="Q313" s="96"/>
      <c r="R313" s="96" t="str">
        <f>R312</f>
        <v>RHC</v>
      </c>
      <c r="S313" s="108">
        <f>IF(ISNA(VLOOKUP($R313&amp;S$2,$K$3:$N$4001,3,0)),"",VLOOKUP($R313&amp;S$2,$K$3:$N$4001,3,0))</f>
        <v>39897</v>
      </c>
      <c r="T313" s="109">
        <f>IF(ISNA(VLOOKUP($R313&amp;S$2,$K$3:$N$4001,4,0)),"",VLOOKUP($R313&amp;S$2,$K$3:$N$4001,4,0))</f>
        <v>0.17499999999999999</v>
      </c>
      <c r="U313" s="108">
        <f>IF(ISNA(VLOOKUP($R313&amp;U$2,$K$3:$N$4001,3,0)),"",VLOOKUP($R313&amp;U$2,$K$3:$N$4001,3,0))</f>
        <v>40081</v>
      </c>
      <c r="V313" s="109">
        <f>IF(ISNA(VLOOKUP($R313&amp;U$2,$K$3:$N$4001,4,0)),"",VLOOKUP($R313&amp;U$2,$K$3:$N$4001,4,0))</f>
        <v>0.19</v>
      </c>
      <c r="W313" s="108">
        <f>IF(ISNA(VLOOKUP($R313&amp;W$2,$K$3:$N$4001,3,0)),"",VLOOKUP($R313&amp;W$2,$K$3:$N$4001,3,0))</f>
        <v>40262</v>
      </c>
      <c r="X313" s="109">
        <f>IF(ISNA(VLOOKUP($R313&amp;W$2,$K$3:$N$4001,4,0)),"",VLOOKUP($R313&amp;W$2,$K$3:$N$4001,4,0))</f>
        <v>0.19899999999999998</v>
      </c>
      <c r="Y313" s="108">
        <f>IF(ISNA(VLOOKUP($R313&amp;Y$2,$K$3:$N$4001,3,0)),"",VLOOKUP($R313&amp;Y$2,$K$3:$N$4001,3,0))</f>
        <v>40448</v>
      </c>
      <c r="Z313" s="109">
        <f>IF(ISNA(VLOOKUP($R313&amp;Y$2,$K$3:$N$4001,4,0)),"",VLOOKUP($R313&amp;Y$2,$K$3:$N$4001,4,0))</f>
        <v>0.21600000000000003</v>
      </c>
      <c r="AA313" s="108">
        <f>IF(ISNA(VLOOKUP($R313&amp;AA$2,$K$3:$N$4001,3,0)),"",VLOOKUP($R313&amp;AA$2,$K$3:$N$4001,3,0))</f>
        <v>40627</v>
      </c>
      <c r="AB313" s="109">
        <f>IF(ISNA(VLOOKUP($R313&amp;AA$2,$K$3:$N$4001,4,0)),"",VLOOKUP($R313&amp;AA$2,$K$3:$N$4001,4,0))</f>
        <v>0.2354</v>
      </c>
      <c r="AC313" s="108">
        <f>IF(ISNA(VLOOKUP($R313&amp;AC$2,$K$3:$N$4001,3,0)),"",VLOOKUP($R313&amp;AC$2,$K$3:$N$4001,3,0))</f>
        <v>40813</v>
      </c>
      <c r="AD313" s="109">
        <f>IF(ISNA(VLOOKUP($R313&amp;AC$2,$K$3:$N$4001,4,0)),"",VLOOKUP($R313&amp;AC$2,$K$3:$N$4001,4,0))</f>
        <v>0.25559999999999999</v>
      </c>
      <c r="AE313" s="108">
        <f>IF(ISNA(VLOOKUP($R313&amp;AE$2,$K$3:$N$4001,3,0)),"",VLOOKUP($R313&amp;AE$2,$K$3:$N$4001,3,0))</f>
        <v>40995</v>
      </c>
      <c r="AF313" s="109">
        <f>IF(ISNA(VLOOKUP($R313&amp;AE$2,$K$3:$N$4001,4,0)),"",VLOOKUP($R313&amp;AE$2,$K$3:$N$4001,4,0))</f>
        <v>0.26750000000000002</v>
      </c>
      <c r="AG313" s="108">
        <f>IF(ISNA(VLOOKUP($R313&amp;AG$2,$K$3:$N$4001,3,0)),"",VLOOKUP($R313&amp;AG$2,$K$3:$N$4001,3,0))</f>
        <v>41179</v>
      </c>
      <c r="AH313" s="109">
        <f>IF(ISNA(VLOOKUP($R313&amp;AG$2,$K$3:$N$4001,4,0)),"",VLOOKUP($R313&amp;AG$2,$K$3:$N$4001,4,0))</f>
        <v>0.29049999999999998</v>
      </c>
      <c r="AI313" s="108">
        <f>IF(ISNA(VLOOKUP($R313&amp;AI$2,$K$3:$N$4001,3,0)),"",VLOOKUP($R313&amp;AI$2,$K$3:$N$4001,3,0))</f>
        <v>41360</v>
      </c>
      <c r="AJ313" s="109">
        <f>IF(ISNA(VLOOKUP($R313&amp;AI$2,$K$3:$N$4001,4,0)),"",VLOOKUP($R313&amp;AI$2,$K$3:$N$4001,4,0))</f>
        <v>0.29820000000000002</v>
      </c>
      <c r="AK313" s="108">
        <f>IF(ISNA(VLOOKUP($R313&amp;AK$2,$K$3:$N$4001,3,0)),"",VLOOKUP($R313&amp;AK$2,$K$3:$N$4001,3,0))</f>
        <v>41544</v>
      </c>
    </row>
    <row r="314" spans="3:37" x14ac:dyDescent="0.2">
      <c r="C314" s="96" t="str">
        <f t="shared" si="16"/>
        <v>BLY3</v>
      </c>
      <c r="D314" s="73" t="s">
        <v>96</v>
      </c>
      <c r="E314" s="100">
        <v>41166</v>
      </c>
      <c r="F314" s="101">
        <v>0.01</v>
      </c>
      <c r="G314" s="96">
        <f t="shared" si="17"/>
        <v>3</v>
      </c>
      <c r="I314" s="96"/>
      <c r="K314" t="str">
        <f t="shared" si="18"/>
        <v>BLY3</v>
      </c>
      <c r="L314" s="73" t="s">
        <v>96</v>
      </c>
      <c r="M314" s="72">
        <v>41166</v>
      </c>
      <c r="N314" s="84">
        <v>0.01</v>
      </c>
      <c r="O314" s="96">
        <f t="shared" si="19"/>
        <v>3</v>
      </c>
      <c r="Q314" s="96"/>
      <c r="R314" s="96" t="s">
        <v>279</v>
      </c>
      <c r="S314" s="106" t="str">
        <f>IF(ISNA(VLOOKUP($R314&amp;S$2,$C$3:$F$4001,3,0)),"",VLOOKUP($R314&amp;S$2,$C$3:$F$4001,3,0))</f>
        <v/>
      </c>
      <c r="T314" s="107" t="str">
        <f>IF(ISNA(VLOOKUP($R314&amp;S$2,$C$3:$F$4001,4,0)),"",VLOOKUP($R314&amp;S$2,$C$3:$F$4001,4,0))</f>
        <v/>
      </c>
      <c r="U314" s="106" t="str">
        <f>IF(ISNA(VLOOKUP($R314&amp;U$2,$C$3:$F$4001,3,0)),"",VLOOKUP($R314&amp;U$2,$C$3:$F$4001,3,0))</f>
        <v/>
      </c>
      <c r="V314" s="107" t="str">
        <f>IF(ISNA(VLOOKUP($R314&amp;U$2,$C$3:$F$4001,4,0)),"",VLOOKUP($R314&amp;U$2,$C$3:$F$4001,4,0))</f>
        <v/>
      </c>
      <c r="W314" s="106" t="str">
        <f>IF(ISNA(VLOOKUP($R314&amp;W$2,$C$3:$F$4001,3,0)),"",VLOOKUP($R314&amp;W$2,$C$3:$F$4001,3,0))</f>
        <v/>
      </c>
      <c r="X314" s="107" t="str">
        <f>IF(ISNA(VLOOKUP($R314&amp;W$2,$C$3:$F$4001,4,0)),"",VLOOKUP($R314&amp;W$2,$C$3:$F$4001,4,0))</f>
        <v/>
      </c>
      <c r="Y314" s="106" t="str">
        <f>IF(ISNA(VLOOKUP($R314&amp;Y$2,$C$3:$F$4001,3,0)),"",VLOOKUP($R314&amp;Y$2,$C$3:$F$4001,3,0))</f>
        <v/>
      </c>
      <c r="Z314" s="107" t="str">
        <f>IF(ISNA(VLOOKUP($R314&amp;Y$2,$C$3:$F$4001,4,0)),"",VLOOKUP($R314&amp;Y$2,$C$3:$F$4001,4,0))</f>
        <v/>
      </c>
      <c r="AA314" s="106" t="str">
        <f>IF(ISNA(VLOOKUP($R314&amp;AA$2,$C$3:$F$4001,3,0)),"",VLOOKUP($R314&amp;AA$2,$C$3:$F$4001,3,0))</f>
        <v/>
      </c>
      <c r="AB314" s="107" t="str">
        <f>IF(ISNA(VLOOKUP($R314&amp;AA$2,$C$3:$F$4001,4,0)),"",VLOOKUP($R314&amp;AA$2,$C$3:$F$4001,4,0))</f>
        <v/>
      </c>
      <c r="AC314" s="106" t="str">
        <f>IF(ISNA(VLOOKUP($R314&amp;AC$2,$C$3:$F$4001,3,0)),"",VLOOKUP($R314&amp;AC$2,$C$3:$F$4001,3,0))</f>
        <v/>
      </c>
      <c r="AD314" s="107" t="str">
        <f>IF(ISNA(VLOOKUP($R314&amp;AC$2,$C$3:$F$4001,4,0)),"",VLOOKUP($R314&amp;AC$2,$C$3:$F$4001,4,0))</f>
        <v/>
      </c>
      <c r="AE314" s="106" t="str">
        <f>IF(ISNA(VLOOKUP($R314&amp;AE$2,$C$3:$F$4001,3,0)),"",VLOOKUP($R314&amp;AE$2,$C$3:$F$4001,3,0))</f>
        <v/>
      </c>
      <c r="AF314" s="107" t="str">
        <f>IF(ISNA(VLOOKUP($R314&amp;AE$2,$C$3:$F$4001,4,0)),"",VLOOKUP($R314&amp;AE$2,$C$3:$F$4001,4,0))</f>
        <v/>
      </c>
      <c r="AG314" s="106" t="str">
        <f>IF(ISNA(VLOOKUP($R314&amp;AG$2,$C$3:$F$4001,3,0)),"",VLOOKUP($R314&amp;AG$2,$C$3:$F$4001,3,0))</f>
        <v/>
      </c>
      <c r="AH314" s="107" t="str">
        <f>IF(ISNA(VLOOKUP($R314&amp;AG$2,$C$3:$F$4001,4,0)),"",VLOOKUP($R314&amp;AG$2,$C$3:$F$4001,4,0))</f>
        <v/>
      </c>
      <c r="AI314" s="106" t="str">
        <f>IF(ISNA(VLOOKUP($R314&amp;AI$2,$C$3:$F$4001,3,0)),"",VLOOKUP($R314&amp;AI$2,$C$3:$F$4001,3,0))</f>
        <v/>
      </c>
      <c r="AJ314" s="107" t="str">
        <f>IF(ISNA(VLOOKUP($R314&amp;AI$2,$C$3:$F$4001,4,0)),"",VLOOKUP($R314&amp;AI$2,$C$3:$F$4001,4,0))</f>
        <v/>
      </c>
      <c r="AK314" s="106" t="str">
        <f>IF(ISNA(VLOOKUP($R314&amp;AK$2,$C$3:$F$4001,3,0)),"",VLOOKUP($R314&amp;AK$2,$C$3:$F$4001,3,0))</f>
        <v/>
      </c>
    </row>
    <row r="315" spans="3:37" x14ac:dyDescent="0.2">
      <c r="C315" s="96" t="str">
        <f t="shared" si="16"/>
        <v>BLY4</v>
      </c>
      <c r="D315" s="73" t="s">
        <v>96</v>
      </c>
      <c r="E315" s="100">
        <v>41351</v>
      </c>
      <c r="F315" s="101">
        <v>1.4999999999999999E-2</v>
      </c>
      <c r="G315" s="96">
        <f t="shared" si="17"/>
        <v>4</v>
      </c>
      <c r="I315" s="96"/>
      <c r="K315" t="str">
        <f t="shared" si="18"/>
        <v>BLY4</v>
      </c>
      <c r="L315" s="73" t="s">
        <v>96</v>
      </c>
      <c r="M315" s="72">
        <v>41351</v>
      </c>
      <c r="N315" s="84">
        <v>1.4999999999999999E-2</v>
      </c>
      <c r="O315" s="96">
        <f t="shared" si="19"/>
        <v>4</v>
      </c>
      <c r="Q315" s="96"/>
      <c r="R315" s="96" t="str">
        <f>R314</f>
        <v>RMD</v>
      </c>
      <c r="S315" s="108" t="str">
        <f>IF(ISNA(VLOOKUP($R315&amp;S$2,$K$3:$N$4001,3,0)),"",VLOOKUP($R315&amp;S$2,$K$3:$N$4001,3,0))</f>
        <v/>
      </c>
      <c r="T315" s="109" t="str">
        <f>IF(ISNA(VLOOKUP($R315&amp;S$2,$K$3:$N$4001,4,0)),"",VLOOKUP($R315&amp;S$2,$K$3:$N$4001,4,0))</f>
        <v/>
      </c>
      <c r="U315" s="108" t="str">
        <f>IF(ISNA(VLOOKUP($R315&amp;U$2,$K$3:$N$4001,3,0)),"",VLOOKUP($R315&amp;U$2,$K$3:$N$4001,3,0))</f>
        <v/>
      </c>
      <c r="V315" s="109" t="str">
        <f>IF(ISNA(VLOOKUP($R315&amp;U$2,$K$3:$N$4001,4,0)),"",VLOOKUP($R315&amp;U$2,$K$3:$N$4001,4,0))</f>
        <v/>
      </c>
      <c r="W315" s="108" t="str">
        <f>IF(ISNA(VLOOKUP($R315&amp;W$2,$K$3:$N$4001,3,0)),"",VLOOKUP($R315&amp;W$2,$K$3:$N$4001,3,0))</f>
        <v/>
      </c>
      <c r="X315" s="109" t="str">
        <f>IF(ISNA(VLOOKUP($R315&amp;W$2,$K$3:$N$4001,4,0)),"",VLOOKUP($R315&amp;W$2,$K$3:$N$4001,4,0))</f>
        <v/>
      </c>
      <c r="Y315" s="108" t="str">
        <f>IF(ISNA(VLOOKUP($R315&amp;Y$2,$K$3:$N$4001,3,0)),"",VLOOKUP($R315&amp;Y$2,$K$3:$N$4001,3,0))</f>
        <v/>
      </c>
      <c r="Z315" s="109" t="str">
        <f>IF(ISNA(VLOOKUP($R315&amp;Y$2,$K$3:$N$4001,4,0)),"",VLOOKUP($R315&amp;Y$2,$K$3:$N$4001,4,0))</f>
        <v/>
      </c>
      <c r="AA315" s="108" t="str">
        <f>IF(ISNA(VLOOKUP($R315&amp;AA$2,$K$3:$N$4001,3,0)),"",VLOOKUP($R315&amp;AA$2,$K$3:$N$4001,3,0))</f>
        <v/>
      </c>
      <c r="AB315" s="109" t="str">
        <f>IF(ISNA(VLOOKUP($R315&amp;AA$2,$K$3:$N$4001,4,0)),"",VLOOKUP($R315&amp;AA$2,$K$3:$N$4001,4,0))</f>
        <v/>
      </c>
      <c r="AC315" s="108" t="str">
        <f>IF(ISNA(VLOOKUP($R315&amp;AC$2,$K$3:$N$4001,3,0)),"",VLOOKUP($R315&amp;AC$2,$K$3:$N$4001,3,0))</f>
        <v/>
      </c>
      <c r="AD315" s="109" t="str">
        <f>IF(ISNA(VLOOKUP($R315&amp;AC$2,$K$3:$N$4001,4,0)),"",VLOOKUP($R315&amp;AC$2,$K$3:$N$4001,4,0))</f>
        <v/>
      </c>
      <c r="AE315" s="108" t="str">
        <f>IF(ISNA(VLOOKUP($R315&amp;AE$2,$K$3:$N$4001,3,0)),"",VLOOKUP($R315&amp;AE$2,$K$3:$N$4001,3,0))</f>
        <v/>
      </c>
      <c r="AF315" s="109" t="str">
        <f>IF(ISNA(VLOOKUP($R315&amp;AE$2,$K$3:$N$4001,4,0)),"",VLOOKUP($R315&amp;AE$2,$K$3:$N$4001,4,0))</f>
        <v/>
      </c>
      <c r="AG315" s="108" t="str">
        <f>IF(ISNA(VLOOKUP($R315&amp;AG$2,$K$3:$N$4001,3,0)),"",VLOOKUP($R315&amp;AG$2,$K$3:$N$4001,3,0))</f>
        <v/>
      </c>
      <c r="AH315" s="109" t="str">
        <f>IF(ISNA(VLOOKUP($R315&amp;AG$2,$K$3:$N$4001,4,0)),"",VLOOKUP($R315&amp;AG$2,$K$3:$N$4001,4,0))</f>
        <v/>
      </c>
      <c r="AI315" s="108" t="str">
        <f>IF(ISNA(VLOOKUP($R315&amp;AI$2,$K$3:$N$4001,3,0)),"",VLOOKUP($R315&amp;AI$2,$K$3:$N$4001,3,0))</f>
        <v/>
      </c>
      <c r="AJ315" s="109" t="str">
        <f>IF(ISNA(VLOOKUP($R315&amp;AI$2,$K$3:$N$4001,4,0)),"",VLOOKUP($R315&amp;AI$2,$K$3:$N$4001,4,0))</f>
        <v/>
      </c>
      <c r="AK315" s="108" t="str">
        <f>IF(ISNA(VLOOKUP($R315&amp;AK$2,$K$3:$N$4001,3,0)),"",VLOOKUP($R315&amp;AK$2,$K$3:$N$4001,3,0))</f>
        <v/>
      </c>
    </row>
    <row r="316" spans="3:37" x14ac:dyDescent="0.2">
      <c r="C316" s="96" t="str">
        <f t="shared" si="16"/>
        <v>BOQ1</v>
      </c>
      <c r="D316" s="73" t="s">
        <v>97</v>
      </c>
      <c r="E316" s="100">
        <v>39932</v>
      </c>
      <c r="F316" s="101">
        <v>0.36</v>
      </c>
      <c r="G316" s="96">
        <f t="shared" si="17"/>
        <v>1</v>
      </c>
      <c r="I316" s="96"/>
      <c r="K316" t="str">
        <f t="shared" si="18"/>
        <v>BOQ1</v>
      </c>
      <c r="L316" s="73" t="s">
        <v>97</v>
      </c>
      <c r="M316" s="72">
        <v>39932</v>
      </c>
      <c r="N316" s="84">
        <v>0.36</v>
      </c>
      <c r="O316" s="96">
        <f t="shared" si="19"/>
        <v>1</v>
      </c>
      <c r="Q316" s="96"/>
      <c r="R316" s="96" t="s">
        <v>200</v>
      </c>
      <c r="S316" s="106">
        <f>IF(ISNA(VLOOKUP($R316&amp;S$2,$C$3:$F$4001,3,0)),"",VLOOKUP($R316&amp;S$2,$C$3:$F$4001,3,0))</f>
        <v>40226</v>
      </c>
      <c r="T316" s="107">
        <f>IF(ISNA(VLOOKUP($R316&amp;S$2,$C$3:$F$4001,4,0)),"",VLOOKUP($R316&amp;S$2,$C$3:$F$4001,4,0))</f>
        <v>0.7</v>
      </c>
      <c r="U316" s="106">
        <f>IF(ISNA(VLOOKUP($R316&amp;U$2,$C$3:$F$4001,3,0)),"",VLOOKUP($R316&amp;U$2,$C$3:$F$4001,3,0))</f>
        <v>40429</v>
      </c>
      <c r="V316" s="107">
        <f>IF(ISNA(VLOOKUP($R316&amp;U$2,$C$3:$F$4001,4,0)),"",VLOOKUP($R316&amp;U$2,$C$3:$F$4001,4,0))</f>
        <v>0.26</v>
      </c>
      <c r="W316" s="106">
        <f>IF(ISNA(VLOOKUP($R316&amp;W$2,$C$3:$F$4001,3,0)),"",VLOOKUP($R316&amp;W$2,$C$3:$F$4001,3,0))</f>
        <v>40590</v>
      </c>
      <c r="X316" s="107">
        <f>IF(ISNA(VLOOKUP($R316&amp;W$2,$C$3:$F$4001,4,0)),"",VLOOKUP($R316&amp;W$2,$C$3:$F$4001,4,0))</f>
        <v>0.46</v>
      </c>
      <c r="Y316" s="106">
        <f>IF(ISNA(VLOOKUP($R316&amp;Y$2,$C$3:$F$4001,3,0)),"",VLOOKUP($R316&amp;Y$2,$C$3:$F$4001,3,0))</f>
        <v>40793</v>
      </c>
      <c r="Z316" s="107">
        <f>IF(ISNA(VLOOKUP($R316&amp;Y$2,$C$3:$F$4001,4,0)),"",VLOOKUP($R316&amp;Y$2,$C$3:$F$4001,4,0))</f>
        <v>0.28999999999999998</v>
      </c>
      <c r="AA316" s="106">
        <f>IF(ISNA(VLOOKUP($R316&amp;AA$2,$C$3:$F$4001,3,0)),"",VLOOKUP($R316&amp;AA$2,$C$3:$F$4001,3,0))</f>
        <v>40954</v>
      </c>
      <c r="AB316" s="107">
        <f>IF(ISNA(VLOOKUP($R316&amp;AA$2,$C$3:$F$4001,4,0)),"",VLOOKUP($R316&amp;AA$2,$C$3:$F$4001,4,0))</f>
        <v>0.5</v>
      </c>
      <c r="AC316" s="106">
        <f>IF(ISNA(VLOOKUP($R316&amp;AC$2,$C$3:$F$4001,3,0)),"",VLOOKUP($R316&amp;AC$2,$C$3:$F$4001,3,0))</f>
        <v>41157</v>
      </c>
      <c r="AD316" s="107">
        <f>IF(ISNA(VLOOKUP($R316&amp;AC$2,$C$3:$F$4001,4,0)),"",VLOOKUP($R316&amp;AC$2,$C$3:$F$4001,4,0))</f>
        <v>0.35</v>
      </c>
      <c r="AE316" s="106">
        <f>IF(ISNA(VLOOKUP($R316&amp;AE$2,$C$3:$F$4001,3,0)),"",VLOOKUP($R316&amp;AE$2,$C$3:$F$4001,3,0))</f>
        <v>41332</v>
      </c>
      <c r="AF316" s="107">
        <f>IF(ISNA(VLOOKUP($R316&amp;AE$2,$C$3:$F$4001,4,0)),"",VLOOKUP($R316&amp;AE$2,$C$3:$F$4001,4,0))</f>
        <v>0.56000000000000005</v>
      </c>
      <c r="AG316" s="106" t="str">
        <f>IF(ISNA(VLOOKUP($R316&amp;AG$2,$C$3:$F$4001,3,0)),"",VLOOKUP($R316&amp;AG$2,$C$3:$F$4001,3,0))</f>
        <v/>
      </c>
      <c r="AH316" s="107" t="str">
        <f>IF(ISNA(VLOOKUP($R316&amp;AG$2,$C$3:$F$4001,4,0)),"",VLOOKUP($R316&amp;AG$2,$C$3:$F$4001,4,0))</f>
        <v/>
      </c>
      <c r="AI316" s="106" t="str">
        <f>IF(ISNA(VLOOKUP($R316&amp;AI$2,$C$3:$F$4001,3,0)),"",VLOOKUP($R316&amp;AI$2,$C$3:$F$4001,3,0))</f>
        <v/>
      </c>
      <c r="AJ316" s="107" t="str">
        <f>IF(ISNA(VLOOKUP($R316&amp;AI$2,$C$3:$F$4001,4,0)),"",VLOOKUP($R316&amp;AI$2,$C$3:$F$4001,4,0))</f>
        <v/>
      </c>
      <c r="AK316" s="106" t="str">
        <f>IF(ISNA(VLOOKUP($R316&amp;AK$2,$C$3:$F$4001,3,0)),"",VLOOKUP($R316&amp;AK$2,$C$3:$F$4001,3,0))</f>
        <v/>
      </c>
    </row>
    <row r="317" spans="3:37" x14ac:dyDescent="0.2">
      <c r="C317" s="96" t="str">
        <f t="shared" si="16"/>
        <v>BOQ2</v>
      </c>
      <c r="D317" s="73" t="s">
        <v>97</v>
      </c>
      <c r="E317" s="100">
        <v>40130</v>
      </c>
      <c r="F317" s="101">
        <v>0.39</v>
      </c>
      <c r="G317" s="96">
        <f t="shared" si="17"/>
        <v>2</v>
      </c>
      <c r="I317" s="96"/>
      <c r="K317" t="str">
        <f t="shared" si="18"/>
        <v>BOQ2</v>
      </c>
      <c r="L317" s="73" t="s">
        <v>97</v>
      </c>
      <c r="M317" s="72">
        <v>40130</v>
      </c>
      <c r="N317" s="84">
        <v>0.39</v>
      </c>
      <c r="O317" s="96">
        <f t="shared" si="19"/>
        <v>2</v>
      </c>
      <c r="Q317" s="96"/>
      <c r="R317" s="96" t="str">
        <f>R316</f>
        <v>RIO</v>
      </c>
      <c r="S317" s="108">
        <f>IF(ISNA(VLOOKUP($R317&amp;S$2,$K$3:$N$4001,3,0)),"",VLOOKUP($R317&amp;S$2,$K$3:$N$4001,3,0))</f>
        <v>40226</v>
      </c>
      <c r="T317" s="109">
        <f>IF(ISNA(VLOOKUP($R317&amp;S$2,$K$3:$N$4001,4,0)),"",VLOOKUP($R317&amp;S$2,$K$3:$N$4001,4,0))</f>
        <v>0.7</v>
      </c>
      <c r="U317" s="108">
        <f>IF(ISNA(VLOOKUP($R317&amp;U$2,$K$3:$N$4001,3,0)),"",VLOOKUP($R317&amp;U$2,$K$3:$N$4001,3,0))</f>
        <v>40429</v>
      </c>
      <c r="V317" s="109">
        <f>IF(ISNA(VLOOKUP($R317&amp;U$2,$K$3:$N$4001,4,0)),"",VLOOKUP($R317&amp;U$2,$K$3:$N$4001,4,0))</f>
        <v>0.26</v>
      </c>
      <c r="W317" s="108">
        <f>IF(ISNA(VLOOKUP($R317&amp;W$2,$K$3:$N$4001,3,0)),"",VLOOKUP($R317&amp;W$2,$K$3:$N$4001,3,0))</f>
        <v>40590</v>
      </c>
      <c r="X317" s="109">
        <f>IF(ISNA(VLOOKUP($R317&amp;W$2,$K$3:$N$4001,4,0)),"",VLOOKUP($R317&amp;W$2,$K$3:$N$4001,4,0))</f>
        <v>0.46</v>
      </c>
      <c r="Y317" s="108">
        <f>IF(ISNA(VLOOKUP($R317&amp;Y$2,$K$3:$N$4001,3,0)),"",VLOOKUP($R317&amp;Y$2,$K$3:$N$4001,3,0))</f>
        <v>40793</v>
      </c>
      <c r="Z317" s="109">
        <f>IF(ISNA(VLOOKUP($R317&amp;Y$2,$K$3:$N$4001,4,0)),"",VLOOKUP($R317&amp;Y$2,$K$3:$N$4001,4,0))</f>
        <v>0.28999999999999998</v>
      </c>
      <c r="AA317" s="108">
        <f>IF(ISNA(VLOOKUP($R317&amp;AA$2,$K$3:$N$4001,3,0)),"",VLOOKUP($R317&amp;AA$2,$K$3:$N$4001,3,0))</f>
        <v>40954</v>
      </c>
      <c r="AB317" s="109">
        <f>IF(ISNA(VLOOKUP($R317&amp;AA$2,$K$3:$N$4001,4,0)),"",VLOOKUP($R317&amp;AA$2,$K$3:$N$4001,4,0))</f>
        <v>0.5</v>
      </c>
      <c r="AC317" s="108">
        <f>IF(ISNA(VLOOKUP($R317&amp;AC$2,$K$3:$N$4001,3,0)),"",VLOOKUP($R317&amp;AC$2,$K$3:$N$4001,3,0))</f>
        <v>41157</v>
      </c>
      <c r="AD317" s="109">
        <f>IF(ISNA(VLOOKUP($R317&amp;AC$2,$K$3:$N$4001,4,0)),"",VLOOKUP($R317&amp;AC$2,$K$3:$N$4001,4,0))</f>
        <v>0.35</v>
      </c>
      <c r="AE317" s="108">
        <f>IF(ISNA(VLOOKUP($R317&amp;AE$2,$K$3:$N$4001,3,0)),"",VLOOKUP($R317&amp;AE$2,$K$3:$N$4001,3,0))</f>
        <v>41332</v>
      </c>
      <c r="AF317" s="109">
        <f>IF(ISNA(VLOOKUP($R317&amp;AE$2,$K$3:$N$4001,4,0)),"",VLOOKUP($R317&amp;AE$2,$K$3:$N$4001,4,0))</f>
        <v>0.56000000000000005</v>
      </c>
      <c r="AG317" s="108" t="str">
        <f>IF(ISNA(VLOOKUP($R317&amp;AG$2,$K$3:$N$4001,3,0)),"",VLOOKUP($R317&amp;AG$2,$K$3:$N$4001,3,0))</f>
        <v/>
      </c>
      <c r="AH317" s="109" t="str">
        <f>IF(ISNA(VLOOKUP($R317&amp;AG$2,$K$3:$N$4001,4,0)),"",VLOOKUP($R317&amp;AG$2,$K$3:$N$4001,4,0))</f>
        <v/>
      </c>
      <c r="AI317" s="108" t="str">
        <f>IF(ISNA(VLOOKUP($R317&amp;AI$2,$K$3:$N$4001,3,0)),"",VLOOKUP($R317&amp;AI$2,$K$3:$N$4001,3,0))</f>
        <v/>
      </c>
      <c r="AJ317" s="109" t="str">
        <f>IF(ISNA(VLOOKUP($R317&amp;AI$2,$K$3:$N$4001,4,0)),"",VLOOKUP($R317&amp;AI$2,$K$3:$N$4001,4,0))</f>
        <v/>
      </c>
      <c r="AK317" s="108" t="str">
        <f>IF(ISNA(VLOOKUP($R317&amp;AK$2,$K$3:$N$4001,3,0)),"",VLOOKUP($R317&amp;AK$2,$K$3:$N$4001,3,0))</f>
        <v/>
      </c>
    </row>
    <row r="318" spans="3:37" x14ac:dyDescent="0.2">
      <c r="C318" s="96" t="str">
        <f t="shared" si="16"/>
        <v>BOQ3</v>
      </c>
      <c r="D318" s="73" t="s">
        <v>97</v>
      </c>
      <c r="E318" s="100">
        <v>40297</v>
      </c>
      <c r="F318" s="101">
        <v>0.36859999999999998</v>
      </c>
      <c r="G318" s="96">
        <f t="shared" si="17"/>
        <v>3</v>
      </c>
      <c r="I318" s="96"/>
      <c r="K318" t="str">
        <f t="shared" si="18"/>
        <v>BOQ3</v>
      </c>
      <c r="L318" s="73" t="s">
        <v>97</v>
      </c>
      <c r="M318" s="72">
        <v>40297</v>
      </c>
      <c r="N318" s="84">
        <v>0.36859999999999998</v>
      </c>
      <c r="O318" s="96">
        <f t="shared" si="19"/>
        <v>3</v>
      </c>
      <c r="Q318" s="96"/>
      <c r="R318" s="96" t="s">
        <v>280</v>
      </c>
      <c r="S318" s="106" t="str">
        <f>IF(ISNA(VLOOKUP($R318&amp;S$2,$C$3:$F$4001,3,0)),"",VLOOKUP($R318&amp;S$2,$C$3:$F$4001,3,0))</f>
        <v/>
      </c>
      <c r="T318" s="107" t="str">
        <f>IF(ISNA(VLOOKUP($R318&amp;S$2,$C$3:$F$4001,4,0)),"",VLOOKUP($R318&amp;S$2,$C$3:$F$4001,4,0))</f>
        <v/>
      </c>
      <c r="U318" s="106" t="str">
        <f>IF(ISNA(VLOOKUP($R318&amp;U$2,$C$3:$F$4001,3,0)),"",VLOOKUP($R318&amp;U$2,$C$3:$F$4001,3,0))</f>
        <v/>
      </c>
      <c r="V318" s="107" t="str">
        <f>IF(ISNA(VLOOKUP($R318&amp;U$2,$C$3:$F$4001,4,0)),"",VLOOKUP($R318&amp;U$2,$C$3:$F$4001,4,0))</f>
        <v/>
      </c>
      <c r="W318" s="106" t="str">
        <f>IF(ISNA(VLOOKUP($R318&amp;W$2,$C$3:$F$4001,3,0)),"",VLOOKUP($R318&amp;W$2,$C$3:$F$4001,3,0))</f>
        <v/>
      </c>
      <c r="X318" s="107" t="str">
        <f>IF(ISNA(VLOOKUP($R318&amp;W$2,$C$3:$F$4001,4,0)),"",VLOOKUP($R318&amp;W$2,$C$3:$F$4001,4,0))</f>
        <v/>
      </c>
      <c r="Y318" s="106" t="str">
        <f>IF(ISNA(VLOOKUP($R318&amp;Y$2,$C$3:$F$4001,3,0)),"",VLOOKUP($R318&amp;Y$2,$C$3:$F$4001,3,0))</f>
        <v/>
      </c>
      <c r="Z318" s="107" t="str">
        <f>IF(ISNA(VLOOKUP($R318&amp;Y$2,$C$3:$F$4001,4,0)),"",VLOOKUP($R318&amp;Y$2,$C$3:$F$4001,4,0))</f>
        <v/>
      </c>
      <c r="AA318" s="106" t="str">
        <f>IF(ISNA(VLOOKUP($R318&amp;AA$2,$C$3:$F$4001,3,0)),"",VLOOKUP($R318&amp;AA$2,$C$3:$F$4001,3,0))</f>
        <v/>
      </c>
      <c r="AB318" s="107" t="str">
        <f>IF(ISNA(VLOOKUP($R318&amp;AA$2,$C$3:$F$4001,4,0)),"",VLOOKUP($R318&amp;AA$2,$C$3:$F$4001,4,0))</f>
        <v/>
      </c>
      <c r="AC318" s="106" t="str">
        <f>IF(ISNA(VLOOKUP($R318&amp;AC$2,$C$3:$F$4001,3,0)),"",VLOOKUP($R318&amp;AC$2,$C$3:$F$4001,3,0))</f>
        <v/>
      </c>
      <c r="AD318" s="107" t="str">
        <f>IF(ISNA(VLOOKUP($R318&amp;AC$2,$C$3:$F$4001,4,0)),"",VLOOKUP($R318&amp;AC$2,$C$3:$F$4001,4,0))</f>
        <v/>
      </c>
      <c r="AE318" s="106" t="str">
        <f>IF(ISNA(VLOOKUP($R318&amp;AE$2,$C$3:$F$4001,3,0)),"",VLOOKUP($R318&amp;AE$2,$C$3:$F$4001,3,0))</f>
        <v/>
      </c>
      <c r="AF318" s="107" t="str">
        <f>IF(ISNA(VLOOKUP($R318&amp;AE$2,$C$3:$F$4001,4,0)),"",VLOOKUP($R318&amp;AE$2,$C$3:$F$4001,4,0))</f>
        <v/>
      </c>
      <c r="AG318" s="106" t="str">
        <f>IF(ISNA(VLOOKUP($R318&amp;AG$2,$C$3:$F$4001,3,0)),"",VLOOKUP($R318&amp;AG$2,$C$3:$F$4001,3,0))</f>
        <v/>
      </c>
      <c r="AH318" s="107" t="str">
        <f>IF(ISNA(VLOOKUP($R318&amp;AG$2,$C$3:$F$4001,4,0)),"",VLOOKUP($R318&amp;AG$2,$C$3:$F$4001,4,0))</f>
        <v/>
      </c>
      <c r="AI318" s="106" t="str">
        <f>IF(ISNA(VLOOKUP($R318&amp;AI$2,$C$3:$F$4001,3,0)),"",VLOOKUP($R318&amp;AI$2,$C$3:$F$4001,3,0))</f>
        <v/>
      </c>
      <c r="AJ318" s="107" t="str">
        <f>IF(ISNA(VLOOKUP($R318&amp;AI$2,$C$3:$F$4001,4,0)),"",VLOOKUP($R318&amp;AI$2,$C$3:$F$4001,4,0))</f>
        <v/>
      </c>
      <c r="AK318" s="106" t="str">
        <f>IF(ISNA(VLOOKUP($R318&amp;AK$2,$C$3:$F$4001,3,0)),"",VLOOKUP($R318&amp;AK$2,$C$3:$F$4001,3,0))</f>
        <v/>
      </c>
    </row>
    <row r="319" spans="3:37" x14ac:dyDescent="0.2">
      <c r="C319" s="96" t="str">
        <f t="shared" si="16"/>
        <v>BOQ4</v>
      </c>
      <c r="D319" s="73" t="s">
        <v>97</v>
      </c>
      <c r="E319" s="100">
        <v>40497</v>
      </c>
      <c r="F319" s="101">
        <v>0.39939999999999998</v>
      </c>
      <c r="G319" s="96">
        <f t="shared" si="17"/>
        <v>4</v>
      </c>
      <c r="I319" s="96"/>
      <c r="K319" t="str">
        <f t="shared" si="18"/>
        <v>BOQ4</v>
      </c>
      <c r="L319" s="73" t="s">
        <v>97</v>
      </c>
      <c r="M319" s="72">
        <v>40497</v>
      </c>
      <c r="N319" s="84">
        <v>0.39939999999999998</v>
      </c>
      <c r="O319" s="96">
        <f t="shared" si="19"/>
        <v>4</v>
      </c>
      <c r="Q319" s="96"/>
      <c r="R319" s="96" t="str">
        <f>R318</f>
        <v>RIV</v>
      </c>
      <c r="S319" s="108" t="str">
        <f>IF(ISNA(VLOOKUP($R319&amp;S$2,$K$3:$N$4001,3,0)),"",VLOOKUP($R319&amp;S$2,$K$3:$N$4001,3,0))</f>
        <v/>
      </c>
      <c r="T319" s="109" t="str">
        <f>IF(ISNA(VLOOKUP($R319&amp;S$2,$K$3:$N$4001,4,0)),"",VLOOKUP($R319&amp;S$2,$K$3:$N$4001,4,0))</f>
        <v/>
      </c>
      <c r="U319" s="108" t="str">
        <f>IF(ISNA(VLOOKUP($R319&amp;U$2,$K$3:$N$4001,3,0)),"",VLOOKUP($R319&amp;U$2,$K$3:$N$4001,3,0))</f>
        <v/>
      </c>
      <c r="V319" s="109" t="str">
        <f>IF(ISNA(VLOOKUP($R319&amp;U$2,$K$3:$N$4001,4,0)),"",VLOOKUP($R319&amp;U$2,$K$3:$N$4001,4,0))</f>
        <v/>
      </c>
      <c r="W319" s="108" t="str">
        <f>IF(ISNA(VLOOKUP($R319&amp;W$2,$K$3:$N$4001,3,0)),"",VLOOKUP($R319&amp;W$2,$K$3:$N$4001,3,0))</f>
        <v/>
      </c>
      <c r="X319" s="109" t="str">
        <f>IF(ISNA(VLOOKUP($R319&amp;W$2,$K$3:$N$4001,4,0)),"",VLOOKUP($R319&amp;W$2,$K$3:$N$4001,4,0))</f>
        <v/>
      </c>
      <c r="Y319" s="108" t="str">
        <f>IF(ISNA(VLOOKUP($R319&amp;Y$2,$K$3:$N$4001,3,0)),"",VLOOKUP($R319&amp;Y$2,$K$3:$N$4001,3,0))</f>
        <v/>
      </c>
      <c r="Z319" s="109" t="str">
        <f>IF(ISNA(VLOOKUP($R319&amp;Y$2,$K$3:$N$4001,4,0)),"",VLOOKUP($R319&amp;Y$2,$K$3:$N$4001,4,0))</f>
        <v/>
      </c>
      <c r="AA319" s="108" t="str">
        <f>IF(ISNA(VLOOKUP($R319&amp;AA$2,$K$3:$N$4001,3,0)),"",VLOOKUP($R319&amp;AA$2,$K$3:$N$4001,3,0))</f>
        <v/>
      </c>
      <c r="AB319" s="109" t="str">
        <f>IF(ISNA(VLOOKUP($R319&amp;AA$2,$K$3:$N$4001,4,0)),"",VLOOKUP($R319&amp;AA$2,$K$3:$N$4001,4,0))</f>
        <v/>
      </c>
      <c r="AC319" s="108" t="str">
        <f>IF(ISNA(VLOOKUP($R319&amp;AC$2,$K$3:$N$4001,3,0)),"",VLOOKUP($R319&amp;AC$2,$K$3:$N$4001,3,0))</f>
        <v/>
      </c>
      <c r="AD319" s="109" t="str">
        <f>IF(ISNA(VLOOKUP($R319&amp;AC$2,$K$3:$N$4001,4,0)),"",VLOOKUP($R319&amp;AC$2,$K$3:$N$4001,4,0))</f>
        <v/>
      </c>
      <c r="AE319" s="108" t="str">
        <f>IF(ISNA(VLOOKUP($R319&amp;AE$2,$K$3:$N$4001,3,0)),"",VLOOKUP($R319&amp;AE$2,$K$3:$N$4001,3,0))</f>
        <v/>
      </c>
      <c r="AF319" s="109" t="str">
        <f>IF(ISNA(VLOOKUP($R319&amp;AE$2,$K$3:$N$4001,4,0)),"",VLOOKUP($R319&amp;AE$2,$K$3:$N$4001,4,0))</f>
        <v/>
      </c>
      <c r="AG319" s="108" t="str">
        <f>IF(ISNA(VLOOKUP($R319&amp;AG$2,$K$3:$N$4001,3,0)),"",VLOOKUP($R319&amp;AG$2,$K$3:$N$4001,3,0))</f>
        <v/>
      </c>
      <c r="AH319" s="109" t="str">
        <f>IF(ISNA(VLOOKUP($R319&amp;AG$2,$K$3:$N$4001,4,0)),"",VLOOKUP($R319&amp;AG$2,$K$3:$N$4001,4,0))</f>
        <v/>
      </c>
      <c r="AI319" s="108" t="str">
        <f>IF(ISNA(VLOOKUP($R319&amp;AI$2,$K$3:$N$4001,3,0)),"",VLOOKUP($R319&amp;AI$2,$K$3:$N$4001,3,0))</f>
        <v/>
      </c>
      <c r="AJ319" s="109" t="str">
        <f>IF(ISNA(VLOOKUP($R319&amp;AI$2,$K$3:$N$4001,4,0)),"",VLOOKUP($R319&amp;AI$2,$K$3:$N$4001,4,0))</f>
        <v/>
      </c>
      <c r="AK319" s="108" t="str">
        <f>IF(ISNA(VLOOKUP($R319&amp;AK$2,$K$3:$N$4001,3,0)),"",VLOOKUP($R319&amp;AK$2,$K$3:$N$4001,3,0))</f>
        <v/>
      </c>
    </row>
    <row r="320" spans="3:37" x14ac:dyDescent="0.2">
      <c r="C320" s="96" t="str">
        <f t="shared" si="16"/>
        <v>BOQ5</v>
      </c>
      <c r="D320" s="73" t="s">
        <v>97</v>
      </c>
      <c r="E320" s="100">
        <v>40662</v>
      </c>
      <c r="F320" s="101">
        <v>0.38390000000000002</v>
      </c>
      <c r="G320" s="96">
        <f t="shared" si="17"/>
        <v>5</v>
      </c>
      <c r="I320" s="96"/>
      <c r="K320" t="str">
        <f t="shared" si="18"/>
        <v>BOQ5</v>
      </c>
      <c r="L320" s="73" t="s">
        <v>97</v>
      </c>
      <c r="M320" s="72">
        <v>40662</v>
      </c>
      <c r="N320" s="84">
        <v>0.38390000000000002</v>
      </c>
      <c r="O320" s="96">
        <f t="shared" si="19"/>
        <v>5</v>
      </c>
      <c r="Q320" s="96"/>
      <c r="R320" s="96" t="s">
        <v>281</v>
      </c>
      <c r="S320" s="106" t="str">
        <f>IF(ISNA(VLOOKUP($R320&amp;S$2,$C$3:$F$4001,3,0)),"",VLOOKUP($R320&amp;S$2,$C$3:$F$4001,3,0))</f>
        <v/>
      </c>
      <c r="T320" s="107" t="str">
        <f>IF(ISNA(VLOOKUP($R320&amp;S$2,$C$3:$F$4001,4,0)),"",VLOOKUP($R320&amp;S$2,$C$3:$F$4001,4,0))</f>
        <v/>
      </c>
      <c r="U320" s="106" t="str">
        <f>IF(ISNA(VLOOKUP($R320&amp;U$2,$C$3:$F$4001,3,0)),"",VLOOKUP($R320&amp;U$2,$C$3:$F$4001,3,0))</f>
        <v/>
      </c>
      <c r="V320" s="107" t="str">
        <f>IF(ISNA(VLOOKUP($R320&amp;U$2,$C$3:$F$4001,4,0)),"",VLOOKUP($R320&amp;U$2,$C$3:$F$4001,4,0))</f>
        <v/>
      </c>
      <c r="W320" s="106" t="str">
        <f>IF(ISNA(VLOOKUP($R320&amp;W$2,$C$3:$F$4001,3,0)),"",VLOOKUP($R320&amp;W$2,$C$3:$F$4001,3,0))</f>
        <v/>
      </c>
      <c r="X320" s="107" t="str">
        <f>IF(ISNA(VLOOKUP($R320&amp;W$2,$C$3:$F$4001,4,0)),"",VLOOKUP($R320&amp;W$2,$C$3:$F$4001,4,0))</f>
        <v/>
      </c>
      <c r="Y320" s="106" t="str">
        <f>IF(ISNA(VLOOKUP($R320&amp;Y$2,$C$3:$F$4001,3,0)),"",VLOOKUP($R320&amp;Y$2,$C$3:$F$4001,3,0))</f>
        <v/>
      </c>
      <c r="Z320" s="107" t="str">
        <f>IF(ISNA(VLOOKUP($R320&amp;Y$2,$C$3:$F$4001,4,0)),"",VLOOKUP($R320&amp;Y$2,$C$3:$F$4001,4,0))</f>
        <v/>
      </c>
      <c r="AA320" s="106" t="str">
        <f>IF(ISNA(VLOOKUP($R320&amp;AA$2,$C$3:$F$4001,3,0)),"",VLOOKUP($R320&amp;AA$2,$C$3:$F$4001,3,0))</f>
        <v/>
      </c>
      <c r="AB320" s="107" t="str">
        <f>IF(ISNA(VLOOKUP($R320&amp;AA$2,$C$3:$F$4001,4,0)),"",VLOOKUP($R320&amp;AA$2,$C$3:$F$4001,4,0))</f>
        <v/>
      </c>
      <c r="AC320" s="106" t="str">
        <f>IF(ISNA(VLOOKUP($R320&amp;AC$2,$C$3:$F$4001,3,0)),"",VLOOKUP($R320&amp;AC$2,$C$3:$F$4001,3,0))</f>
        <v/>
      </c>
      <c r="AD320" s="107" t="str">
        <f>IF(ISNA(VLOOKUP($R320&amp;AC$2,$C$3:$F$4001,4,0)),"",VLOOKUP($R320&amp;AC$2,$C$3:$F$4001,4,0))</f>
        <v/>
      </c>
      <c r="AE320" s="106" t="str">
        <f>IF(ISNA(VLOOKUP($R320&amp;AE$2,$C$3:$F$4001,3,0)),"",VLOOKUP($R320&amp;AE$2,$C$3:$F$4001,3,0))</f>
        <v/>
      </c>
      <c r="AF320" s="107" t="str">
        <f>IF(ISNA(VLOOKUP($R320&amp;AE$2,$C$3:$F$4001,4,0)),"",VLOOKUP($R320&amp;AE$2,$C$3:$F$4001,4,0))</f>
        <v/>
      </c>
      <c r="AG320" s="106" t="str">
        <f>IF(ISNA(VLOOKUP($R320&amp;AG$2,$C$3:$F$4001,3,0)),"",VLOOKUP($R320&amp;AG$2,$C$3:$F$4001,3,0))</f>
        <v/>
      </c>
      <c r="AH320" s="107" t="str">
        <f>IF(ISNA(VLOOKUP($R320&amp;AG$2,$C$3:$F$4001,4,0)),"",VLOOKUP($R320&amp;AG$2,$C$3:$F$4001,4,0))</f>
        <v/>
      </c>
      <c r="AI320" s="106" t="str">
        <f>IF(ISNA(VLOOKUP($R320&amp;AI$2,$C$3:$F$4001,3,0)),"",VLOOKUP($R320&amp;AI$2,$C$3:$F$4001,3,0))</f>
        <v/>
      </c>
      <c r="AJ320" s="107" t="str">
        <f>IF(ISNA(VLOOKUP($R320&amp;AI$2,$C$3:$F$4001,4,0)),"",VLOOKUP($R320&amp;AI$2,$C$3:$F$4001,4,0))</f>
        <v/>
      </c>
      <c r="AK320" s="106" t="str">
        <f>IF(ISNA(VLOOKUP($R320&amp;AK$2,$C$3:$F$4001,3,0)),"",VLOOKUP($R320&amp;AK$2,$C$3:$F$4001,3,0))</f>
        <v/>
      </c>
    </row>
    <row r="321" spans="3:37" x14ac:dyDescent="0.2">
      <c r="C321" s="96" t="str">
        <f t="shared" si="16"/>
        <v>BOQ6</v>
      </c>
      <c r="D321" s="73" t="s">
        <v>97</v>
      </c>
      <c r="E321" s="100">
        <v>40862</v>
      </c>
      <c r="F321" s="101">
        <v>0.41609999999999997</v>
      </c>
      <c r="G321" s="96">
        <f t="shared" si="17"/>
        <v>6</v>
      </c>
      <c r="I321" s="96"/>
      <c r="K321" t="str">
        <f t="shared" si="18"/>
        <v>BOQ6</v>
      </c>
      <c r="L321" s="73" t="s">
        <v>97</v>
      </c>
      <c r="M321" s="72">
        <v>40862</v>
      </c>
      <c r="N321" s="84">
        <v>0.41609999999999997</v>
      </c>
      <c r="O321" s="96">
        <f t="shared" si="19"/>
        <v>6</v>
      </c>
      <c r="Q321" s="96"/>
      <c r="R321" s="96" t="str">
        <f>R320</f>
        <v>ROC</v>
      </c>
      <c r="S321" s="108" t="str">
        <f>IF(ISNA(VLOOKUP($R321&amp;S$2,$K$3:$N$4001,3,0)),"",VLOOKUP($R321&amp;S$2,$K$3:$N$4001,3,0))</f>
        <v/>
      </c>
      <c r="T321" s="109" t="str">
        <f>IF(ISNA(VLOOKUP($R321&amp;S$2,$K$3:$N$4001,4,0)),"",VLOOKUP($R321&amp;S$2,$K$3:$N$4001,4,0))</f>
        <v/>
      </c>
      <c r="U321" s="108" t="str">
        <f>IF(ISNA(VLOOKUP($R321&amp;U$2,$K$3:$N$4001,3,0)),"",VLOOKUP($R321&amp;U$2,$K$3:$N$4001,3,0))</f>
        <v/>
      </c>
      <c r="V321" s="109" t="str">
        <f>IF(ISNA(VLOOKUP($R321&amp;U$2,$K$3:$N$4001,4,0)),"",VLOOKUP($R321&amp;U$2,$K$3:$N$4001,4,0))</f>
        <v/>
      </c>
      <c r="W321" s="108" t="str">
        <f>IF(ISNA(VLOOKUP($R321&amp;W$2,$K$3:$N$4001,3,0)),"",VLOOKUP($R321&amp;W$2,$K$3:$N$4001,3,0))</f>
        <v/>
      </c>
      <c r="X321" s="109" t="str">
        <f>IF(ISNA(VLOOKUP($R321&amp;W$2,$K$3:$N$4001,4,0)),"",VLOOKUP($R321&amp;W$2,$K$3:$N$4001,4,0))</f>
        <v/>
      </c>
      <c r="Y321" s="108" t="str">
        <f>IF(ISNA(VLOOKUP($R321&amp;Y$2,$K$3:$N$4001,3,0)),"",VLOOKUP($R321&amp;Y$2,$K$3:$N$4001,3,0))</f>
        <v/>
      </c>
      <c r="Z321" s="109" t="str">
        <f>IF(ISNA(VLOOKUP($R321&amp;Y$2,$K$3:$N$4001,4,0)),"",VLOOKUP($R321&amp;Y$2,$K$3:$N$4001,4,0))</f>
        <v/>
      </c>
      <c r="AA321" s="108" t="str">
        <f>IF(ISNA(VLOOKUP($R321&amp;AA$2,$K$3:$N$4001,3,0)),"",VLOOKUP($R321&amp;AA$2,$K$3:$N$4001,3,0))</f>
        <v/>
      </c>
      <c r="AB321" s="109" t="str">
        <f>IF(ISNA(VLOOKUP($R321&amp;AA$2,$K$3:$N$4001,4,0)),"",VLOOKUP($R321&amp;AA$2,$K$3:$N$4001,4,0))</f>
        <v/>
      </c>
      <c r="AC321" s="108" t="str">
        <f>IF(ISNA(VLOOKUP($R321&amp;AC$2,$K$3:$N$4001,3,0)),"",VLOOKUP($R321&amp;AC$2,$K$3:$N$4001,3,0))</f>
        <v/>
      </c>
      <c r="AD321" s="109" t="str">
        <f>IF(ISNA(VLOOKUP($R321&amp;AC$2,$K$3:$N$4001,4,0)),"",VLOOKUP($R321&amp;AC$2,$K$3:$N$4001,4,0))</f>
        <v/>
      </c>
      <c r="AE321" s="108" t="str">
        <f>IF(ISNA(VLOOKUP($R321&amp;AE$2,$K$3:$N$4001,3,0)),"",VLOOKUP($R321&amp;AE$2,$K$3:$N$4001,3,0))</f>
        <v/>
      </c>
      <c r="AF321" s="109" t="str">
        <f>IF(ISNA(VLOOKUP($R321&amp;AE$2,$K$3:$N$4001,4,0)),"",VLOOKUP($R321&amp;AE$2,$K$3:$N$4001,4,0))</f>
        <v/>
      </c>
      <c r="AG321" s="108" t="str">
        <f>IF(ISNA(VLOOKUP($R321&amp;AG$2,$K$3:$N$4001,3,0)),"",VLOOKUP($R321&amp;AG$2,$K$3:$N$4001,3,0))</f>
        <v/>
      </c>
      <c r="AH321" s="109" t="str">
        <f>IF(ISNA(VLOOKUP($R321&amp;AG$2,$K$3:$N$4001,4,0)),"",VLOOKUP($R321&amp;AG$2,$K$3:$N$4001,4,0))</f>
        <v/>
      </c>
      <c r="AI321" s="108" t="str">
        <f>IF(ISNA(VLOOKUP($R321&amp;AI$2,$K$3:$N$4001,3,0)),"",VLOOKUP($R321&amp;AI$2,$K$3:$N$4001,3,0))</f>
        <v/>
      </c>
      <c r="AJ321" s="109" t="str">
        <f>IF(ISNA(VLOOKUP($R321&amp;AI$2,$K$3:$N$4001,4,0)),"",VLOOKUP($R321&amp;AI$2,$K$3:$N$4001,4,0))</f>
        <v/>
      </c>
      <c r="AK321" s="108" t="str">
        <f>IF(ISNA(VLOOKUP($R321&amp;AK$2,$K$3:$N$4001,3,0)),"",VLOOKUP($R321&amp;AK$2,$K$3:$N$4001,3,0))</f>
        <v/>
      </c>
    </row>
    <row r="322" spans="3:37" x14ac:dyDescent="0.2">
      <c r="C322" s="96" t="str">
        <f t="shared" si="16"/>
        <v>BOQ7</v>
      </c>
      <c r="D322" s="73" t="s">
        <v>97</v>
      </c>
      <c r="E322" s="100">
        <v>41030</v>
      </c>
      <c r="F322" s="101">
        <v>0.40460000000000002</v>
      </c>
      <c r="G322" s="96">
        <f t="shared" si="17"/>
        <v>7</v>
      </c>
      <c r="I322" s="96"/>
      <c r="K322" t="str">
        <f t="shared" si="18"/>
        <v>BOQ7</v>
      </c>
      <c r="L322" s="73" t="s">
        <v>97</v>
      </c>
      <c r="M322" s="72">
        <v>41030</v>
      </c>
      <c r="N322" s="84">
        <v>0.40460000000000002</v>
      </c>
      <c r="O322" s="96">
        <f t="shared" si="19"/>
        <v>7</v>
      </c>
      <c r="Q322" s="96"/>
      <c r="R322" s="96" t="s">
        <v>215</v>
      </c>
      <c r="S322" s="106">
        <f>IF(ISNA(VLOOKUP($R322&amp;S$2,$C$3:$F$4001,3,0)),"",VLOOKUP($R322&amp;S$2,$C$3:$F$4001,3,0))</f>
        <v>39869</v>
      </c>
      <c r="T322" s="107">
        <f>IF(ISNA(VLOOKUP($R322&amp;S$2,$C$3:$F$4001,4,0)),"",VLOOKUP($R322&amp;S$2,$C$3:$F$4001,4,0))</f>
        <v>0.22</v>
      </c>
      <c r="U322" s="106">
        <f>IF(ISNA(VLOOKUP($R322&amp;U$2,$C$3:$F$4001,3,0)),"",VLOOKUP($R322&amp;U$2,$C$3:$F$4001,3,0))</f>
        <v>40052</v>
      </c>
      <c r="V322" s="107">
        <f>IF(ISNA(VLOOKUP($R322&amp;U$2,$C$3:$F$4001,4,0)),"",VLOOKUP($R322&amp;U$2,$C$3:$F$4001,4,0))</f>
        <v>0.22</v>
      </c>
      <c r="W322" s="106">
        <f>IF(ISNA(VLOOKUP($R322&amp;W$2,$C$3:$F$4001,3,0)),"",VLOOKUP($R322&amp;W$2,$C$3:$F$4001,3,0))</f>
        <v>40234</v>
      </c>
      <c r="X322" s="107">
        <f>IF(ISNA(VLOOKUP($R322&amp;W$2,$C$3:$F$4001,4,0)),"",VLOOKUP($R322&amp;W$2,$C$3:$F$4001,4,0))</f>
        <v>0.22</v>
      </c>
      <c r="Y322" s="106">
        <f>IF(ISNA(VLOOKUP($R322&amp;Y$2,$C$3:$F$4001,3,0)),"",VLOOKUP($R322&amp;Y$2,$C$3:$F$4001,3,0))</f>
        <v>40417</v>
      </c>
      <c r="Z322" s="107">
        <f>IF(ISNA(VLOOKUP($R322&amp;Y$2,$C$3:$F$4001,4,0)),"",VLOOKUP($R322&amp;Y$2,$C$3:$F$4001,4,0))</f>
        <v>0.22</v>
      </c>
      <c r="AA322" s="106">
        <f>IF(ISNA(VLOOKUP($R322&amp;AA$2,$C$3:$F$4001,3,0)),"",VLOOKUP($R322&amp;AA$2,$C$3:$F$4001,3,0))</f>
        <v>40599</v>
      </c>
      <c r="AB322" s="107">
        <f>IF(ISNA(VLOOKUP($R322&amp;AA$2,$C$3:$F$4001,4,0)),"",VLOOKUP($R322&amp;AA$2,$C$3:$F$4001,4,0))</f>
        <v>0.22</v>
      </c>
      <c r="AC322" s="106">
        <f>IF(ISNA(VLOOKUP($R322&amp;AC$2,$C$3:$F$4001,3,0)),"",VLOOKUP($R322&amp;AC$2,$C$3:$F$4001,3,0))</f>
        <v>40784</v>
      </c>
      <c r="AD322" s="107">
        <f>IF(ISNA(VLOOKUP($R322&amp;AC$2,$C$3:$F$4001,4,0)),"",VLOOKUP($R322&amp;AC$2,$C$3:$F$4001,4,0))</f>
        <v>0.22</v>
      </c>
      <c r="AE322" s="106">
        <f>IF(ISNA(VLOOKUP($R322&amp;AE$2,$C$3:$F$4001,3,0)),"",VLOOKUP($R322&amp;AE$2,$C$3:$F$4001,3,0))</f>
        <v>40967</v>
      </c>
      <c r="AF322" s="107">
        <f>IF(ISNA(VLOOKUP($R322&amp;AE$2,$C$3:$F$4001,4,0)),"",VLOOKUP($R322&amp;AE$2,$C$3:$F$4001,4,0))</f>
        <v>0.22</v>
      </c>
      <c r="AG322" s="106">
        <f>IF(ISNA(VLOOKUP($R322&amp;AG$2,$C$3:$F$4001,3,0)),"",VLOOKUP($R322&amp;AG$2,$C$3:$F$4001,3,0))</f>
        <v>41149</v>
      </c>
      <c r="AH322" s="107">
        <f>IF(ISNA(VLOOKUP($R322&amp;AG$2,$C$3:$F$4001,4,0)),"",VLOOKUP($R322&amp;AG$2,$C$3:$F$4001,4,0))</f>
        <v>0.22</v>
      </c>
      <c r="AI322" s="106">
        <f>IF(ISNA(VLOOKUP($R322&amp;AI$2,$C$3:$F$4001,3,0)),"",VLOOKUP($R322&amp;AI$2,$C$3:$F$4001,3,0))</f>
        <v>41332</v>
      </c>
      <c r="AJ322" s="107">
        <f>IF(ISNA(VLOOKUP($R322&amp;AI$2,$C$3:$F$4001,4,0)),"",VLOOKUP($R322&amp;AI$2,$C$3:$F$4001,4,0))</f>
        <v>0.22</v>
      </c>
      <c r="AK322" s="106" t="str">
        <f>IF(ISNA(VLOOKUP($R322&amp;AK$2,$C$3:$F$4001,3,0)),"",VLOOKUP($R322&amp;AK$2,$C$3:$F$4001,3,0))</f>
        <v/>
      </c>
    </row>
    <row r="323" spans="3:37" x14ac:dyDescent="0.2">
      <c r="C323" s="96" t="str">
        <f t="shared" ref="C323:C386" si="20">D323&amp;G323</f>
        <v>BOQ8</v>
      </c>
      <c r="D323" s="73" t="s">
        <v>97</v>
      </c>
      <c r="E323" s="100">
        <v>41228</v>
      </c>
      <c r="F323" s="101">
        <v>0.43840000000000001</v>
      </c>
      <c r="G323" s="96">
        <f t="shared" ref="G323:G386" si="21">IF(D323&lt;&gt;D322,1,G322+1)</f>
        <v>8</v>
      </c>
      <c r="I323" s="96"/>
      <c r="K323" t="str">
        <f t="shared" ref="K323:K386" si="22">L323&amp;O323</f>
        <v>BOQ8</v>
      </c>
      <c r="L323" s="73" t="s">
        <v>97</v>
      </c>
      <c r="M323" s="72">
        <v>41228</v>
      </c>
      <c r="N323" s="84">
        <v>0.43840000000000001</v>
      </c>
      <c r="O323" s="96">
        <f t="shared" ref="O323:O386" si="23">IF(L323&lt;&gt;L322,1,O322+1)</f>
        <v>8</v>
      </c>
      <c r="Q323" s="96"/>
      <c r="R323" s="96" t="str">
        <f>R322</f>
        <v>STO</v>
      </c>
      <c r="S323" s="108">
        <f>IF(ISNA(VLOOKUP($R323&amp;S$2,$K$3:$N$4001,3,0)),"",VLOOKUP($R323&amp;S$2,$K$3:$N$4001,3,0))</f>
        <v>39869</v>
      </c>
      <c r="T323" s="109">
        <f>IF(ISNA(VLOOKUP($R323&amp;S$2,$K$3:$N$4001,4,0)),"",VLOOKUP($R323&amp;S$2,$K$3:$N$4001,4,0))</f>
        <v>0.22</v>
      </c>
      <c r="U323" s="108">
        <f>IF(ISNA(VLOOKUP($R323&amp;U$2,$K$3:$N$4001,3,0)),"",VLOOKUP($R323&amp;U$2,$K$3:$N$4001,3,0))</f>
        <v>40052</v>
      </c>
      <c r="V323" s="109">
        <f>IF(ISNA(VLOOKUP($R323&amp;U$2,$K$3:$N$4001,4,0)),"",VLOOKUP($R323&amp;U$2,$K$3:$N$4001,4,0))</f>
        <v>0.22</v>
      </c>
      <c r="W323" s="108">
        <f>IF(ISNA(VLOOKUP($R323&amp;W$2,$K$3:$N$4001,3,0)),"",VLOOKUP($R323&amp;W$2,$K$3:$N$4001,3,0))</f>
        <v>40234</v>
      </c>
      <c r="X323" s="109">
        <f>IF(ISNA(VLOOKUP($R323&amp;W$2,$K$3:$N$4001,4,0)),"",VLOOKUP($R323&amp;W$2,$K$3:$N$4001,4,0))</f>
        <v>0.22</v>
      </c>
      <c r="Y323" s="108">
        <f>IF(ISNA(VLOOKUP($R323&amp;Y$2,$K$3:$N$4001,3,0)),"",VLOOKUP($R323&amp;Y$2,$K$3:$N$4001,3,0))</f>
        <v>40417</v>
      </c>
      <c r="Z323" s="109">
        <f>IF(ISNA(VLOOKUP($R323&amp;Y$2,$K$3:$N$4001,4,0)),"",VLOOKUP($R323&amp;Y$2,$K$3:$N$4001,4,0))</f>
        <v>0.22</v>
      </c>
      <c r="AA323" s="108">
        <f>IF(ISNA(VLOOKUP($R323&amp;AA$2,$K$3:$N$4001,3,0)),"",VLOOKUP($R323&amp;AA$2,$K$3:$N$4001,3,0))</f>
        <v>40599</v>
      </c>
      <c r="AB323" s="109">
        <f>IF(ISNA(VLOOKUP($R323&amp;AA$2,$K$3:$N$4001,4,0)),"",VLOOKUP($R323&amp;AA$2,$K$3:$N$4001,4,0))</f>
        <v>0.22</v>
      </c>
      <c r="AC323" s="108">
        <f>IF(ISNA(VLOOKUP($R323&amp;AC$2,$K$3:$N$4001,3,0)),"",VLOOKUP($R323&amp;AC$2,$K$3:$N$4001,3,0))</f>
        <v>40784</v>
      </c>
      <c r="AD323" s="109">
        <f>IF(ISNA(VLOOKUP($R323&amp;AC$2,$K$3:$N$4001,4,0)),"",VLOOKUP($R323&amp;AC$2,$K$3:$N$4001,4,0))</f>
        <v>0.22</v>
      </c>
      <c r="AE323" s="108">
        <f>IF(ISNA(VLOOKUP($R323&amp;AE$2,$K$3:$N$4001,3,0)),"",VLOOKUP($R323&amp;AE$2,$K$3:$N$4001,3,0))</f>
        <v>40967</v>
      </c>
      <c r="AF323" s="109">
        <f>IF(ISNA(VLOOKUP($R323&amp;AE$2,$K$3:$N$4001,4,0)),"",VLOOKUP($R323&amp;AE$2,$K$3:$N$4001,4,0))</f>
        <v>0.22</v>
      </c>
      <c r="AG323" s="108">
        <f>IF(ISNA(VLOOKUP($R323&amp;AG$2,$K$3:$N$4001,3,0)),"",VLOOKUP($R323&amp;AG$2,$K$3:$N$4001,3,0))</f>
        <v>41149</v>
      </c>
      <c r="AH323" s="109">
        <f>IF(ISNA(VLOOKUP($R323&amp;AG$2,$K$3:$N$4001,4,0)),"",VLOOKUP($R323&amp;AG$2,$K$3:$N$4001,4,0))</f>
        <v>0.22</v>
      </c>
      <c r="AI323" s="108">
        <f>IF(ISNA(VLOOKUP($R323&amp;AI$2,$K$3:$N$4001,3,0)),"",VLOOKUP($R323&amp;AI$2,$K$3:$N$4001,3,0))</f>
        <v>41332</v>
      </c>
      <c r="AJ323" s="109">
        <f>IF(ISNA(VLOOKUP($R323&amp;AI$2,$K$3:$N$4001,4,0)),"",VLOOKUP($R323&amp;AI$2,$K$3:$N$4001,4,0))</f>
        <v>0.22</v>
      </c>
      <c r="AK323" s="108" t="str">
        <f>IF(ISNA(VLOOKUP($R323&amp;AK$2,$K$3:$N$4001,3,0)),"",VLOOKUP($R323&amp;AK$2,$K$3:$N$4001,3,0))</f>
        <v/>
      </c>
    </row>
    <row r="324" spans="3:37" x14ac:dyDescent="0.2">
      <c r="C324" s="96" t="str">
        <f t="shared" si="20"/>
        <v>BOQ9</v>
      </c>
      <c r="D324" s="73" t="s">
        <v>97</v>
      </c>
      <c r="E324" s="100">
        <v>41395</v>
      </c>
      <c r="F324" s="101">
        <v>0.44969999999999999</v>
      </c>
      <c r="G324" s="96">
        <f t="shared" si="21"/>
        <v>9</v>
      </c>
      <c r="I324" s="96"/>
      <c r="K324" t="str">
        <f t="shared" si="22"/>
        <v>BOQ9</v>
      </c>
      <c r="L324" s="73" t="s">
        <v>97</v>
      </c>
      <c r="M324" s="72">
        <v>41395</v>
      </c>
      <c r="N324" s="84">
        <v>0.44969999999999999</v>
      </c>
      <c r="O324" s="96">
        <f t="shared" si="23"/>
        <v>9</v>
      </c>
      <c r="Q324" s="96"/>
      <c r="R324" s="96" t="s">
        <v>202</v>
      </c>
      <c r="S324" s="106">
        <f>IF(ISNA(VLOOKUP($R324&amp;S$2,$C$3:$F$4001,3,0)),"",VLOOKUP($R324&amp;S$2,$C$3:$F$4001,3,0))</f>
        <v>39868</v>
      </c>
      <c r="T324" s="107">
        <f>IF(ISNA(VLOOKUP($R324&amp;S$2,$C$3:$F$4001,4,0)),"",VLOOKUP($R324&amp;S$2,$C$3:$F$4001,4,0))</f>
        <v>7.3399999999999993E-2</v>
      </c>
      <c r="U324" s="106">
        <f>IF(ISNA(VLOOKUP($R324&amp;U$2,$C$3:$F$4001,3,0)),"",VLOOKUP($R324&amp;U$2,$C$3:$F$4001,3,0))</f>
        <v>40064</v>
      </c>
      <c r="V324" s="107">
        <f>IF(ISNA(VLOOKUP($R324&amp;U$2,$C$3:$F$4001,4,0)),"",VLOOKUP($R324&amp;U$2,$C$3:$F$4001,4,0))</f>
        <v>8.3599999999999994E-2</v>
      </c>
      <c r="W324" s="106">
        <f>IF(ISNA(VLOOKUP($R324&amp;W$2,$C$3:$F$4001,3,0)),"",VLOOKUP($R324&amp;W$2,$C$3:$F$4001,3,0))</f>
        <v>40233</v>
      </c>
      <c r="X324" s="107">
        <f>IF(ISNA(VLOOKUP($R324&amp;W$2,$C$3:$F$4001,4,0)),"",VLOOKUP($R324&amp;W$2,$C$3:$F$4001,4,0))</f>
        <v>7.4299999999999991E-2</v>
      </c>
      <c r="Y324" s="106">
        <f>IF(ISNA(VLOOKUP($R324&amp;Y$2,$C$3:$F$4001,3,0)),"",VLOOKUP($R324&amp;Y$2,$C$3:$F$4001,3,0))</f>
        <v>40429</v>
      </c>
      <c r="Z324" s="107">
        <f>IF(ISNA(VLOOKUP($R324&amp;Y$2,$C$3:$F$4001,4,0)),"",VLOOKUP($R324&amp;Y$2,$C$3:$F$4001,4,0))</f>
        <v>8.4700000000000011E-2</v>
      </c>
      <c r="AA324" s="106">
        <f>IF(ISNA(VLOOKUP($R324&amp;AA$2,$C$3:$F$4001,3,0)),"",VLOOKUP($R324&amp;AA$2,$C$3:$F$4001,3,0))</f>
        <v>40598</v>
      </c>
      <c r="AB324" s="107">
        <f>IF(ISNA(VLOOKUP($R324&amp;AA$2,$C$3:$F$4001,4,0)),"",VLOOKUP($R324&amp;AA$2,$C$3:$F$4001,4,0))</f>
        <v>9.0200000000000002E-2</v>
      </c>
      <c r="AC324" s="106">
        <f>IF(ISNA(VLOOKUP($R324&amp;AC$2,$C$3:$F$4001,3,0)),"",VLOOKUP($R324&amp;AC$2,$C$3:$F$4001,3,0))</f>
        <v>40794</v>
      </c>
      <c r="AD324" s="107">
        <f>IF(ISNA(VLOOKUP($R324&amp;AC$2,$C$3:$F$4001,4,0)),"",VLOOKUP($R324&amp;AC$2,$C$3:$F$4001,4,0))</f>
        <v>0.10279999999999999</v>
      </c>
      <c r="AE324" s="106">
        <f>IF(ISNA(VLOOKUP($R324&amp;AE$2,$C$3:$F$4001,3,0)),"",VLOOKUP($R324&amp;AE$2,$C$3:$F$4001,3,0))</f>
        <v>40966</v>
      </c>
      <c r="AF324" s="107">
        <f>IF(ISNA(VLOOKUP($R324&amp;AE$2,$C$3:$F$4001,4,0)),"",VLOOKUP($R324&amp;AE$2,$C$3:$F$4001,4,0))</f>
        <v>0.1081</v>
      </c>
      <c r="AG324" s="106">
        <f>IF(ISNA(VLOOKUP($R324&amp;AG$2,$C$3:$F$4001,3,0)),"",VLOOKUP($R324&amp;AG$2,$C$3:$F$4001,3,0))</f>
        <v>41162</v>
      </c>
      <c r="AH324" s="107">
        <f>IF(ISNA(VLOOKUP($R324&amp;AG$2,$C$3:$F$4001,4,0)),"",VLOOKUP($R324&amp;AG$2,$C$3:$F$4001,4,0))</f>
        <v>0.1229</v>
      </c>
      <c r="AI324" s="106">
        <f>IF(ISNA(VLOOKUP($R324&amp;AI$2,$C$3:$F$4001,3,0)),"",VLOOKUP($R324&amp;AI$2,$C$3:$F$4001,3,0))</f>
        <v>41331</v>
      </c>
      <c r="AJ324" s="107">
        <f>IF(ISNA(VLOOKUP($R324&amp;AI$2,$C$3:$F$4001,4,0)),"",VLOOKUP($R324&amp;AI$2,$C$3:$F$4001,4,0))</f>
        <v>0.1174</v>
      </c>
      <c r="AK324" s="106">
        <f>IF(ISNA(VLOOKUP($R324&amp;AK$2,$C$3:$F$4001,3,0)),"",VLOOKUP($R324&amp;AK$2,$C$3:$F$4001,3,0))</f>
        <v>41527</v>
      </c>
    </row>
    <row r="325" spans="3:37" x14ac:dyDescent="0.2">
      <c r="C325" s="96" t="str">
        <f t="shared" si="20"/>
        <v>BOQ10</v>
      </c>
      <c r="D325" s="73" t="s">
        <v>97</v>
      </c>
      <c r="E325" s="100">
        <v>41593</v>
      </c>
      <c r="F325" s="101">
        <v>0.48729999999999996</v>
      </c>
      <c r="G325" s="96">
        <f t="shared" si="21"/>
        <v>10</v>
      </c>
      <c r="I325" s="96"/>
      <c r="K325" t="str">
        <f t="shared" si="22"/>
        <v>BOQ10</v>
      </c>
      <c r="L325" s="73" t="s">
        <v>97</v>
      </c>
      <c r="M325" s="72">
        <v>41593</v>
      </c>
      <c r="N325" s="84">
        <v>0.48729999999999996</v>
      </c>
      <c r="O325" s="96">
        <f t="shared" si="23"/>
        <v>10</v>
      </c>
      <c r="Q325" s="96"/>
      <c r="R325" s="96" t="str">
        <f>R324</f>
        <v>SEK</v>
      </c>
      <c r="S325" s="108">
        <f>IF(ISNA(VLOOKUP($R325&amp;S$2,$K$3:$N$4001,3,0)),"",VLOOKUP($R325&amp;S$2,$K$3:$N$4001,3,0))</f>
        <v>39868</v>
      </c>
      <c r="T325" s="109">
        <f>IF(ISNA(VLOOKUP($R325&amp;S$2,$K$3:$N$4001,4,0)),"",VLOOKUP($R325&amp;S$2,$K$3:$N$4001,4,0))</f>
        <v>7.3399999999999993E-2</v>
      </c>
      <c r="U325" s="108">
        <f>IF(ISNA(VLOOKUP($R325&amp;U$2,$K$3:$N$4001,3,0)),"",VLOOKUP($R325&amp;U$2,$K$3:$N$4001,3,0))</f>
        <v>40064</v>
      </c>
      <c r="V325" s="109">
        <f>IF(ISNA(VLOOKUP($R325&amp;U$2,$K$3:$N$4001,4,0)),"",VLOOKUP($R325&amp;U$2,$K$3:$N$4001,4,0))</f>
        <v>8.3599999999999994E-2</v>
      </c>
      <c r="W325" s="108">
        <f>IF(ISNA(VLOOKUP($R325&amp;W$2,$K$3:$N$4001,3,0)),"",VLOOKUP($R325&amp;W$2,$K$3:$N$4001,3,0))</f>
        <v>40233</v>
      </c>
      <c r="X325" s="109">
        <f>IF(ISNA(VLOOKUP($R325&amp;W$2,$K$3:$N$4001,4,0)),"",VLOOKUP($R325&amp;W$2,$K$3:$N$4001,4,0))</f>
        <v>7.4299999999999991E-2</v>
      </c>
      <c r="Y325" s="108">
        <f>IF(ISNA(VLOOKUP($R325&amp;Y$2,$K$3:$N$4001,3,0)),"",VLOOKUP($R325&amp;Y$2,$K$3:$N$4001,3,0))</f>
        <v>40429</v>
      </c>
      <c r="Z325" s="109">
        <f>IF(ISNA(VLOOKUP($R325&amp;Y$2,$K$3:$N$4001,4,0)),"",VLOOKUP($R325&amp;Y$2,$K$3:$N$4001,4,0))</f>
        <v>8.4700000000000011E-2</v>
      </c>
      <c r="AA325" s="108">
        <f>IF(ISNA(VLOOKUP($R325&amp;AA$2,$K$3:$N$4001,3,0)),"",VLOOKUP($R325&amp;AA$2,$K$3:$N$4001,3,0))</f>
        <v>40598</v>
      </c>
      <c r="AB325" s="109">
        <f>IF(ISNA(VLOOKUP($R325&amp;AA$2,$K$3:$N$4001,4,0)),"",VLOOKUP($R325&amp;AA$2,$K$3:$N$4001,4,0))</f>
        <v>9.0200000000000002E-2</v>
      </c>
      <c r="AC325" s="108">
        <f>IF(ISNA(VLOOKUP($R325&amp;AC$2,$K$3:$N$4001,3,0)),"",VLOOKUP($R325&amp;AC$2,$K$3:$N$4001,3,0))</f>
        <v>40794</v>
      </c>
      <c r="AD325" s="109">
        <f>IF(ISNA(VLOOKUP($R325&amp;AC$2,$K$3:$N$4001,4,0)),"",VLOOKUP($R325&amp;AC$2,$K$3:$N$4001,4,0))</f>
        <v>0.10279999999999999</v>
      </c>
      <c r="AE325" s="108">
        <f>IF(ISNA(VLOOKUP($R325&amp;AE$2,$K$3:$N$4001,3,0)),"",VLOOKUP($R325&amp;AE$2,$K$3:$N$4001,3,0))</f>
        <v>40966</v>
      </c>
      <c r="AF325" s="109">
        <f>IF(ISNA(VLOOKUP($R325&amp;AE$2,$K$3:$N$4001,4,0)),"",VLOOKUP($R325&amp;AE$2,$K$3:$N$4001,4,0))</f>
        <v>0.1081</v>
      </c>
      <c r="AG325" s="108">
        <f>IF(ISNA(VLOOKUP($R325&amp;AG$2,$K$3:$N$4001,3,0)),"",VLOOKUP($R325&amp;AG$2,$K$3:$N$4001,3,0))</f>
        <v>41162</v>
      </c>
      <c r="AH325" s="109">
        <f>IF(ISNA(VLOOKUP($R325&amp;AG$2,$K$3:$N$4001,4,0)),"",VLOOKUP($R325&amp;AG$2,$K$3:$N$4001,4,0))</f>
        <v>0.1229</v>
      </c>
      <c r="AI325" s="108">
        <f>IF(ISNA(VLOOKUP($R325&amp;AI$2,$K$3:$N$4001,3,0)),"",VLOOKUP($R325&amp;AI$2,$K$3:$N$4001,3,0))</f>
        <v>41331</v>
      </c>
      <c r="AJ325" s="109">
        <f>IF(ISNA(VLOOKUP($R325&amp;AI$2,$K$3:$N$4001,4,0)),"",VLOOKUP($R325&amp;AI$2,$K$3:$N$4001,4,0))</f>
        <v>0.1174</v>
      </c>
      <c r="AK325" s="108">
        <f>IF(ISNA(VLOOKUP($R325&amp;AK$2,$K$3:$N$4001,3,0)),"",VLOOKUP($R325&amp;AK$2,$K$3:$N$4001,3,0))</f>
        <v>41527</v>
      </c>
    </row>
    <row r="326" spans="3:37" x14ac:dyDescent="0.2">
      <c r="C326" s="96" t="str">
        <f t="shared" si="20"/>
        <v>BPT1</v>
      </c>
      <c r="D326" s="73" t="s">
        <v>98</v>
      </c>
      <c r="E326" s="100">
        <v>39897</v>
      </c>
      <c r="F326" s="101">
        <v>7.4999999999999997E-3</v>
      </c>
      <c r="G326" s="96">
        <f t="shared" si="21"/>
        <v>1</v>
      </c>
      <c r="I326" s="96"/>
      <c r="K326" t="str">
        <f t="shared" si="22"/>
        <v>BPT1</v>
      </c>
      <c r="L326" s="73" t="s">
        <v>98</v>
      </c>
      <c r="M326" s="72">
        <v>39897</v>
      </c>
      <c r="N326" s="84">
        <v>7.4999999999999997E-3</v>
      </c>
      <c r="O326" s="96">
        <f t="shared" si="23"/>
        <v>1</v>
      </c>
      <c r="Q326" s="96"/>
      <c r="R326" s="96" t="s">
        <v>203</v>
      </c>
      <c r="S326" s="106">
        <f>IF(ISNA(VLOOKUP($R326&amp;S$2,$C$3:$F$4001,3,0)),"",VLOOKUP($R326&amp;S$2,$C$3:$F$4001,3,0))</f>
        <v>39899</v>
      </c>
      <c r="T326" s="107">
        <f>IF(ISNA(VLOOKUP($R326&amp;S$2,$C$3:$F$4001,4,0)),"",VLOOKUP($R326&amp;S$2,$C$3:$F$4001,4,0))</f>
        <v>0.157</v>
      </c>
      <c r="U326" s="106">
        <f>IF(ISNA(VLOOKUP($R326&amp;U$2,$C$3:$F$4001,3,0)),"",VLOOKUP($R326&amp;U$2,$C$3:$F$4001,3,0))</f>
        <v>40105</v>
      </c>
      <c r="V326" s="107">
        <f>IF(ISNA(VLOOKUP($R326&amp;U$2,$C$3:$F$4001,4,0)),"",VLOOKUP($R326&amp;U$2,$C$3:$F$4001,4,0))</f>
        <v>0.157</v>
      </c>
      <c r="W326" s="106">
        <f>IF(ISNA(VLOOKUP($R326&amp;W$2,$C$3:$F$4001,3,0)),"",VLOOKUP($R326&amp;W$2,$C$3:$F$4001,3,0))</f>
        <v>40266</v>
      </c>
      <c r="X326" s="107">
        <f>IF(ISNA(VLOOKUP($R326&amp;W$2,$C$3:$F$4001,4,0)),"",VLOOKUP($R326&amp;W$2,$C$3:$F$4001,4,0))</f>
        <v>0.152</v>
      </c>
      <c r="Y326" s="106">
        <f>IF(ISNA(VLOOKUP($R326&amp;Y$2,$C$3:$F$4001,3,0)),"",VLOOKUP($R326&amp;Y$2,$C$3:$F$4001,3,0))</f>
        <v>40470</v>
      </c>
      <c r="Z326" s="107">
        <f>IF(ISNA(VLOOKUP($R326&amp;Y$2,$C$3:$F$4001,4,0)),"",VLOOKUP($R326&amp;Y$2,$C$3:$F$4001,4,0))</f>
        <v>0.152</v>
      </c>
      <c r="AA326" s="106">
        <f>IF(ISNA(VLOOKUP($R326&amp;AA$2,$C$3:$F$4001,3,0)),"",VLOOKUP($R326&amp;AA$2,$C$3:$F$4001,3,0))</f>
        <v>40633</v>
      </c>
      <c r="AB326" s="107">
        <f>IF(ISNA(VLOOKUP($R326&amp;AA$2,$C$3:$F$4001,4,0)),"",VLOOKUP($R326&amp;AA$2,$C$3:$F$4001,4,0))</f>
        <v>0.1555</v>
      </c>
      <c r="AC326" s="106">
        <f>IF(ISNA(VLOOKUP($R326&amp;AC$2,$C$3:$F$4001,3,0)),"",VLOOKUP($R326&amp;AC$2,$C$3:$F$4001,3,0))</f>
        <v>40835</v>
      </c>
      <c r="AD326" s="107">
        <f>IF(ISNA(VLOOKUP($R326&amp;AC$2,$C$3:$F$4001,4,0)),"",VLOOKUP($R326&amp;AC$2,$C$3:$F$4001,4,0))</f>
        <v>0.1555</v>
      </c>
      <c r="AE326" s="106">
        <f>IF(ISNA(VLOOKUP($R326&amp;AE$2,$C$3:$F$4001,3,0)),"",VLOOKUP($R326&amp;AE$2,$C$3:$F$4001,3,0))</f>
        <v>41001</v>
      </c>
      <c r="AF326" s="107">
        <f>IF(ISNA(VLOOKUP($R326&amp;AE$2,$C$3:$F$4001,4,0)),"",VLOOKUP($R326&amp;AE$2,$C$3:$F$4001,4,0))</f>
        <v>0.1605</v>
      </c>
      <c r="AG326" s="106">
        <f>IF(ISNA(VLOOKUP($R326&amp;AG$2,$C$3:$F$4001,3,0)),"",VLOOKUP($R326&amp;AG$2,$C$3:$F$4001,3,0))</f>
        <v>41201</v>
      </c>
      <c r="AH326" s="107">
        <f>IF(ISNA(VLOOKUP($R326&amp;AG$2,$C$3:$F$4001,4,0)),"",VLOOKUP($R326&amp;AG$2,$C$3:$F$4001,4,0))</f>
        <v>0.1605</v>
      </c>
      <c r="AI326" s="106">
        <f>IF(ISNA(VLOOKUP($R326&amp;AI$2,$C$3:$F$4001,3,0)),"",VLOOKUP($R326&amp;AI$2,$C$3:$F$4001,3,0))</f>
        <v>41366</v>
      </c>
      <c r="AJ326" s="107">
        <f>IF(ISNA(VLOOKUP($R326&amp;AI$2,$C$3:$F$4001,4,0)),"",VLOOKUP($R326&amp;AI$2,$C$3:$F$4001,4,0))</f>
        <v>0.17649999999999999</v>
      </c>
      <c r="AK326" s="106">
        <f>IF(ISNA(VLOOKUP($R326&amp;AK$2,$C$3:$F$4001,3,0)),"",VLOOKUP($R326&amp;AK$2,$C$3:$F$4001,3,0))</f>
        <v>41568</v>
      </c>
    </row>
    <row r="327" spans="3:37" x14ac:dyDescent="0.2">
      <c r="C327" s="96" t="str">
        <f t="shared" si="20"/>
        <v>BPT2</v>
      </c>
      <c r="D327" s="73" t="s">
        <v>98</v>
      </c>
      <c r="E327" s="100">
        <v>40085</v>
      </c>
      <c r="F327" s="101">
        <v>0.01</v>
      </c>
      <c r="G327" s="96">
        <f t="shared" si="21"/>
        <v>2</v>
      </c>
      <c r="I327" s="96"/>
      <c r="K327" t="str">
        <f t="shared" si="22"/>
        <v>BPT2</v>
      </c>
      <c r="L327" s="73" t="s">
        <v>98</v>
      </c>
      <c r="M327" s="72">
        <v>40085</v>
      </c>
      <c r="N327" s="84">
        <v>0.01</v>
      </c>
      <c r="O327" s="96">
        <f t="shared" si="23"/>
        <v>2</v>
      </c>
      <c r="Q327" s="96"/>
      <c r="R327" s="96" t="str">
        <f>R326</f>
        <v>SEV</v>
      </c>
      <c r="S327" s="108">
        <f>IF(ISNA(VLOOKUP($R327&amp;S$2,$K$3:$N$4001,3,0)),"",VLOOKUP($R327&amp;S$2,$K$3:$N$4001,3,0))</f>
        <v>39899</v>
      </c>
      <c r="T327" s="109">
        <f>IF(ISNA(VLOOKUP($R327&amp;S$2,$K$3:$N$4001,4,0)),"",VLOOKUP($R327&amp;S$2,$K$3:$N$4001,4,0))</f>
        <v>0.157</v>
      </c>
      <c r="U327" s="108">
        <f>IF(ISNA(VLOOKUP($R327&amp;U$2,$K$3:$N$4001,3,0)),"",VLOOKUP($R327&amp;U$2,$K$3:$N$4001,3,0))</f>
        <v>40105</v>
      </c>
      <c r="V327" s="109">
        <f>IF(ISNA(VLOOKUP($R327&amp;U$2,$K$3:$N$4001,4,0)),"",VLOOKUP($R327&amp;U$2,$K$3:$N$4001,4,0))</f>
        <v>0.157</v>
      </c>
      <c r="W327" s="108">
        <f>IF(ISNA(VLOOKUP($R327&amp;W$2,$K$3:$N$4001,3,0)),"",VLOOKUP($R327&amp;W$2,$K$3:$N$4001,3,0))</f>
        <v>40266</v>
      </c>
      <c r="X327" s="109">
        <f>IF(ISNA(VLOOKUP($R327&amp;W$2,$K$3:$N$4001,4,0)),"",VLOOKUP($R327&amp;W$2,$K$3:$N$4001,4,0))</f>
        <v>0.152</v>
      </c>
      <c r="Y327" s="108">
        <f>IF(ISNA(VLOOKUP($R327&amp;Y$2,$K$3:$N$4001,3,0)),"",VLOOKUP($R327&amp;Y$2,$K$3:$N$4001,3,0))</f>
        <v>40470</v>
      </c>
      <c r="Z327" s="109">
        <f>IF(ISNA(VLOOKUP($R327&amp;Y$2,$K$3:$N$4001,4,0)),"",VLOOKUP($R327&amp;Y$2,$K$3:$N$4001,4,0))</f>
        <v>0.152</v>
      </c>
      <c r="AA327" s="108">
        <f>IF(ISNA(VLOOKUP($R327&amp;AA$2,$K$3:$N$4001,3,0)),"",VLOOKUP($R327&amp;AA$2,$K$3:$N$4001,3,0))</f>
        <v>40633</v>
      </c>
      <c r="AB327" s="109">
        <f>IF(ISNA(VLOOKUP($R327&amp;AA$2,$K$3:$N$4001,4,0)),"",VLOOKUP($R327&amp;AA$2,$K$3:$N$4001,4,0))</f>
        <v>0.1555</v>
      </c>
      <c r="AC327" s="108">
        <f>IF(ISNA(VLOOKUP($R327&amp;AC$2,$K$3:$N$4001,3,0)),"",VLOOKUP($R327&amp;AC$2,$K$3:$N$4001,3,0))</f>
        <v>40835</v>
      </c>
      <c r="AD327" s="109">
        <f>IF(ISNA(VLOOKUP($R327&amp;AC$2,$K$3:$N$4001,4,0)),"",VLOOKUP($R327&amp;AC$2,$K$3:$N$4001,4,0))</f>
        <v>0.1555</v>
      </c>
      <c r="AE327" s="108">
        <f>IF(ISNA(VLOOKUP($R327&amp;AE$2,$K$3:$N$4001,3,0)),"",VLOOKUP($R327&amp;AE$2,$K$3:$N$4001,3,0))</f>
        <v>41001</v>
      </c>
      <c r="AF327" s="109">
        <f>IF(ISNA(VLOOKUP($R327&amp;AE$2,$K$3:$N$4001,4,0)),"",VLOOKUP($R327&amp;AE$2,$K$3:$N$4001,4,0))</f>
        <v>0.1605</v>
      </c>
      <c r="AG327" s="108">
        <f>IF(ISNA(VLOOKUP($R327&amp;AG$2,$K$3:$N$4001,3,0)),"",VLOOKUP($R327&amp;AG$2,$K$3:$N$4001,3,0))</f>
        <v>41201</v>
      </c>
      <c r="AH327" s="109">
        <f>IF(ISNA(VLOOKUP($R327&amp;AG$2,$K$3:$N$4001,4,0)),"",VLOOKUP($R327&amp;AG$2,$K$3:$N$4001,4,0))</f>
        <v>0.1605</v>
      </c>
      <c r="AI327" s="108">
        <f>IF(ISNA(VLOOKUP($R327&amp;AI$2,$K$3:$N$4001,3,0)),"",VLOOKUP($R327&amp;AI$2,$K$3:$N$4001,3,0))</f>
        <v>41366</v>
      </c>
      <c r="AJ327" s="109">
        <f>IF(ISNA(VLOOKUP($R327&amp;AI$2,$K$3:$N$4001,4,0)),"",VLOOKUP($R327&amp;AI$2,$K$3:$N$4001,4,0))</f>
        <v>0.17649999999999999</v>
      </c>
      <c r="AK327" s="108">
        <f>IF(ISNA(VLOOKUP($R327&amp;AK$2,$K$3:$N$4001,3,0)),"",VLOOKUP($R327&amp;AK$2,$K$3:$N$4001,3,0))</f>
        <v>41568</v>
      </c>
    </row>
    <row r="328" spans="3:37" x14ac:dyDescent="0.2">
      <c r="C328" s="96" t="str">
        <f t="shared" si="20"/>
        <v>BPT3</v>
      </c>
      <c r="D328" s="73" t="s">
        <v>98</v>
      </c>
      <c r="E328" s="100">
        <v>40262</v>
      </c>
      <c r="F328" s="101">
        <v>0.01</v>
      </c>
      <c r="G328" s="96">
        <f t="shared" si="21"/>
        <v>3</v>
      </c>
      <c r="I328" s="96"/>
      <c r="K328" t="str">
        <f t="shared" si="22"/>
        <v>BPT3</v>
      </c>
      <c r="L328" s="73" t="s">
        <v>98</v>
      </c>
      <c r="M328" s="72">
        <v>40262</v>
      </c>
      <c r="N328" s="84">
        <v>0.01</v>
      </c>
      <c r="O328" s="96">
        <f t="shared" si="23"/>
        <v>3</v>
      </c>
      <c r="Q328" s="96"/>
      <c r="R328" s="96" t="s">
        <v>209</v>
      </c>
      <c r="S328" s="106">
        <f>IF(ISNA(VLOOKUP($R328&amp;S$2,$C$3:$F$4001,3,0)),"",VLOOKUP($R328&amp;S$2,$C$3:$F$4001,3,0))</f>
        <v>39903</v>
      </c>
      <c r="T328" s="107">
        <f>IF(ISNA(VLOOKUP($R328&amp;S$2,$C$3:$F$4001,4,0)),"",VLOOKUP($R328&amp;S$2,$C$3:$F$4001,4,0))</f>
        <v>4.2000000000000003E-2</v>
      </c>
      <c r="U328" s="106">
        <f>IF(ISNA(VLOOKUP($R328&amp;U$2,$C$3:$F$4001,3,0)),"",VLOOKUP($R328&amp;U$2,$C$3:$F$4001,3,0))</f>
        <v>40086</v>
      </c>
      <c r="V328" s="107">
        <f>IF(ISNA(VLOOKUP($R328&amp;U$2,$C$3:$F$4001,4,0)),"",VLOOKUP($R328&amp;U$2,$C$3:$F$4001,4,0))</f>
        <v>3.2500000000000001E-2</v>
      </c>
      <c r="W328" s="106">
        <f>IF(ISNA(VLOOKUP($R328&amp;W$2,$C$3:$F$4001,3,0)),"",VLOOKUP($R328&amp;W$2,$C$3:$F$4001,3,0))</f>
        <v>40268</v>
      </c>
      <c r="X328" s="107">
        <f>IF(ISNA(VLOOKUP($R328&amp;W$2,$C$3:$F$4001,4,0)),"",VLOOKUP($R328&amp;W$2,$C$3:$F$4001,4,0))</f>
        <v>4.5499999999999999E-2</v>
      </c>
      <c r="Y328" s="106">
        <f>IF(ISNA(VLOOKUP($R328&amp;Y$2,$C$3:$F$4001,3,0)),"",VLOOKUP($R328&amp;Y$2,$C$3:$F$4001,3,0))</f>
        <v>40451</v>
      </c>
      <c r="Z328" s="107">
        <f>IF(ISNA(VLOOKUP($R328&amp;Y$2,$C$3:$F$4001,4,0)),"",VLOOKUP($R328&amp;Y$2,$C$3:$F$4001,4,0))</f>
        <v>3.6200000000000003E-2</v>
      </c>
      <c r="AA328" s="106">
        <f>IF(ISNA(VLOOKUP($R328&amp;AA$2,$C$3:$F$4001,3,0)),"",VLOOKUP($R328&amp;AA$2,$C$3:$F$4001,3,0))</f>
        <v>40637</v>
      </c>
      <c r="AB328" s="107">
        <f>IF(ISNA(VLOOKUP($R328&amp;AA$2,$C$3:$F$4001,4,0)),"",VLOOKUP($R328&amp;AA$2,$C$3:$F$4001,4,0))</f>
        <v>5.0799999999999998E-2</v>
      </c>
      <c r="AC328" s="106">
        <f>IF(ISNA(VLOOKUP($R328&amp;AC$2,$C$3:$F$4001,3,0)),"",VLOOKUP($R328&amp;AC$2,$C$3:$F$4001,3,0))</f>
        <v>40819</v>
      </c>
      <c r="AD328" s="107">
        <f>IF(ISNA(VLOOKUP($R328&amp;AC$2,$C$3:$F$4001,4,0)),"",VLOOKUP($R328&amp;AC$2,$C$3:$F$4001,4,0))</f>
        <v>3.85E-2</v>
      </c>
      <c r="AE328" s="106">
        <f>IF(ISNA(VLOOKUP($R328&amp;AE$2,$C$3:$F$4001,3,0)),"",VLOOKUP($R328&amp;AE$2,$C$3:$F$4001,3,0))</f>
        <v>41002</v>
      </c>
      <c r="AF328" s="107">
        <f>IF(ISNA(VLOOKUP($R328&amp;AE$2,$C$3:$F$4001,4,0)),"",VLOOKUP($R328&amp;AE$2,$C$3:$F$4001,4,0))</f>
        <v>5.2000000000000005E-2</v>
      </c>
      <c r="AG328" s="106">
        <f>IF(ISNA(VLOOKUP($R328&amp;AG$2,$C$3:$F$4001,3,0)),"",VLOOKUP($R328&amp;AG$2,$C$3:$F$4001,3,0))</f>
        <v>41184</v>
      </c>
      <c r="AH328" s="107">
        <f>IF(ISNA(VLOOKUP($R328&amp;AG$2,$C$3:$F$4001,4,0)),"",VLOOKUP($R328&amp;AG$2,$C$3:$F$4001,4,0))</f>
        <v>3.9100000000000003E-2</v>
      </c>
      <c r="AI328" s="106">
        <f>IF(ISNA(VLOOKUP($R328&amp;AI$2,$C$3:$F$4001,3,0)),"",VLOOKUP($R328&amp;AI$2,$C$3:$F$4001,3,0))</f>
        <v>41367</v>
      </c>
      <c r="AJ328" s="107">
        <f>IF(ISNA(VLOOKUP($R328&amp;AI$2,$C$3:$F$4001,4,0)),"",VLOOKUP($R328&amp;AI$2,$C$3:$F$4001,4,0))</f>
        <v>5.2900000000000003E-2</v>
      </c>
      <c r="AK328" s="106" t="str">
        <f>IF(ISNA(VLOOKUP($R328&amp;AK$2,$C$3:$F$4001,3,0)),"",VLOOKUP($R328&amp;AK$2,$C$3:$F$4001,3,0))</f>
        <v/>
      </c>
    </row>
    <row r="329" spans="3:37" x14ac:dyDescent="0.2">
      <c r="C329" s="96" t="str">
        <f t="shared" si="20"/>
        <v>BPT4</v>
      </c>
      <c r="D329" s="73" t="s">
        <v>98</v>
      </c>
      <c r="E329" s="100">
        <v>40450</v>
      </c>
      <c r="F329" s="101">
        <v>0.01</v>
      </c>
      <c r="G329" s="96">
        <f t="shared" si="21"/>
        <v>4</v>
      </c>
      <c r="I329" s="96"/>
      <c r="K329" t="str">
        <f t="shared" si="22"/>
        <v>BPT4</v>
      </c>
      <c r="L329" s="73" t="s">
        <v>98</v>
      </c>
      <c r="M329" s="72">
        <v>40450</v>
      </c>
      <c r="N329" s="84">
        <v>0.01</v>
      </c>
      <c r="O329" s="96">
        <f t="shared" si="23"/>
        <v>4</v>
      </c>
      <c r="Q329" s="96"/>
      <c r="R329" s="96" t="str">
        <f>R328</f>
        <v>SIP</v>
      </c>
      <c r="S329" s="108">
        <f>IF(ISNA(VLOOKUP($R329&amp;S$2,$K$3:$N$4001,3,0)),"",VLOOKUP($R329&amp;S$2,$K$3:$N$4001,3,0))</f>
        <v>39903</v>
      </c>
      <c r="T329" s="109">
        <f>IF(ISNA(VLOOKUP($R329&amp;S$2,$K$3:$N$4001,4,0)),"",VLOOKUP($R329&amp;S$2,$K$3:$N$4001,4,0))</f>
        <v>4.2000000000000003E-2</v>
      </c>
      <c r="U329" s="108">
        <f>IF(ISNA(VLOOKUP($R329&amp;U$2,$K$3:$N$4001,3,0)),"",VLOOKUP($R329&amp;U$2,$K$3:$N$4001,3,0))</f>
        <v>40086</v>
      </c>
      <c r="V329" s="109">
        <f>IF(ISNA(VLOOKUP($R329&amp;U$2,$K$3:$N$4001,4,0)),"",VLOOKUP($R329&amp;U$2,$K$3:$N$4001,4,0))</f>
        <v>3.2500000000000001E-2</v>
      </c>
      <c r="W329" s="108">
        <f>IF(ISNA(VLOOKUP($R329&amp;W$2,$K$3:$N$4001,3,0)),"",VLOOKUP($R329&amp;W$2,$K$3:$N$4001,3,0))</f>
        <v>40268</v>
      </c>
      <c r="X329" s="109">
        <f>IF(ISNA(VLOOKUP($R329&amp;W$2,$K$3:$N$4001,4,0)),"",VLOOKUP($R329&amp;W$2,$K$3:$N$4001,4,0))</f>
        <v>4.5499999999999999E-2</v>
      </c>
      <c r="Y329" s="108">
        <f>IF(ISNA(VLOOKUP($R329&amp;Y$2,$K$3:$N$4001,3,0)),"",VLOOKUP($R329&amp;Y$2,$K$3:$N$4001,3,0))</f>
        <v>40451</v>
      </c>
      <c r="Z329" s="109">
        <f>IF(ISNA(VLOOKUP($R329&amp;Y$2,$K$3:$N$4001,4,0)),"",VLOOKUP($R329&amp;Y$2,$K$3:$N$4001,4,0))</f>
        <v>3.6200000000000003E-2</v>
      </c>
      <c r="AA329" s="108">
        <f>IF(ISNA(VLOOKUP($R329&amp;AA$2,$K$3:$N$4001,3,0)),"",VLOOKUP($R329&amp;AA$2,$K$3:$N$4001,3,0))</f>
        <v>40637</v>
      </c>
      <c r="AB329" s="109">
        <f>IF(ISNA(VLOOKUP($R329&amp;AA$2,$K$3:$N$4001,4,0)),"",VLOOKUP($R329&amp;AA$2,$K$3:$N$4001,4,0))</f>
        <v>5.0799999999999998E-2</v>
      </c>
      <c r="AC329" s="108">
        <f>IF(ISNA(VLOOKUP($R329&amp;AC$2,$K$3:$N$4001,3,0)),"",VLOOKUP($R329&amp;AC$2,$K$3:$N$4001,3,0))</f>
        <v>40819</v>
      </c>
      <c r="AD329" s="109">
        <f>IF(ISNA(VLOOKUP($R329&amp;AC$2,$K$3:$N$4001,4,0)),"",VLOOKUP($R329&amp;AC$2,$K$3:$N$4001,4,0))</f>
        <v>3.85E-2</v>
      </c>
      <c r="AE329" s="108">
        <f>IF(ISNA(VLOOKUP($R329&amp;AE$2,$K$3:$N$4001,3,0)),"",VLOOKUP($R329&amp;AE$2,$K$3:$N$4001,3,0))</f>
        <v>41002</v>
      </c>
      <c r="AF329" s="109">
        <f>IF(ISNA(VLOOKUP($R329&amp;AE$2,$K$3:$N$4001,4,0)),"",VLOOKUP($R329&amp;AE$2,$K$3:$N$4001,4,0))</f>
        <v>5.2000000000000005E-2</v>
      </c>
      <c r="AG329" s="108">
        <f>IF(ISNA(VLOOKUP($R329&amp;AG$2,$K$3:$N$4001,3,0)),"",VLOOKUP($R329&amp;AG$2,$K$3:$N$4001,3,0))</f>
        <v>41184</v>
      </c>
      <c r="AH329" s="109">
        <f>IF(ISNA(VLOOKUP($R329&amp;AG$2,$K$3:$N$4001,4,0)),"",VLOOKUP($R329&amp;AG$2,$K$3:$N$4001,4,0))</f>
        <v>3.9100000000000003E-2</v>
      </c>
      <c r="AI329" s="108">
        <f>IF(ISNA(VLOOKUP($R329&amp;AI$2,$K$3:$N$4001,3,0)),"",VLOOKUP($R329&amp;AI$2,$K$3:$N$4001,3,0))</f>
        <v>41367</v>
      </c>
      <c r="AJ329" s="109">
        <f>IF(ISNA(VLOOKUP($R329&amp;AI$2,$K$3:$N$4001,4,0)),"",VLOOKUP($R329&amp;AI$2,$K$3:$N$4001,4,0))</f>
        <v>5.2900000000000003E-2</v>
      </c>
      <c r="AK329" s="108" t="str">
        <f>IF(ISNA(VLOOKUP($R329&amp;AK$2,$K$3:$N$4001,3,0)),"",VLOOKUP($R329&amp;AK$2,$K$3:$N$4001,3,0))</f>
        <v/>
      </c>
    </row>
    <row r="330" spans="3:37" x14ac:dyDescent="0.2">
      <c r="C330" s="96" t="str">
        <f t="shared" si="20"/>
        <v>BPT5</v>
      </c>
      <c r="D330" s="73" t="s">
        <v>98</v>
      </c>
      <c r="E330" s="100">
        <v>40627</v>
      </c>
      <c r="F330" s="101">
        <v>0.01</v>
      </c>
      <c r="G330" s="96">
        <f t="shared" si="21"/>
        <v>5</v>
      </c>
      <c r="I330" s="96"/>
      <c r="K330" t="str">
        <f t="shared" si="22"/>
        <v>BPT5</v>
      </c>
      <c r="L330" s="73" t="s">
        <v>98</v>
      </c>
      <c r="M330" s="72">
        <v>40627</v>
      </c>
      <c r="N330" s="84">
        <v>0.01</v>
      </c>
      <c r="O330" s="96">
        <f t="shared" si="23"/>
        <v>5</v>
      </c>
      <c r="Q330" s="96"/>
      <c r="R330" s="96" t="s">
        <v>205</v>
      </c>
      <c r="S330" s="106">
        <f>IF(ISNA(VLOOKUP($R330&amp;S$2,$C$3:$F$4001,3,0)),"",VLOOKUP($R330&amp;S$2,$C$3:$F$4001,3,0))</f>
        <v>39888</v>
      </c>
      <c r="T330" s="107">
        <f>IF(ISNA(VLOOKUP($R330&amp;S$2,$C$3:$F$4001,4,0)),"",VLOOKUP($R330&amp;S$2,$C$3:$F$4001,4,0))</f>
        <v>0.3</v>
      </c>
      <c r="U330" s="106">
        <f>IF(ISNA(VLOOKUP($R330&amp;U$2,$C$3:$F$4001,3,0)),"",VLOOKUP($R330&amp;U$2,$C$3:$F$4001,3,0))</f>
        <v>40081</v>
      </c>
      <c r="V330" s="107">
        <f>IF(ISNA(VLOOKUP($R330&amp;U$2,$C$3:$F$4001,4,0)),"",VLOOKUP($R330&amp;U$2,$C$3:$F$4001,4,0))</f>
        <v>0.35</v>
      </c>
      <c r="W330" s="106">
        <f>IF(ISNA(VLOOKUP($R330&amp;W$2,$C$3:$F$4001,3,0)),"",VLOOKUP($R330&amp;W$2,$C$3:$F$4001,3,0))</f>
        <v>40253</v>
      </c>
      <c r="X330" s="107">
        <f>IF(ISNA(VLOOKUP($R330&amp;W$2,$C$3:$F$4001,4,0)),"",VLOOKUP($R330&amp;W$2,$C$3:$F$4001,4,0))</f>
        <v>0.35</v>
      </c>
      <c r="Y330" s="106">
        <f>IF(ISNA(VLOOKUP($R330&amp;Y$2,$C$3:$F$4001,3,0)),"",VLOOKUP($R330&amp;Y$2,$C$3:$F$4001,3,0))</f>
        <v>40449</v>
      </c>
      <c r="Z330" s="107">
        <f>IF(ISNA(VLOOKUP($R330&amp;Y$2,$C$3:$F$4001,4,0)),"",VLOOKUP($R330&amp;Y$2,$C$3:$F$4001,4,0))</f>
        <v>0.45</v>
      </c>
      <c r="AA330" s="106">
        <f>IF(ISNA(VLOOKUP($R330&amp;AA$2,$C$3:$F$4001,3,0)),"",VLOOKUP($R330&amp;AA$2,$C$3:$F$4001,3,0))</f>
        <v>40618</v>
      </c>
      <c r="AB330" s="107">
        <f>IF(ISNA(VLOOKUP($R330&amp;AA$2,$C$3:$F$4001,4,0)),"",VLOOKUP($R330&amp;AA$2,$C$3:$F$4001,4,0))</f>
        <v>0.45</v>
      </c>
      <c r="AC330" s="106">
        <f>IF(ISNA(VLOOKUP($R330&amp;AC$2,$C$3:$F$4001,3,0)),"",VLOOKUP($R330&amp;AC$2,$C$3:$F$4001,3,0))</f>
        <v>40815</v>
      </c>
      <c r="AD330" s="107">
        <f>IF(ISNA(VLOOKUP($R330&amp;AC$2,$C$3:$F$4001,4,0)),"",VLOOKUP($R330&amp;AC$2,$C$3:$F$4001,4,0))</f>
        <v>0.5</v>
      </c>
      <c r="AE330" s="106">
        <f>IF(ISNA(VLOOKUP($R330&amp;AE$2,$C$3:$F$4001,3,0)),"",VLOOKUP($R330&amp;AE$2,$C$3:$F$4001,3,0))</f>
        <v>40984</v>
      </c>
      <c r="AF330" s="107">
        <f>IF(ISNA(VLOOKUP($R330&amp;AE$2,$C$3:$F$4001,4,0)),"",VLOOKUP($R330&amp;AE$2,$C$3:$F$4001,4,0))</f>
        <v>0.5</v>
      </c>
      <c r="AG330" s="106">
        <f>IF(ISNA(VLOOKUP($R330&amp;AG$2,$C$3:$F$4001,3,0)),"",VLOOKUP($R330&amp;AG$2,$C$3:$F$4001,3,0))</f>
        <v>41183</v>
      </c>
      <c r="AH330" s="107">
        <f>IF(ISNA(VLOOKUP($R330&amp;AG$2,$C$3:$F$4001,4,0)),"",VLOOKUP($R330&amp;AG$2,$C$3:$F$4001,4,0))</f>
        <v>0.55000000000000004</v>
      </c>
      <c r="AI330" s="106">
        <f>IF(ISNA(VLOOKUP($R330&amp;AI$2,$C$3:$F$4001,3,0)),"",VLOOKUP($R330&amp;AI$2,$C$3:$F$4001,3,0))</f>
        <v>41351</v>
      </c>
      <c r="AJ330" s="107">
        <f>IF(ISNA(VLOOKUP($R330&amp;AI$2,$C$3:$F$4001,4,0)),"",VLOOKUP($R330&amp;AI$2,$C$3:$F$4001,4,0))</f>
        <v>0.5</v>
      </c>
      <c r="AK330" s="106">
        <f>IF(ISNA(VLOOKUP($R330&amp;AK$2,$C$3:$F$4001,3,0)),"",VLOOKUP($R330&amp;AK$2,$C$3:$F$4001,3,0))</f>
        <v>41548</v>
      </c>
    </row>
    <row r="331" spans="3:37" x14ac:dyDescent="0.2">
      <c r="C331" s="96" t="str">
        <f t="shared" si="20"/>
        <v>BPT6</v>
      </c>
      <c r="D331" s="73" t="s">
        <v>98</v>
      </c>
      <c r="E331" s="100">
        <v>40816</v>
      </c>
      <c r="F331" s="101">
        <v>0.01</v>
      </c>
      <c r="G331" s="96">
        <f t="shared" si="21"/>
        <v>6</v>
      </c>
      <c r="I331" s="96"/>
      <c r="K331" t="str">
        <f t="shared" si="22"/>
        <v>BPT6</v>
      </c>
      <c r="L331" s="73" t="s">
        <v>98</v>
      </c>
      <c r="M331" s="72">
        <v>40816</v>
      </c>
      <c r="N331" s="84">
        <v>0.01</v>
      </c>
      <c r="O331" s="96">
        <f t="shared" si="23"/>
        <v>6</v>
      </c>
      <c r="Q331" s="96"/>
      <c r="R331" s="96" t="str">
        <f>R330</f>
        <v>SGM</v>
      </c>
      <c r="S331" s="108">
        <f>IF(ISNA(VLOOKUP($R331&amp;S$2,$K$3:$N$4001,3,0)),"",VLOOKUP($R331&amp;S$2,$K$3:$N$4001,3,0))</f>
        <v>39888</v>
      </c>
      <c r="T331" s="109">
        <f>IF(ISNA(VLOOKUP($R331&amp;S$2,$K$3:$N$4001,4,0)),"",VLOOKUP($R331&amp;S$2,$K$3:$N$4001,4,0))</f>
        <v>0.3</v>
      </c>
      <c r="U331" s="108">
        <f>IF(ISNA(VLOOKUP($R331&amp;U$2,$K$3:$N$4001,3,0)),"",VLOOKUP($R331&amp;U$2,$K$3:$N$4001,3,0))</f>
        <v>40081</v>
      </c>
      <c r="V331" s="109">
        <f>IF(ISNA(VLOOKUP($R331&amp;U$2,$K$3:$N$4001,4,0)),"",VLOOKUP($R331&amp;U$2,$K$3:$N$4001,4,0))</f>
        <v>0.35</v>
      </c>
      <c r="W331" s="108">
        <f>IF(ISNA(VLOOKUP($R331&amp;W$2,$K$3:$N$4001,3,0)),"",VLOOKUP($R331&amp;W$2,$K$3:$N$4001,3,0))</f>
        <v>40253</v>
      </c>
      <c r="X331" s="109">
        <f>IF(ISNA(VLOOKUP($R331&amp;W$2,$K$3:$N$4001,4,0)),"",VLOOKUP($R331&amp;W$2,$K$3:$N$4001,4,0))</f>
        <v>0.35</v>
      </c>
      <c r="Y331" s="108">
        <f>IF(ISNA(VLOOKUP($R331&amp;Y$2,$K$3:$N$4001,3,0)),"",VLOOKUP($R331&amp;Y$2,$K$3:$N$4001,3,0))</f>
        <v>40449</v>
      </c>
      <c r="Z331" s="109">
        <f>IF(ISNA(VLOOKUP($R331&amp;Y$2,$K$3:$N$4001,4,0)),"",VLOOKUP($R331&amp;Y$2,$K$3:$N$4001,4,0))</f>
        <v>0.45</v>
      </c>
      <c r="AA331" s="108">
        <f>IF(ISNA(VLOOKUP($R331&amp;AA$2,$K$3:$N$4001,3,0)),"",VLOOKUP($R331&amp;AA$2,$K$3:$N$4001,3,0))</f>
        <v>40618</v>
      </c>
      <c r="AB331" s="109">
        <f>IF(ISNA(VLOOKUP($R331&amp;AA$2,$K$3:$N$4001,4,0)),"",VLOOKUP($R331&amp;AA$2,$K$3:$N$4001,4,0))</f>
        <v>0.45</v>
      </c>
      <c r="AC331" s="108">
        <f>IF(ISNA(VLOOKUP($R331&amp;AC$2,$K$3:$N$4001,3,0)),"",VLOOKUP($R331&amp;AC$2,$K$3:$N$4001,3,0))</f>
        <v>40815</v>
      </c>
      <c r="AD331" s="109">
        <f>IF(ISNA(VLOOKUP($R331&amp;AC$2,$K$3:$N$4001,4,0)),"",VLOOKUP($R331&amp;AC$2,$K$3:$N$4001,4,0))</f>
        <v>0.5</v>
      </c>
      <c r="AE331" s="108">
        <f>IF(ISNA(VLOOKUP($R331&amp;AE$2,$K$3:$N$4001,3,0)),"",VLOOKUP($R331&amp;AE$2,$K$3:$N$4001,3,0))</f>
        <v>40984</v>
      </c>
      <c r="AF331" s="109">
        <f>IF(ISNA(VLOOKUP($R331&amp;AE$2,$K$3:$N$4001,4,0)),"",VLOOKUP($R331&amp;AE$2,$K$3:$N$4001,4,0))</f>
        <v>0.5</v>
      </c>
      <c r="AG331" s="108">
        <f>IF(ISNA(VLOOKUP($R331&amp;AG$2,$K$3:$N$4001,3,0)),"",VLOOKUP($R331&amp;AG$2,$K$3:$N$4001,3,0))</f>
        <v>41183</v>
      </c>
      <c r="AH331" s="109">
        <f>IF(ISNA(VLOOKUP($R331&amp;AG$2,$K$3:$N$4001,4,0)),"",VLOOKUP($R331&amp;AG$2,$K$3:$N$4001,4,0))</f>
        <v>0.55000000000000004</v>
      </c>
      <c r="AI331" s="108">
        <f>IF(ISNA(VLOOKUP($R331&amp;AI$2,$K$3:$N$4001,3,0)),"",VLOOKUP($R331&amp;AI$2,$K$3:$N$4001,3,0))</f>
        <v>41351</v>
      </c>
      <c r="AJ331" s="109">
        <f>IF(ISNA(VLOOKUP($R331&amp;AI$2,$K$3:$N$4001,4,0)),"",VLOOKUP($R331&amp;AI$2,$K$3:$N$4001,4,0))</f>
        <v>0.5</v>
      </c>
      <c r="AK331" s="108">
        <f>IF(ISNA(VLOOKUP($R331&amp;AK$2,$K$3:$N$4001,3,0)),"",VLOOKUP($R331&amp;AK$2,$K$3:$N$4001,3,0))</f>
        <v>41548</v>
      </c>
    </row>
    <row r="332" spans="3:37" x14ac:dyDescent="0.2">
      <c r="C332" s="96" t="str">
        <f t="shared" si="20"/>
        <v>BPT7</v>
      </c>
      <c r="D332" s="73" t="s">
        <v>98</v>
      </c>
      <c r="E332" s="100">
        <v>40995</v>
      </c>
      <c r="F332" s="101">
        <v>0.01</v>
      </c>
      <c r="G332" s="96">
        <f t="shared" si="21"/>
        <v>7</v>
      </c>
      <c r="I332" s="96"/>
      <c r="K332" t="str">
        <f t="shared" si="22"/>
        <v>BPT7</v>
      </c>
      <c r="L332" s="73" t="s">
        <v>98</v>
      </c>
      <c r="M332" s="72">
        <v>40995</v>
      </c>
      <c r="N332" s="84">
        <v>0.01</v>
      </c>
      <c r="O332" s="96">
        <f t="shared" si="23"/>
        <v>7</v>
      </c>
      <c r="Q332" s="96"/>
      <c r="R332" s="96" t="s">
        <v>207</v>
      </c>
      <c r="S332" s="106">
        <f>IF(ISNA(VLOOKUP($R332&amp;S$2,$C$3:$F$4001,3,0)),"",VLOOKUP($R332&amp;S$2,$C$3:$F$4001,3,0))</f>
        <v>40025</v>
      </c>
      <c r="T332" s="107">
        <f>IF(ISNA(VLOOKUP($R332&amp;S$2,$C$3:$F$4001,4,0)),"",VLOOKUP($R332&amp;S$2,$C$3:$F$4001,4,0))</f>
        <v>6.9000000000000006E-2</v>
      </c>
      <c r="U332" s="106">
        <f>IF(ISNA(VLOOKUP($R332&amp;U$2,$C$3:$F$4001,3,0)),"",VLOOKUP($R332&amp;U$2,$C$3:$F$4001,3,0))</f>
        <v>40157</v>
      </c>
      <c r="V332" s="107">
        <f>IF(ISNA(VLOOKUP($R332&amp;U$2,$C$3:$F$4001,4,0)),"",VLOOKUP($R332&amp;U$2,$C$3:$F$4001,4,0))</f>
        <v>5.5999999999999994E-2</v>
      </c>
      <c r="W332" s="106">
        <f>IF(ISNA(VLOOKUP($R332&amp;W$2,$C$3:$F$4001,3,0)),"",VLOOKUP($R332&amp;W$2,$C$3:$F$4001,3,0))</f>
        <v>40389</v>
      </c>
      <c r="X332" s="107">
        <f>IF(ISNA(VLOOKUP($R332&amp;W$2,$C$3:$F$4001,4,0)),"",VLOOKUP($R332&amp;W$2,$C$3:$F$4001,4,0))</f>
        <v>6.9000000000000006E-2</v>
      </c>
      <c r="Y332" s="106">
        <f>IF(ISNA(VLOOKUP($R332&amp;Y$2,$C$3:$F$4001,3,0)),"",VLOOKUP($R332&amp;Y$2,$C$3:$F$4001,3,0))</f>
        <v>40521</v>
      </c>
      <c r="Z332" s="107">
        <f>IF(ISNA(VLOOKUP($R332&amp;Y$2,$C$3:$F$4001,4,0)),"",VLOOKUP($R332&amp;Y$2,$C$3:$F$4001,4,0))</f>
        <v>0.06</v>
      </c>
      <c r="AA332" s="106">
        <f>IF(ISNA(VLOOKUP($R332&amp;AA$2,$C$3:$F$4001,3,0)),"",VLOOKUP($R332&amp;AA$2,$C$3:$F$4001,3,0))</f>
        <v>40753</v>
      </c>
      <c r="AB332" s="107">
        <f>IF(ISNA(VLOOKUP($R332&amp;AA$2,$C$3:$F$4001,4,0)),"",VLOOKUP($R332&amp;AA$2,$C$3:$F$4001,4,0))</f>
        <v>7.4999999999999997E-2</v>
      </c>
      <c r="AC332" s="106">
        <f>IF(ISNA(VLOOKUP($R332&amp;AC$2,$C$3:$F$4001,3,0)),"",VLOOKUP($R332&amp;AC$2,$C$3:$F$4001,3,0))</f>
        <v>40885</v>
      </c>
      <c r="AD332" s="107">
        <f>IF(ISNA(VLOOKUP($R332&amp;AC$2,$C$3:$F$4001,4,0)),"",VLOOKUP($R332&amp;AC$2,$C$3:$F$4001,4,0))</f>
        <v>6.5000000000000002E-2</v>
      </c>
      <c r="AE332" s="106">
        <f>IF(ISNA(VLOOKUP($R332&amp;AE$2,$C$3:$F$4001,3,0)),"",VLOOKUP($R332&amp;AE$2,$C$3:$F$4001,3,0))</f>
        <v>41120</v>
      </c>
      <c r="AF332" s="107">
        <f>IF(ISNA(VLOOKUP($R332&amp;AE$2,$C$3:$F$4001,4,0)),"",VLOOKUP($R332&amp;AE$2,$C$3:$F$4001,4,0))</f>
        <v>7.4999999999999997E-2</v>
      </c>
      <c r="AG332" s="106">
        <f>IF(ISNA(VLOOKUP($R332&amp;AG$2,$C$3:$F$4001,3,0)),"",VLOOKUP($R332&amp;AG$2,$C$3:$F$4001,3,0))</f>
        <v>41253</v>
      </c>
      <c r="AH332" s="107">
        <f>IF(ISNA(VLOOKUP($R332&amp;AG$2,$C$3:$F$4001,4,0)),"",VLOOKUP($R332&amp;AG$2,$C$3:$F$4001,4,0))</f>
        <v>6.5000000000000002E-2</v>
      </c>
      <c r="AI332" s="106">
        <f>IF(ISNA(VLOOKUP($R332&amp;AI$2,$C$3:$F$4001,3,0)),"",VLOOKUP($R332&amp;AI$2,$C$3:$F$4001,3,0))</f>
        <v>41485</v>
      </c>
      <c r="AJ332" s="107">
        <f>IF(ISNA(VLOOKUP($R332&amp;AI$2,$C$3:$F$4001,4,0)),"",VLOOKUP($R332&amp;AI$2,$C$3:$F$4001,4,0))</f>
        <v>7.4999999999999997E-2</v>
      </c>
      <c r="AK332" s="106" t="str">
        <f>IF(ISNA(VLOOKUP($R332&amp;AK$2,$C$3:$F$4001,3,0)),"",VLOOKUP($R332&amp;AK$2,$C$3:$F$4001,3,0))</f>
        <v/>
      </c>
    </row>
    <row r="333" spans="3:37" x14ac:dyDescent="0.2">
      <c r="C333" s="96" t="str">
        <f t="shared" si="20"/>
        <v>BPT8</v>
      </c>
      <c r="D333" s="73" t="s">
        <v>98</v>
      </c>
      <c r="E333" s="100">
        <v>41184</v>
      </c>
      <c r="F333" s="101">
        <v>1.2500000000000001E-2</v>
      </c>
      <c r="G333" s="96">
        <f t="shared" si="21"/>
        <v>8</v>
      </c>
      <c r="I333" s="96"/>
      <c r="K333" t="str">
        <f t="shared" si="22"/>
        <v>BPT8</v>
      </c>
      <c r="L333" s="73" t="s">
        <v>98</v>
      </c>
      <c r="M333" s="72">
        <v>41184</v>
      </c>
      <c r="N333" s="84">
        <v>1.2500000000000001E-2</v>
      </c>
      <c r="O333" s="96">
        <f t="shared" si="23"/>
        <v>8</v>
      </c>
      <c r="Q333" s="96"/>
      <c r="R333" s="96" t="str">
        <f>R332</f>
        <v>SGT</v>
      </c>
      <c r="S333" s="108">
        <f>IF(ISNA(VLOOKUP($R333&amp;S$2,$K$3:$N$4001,3,0)),"",VLOOKUP($R333&amp;S$2,$K$3:$N$4001,3,0))</f>
        <v>40025</v>
      </c>
      <c r="T333" s="109">
        <f>IF(ISNA(VLOOKUP($R333&amp;S$2,$K$3:$N$4001,4,0)),"",VLOOKUP($R333&amp;S$2,$K$3:$N$4001,4,0))</f>
        <v>6.9000000000000006E-2</v>
      </c>
      <c r="U333" s="108">
        <f>IF(ISNA(VLOOKUP($R333&amp;U$2,$K$3:$N$4001,3,0)),"",VLOOKUP($R333&amp;U$2,$K$3:$N$4001,3,0))</f>
        <v>40157</v>
      </c>
      <c r="V333" s="109">
        <f>IF(ISNA(VLOOKUP($R333&amp;U$2,$K$3:$N$4001,4,0)),"",VLOOKUP($R333&amp;U$2,$K$3:$N$4001,4,0))</f>
        <v>5.5999999999999994E-2</v>
      </c>
      <c r="W333" s="108">
        <f>IF(ISNA(VLOOKUP($R333&amp;W$2,$K$3:$N$4001,3,0)),"",VLOOKUP($R333&amp;W$2,$K$3:$N$4001,3,0))</f>
        <v>40389</v>
      </c>
      <c r="X333" s="109">
        <f>IF(ISNA(VLOOKUP($R333&amp;W$2,$K$3:$N$4001,4,0)),"",VLOOKUP($R333&amp;W$2,$K$3:$N$4001,4,0))</f>
        <v>6.9000000000000006E-2</v>
      </c>
      <c r="Y333" s="108">
        <f>IF(ISNA(VLOOKUP($R333&amp;Y$2,$K$3:$N$4001,3,0)),"",VLOOKUP($R333&amp;Y$2,$K$3:$N$4001,3,0))</f>
        <v>40521</v>
      </c>
      <c r="Z333" s="109">
        <f>IF(ISNA(VLOOKUP($R333&amp;Y$2,$K$3:$N$4001,4,0)),"",VLOOKUP($R333&amp;Y$2,$K$3:$N$4001,4,0))</f>
        <v>0.06</v>
      </c>
      <c r="AA333" s="108">
        <f>IF(ISNA(VLOOKUP($R333&amp;AA$2,$K$3:$N$4001,3,0)),"",VLOOKUP($R333&amp;AA$2,$K$3:$N$4001,3,0))</f>
        <v>40753</v>
      </c>
      <c r="AB333" s="109">
        <f>IF(ISNA(VLOOKUP($R333&amp;AA$2,$K$3:$N$4001,4,0)),"",VLOOKUP($R333&amp;AA$2,$K$3:$N$4001,4,0))</f>
        <v>7.4999999999999997E-2</v>
      </c>
      <c r="AC333" s="108">
        <f>IF(ISNA(VLOOKUP($R333&amp;AC$2,$K$3:$N$4001,3,0)),"",VLOOKUP($R333&amp;AC$2,$K$3:$N$4001,3,0))</f>
        <v>40885</v>
      </c>
      <c r="AD333" s="109">
        <f>IF(ISNA(VLOOKUP($R333&amp;AC$2,$K$3:$N$4001,4,0)),"",VLOOKUP($R333&amp;AC$2,$K$3:$N$4001,4,0))</f>
        <v>6.5000000000000002E-2</v>
      </c>
      <c r="AE333" s="108">
        <f>IF(ISNA(VLOOKUP($R333&amp;AE$2,$K$3:$N$4001,3,0)),"",VLOOKUP($R333&amp;AE$2,$K$3:$N$4001,3,0))</f>
        <v>41120</v>
      </c>
      <c r="AF333" s="109">
        <f>IF(ISNA(VLOOKUP($R333&amp;AE$2,$K$3:$N$4001,4,0)),"",VLOOKUP($R333&amp;AE$2,$K$3:$N$4001,4,0))</f>
        <v>7.4999999999999997E-2</v>
      </c>
      <c r="AG333" s="108">
        <f>IF(ISNA(VLOOKUP($R333&amp;AG$2,$K$3:$N$4001,3,0)),"",VLOOKUP($R333&amp;AG$2,$K$3:$N$4001,3,0))</f>
        <v>41253</v>
      </c>
      <c r="AH333" s="109">
        <f>IF(ISNA(VLOOKUP($R333&amp;AG$2,$K$3:$N$4001,4,0)),"",VLOOKUP($R333&amp;AG$2,$K$3:$N$4001,4,0))</f>
        <v>6.5000000000000002E-2</v>
      </c>
      <c r="AI333" s="108">
        <f>IF(ISNA(VLOOKUP($R333&amp;AI$2,$K$3:$N$4001,3,0)),"",VLOOKUP($R333&amp;AI$2,$K$3:$N$4001,3,0))</f>
        <v>41485</v>
      </c>
      <c r="AJ333" s="109">
        <f>IF(ISNA(VLOOKUP($R333&amp;AI$2,$K$3:$N$4001,4,0)),"",VLOOKUP($R333&amp;AI$2,$K$3:$N$4001,4,0))</f>
        <v>7.4999999999999997E-2</v>
      </c>
      <c r="AK333" s="108" t="str">
        <f>IF(ISNA(VLOOKUP($R333&amp;AK$2,$K$3:$N$4001,3,0)),"",VLOOKUP($R333&amp;AK$2,$K$3:$N$4001,3,0))</f>
        <v/>
      </c>
    </row>
    <row r="334" spans="3:37" x14ac:dyDescent="0.2">
      <c r="C334" s="96" t="str">
        <f t="shared" si="20"/>
        <v>BPT9</v>
      </c>
      <c r="D334" s="73" t="s">
        <v>98</v>
      </c>
      <c r="E334" s="100">
        <v>41360</v>
      </c>
      <c r="F334" s="101">
        <v>0.01</v>
      </c>
      <c r="G334" s="96">
        <f t="shared" si="21"/>
        <v>9</v>
      </c>
      <c r="I334" s="96"/>
      <c r="K334" t="str">
        <f t="shared" si="22"/>
        <v>BPT9</v>
      </c>
      <c r="L334" s="73" t="s">
        <v>98</v>
      </c>
      <c r="M334" s="72">
        <v>41360</v>
      </c>
      <c r="N334" s="84">
        <v>0.01</v>
      </c>
      <c r="O334" s="96">
        <f t="shared" si="23"/>
        <v>9</v>
      </c>
      <c r="Q334" s="96"/>
      <c r="R334" s="96" t="s">
        <v>282</v>
      </c>
      <c r="S334" s="106" t="str">
        <f>IF(ISNA(VLOOKUP($R334&amp;S$2,$C$3:$F$4001,3,0)),"",VLOOKUP($R334&amp;S$2,$C$3:$F$4001,3,0))</f>
        <v/>
      </c>
      <c r="T334" s="107" t="str">
        <f>IF(ISNA(VLOOKUP($R334&amp;S$2,$C$3:$F$4001,4,0)),"",VLOOKUP($R334&amp;S$2,$C$3:$F$4001,4,0))</f>
        <v/>
      </c>
      <c r="U334" s="106" t="str">
        <f>IF(ISNA(VLOOKUP($R334&amp;U$2,$C$3:$F$4001,3,0)),"",VLOOKUP($R334&amp;U$2,$C$3:$F$4001,3,0))</f>
        <v/>
      </c>
      <c r="V334" s="107" t="str">
        <f>IF(ISNA(VLOOKUP($R334&amp;U$2,$C$3:$F$4001,4,0)),"",VLOOKUP($R334&amp;U$2,$C$3:$F$4001,4,0))</f>
        <v/>
      </c>
      <c r="W334" s="106" t="str">
        <f>IF(ISNA(VLOOKUP($R334&amp;W$2,$C$3:$F$4001,3,0)),"",VLOOKUP($R334&amp;W$2,$C$3:$F$4001,3,0))</f>
        <v/>
      </c>
      <c r="X334" s="107" t="str">
        <f>IF(ISNA(VLOOKUP($R334&amp;W$2,$C$3:$F$4001,4,0)),"",VLOOKUP($R334&amp;W$2,$C$3:$F$4001,4,0))</f>
        <v/>
      </c>
      <c r="Y334" s="106" t="str">
        <f>IF(ISNA(VLOOKUP($R334&amp;Y$2,$C$3:$F$4001,3,0)),"",VLOOKUP($R334&amp;Y$2,$C$3:$F$4001,3,0))</f>
        <v/>
      </c>
      <c r="Z334" s="107" t="str">
        <f>IF(ISNA(VLOOKUP($R334&amp;Y$2,$C$3:$F$4001,4,0)),"",VLOOKUP($R334&amp;Y$2,$C$3:$F$4001,4,0))</f>
        <v/>
      </c>
      <c r="AA334" s="106" t="str">
        <f>IF(ISNA(VLOOKUP($R334&amp;AA$2,$C$3:$F$4001,3,0)),"",VLOOKUP($R334&amp;AA$2,$C$3:$F$4001,3,0))</f>
        <v/>
      </c>
      <c r="AB334" s="107" t="str">
        <f>IF(ISNA(VLOOKUP($R334&amp;AA$2,$C$3:$F$4001,4,0)),"",VLOOKUP($R334&amp;AA$2,$C$3:$F$4001,4,0))</f>
        <v/>
      </c>
      <c r="AC334" s="106" t="str">
        <f>IF(ISNA(VLOOKUP($R334&amp;AC$2,$C$3:$F$4001,3,0)),"",VLOOKUP($R334&amp;AC$2,$C$3:$F$4001,3,0))</f>
        <v/>
      </c>
      <c r="AD334" s="107" t="str">
        <f>IF(ISNA(VLOOKUP($R334&amp;AC$2,$C$3:$F$4001,4,0)),"",VLOOKUP($R334&amp;AC$2,$C$3:$F$4001,4,0))</f>
        <v/>
      </c>
      <c r="AE334" s="106" t="str">
        <f>IF(ISNA(VLOOKUP($R334&amp;AE$2,$C$3:$F$4001,3,0)),"",VLOOKUP($R334&amp;AE$2,$C$3:$F$4001,3,0))</f>
        <v/>
      </c>
      <c r="AF334" s="107" t="str">
        <f>IF(ISNA(VLOOKUP($R334&amp;AE$2,$C$3:$F$4001,4,0)),"",VLOOKUP($R334&amp;AE$2,$C$3:$F$4001,4,0))</f>
        <v/>
      </c>
      <c r="AG334" s="106" t="str">
        <f>IF(ISNA(VLOOKUP($R334&amp;AG$2,$C$3:$F$4001,3,0)),"",VLOOKUP($R334&amp;AG$2,$C$3:$F$4001,3,0))</f>
        <v/>
      </c>
      <c r="AH334" s="107" t="str">
        <f>IF(ISNA(VLOOKUP($R334&amp;AG$2,$C$3:$F$4001,4,0)),"",VLOOKUP($R334&amp;AG$2,$C$3:$F$4001,4,0))</f>
        <v/>
      </c>
      <c r="AI334" s="106" t="str">
        <f>IF(ISNA(VLOOKUP($R334&amp;AI$2,$C$3:$F$4001,3,0)),"",VLOOKUP($R334&amp;AI$2,$C$3:$F$4001,3,0))</f>
        <v/>
      </c>
      <c r="AJ334" s="107" t="str">
        <f>IF(ISNA(VLOOKUP($R334&amp;AI$2,$C$3:$F$4001,4,0)),"",VLOOKUP($R334&amp;AI$2,$C$3:$F$4001,4,0))</f>
        <v/>
      </c>
      <c r="AK334" s="106" t="str">
        <f>IF(ISNA(VLOOKUP($R334&amp;AK$2,$C$3:$F$4001,3,0)),"",VLOOKUP($R334&amp;AK$2,$C$3:$F$4001,3,0))</f>
        <v/>
      </c>
    </row>
    <row r="335" spans="3:37" x14ac:dyDescent="0.2">
      <c r="C335" s="96" t="str">
        <f t="shared" si="20"/>
        <v>BPT10</v>
      </c>
      <c r="D335" s="73" t="s">
        <v>98</v>
      </c>
      <c r="E335" s="100">
        <v>41549</v>
      </c>
      <c r="F335" s="101">
        <v>1.2500000000000001E-2</v>
      </c>
      <c r="G335" s="96">
        <f t="shared" si="21"/>
        <v>10</v>
      </c>
      <c r="I335" s="96"/>
      <c r="K335" t="str">
        <f t="shared" si="22"/>
        <v>BPT10</v>
      </c>
      <c r="L335" s="73" t="s">
        <v>98</v>
      </c>
      <c r="M335" s="72">
        <v>41549</v>
      </c>
      <c r="N335" s="84">
        <v>1.2500000000000001E-2</v>
      </c>
      <c r="O335" s="96">
        <f t="shared" si="23"/>
        <v>10</v>
      </c>
      <c r="Q335" s="96"/>
      <c r="R335" s="96" t="str">
        <f>R334</f>
        <v>SGX</v>
      </c>
      <c r="S335" s="108" t="str">
        <f>IF(ISNA(VLOOKUP($R335&amp;S$2,$K$3:$N$4001,3,0)),"",VLOOKUP($R335&amp;S$2,$K$3:$N$4001,3,0))</f>
        <v/>
      </c>
      <c r="T335" s="109" t="str">
        <f>IF(ISNA(VLOOKUP($R335&amp;S$2,$K$3:$N$4001,4,0)),"",VLOOKUP($R335&amp;S$2,$K$3:$N$4001,4,0))</f>
        <v/>
      </c>
      <c r="U335" s="108" t="str">
        <f>IF(ISNA(VLOOKUP($R335&amp;U$2,$K$3:$N$4001,3,0)),"",VLOOKUP($R335&amp;U$2,$K$3:$N$4001,3,0))</f>
        <v/>
      </c>
      <c r="V335" s="109" t="str">
        <f>IF(ISNA(VLOOKUP($R335&amp;U$2,$K$3:$N$4001,4,0)),"",VLOOKUP($R335&amp;U$2,$K$3:$N$4001,4,0))</f>
        <v/>
      </c>
      <c r="W335" s="108" t="str">
        <f>IF(ISNA(VLOOKUP($R335&amp;W$2,$K$3:$N$4001,3,0)),"",VLOOKUP($R335&amp;W$2,$K$3:$N$4001,3,0))</f>
        <v/>
      </c>
      <c r="X335" s="109" t="str">
        <f>IF(ISNA(VLOOKUP($R335&amp;W$2,$K$3:$N$4001,4,0)),"",VLOOKUP($R335&amp;W$2,$K$3:$N$4001,4,0))</f>
        <v/>
      </c>
      <c r="Y335" s="108" t="str">
        <f>IF(ISNA(VLOOKUP($R335&amp;Y$2,$K$3:$N$4001,3,0)),"",VLOOKUP($R335&amp;Y$2,$K$3:$N$4001,3,0))</f>
        <v/>
      </c>
      <c r="Z335" s="109" t="str">
        <f>IF(ISNA(VLOOKUP($R335&amp;Y$2,$K$3:$N$4001,4,0)),"",VLOOKUP($R335&amp;Y$2,$K$3:$N$4001,4,0))</f>
        <v/>
      </c>
      <c r="AA335" s="108" t="str">
        <f>IF(ISNA(VLOOKUP($R335&amp;AA$2,$K$3:$N$4001,3,0)),"",VLOOKUP($R335&amp;AA$2,$K$3:$N$4001,3,0))</f>
        <v/>
      </c>
      <c r="AB335" s="109" t="str">
        <f>IF(ISNA(VLOOKUP($R335&amp;AA$2,$K$3:$N$4001,4,0)),"",VLOOKUP($R335&amp;AA$2,$K$3:$N$4001,4,0))</f>
        <v/>
      </c>
      <c r="AC335" s="108" t="str">
        <f>IF(ISNA(VLOOKUP($R335&amp;AC$2,$K$3:$N$4001,3,0)),"",VLOOKUP($R335&amp;AC$2,$K$3:$N$4001,3,0))</f>
        <v/>
      </c>
      <c r="AD335" s="109" t="str">
        <f>IF(ISNA(VLOOKUP($R335&amp;AC$2,$K$3:$N$4001,4,0)),"",VLOOKUP($R335&amp;AC$2,$K$3:$N$4001,4,0))</f>
        <v/>
      </c>
      <c r="AE335" s="108" t="str">
        <f>IF(ISNA(VLOOKUP($R335&amp;AE$2,$K$3:$N$4001,3,0)),"",VLOOKUP($R335&amp;AE$2,$K$3:$N$4001,3,0))</f>
        <v/>
      </c>
      <c r="AF335" s="109" t="str">
        <f>IF(ISNA(VLOOKUP($R335&amp;AE$2,$K$3:$N$4001,4,0)),"",VLOOKUP($R335&amp;AE$2,$K$3:$N$4001,4,0))</f>
        <v/>
      </c>
      <c r="AG335" s="108" t="str">
        <f>IF(ISNA(VLOOKUP($R335&amp;AG$2,$K$3:$N$4001,3,0)),"",VLOOKUP($R335&amp;AG$2,$K$3:$N$4001,3,0))</f>
        <v/>
      </c>
      <c r="AH335" s="109" t="str">
        <f>IF(ISNA(VLOOKUP($R335&amp;AG$2,$K$3:$N$4001,4,0)),"",VLOOKUP($R335&amp;AG$2,$K$3:$N$4001,4,0))</f>
        <v/>
      </c>
      <c r="AI335" s="108" t="str">
        <f>IF(ISNA(VLOOKUP($R335&amp;AI$2,$K$3:$N$4001,3,0)),"",VLOOKUP($R335&amp;AI$2,$K$3:$N$4001,3,0))</f>
        <v/>
      </c>
      <c r="AJ335" s="109" t="str">
        <f>IF(ISNA(VLOOKUP($R335&amp;AI$2,$K$3:$N$4001,4,0)),"",VLOOKUP($R335&amp;AI$2,$K$3:$N$4001,4,0))</f>
        <v/>
      </c>
      <c r="AK335" s="108" t="str">
        <f>IF(ISNA(VLOOKUP($R335&amp;AK$2,$K$3:$N$4001,3,0)),"",VLOOKUP($R335&amp;AK$2,$K$3:$N$4001,3,0))</f>
        <v/>
      </c>
    </row>
    <row r="336" spans="3:37" x14ac:dyDescent="0.2">
      <c r="C336" s="96" t="str">
        <f t="shared" si="20"/>
        <v>BSL1</v>
      </c>
      <c r="D336" s="73" t="s">
        <v>99</v>
      </c>
      <c r="E336" s="100">
        <v>39870</v>
      </c>
      <c r="F336" s="101">
        <v>0.1</v>
      </c>
      <c r="G336" s="96">
        <f t="shared" si="21"/>
        <v>1</v>
      </c>
      <c r="I336" s="96"/>
      <c r="K336" t="str">
        <f t="shared" si="22"/>
        <v>BSL1</v>
      </c>
      <c r="L336" s="73" t="s">
        <v>99</v>
      </c>
      <c r="M336" s="72">
        <v>39870</v>
      </c>
      <c r="N336" s="84">
        <v>0.1</v>
      </c>
      <c r="O336" s="96">
        <f t="shared" si="23"/>
        <v>1</v>
      </c>
      <c r="Q336" s="96"/>
      <c r="R336" s="96" t="s">
        <v>208</v>
      </c>
      <c r="S336" s="106">
        <f>IF(ISNA(VLOOKUP($R336&amp;S$2,$C$3:$F$4001,3,0)),"",VLOOKUP($R336&amp;S$2,$C$3:$F$4001,3,0))</f>
        <v>39876</v>
      </c>
      <c r="T336" s="107">
        <f>IF(ISNA(VLOOKUP($R336&amp;S$2,$C$3:$F$4001,4,0)),"",VLOOKUP($R336&amp;S$2,$C$3:$F$4001,4,0))</f>
        <v>0.23</v>
      </c>
      <c r="U336" s="106">
        <f>IF(ISNA(VLOOKUP($R336&amp;U$2,$C$3:$F$4001,3,0)),"",VLOOKUP($R336&amp;U$2,$C$3:$F$4001,3,0))</f>
        <v>40064</v>
      </c>
      <c r="V336" s="107">
        <f>IF(ISNA(VLOOKUP($R336&amp;U$2,$C$3:$F$4001,4,0)),"",VLOOKUP($R336&amp;U$2,$C$3:$F$4001,4,0))</f>
        <v>0.35</v>
      </c>
      <c r="W336" s="106">
        <f>IF(ISNA(VLOOKUP($R336&amp;W$2,$C$3:$F$4001,3,0)),"",VLOOKUP($R336&amp;W$2,$C$3:$F$4001,3,0))</f>
        <v>40242</v>
      </c>
      <c r="X336" s="107">
        <f>IF(ISNA(VLOOKUP($R336&amp;W$2,$C$3:$F$4001,4,0)),"",VLOOKUP($R336&amp;W$2,$C$3:$F$4001,4,0))</f>
        <v>0.25</v>
      </c>
      <c r="Y336" s="106">
        <f>IF(ISNA(VLOOKUP($R336&amp;Y$2,$C$3:$F$4001,3,0)),"",VLOOKUP($R336&amp;Y$2,$C$3:$F$4001,3,0))</f>
        <v>40429</v>
      </c>
      <c r="Z336" s="107">
        <f>IF(ISNA(VLOOKUP($R336&amp;Y$2,$C$3:$F$4001,4,0)),"",VLOOKUP($R336&amp;Y$2,$C$3:$F$4001,4,0))</f>
        <v>0.38</v>
      </c>
      <c r="AA336" s="106">
        <f>IF(ISNA(VLOOKUP($R336&amp;AA$2,$C$3:$F$4001,3,0)),"",VLOOKUP($R336&amp;AA$2,$C$3:$F$4001,3,0))</f>
        <v>40609</v>
      </c>
      <c r="AB336" s="107">
        <f>IF(ISNA(VLOOKUP($R336&amp;AA$2,$C$3:$F$4001,4,0)),"",VLOOKUP($R336&amp;AA$2,$C$3:$F$4001,4,0))</f>
        <v>0.28000000000000003</v>
      </c>
      <c r="AC336" s="106">
        <f>IF(ISNA(VLOOKUP($R336&amp;AC$2,$C$3:$F$4001,3,0)),"",VLOOKUP($R336&amp;AC$2,$C$3:$F$4001,3,0))</f>
        <v>40794</v>
      </c>
      <c r="AD336" s="107">
        <f>IF(ISNA(VLOOKUP($R336&amp;AC$2,$C$3:$F$4001,4,0)),"",VLOOKUP($R336&amp;AC$2,$C$3:$F$4001,4,0))</f>
        <v>0.42</v>
      </c>
      <c r="AE336" s="106">
        <f>IF(ISNA(VLOOKUP($R336&amp;AE$2,$C$3:$F$4001,3,0)),"",VLOOKUP($R336&amp;AE$2,$C$3:$F$4001,3,0))</f>
        <v>40974</v>
      </c>
      <c r="AF336" s="107">
        <f>IF(ISNA(VLOOKUP($R336&amp;AE$2,$C$3:$F$4001,4,0)),"",VLOOKUP($R336&amp;AE$2,$C$3:$F$4001,4,0))</f>
        <v>0.3</v>
      </c>
      <c r="AG336" s="106">
        <f>IF(ISNA(VLOOKUP($R336&amp;AG$2,$C$3:$F$4001,3,0)),"",VLOOKUP($R336&amp;AG$2,$C$3:$F$4001,3,0))</f>
        <v>41162</v>
      </c>
      <c r="AH336" s="107">
        <f>IF(ISNA(VLOOKUP($R336&amp;AG$2,$C$3:$F$4001,4,0)),"",VLOOKUP($R336&amp;AG$2,$C$3:$F$4001,4,0))</f>
        <v>0.45</v>
      </c>
      <c r="AI336" s="106">
        <f>IF(ISNA(VLOOKUP($R336&amp;AI$2,$C$3:$F$4001,3,0)),"",VLOOKUP($R336&amp;AI$2,$C$3:$F$4001,3,0))</f>
        <v>41339</v>
      </c>
      <c r="AJ336" s="107">
        <f>IF(ISNA(VLOOKUP($R336&amp;AI$2,$C$3:$F$4001,4,0)),"",VLOOKUP($R336&amp;AI$2,$C$3:$F$4001,4,0))</f>
        <v>0.34</v>
      </c>
      <c r="AK336" s="106">
        <f>IF(ISNA(VLOOKUP($R336&amp;AK$2,$C$3:$F$4001,3,0)),"",VLOOKUP($R336&amp;AK$2,$C$3:$F$4001,3,0))</f>
        <v>41527</v>
      </c>
    </row>
    <row r="337" spans="3:37" x14ac:dyDescent="0.2">
      <c r="C337" s="96" t="str">
        <f t="shared" si="20"/>
        <v>BSL2</v>
      </c>
      <c r="D337" s="73" t="s">
        <v>99</v>
      </c>
      <c r="E337" s="100">
        <v>40077</v>
      </c>
      <c r="F337" s="101">
        <v>0.12</v>
      </c>
      <c r="G337" s="96">
        <f t="shared" si="21"/>
        <v>2</v>
      </c>
      <c r="I337" s="96"/>
      <c r="K337" t="str">
        <f t="shared" si="22"/>
        <v>BSL2</v>
      </c>
      <c r="L337" s="73" t="s">
        <v>99</v>
      </c>
      <c r="M337" s="72">
        <v>40077</v>
      </c>
      <c r="N337" s="84">
        <v>0.12</v>
      </c>
      <c r="O337" s="96">
        <f t="shared" si="23"/>
        <v>2</v>
      </c>
      <c r="Q337" s="96"/>
      <c r="R337" s="96" t="str">
        <f>R336</f>
        <v>SHL</v>
      </c>
      <c r="S337" s="108">
        <f>IF(ISNA(VLOOKUP($R337&amp;S$2,$K$3:$N$4001,3,0)),"",VLOOKUP($R337&amp;S$2,$K$3:$N$4001,3,0))</f>
        <v>39876</v>
      </c>
      <c r="T337" s="109">
        <f>IF(ISNA(VLOOKUP($R337&amp;S$2,$K$3:$N$4001,4,0)),"",VLOOKUP($R337&amp;S$2,$K$3:$N$4001,4,0))</f>
        <v>0.23</v>
      </c>
      <c r="U337" s="108">
        <f>IF(ISNA(VLOOKUP($R337&amp;U$2,$K$3:$N$4001,3,0)),"",VLOOKUP($R337&amp;U$2,$K$3:$N$4001,3,0))</f>
        <v>40064</v>
      </c>
      <c r="V337" s="109">
        <f>IF(ISNA(VLOOKUP($R337&amp;U$2,$K$3:$N$4001,4,0)),"",VLOOKUP($R337&amp;U$2,$K$3:$N$4001,4,0))</f>
        <v>0.35</v>
      </c>
      <c r="W337" s="108">
        <f>IF(ISNA(VLOOKUP($R337&amp;W$2,$K$3:$N$4001,3,0)),"",VLOOKUP($R337&amp;W$2,$K$3:$N$4001,3,0))</f>
        <v>40242</v>
      </c>
      <c r="X337" s="109">
        <f>IF(ISNA(VLOOKUP($R337&amp;W$2,$K$3:$N$4001,4,0)),"",VLOOKUP($R337&amp;W$2,$K$3:$N$4001,4,0))</f>
        <v>0.25</v>
      </c>
      <c r="Y337" s="108">
        <f>IF(ISNA(VLOOKUP($R337&amp;Y$2,$K$3:$N$4001,3,0)),"",VLOOKUP($R337&amp;Y$2,$K$3:$N$4001,3,0))</f>
        <v>40429</v>
      </c>
      <c r="Z337" s="109">
        <f>IF(ISNA(VLOOKUP($R337&amp;Y$2,$K$3:$N$4001,4,0)),"",VLOOKUP($R337&amp;Y$2,$K$3:$N$4001,4,0))</f>
        <v>0.38</v>
      </c>
      <c r="AA337" s="108">
        <f>IF(ISNA(VLOOKUP($R337&amp;AA$2,$K$3:$N$4001,3,0)),"",VLOOKUP($R337&amp;AA$2,$K$3:$N$4001,3,0))</f>
        <v>40609</v>
      </c>
      <c r="AB337" s="109">
        <f>IF(ISNA(VLOOKUP($R337&amp;AA$2,$K$3:$N$4001,4,0)),"",VLOOKUP($R337&amp;AA$2,$K$3:$N$4001,4,0))</f>
        <v>0.28000000000000003</v>
      </c>
      <c r="AC337" s="108">
        <f>IF(ISNA(VLOOKUP($R337&amp;AC$2,$K$3:$N$4001,3,0)),"",VLOOKUP($R337&amp;AC$2,$K$3:$N$4001,3,0))</f>
        <v>40794</v>
      </c>
      <c r="AD337" s="109">
        <f>IF(ISNA(VLOOKUP($R337&amp;AC$2,$K$3:$N$4001,4,0)),"",VLOOKUP($R337&amp;AC$2,$K$3:$N$4001,4,0))</f>
        <v>0.42</v>
      </c>
      <c r="AE337" s="108">
        <f>IF(ISNA(VLOOKUP($R337&amp;AE$2,$K$3:$N$4001,3,0)),"",VLOOKUP($R337&amp;AE$2,$K$3:$N$4001,3,0))</f>
        <v>40974</v>
      </c>
      <c r="AF337" s="109">
        <f>IF(ISNA(VLOOKUP($R337&amp;AE$2,$K$3:$N$4001,4,0)),"",VLOOKUP($R337&amp;AE$2,$K$3:$N$4001,4,0))</f>
        <v>0.3</v>
      </c>
      <c r="AG337" s="108">
        <f>IF(ISNA(VLOOKUP($R337&amp;AG$2,$K$3:$N$4001,3,0)),"",VLOOKUP($R337&amp;AG$2,$K$3:$N$4001,3,0))</f>
        <v>41162</v>
      </c>
      <c r="AH337" s="109">
        <f>IF(ISNA(VLOOKUP($R337&amp;AG$2,$K$3:$N$4001,4,0)),"",VLOOKUP($R337&amp;AG$2,$K$3:$N$4001,4,0))</f>
        <v>0.45</v>
      </c>
      <c r="AI337" s="108">
        <f>IF(ISNA(VLOOKUP($R337&amp;AI$2,$K$3:$N$4001,3,0)),"",VLOOKUP($R337&amp;AI$2,$K$3:$N$4001,3,0))</f>
        <v>41339</v>
      </c>
      <c r="AJ337" s="109">
        <f>IF(ISNA(VLOOKUP($R337&amp;AI$2,$K$3:$N$4001,4,0)),"",VLOOKUP($R337&amp;AI$2,$K$3:$N$4001,4,0))</f>
        <v>0.34</v>
      </c>
      <c r="AK337" s="108">
        <f>IF(ISNA(VLOOKUP($R337&amp;AK$2,$K$3:$N$4001,3,0)),"",VLOOKUP($R337&amp;AK$2,$K$3:$N$4001,3,0))</f>
        <v>41527</v>
      </c>
    </row>
    <row r="338" spans="3:37" x14ac:dyDescent="0.2">
      <c r="C338" s="96" t="str">
        <f t="shared" si="20"/>
        <v>BSL3</v>
      </c>
      <c r="D338" s="73" t="s">
        <v>99</v>
      </c>
      <c r="E338" s="100">
        <v>40235</v>
      </c>
      <c r="F338" s="101">
        <v>0.1</v>
      </c>
      <c r="G338" s="96">
        <f t="shared" si="21"/>
        <v>3</v>
      </c>
      <c r="I338" s="96"/>
      <c r="K338" t="str">
        <f t="shared" si="22"/>
        <v>BSL3</v>
      </c>
      <c r="L338" s="73" t="s">
        <v>99</v>
      </c>
      <c r="M338" s="72">
        <v>40235</v>
      </c>
      <c r="N338" s="84">
        <v>0.1</v>
      </c>
      <c r="O338" s="96">
        <f t="shared" si="23"/>
        <v>3</v>
      </c>
      <c r="Q338" s="96"/>
      <c r="R338" s="96" t="s">
        <v>212</v>
      </c>
      <c r="S338" s="106">
        <f>IF(ISNA(VLOOKUP($R338&amp;S$2,$C$3:$F$4001,3,0)),"",VLOOKUP($R338&amp;S$2,$C$3:$F$4001,3,0))</f>
        <v>39960</v>
      </c>
      <c r="T338" s="107">
        <f>IF(ISNA(VLOOKUP($R338&amp;S$2,$C$3:$F$4001,4,0)),"",VLOOKUP($R338&amp;S$2,$C$3:$F$4001,4,0))</f>
        <v>3.5499999999999997E-2</v>
      </c>
      <c r="U338" s="106">
        <f>IF(ISNA(VLOOKUP($R338&amp;U$2,$C$3:$F$4001,3,0)),"",VLOOKUP($R338&amp;U$2,$C$3:$F$4001,3,0))</f>
        <v>39960</v>
      </c>
      <c r="V338" s="107">
        <f>IF(ISNA(VLOOKUP($R338&amp;U$2,$C$3:$F$4001,4,0)),"",VLOOKUP($R338&amp;U$2,$C$3:$F$4001,4,0))</f>
        <v>2.3700000000000002E-2</v>
      </c>
      <c r="W338" s="106">
        <f>IF(ISNA(VLOOKUP($R338&amp;W$2,$C$3:$F$4001,3,0)),"",VLOOKUP($R338&amp;W$2,$C$3:$F$4001,3,0))</f>
        <v>40141</v>
      </c>
      <c r="X338" s="107">
        <f>IF(ISNA(VLOOKUP($R338&amp;W$2,$C$3:$F$4001,4,0)),"",VLOOKUP($R338&amp;W$2,$C$3:$F$4001,4,0))</f>
        <v>7.4099999999999999E-2</v>
      </c>
      <c r="Y338" s="106">
        <f>IF(ISNA(VLOOKUP($R338&amp;Y$2,$C$3:$F$4001,3,0)),"",VLOOKUP($R338&amp;Y$2,$C$3:$F$4001,3,0))</f>
        <v>40325</v>
      </c>
      <c r="Z338" s="107">
        <f>IF(ISNA(VLOOKUP($R338&amp;Y$2,$C$3:$F$4001,4,0)),"",VLOOKUP($R338&amp;Y$2,$C$3:$F$4001,4,0))</f>
        <v>4.6900000000000004E-2</v>
      </c>
      <c r="AA338" s="106">
        <f>IF(ISNA(VLOOKUP($R338&amp;AA$2,$C$3:$F$4001,3,0)),"",VLOOKUP($R338&amp;AA$2,$C$3:$F$4001,3,0))</f>
        <v>40506</v>
      </c>
      <c r="AB338" s="107">
        <f>IF(ISNA(VLOOKUP($R338&amp;AA$2,$C$3:$F$4001,4,0)),"",VLOOKUP($R338&amp;AA$2,$C$3:$F$4001,4,0))</f>
        <v>7.5300000000000006E-2</v>
      </c>
      <c r="AC338" s="106">
        <f>IF(ISNA(VLOOKUP($R338&amp;AC$2,$C$3:$F$4001,3,0)),"",VLOOKUP($R338&amp;AC$2,$C$3:$F$4001,3,0))</f>
        <v>40690</v>
      </c>
      <c r="AD338" s="107">
        <f>IF(ISNA(VLOOKUP($R338&amp;AC$2,$C$3:$F$4001,4,0)),"",VLOOKUP($R338&amp;AC$2,$C$3:$F$4001,4,0))</f>
        <v>4.7699999999999992E-2</v>
      </c>
      <c r="AE338" s="106">
        <f>IF(ISNA(VLOOKUP($R338&amp;AE$2,$C$3:$F$4001,3,0)),"",VLOOKUP($R338&amp;AE$2,$C$3:$F$4001,3,0))</f>
        <v>40871</v>
      </c>
      <c r="AF338" s="107">
        <f>IF(ISNA(VLOOKUP($R338&amp;AE$2,$C$3:$F$4001,4,0)),"",VLOOKUP($R338&amp;AE$2,$C$3:$F$4001,4,0))</f>
        <v>7.9000000000000001E-2</v>
      </c>
      <c r="AG338" s="106">
        <f>IF(ISNA(VLOOKUP($R338&amp;AG$2,$C$3:$F$4001,3,0)),"",VLOOKUP($R338&amp;AG$2,$C$3:$F$4001,3,0))</f>
        <v>41058</v>
      </c>
      <c r="AH338" s="107">
        <f>IF(ISNA(VLOOKUP($R338&amp;AG$2,$C$3:$F$4001,4,0)),"",VLOOKUP($R338&amp;AG$2,$C$3:$F$4001,4,0))</f>
        <v>0.05</v>
      </c>
      <c r="AI338" s="106">
        <f>IF(ISNA(VLOOKUP($R338&amp;AI$2,$C$3:$F$4001,3,0)),"",VLOOKUP($R338&amp;AI$2,$C$3:$F$4001,3,0))</f>
        <v>41239</v>
      </c>
      <c r="AJ338" s="107">
        <f>IF(ISNA(VLOOKUP($R338&amp;AI$2,$C$3:$F$4001,4,0)),"",VLOOKUP($R338&amp;AI$2,$C$3:$F$4001,4,0))</f>
        <v>7.9000000000000001E-2</v>
      </c>
      <c r="AK338" s="106">
        <f>IF(ISNA(VLOOKUP($R338&amp;AK$2,$C$3:$F$4001,3,0)),"",VLOOKUP($R338&amp;AK$2,$C$3:$F$4001,3,0))</f>
        <v>41423</v>
      </c>
    </row>
    <row r="339" spans="3:37" x14ac:dyDescent="0.2">
      <c r="C339" s="96" t="str">
        <f t="shared" si="20"/>
        <v>BSL4</v>
      </c>
      <c r="D339" s="73" t="s">
        <v>99</v>
      </c>
      <c r="E339" s="100">
        <v>40442</v>
      </c>
      <c r="F339" s="101">
        <v>0.12</v>
      </c>
      <c r="G339" s="96">
        <f t="shared" si="21"/>
        <v>4</v>
      </c>
      <c r="I339" s="96"/>
      <c r="K339" t="str">
        <f t="shared" si="22"/>
        <v>BSL4</v>
      </c>
      <c r="L339" s="73" t="s">
        <v>99</v>
      </c>
      <c r="M339" s="72">
        <v>40442</v>
      </c>
      <c r="N339" s="84">
        <v>0.12</v>
      </c>
      <c r="O339" s="96">
        <f t="shared" si="23"/>
        <v>4</v>
      </c>
      <c r="Q339" s="96"/>
      <c r="R339" s="96" t="str">
        <f>R338</f>
        <v>SPN</v>
      </c>
      <c r="S339" s="108">
        <f>IF(ISNA(VLOOKUP($R339&amp;S$2,$K$3:$N$4001,3,0)),"",VLOOKUP($R339&amp;S$2,$K$3:$N$4001,3,0))</f>
        <v>39960</v>
      </c>
      <c r="T339" s="109">
        <f>IF(ISNA(VLOOKUP($R339&amp;S$2,$K$3:$N$4001,4,0)),"",VLOOKUP($R339&amp;S$2,$K$3:$N$4001,4,0))</f>
        <v>3.5499999999999997E-2</v>
      </c>
      <c r="U339" s="108">
        <f>IF(ISNA(VLOOKUP($R339&amp;U$2,$K$3:$N$4001,3,0)),"",VLOOKUP($R339&amp;U$2,$K$3:$N$4001,3,0))</f>
        <v>39960</v>
      </c>
      <c r="V339" s="109">
        <f>IF(ISNA(VLOOKUP($R339&amp;U$2,$K$3:$N$4001,4,0)),"",VLOOKUP($R339&amp;U$2,$K$3:$N$4001,4,0))</f>
        <v>2.3700000000000002E-2</v>
      </c>
      <c r="W339" s="108">
        <f>IF(ISNA(VLOOKUP($R339&amp;W$2,$K$3:$N$4001,3,0)),"",VLOOKUP($R339&amp;W$2,$K$3:$N$4001,3,0))</f>
        <v>40141</v>
      </c>
      <c r="X339" s="109">
        <f>IF(ISNA(VLOOKUP($R339&amp;W$2,$K$3:$N$4001,4,0)),"",VLOOKUP($R339&amp;W$2,$K$3:$N$4001,4,0))</f>
        <v>7.4099999999999999E-2</v>
      </c>
      <c r="Y339" s="108">
        <f>IF(ISNA(VLOOKUP($R339&amp;Y$2,$K$3:$N$4001,3,0)),"",VLOOKUP($R339&amp;Y$2,$K$3:$N$4001,3,0))</f>
        <v>40325</v>
      </c>
      <c r="Z339" s="109">
        <f>IF(ISNA(VLOOKUP($R339&amp;Y$2,$K$3:$N$4001,4,0)),"",VLOOKUP($R339&amp;Y$2,$K$3:$N$4001,4,0))</f>
        <v>4.6900000000000004E-2</v>
      </c>
      <c r="AA339" s="108">
        <f>IF(ISNA(VLOOKUP($R339&amp;AA$2,$K$3:$N$4001,3,0)),"",VLOOKUP($R339&amp;AA$2,$K$3:$N$4001,3,0))</f>
        <v>40506</v>
      </c>
      <c r="AB339" s="109">
        <f>IF(ISNA(VLOOKUP($R339&amp;AA$2,$K$3:$N$4001,4,0)),"",VLOOKUP($R339&amp;AA$2,$K$3:$N$4001,4,0))</f>
        <v>7.5300000000000006E-2</v>
      </c>
      <c r="AC339" s="108">
        <f>IF(ISNA(VLOOKUP($R339&amp;AC$2,$K$3:$N$4001,3,0)),"",VLOOKUP($R339&amp;AC$2,$K$3:$N$4001,3,0))</f>
        <v>40690</v>
      </c>
      <c r="AD339" s="109">
        <f>IF(ISNA(VLOOKUP($R339&amp;AC$2,$K$3:$N$4001,4,0)),"",VLOOKUP($R339&amp;AC$2,$K$3:$N$4001,4,0))</f>
        <v>4.7699999999999992E-2</v>
      </c>
      <c r="AE339" s="108">
        <f>IF(ISNA(VLOOKUP($R339&amp;AE$2,$K$3:$N$4001,3,0)),"",VLOOKUP($R339&amp;AE$2,$K$3:$N$4001,3,0))</f>
        <v>40871</v>
      </c>
      <c r="AF339" s="109">
        <f>IF(ISNA(VLOOKUP($R339&amp;AE$2,$K$3:$N$4001,4,0)),"",VLOOKUP($R339&amp;AE$2,$K$3:$N$4001,4,0))</f>
        <v>7.9000000000000001E-2</v>
      </c>
      <c r="AG339" s="108">
        <f>IF(ISNA(VLOOKUP($R339&amp;AG$2,$K$3:$N$4001,3,0)),"",VLOOKUP($R339&amp;AG$2,$K$3:$N$4001,3,0))</f>
        <v>41058</v>
      </c>
      <c r="AH339" s="109">
        <f>IF(ISNA(VLOOKUP($R339&amp;AG$2,$K$3:$N$4001,4,0)),"",VLOOKUP($R339&amp;AG$2,$K$3:$N$4001,4,0))</f>
        <v>0.05</v>
      </c>
      <c r="AI339" s="108">
        <f>IF(ISNA(VLOOKUP($R339&amp;AI$2,$K$3:$N$4001,3,0)),"",VLOOKUP($R339&amp;AI$2,$K$3:$N$4001,3,0))</f>
        <v>41239</v>
      </c>
      <c r="AJ339" s="109">
        <f>IF(ISNA(VLOOKUP($R339&amp;AI$2,$K$3:$N$4001,4,0)),"",VLOOKUP($R339&amp;AI$2,$K$3:$N$4001,4,0))</f>
        <v>7.9000000000000001E-2</v>
      </c>
      <c r="AK339" s="108">
        <f>IF(ISNA(VLOOKUP($R339&amp;AK$2,$K$3:$N$4001,3,0)),"",VLOOKUP($R339&amp;AK$2,$K$3:$N$4001,3,0))</f>
        <v>41423</v>
      </c>
    </row>
    <row r="340" spans="3:37" x14ac:dyDescent="0.2">
      <c r="C340" s="96" t="str">
        <f t="shared" si="20"/>
        <v>BSL5</v>
      </c>
      <c r="D340" s="73" t="s">
        <v>99</v>
      </c>
      <c r="E340" s="100">
        <v>40602</v>
      </c>
      <c r="F340" s="101">
        <v>0.12</v>
      </c>
      <c r="G340" s="96">
        <f t="shared" si="21"/>
        <v>5</v>
      </c>
      <c r="I340" s="96"/>
      <c r="K340" t="str">
        <f t="shared" si="22"/>
        <v>BSL5</v>
      </c>
      <c r="L340" s="73" t="s">
        <v>99</v>
      </c>
      <c r="M340" s="72">
        <v>40602</v>
      </c>
      <c r="N340" s="84">
        <v>0.12</v>
      </c>
      <c r="O340" s="96">
        <f t="shared" si="23"/>
        <v>5</v>
      </c>
      <c r="Q340" s="96"/>
      <c r="R340" s="96" t="s">
        <v>210</v>
      </c>
      <c r="S340" s="106">
        <f>IF(ISNA(VLOOKUP($R340&amp;S$2,$C$3:$F$4001,3,0)),"",VLOOKUP($R340&amp;S$2,$C$3:$F$4001,3,0))</f>
        <v>39871</v>
      </c>
      <c r="T340" s="107">
        <f>IF(ISNA(VLOOKUP($R340&amp;S$2,$C$3:$F$4001,4,0)),"",VLOOKUP($R340&amp;S$2,$C$3:$F$4001,4,0))</f>
        <v>9.2600000000000002E-2</v>
      </c>
      <c r="U340" s="106">
        <f>IF(ISNA(VLOOKUP($R340&amp;U$2,$C$3:$F$4001,3,0)),"",VLOOKUP($R340&amp;U$2,$C$3:$F$4001,3,0))</f>
        <v>40053</v>
      </c>
      <c r="V340" s="107">
        <f>IF(ISNA(VLOOKUP($R340&amp;U$2,$C$3:$F$4001,4,0)),"",VLOOKUP($R340&amp;U$2,$C$3:$F$4001,4,0))</f>
        <v>9.5399999999999985E-2</v>
      </c>
      <c r="W340" s="106">
        <f>IF(ISNA(VLOOKUP($R340&amp;W$2,$C$3:$F$4001,3,0)),"",VLOOKUP($R340&amp;W$2,$C$3:$F$4001,3,0))</f>
        <v>40238</v>
      </c>
      <c r="X340" s="107">
        <f>IF(ISNA(VLOOKUP($R340&amp;W$2,$C$3:$F$4001,4,0)),"",VLOOKUP($R340&amp;W$2,$C$3:$F$4001,4,0))</f>
        <v>9.5600000000000004E-2</v>
      </c>
      <c r="Y340" s="106">
        <f>IF(ISNA(VLOOKUP($R340&amp;Y$2,$C$3:$F$4001,3,0)),"",VLOOKUP($R340&amp;Y$2,$C$3:$F$4001,3,0))</f>
        <v>40420</v>
      </c>
      <c r="Z340" s="107">
        <f>IF(ISNA(VLOOKUP($R340&amp;Y$2,$C$3:$F$4001,4,0)),"",VLOOKUP($R340&amp;Y$2,$C$3:$F$4001,4,0))</f>
        <v>9.64E-2</v>
      </c>
      <c r="AA340" s="106">
        <f>IF(ISNA(VLOOKUP($R340&amp;AA$2,$C$3:$F$4001,3,0)),"",VLOOKUP($R340&amp;AA$2,$C$3:$F$4001,3,0))</f>
        <v>40603</v>
      </c>
      <c r="AB340" s="107">
        <f>IF(ISNA(VLOOKUP($R340&amp;AA$2,$C$3:$F$4001,4,0)),"",VLOOKUP($R340&amp;AA$2,$C$3:$F$4001,4,0))</f>
        <v>9.6600000000000005E-2</v>
      </c>
      <c r="AC340" s="106">
        <f>IF(ISNA(VLOOKUP($R340&amp;AC$2,$C$3:$F$4001,3,0)),"",VLOOKUP($R340&amp;AC$2,$C$3:$F$4001,3,0))</f>
        <v>40785</v>
      </c>
      <c r="AD340" s="107">
        <f>IF(ISNA(VLOOKUP($R340&amp;AC$2,$C$3:$F$4001,4,0)),"",VLOOKUP($R340&amp;AC$2,$C$3:$F$4001,4,0))</f>
        <v>9.8900000000000002E-2</v>
      </c>
      <c r="AE340" s="106">
        <f>IF(ISNA(VLOOKUP($R340&amp;AE$2,$C$3:$F$4001,3,0)),"",VLOOKUP($R340&amp;AE$2,$C$3:$F$4001,3,0))</f>
        <v>40969</v>
      </c>
      <c r="AF340" s="107">
        <f>IF(ISNA(VLOOKUP($R340&amp;AE$2,$C$3:$F$4001,4,0)),"",VLOOKUP($R340&amp;AE$2,$C$3:$F$4001,4,0))</f>
        <v>9.9100000000000008E-2</v>
      </c>
      <c r="AG340" s="106">
        <f>IF(ISNA(VLOOKUP($R340&amp;AG$2,$C$3:$F$4001,3,0)),"",VLOOKUP($R340&amp;AG$2,$C$3:$F$4001,3,0))</f>
        <v>41151</v>
      </c>
      <c r="AH340" s="107">
        <f>IF(ISNA(VLOOKUP($R340&amp;AG$2,$C$3:$F$4001,4,0)),"",VLOOKUP($R340&amp;AG$2,$C$3:$F$4001,4,0))</f>
        <v>0.10189999999999999</v>
      </c>
      <c r="AI340" s="106">
        <f>IF(ISNA(VLOOKUP($R340&amp;AI$2,$C$3:$F$4001,3,0)),"",VLOOKUP($R340&amp;AI$2,$C$3:$F$4001,3,0))</f>
        <v>41334</v>
      </c>
      <c r="AJ340" s="107">
        <f>IF(ISNA(VLOOKUP($R340&amp;AI$2,$C$3:$F$4001,4,0)),"",VLOOKUP($R340&amp;AI$2,$C$3:$F$4001,4,0))</f>
        <v>0.10210000000000001</v>
      </c>
      <c r="AK340" s="106" t="str">
        <f>IF(ISNA(VLOOKUP($R340&amp;AK$2,$C$3:$F$4001,3,0)),"",VLOOKUP($R340&amp;AK$2,$C$3:$F$4001,3,0))</f>
        <v/>
      </c>
    </row>
    <row r="341" spans="3:37" x14ac:dyDescent="0.2">
      <c r="C341" s="96" t="str">
        <f t="shared" si="20"/>
        <v>BSL6</v>
      </c>
      <c r="D341" s="73" t="s">
        <v>99</v>
      </c>
      <c r="E341" s="100">
        <v>40807</v>
      </c>
      <c r="F341" s="101">
        <v>0.15</v>
      </c>
      <c r="G341" s="96">
        <f t="shared" si="21"/>
        <v>6</v>
      </c>
      <c r="I341" s="96"/>
      <c r="K341" t="str">
        <f t="shared" si="22"/>
        <v>BSL6</v>
      </c>
      <c r="L341" s="73" t="s">
        <v>99</v>
      </c>
      <c r="M341" s="72">
        <v>40807</v>
      </c>
      <c r="N341" s="84">
        <v>0.15</v>
      </c>
      <c r="O341" s="96">
        <f t="shared" si="23"/>
        <v>6</v>
      </c>
      <c r="Q341" s="96"/>
      <c r="R341" s="96" t="str">
        <f>R340</f>
        <v>SKI</v>
      </c>
      <c r="S341" s="108">
        <f>IF(ISNA(VLOOKUP($R341&amp;S$2,$K$3:$N$4001,3,0)),"",VLOOKUP($R341&amp;S$2,$K$3:$N$4001,3,0))</f>
        <v>39871</v>
      </c>
      <c r="T341" s="109">
        <f>IF(ISNA(VLOOKUP($R341&amp;S$2,$K$3:$N$4001,4,0)),"",VLOOKUP($R341&amp;S$2,$K$3:$N$4001,4,0))</f>
        <v>9.2600000000000002E-2</v>
      </c>
      <c r="U341" s="108">
        <f>IF(ISNA(VLOOKUP($R341&amp;U$2,$K$3:$N$4001,3,0)),"",VLOOKUP($R341&amp;U$2,$K$3:$N$4001,3,0))</f>
        <v>40053</v>
      </c>
      <c r="V341" s="109">
        <f>IF(ISNA(VLOOKUP($R341&amp;U$2,$K$3:$N$4001,4,0)),"",VLOOKUP($R341&amp;U$2,$K$3:$N$4001,4,0))</f>
        <v>9.5399999999999985E-2</v>
      </c>
      <c r="W341" s="108">
        <f>IF(ISNA(VLOOKUP($R341&amp;W$2,$K$3:$N$4001,3,0)),"",VLOOKUP($R341&amp;W$2,$K$3:$N$4001,3,0))</f>
        <v>40238</v>
      </c>
      <c r="X341" s="109">
        <f>IF(ISNA(VLOOKUP($R341&amp;W$2,$K$3:$N$4001,4,0)),"",VLOOKUP($R341&amp;W$2,$K$3:$N$4001,4,0))</f>
        <v>9.5600000000000004E-2</v>
      </c>
      <c r="Y341" s="108">
        <f>IF(ISNA(VLOOKUP($R341&amp;Y$2,$K$3:$N$4001,3,0)),"",VLOOKUP($R341&amp;Y$2,$K$3:$N$4001,3,0))</f>
        <v>40420</v>
      </c>
      <c r="Z341" s="109">
        <f>IF(ISNA(VLOOKUP($R341&amp;Y$2,$K$3:$N$4001,4,0)),"",VLOOKUP($R341&amp;Y$2,$K$3:$N$4001,4,0))</f>
        <v>9.64E-2</v>
      </c>
      <c r="AA341" s="108">
        <f>IF(ISNA(VLOOKUP($R341&amp;AA$2,$K$3:$N$4001,3,0)),"",VLOOKUP($R341&amp;AA$2,$K$3:$N$4001,3,0))</f>
        <v>40603</v>
      </c>
      <c r="AB341" s="109">
        <f>IF(ISNA(VLOOKUP($R341&amp;AA$2,$K$3:$N$4001,4,0)),"",VLOOKUP($R341&amp;AA$2,$K$3:$N$4001,4,0))</f>
        <v>9.6600000000000005E-2</v>
      </c>
      <c r="AC341" s="108">
        <f>IF(ISNA(VLOOKUP($R341&amp;AC$2,$K$3:$N$4001,3,0)),"",VLOOKUP($R341&amp;AC$2,$K$3:$N$4001,3,0))</f>
        <v>40785</v>
      </c>
      <c r="AD341" s="109">
        <f>IF(ISNA(VLOOKUP($R341&amp;AC$2,$K$3:$N$4001,4,0)),"",VLOOKUP($R341&amp;AC$2,$K$3:$N$4001,4,0))</f>
        <v>9.8900000000000002E-2</v>
      </c>
      <c r="AE341" s="108">
        <f>IF(ISNA(VLOOKUP($R341&amp;AE$2,$K$3:$N$4001,3,0)),"",VLOOKUP($R341&amp;AE$2,$K$3:$N$4001,3,0))</f>
        <v>40969</v>
      </c>
      <c r="AF341" s="109">
        <f>IF(ISNA(VLOOKUP($R341&amp;AE$2,$K$3:$N$4001,4,0)),"",VLOOKUP($R341&amp;AE$2,$K$3:$N$4001,4,0))</f>
        <v>9.9100000000000008E-2</v>
      </c>
      <c r="AG341" s="108">
        <f>IF(ISNA(VLOOKUP($R341&amp;AG$2,$K$3:$N$4001,3,0)),"",VLOOKUP($R341&amp;AG$2,$K$3:$N$4001,3,0))</f>
        <v>41151</v>
      </c>
      <c r="AH341" s="109">
        <f>IF(ISNA(VLOOKUP($R341&amp;AG$2,$K$3:$N$4001,4,0)),"",VLOOKUP($R341&amp;AG$2,$K$3:$N$4001,4,0))</f>
        <v>0.10189999999999999</v>
      </c>
      <c r="AI341" s="108">
        <f>IF(ISNA(VLOOKUP($R341&amp;AI$2,$K$3:$N$4001,3,0)),"",VLOOKUP($R341&amp;AI$2,$K$3:$N$4001,3,0))</f>
        <v>41334</v>
      </c>
      <c r="AJ341" s="109">
        <f>IF(ISNA(VLOOKUP($R341&amp;AI$2,$K$3:$N$4001,4,0)),"",VLOOKUP($R341&amp;AI$2,$K$3:$N$4001,4,0))</f>
        <v>0.10210000000000001</v>
      </c>
      <c r="AK341" s="108" t="str">
        <f>IF(ISNA(VLOOKUP($R341&amp;AK$2,$K$3:$N$4001,3,0)),"",VLOOKUP($R341&amp;AK$2,$K$3:$N$4001,3,0))</f>
        <v/>
      </c>
    </row>
    <row r="342" spans="3:37" x14ac:dyDescent="0.2">
      <c r="C342" s="96" t="str">
        <f t="shared" si="20"/>
        <v>BSL7</v>
      </c>
      <c r="D342" s="73" t="s">
        <v>99</v>
      </c>
      <c r="E342" s="100">
        <v>40967</v>
      </c>
      <c r="F342" s="101">
        <v>0.15</v>
      </c>
      <c r="G342" s="96">
        <f t="shared" si="21"/>
        <v>7</v>
      </c>
      <c r="I342" s="96"/>
      <c r="K342" t="str">
        <f t="shared" si="22"/>
        <v>BSL7</v>
      </c>
      <c r="L342" s="73" t="s">
        <v>99</v>
      </c>
      <c r="M342" s="72">
        <v>40967</v>
      </c>
      <c r="N342" s="84">
        <v>0.15</v>
      </c>
      <c r="O342" s="96">
        <f t="shared" si="23"/>
        <v>7</v>
      </c>
      <c r="Q342" s="96"/>
      <c r="R342" s="96" t="s">
        <v>213</v>
      </c>
      <c r="S342" s="106">
        <f>IF(ISNA(VLOOKUP($R342&amp;S$2,$C$3:$F$4001,3,0)),"",VLOOKUP($R342&amp;S$2,$C$3:$F$4001,3,0))</f>
        <v>39888</v>
      </c>
      <c r="T342" s="107">
        <f>IF(ISNA(VLOOKUP($R342&amp;S$2,$C$3:$F$4001,4,0)),"",VLOOKUP($R342&amp;S$2,$C$3:$F$4001,4,0))</f>
        <v>0.105</v>
      </c>
      <c r="U342" s="106">
        <f>IF(ISNA(VLOOKUP($R342&amp;U$2,$C$3:$F$4001,3,0)),"",VLOOKUP($R342&amp;U$2,$C$3:$F$4001,3,0))</f>
        <v>40071</v>
      </c>
      <c r="V342" s="107">
        <f>IF(ISNA(VLOOKUP($R342&amp;U$2,$C$3:$F$4001,4,0)),"",VLOOKUP($R342&amp;U$2,$C$3:$F$4001,4,0))</f>
        <v>0.105</v>
      </c>
      <c r="W342" s="106">
        <f>IF(ISNA(VLOOKUP($R342&amp;W$2,$C$3:$F$4001,3,0)),"",VLOOKUP($R342&amp;W$2,$C$3:$F$4001,3,0))</f>
        <v>40253</v>
      </c>
      <c r="X342" s="107">
        <f>IF(ISNA(VLOOKUP($R342&amp;W$2,$C$3:$F$4001,4,0)),"",VLOOKUP($R342&amp;W$2,$C$3:$F$4001,4,0))</f>
        <v>0.105</v>
      </c>
      <c r="Y342" s="106">
        <f>IF(ISNA(VLOOKUP($R342&amp;Y$2,$C$3:$F$4001,3,0)),"",VLOOKUP($R342&amp;Y$2,$C$3:$F$4001,3,0))</f>
        <v>40436</v>
      </c>
      <c r="Z342" s="107">
        <f>IF(ISNA(VLOOKUP($R342&amp;Y$2,$C$3:$F$4001,4,0)),"",VLOOKUP($R342&amp;Y$2,$C$3:$F$4001,4,0))</f>
        <v>0.105</v>
      </c>
      <c r="AA342" s="106">
        <f>IF(ISNA(VLOOKUP($R342&amp;AA$2,$C$3:$F$4001,3,0)),"",VLOOKUP($R342&amp;AA$2,$C$3:$F$4001,3,0))</f>
        <v>40618</v>
      </c>
      <c r="AB342" s="107">
        <f>IF(ISNA(VLOOKUP($R342&amp;AA$2,$C$3:$F$4001,4,0)),"",VLOOKUP($R342&amp;AA$2,$C$3:$F$4001,4,0))</f>
        <v>0.114</v>
      </c>
      <c r="AC342" s="106">
        <f>IF(ISNA(VLOOKUP($R342&amp;AC$2,$C$3:$F$4001,3,0)),"",VLOOKUP($R342&amp;AC$2,$C$3:$F$4001,3,0))</f>
        <v>40801</v>
      </c>
      <c r="AD342" s="107">
        <f>IF(ISNA(VLOOKUP($R342&amp;AC$2,$C$3:$F$4001,4,0)),"",VLOOKUP($R342&amp;AC$2,$C$3:$F$4001,4,0))</f>
        <v>0.114</v>
      </c>
      <c r="AE342" s="106">
        <f>IF(ISNA(VLOOKUP($R342&amp;AE$2,$C$3:$F$4001,3,0)),"",VLOOKUP($R342&amp;AE$2,$C$3:$F$4001,3,0))</f>
        <v>40984</v>
      </c>
      <c r="AF342" s="107">
        <f>IF(ISNA(VLOOKUP($R342&amp;AE$2,$C$3:$F$4001,4,0)),"",VLOOKUP($R342&amp;AE$2,$C$3:$F$4001,4,0))</f>
        <v>0.122</v>
      </c>
      <c r="AG342" s="106">
        <f>IF(ISNA(VLOOKUP($R342&amp;AG$2,$C$3:$F$4001,3,0)),"",VLOOKUP($R342&amp;AG$2,$C$3:$F$4001,3,0))</f>
        <v>41169</v>
      </c>
      <c r="AH342" s="107">
        <f>IF(ISNA(VLOOKUP($R342&amp;AG$2,$C$3:$F$4001,4,0)),"",VLOOKUP($R342&amp;AG$2,$C$3:$F$4001,4,0))</f>
        <v>0.122</v>
      </c>
      <c r="AI342" s="106">
        <f>IF(ISNA(VLOOKUP($R342&amp;AI$2,$C$3:$F$4001,3,0)),"",VLOOKUP($R342&amp;AI$2,$C$3:$F$4001,3,0))</f>
        <v>41351</v>
      </c>
      <c r="AJ342" s="107">
        <f>IF(ISNA(VLOOKUP($R342&amp;AI$2,$C$3:$F$4001,4,0)),"",VLOOKUP($R342&amp;AI$2,$C$3:$F$4001,4,0))</f>
        <v>0.1265</v>
      </c>
      <c r="AK342" s="106">
        <f>IF(ISNA(VLOOKUP($R342&amp;AK$2,$C$3:$F$4001,3,0)),"",VLOOKUP($R342&amp;AK$2,$C$3:$F$4001,3,0))</f>
        <v>41534</v>
      </c>
    </row>
    <row r="343" spans="3:37" x14ac:dyDescent="0.2">
      <c r="C343" s="96" t="str">
        <f t="shared" si="20"/>
        <v>BSL8</v>
      </c>
      <c r="D343" s="73" t="s">
        <v>99</v>
      </c>
      <c r="E343" s="100">
        <v>41173</v>
      </c>
      <c r="F343" s="101">
        <v>0.18</v>
      </c>
      <c r="G343" s="96">
        <f t="shared" si="21"/>
        <v>8</v>
      </c>
      <c r="I343" s="96"/>
      <c r="K343" t="str">
        <f t="shared" si="22"/>
        <v>BSL8</v>
      </c>
      <c r="L343" s="73" t="s">
        <v>99</v>
      </c>
      <c r="M343" s="72">
        <v>41173</v>
      </c>
      <c r="N343" s="84">
        <v>0.18</v>
      </c>
      <c r="O343" s="96">
        <f t="shared" si="23"/>
        <v>8</v>
      </c>
      <c r="Q343" s="96"/>
      <c r="R343" s="96" t="str">
        <f>R342</f>
        <v>SPT</v>
      </c>
      <c r="S343" s="108">
        <f>IF(ISNA(VLOOKUP($R343&amp;S$2,$K$3:$N$4001,3,0)),"",VLOOKUP($R343&amp;S$2,$K$3:$N$4001,3,0))</f>
        <v>39888</v>
      </c>
      <c r="T343" s="109">
        <f>IF(ISNA(VLOOKUP($R343&amp;S$2,$K$3:$N$4001,4,0)),"",VLOOKUP($R343&amp;S$2,$K$3:$N$4001,4,0))</f>
        <v>0.105</v>
      </c>
      <c r="U343" s="108">
        <f>IF(ISNA(VLOOKUP($R343&amp;U$2,$K$3:$N$4001,3,0)),"",VLOOKUP($R343&amp;U$2,$K$3:$N$4001,3,0))</f>
        <v>40071</v>
      </c>
      <c r="V343" s="109">
        <f>IF(ISNA(VLOOKUP($R343&amp;U$2,$K$3:$N$4001,4,0)),"",VLOOKUP($R343&amp;U$2,$K$3:$N$4001,4,0))</f>
        <v>0.105</v>
      </c>
      <c r="W343" s="108">
        <f>IF(ISNA(VLOOKUP($R343&amp;W$2,$K$3:$N$4001,3,0)),"",VLOOKUP($R343&amp;W$2,$K$3:$N$4001,3,0))</f>
        <v>40253</v>
      </c>
      <c r="X343" s="109">
        <f>IF(ISNA(VLOOKUP($R343&amp;W$2,$K$3:$N$4001,4,0)),"",VLOOKUP($R343&amp;W$2,$K$3:$N$4001,4,0))</f>
        <v>0.105</v>
      </c>
      <c r="Y343" s="108">
        <f>IF(ISNA(VLOOKUP($R343&amp;Y$2,$K$3:$N$4001,3,0)),"",VLOOKUP($R343&amp;Y$2,$K$3:$N$4001,3,0))</f>
        <v>40436</v>
      </c>
      <c r="Z343" s="109">
        <f>IF(ISNA(VLOOKUP($R343&amp;Y$2,$K$3:$N$4001,4,0)),"",VLOOKUP($R343&amp;Y$2,$K$3:$N$4001,4,0))</f>
        <v>0.105</v>
      </c>
      <c r="AA343" s="108">
        <f>IF(ISNA(VLOOKUP($R343&amp;AA$2,$K$3:$N$4001,3,0)),"",VLOOKUP($R343&amp;AA$2,$K$3:$N$4001,3,0))</f>
        <v>40618</v>
      </c>
      <c r="AB343" s="109">
        <f>IF(ISNA(VLOOKUP($R343&amp;AA$2,$K$3:$N$4001,4,0)),"",VLOOKUP($R343&amp;AA$2,$K$3:$N$4001,4,0))</f>
        <v>0.114</v>
      </c>
      <c r="AC343" s="108">
        <f>IF(ISNA(VLOOKUP($R343&amp;AC$2,$K$3:$N$4001,3,0)),"",VLOOKUP($R343&amp;AC$2,$K$3:$N$4001,3,0))</f>
        <v>40801</v>
      </c>
      <c r="AD343" s="109">
        <f>IF(ISNA(VLOOKUP($R343&amp;AC$2,$K$3:$N$4001,4,0)),"",VLOOKUP($R343&amp;AC$2,$K$3:$N$4001,4,0))</f>
        <v>0.114</v>
      </c>
      <c r="AE343" s="108">
        <f>IF(ISNA(VLOOKUP($R343&amp;AE$2,$K$3:$N$4001,3,0)),"",VLOOKUP($R343&amp;AE$2,$K$3:$N$4001,3,0))</f>
        <v>40984</v>
      </c>
      <c r="AF343" s="109">
        <f>IF(ISNA(VLOOKUP($R343&amp;AE$2,$K$3:$N$4001,4,0)),"",VLOOKUP($R343&amp;AE$2,$K$3:$N$4001,4,0))</f>
        <v>0.122</v>
      </c>
      <c r="AG343" s="108">
        <f>IF(ISNA(VLOOKUP($R343&amp;AG$2,$K$3:$N$4001,3,0)),"",VLOOKUP($R343&amp;AG$2,$K$3:$N$4001,3,0))</f>
        <v>41169</v>
      </c>
      <c r="AH343" s="109">
        <f>IF(ISNA(VLOOKUP($R343&amp;AG$2,$K$3:$N$4001,4,0)),"",VLOOKUP($R343&amp;AG$2,$K$3:$N$4001,4,0))</f>
        <v>0.122</v>
      </c>
      <c r="AI343" s="108">
        <f>IF(ISNA(VLOOKUP($R343&amp;AI$2,$K$3:$N$4001,3,0)),"",VLOOKUP($R343&amp;AI$2,$K$3:$N$4001,3,0))</f>
        <v>41351</v>
      </c>
      <c r="AJ343" s="109">
        <f>IF(ISNA(VLOOKUP($R343&amp;AI$2,$K$3:$N$4001,4,0)),"",VLOOKUP($R343&amp;AI$2,$K$3:$N$4001,4,0))</f>
        <v>0.1265</v>
      </c>
      <c r="AK343" s="108">
        <f>IF(ISNA(VLOOKUP($R343&amp;AK$2,$K$3:$N$4001,3,0)),"",VLOOKUP($R343&amp;AK$2,$K$3:$N$4001,3,0))</f>
        <v>41534</v>
      </c>
    </row>
    <row r="344" spans="3:37" x14ac:dyDescent="0.2">
      <c r="C344" s="96" t="str">
        <f t="shared" si="20"/>
        <v>BSL9</v>
      </c>
      <c r="D344" s="73" t="s">
        <v>99</v>
      </c>
      <c r="E344" s="100">
        <v>41332</v>
      </c>
      <c r="F344" s="101">
        <v>0.18</v>
      </c>
      <c r="G344" s="96">
        <f t="shared" si="21"/>
        <v>9</v>
      </c>
      <c r="I344" s="96"/>
      <c r="K344" t="str">
        <f t="shared" si="22"/>
        <v>BSL9</v>
      </c>
      <c r="L344" s="73" t="s">
        <v>99</v>
      </c>
      <c r="M344" s="72">
        <v>41332</v>
      </c>
      <c r="N344" s="84">
        <v>0.18</v>
      </c>
      <c r="O344" s="96">
        <f t="shared" si="23"/>
        <v>9</v>
      </c>
      <c r="Q344" s="96"/>
      <c r="R344" s="96" t="s">
        <v>283</v>
      </c>
      <c r="S344" s="106" t="str">
        <f>IF(ISNA(VLOOKUP($R344&amp;S$2,$C$3:$F$4001,3,0)),"",VLOOKUP($R344&amp;S$2,$C$3:$F$4001,3,0))</f>
        <v/>
      </c>
      <c r="T344" s="107" t="str">
        <f>IF(ISNA(VLOOKUP($R344&amp;S$2,$C$3:$F$4001,4,0)),"",VLOOKUP($R344&amp;S$2,$C$3:$F$4001,4,0))</f>
        <v/>
      </c>
      <c r="U344" s="106" t="str">
        <f>IF(ISNA(VLOOKUP($R344&amp;U$2,$C$3:$F$4001,3,0)),"",VLOOKUP($R344&amp;U$2,$C$3:$F$4001,3,0))</f>
        <v/>
      </c>
      <c r="V344" s="107" t="str">
        <f>IF(ISNA(VLOOKUP($R344&amp;U$2,$C$3:$F$4001,4,0)),"",VLOOKUP($R344&amp;U$2,$C$3:$F$4001,4,0))</f>
        <v/>
      </c>
      <c r="W344" s="106" t="str">
        <f>IF(ISNA(VLOOKUP($R344&amp;W$2,$C$3:$F$4001,3,0)),"",VLOOKUP($R344&amp;W$2,$C$3:$F$4001,3,0))</f>
        <v/>
      </c>
      <c r="X344" s="107" t="str">
        <f>IF(ISNA(VLOOKUP($R344&amp;W$2,$C$3:$F$4001,4,0)),"",VLOOKUP($R344&amp;W$2,$C$3:$F$4001,4,0))</f>
        <v/>
      </c>
      <c r="Y344" s="106" t="str">
        <f>IF(ISNA(VLOOKUP($R344&amp;Y$2,$C$3:$F$4001,3,0)),"",VLOOKUP($R344&amp;Y$2,$C$3:$F$4001,3,0))</f>
        <v/>
      </c>
      <c r="Z344" s="107" t="str">
        <f>IF(ISNA(VLOOKUP($R344&amp;Y$2,$C$3:$F$4001,4,0)),"",VLOOKUP($R344&amp;Y$2,$C$3:$F$4001,4,0))</f>
        <v/>
      </c>
      <c r="AA344" s="106" t="str">
        <f>IF(ISNA(VLOOKUP($R344&amp;AA$2,$C$3:$F$4001,3,0)),"",VLOOKUP($R344&amp;AA$2,$C$3:$F$4001,3,0))</f>
        <v/>
      </c>
      <c r="AB344" s="107" t="str">
        <f>IF(ISNA(VLOOKUP($R344&amp;AA$2,$C$3:$F$4001,4,0)),"",VLOOKUP($R344&amp;AA$2,$C$3:$F$4001,4,0))</f>
        <v/>
      </c>
      <c r="AC344" s="106" t="str">
        <f>IF(ISNA(VLOOKUP($R344&amp;AC$2,$C$3:$F$4001,3,0)),"",VLOOKUP($R344&amp;AC$2,$C$3:$F$4001,3,0))</f>
        <v/>
      </c>
      <c r="AD344" s="107" t="str">
        <f>IF(ISNA(VLOOKUP($R344&amp;AC$2,$C$3:$F$4001,4,0)),"",VLOOKUP($R344&amp;AC$2,$C$3:$F$4001,4,0))</f>
        <v/>
      </c>
      <c r="AE344" s="106" t="str">
        <f>IF(ISNA(VLOOKUP($R344&amp;AE$2,$C$3:$F$4001,3,0)),"",VLOOKUP($R344&amp;AE$2,$C$3:$F$4001,3,0))</f>
        <v/>
      </c>
      <c r="AF344" s="107" t="str">
        <f>IF(ISNA(VLOOKUP($R344&amp;AE$2,$C$3:$F$4001,4,0)),"",VLOOKUP($R344&amp;AE$2,$C$3:$F$4001,4,0))</f>
        <v/>
      </c>
      <c r="AG344" s="106" t="str">
        <f>IF(ISNA(VLOOKUP($R344&amp;AG$2,$C$3:$F$4001,3,0)),"",VLOOKUP($R344&amp;AG$2,$C$3:$F$4001,3,0))</f>
        <v/>
      </c>
      <c r="AH344" s="107" t="str">
        <f>IF(ISNA(VLOOKUP($R344&amp;AG$2,$C$3:$F$4001,4,0)),"",VLOOKUP($R344&amp;AG$2,$C$3:$F$4001,4,0))</f>
        <v/>
      </c>
      <c r="AI344" s="106" t="str">
        <f>IF(ISNA(VLOOKUP($R344&amp;AI$2,$C$3:$F$4001,3,0)),"",VLOOKUP($R344&amp;AI$2,$C$3:$F$4001,3,0))</f>
        <v/>
      </c>
      <c r="AJ344" s="107" t="str">
        <f>IF(ISNA(VLOOKUP($R344&amp;AI$2,$C$3:$F$4001,4,0)),"",VLOOKUP($R344&amp;AI$2,$C$3:$F$4001,4,0))</f>
        <v/>
      </c>
      <c r="AK344" s="106" t="str">
        <f>IF(ISNA(VLOOKUP($R344&amp;AK$2,$C$3:$F$4001,3,0)),"",VLOOKUP($R344&amp;AK$2,$C$3:$F$4001,3,0))</f>
        <v/>
      </c>
    </row>
    <row r="345" spans="3:37" x14ac:dyDescent="0.2">
      <c r="C345" s="96" t="str">
        <f t="shared" si="20"/>
        <v>BSL10</v>
      </c>
      <c r="D345" s="73" t="s">
        <v>99</v>
      </c>
      <c r="E345" s="100">
        <v>41540</v>
      </c>
      <c r="F345" s="101">
        <v>0.24</v>
      </c>
      <c r="G345" s="96">
        <f t="shared" si="21"/>
        <v>10</v>
      </c>
      <c r="I345" s="96"/>
      <c r="K345" t="str">
        <f t="shared" si="22"/>
        <v>BSL10</v>
      </c>
      <c r="L345" s="73" t="s">
        <v>99</v>
      </c>
      <c r="M345" s="72">
        <v>41540</v>
      </c>
      <c r="N345" s="84">
        <v>0.24</v>
      </c>
      <c r="O345" s="96">
        <f t="shared" si="23"/>
        <v>10</v>
      </c>
      <c r="Q345" s="96"/>
      <c r="R345" s="96" t="str">
        <f>R344</f>
        <v>SBM</v>
      </c>
      <c r="S345" s="108" t="str">
        <f>IF(ISNA(VLOOKUP($R345&amp;S$2,$K$3:$N$4001,3,0)),"",VLOOKUP($R345&amp;S$2,$K$3:$N$4001,3,0))</f>
        <v/>
      </c>
      <c r="T345" s="109" t="str">
        <f>IF(ISNA(VLOOKUP($R345&amp;S$2,$K$3:$N$4001,4,0)),"",VLOOKUP($R345&amp;S$2,$K$3:$N$4001,4,0))</f>
        <v/>
      </c>
      <c r="U345" s="108" t="str">
        <f>IF(ISNA(VLOOKUP($R345&amp;U$2,$K$3:$N$4001,3,0)),"",VLOOKUP($R345&amp;U$2,$K$3:$N$4001,3,0))</f>
        <v/>
      </c>
      <c r="V345" s="109" t="str">
        <f>IF(ISNA(VLOOKUP($R345&amp;U$2,$K$3:$N$4001,4,0)),"",VLOOKUP($R345&amp;U$2,$K$3:$N$4001,4,0))</f>
        <v/>
      </c>
      <c r="W345" s="108" t="str">
        <f>IF(ISNA(VLOOKUP($R345&amp;W$2,$K$3:$N$4001,3,0)),"",VLOOKUP($R345&amp;W$2,$K$3:$N$4001,3,0))</f>
        <v/>
      </c>
      <c r="X345" s="109" t="str">
        <f>IF(ISNA(VLOOKUP($R345&amp;W$2,$K$3:$N$4001,4,0)),"",VLOOKUP($R345&amp;W$2,$K$3:$N$4001,4,0))</f>
        <v/>
      </c>
      <c r="Y345" s="108" t="str">
        <f>IF(ISNA(VLOOKUP($R345&amp;Y$2,$K$3:$N$4001,3,0)),"",VLOOKUP($R345&amp;Y$2,$K$3:$N$4001,3,0))</f>
        <v/>
      </c>
      <c r="Z345" s="109" t="str">
        <f>IF(ISNA(VLOOKUP($R345&amp;Y$2,$K$3:$N$4001,4,0)),"",VLOOKUP($R345&amp;Y$2,$K$3:$N$4001,4,0))</f>
        <v/>
      </c>
      <c r="AA345" s="108" t="str">
        <f>IF(ISNA(VLOOKUP($R345&amp;AA$2,$K$3:$N$4001,3,0)),"",VLOOKUP($R345&amp;AA$2,$K$3:$N$4001,3,0))</f>
        <v/>
      </c>
      <c r="AB345" s="109" t="str">
        <f>IF(ISNA(VLOOKUP($R345&amp;AA$2,$K$3:$N$4001,4,0)),"",VLOOKUP($R345&amp;AA$2,$K$3:$N$4001,4,0))</f>
        <v/>
      </c>
      <c r="AC345" s="108" t="str">
        <f>IF(ISNA(VLOOKUP($R345&amp;AC$2,$K$3:$N$4001,3,0)),"",VLOOKUP($R345&amp;AC$2,$K$3:$N$4001,3,0))</f>
        <v/>
      </c>
      <c r="AD345" s="109" t="str">
        <f>IF(ISNA(VLOOKUP($R345&amp;AC$2,$K$3:$N$4001,4,0)),"",VLOOKUP($R345&amp;AC$2,$K$3:$N$4001,4,0))</f>
        <v/>
      </c>
      <c r="AE345" s="108" t="str">
        <f>IF(ISNA(VLOOKUP($R345&amp;AE$2,$K$3:$N$4001,3,0)),"",VLOOKUP($R345&amp;AE$2,$K$3:$N$4001,3,0))</f>
        <v/>
      </c>
      <c r="AF345" s="109" t="str">
        <f>IF(ISNA(VLOOKUP($R345&amp;AE$2,$K$3:$N$4001,4,0)),"",VLOOKUP($R345&amp;AE$2,$K$3:$N$4001,4,0))</f>
        <v/>
      </c>
      <c r="AG345" s="108" t="str">
        <f>IF(ISNA(VLOOKUP($R345&amp;AG$2,$K$3:$N$4001,3,0)),"",VLOOKUP($R345&amp;AG$2,$K$3:$N$4001,3,0))</f>
        <v/>
      </c>
      <c r="AH345" s="109" t="str">
        <f>IF(ISNA(VLOOKUP($R345&amp;AG$2,$K$3:$N$4001,4,0)),"",VLOOKUP($R345&amp;AG$2,$K$3:$N$4001,4,0))</f>
        <v/>
      </c>
      <c r="AI345" s="108" t="str">
        <f>IF(ISNA(VLOOKUP($R345&amp;AI$2,$K$3:$N$4001,3,0)),"",VLOOKUP($R345&amp;AI$2,$K$3:$N$4001,3,0))</f>
        <v/>
      </c>
      <c r="AJ345" s="109" t="str">
        <f>IF(ISNA(VLOOKUP($R345&amp;AI$2,$K$3:$N$4001,4,0)),"",VLOOKUP($R345&amp;AI$2,$K$3:$N$4001,4,0))</f>
        <v/>
      </c>
      <c r="AK345" s="108" t="str">
        <f>IF(ISNA(VLOOKUP($R345&amp;AK$2,$K$3:$N$4001,3,0)),"",VLOOKUP($R345&amp;AK$2,$K$3:$N$4001,3,0))</f>
        <v/>
      </c>
    </row>
    <row r="346" spans="3:37" x14ac:dyDescent="0.2">
      <c r="C346" s="96" t="str">
        <f t="shared" si="20"/>
        <v>BWP1</v>
      </c>
      <c r="D346" s="73" t="s">
        <v>100</v>
      </c>
      <c r="E346" s="100">
        <v>39988</v>
      </c>
      <c r="F346" s="101">
        <v>6.5000000000000002E-2</v>
      </c>
      <c r="G346" s="96">
        <f t="shared" si="21"/>
        <v>1</v>
      </c>
      <c r="I346" s="96"/>
      <c r="K346" t="str">
        <f t="shared" si="22"/>
        <v>BWP1</v>
      </c>
      <c r="L346" s="73" t="s">
        <v>100</v>
      </c>
      <c r="M346" s="72">
        <v>39988</v>
      </c>
      <c r="N346" s="84">
        <v>6.5000000000000002E-2</v>
      </c>
      <c r="O346" s="96">
        <f t="shared" si="23"/>
        <v>1</v>
      </c>
      <c r="Q346" s="96"/>
      <c r="R346" s="96" t="s">
        <v>204</v>
      </c>
      <c r="S346" s="106">
        <f>IF(ISNA(VLOOKUP($R346&amp;S$2,$C$3:$F$4001,3,0)),"",VLOOKUP($R346&amp;S$2,$C$3:$F$4001,3,0))</f>
        <v>39965</v>
      </c>
      <c r="T346" s="107">
        <f>IF(ISNA(VLOOKUP($R346&amp;S$2,$C$3:$F$4001,4,0)),"",VLOOKUP($R346&amp;S$2,$C$3:$F$4001,4,0))</f>
        <v>0.8993000000000001</v>
      </c>
      <c r="U346" s="106">
        <f>IF(ISNA(VLOOKUP($R346&amp;U$2,$C$3:$F$4001,3,0)),"",VLOOKUP($R346&amp;U$2,$C$3:$F$4001,3,0))</f>
        <v>40135</v>
      </c>
      <c r="V346" s="107">
        <f>IF(ISNA(VLOOKUP($R346&amp;U$2,$C$3:$F$4001,4,0)),"",VLOOKUP($R346&amp;U$2,$C$3:$F$4001,4,0))</f>
        <v>0.96069999999999989</v>
      </c>
      <c r="W346" s="106">
        <f>IF(ISNA(VLOOKUP($R346&amp;W$2,$C$3:$F$4001,3,0)),"",VLOOKUP($R346&amp;W$2,$C$3:$F$4001,3,0))</f>
        <v>40330</v>
      </c>
      <c r="X346" s="107">
        <f>IF(ISNA(VLOOKUP($R346&amp;W$2,$C$3:$F$4001,4,0)),"",VLOOKUP($R346&amp;W$2,$C$3:$F$4001,4,0))</f>
        <v>0.92200000000000004</v>
      </c>
      <c r="Y346" s="106">
        <f>IF(ISNA(VLOOKUP($R346&amp;Y$2,$C$3:$F$4001,3,0)),"",VLOOKUP($R346&amp;Y$2,$C$3:$F$4001,3,0))</f>
        <v>40500</v>
      </c>
      <c r="Z346" s="107">
        <f>IF(ISNA(VLOOKUP($R346&amp;Y$2,$C$3:$F$4001,4,0)),"",VLOOKUP($R346&amp;Y$2,$C$3:$F$4001,4,0))</f>
        <v>0.98499999999999999</v>
      </c>
      <c r="AA346" s="106">
        <f>IF(ISNA(VLOOKUP($R346&amp;AA$2,$C$3:$F$4001,3,0)),"",VLOOKUP($R346&amp;AA$2,$C$3:$F$4001,3,0))</f>
        <v>40695</v>
      </c>
      <c r="AB346" s="107">
        <f>IF(ISNA(VLOOKUP($R346&amp;AA$2,$C$3:$F$4001,4,0)),"",VLOOKUP($R346&amp;AA$2,$C$3:$F$4001,4,0))</f>
        <v>0.95680000000000009</v>
      </c>
      <c r="AC346" s="106">
        <f>IF(ISNA(VLOOKUP($R346&amp;AC$2,$C$3:$F$4001,3,0)),"",VLOOKUP($R346&amp;AC$2,$C$3:$F$4001,3,0))</f>
        <v>40865</v>
      </c>
      <c r="AD346" s="107">
        <f>IF(ISNA(VLOOKUP($R346&amp;AC$2,$C$3:$F$4001,4,0)),"",VLOOKUP($R346&amp;AC$2,$C$3:$F$4001,4,0))</f>
        <v>1.0222</v>
      </c>
      <c r="AE346" s="106">
        <f>IF(ISNA(VLOOKUP($R346&amp;AE$2,$C$3:$F$4001,3,0)),"",VLOOKUP($R346&amp;AE$2,$C$3:$F$4001,3,0))</f>
        <v>41061</v>
      </c>
      <c r="AF346" s="107">
        <f>IF(ISNA(VLOOKUP($R346&amp;AE$2,$C$3:$F$4001,4,0)),"",VLOOKUP($R346&amp;AE$2,$C$3:$F$4001,4,0))</f>
        <v>0.97519999999999996</v>
      </c>
      <c r="AG346" s="106">
        <f>IF(ISNA(VLOOKUP($R346&amp;AG$2,$C$3:$F$4001,3,0)),"",VLOOKUP($R346&amp;AG$2,$C$3:$F$4001,3,0))</f>
        <v>41233</v>
      </c>
      <c r="AH346" s="107">
        <f>IF(ISNA(VLOOKUP($R346&amp;AG$2,$C$3:$F$4001,4,0)),"",VLOOKUP($R346&amp;AG$2,$C$3:$F$4001,4,0))</f>
        <v>1.0418000000000001</v>
      </c>
      <c r="AI346" s="106">
        <f>IF(ISNA(VLOOKUP($R346&amp;AI$2,$C$3:$F$4001,3,0)),"",VLOOKUP($R346&amp;AI$2,$C$3:$F$4001,3,0))</f>
        <v>41428</v>
      </c>
      <c r="AJ346" s="107">
        <f>IF(ISNA(VLOOKUP($R346&amp;AI$2,$C$3:$F$4001,4,0)),"",VLOOKUP($R346&amp;AI$2,$C$3:$F$4001,4,0))</f>
        <v>0.97040000000000004</v>
      </c>
      <c r="AK346" s="106">
        <f>IF(ISNA(VLOOKUP($R346&amp;AK$2,$C$3:$F$4001,3,0)),"",VLOOKUP($R346&amp;AK$2,$C$3:$F$4001,3,0))</f>
        <v>41598</v>
      </c>
    </row>
    <row r="347" spans="3:37" x14ac:dyDescent="0.2">
      <c r="C347" s="96" t="str">
        <f t="shared" si="20"/>
        <v>BWP2</v>
      </c>
      <c r="D347" s="73" t="s">
        <v>100</v>
      </c>
      <c r="E347" s="100">
        <v>40170</v>
      </c>
      <c r="F347" s="101">
        <v>7.1300000000000002E-2</v>
      </c>
      <c r="G347" s="96">
        <f t="shared" si="21"/>
        <v>2</v>
      </c>
      <c r="I347" s="96"/>
      <c r="K347" t="str">
        <f t="shared" si="22"/>
        <v>BWP2</v>
      </c>
      <c r="L347" s="73" t="s">
        <v>100</v>
      </c>
      <c r="M347" s="72">
        <v>40170</v>
      </c>
      <c r="N347" s="84">
        <v>7.1300000000000002E-2</v>
      </c>
      <c r="O347" s="96">
        <f t="shared" si="23"/>
        <v>2</v>
      </c>
      <c r="Q347" s="96"/>
      <c r="R347" s="96" t="str">
        <f>R346</f>
        <v>SGB</v>
      </c>
      <c r="S347" s="108">
        <f>IF(ISNA(VLOOKUP($R347&amp;S$2,$K$3:$N$4001,3,0)),"",VLOOKUP($R347&amp;S$2,$K$3:$N$4001,3,0))</f>
        <v>39965</v>
      </c>
      <c r="T347" s="109">
        <f>IF(ISNA(VLOOKUP($R347&amp;S$2,$K$3:$N$4001,4,0)),"",VLOOKUP($R347&amp;S$2,$K$3:$N$4001,4,0))</f>
        <v>0.8993000000000001</v>
      </c>
      <c r="U347" s="108">
        <f>IF(ISNA(VLOOKUP($R347&amp;U$2,$K$3:$N$4001,3,0)),"",VLOOKUP($R347&amp;U$2,$K$3:$N$4001,3,0))</f>
        <v>40135</v>
      </c>
      <c r="V347" s="109">
        <f>IF(ISNA(VLOOKUP($R347&amp;U$2,$K$3:$N$4001,4,0)),"",VLOOKUP($R347&amp;U$2,$K$3:$N$4001,4,0))</f>
        <v>0.96069999999999989</v>
      </c>
      <c r="W347" s="108">
        <f>IF(ISNA(VLOOKUP($R347&amp;W$2,$K$3:$N$4001,3,0)),"",VLOOKUP($R347&amp;W$2,$K$3:$N$4001,3,0))</f>
        <v>40330</v>
      </c>
      <c r="X347" s="109">
        <f>IF(ISNA(VLOOKUP($R347&amp;W$2,$K$3:$N$4001,4,0)),"",VLOOKUP($R347&amp;W$2,$K$3:$N$4001,4,0))</f>
        <v>0.92200000000000004</v>
      </c>
      <c r="Y347" s="108">
        <f>IF(ISNA(VLOOKUP($R347&amp;Y$2,$K$3:$N$4001,3,0)),"",VLOOKUP($R347&amp;Y$2,$K$3:$N$4001,3,0))</f>
        <v>40500</v>
      </c>
      <c r="Z347" s="109">
        <f>IF(ISNA(VLOOKUP($R347&amp;Y$2,$K$3:$N$4001,4,0)),"",VLOOKUP($R347&amp;Y$2,$K$3:$N$4001,4,0))</f>
        <v>0.98499999999999999</v>
      </c>
      <c r="AA347" s="108">
        <f>IF(ISNA(VLOOKUP($R347&amp;AA$2,$K$3:$N$4001,3,0)),"",VLOOKUP($R347&amp;AA$2,$K$3:$N$4001,3,0))</f>
        <v>40695</v>
      </c>
      <c r="AB347" s="109">
        <f>IF(ISNA(VLOOKUP($R347&amp;AA$2,$K$3:$N$4001,4,0)),"",VLOOKUP($R347&amp;AA$2,$K$3:$N$4001,4,0))</f>
        <v>0.95680000000000009</v>
      </c>
      <c r="AC347" s="108">
        <f>IF(ISNA(VLOOKUP($R347&amp;AC$2,$K$3:$N$4001,3,0)),"",VLOOKUP($R347&amp;AC$2,$K$3:$N$4001,3,0))</f>
        <v>40865</v>
      </c>
      <c r="AD347" s="109">
        <f>IF(ISNA(VLOOKUP($R347&amp;AC$2,$K$3:$N$4001,4,0)),"",VLOOKUP($R347&amp;AC$2,$K$3:$N$4001,4,0))</f>
        <v>1.0222</v>
      </c>
      <c r="AE347" s="108">
        <f>IF(ISNA(VLOOKUP($R347&amp;AE$2,$K$3:$N$4001,3,0)),"",VLOOKUP($R347&amp;AE$2,$K$3:$N$4001,3,0))</f>
        <v>41061</v>
      </c>
      <c r="AF347" s="109">
        <f>IF(ISNA(VLOOKUP($R347&amp;AE$2,$K$3:$N$4001,4,0)),"",VLOOKUP($R347&amp;AE$2,$K$3:$N$4001,4,0))</f>
        <v>0.97519999999999996</v>
      </c>
      <c r="AG347" s="108">
        <f>IF(ISNA(VLOOKUP($R347&amp;AG$2,$K$3:$N$4001,3,0)),"",VLOOKUP($R347&amp;AG$2,$K$3:$N$4001,3,0))</f>
        <v>41233</v>
      </c>
      <c r="AH347" s="109">
        <f>IF(ISNA(VLOOKUP($R347&amp;AG$2,$K$3:$N$4001,4,0)),"",VLOOKUP($R347&amp;AG$2,$K$3:$N$4001,4,0))</f>
        <v>1.0418000000000001</v>
      </c>
      <c r="AI347" s="108">
        <f>IF(ISNA(VLOOKUP($R347&amp;AI$2,$K$3:$N$4001,3,0)),"",VLOOKUP($R347&amp;AI$2,$K$3:$N$4001,3,0))</f>
        <v>41428</v>
      </c>
      <c r="AJ347" s="109">
        <f>IF(ISNA(VLOOKUP($R347&amp;AI$2,$K$3:$N$4001,4,0)),"",VLOOKUP($R347&amp;AI$2,$K$3:$N$4001,4,0))</f>
        <v>0.97040000000000004</v>
      </c>
      <c r="AK347" s="108">
        <f>IF(ISNA(VLOOKUP($R347&amp;AK$2,$K$3:$N$4001,3,0)),"",VLOOKUP($R347&amp;AK$2,$K$3:$N$4001,3,0))</f>
        <v>41598</v>
      </c>
    </row>
    <row r="348" spans="3:37" x14ac:dyDescent="0.2">
      <c r="C348" s="96" t="str">
        <f t="shared" si="20"/>
        <v>BWP3</v>
      </c>
      <c r="D348" s="73" t="s">
        <v>100</v>
      </c>
      <c r="E348" s="100">
        <v>40353</v>
      </c>
      <c r="F348" s="101">
        <v>6.9699999999999998E-2</v>
      </c>
      <c r="G348" s="96">
        <f t="shared" si="21"/>
        <v>3</v>
      </c>
      <c r="I348" s="96"/>
      <c r="K348" t="str">
        <f t="shared" si="22"/>
        <v>BWP3</v>
      </c>
      <c r="L348" s="73" t="s">
        <v>100</v>
      </c>
      <c r="M348" s="72">
        <v>40353</v>
      </c>
      <c r="N348" s="84">
        <v>6.9699999999999998E-2</v>
      </c>
      <c r="O348" s="96">
        <f t="shared" si="23"/>
        <v>3</v>
      </c>
      <c r="Q348" s="96"/>
      <c r="R348" s="96" t="s">
        <v>206</v>
      </c>
      <c r="S348" s="106">
        <f>IF(ISNA(VLOOKUP($R348&amp;S$2,$C$3:$F$4001,3,0)),"",VLOOKUP($R348&amp;S$2,$C$3:$F$4001,3,0))</f>
        <v>39988</v>
      </c>
      <c r="T348" s="107">
        <f>IF(ISNA(VLOOKUP($R348&amp;S$2,$C$3:$F$4001,4,0)),"",VLOOKUP($R348&amp;S$2,$C$3:$F$4001,4,0))</f>
        <v>0.17</v>
      </c>
      <c r="U348" s="106">
        <f>IF(ISNA(VLOOKUP($R348&amp;U$2,$C$3:$F$4001,3,0)),"",VLOOKUP($R348&amp;U$2,$C$3:$F$4001,3,0))</f>
        <v>40170</v>
      </c>
      <c r="V348" s="107">
        <f>IF(ISNA(VLOOKUP($R348&amp;U$2,$C$3:$F$4001,4,0)),"",VLOOKUP($R348&amp;U$2,$C$3:$F$4001,4,0))</f>
        <v>0.155</v>
      </c>
      <c r="W348" s="106">
        <f>IF(ISNA(VLOOKUP($R348&amp;W$2,$C$3:$F$4001,3,0)),"",VLOOKUP($R348&amp;W$2,$C$3:$F$4001,3,0))</f>
        <v>40353</v>
      </c>
      <c r="X348" s="107">
        <f>IF(ISNA(VLOOKUP($R348&amp;W$2,$C$3:$F$4001,4,0)),"",VLOOKUP($R348&amp;W$2,$C$3:$F$4001,4,0))</f>
        <v>0.155</v>
      </c>
      <c r="Y348" s="106">
        <f>IF(ISNA(VLOOKUP($R348&amp;Y$2,$C$3:$F$4001,3,0)),"",VLOOKUP($R348&amp;Y$2,$C$3:$F$4001,3,0))</f>
        <v>40536</v>
      </c>
      <c r="Z348" s="107">
        <f>IF(ISNA(VLOOKUP($R348&amp;Y$2,$C$3:$F$4001,4,0)),"",VLOOKUP($R348&amp;Y$2,$C$3:$F$4001,4,0))</f>
        <v>0.17</v>
      </c>
      <c r="AA348" s="106">
        <f>IF(ISNA(VLOOKUP($R348&amp;AA$2,$C$3:$F$4001,3,0)),"",VLOOKUP($R348&amp;AA$2,$C$3:$F$4001,3,0))</f>
        <v>40718</v>
      </c>
      <c r="AB348" s="107">
        <f>IF(ISNA(VLOOKUP($R348&amp;AA$2,$C$3:$F$4001,4,0)),"",VLOOKUP($R348&amp;AA$2,$C$3:$F$4001,4,0))</f>
        <v>0.17</v>
      </c>
      <c r="AC348" s="106">
        <f>IF(ISNA(VLOOKUP($R348&amp;AC$2,$C$3:$F$4001,3,0)),"",VLOOKUP($R348&amp;AC$2,$C$3:$F$4001,3,0))</f>
        <v>40904</v>
      </c>
      <c r="AD348" s="107">
        <f>IF(ISNA(VLOOKUP($R348&amp;AC$2,$C$3:$F$4001,4,0)),"",VLOOKUP($R348&amp;AC$2,$C$3:$F$4001,4,0))</f>
        <v>0.19</v>
      </c>
      <c r="AE348" s="106">
        <f>IF(ISNA(VLOOKUP($R348&amp;AE$2,$C$3:$F$4001,3,0)),"",VLOOKUP($R348&amp;AE$2,$C$3:$F$4001,3,0))</f>
        <v>41086</v>
      </c>
      <c r="AF348" s="107">
        <f>IF(ISNA(VLOOKUP($R348&amp;AE$2,$C$3:$F$4001,4,0)),"",VLOOKUP($R348&amp;AE$2,$C$3:$F$4001,4,0))</f>
        <v>0.19</v>
      </c>
      <c r="AG348" s="106">
        <f>IF(ISNA(VLOOKUP($R348&amp;AG$2,$C$3:$F$4001,3,0)),"",VLOOKUP($R348&amp;AG$2,$C$3:$F$4001,3,0))</f>
        <v>41270</v>
      </c>
      <c r="AH348" s="107">
        <f>IF(ISNA(VLOOKUP($R348&amp;AG$2,$C$3:$F$4001,4,0)),"",VLOOKUP($R348&amp;AG$2,$C$3:$F$4001,4,0))</f>
        <v>0.215</v>
      </c>
      <c r="AI348" s="106">
        <f>IF(ISNA(VLOOKUP($R348&amp;AI$2,$C$3:$F$4001,3,0)),"",VLOOKUP($R348&amp;AI$2,$C$3:$F$4001,3,0))</f>
        <v>41451</v>
      </c>
      <c r="AJ348" s="107">
        <f>IF(ISNA(VLOOKUP($R348&amp;AI$2,$C$3:$F$4001,4,0)),"",VLOOKUP($R348&amp;AI$2,$C$3:$F$4001,4,0))</f>
        <v>0.215</v>
      </c>
      <c r="AK348" s="106" t="str">
        <f>IF(ISNA(VLOOKUP($R348&amp;AK$2,$C$3:$F$4001,3,0)),"",VLOOKUP($R348&amp;AK$2,$C$3:$F$4001,3,0))</f>
        <v/>
      </c>
    </row>
    <row r="349" spans="3:37" x14ac:dyDescent="0.2">
      <c r="C349" s="96" t="str">
        <f t="shared" si="20"/>
        <v>BWP4</v>
      </c>
      <c r="D349" s="73" t="s">
        <v>100</v>
      </c>
      <c r="E349" s="100">
        <v>40535</v>
      </c>
      <c r="F349" s="101">
        <v>7.3300000000000004E-2</v>
      </c>
      <c r="G349" s="96">
        <f t="shared" si="21"/>
        <v>4</v>
      </c>
      <c r="I349" s="96"/>
      <c r="K349" t="str">
        <f t="shared" si="22"/>
        <v>BWP4</v>
      </c>
      <c r="L349" s="73" t="s">
        <v>100</v>
      </c>
      <c r="M349" s="72">
        <v>40535</v>
      </c>
      <c r="N349" s="84">
        <v>7.3300000000000004E-2</v>
      </c>
      <c r="O349" s="96">
        <f t="shared" si="23"/>
        <v>4</v>
      </c>
      <c r="Q349" s="96"/>
      <c r="R349" s="96" t="str">
        <f>R348</f>
        <v>SGP</v>
      </c>
      <c r="S349" s="108">
        <f>IF(ISNA(VLOOKUP($R349&amp;S$2,$K$3:$N$4001,3,0)),"",VLOOKUP($R349&amp;S$2,$K$3:$N$4001,3,0))</f>
        <v>39988</v>
      </c>
      <c r="T349" s="109">
        <f>IF(ISNA(VLOOKUP($R349&amp;S$2,$K$3:$N$4001,4,0)),"",VLOOKUP($R349&amp;S$2,$K$3:$N$4001,4,0))</f>
        <v>0.17</v>
      </c>
      <c r="U349" s="108">
        <f>IF(ISNA(VLOOKUP($R349&amp;U$2,$K$3:$N$4001,3,0)),"",VLOOKUP($R349&amp;U$2,$K$3:$N$4001,3,0))</f>
        <v>40170</v>
      </c>
      <c r="V349" s="109">
        <f>IF(ISNA(VLOOKUP($R349&amp;U$2,$K$3:$N$4001,4,0)),"",VLOOKUP($R349&amp;U$2,$K$3:$N$4001,4,0))</f>
        <v>0.155</v>
      </c>
      <c r="W349" s="108">
        <f>IF(ISNA(VLOOKUP($R349&amp;W$2,$K$3:$N$4001,3,0)),"",VLOOKUP($R349&amp;W$2,$K$3:$N$4001,3,0))</f>
        <v>40353</v>
      </c>
      <c r="X349" s="109">
        <f>IF(ISNA(VLOOKUP($R349&amp;W$2,$K$3:$N$4001,4,0)),"",VLOOKUP($R349&amp;W$2,$K$3:$N$4001,4,0))</f>
        <v>0.155</v>
      </c>
      <c r="Y349" s="108">
        <f>IF(ISNA(VLOOKUP($R349&amp;Y$2,$K$3:$N$4001,3,0)),"",VLOOKUP($R349&amp;Y$2,$K$3:$N$4001,3,0))</f>
        <v>40536</v>
      </c>
      <c r="Z349" s="109">
        <f>IF(ISNA(VLOOKUP($R349&amp;Y$2,$K$3:$N$4001,4,0)),"",VLOOKUP($R349&amp;Y$2,$K$3:$N$4001,4,0))</f>
        <v>0.17</v>
      </c>
      <c r="AA349" s="108">
        <f>IF(ISNA(VLOOKUP($R349&amp;AA$2,$K$3:$N$4001,3,0)),"",VLOOKUP($R349&amp;AA$2,$K$3:$N$4001,3,0))</f>
        <v>40718</v>
      </c>
      <c r="AB349" s="109">
        <f>IF(ISNA(VLOOKUP($R349&amp;AA$2,$K$3:$N$4001,4,0)),"",VLOOKUP($R349&amp;AA$2,$K$3:$N$4001,4,0))</f>
        <v>0.17</v>
      </c>
      <c r="AC349" s="108">
        <f>IF(ISNA(VLOOKUP($R349&amp;AC$2,$K$3:$N$4001,3,0)),"",VLOOKUP($R349&amp;AC$2,$K$3:$N$4001,3,0))</f>
        <v>40904</v>
      </c>
      <c r="AD349" s="109">
        <f>IF(ISNA(VLOOKUP($R349&amp;AC$2,$K$3:$N$4001,4,0)),"",VLOOKUP($R349&amp;AC$2,$K$3:$N$4001,4,0))</f>
        <v>0.19</v>
      </c>
      <c r="AE349" s="108">
        <f>IF(ISNA(VLOOKUP($R349&amp;AE$2,$K$3:$N$4001,3,0)),"",VLOOKUP($R349&amp;AE$2,$K$3:$N$4001,3,0))</f>
        <v>41086</v>
      </c>
      <c r="AF349" s="109">
        <f>IF(ISNA(VLOOKUP($R349&amp;AE$2,$K$3:$N$4001,4,0)),"",VLOOKUP($R349&amp;AE$2,$K$3:$N$4001,4,0))</f>
        <v>0.19</v>
      </c>
      <c r="AG349" s="108">
        <f>IF(ISNA(VLOOKUP($R349&amp;AG$2,$K$3:$N$4001,3,0)),"",VLOOKUP($R349&amp;AG$2,$K$3:$N$4001,3,0))</f>
        <v>41270</v>
      </c>
      <c r="AH349" s="109">
        <f>IF(ISNA(VLOOKUP($R349&amp;AG$2,$K$3:$N$4001,4,0)),"",VLOOKUP($R349&amp;AG$2,$K$3:$N$4001,4,0))</f>
        <v>0.215</v>
      </c>
      <c r="AI349" s="108">
        <f>IF(ISNA(VLOOKUP($R349&amp;AI$2,$K$3:$N$4001,3,0)),"",VLOOKUP($R349&amp;AI$2,$K$3:$N$4001,3,0))</f>
        <v>41451</v>
      </c>
      <c r="AJ349" s="109">
        <f>IF(ISNA(VLOOKUP($R349&amp;AI$2,$K$3:$N$4001,4,0)),"",VLOOKUP($R349&amp;AI$2,$K$3:$N$4001,4,0))</f>
        <v>0.215</v>
      </c>
      <c r="AK349" s="108" t="str">
        <f>IF(ISNA(VLOOKUP($R349&amp;AK$2,$K$3:$N$4001,3,0)),"",VLOOKUP($R349&amp;AK$2,$K$3:$N$4001,3,0))</f>
        <v/>
      </c>
    </row>
    <row r="350" spans="3:37" x14ac:dyDescent="0.2">
      <c r="C350" s="96" t="str">
        <f t="shared" si="20"/>
        <v>BWP5</v>
      </c>
      <c r="D350" s="73" t="s">
        <v>100</v>
      </c>
      <c r="E350" s="100">
        <v>40718</v>
      </c>
      <c r="F350" s="101">
        <v>7.17E-2</v>
      </c>
      <c r="G350" s="96">
        <f t="shared" si="21"/>
        <v>5</v>
      </c>
      <c r="I350" s="96"/>
      <c r="K350" t="str">
        <f t="shared" si="22"/>
        <v>BWP5</v>
      </c>
      <c r="L350" s="73" t="s">
        <v>100</v>
      </c>
      <c r="M350" s="72">
        <v>40718</v>
      </c>
      <c r="N350" s="84">
        <v>7.17E-2</v>
      </c>
      <c r="O350" s="96">
        <f t="shared" si="23"/>
        <v>5</v>
      </c>
      <c r="Q350" s="96"/>
      <c r="R350" s="96" t="s">
        <v>214</v>
      </c>
      <c r="S350" s="106">
        <f>IF(ISNA(VLOOKUP($R350&amp;S$2,$C$3:$F$4001,3,0)),"",VLOOKUP($R350&amp;S$2,$C$3:$F$4001,3,0))</f>
        <v>39944</v>
      </c>
      <c r="T350" s="107">
        <f>IF(ISNA(VLOOKUP($R350&amp;S$2,$C$3:$F$4001,4,0)),"",VLOOKUP($R350&amp;S$2,$C$3:$F$4001,4,0))</f>
        <v>0.02</v>
      </c>
      <c r="U350" s="106">
        <f>IF(ISNA(VLOOKUP($R350&amp;U$2,$C$3:$F$4001,3,0)),"",VLOOKUP($R350&amp;U$2,$C$3:$F$4001,3,0))</f>
        <v>40085</v>
      </c>
      <c r="V350" s="107">
        <f>IF(ISNA(VLOOKUP($R350&amp;U$2,$C$3:$F$4001,4,0)),"",VLOOKUP($R350&amp;U$2,$C$3:$F$4001,4,0))</f>
        <v>0.02</v>
      </c>
      <c r="W350" s="106">
        <f>IF(ISNA(VLOOKUP($R350&amp;W$2,$C$3:$F$4001,3,0)),"",VLOOKUP($R350&amp;W$2,$C$3:$F$4001,3,0))</f>
        <v>40309</v>
      </c>
      <c r="X350" s="107">
        <f>IF(ISNA(VLOOKUP($R350&amp;W$2,$C$3:$F$4001,4,0)),"",VLOOKUP($R350&amp;W$2,$C$3:$F$4001,4,0))</f>
        <v>1.7000000000000001E-2</v>
      </c>
      <c r="Y350" s="106">
        <f>IF(ISNA(VLOOKUP($R350&amp;Y$2,$C$3:$F$4001,3,0)),"",VLOOKUP($R350&amp;Y$2,$C$3:$F$4001,3,0))</f>
        <v>40450</v>
      </c>
      <c r="Z350" s="107">
        <f>IF(ISNA(VLOOKUP($R350&amp;Y$2,$C$3:$F$4001,4,0)),"",VLOOKUP($R350&amp;Y$2,$C$3:$F$4001,4,0))</f>
        <v>1.7000000000000001E-2</v>
      </c>
      <c r="AA350" s="106">
        <f>IF(ISNA(VLOOKUP($R350&amp;AA$2,$C$3:$F$4001,3,0)),"",VLOOKUP($R350&amp;AA$2,$C$3:$F$4001,3,0))</f>
        <v>40674</v>
      </c>
      <c r="AB350" s="107">
        <f>IF(ISNA(VLOOKUP($R350&amp;AA$2,$C$3:$F$4001,4,0)),"",VLOOKUP($R350&amp;AA$2,$C$3:$F$4001,4,0))</f>
        <v>2.4E-2</v>
      </c>
      <c r="AC350" s="106">
        <f>IF(ISNA(VLOOKUP($R350&amp;AC$2,$C$3:$F$4001,3,0)),"",VLOOKUP($R350&amp;AC$2,$C$3:$F$4001,3,0))</f>
        <v>40816</v>
      </c>
      <c r="AD350" s="107">
        <f>IF(ISNA(VLOOKUP($R350&amp;AC$2,$C$3:$F$4001,4,0)),"",VLOOKUP($R350&amp;AC$2,$C$3:$F$4001,4,0))</f>
        <v>2.4E-2</v>
      </c>
      <c r="AE350" s="106">
        <f>IF(ISNA(VLOOKUP($R350&amp;AE$2,$C$3:$F$4001,3,0)),"",VLOOKUP($R350&amp;AE$2,$C$3:$F$4001,3,0))</f>
        <v>41040</v>
      </c>
      <c r="AF350" s="107">
        <f>IF(ISNA(VLOOKUP($R350&amp;AE$2,$C$3:$F$4001,4,0)),"",VLOOKUP($R350&amp;AE$2,$C$3:$F$4001,4,0))</f>
        <v>1.95E-2</v>
      </c>
      <c r="AG350" s="106">
        <f>IF(ISNA(VLOOKUP($R350&amp;AG$2,$C$3:$F$4001,3,0)),"",VLOOKUP($R350&amp;AG$2,$C$3:$F$4001,3,0))</f>
        <v>41184</v>
      </c>
      <c r="AH350" s="107">
        <f>IF(ISNA(VLOOKUP($R350&amp;AG$2,$C$3:$F$4001,4,0)),"",VLOOKUP($R350&amp;AG$2,$C$3:$F$4001,4,0))</f>
        <v>1.95E-2</v>
      </c>
      <c r="AI350" s="106">
        <f>IF(ISNA(VLOOKUP($R350&amp;AI$2,$C$3:$F$4001,3,0)),"",VLOOKUP($R350&amp;AI$2,$C$3:$F$4001,3,0))</f>
        <v>41407</v>
      </c>
      <c r="AJ350" s="107">
        <f>IF(ISNA(VLOOKUP($R350&amp;AI$2,$C$3:$F$4001,4,0)),"",VLOOKUP($R350&amp;AI$2,$C$3:$F$4001,4,0))</f>
        <v>3.2500000000000001E-2</v>
      </c>
      <c r="AK350" s="106">
        <f>IF(ISNA(VLOOKUP($R350&amp;AK$2,$C$3:$F$4001,3,0)),"",VLOOKUP($R350&amp;AK$2,$C$3:$F$4001,3,0))</f>
        <v>41549</v>
      </c>
    </row>
    <row r="351" spans="3:37" x14ac:dyDescent="0.2">
      <c r="C351" s="96" t="str">
        <f t="shared" si="20"/>
        <v>BWP6</v>
      </c>
      <c r="D351" s="73" t="s">
        <v>100</v>
      </c>
      <c r="E351" s="100">
        <v>40899</v>
      </c>
      <c r="F351" s="101">
        <v>7.5800000000000006E-2</v>
      </c>
      <c r="G351" s="96">
        <f t="shared" si="21"/>
        <v>6</v>
      </c>
      <c r="I351" s="96"/>
      <c r="K351" t="str">
        <f t="shared" si="22"/>
        <v>BWP6</v>
      </c>
      <c r="L351" s="73" t="s">
        <v>100</v>
      </c>
      <c r="M351" s="72">
        <v>40899</v>
      </c>
      <c r="N351" s="84">
        <v>7.5800000000000006E-2</v>
      </c>
      <c r="O351" s="96">
        <f t="shared" si="23"/>
        <v>6</v>
      </c>
      <c r="Q351" s="96"/>
      <c r="R351" s="96" t="str">
        <f>R350</f>
        <v>SRL</v>
      </c>
      <c r="S351" s="108">
        <f>IF(ISNA(VLOOKUP($R351&amp;S$2,$K$3:$N$4001,3,0)),"",VLOOKUP($R351&amp;S$2,$K$3:$N$4001,3,0))</f>
        <v>39944</v>
      </c>
      <c r="T351" s="109">
        <f>IF(ISNA(VLOOKUP($R351&amp;S$2,$K$3:$N$4001,4,0)),"",VLOOKUP($R351&amp;S$2,$K$3:$N$4001,4,0))</f>
        <v>0.02</v>
      </c>
      <c r="U351" s="108">
        <f>IF(ISNA(VLOOKUP($R351&amp;U$2,$K$3:$N$4001,3,0)),"",VLOOKUP($R351&amp;U$2,$K$3:$N$4001,3,0))</f>
        <v>40085</v>
      </c>
      <c r="V351" s="109">
        <f>IF(ISNA(VLOOKUP($R351&amp;U$2,$K$3:$N$4001,4,0)),"",VLOOKUP($R351&amp;U$2,$K$3:$N$4001,4,0))</f>
        <v>0.02</v>
      </c>
      <c r="W351" s="108">
        <f>IF(ISNA(VLOOKUP($R351&amp;W$2,$K$3:$N$4001,3,0)),"",VLOOKUP($R351&amp;W$2,$K$3:$N$4001,3,0))</f>
        <v>40309</v>
      </c>
      <c r="X351" s="109">
        <f>IF(ISNA(VLOOKUP($R351&amp;W$2,$K$3:$N$4001,4,0)),"",VLOOKUP($R351&amp;W$2,$K$3:$N$4001,4,0))</f>
        <v>1.7000000000000001E-2</v>
      </c>
      <c r="Y351" s="108">
        <f>IF(ISNA(VLOOKUP($R351&amp;Y$2,$K$3:$N$4001,3,0)),"",VLOOKUP($R351&amp;Y$2,$K$3:$N$4001,3,0))</f>
        <v>40450</v>
      </c>
      <c r="Z351" s="109">
        <f>IF(ISNA(VLOOKUP($R351&amp;Y$2,$K$3:$N$4001,4,0)),"",VLOOKUP($R351&amp;Y$2,$K$3:$N$4001,4,0))</f>
        <v>1.7000000000000001E-2</v>
      </c>
      <c r="AA351" s="108">
        <f>IF(ISNA(VLOOKUP($R351&amp;AA$2,$K$3:$N$4001,3,0)),"",VLOOKUP($R351&amp;AA$2,$K$3:$N$4001,3,0))</f>
        <v>40674</v>
      </c>
      <c r="AB351" s="109">
        <f>IF(ISNA(VLOOKUP($R351&amp;AA$2,$K$3:$N$4001,4,0)),"",VLOOKUP($R351&amp;AA$2,$K$3:$N$4001,4,0))</f>
        <v>2.4E-2</v>
      </c>
      <c r="AC351" s="108">
        <f>IF(ISNA(VLOOKUP($R351&amp;AC$2,$K$3:$N$4001,3,0)),"",VLOOKUP($R351&amp;AC$2,$K$3:$N$4001,3,0))</f>
        <v>40816</v>
      </c>
      <c r="AD351" s="109">
        <f>IF(ISNA(VLOOKUP($R351&amp;AC$2,$K$3:$N$4001,4,0)),"",VLOOKUP($R351&amp;AC$2,$K$3:$N$4001,4,0))</f>
        <v>2.4E-2</v>
      </c>
      <c r="AE351" s="108">
        <f>IF(ISNA(VLOOKUP($R351&amp;AE$2,$K$3:$N$4001,3,0)),"",VLOOKUP($R351&amp;AE$2,$K$3:$N$4001,3,0))</f>
        <v>41040</v>
      </c>
      <c r="AF351" s="109">
        <f>IF(ISNA(VLOOKUP($R351&amp;AE$2,$K$3:$N$4001,4,0)),"",VLOOKUP($R351&amp;AE$2,$K$3:$N$4001,4,0))</f>
        <v>1.95E-2</v>
      </c>
      <c r="AG351" s="108">
        <f>IF(ISNA(VLOOKUP($R351&amp;AG$2,$K$3:$N$4001,3,0)),"",VLOOKUP($R351&amp;AG$2,$K$3:$N$4001,3,0))</f>
        <v>41184</v>
      </c>
      <c r="AH351" s="109">
        <f>IF(ISNA(VLOOKUP($R351&amp;AG$2,$K$3:$N$4001,4,0)),"",VLOOKUP($R351&amp;AG$2,$K$3:$N$4001,4,0))</f>
        <v>1.95E-2</v>
      </c>
      <c r="AI351" s="108">
        <f>IF(ISNA(VLOOKUP($R351&amp;AI$2,$K$3:$N$4001,3,0)),"",VLOOKUP($R351&amp;AI$2,$K$3:$N$4001,3,0))</f>
        <v>41407</v>
      </c>
      <c r="AJ351" s="109">
        <f>IF(ISNA(VLOOKUP($R351&amp;AI$2,$K$3:$N$4001,4,0)),"",VLOOKUP($R351&amp;AI$2,$K$3:$N$4001,4,0))</f>
        <v>3.2500000000000001E-2</v>
      </c>
      <c r="AK351" s="108">
        <f>IF(ISNA(VLOOKUP($R351&amp;AK$2,$K$3:$N$4001,3,0)),"",VLOOKUP($R351&amp;AK$2,$K$3:$N$4001,3,0))</f>
        <v>41549</v>
      </c>
    </row>
    <row r="352" spans="3:37" x14ac:dyDescent="0.2">
      <c r="C352" s="96" t="str">
        <f t="shared" si="20"/>
        <v>BWP7</v>
      </c>
      <c r="D352" s="73" t="s">
        <v>100</v>
      </c>
      <c r="E352" s="100">
        <v>41085</v>
      </c>
      <c r="F352" s="101">
        <v>7.4200000000000002E-2</v>
      </c>
      <c r="G352" s="96">
        <f t="shared" si="21"/>
        <v>7</v>
      </c>
      <c r="I352" s="96"/>
      <c r="K352" t="str">
        <f t="shared" si="22"/>
        <v>BWP7</v>
      </c>
      <c r="L352" s="73" t="s">
        <v>100</v>
      </c>
      <c r="M352" s="72">
        <v>41085</v>
      </c>
      <c r="N352" s="84">
        <v>7.4200000000000002E-2</v>
      </c>
      <c r="O352" s="96">
        <f t="shared" si="23"/>
        <v>7</v>
      </c>
      <c r="Q352" s="96"/>
      <c r="R352" s="96" t="s">
        <v>216</v>
      </c>
      <c r="S352" s="106">
        <f>IF(ISNA(VLOOKUP($R352&amp;S$2,$C$3:$F$4001,3,0)),"",VLOOKUP($R352&amp;S$2,$C$3:$F$4001,3,0))</f>
        <v>39871</v>
      </c>
      <c r="T352" s="107">
        <f>IF(ISNA(VLOOKUP($R352&amp;S$2,$C$3:$F$4001,4,0)),"",VLOOKUP($R352&amp;S$2,$C$3:$F$4001,4,0))</f>
        <v>0.36</v>
      </c>
      <c r="U352" s="106">
        <f>IF(ISNA(VLOOKUP($R352&amp;U$2,$C$3:$F$4001,3,0)),"",VLOOKUP($R352&amp;U$2,$C$3:$F$4001,3,0))</f>
        <v>40053</v>
      </c>
      <c r="V352" s="107">
        <f>IF(ISNA(VLOOKUP($R352&amp;U$2,$C$3:$F$4001,4,0)),"",VLOOKUP($R352&amp;U$2,$C$3:$F$4001,4,0))</f>
        <v>0.39</v>
      </c>
      <c r="W352" s="106">
        <f>IF(ISNA(VLOOKUP($R352&amp;W$2,$C$3:$F$4001,3,0)),"",VLOOKUP($R352&amp;W$2,$C$3:$F$4001,3,0))</f>
        <v>40238</v>
      </c>
      <c r="X352" s="107">
        <f>IF(ISNA(VLOOKUP($R352&amp;W$2,$C$3:$F$4001,4,0)),"",VLOOKUP($R352&amp;W$2,$C$3:$F$4001,4,0))</f>
        <v>0.36</v>
      </c>
      <c r="Y352" s="106">
        <f>IF(ISNA(VLOOKUP($R352&amp;Y$2,$C$3:$F$4001,3,0)),"",VLOOKUP($R352&amp;Y$2,$C$3:$F$4001,3,0))</f>
        <v>40420</v>
      </c>
      <c r="Z352" s="107">
        <f>IF(ISNA(VLOOKUP($R352&amp;Y$2,$C$3:$F$4001,4,0)),"",VLOOKUP($R352&amp;Y$2,$C$3:$F$4001,4,0))</f>
        <v>0.39</v>
      </c>
      <c r="AA352" s="106">
        <f>IF(ISNA(VLOOKUP($R352&amp;AA$2,$C$3:$F$4001,3,0)),"",VLOOKUP($R352&amp;AA$2,$C$3:$F$4001,3,0))</f>
        <v>40603</v>
      </c>
      <c r="AB352" s="107">
        <f>IF(ISNA(VLOOKUP($R352&amp;AA$2,$C$3:$F$4001,4,0)),"",VLOOKUP($R352&amp;AA$2,$C$3:$F$4001,4,0))</f>
        <v>0.38</v>
      </c>
      <c r="AC352" s="106">
        <f>IF(ISNA(VLOOKUP($R352&amp;AC$2,$C$3:$F$4001,3,0)),"",VLOOKUP($R352&amp;AC$2,$C$3:$F$4001,3,0))</f>
        <v>40785</v>
      </c>
      <c r="AD352" s="107">
        <f>IF(ISNA(VLOOKUP($R352&amp;AC$2,$C$3:$F$4001,4,0)),"",VLOOKUP($R352&amp;AC$2,$C$3:$F$4001,4,0))</f>
        <v>0.42</v>
      </c>
      <c r="AE352" s="106">
        <f>IF(ISNA(VLOOKUP($R352&amp;AE$2,$C$3:$F$4001,3,0)),"",VLOOKUP($R352&amp;AE$2,$C$3:$F$4001,3,0))</f>
        <v>40969</v>
      </c>
      <c r="AF352" s="107">
        <f>IF(ISNA(VLOOKUP($R352&amp;AE$2,$C$3:$F$4001,4,0)),"",VLOOKUP($R352&amp;AE$2,$C$3:$F$4001,4,0))</f>
        <v>0.4</v>
      </c>
      <c r="AG352" s="106">
        <f>IF(ISNA(VLOOKUP($R352&amp;AG$2,$C$3:$F$4001,3,0)),"",VLOOKUP($R352&amp;AG$2,$C$3:$F$4001,3,0))</f>
        <v>41151</v>
      </c>
      <c r="AH352" s="107">
        <f>IF(ISNA(VLOOKUP($R352&amp;AG$2,$C$3:$F$4001,4,0)),"",VLOOKUP($R352&amp;AG$2,$C$3:$F$4001,4,0))</f>
        <v>0.45</v>
      </c>
      <c r="AI352" s="106">
        <f>IF(ISNA(VLOOKUP($R352&amp;AI$2,$C$3:$F$4001,3,0)),"",VLOOKUP($R352&amp;AI$2,$C$3:$F$4001,3,0))</f>
        <v>41334</v>
      </c>
      <c r="AJ352" s="107">
        <f>IF(ISNA(VLOOKUP($R352&amp;AI$2,$C$3:$F$4001,4,0)),"",VLOOKUP($R352&amp;AI$2,$C$3:$F$4001,4,0))</f>
        <v>0.42</v>
      </c>
      <c r="AK352" s="106">
        <f>IF(ISNA(VLOOKUP($R352&amp;AK$2,$C$3:$F$4001,3,0)),"",VLOOKUP($R352&amp;AK$2,$C$3:$F$4001,3,0))</f>
        <v>41516</v>
      </c>
    </row>
    <row r="353" spans="3:37" x14ac:dyDescent="0.2">
      <c r="C353" s="96" t="str">
        <f t="shared" si="20"/>
        <v>BWP8</v>
      </c>
      <c r="D353" s="73" t="s">
        <v>100</v>
      </c>
      <c r="E353" s="100">
        <v>41268</v>
      </c>
      <c r="F353" s="101">
        <v>7.9299999999999995E-2</v>
      </c>
      <c r="G353" s="96">
        <f t="shared" si="21"/>
        <v>8</v>
      </c>
      <c r="I353" s="96"/>
      <c r="K353" t="str">
        <f t="shared" si="22"/>
        <v>BWP8</v>
      </c>
      <c r="L353" s="73" t="s">
        <v>100</v>
      </c>
      <c r="M353" s="72">
        <v>41268</v>
      </c>
      <c r="N353" s="84">
        <v>7.9299999999999995E-2</v>
      </c>
      <c r="O353" s="96">
        <f t="shared" si="23"/>
        <v>8</v>
      </c>
      <c r="Q353" s="96"/>
      <c r="R353" s="96" t="str">
        <f>R352</f>
        <v>SUN</v>
      </c>
      <c r="S353" s="108">
        <f>IF(ISNA(VLOOKUP($R353&amp;S$2,$K$3:$N$4001,3,0)),"",VLOOKUP($R353&amp;S$2,$K$3:$N$4001,3,0))</f>
        <v>39871</v>
      </c>
      <c r="T353" s="109">
        <f>IF(ISNA(VLOOKUP($R353&amp;S$2,$K$3:$N$4001,4,0)),"",VLOOKUP($R353&amp;S$2,$K$3:$N$4001,4,0))</f>
        <v>0.36</v>
      </c>
      <c r="U353" s="108">
        <f>IF(ISNA(VLOOKUP($R353&amp;U$2,$K$3:$N$4001,3,0)),"",VLOOKUP($R353&amp;U$2,$K$3:$N$4001,3,0))</f>
        <v>40053</v>
      </c>
      <c r="V353" s="109">
        <f>IF(ISNA(VLOOKUP($R353&amp;U$2,$K$3:$N$4001,4,0)),"",VLOOKUP($R353&amp;U$2,$K$3:$N$4001,4,0))</f>
        <v>0.39</v>
      </c>
      <c r="W353" s="108">
        <f>IF(ISNA(VLOOKUP($R353&amp;W$2,$K$3:$N$4001,3,0)),"",VLOOKUP($R353&amp;W$2,$K$3:$N$4001,3,0))</f>
        <v>40238</v>
      </c>
      <c r="X353" s="109">
        <f>IF(ISNA(VLOOKUP($R353&amp;W$2,$K$3:$N$4001,4,0)),"",VLOOKUP($R353&amp;W$2,$K$3:$N$4001,4,0))</f>
        <v>0.36</v>
      </c>
      <c r="Y353" s="108">
        <f>IF(ISNA(VLOOKUP($R353&amp;Y$2,$K$3:$N$4001,3,0)),"",VLOOKUP($R353&amp;Y$2,$K$3:$N$4001,3,0))</f>
        <v>40420</v>
      </c>
      <c r="Z353" s="109">
        <f>IF(ISNA(VLOOKUP($R353&amp;Y$2,$K$3:$N$4001,4,0)),"",VLOOKUP($R353&amp;Y$2,$K$3:$N$4001,4,0))</f>
        <v>0.39</v>
      </c>
      <c r="AA353" s="108">
        <f>IF(ISNA(VLOOKUP($R353&amp;AA$2,$K$3:$N$4001,3,0)),"",VLOOKUP($R353&amp;AA$2,$K$3:$N$4001,3,0))</f>
        <v>40603</v>
      </c>
      <c r="AB353" s="109">
        <f>IF(ISNA(VLOOKUP($R353&amp;AA$2,$K$3:$N$4001,4,0)),"",VLOOKUP($R353&amp;AA$2,$K$3:$N$4001,4,0))</f>
        <v>0.38</v>
      </c>
      <c r="AC353" s="108">
        <f>IF(ISNA(VLOOKUP($R353&amp;AC$2,$K$3:$N$4001,3,0)),"",VLOOKUP($R353&amp;AC$2,$K$3:$N$4001,3,0))</f>
        <v>40785</v>
      </c>
      <c r="AD353" s="109">
        <f>IF(ISNA(VLOOKUP($R353&amp;AC$2,$K$3:$N$4001,4,0)),"",VLOOKUP($R353&amp;AC$2,$K$3:$N$4001,4,0))</f>
        <v>0.42</v>
      </c>
      <c r="AE353" s="108">
        <f>IF(ISNA(VLOOKUP($R353&amp;AE$2,$K$3:$N$4001,3,0)),"",VLOOKUP($R353&amp;AE$2,$K$3:$N$4001,3,0))</f>
        <v>40969</v>
      </c>
      <c r="AF353" s="109">
        <f>IF(ISNA(VLOOKUP($R353&amp;AE$2,$K$3:$N$4001,4,0)),"",VLOOKUP($R353&amp;AE$2,$K$3:$N$4001,4,0))</f>
        <v>0.4</v>
      </c>
      <c r="AG353" s="108">
        <f>IF(ISNA(VLOOKUP($R353&amp;AG$2,$K$3:$N$4001,3,0)),"",VLOOKUP($R353&amp;AG$2,$K$3:$N$4001,3,0))</f>
        <v>41151</v>
      </c>
      <c r="AH353" s="109">
        <f>IF(ISNA(VLOOKUP($R353&amp;AG$2,$K$3:$N$4001,4,0)),"",VLOOKUP($R353&amp;AG$2,$K$3:$N$4001,4,0))</f>
        <v>0.45</v>
      </c>
      <c r="AI353" s="108">
        <f>IF(ISNA(VLOOKUP($R353&amp;AI$2,$K$3:$N$4001,3,0)),"",VLOOKUP($R353&amp;AI$2,$K$3:$N$4001,3,0))</f>
        <v>41334</v>
      </c>
      <c r="AJ353" s="109">
        <f>IF(ISNA(VLOOKUP($R353&amp;AI$2,$K$3:$N$4001,4,0)),"",VLOOKUP($R353&amp;AI$2,$K$3:$N$4001,4,0))</f>
        <v>0.42</v>
      </c>
      <c r="AK353" s="108">
        <f>IF(ISNA(VLOOKUP($R353&amp;AK$2,$K$3:$N$4001,3,0)),"",VLOOKUP($R353&amp;AK$2,$K$3:$N$4001,3,0))</f>
        <v>41516</v>
      </c>
    </row>
    <row r="354" spans="3:37" x14ac:dyDescent="0.2">
      <c r="C354" s="96" t="str">
        <f t="shared" si="20"/>
        <v>BWP9</v>
      </c>
      <c r="D354" s="73" t="s">
        <v>100</v>
      </c>
      <c r="E354" s="100">
        <v>41450</v>
      </c>
      <c r="F354" s="101">
        <v>7.7699999999999991E-2</v>
      </c>
      <c r="G354" s="96">
        <f t="shared" si="21"/>
        <v>9</v>
      </c>
      <c r="I354" s="96"/>
      <c r="K354" t="str">
        <f t="shared" si="22"/>
        <v>BWP9</v>
      </c>
      <c r="L354" s="73" t="s">
        <v>100</v>
      </c>
      <c r="M354" s="72">
        <v>41450</v>
      </c>
      <c r="N354" s="84">
        <v>7.7699999999999991E-2</v>
      </c>
      <c r="O354" s="96">
        <f t="shared" si="23"/>
        <v>9</v>
      </c>
      <c r="Q354" s="96"/>
      <c r="R354" s="96" t="s">
        <v>284</v>
      </c>
      <c r="S354" s="106" t="str">
        <f>IF(ISNA(VLOOKUP($R354&amp;S$2,$C$3:$F$4001,3,0)),"",VLOOKUP($R354&amp;S$2,$C$3:$F$4001,3,0))</f>
        <v/>
      </c>
      <c r="T354" s="107" t="str">
        <f>IF(ISNA(VLOOKUP($R354&amp;S$2,$C$3:$F$4001,4,0)),"",VLOOKUP($R354&amp;S$2,$C$3:$F$4001,4,0))</f>
        <v/>
      </c>
      <c r="U354" s="106" t="str">
        <f>IF(ISNA(VLOOKUP($R354&amp;U$2,$C$3:$F$4001,3,0)),"",VLOOKUP($R354&amp;U$2,$C$3:$F$4001,3,0))</f>
        <v/>
      </c>
      <c r="V354" s="107" t="str">
        <f>IF(ISNA(VLOOKUP($R354&amp;U$2,$C$3:$F$4001,4,0)),"",VLOOKUP($R354&amp;U$2,$C$3:$F$4001,4,0))</f>
        <v/>
      </c>
      <c r="W354" s="106" t="str">
        <f>IF(ISNA(VLOOKUP($R354&amp;W$2,$C$3:$F$4001,3,0)),"",VLOOKUP($R354&amp;W$2,$C$3:$F$4001,3,0))</f>
        <v/>
      </c>
      <c r="X354" s="107" t="str">
        <f>IF(ISNA(VLOOKUP($R354&amp;W$2,$C$3:$F$4001,4,0)),"",VLOOKUP($R354&amp;W$2,$C$3:$F$4001,4,0))</f>
        <v/>
      </c>
      <c r="Y354" s="106" t="str">
        <f>IF(ISNA(VLOOKUP($R354&amp;Y$2,$C$3:$F$4001,3,0)),"",VLOOKUP($R354&amp;Y$2,$C$3:$F$4001,3,0))</f>
        <v/>
      </c>
      <c r="Z354" s="107" t="str">
        <f>IF(ISNA(VLOOKUP($R354&amp;Y$2,$C$3:$F$4001,4,0)),"",VLOOKUP($R354&amp;Y$2,$C$3:$F$4001,4,0))</f>
        <v/>
      </c>
      <c r="AA354" s="106" t="str">
        <f>IF(ISNA(VLOOKUP($R354&amp;AA$2,$C$3:$F$4001,3,0)),"",VLOOKUP($R354&amp;AA$2,$C$3:$F$4001,3,0))</f>
        <v/>
      </c>
      <c r="AB354" s="107" t="str">
        <f>IF(ISNA(VLOOKUP($R354&amp;AA$2,$C$3:$F$4001,4,0)),"",VLOOKUP($R354&amp;AA$2,$C$3:$F$4001,4,0))</f>
        <v/>
      </c>
      <c r="AC354" s="106" t="str">
        <f>IF(ISNA(VLOOKUP($R354&amp;AC$2,$C$3:$F$4001,3,0)),"",VLOOKUP($R354&amp;AC$2,$C$3:$F$4001,3,0))</f>
        <v/>
      </c>
      <c r="AD354" s="107" t="str">
        <f>IF(ISNA(VLOOKUP($R354&amp;AC$2,$C$3:$F$4001,4,0)),"",VLOOKUP($R354&amp;AC$2,$C$3:$F$4001,4,0))</f>
        <v/>
      </c>
      <c r="AE354" s="106" t="str">
        <f>IF(ISNA(VLOOKUP($R354&amp;AE$2,$C$3:$F$4001,3,0)),"",VLOOKUP($R354&amp;AE$2,$C$3:$F$4001,3,0))</f>
        <v/>
      </c>
      <c r="AF354" s="107" t="str">
        <f>IF(ISNA(VLOOKUP($R354&amp;AE$2,$C$3:$F$4001,4,0)),"",VLOOKUP($R354&amp;AE$2,$C$3:$F$4001,4,0))</f>
        <v/>
      </c>
      <c r="AG354" s="106" t="str">
        <f>IF(ISNA(VLOOKUP($R354&amp;AG$2,$C$3:$F$4001,3,0)),"",VLOOKUP($R354&amp;AG$2,$C$3:$F$4001,3,0))</f>
        <v/>
      </c>
      <c r="AH354" s="107" t="str">
        <f>IF(ISNA(VLOOKUP($R354&amp;AG$2,$C$3:$F$4001,4,0)),"",VLOOKUP($R354&amp;AG$2,$C$3:$F$4001,4,0))</f>
        <v/>
      </c>
      <c r="AI354" s="106" t="str">
        <f>IF(ISNA(VLOOKUP($R354&amp;AI$2,$C$3:$F$4001,3,0)),"",VLOOKUP($R354&amp;AI$2,$C$3:$F$4001,3,0))</f>
        <v/>
      </c>
      <c r="AJ354" s="107" t="str">
        <f>IF(ISNA(VLOOKUP($R354&amp;AI$2,$C$3:$F$4001,4,0)),"",VLOOKUP($R354&amp;AI$2,$C$3:$F$4001,4,0))</f>
        <v/>
      </c>
      <c r="AK354" s="106" t="str">
        <f>IF(ISNA(VLOOKUP($R354&amp;AK$2,$C$3:$F$4001,3,0)),"",VLOOKUP($R354&amp;AK$2,$C$3:$F$4001,3,0))</f>
        <v/>
      </c>
    </row>
    <row r="355" spans="3:37" x14ac:dyDescent="0.2">
      <c r="C355" s="96" t="str">
        <f t="shared" si="20"/>
        <v>BXB1</v>
      </c>
      <c r="D355" s="73" t="s">
        <v>101</v>
      </c>
      <c r="E355" s="100">
        <v>39888</v>
      </c>
      <c r="F355" s="101">
        <v>0.17</v>
      </c>
      <c r="G355" s="96">
        <f t="shared" si="21"/>
        <v>1</v>
      </c>
      <c r="I355" s="96"/>
      <c r="K355" t="str">
        <f t="shared" si="22"/>
        <v>BXB1</v>
      </c>
      <c r="L355" s="73" t="s">
        <v>101</v>
      </c>
      <c r="M355" s="72">
        <v>39888</v>
      </c>
      <c r="N355" s="84">
        <v>0.17</v>
      </c>
      <c r="O355" s="96">
        <f t="shared" si="23"/>
        <v>1</v>
      </c>
      <c r="Q355" s="96"/>
      <c r="R355" s="96" t="str">
        <f>R354</f>
        <v>SDL</v>
      </c>
      <c r="S355" s="108" t="str">
        <f>IF(ISNA(VLOOKUP($R355&amp;S$2,$K$3:$N$4001,3,0)),"",VLOOKUP($R355&amp;S$2,$K$3:$N$4001,3,0))</f>
        <v/>
      </c>
      <c r="T355" s="109" t="str">
        <f>IF(ISNA(VLOOKUP($R355&amp;S$2,$K$3:$N$4001,4,0)),"",VLOOKUP($R355&amp;S$2,$K$3:$N$4001,4,0))</f>
        <v/>
      </c>
      <c r="U355" s="108" t="str">
        <f>IF(ISNA(VLOOKUP($R355&amp;U$2,$K$3:$N$4001,3,0)),"",VLOOKUP($R355&amp;U$2,$K$3:$N$4001,3,0))</f>
        <v/>
      </c>
      <c r="V355" s="109" t="str">
        <f>IF(ISNA(VLOOKUP($R355&amp;U$2,$K$3:$N$4001,4,0)),"",VLOOKUP($R355&amp;U$2,$K$3:$N$4001,4,0))</f>
        <v/>
      </c>
      <c r="W355" s="108" t="str">
        <f>IF(ISNA(VLOOKUP($R355&amp;W$2,$K$3:$N$4001,3,0)),"",VLOOKUP($R355&amp;W$2,$K$3:$N$4001,3,0))</f>
        <v/>
      </c>
      <c r="X355" s="109" t="str">
        <f>IF(ISNA(VLOOKUP($R355&amp;W$2,$K$3:$N$4001,4,0)),"",VLOOKUP($R355&amp;W$2,$K$3:$N$4001,4,0))</f>
        <v/>
      </c>
      <c r="Y355" s="108" t="str">
        <f>IF(ISNA(VLOOKUP($R355&amp;Y$2,$K$3:$N$4001,3,0)),"",VLOOKUP($R355&amp;Y$2,$K$3:$N$4001,3,0))</f>
        <v/>
      </c>
      <c r="Z355" s="109" t="str">
        <f>IF(ISNA(VLOOKUP($R355&amp;Y$2,$K$3:$N$4001,4,0)),"",VLOOKUP($R355&amp;Y$2,$K$3:$N$4001,4,0))</f>
        <v/>
      </c>
      <c r="AA355" s="108" t="str">
        <f>IF(ISNA(VLOOKUP($R355&amp;AA$2,$K$3:$N$4001,3,0)),"",VLOOKUP($R355&amp;AA$2,$K$3:$N$4001,3,0))</f>
        <v/>
      </c>
      <c r="AB355" s="109" t="str">
        <f>IF(ISNA(VLOOKUP($R355&amp;AA$2,$K$3:$N$4001,4,0)),"",VLOOKUP($R355&amp;AA$2,$K$3:$N$4001,4,0))</f>
        <v/>
      </c>
      <c r="AC355" s="108" t="str">
        <f>IF(ISNA(VLOOKUP($R355&amp;AC$2,$K$3:$N$4001,3,0)),"",VLOOKUP($R355&amp;AC$2,$K$3:$N$4001,3,0))</f>
        <v/>
      </c>
      <c r="AD355" s="109" t="str">
        <f>IF(ISNA(VLOOKUP($R355&amp;AC$2,$K$3:$N$4001,4,0)),"",VLOOKUP($R355&amp;AC$2,$K$3:$N$4001,4,0))</f>
        <v/>
      </c>
      <c r="AE355" s="108" t="str">
        <f>IF(ISNA(VLOOKUP($R355&amp;AE$2,$K$3:$N$4001,3,0)),"",VLOOKUP($R355&amp;AE$2,$K$3:$N$4001,3,0))</f>
        <v/>
      </c>
      <c r="AF355" s="109" t="str">
        <f>IF(ISNA(VLOOKUP($R355&amp;AE$2,$K$3:$N$4001,4,0)),"",VLOOKUP($R355&amp;AE$2,$K$3:$N$4001,4,0))</f>
        <v/>
      </c>
      <c r="AG355" s="108" t="str">
        <f>IF(ISNA(VLOOKUP($R355&amp;AG$2,$K$3:$N$4001,3,0)),"",VLOOKUP($R355&amp;AG$2,$K$3:$N$4001,3,0))</f>
        <v/>
      </c>
      <c r="AH355" s="109" t="str">
        <f>IF(ISNA(VLOOKUP($R355&amp;AG$2,$K$3:$N$4001,4,0)),"",VLOOKUP($R355&amp;AG$2,$K$3:$N$4001,4,0))</f>
        <v/>
      </c>
      <c r="AI355" s="108" t="str">
        <f>IF(ISNA(VLOOKUP($R355&amp;AI$2,$K$3:$N$4001,3,0)),"",VLOOKUP($R355&amp;AI$2,$K$3:$N$4001,3,0))</f>
        <v/>
      </c>
      <c r="AJ355" s="109" t="str">
        <f>IF(ISNA(VLOOKUP($R355&amp;AI$2,$K$3:$N$4001,4,0)),"",VLOOKUP($R355&amp;AI$2,$K$3:$N$4001,4,0))</f>
        <v/>
      </c>
      <c r="AK355" s="108" t="str">
        <f>IF(ISNA(VLOOKUP($R355&amp;AK$2,$K$3:$N$4001,3,0)),"",VLOOKUP($R355&amp;AK$2,$K$3:$N$4001,3,0))</f>
        <v/>
      </c>
    </row>
    <row r="356" spans="3:37" x14ac:dyDescent="0.2">
      <c r="C356" s="96" t="str">
        <f t="shared" si="20"/>
        <v>BXB2</v>
      </c>
      <c r="D356" s="73" t="s">
        <v>101</v>
      </c>
      <c r="E356" s="100">
        <v>40071</v>
      </c>
      <c r="F356" s="101">
        <v>0.17499999999999999</v>
      </c>
      <c r="G356" s="96">
        <f t="shared" si="21"/>
        <v>2</v>
      </c>
      <c r="I356" s="96"/>
      <c r="K356" t="str">
        <f t="shared" si="22"/>
        <v>BXB2</v>
      </c>
      <c r="L356" s="73" t="s">
        <v>101</v>
      </c>
      <c r="M356" s="72">
        <v>40071</v>
      </c>
      <c r="N356" s="84">
        <v>0.17499999999999999</v>
      </c>
      <c r="O356" s="96">
        <f t="shared" si="23"/>
        <v>2</v>
      </c>
      <c r="Q356" s="96"/>
      <c r="R356" s="96" t="s">
        <v>201</v>
      </c>
      <c r="S356" s="106">
        <f>IF(ISNA(VLOOKUP($R356&amp;S$2,$C$3:$F$4001,3,0)),"",VLOOKUP($R356&amp;S$2,$C$3:$F$4001,3,0))</f>
        <v>39882</v>
      </c>
      <c r="T356" s="107">
        <f>IF(ISNA(VLOOKUP($R356&amp;S$2,$C$3:$F$4001,4,0)),"",VLOOKUP($R356&amp;S$2,$C$3:$F$4001,4,0))</f>
        <v>0.03</v>
      </c>
      <c r="U356" s="106">
        <f>IF(ISNA(VLOOKUP($R356&amp;U$2,$C$3:$F$4001,3,0)),"",VLOOKUP($R356&amp;U$2,$C$3:$F$4001,3,0))</f>
        <v>40064</v>
      </c>
      <c r="V356" s="107">
        <f>IF(ISNA(VLOOKUP($R356&amp;U$2,$C$3:$F$4001,4,0)),"",VLOOKUP($R356&amp;U$2,$C$3:$F$4001,4,0))</f>
        <v>0.03</v>
      </c>
      <c r="W356" s="106">
        <f>IF(ISNA(VLOOKUP($R356&amp;W$2,$C$3:$F$4001,3,0)),"",VLOOKUP($R356&amp;W$2,$C$3:$F$4001,3,0))</f>
        <v>40247</v>
      </c>
      <c r="X356" s="107">
        <f>IF(ISNA(VLOOKUP($R356&amp;W$2,$C$3:$F$4001,4,0)),"",VLOOKUP($R356&amp;W$2,$C$3:$F$4001,4,0))</f>
        <v>3.3000000000000002E-2</v>
      </c>
      <c r="Y356" s="106">
        <f>IF(ISNA(VLOOKUP($R356&amp;Y$2,$C$3:$F$4001,3,0)),"",VLOOKUP($R356&amp;Y$2,$C$3:$F$4001,3,0))</f>
        <v>40429</v>
      </c>
      <c r="Z356" s="107">
        <f>IF(ISNA(VLOOKUP($R356&amp;Y$2,$C$3:$F$4001,4,0)),"",VLOOKUP($R356&amp;Y$2,$C$3:$F$4001,4,0))</f>
        <v>3.3000000000000002E-2</v>
      </c>
      <c r="AA356" s="106">
        <f>IF(ISNA(VLOOKUP($R356&amp;AA$2,$C$3:$F$4001,3,0)),"",VLOOKUP($R356&amp;AA$2,$C$3:$F$4001,3,0))</f>
        <v>40612</v>
      </c>
      <c r="AB356" s="107">
        <f>IF(ISNA(VLOOKUP($R356&amp;AA$2,$C$3:$F$4001,4,0)),"",VLOOKUP($R356&amp;AA$2,$C$3:$F$4001,4,0))</f>
        <v>0.04</v>
      </c>
      <c r="AC356" s="106">
        <f>IF(ISNA(VLOOKUP($R356&amp;AC$2,$C$3:$F$4001,3,0)),"",VLOOKUP($R356&amp;AC$2,$C$3:$F$4001,3,0))</f>
        <v>40794</v>
      </c>
      <c r="AD356" s="107">
        <f>IF(ISNA(VLOOKUP($R356&amp;AC$2,$C$3:$F$4001,4,0)),"",VLOOKUP($R356&amp;AC$2,$C$3:$F$4001,4,0))</f>
        <v>0.04</v>
      </c>
      <c r="AE356" s="106">
        <f>IF(ISNA(VLOOKUP($R356&amp;AE$2,$C$3:$F$4001,3,0)),"",VLOOKUP($R356&amp;AE$2,$C$3:$F$4001,3,0))</f>
        <v>40980</v>
      </c>
      <c r="AF356" s="107">
        <f>IF(ISNA(VLOOKUP($R356&amp;AE$2,$C$3:$F$4001,4,0)),"",VLOOKUP($R356&amp;AE$2,$C$3:$F$4001,4,0))</f>
        <v>4.4999999999999998E-2</v>
      </c>
      <c r="AG356" s="106">
        <f>IF(ISNA(VLOOKUP($R356&amp;AG$2,$C$3:$F$4001,3,0)),"",VLOOKUP($R356&amp;AG$2,$C$3:$F$4001,3,0))</f>
        <v>41162</v>
      </c>
      <c r="AH356" s="107">
        <f>IF(ISNA(VLOOKUP($R356&amp;AG$2,$C$3:$F$4001,4,0)),"",VLOOKUP($R356&amp;AG$2,$C$3:$F$4001,4,0))</f>
        <v>4.4999999999999998E-2</v>
      </c>
      <c r="AI356" s="106">
        <f>IF(ISNA(VLOOKUP($R356&amp;AI$2,$C$3:$F$4001,3,0)),"",VLOOKUP($R356&amp;AI$2,$C$3:$F$4001,3,0))</f>
        <v>41345</v>
      </c>
      <c r="AJ356" s="107">
        <f>IF(ISNA(VLOOKUP($R356&amp;AI$2,$C$3:$F$4001,4,0)),"",VLOOKUP($R356&amp;AI$2,$C$3:$F$4001,4,0))</f>
        <v>4.7500000000000001E-2</v>
      </c>
      <c r="AK356" s="106">
        <f>IF(ISNA(VLOOKUP($R356&amp;AK$2,$C$3:$F$4001,3,0)),"",VLOOKUP($R356&amp;AK$2,$C$3:$F$4001,3,0))</f>
        <v>41527</v>
      </c>
    </row>
    <row r="357" spans="3:37" x14ac:dyDescent="0.2">
      <c r="C357" s="96" t="str">
        <f t="shared" si="20"/>
        <v>BXB3</v>
      </c>
      <c r="D357" s="73" t="s">
        <v>101</v>
      </c>
      <c r="E357" s="100">
        <v>40253</v>
      </c>
      <c r="F357" s="101">
        <v>0.17</v>
      </c>
      <c r="G357" s="96">
        <f t="shared" si="21"/>
        <v>3</v>
      </c>
      <c r="I357" s="96"/>
      <c r="K357" t="str">
        <f t="shared" si="22"/>
        <v>BXB3</v>
      </c>
      <c r="L357" s="73" t="s">
        <v>101</v>
      </c>
      <c r="M357" s="72">
        <v>40253</v>
      </c>
      <c r="N357" s="84">
        <v>0.17</v>
      </c>
      <c r="O357" s="96">
        <f t="shared" si="23"/>
        <v>3</v>
      </c>
      <c r="Q357" s="96"/>
      <c r="R357" s="96" t="str">
        <f>R356</f>
        <v>SDG</v>
      </c>
      <c r="S357" s="108">
        <f>IF(ISNA(VLOOKUP($R357&amp;S$2,$K$3:$N$4001,3,0)),"",VLOOKUP($R357&amp;S$2,$K$3:$N$4001,3,0))</f>
        <v>39882</v>
      </c>
      <c r="T357" s="109">
        <f>IF(ISNA(VLOOKUP($R357&amp;S$2,$K$3:$N$4001,4,0)),"",VLOOKUP($R357&amp;S$2,$K$3:$N$4001,4,0))</f>
        <v>0.03</v>
      </c>
      <c r="U357" s="108">
        <f>IF(ISNA(VLOOKUP($R357&amp;U$2,$K$3:$N$4001,3,0)),"",VLOOKUP($R357&amp;U$2,$K$3:$N$4001,3,0))</f>
        <v>40064</v>
      </c>
      <c r="V357" s="109">
        <f>IF(ISNA(VLOOKUP($R357&amp;U$2,$K$3:$N$4001,4,0)),"",VLOOKUP($R357&amp;U$2,$K$3:$N$4001,4,0))</f>
        <v>0.03</v>
      </c>
      <c r="W357" s="108">
        <f>IF(ISNA(VLOOKUP($R357&amp;W$2,$K$3:$N$4001,3,0)),"",VLOOKUP($R357&amp;W$2,$K$3:$N$4001,3,0))</f>
        <v>40247</v>
      </c>
      <c r="X357" s="109">
        <f>IF(ISNA(VLOOKUP($R357&amp;W$2,$K$3:$N$4001,4,0)),"",VLOOKUP($R357&amp;W$2,$K$3:$N$4001,4,0))</f>
        <v>3.3000000000000002E-2</v>
      </c>
      <c r="Y357" s="108">
        <f>IF(ISNA(VLOOKUP($R357&amp;Y$2,$K$3:$N$4001,3,0)),"",VLOOKUP($R357&amp;Y$2,$K$3:$N$4001,3,0))</f>
        <v>40429</v>
      </c>
      <c r="Z357" s="109">
        <f>IF(ISNA(VLOOKUP($R357&amp;Y$2,$K$3:$N$4001,4,0)),"",VLOOKUP($R357&amp;Y$2,$K$3:$N$4001,4,0))</f>
        <v>3.3000000000000002E-2</v>
      </c>
      <c r="AA357" s="108">
        <f>IF(ISNA(VLOOKUP($R357&amp;AA$2,$K$3:$N$4001,3,0)),"",VLOOKUP($R357&amp;AA$2,$K$3:$N$4001,3,0))</f>
        <v>40612</v>
      </c>
      <c r="AB357" s="109">
        <f>IF(ISNA(VLOOKUP($R357&amp;AA$2,$K$3:$N$4001,4,0)),"",VLOOKUP($R357&amp;AA$2,$K$3:$N$4001,4,0))</f>
        <v>0.04</v>
      </c>
      <c r="AC357" s="108">
        <f>IF(ISNA(VLOOKUP($R357&amp;AC$2,$K$3:$N$4001,3,0)),"",VLOOKUP($R357&amp;AC$2,$K$3:$N$4001,3,0))</f>
        <v>40794</v>
      </c>
      <c r="AD357" s="109">
        <f>IF(ISNA(VLOOKUP($R357&amp;AC$2,$K$3:$N$4001,4,0)),"",VLOOKUP($R357&amp;AC$2,$K$3:$N$4001,4,0))</f>
        <v>0.04</v>
      </c>
      <c r="AE357" s="108">
        <f>IF(ISNA(VLOOKUP($R357&amp;AE$2,$K$3:$N$4001,3,0)),"",VLOOKUP($R357&amp;AE$2,$K$3:$N$4001,3,0))</f>
        <v>40980</v>
      </c>
      <c r="AF357" s="109">
        <f>IF(ISNA(VLOOKUP($R357&amp;AE$2,$K$3:$N$4001,4,0)),"",VLOOKUP($R357&amp;AE$2,$K$3:$N$4001,4,0))</f>
        <v>4.4999999999999998E-2</v>
      </c>
      <c r="AG357" s="108">
        <f>IF(ISNA(VLOOKUP($R357&amp;AG$2,$K$3:$N$4001,3,0)),"",VLOOKUP($R357&amp;AG$2,$K$3:$N$4001,3,0))</f>
        <v>41162</v>
      </c>
      <c r="AH357" s="109">
        <f>IF(ISNA(VLOOKUP($R357&amp;AG$2,$K$3:$N$4001,4,0)),"",VLOOKUP($R357&amp;AG$2,$K$3:$N$4001,4,0))</f>
        <v>4.4999999999999998E-2</v>
      </c>
      <c r="AI357" s="108">
        <f>IF(ISNA(VLOOKUP($R357&amp;AI$2,$K$3:$N$4001,3,0)),"",VLOOKUP($R357&amp;AI$2,$K$3:$N$4001,3,0))</f>
        <v>41345</v>
      </c>
      <c r="AJ357" s="109">
        <f>IF(ISNA(VLOOKUP($R357&amp;AI$2,$K$3:$N$4001,4,0)),"",VLOOKUP($R357&amp;AI$2,$K$3:$N$4001,4,0))</f>
        <v>4.7500000000000001E-2</v>
      </c>
      <c r="AK357" s="108">
        <f>IF(ISNA(VLOOKUP($R357&amp;AK$2,$K$3:$N$4001,3,0)),"",VLOOKUP($R357&amp;AK$2,$K$3:$N$4001,3,0))</f>
        <v>41527</v>
      </c>
    </row>
    <row r="358" spans="3:37" x14ac:dyDescent="0.2">
      <c r="C358" s="96" t="str">
        <f t="shared" si="20"/>
        <v>BXB4</v>
      </c>
      <c r="D358" s="73" t="s">
        <v>101</v>
      </c>
      <c r="E358" s="100">
        <v>40436</v>
      </c>
      <c r="F358" s="101">
        <v>0.17499999999999999</v>
      </c>
      <c r="G358" s="96">
        <f t="shared" si="21"/>
        <v>4</v>
      </c>
      <c r="I358" s="96"/>
      <c r="K358" t="str">
        <f t="shared" si="22"/>
        <v>BXB4</v>
      </c>
      <c r="L358" s="73" t="s">
        <v>101</v>
      </c>
      <c r="M358" s="72">
        <v>40436</v>
      </c>
      <c r="N358" s="84">
        <v>0.17499999999999999</v>
      </c>
      <c r="O358" s="96">
        <f t="shared" si="23"/>
        <v>4</v>
      </c>
      <c r="Q358" s="96"/>
      <c r="R358" s="96" t="s">
        <v>217</v>
      </c>
      <c r="S358" s="106">
        <f>IF(ISNA(VLOOKUP($R358&amp;S$2,$C$3:$F$4001,3,0)),"",VLOOKUP($R358&amp;S$2,$C$3:$F$4001,3,0))</f>
        <v>39854</v>
      </c>
      <c r="T358" s="107">
        <f>IF(ISNA(VLOOKUP($R358&amp;S$2,$C$3:$F$4001,4,0)),"",VLOOKUP($R358&amp;S$2,$C$3:$F$4001,4,0))</f>
        <v>0.35</v>
      </c>
      <c r="U358" s="106">
        <f>IF(ISNA(VLOOKUP($R358&amp;U$2,$C$3:$F$4001,3,0)),"",VLOOKUP($R358&amp;U$2,$C$3:$F$4001,3,0))</f>
        <v>40036</v>
      </c>
      <c r="V358" s="107">
        <f>IF(ISNA(VLOOKUP($R358&amp;U$2,$C$3:$F$4001,4,0)),"",VLOOKUP($R358&amp;U$2,$C$3:$F$4001,4,0))</f>
        <v>0.35</v>
      </c>
      <c r="W358" s="106">
        <f>IF(ISNA(VLOOKUP($R358&amp;W$2,$C$3:$F$4001,3,0)),"",VLOOKUP($R358&amp;W$2,$C$3:$F$4001,3,0))</f>
        <v>40219</v>
      </c>
      <c r="X358" s="107">
        <f>IF(ISNA(VLOOKUP($R358&amp;W$2,$C$3:$F$4001,4,0)),"",VLOOKUP($R358&amp;W$2,$C$3:$F$4001,4,0))</f>
        <v>0.35</v>
      </c>
      <c r="Y358" s="106">
        <f>IF(ISNA(VLOOKUP($R358&amp;Y$2,$C$3:$F$4001,3,0)),"",VLOOKUP($R358&amp;Y$2,$C$3:$F$4001,3,0))</f>
        <v>40401</v>
      </c>
      <c r="Z358" s="107">
        <f>IF(ISNA(VLOOKUP($R358&amp;Y$2,$C$3:$F$4001,4,0)),"",VLOOKUP($R358&amp;Y$2,$C$3:$F$4001,4,0))</f>
        <v>0.35</v>
      </c>
      <c r="AA358" s="106">
        <f>IF(ISNA(VLOOKUP($R358&amp;AA$2,$C$3:$F$4001,3,0)),"",VLOOKUP($R358&amp;AA$2,$C$3:$F$4001,3,0))</f>
        <v>40584</v>
      </c>
      <c r="AB358" s="107">
        <f>IF(ISNA(VLOOKUP($R358&amp;AA$2,$C$3:$F$4001,4,0)),"",VLOOKUP($R358&amp;AA$2,$C$3:$F$4001,4,0))</f>
        <v>0.36</v>
      </c>
      <c r="AC358" s="106">
        <f>IF(ISNA(VLOOKUP($R358&amp;AC$2,$C$3:$F$4001,3,0)),"",VLOOKUP($R358&amp;AC$2,$C$3:$F$4001,3,0))</f>
        <v>40766</v>
      </c>
      <c r="AD358" s="107">
        <f>IF(ISNA(VLOOKUP($R358&amp;AC$2,$C$3:$F$4001,4,0)),"",VLOOKUP($R358&amp;AC$2,$C$3:$F$4001,4,0))</f>
        <v>0.36</v>
      </c>
      <c r="AE358" s="106">
        <f>IF(ISNA(VLOOKUP($R358&amp;AE$2,$C$3:$F$4001,3,0)),"",VLOOKUP($R358&amp;AE$2,$C$3:$F$4001,3,0))</f>
        <v>40949</v>
      </c>
      <c r="AF358" s="107">
        <f>IF(ISNA(VLOOKUP($R358&amp;AE$2,$C$3:$F$4001,4,0)),"",VLOOKUP($R358&amp;AE$2,$C$3:$F$4001,4,0))</f>
        <v>0.38</v>
      </c>
      <c r="AG358" s="106">
        <f>IF(ISNA(VLOOKUP($R358&amp;AG$2,$C$3:$F$4001,3,0)),"",VLOOKUP($R358&amp;AG$2,$C$3:$F$4001,3,0))</f>
        <v>41134</v>
      </c>
      <c r="AH358" s="107">
        <f>IF(ISNA(VLOOKUP($R358&amp;AG$2,$C$3:$F$4001,4,0)),"",VLOOKUP($R358&amp;AG$2,$C$3:$F$4001,4,0))</f>
        <v>0.38</v>
      </c>
      <c r="AI358" s="106">
        <f>IF(ISNA(VLOOKUP($R358&amp;AI$2,$C$3:$F$4001,3,0)),"",VLOOKUP($R358&amp;AI$2,$C$3:$F$4001,3,0))</f>
        <v>41317</v>
      </c>
      <c r="AJ358" s="107">
        <f>IF(ISNA(VLOOKUP($R358&amp;AI$2,$C$3:$F$4001,4,0)),"",VLOOKUP($R358&amp;AI$2,$C$3:$F$4001,4,0))</f>
        <v>0.4</v>
      </c>
      <c r="AK358" s="106">
        <f>IF(ISNA(VLOOKUP($R358&amp;AK$2,$C$3:$F$4001,3,0)),"",VLOOKUP($R358&amp;AK$2,$C$3:$F$4001,3,0))</f>
        <v>41499</v>
      </c>
    </row>
    <row r="359" spans="3:37" x14ac:dyDescent="0.2">
      <c r="C359" s="96" t="str">
        <f t="shared" si="20"/>
        <v>BXB5</v>
      </c>
      <c r="D359" s="73" t="s">
        <v>101</v>
      </c>
      <c r="E359" s="100">
        <v>40618</v>
      </c>
      <c r="F359" s="101">
        <v>0.18</v>
      </c>
      <c r="G359" s="96">
        <f t="shared" si="21"/>
        <v>5</v>
      </c>
      <c r="I359" s="96"/>
      <c r="K359" t="str">
        <f t="shared" si="22"/>
        <v>BXB5</v>
      </c>
      <c r="L359" s="73" t="s">
        <v>101</v>
      </c>
      <c r="M359" s="72">
        <v>40618</v>
      </c>
      <c r="N359" s="84">
        <v>0.18</v>
      </c>
      <c r="O359" s="96">
        <f t="shared" si="23"/>
        <v>5</v>
      </c>
      <c r="Q359" s="96"/>
      <c r="R359" s="96" t="str">
        <f>R358</f>
        <v>TAH</v>
      </c>
      <c r="S359" s="108">
        <f>IF(ISNA(VLOOKUP($R359&amp;S$2,$K$3:$N$4001,3,0)),"",VLOOKUP($R359&amp;S$2,$K$3:$N$4001,3,0))</f>
        <v>39854</v>
      </c>
      <c r="T359" s="109">
        <f>IF(ISNA(VLOOKUP($R359&amp;S$2,$K$3:$N$4001,4,0)),"",VLOOKUP($R359&amp;S$2,$K$3:$N$4001,4,0))</f>
        <v>0.35</v>
      </c>
      <c r="U359" s="108">
        <f>IF(ISNA(VLOOKUP($R359&amp;U$2,$K$3:$N$4001,3,0)),"",VLOOKUP($R359&amp;U$2,$K$3:$N$4001,3,0))</f>
        <v>40036</v>
      </c>
      <c r="V359" s="109">
        <f>IF(ISNA(VLOOKUP($R359&amp;U$2,$K$3:$N$4001,4,0)),"",VLOOKUP($R359&amp;U$2,$K$3:$N$4001,4,0))</f>
        <v>0.35</v>
      </c>
      <c r="W359" s="108">
        <f>IF(ISNA(VLOOKUP($R359&amp;W$2,$K$3:$N$4001,3,0)),"",VLOOKUP($R359&amp;W$2,$K$3:$N$4001,3,0))</f>
        <v>40219</v>
      </c>
      <c r="X359" s="109">
        <f>IF(ISNA(VLOOKUP($R359&amp;W$2,$K$3:$N$4001,4,0)),"",VLOOKUP($R359&amp;W$2,$K$3:$N$4001,4,0))</f>
        <v>0.35</v>
      </c>
      <c r="Y359" s="108">
        <f>IF(ISNA(VLOOKUP($R359&amp;Y$2,$K$3:$N$4001,3,0)),"",VLOOKUP($R359&amp;Y$2,$K$3:$N$4001,3,0))</f>
        <v>40401</v>
      </c>
      <c r="Z359" s="109">
        <f>IF(ISNA(VLOOKUP($R359&amp;Y$2,$K$3:$N$4001,4,0)),"",VLOOKUP($R359&amp;Y$2,$K$3:$N$4001,4,0))</f>
        <v>0.35</v>
      </c>
      <c r="AA359" s="108">
        <f>IF(ISNA(VLOOKUP($R359&amp;AA$2,$K$3:$N$4001,3,0)),"",VLOOKUP($R359&amp;AA$2,$K$3:$N$4001,3,0))</f>
        <v>40584</v>
      </c>
      <c r="AB359" s="109">
        <f>IF(ISNA(VLOOKUP($R359&amp;AA$2,$K$3:$N$4001,4,0)),"",VLOOKUP($R359&amp;AA$2,$K$3:$N$4001,4,0))</f>
        <v>0.36</v>
      </c>
      <c r="AC359" s="108">
        <f>IF(ISNA(VLOOKUP($R359&amp;AC$2,$K$3:$N$4001,3,0)),"",VLOOKUP($R359&amp;AC$2,$K$3:$N$4001,3,0))</f>
        <v>40766</v>
      </c>
      <c r="AD359" s="109">
        <f>IF(ISNA(VLOOKUP($R359&amp;AC$2,$K$3:$N$4001,4,0)),"",VLOOKUP($R359&amp;AC$2,$K$3:$N$4001,4,0))</f>
        <v>0.36</v>
      </c>
      <c r="AE359" s="108">
        <f>IF(ISNA(VLOOKUP($R359&amp;AE$2,$K$3:$N$4001,3,0)),"",VLOOKUP($R359&amp;AE$2,$K$3:$N$4001,3,0))</f>
        <v>40949</v>
      </c>
      <c r="AF359" s="109">
        <f>IF(ISNA(VLOOKUP($R359&amp;AE$2,$K$3:$N$4001,4,0)),"",VLOOKUP($R359&amp;AE$2,$K$3:$N$4001,4,0))</f>
        <v>0.38</v>
      </c>
      <c r="AG359" s="108">
        <f>IF(ISNA(VLOOKUP($R359&amp;AG$2,$K$3:$N$4001,3,0)),"",VLOOKUP($R359&amp;AG$2,$K$3:$N$4001,3,0))</f>
        <v>41134</v>
      </c>
      <c r="AH359" s="109">
        <f>IF(ISNA(VLOOKUP($R359&amp;AG$2,$K$3:$N$4001,4,0)),"",VLOOKUP($R359&amp;AG$2,$K$3:$N$4001,4,0))</f>
        <v>0.38</v>
      </c>
      <c r="AI359" s="108">
        <f>IF(ISNA(VLOOKUP($R359&amp;AI$2,$K$3:$N$4001,3,0)),"",VLOOKUP($R359&amp;AI$2,$K$3:$N$4001,3,0))</f>
        <v>41317</v>
      </c>
      <c r="AJ359" s="109">
        <f>IF(ISNA(VLOOKUP($R359&amp;AI$2,$K$3:$N$4001,4,0)),"",VLOOKUP($R359&amp;AI$2,$K$3:$N$4001,4,0))</f>
        <v>0.4</v>
      </c>
      <c r="AK359" s="108">
        <f>IF(ISNA(VLOOKUP($R359&amp;AK$2,$K$3:$N$4001,3,0)),"",VLOOKUP($R359&amp;AK$2,$K$3:$N$4001,3,0))</f>
        <v>41499</v>
      </c>
    </row>
    <row r="360" spans="3:37" x14ac:dyDescent="0.2">
      <c r="C360" s="96" t="str">
        <f t="shared" si="20"/>
        <v>BXB6</v>
      </c>
      <c r="D360" s="73" t="s">
        <v>101</v>
      </c>
      <c r="E360" s="100">
        <v>40801</v>
      </c>
      <c r="F360" s="101">
        <v>0.185</v>
      </c>
      <c r="G360" s="96">
        <f t="shared" si="21"/>
        <v>6</v>
      </c>
      <c r="I360" s="96"/>
      <c r="K360" t="str">
        <f t="shared" si="22"/>
        <v>BXB6</v>
      </c>
      <c r="L360" s="73" t="s">
        <v>101</v>
      </c>
      <c r="M360" s="72">
        <v>40801</v>
      </c>
      <c r="N360" s="84">
        <v>0.185</v>
      </c>
      <c r="O360" s="96">
        <f t="shared" si="23"/>
        <v>6</v>
      </c>
      <c r="Q360" s="96"/>
      <c r="R360" s="96" t="s">
        <v>230</v>
      </c>
      <c r="S360" s="106">
        <f>IF(ISNA(VLOOKUP($R360&amp;S$2,$C$3:$F$4001,3,0)),"",VLOOKUP($R360&amp;S$2,$C$3:$F$4001,3,0))</f>
        <v>39882</v>
      </c>
      <c r="T360" s="107">
        <f>IF(ISNA(VLOOKUP($R360&amp;S$2,$C$3:$F$4001,4,0)),"",VLOOKUP($R360&amp;S$2,$C$3:$F$4001,4,0))</f>
        <v>0.10400000000000001</v>
      </c>
      <c r="U360" s="106">
        <f>IF(ISNA(VLOOKUP($R360&amp;U$2,$C$3:$F$4001,3,0)),"",VLOOKUP($R360&amp;U$2,$C$3:$F$4001,3,0))</f>
        <v>40063</v>
      </c>
      <c r="V360" s="107">
        <f>IF(ISNA(VLOOKUP($R360&amp;U$2,$C$3:$F$4001,4,0)),"",VLOOKUP($R360&amp;U$2,$C$3:$F$4001,4,0))</f>
        <v>0.10400000000000001</v>
      </c>
      <c r="W360" s="106">
        <f>IF(ISNA(VLOOKUP($R360&amp;W$2,$C$3:$F$4001,3,0)),"",VLOOKUP($R360&amp;W$2,$C$3:$F$4001,3,0))</f>
        <v>40247</v>
      </c>
      <c r="X360" s="107">
        <f>IF(ISNA(VLOOKUP($R360&amp;W$2,$C$3:$F$4001,4,0)),"",VLOOKUP($R360&amp;W$2,$C$3:$F$4001,4,0))</f>
        <v>0.11349999999999999</v>
      </c>
      <c r="Y360" s="106">
        <f>IF(ISNA(VLOOKUP($R360&amp;Y$2,$C$3:$F$4001,3,0)),"",VLOOKUP($R360&amp;Y$2,$C$3:$F$4001,3,0))</f>
        <v>40428</v>
      </c>
      <c r="Z360" s="107">
        <f>IF(ISNA(VLOOKUP($R360&amp;Y$2,$C$3:$F$4001,4,0)),"",VLOOKUP($R360&amp;Y$2,$C$3:$F$4001,4,0))</f>
        <v>0.11349999999999999</v>
      </c>
      <c r="AA360" s="106">
        <f>IF(ISNA(VLOOKUP($R360&amp;AA$2,$C$3:$F$4001,3,0)),"",VLOOKUP($R360&amp;AA$2,$C$3:$F$4001,3,0))</f>
        <v>40612</v>
      </c>
      <c r="AB360" s="107">
        <f>IF(ISNA(VLOOKUP($R360&amp;AA$2,$C$3:$F$4001,4,0)),"",VLOOKUP($R360&amp;AA$2,$C$3:$F$4001,4,0))</f>
        <v>0.121</v>
      </c>
      <c r="AC360" s="106">
        <f>IF(ISNA(VLOOKUP($R360&amp;AC$2,$C$3:$F$4001,3,0)),"",VLOOKUP($R360&amp;AC$2,$C$3:$F$4001,3,0))</f>
        <v>40793</v>
      </c>
      <c r="AD360" s="107">
        <f>IF(ISNA(VLOOKUP($R360&amp;AC$2,$C$3:$F$4001,4,0)),"",VLOOKUP($R360&amp;AC$2,$C$3:$F$4001,4,0))</f>
        <v>0.121</v>
      </c>
      <c r="AE360" s="106">
        <f>IF(ISNA(VLOOKUP($R360&amp;AE$2,$C$3:$F$4001,3,0)),"",VLOOKUP($R360&amp;AE$2,$C$3:$F$4001,3,0))</f>
        <v>40980</v>
      </c>
      <c r="AF360" s="107">
        <f>IF(ISNA(VLOOKUP($R360&amp;AE$2,$C$3:$F$4001,4,0)),"",VLOOKUP($R360&amp;AE$2,$C$3:$F$4001,4,0))</f>
        <v>0.13</v>
      </c>
      <c r="AG360" s="106">
        <f>IF(ISNA(VLOOKUP($R360&amp;AG$2,$C$3:$F$4001,3,0)),"",VLOOKUP($R360&amp;AG$2,$C$3:$F$4001,3,0))</f>
        <v>41159</v>
      </c>
      <c r="AH360" s="107">
        <f>IF(ISNA(VLOOKUP($R360&amp;AG$2,$C$3:$F$4001,4,0)),"",VLOOKUP($R360&amp;AG$2,$C$3:$F$4001,4,0))</f>
        <v>0.13</v>
      </c>
      <c r="AI360" s="106">
        <f>IF(ISNA(VLOOKUP($R360&amp;AI$2,$C$3:$F$4001,3,0)),"",VLOOKUP($R360&amp;AI$2,$C$3:$F$4001,3,0))</f>
        <v>41345</v>
      </c>
      <c r="AJ360" s="107">
        <f>IF(ISNA(VLOOKUP($R360&amp;AI$2,$C$3:$F$4001,4,0)),"",VLOOKUP($R360&amp;AI$2,$C$3:$F$4001,4,0))</f>
        <v>0.15</v>
      </c>
      <c r="AK360" s="106">
        <f>IF(ISNA(VLOOKUP($R360&amp;AK$2,$C$3:$F$4001,3,0)),"",VLOOKUP($R360&amp;AK$2,$C$3:$F$4001,3,0))</f>
        <v>41526</v>
      </c>
    </row>
    <row r="361" spans="3:37" x14ac:dyDescent="0.2">
      <c r="C361" s="96" t="str">
        <f t="shared" si="20"/>
        <v>BXB7</v>
      </c>
      <c r="D361" s="73" t="s">
        <v>101</v>
      </c>
      <c r="E361" s="100">
        <v>40984</v>
      </c>
      <c r="F361" s="101">
        <v>0.19</v>
      </c>
      <c r="G361" s="96">
        <f t="shared" si="21"/>
        <v>7</v>
      </c>
      <c r="I361" s="96"/>
      <c r="K361" t="str">
        <f t="shared" si="22"/>
        <v>BXB7</v>
      </c>
      <c r="L361" s="73" t="s">
        <v>101</v>
      </c>
      <c r="M361" s="72">
        <v>40984</v>
      </c>
      <c r="N361" s="84">
        <v>0.19</v>
      </c>
      <c r="O361" s="96">
        <f t="shared" si="23"/>
        <v>7</v>
      </c>
      <c r="Q361" s="96"/>
      <c r="R361" s="96" t="str">
        <f>R360</f>
        <v>TTS</v>
      </c>
      <c r="S361" s="108">
        <f>IF(ISNA(VLOOKUP($R361&amp;S$2,$K$3:$N$4001,3,0)),"",VLOOKUP($R361&amp;S$2,$K$3:$N$4001,3,0))</f>
        <v>39882</v>
      </c>
      <c r="T361" s="109">
        <f>IF(ISNA(VLOOKUP($R361&amp;S$2,$K$3:$N$4001,4,0)),"",VLOOKUP($R361&amp;S$2,$K$3:$N$4001,4,0))</f>
        <v>0.10400000000000001</v>
      </c>
      <c r="U361" s="108">
        <f>IF(ISNA(VLOOKUP($R361&amp;U$2,$K$3:$N$4001,3,0)),"",VLOOKUP($R361&amp;U$2,$K$3:$N$4001,3,0))</f>
        <v>40063</v>
      </c>
      <c r="V361" s="109">
        <f>IF(ISNA(VLOOKUP($R361&amp;U$2,$K$3:$N$4001,4,0)),"",VLOOKUP($R361&amp;U$2,$K$3:$N$4001,4,0))</f>
        <v>0.10400000000000001</v>
      </c>
      <c r="W361" s="108">
        <f>IF(ISNA(VLOOKUP($R361&amp;W$2,$K$3:$N$4001,3,0)),"",VLOOKUP($R361&amp;W$2,$K$3:$N$4001,3,0))</f>
        <v>40247</v>
      </c>
      <c r="X361" s="109">
        <f>IF(ISNA(VLOOKUP($R361&amp;W$2,$K$3:$N$4001,4,0)),"",VLOOKUP($R361&amp;W$2,$K$3:$N$4001,4,0))</f>
        <v>0.11349999999999999</v>
      </c>
      <c r="Y361" s="108">
        <f>IF(ISNA(VLOOKUP($R361&amp;Y$2,$K$3:$N$4001,3,0)),"",VLOOKUP($R361&amp;Y$2,$K$3:$N$4001,3,0))</f>
        <v>40428</v>
      </c>
      <c r="Z361" s="109">
        <f>IF(ISNA(VLOOKUP($R361&amp;Y$2,$K$3:$N$4001,4,0)),"",VLOOKUP($R361&amp;Y$2,$K$3:$N$4001,4,0))</f>
        <v>0.11349999999999999</v>
      </c>
      <c r="AA361" s="108">
        <f>IF(ISNA(VLOOKUP($R361&amp;AA$2,$K$3:$N$4001,3,0)),"",VLOOKUP($R361&amp;AA$2,$K$3:$N$4001,3,0))</f>
        <v>40612</v>
      </c>
      <c r="AB361" s="109">
        <f>IF(ISNA(VLOOKUP($R361&amp;AA$2,$K$3:$N$4001,4,0)),"",VLOOKUP($R361&amp;AA$2,$K$3:$N$4001,4,0))</f>
        <v>0.121</v>
      </c>
      <c r="AC361" s="108">
        <f>IF(ISNA(VLOOKUP($R361&amp;AC$2,$K$3:$N$4001,3,0)),"",VLOOKUP($R361&amp;AC$2,$K$3:$N$4001,3,0))</f>
        <v>40793</v>
      </c>
      <c r="AD361" s="109">
        <f>IF(ISNA(VLOOKUP($R361&amp;AC$2,$K$3:$N$4001,4,0)),"",VLOOKUP($R361&amp;AC$2,$K$3:$N$4001,4,0))</f>
        <v>0.121</v>
      </c>
      <c r="AE361" s="108">
        <f>IF(ISNA(VLOOKUP($R361&amp;AE$2,$K$3:$N$4001,3,0)),"",VLOOKUP($R361&amp;AE$2,$K$3:$N$4001,3,0))</f>
        <v>40980</v>
      </c>
      <c r="AF361" s="109">
        <f>IF(ISNA(VLOOKUP($R361&amp;AE$2,$K$3:$N$4001,4,0)),"",VLOOKUP($R361&amp;AE$2,$K$3:$N$4001,4,0))</f>
        <v>0.13</v>
      </c>
      <c r="AG361" s="108">
        <f>IF(ISNA(VLOOKUP($R361&amp;AG$2,$K$3:$N$4001,3,0)),"",VLOOKUP($R361&amp;AG$2,$K$3:$N$4001,3,0))</f>
        <v>41159</v>
      </c>
      <c r="AH361" s="109">
        <f>IF(ISNA(VLOOKUP($R361&amp;AG$2,$K$3:$N$4001,4,0)),"",VLOOKUP($R361&amp;AG$2,$K$3:$N$4001,4,0))</f>
        <v>0.13</v>
      </c>
      <c r="AI361" s="108">
        <f>IF(ISNA(VLOOKUP($R361&amp;AI$2,$K$3:$N$4001,3,0)),"",VLOOKUP($R361&amp;AI$2,$K$3:$N$4001,3,0))</f>
        <v>41345</v>
      </c>
      <c r="AJ361" s="109">
        <f>IF(ISNA(VLOOKUP($R361&amp;AI$2,$K$3:$N$4001,4,0)),"",VLOOKUP($R361&amp;AI$2,$K$3:$N$4001,4,0))</f>
        <v>0.15</v>
      </c>
      <c r="AK361" s="108">
        <f>IF(ISNA(VLOOKUP($R361&amp;AK$2,$K$3:$N$4001,3,0)),"",VLOOKUP($R361&amp;AK$2,$K$3:$N$4001,3,0))</f>
        <v>41526</v>
      </c>
    </row>
    <row r="362" spans="3:37" x14ac:dyDescent="0.2">
      <c r="C362" s="96" t="str">
        <f t="shared" si="20"/>
        <v>BXB8</v>
      </c>
      <c r="D362" s="73" t="s">
        <v>101</v>
      </c>
      <c r="E362" s="100">
        <v>41169</v>
      </c>
      <c r="F362" s="101">
        <v>0.2</v>
      </c>
      <c r="G362" s="96">
        <f t="shared" si="21"/>
        <v>8</v>
      </c>
      <c r="I362" s="96"/>
      <c r="K362" t="str">
        <f t="shared" si="22"/>
        <v>BXB8</v>
      </c>
      <c r="L362" s="73" t="s">
        <v>101</v>
      </c>
      <c r="M362" s="72">
        <v>41169</v>
      </c>
      <c r="N362" s="84">
        <v>0.2</v>
      </c>
      <c r="O362" s="96">
        <f t="shared" si="23"/>
        <v>8</v>
      </c>
      <c r="Q362" s="96"/>
      <c r="R362" s="96" t="s">
        <v>220</v>
      </c>
      <c r="S362" s="106">
        <f>IF(ISNA(VLOOKUP($R362&amp;S$2,$C$3:$F$4001,3,0)),"",VLOOKUP($R362&amp;S$2,$C$3:$F$4001,3,0))</f>
        <v>39861</v>
      </c>
      <c r="T362" s="107">
        <f>IF(ISNA(VLOOKUP($R362&amp;S$2,$C$3:$F$4001,4,0)),"",VLOOKUP($R362&amp;S$2,$C$3:$F$4001,4,0))</f>
        <v>0.06</v>
      </c>
      <c r="U362" s="106">
        <f>IF(ISNA(VLOOKUP($R362&amp;U$2,$C$3:$F$4001,3,0)),"",VLOOKUP($R362&amp;U$2,$C$3:$F$4001,3,0))</f>
        <v>39952</v>
      </c>
      <c r="V362" s="107">
        <f>IF(ISNA(VLOOKUP($R362&amp;U$2,$C$3:$F$4001,4,0)),"",VLOOKUP($R362&amp;U$2,$C$3:$F$4001,4,0))</f>
        <v>0.06</v>
      </c>
      <c r="W362" s="106">
        <f>IF(ISNA(VLOOKUP($R362&amp;W$2,$C$3:$F$4001,3,0)),"",VLOOKUP($R362&amp;W$2,$C$3:$F$4001,3,0))</f>
        <v>40050</v>
      </c>
      <c r="X362" s="107">
        <f>IF(ISNA(VLOOKUP($R362&amp;W$2,$C$3:$F$4001,4,0)),"",VLOOKUP($R362&amp;W$2,$C$3:$F$4001,4,0))</f>
        <v>0.06</v>
      </c>
      <c r="Y362" s="106">
        <f>IF(ISNA(VLOOKUP($R362&amp;Y$2,$C$3:$F$4001,3,0)),"",VLOOKUP($R362&amp;Y$2,$C$3:$F$4001,3,0))</f>
        <v>40141</v>
      </c>
      <c r="Z362" s="107">
        <f>IF(ISNA(VLOOKUP($R362&amp;Y$2,$C$3:$F$4001,4,0)),"",VLOOKUP($R362&amp;Y$2,$C$3:$F$4001,4,0))</f>
        <v>0.06</v>
      </c>
      <c r="AA362" s="106">
        <f>IF(ISNA(VLOOKUP($R362&amp;AA$2,$C$3:$F$4001,3,0)),"",VLOOKUP($R362&amp;AA$2,$C$3:$F$4001,3,0))</f>
        <v>40226</v>
      </c>
      <c r="AB362" s="107">
        <f>IF(ISNA(VLOOKUP($R362&amp;AA$2,$C$3:$F$4001,4,0)),"",VLOOKUP($R362&amp;AA$2,$C$3:$F$4001,4,0))</f>
        <v>0.06</v>
      </c>
      <c r="AC362" s="106">
        <f>IF(ISNA(VLOOKUP($R362&amp;AC$2,$C$3:$F$4001,3,0)),"",VLOOKUP($R362&amp;AC$2,$C$3:$F$4001,3,0))</f>
        <v>40317</v>
      </c>
      <c r="AD362" s="107">
        <f>IF(ISNA(VLOOKUP($R362&amp;AC$2,$C$3:$F$4001,4,0)),"",VLOOKUP($R362&amp;AC$2,$C$3:$F$4001,4,0))</f>
        <v>0.06</v>
      </c>
      <c r="AE362" s="106">
        <f>IF(ISNA(VLOOKUP($R362&amp;AE$2,$C$3:$F$4001,3,0)),"",VLOOKUP($R362&amp;AE$2,$C$3:$F$4001,3,0))</f>
        <v>40415</v>
      </c>
      <c r="AF362" s="107">
        <f>IF(ISNA(VLOOKUP($R362&amp;AE$2,$C$3:$F$4001,4,0)),"",VLOOKUP($R362&amp;AE$2,$C$3:$F$4001,4,0))</f>
        <v>0.06</v>
      </c>
      <c r="AG362" s="106">
        <f>IF(ISNA(VLOOKUP($R362&amp;AG$2,$C$3:$F$4001,3,0)),"",VLOOKUP($R362&amp;AG$2,$C$3:$F$4001,3,0))</f>
        <v>40506</v>
      </c>
      <c r="AH362" s="107">
        <f>IF(ISNA(VLOOKUP($R362&amp;AG$2,$C$3:$F$4001,4,0)),"",VLOOKUP($R362&amp;AG$2,$C$3:$F$4001,4,0))</f>
        <v>7.0000000000000007E-2</v>
      </c>
      <c r="AI362" s="106">
        <f>IF(ISNA(VLOOKUP($R362&amp;AI$2,$C$3:$F$4001,3,0)),"",VLOOKUP($R362&amp;AI$2,$C$3:$F$4001,3,0))</f>
        <v>40591</v>
      </c>
      <c r="AJ362" s="107">
        <f>IF(ISNA(VLOOKUP($R362&amp;AI$2,$C$3:$F$4001,4,0)),"",VLOOKUP($R362&amp;AI$2,$C$3:$F$4001,4,0))</f>
        <v>7.0000000000000007E-2</v>
      </c>
      <c r="AK362" s="106">
        <f>IF(ISNA(VLOOKUP($R362&amp;AK$2,$C$3:$F$4001,3,0)),"",VLOOKUP($R362&amp;AK$2,$C$3:$F$4001,3,0))</f>
        <v>40682</v>
      </c>
    </row>
    <row r="363" spans="3:37" x14ac:dyDescent="0.2">
      <c r="C363" s="96" t="str">
        <f t="shared" si="20"/>
        <v>BXB9</v>
      </c>
      <c r="D363" s="73" t="s">
        <v>101</v>
      </c>
      <c r="E363" s="100">
        <v>41351</v>
      </c>
      <c r="F363" s="101">
        <v>0.21</v>
      </c>
      <c r="G363" s="96">
        <f t="shared" si="21"/>
        <v>9</v>
      </c>
      <c r="I363" s="96"/>
      <c r="K363" t="str">
        <f t="shared" si="22"/>
        <v>BXB9</v>
      </c>
      <c r="L363" s="73" t="s">
        <v>101</v>
      </c>
      <c r="M363" s="72">
        <v>41351</v>
      </c>
      <c r="N363" s="84">
        <v>0.21</v>
      </c>
      <c r="O363" s="96">
        <f t="shared" si="23"/>
        <v>9</v>
      </c>
      <c r="Q363" s="96"/>
      <c r="R363" s="96" t="str">
        <f>R362</f>
        <v>TEL</v>
      </c>
      <c r="S363" s="108">
        <f>IF(ISNA(VLOOKUP($R363&amp;S$2,$K$3:$N$4001,3,0)),"",VLOOKUP($R363&amp;S$2,$K$3:$N$4001,3,0))</f>
        <v>39861</v>
      </c>
      <c r="T363" s="109">
        <f>IF(ISNA(VLOOKUP($R363&amp;S$2,$K$3:$N$4001,4,0)),"",VLOOKUP($R363&amp;S$2,$K$3:$N$4001,4,0))</f>
        <v>0.06</v>
      </c>
      <c r="U363" s="108">
        <f>IF(ISNA(VLOOKUP($R363&amp;U$2,$K$3:$N$4001,3,0)),"",VLOOKUP($R363&amp;U$2,$K$3:$N$4001,3,0))</f>
        <v>39952</v>
      </c>
      <c r="V363" s="109">
        <f>IF(ISNA(VLOOKUP($R363&amp;U$2,$K$3:$N$4001,4,0)),"",VLOOKUP($R363&amp;U$2,$K$3:$N$4001,4,0))</f>
        <v>0.06</v>
      </c>
      <c r="W363" s="108">
        <f>IF(ISNA(VLOOKUP($R363&amp;W$2,$K$3:$N$4001,3,0)),"",VLOOKUP($R363&amp;W$2,$K$3:$N$4001,3,0))</f>
        <v>40050</v>
      </c>
      <c r="X363" s="109">
        <f>IF(ISNA(VLOOKUP($R363&amp;W$2,$K$3:$N$4001,4,0)),"",VLOOKUP($R363&amp;W$2,$K$3:$N$4001,4,0))</f>
        <v>0.06</v>
      </c>
      <c r="Y363" s="108">
        <f>IF(ISNA(VLOOKUP($R363&amp;Y$2,$K$3:$N$4001,3,0)),"",VLOOKUP($R363&amp;Y$2,$K$3:$N$4001,3,0))</f>
        <v>40141</v>
      </c>
      <c r="Z363" s="109">
        <f>IF(ISNA(VLOOKUP($R363&amp;Y$2,$K$3:$N$4001,4,0)),"",VLOOKUP($R363&amp;Y$2,$K$3:$N$4001,4,0))</f>
        <v>0.06</v>
      </c>
      <c r="AA363" s="108">
        <f>IF(ISNA(VLOOKUP($R363&amp;AA$2,$K$3:$N$4001,3,0)),"",VLOOKUP($R363&amp;AA$2,$K$3:$N$4001,3,0))</f>
        <v>40226</v>
      </c>
      <c r="AB363" s="109">
        <f>IF(ISNA(VLOOKUP($R363&amp;AA$2,$K$3:$N$4001,4,0)),"",VLOOKUP($R363&amp;AA$2,$K$3:$N$4001,4,0))</f>
        <v>0.06</v>
      </c>
      <c r="AC363" s="108">
        <f>IF(ISNA(VLOOKUP($R363&amp;AC$2,$K$3:$N$4001,3,0)),"",VLOOKUP($R363&amp;AC$2,$K$3:$N$4001,3,0))</f>
        <v>40317</v>
      </c>
      <c r="AD363" s="109">
        <f>IF(ISNA(VLOOKUP($R363&amp;AC$2,$K$3:$N$4001,4,0)),"",VLOOKUP($R363&amp;AC$2,$K$3:$N$4001,4,0))</f>
        <v>0.06</v>
      </c>
      <c r="AE363" s="108">
        <f>IF(ISNA(VLOOKUP($R363&amp;AE$2,$K$3:$N$4001,3,0)),"",VLOOKUP($R363&amp;AE$2,$K$3:$N$4001,3,0))</f>
        <v>40415</v>
      </c>
      <c r="AF363" s="109">
        <f>IF(ISNA(VLOOKUP($R363&amp;AE$2,$K$3:$N$4001,4,0)),"",VLOOKUP($R363&amp;AE$2,$K$3:$N$4001,4,0))</f>
        <v>0.06</v>
      </c>
      <c r="AG363" s="108">
        <f>IF(ISNA(VLOOKUP($R363&amp;AG$2,$K$3:$N$4001,3,0)),"",VLOOKUP($R363&amp;AG$2,$K$3:$N$4001,3,0))</f>
        <v>40506</v>
      </c>
      <c r="AH363" s="109">
        <f>IF(ISNA(VLOOKUP($R363&amp;AG$2,$K$3:$N$4001,4,0)),"",VLOOKUP($R363&amp;AG$2,$K$3:$N$4001,4,0))</f>
        <v>7.0000000000000007E-2</v>
      </c>
      <c r="AI363" s="108">
        <f>IF(ISNA(VLOOKUP($R363&amp;AI$2,$K$3:$N$4001,3,0)),"",VLOOKUP($R363&amp;AI$2,$K$3:$N$4001,3,0))</f>
        <v>40591</v>
      </c>
      <c r="AJ363" s="109">
        <f>IF(ISNA(VLOOKUP($R363&amp;AI$2,$K$3:$N$4001,4,0)),"",VLOOKUP($R363&amp;AI$2,$K$3:$N$4001,4,0))</f>
        <v>7.0000000000000007E-2</v>
      </c>
      <c r="AK363" s="108">
        <f>IF(ISNA(VLOOKUP($R363&amp;AK$2,$K$3:$N$4001,3,0)),"",VLOOKUP($R363&amp;AK$2,$K$3:$N$4001,3,0))</f>
        <v>40682</v>
      </c>
    </row>
    <row r="364" spans="3:37" x14ac:dyDescent="0.2">
      <c r="C364" s="96" t="str">
        <f t="shared" si="20"/>
        <v>BXB10</v>
      </c>
      <c r="D364" s="73" t="s">
        <v>101</v>
      </c>
      <c r="E364" s="100">
        <v>41534</v>
      </c>
      <c r="F364" s="101">
        <v>0.23</v>
      </c>
      <c r="G364" s="96">
        <f t="shared" si="21"/>
        <v>10</v>
      </c>
      <c r="I364" s="96"/>
      <c r="K364" t="str">
        <f t="shared" si="22"/>
        <v>BXB10</v>
      </c>
      <c r="L364" s="73" t="s">
        <v>101</v>
      </c>
      <c r="M364" s="72">
        <v>41534</v>
      </c>
      <c r="N364" s="84">
        <v>0.23</v>
      </c>
      <c r="O364" s="96">
        <f t="shared" si="23"/>
        <v>10</v>
      </c>
      <c r="Q364" s="96"/>
      <c r="R364" s="96" t="s">
        <v>223</v>
      </c>
      <c r="S364" s="106">
        <f>IF(ISNA(VLOOKUP($R364&amp;S$2,$C$3:$F$4001,3,0)),"",VLOOKUP($R364&amp;S$2,$C$3:$F$4001,3,0))</f>
        <v>39878</v>
      </c>
      <c r="T364" s="107">
        <f>IF(ISNA(VLOOKUP($R364&amp;S$2,$C$3:$F$4001,4,0)),"",VLOOKUP($R364&amp;S$2,$C$3:$F$4001,4,0))</f>
        <v>0.14000000000000001</v>
      </c>
      <c r="U364" s="106">
        <f>IF(ISNA(VLOOKUP($R364&amp;U$2,$C$3:$F$4001,3,0)),"",VLOOKUP($R364&amp;U$2,$C$3:$F$4001,3,0))</f>
        <v>40049</v>
      </c>
      <c r="V364" s="107">
        <f>IF(ISNA(VLOOKUP($R364&amp;U$2,$C$3:$F$4001,4,0)),"",VLOOKUP($R364&amp;U$2,$C$3:$F$4001,4,0))</f>
        <v>0.14000000000000001</v>
      </c>
      <c r="W364" s="106">
        <f>IF(ISNA(VLOOKUP($R364&amp;W$2,$C$3:$F$4001,3,0)),"",VLOOKUP($R364&amp;W$2,$C$3:$F$4001,3,0))</f>
        <v>40246</v>
      </c>
      <c r="X364" s="107">
        <f>IF(ISNA(VLOOKUP($R364&amp;W$2,$C$3:$F$4001,4,0)),"",VLOOKUP($R364&amp;W$2,$C$3:$F$4001,4,0))</f>
        <v>0.14000000000000001</v>
      </c>
      <c r="Y364" s="106">
        <f>IF(ISNA(VLOOKUP($R364&amp;Y$2,$C$3:$F$4001,3,0)),"",VLOOKUP($R364&amp;Y$2,$C$3:$F$4001,3,0))</f>
        <v>40414</v>
      </c>
      <c r="Z364" s="107">
        <f>IF(ISNA(VLOOKUP($R364&amp;Y$2,$C$3:$F$4001,4,0)),"",VLOOKUP($R364&amp;Y$2,$C$3:$F$4001,4,0))</f>
        <v>0.14000000000000001</v>
      </c>
      <c r="AA364" s="106">
        <f>IF(ISNA(VLOOKUP($R364&amp;AA$2,$C$3:$F$4001,3,0)),"",VLOOKUP($R364&amp;AA$2,$C$3:$F$4001,3,0))</f>
        <v>40611</v>
      </c>
      <c r="AB364" s="107">
        <f>IF(ISNA(VLOOKUP($R364&amp;AA$2,$C$3:$F$4001,4,0)),"",VLOOKUP($R364&amp;AA$2,$C$3:$F$4001,4,0))</f>
        <v>0.14000000000000001</v>
      </c>
      <c r="AC364" s="106">
        <f>IF(ISNA(VLOOKUP($R364&amp;AC$2,$C$3:$F$4001,3,0)),"",VLOOKUP($R364&amp;AC$2,$C$3:$F$4001,3,0))</f>
        <v>40779</v>
      </c>
      <c r="AD364" s="107">
        <f>IF(ISNA(VLOOKUP($R364&amp;AC$2,$C$3:$F$4001,4,0)),"",VLOOKUP($R364&amp;AC$2,$C$3:$F$4001,4,0))</f>
        <v>0.15</v>
      </c>
      <c r="AE364" s="106">
        <f>IF(ISNA(VLOOKUP($R364&amp;AE$2,$C$3:$F$4001,3,0)),"",VLOOKUP($R364&amp;AE$2,$C$3:$F$4001,3,0))</f>
        <v>40977</v>
      </c>
      <c r="AF364" s="107">
        <f>IF(ISNA(VLOOKUP($R364&amp;AE$2,$C$3:$F$4001,4,0)),"",VLOOKUP($R364&amp;AE$2,$C$3:$F$4001,4,0))</f>
        <v>0.14000000000000001</v>
      </c>
      <c r="AG364" s="106">
        <f>IF(ISNA(VLOOKUP($R364&amp;AG$2,$C$3:$F$4001,3,0)),"",VLOOKUP($R364&amp;AG$2,$C$3:$F$4001,3,0))</f>
        <v>41145</v>
      </c>
      <c r="AH364" s="107">
        <f>IF(ISNA(VLOOKUP($R364&amp;AG$2,$C$3:$F$4001,4,0)),"",VLOOKUP($R364&amp;AG$2,$C$3:$F$4001,4,0))</f>
        <v>0.15</v>
      </c>
      <c r="AI364" s="106">
        <f>IF(ISNA(VLOOKUP($R364&amp;AI$2,$C$3:$F$4001,3,0)),"",VLOOKUP($R364&amp;AI$2,$C$3:$F$4001,3,0))</f>
        <v>41344</v>
      </c>
      <c r="AJ364" s="107">
        <f>IF(ISNA(VLOOKUP($R364&amp;AI$2,$C$3:$F$4001,4,0)),"",VLOOKUP($R364&amp;AI$2,$C$3:$F$4001,4,0))</f>
        <v>0.15</v>
      </c>
      <c r="AK364" s="106">
        <f>IF(ISNA(VLOOKUP($R364&amp;AK$2,$C$3:$F$4001,3,0)),"",VLOOKUP($R364&amp;AK$2,$C$3:$F$4001,3,0))</f>
        <v>41512</v>
      </c>
    </row>
    <row r="365" spans="3:37" x14ac:dyDescent="0.2">
      <c r="C365" s="96" t="str">
        <f t="shared" si="20"/>
        <v>CAB1</v>
      </c>
      <c r="D365" s="73" t="s">
        <v>102</v>
      </c>
      <c r="E365" s="100">
        <v>39897</v>
      </c>
      <c r="F365" s="101">
        <v>0.19</v>
      </c>
      <c r="G365" s="96">
        <f t="shared" si="21"/>
        <v>1</v>
      </c>
      <c r="I365" s="96"/>
      <c r="K365" t="str">
        <f t="shared" si="22"/>
        <v>CAB1</v>
      </c>
      <c r="L365" s="73" t="s">
        <v>102</v>
      </c>
      <c r="M365" s="72">
        <v>39897</v>
      </c>
      <c r="N365" s="84">
        <v>0.19</v>
      </c>
      <c r="O365" s="96">
        <f t="shared" si="23"/>
        <v>1</v>
      </c>
      <c r="Q365" s="96"/>
      <c r="R365" s="96" t="str">
        <f>R364</f>
        <v>TLS</v>
      </c>
      <c r="S365" s="108">
        <f>IF(ISNA(VLOOKUP($R365&amp;S$2,$K$3:$N$4001,3,0)),"",VLOOKUP($R365&amp;S$2,$K$3:$N$4001,3,0))</f>
        <v>39878</v>
      </c>
      <c r="T365" s="109">
        <f>IF(ISNA(VLOOKUP($R365&amp;S$2,$K$3:$N$4001,4,0)),"",VLOOKUP($R365&amp;S$2,$K$3:$N$4001,4,0))</f>
        <v>0.14000000000000001</v>
      </c>
      <c r="U365" s="108">
        <f>IF(ISNA(VLOOKUP($R365&amp;U$2,$K$3:$N$4001,3,0)),"",VLOOKUP($R365&amp;U$2,$K$3:$N$4001,3,0))</f>
        <v>40049</v>
      </c>
      <c r="V365" s="109">
        <f>IF(ISNA(VLOOKUP($R365&amp;U$2,$K$3:$N$4001,4,0)),"",VLOOKUP($R365&amp;U$2,$K$3:$N$4001,4,0))</f>
        <v>0.14000000000000001</v>
      </c>
      <c r="W365" s="108">
        <f>IF(ISNA(VLOOKUP($R365&amp;W$2,$K$3:$N$4001,3,0)),"",VLOOKUP($R365&amp;W$2,$K$3:$N$4001,3,0))</f>
        <v>40246</v>
      </c>
      <c r="X365" s="109">
        <f>IF(ISNA(VLOOKUP($R365&amp;W$2,$K$3:$N$4001,4,0)),"",VLOOKUP($R365&amp;W$2,$K$3:$N$4001,4,0))</f>
        <v>0.14000000000000001</v>
      </c>
      <c r="Y365" s="108">
        <f>IF(ISNA(VLOOKUP($R365&amp;Y$2,$K$3:$N$4001,3,0)),"",VLOOKUP($R365&amp;Y$2,$K$3:$N$4001,3,0))</f>
        <v>40414</v>
      </c>
      <c r="Z365" s="109">
        <f>IF(ISNA(VLOOKUP($R365&amp;Y$2,$K$3:$N$4001,4,0)),"",VLOOKUP($R365&amp;Y$2,$K$3:$N$4001,4,0))</f>
        <v>0.14000000000000001</v>
      </c>
      <c r="AA365" s="108">
        <f>IF(ISNA(VLOOKUP($R365&amp;AA$2,$K$3:$N$4001,3,0)),"",VLOOKUP($R365&amp;AA$2,$K$3:$N$4001,3,0))</f>
        <v>40611</v>
      </c>
      <c r="AB365" s="109">
        <f>IF(ISNA(VLOOKUP($R365&amp;AA$2,$K$3:$N$4001,4,0)),"",VLOOKUP($R365&amp;AA$2,$K$3:$N$4001,4,0))</f>
        <v>0.14000000000000001</v>
      </c>
      <c r="AC365" s="108">
        <f>IF(ISNA(VLOOKUP($R365&amp;AC$2,$K$3:$N$4001,3,0)),"",VLOOKUP($R365&amp;AC$2,$K$3:$N$4001,3,0))</f>
        <v>40779</v>
      </c>
      <c r="AD365" s="109">
        <f>IF(ISNA(VLOOKUP($R365&amp;AC$2,$K$3:$N$4001,4,0)),"",VLOOKUP($R365&amp;AC$2,$K$3:$N$4001,4,0))</f>
        <v>0.15</v>
      </c>
      <c r="AE365" s="108">
        <f>IF(ISNA(VLOOKUP($R365&amp;AE$2,$K$3:$N$4001,3,0)),"",VLOOKUP($R365&amp;AE$2,$K$3:$N$4001,3,0))</f>
        <v>40977</v>
      </c>
      <c r="AF365" s="109">
        <f>IF(ISNA(VLOOKUP($R365&amp;AE$2,$K$3:$N$4001,4,0)),"",VLOOKUP($R365&amp;AE$2,$K$3:$N$4001,4,0))</f>
        <v>0.14000000000000001</v>
      </c>
      <c r="AG365" s="108">
        <f>IF(ISNA(VLOOKUP($R365&amp;AG$2,$K$3:$N$4001,3,0)),"",VLOOKUP($R365&amp;AG$2,$K$3:$N$4001,3,0))</f>
        <v>41145</v>
      </c>
      <c r="AH365" s="109">
        <f>IF(ISNA(VLOOKUP($R365&amp;AG$2,$K$3:$N$4001,4,0)),"",VLOOKUP($R365&amp;AG$2,$K$3:$N$4001,4,0))</f>
        <v>0.15</v>
      </c>
      <c r="AI365" s="108">
        <f>IF(ISNA(VLOOKUP($R365&amp;AI$2,$K$3:$N$4001,3,0)),"",VLOOKUP($R365&amp;AI$2,$K$3:$N$4001,3,0))</f>
        <v>41344</v>
      </c>
      <c r="AJ365" s="109">
        <f>IF(ISNA(VLOOKUP($R365&amp;AI$2,$K$3:$N$4001,4,0)),"",VLOOKUP($R365&amp;AI$2,$K$3:$N$4001,4,0))</f>
        <v>0.15</v>
      </c>
      <c r="AK365" s="108">
        <f>IF(ISNA(VLOOKUP($R365&amp;AK$2,$K$3:$N$4001,3,0)),"",VLOOKUP($R365&amp;AK$2,$K$3:$N$4001,3,0))</f>
        <v>41512</v>
      </c>
    </row>
    <row r="366" spans="3:37" x14ac:dyDescent="0.2">
      <c r="C366" s="96" t="str">
        <f t="shared" si="20"/>
        <v>CAB2</v>
      </c>
      <c r="D366" s="73" t="s">
        <v>102</v>
      </c>
      <c r="E366" s="100">
        <v>40079</v>
      </c>
      <c r="F366" s="101">
        <v>0.19</v>
      </c>
      <c r="G366" s="96">
        <f t="shared" si="21"/>
        <v>2</v>
      </c>
      <c r="I366" s="96"/>
      <c r="K366" t="str">
        <f t="shared" si="22"/>
        <v>CAB2</v>
      </c>
      <c r="L366" s="73" t="s">
        <v>102</v>
      </c>
      <c r="M366" s="72">
        <v>40079</v>
      </c>
      <c r="N366" s="84">
        <v>0.19</v>
      </c>
      <c r="O366" s="96">
        <f t="shared" si="23"/>
        <v>2</v>
      </c>
      <c r="Q366" s="96"/>
      <c r="R366" s="96" t="s">
        <v>221</v>
      </c>
      <c r="S366" s="106">
        <f>IF(ISNA(VLOOKUP($R366&amp;S$2,$C$3:$F$4001,3,0)),"",VLOOKUP($R366&amp;S$2,$C$3:$F$4001,3,0))</f>
        <v>39994</v>
      </c>
      <c r="T366" s="107">
        <f>IF(ISNA(VLOOKUP($R366&amp;S$2,$C$3:$F$4001,4,0)),"",VLOOKUP($R366&amp;S$2,$C$3:$F$4001,4,0))</f>
        <v>0.02</v>
      </c>
      <c r="U366" s="106">
        <f>IF(ISNA(VLOOKUP($R366&amp;U$2,$C$3:$F$4001,3,0)),"",VLOOKUP($R366&amp;U$2,$C$3:$F$4001,3,0))</f>
        <v>40170</v>
      </c>
      <c r="V366" s="107">
        <f>IF(ISNA(VLOOKUP($R366&amp;U$2,$C$3:$F$4001,4,0)),"",VLOOKUP($R366&amp;U$2,$C$3:$F$4001,4,0))</f>
        <v>2.5000000000000001E-2</v>
      </c>
      <c r="W366" s="106">
        <f>IF(ISNA(VLOOKUP($R366&amp;W$2,$C$3:$F$4001,3,0)),"",VLOOKUP($R366&amp;W$2,$C$3:$F$4001,3,0))</f>
        <v>40359</v>
      </c>
      <c r="X366" s="107">
        <f>IF(ISNA(VLOOKUP($R366&amp;W$2,$C$3:$F$4001,4,0)),"",VLOOKUP($R366&amp;W$2,$C$3:$F$4001,4,0))</f>
        <v>2.5000000000000001E-2</v>
      </c>
      <c r="Y366" s="106">
        <f>IF(ISNA(VLOOKUP($R366&amp;Y$2,$C$3:$F$4001,3,0)),"",VLOOKUP($R366&amp;Y$2,$C$3:$F$4001,3,0))</f>
        <v>40536</v>
      </c>
      <c r="Z366" s="107">
        <f>IF(ISNA(VLOOKUP($R366&amp;Y$2,$C$3:$F$4001,4,0)),"",VLOOKUP($R366&amp;Y$2,$C$3:$F$4001,4,0))</f>
        <v>3.6000000000000004E-2</v>
      </c>
      <c r="AA366" s="106">
        <f>IF(ISNA(VLOOKUP($R366&amp;AA$2,$C$3:$F$4001,3,0)),"",VLOOKUP($R366&amp;AA$2,$C$3:$F$4001,3,0))</f>
        <v>40724</v>
      </c>
      <c r="AB366" s="107">
        <f>IF(ISNA(VLOOKUP($R366&amp;AA$2,$C$3:$F$4001,4,0)),"",VLOOKUP($R366&amp;AA$2,$C$3:$F$4001,4,0))</f>
        <v>3.6000000000000004E-2</v>
      </c>
      <c r="AC366" s="106">
        <f>IF(ISNA(VLOOKUP($R366&amp;AC$2,$C$3:$F$4001,3,0)),"",VLOOKUP($R366&amp;AC$2,$C$3:$F$4001,3,0))</f>
        <v>40904</v>
      </c>
      <c r="AD366" s="107">
        <f>IF(ISNA(VLOOKUP($R366&amp;AC$2,$C$3:$F$4001,4,0)),"",VLOOKUP($R366&amp;AC$2,$C$3:$F$4001,4,0))</f>
        <v>0.02</v>
      </c>
      <c r="AE366" s="106">
        <f>IF(ISNA(VLOOKUP($R366&amp;AE$2,$C$3:$F$4001,3,0)),"",VLOOKUP($R366&amp;AE$2,$C$3:$F$4001,3,0))</f>
        <v>41092</v>
      </c>
      <c r="AF366" s="107">
        <f>IF(ISNA(VLOOKUP($R366&amp;AE$2,$C$3:$F$4001,4,0)),"",VLOOKUP($R366&amp;AE$2,$C$3:$F$4001,4,0))</f>
        <v>3.6000000000000004E-2</v>
      </c>
      <c r="AG366" s="106">
        <f>IF(ISNA(VLOOKUP($R366&amp;AG$2,$C$3:$F$4001,3,0)),"",VLOOKUP($R366&amp;AG$2,$C$3:$F$4001,3,0))</f>
        <v>41270</v>
      </c>
      <c r="AH366" s="107">
        <f>IF(ISNA(VLOOKUP($R366&amp;AG$2,$C$3:$F$4001,4,0)),"",VLOOKUP($R366&amp;AG$2,$C$3:$F$4001,4,0))</f>
        <v>3.5000000000000003E-2</v>
      </c>
      <c r="AI366" s="106">
        <f>IF(ISNA(VLOOKUP($R366&amp;AI$2,$C$3:$F$4001,3,0)),"",VLOOKUP($R366&amp;AI$2,$C$3:$F$4001,3,0))</f>
        <v>41457</v>
      </c>
      <c r="AJ366" s="107">
        <f>IF(ISNA(VLOOKUP($R366&amp;AI$2,$C$3:$F$4001,4,0)),"",VLOOKUP($R366&amp;AI$2,$C$3:$F$4001,4,0))</f>
        <v>6.3E-2</v>
      </c>
      <c r="AK366" s="106" t="str">
        <f>IF(ISNA(VLOOKUP($R366&amp;AK$2,$C$3:$F$4001,3,0)),"",VLOOKUP($R366&amp;AK$2,$C$3:$F$4001,3,0))</f>
        <v/>
      </c>
    </row>
    <row r="367" spans="3:37" x14ac:dyDescent="0.2">
      <c r="C367" s="96" t="str">
        <f t="shared" si="20"/>
        <v>CAB3</v>
      </c>
      <c r="D367" s="73" t="s">
        <v>102</v>
      </c>
      <c r="E367" s="100">
        <v>40262</v>
      </c>
      <c r="F367" s="101">
        <v>0.20499999999999999</v>
      </c>
      <c r="G367" s="96">
        <f t="shared" si="21"/>
        <v>3</v>
      </c>
      <c r="I367" s="96"/>
      <c r="K367" t="str">
        <f t="shared" si="22"/>
        <v>CAB3</v>
      </c>
      <c r="L367" s="73" t="s">
        <v>102</v>
      </c>
      <c r="M367" s="72">
        <v>40262</v>
      </c>
      <c r="N367" s="84">
        <v>0.20499999999999999</v>
      </c>
      <c r="O367" s="96">
        <f t="shared" si="23"/>
        <v>3</v>
      </c>
      <c r="Q367" s="96"/>
      <c r="R367" s="96" t="str">
        <f>R366</f>
        <v>TEN</v>
      </c>
      <c r="S367" s="108">
        <f>IF(ISNA(VLOOKUP($R367&amp;S$2,$K$3:$N$4001,3,0)),"",VLOOKUP($R367&amp;S$2,$K$3:$N$4001,3,0))</f>
        <v>39994</v>
      </c>
      <c r="T367" s="109">
        <f>IF(ISNA(VLOOKUP($R367&amp;S$2,$K$3:$N$4001,4,0)),"",VLOOKUP($R367&amp;S$2,$K$3:$N$4001,4,0))</f>
        <v>0.02</v>
      </c>
      <c r="U367" s="108">
        <f>IF(ISNA(VLOOKUP($R367&amp;U$2,$K$3:$N$4001,3,0)),"",VLOOKUP($R367&amp;U$2,$K$3:$N$4001,3,0))</f>
        <v>40170</v>
      </c>
      <c r="V367" s="109">
        <f>IF(ISNA(VLOOKUP($R367&amp;U$2,$K$3:$N$4001,4,0)),"",VLOOKUP($R367&amp;U$2,$K$3:$N$4001,4,0))</f>
        <v>2.5000000000000001E-2</v>
      </c>
      <c r="W367" s="108">
        <f>IF(ISNA(VLOOKUP($R367&amp;W$2,$K$3:$N$4001,3,0)),"",VLOOKUP($R367&amp;W$2,$K$3:$N$4001,3,0))</f>
        <v>40359</v>
      </c>
      <c r="X367" s="109">
        <f>IF(ISNA(VLOOKUP($R367&amp;W$2,$K$3:$N$4001,4,0)),"",VLOOKUP($R367&amp;W$2,$K$3:$N$4001,4,0))</f>
        <v>2.5000000000000001E-2</v>
      </c>
      <c r="Y367" s="108">
        <f>IF(ISNA(VLOOKUP($R367&amp;Y$2,$K$3:$N$4001,3,0)),"",VLOOKUP($R367&amp;Y$2,$K$3:$N$4001,3,0))</f>
        <v>40536</v>
      </c>
      <c r="Z367" s="109">
        <f>IF(ISNA(VLOOKUP($R367&amp;Y$2,$K$3:$N$4001,4,0)),"",VLOOKUP($R367&amp;Y$2,$K$3:$N$4001,4,0))</f>
        <v>3.6000000000000004E-2</v>
      </c>
      <c r="AA367" s="108">
        <f>IF(ISNA(VLOOKUP($R367&amp;AA$2,$K$3:$N$4001,3,0)),"",VLOOKUP($R367&amp;AA$2,$K$3:$N$4001,3,0))</f>
        <v>40724</v>
      </c>
      <c r="AB367" s="109">
        <f>IF(ISNA(VLOOKUP($R367&amp;AA$2,$K$3:$N$4001,4,0)),"",VLOOKUP($R367&amp;AA$2,$K$3:$N$4001,4,0))</f>
        <v>3.6000000000000004E-2</v>
      </c>
      <c r="AC367" s="108">
        <f>IF(ISNA(VLOOKUP($R367&amp;AC$2,$K$3:$N$4001,3,0)),"",VLOOKUP($R367&amp;AC$2,$K$3:$N$4001,3,0))</f>
        <v>40904</v>
      </c>
      <c r="AD367" s="109">
        <f>IF(ISNA(VLOOKUP($R367&amp;AC$2,$K$3:$N$4001,4,0)),"",VLOOKUP($R367&amp;AC$2,$K$3:$N$4001,4,0))</f>
        <v>0.02</v>
      </c>
      <c r="AE367" s="108">
        <f>IF(ISNA(VLOOKUP($R367&amp;AE$2,$K$3:$N$4001,3,0)),"",VLOOKUP($R367&amp;AE$2,$K$3:$N$4001,3,0))</f>
        <v>41092</v>
      </c>
      <c r="AF367" s="109">
        <f>IF(ISNA(VLOOKUP($R367&amp;AE$2,$K$3:$N$4001,4,0)),"",VLOOKUP($R367&amp;AE$2,$K$3:$N$4001,4,0))</f>
        <v>3.6000000000000004E-2</v>
      </c>
      <c r="AG367" s="108">
        <f>IF(ISNA(VLOOKUP($R367&amp;AG$2,$K$3:$N$4001,3,0)),"",VLOOKUP($R367&amp;AG$2,$K$3:$N$4001,3,0))</f>
        <v>41270</v>
      </c>
      <c r="AH367" s="109">
        <f>IF(ISNA(VLOOKUP($R367&amp;AG$2,$K$3:$N$4001,4,0)),"",VLOOKUP($R367&amp;AG$2,$K$3:$N$4001,4,0))</f>
        <v>3.5000000000000003E-2</v>
      </c>
      <c r="AI367" s="108">
        <f>IF(ISNA(VLOOKUP($R367&amp;AI$2,$K$3:$N$4001,3,0)),"",VLOOKUP($R367&amp;AI$2,$K$3:$N$4001,3,0))</f>
        <v>41457</v>
      </c>
      <c r="AJ367" s="109">
        <f>IF(ISNA(VLOOKUP($R367&amp;AI$2,$K$3:$N$4001,4,0)),"",VLOOKUP($R367&amp;AI$2,$K$3:$N$4001,4,0))</f>
        <v>6.3E-2</v>
      </c>
      <c r="AK367" s="108" t="str">
        <f>IF(ISNA(VLOOKUP($R367&amp;AK$2,$K$3:$N$4001,3,0)),"",VLOOKUP($R367&amp;AK$2,$K$3:$N$4001,3,0))</f>
        <v/>
      </c>
    </row>
    <row r="368" spans="3:37" x14ac:dyDescent="0.2">
      <c r="C368" s="96" t="str">
        <f t="shared" si="20"/>
        <v>CAB4</v>
      </c>
      <c r="D368" s="73" t="s">
        <v>102</v>
      </c>
      <c r="E368" s="100">
        <v>40444</v>
      </c>
      <c r="F368" s="101">
        <v>0.20499999999999999</v>
      </c>
      <c r="G368" s="96">
        <f t="shared" si="21"/>
        <v>4</v>
      </c>
      <c r="I368" s="96"/>
      <c r="K368" t="str">
        <f t="shared" si="22"/>
        <v>CAB4</v>
      </c>
      <c r="L368" s="73" t="s">
        <v>102</v>
      </c>
      <c r="M368" s="72">
        <v>40444</v>
      </c>
      <c r="N368" s="84">
        <v>0.20499999999999999</v>
      </c>
      <c r="O368" s="96">
        <f t="shared" si="23"/>
        <v>4</v>
      </c>
      <c r="Q368" s="96"/>
      <c r="R368" s="96" t="s">
        <v>222</v>
      </c>
      <c r="S368" s="106">
        <f>IF(ISNA(VLOOKUP($R368&amp;S$2,$C$3:$F$4001,3,0)),"",VLOOKUP($R368&amp;S$2,$C$3:$F$4001,3,0))</f>
        <v>40158</v>
      </c>
      <c r="T368" s="107">
        <f>IF(ISNA(VLOOKUP($R368&amp;S$2,$C$3:$F$4001,4,0)),"",VLOOKUP($R368&amp;S$2,$C$3:$F$4001,4,0))</f>
        <v>1.4999999999999999E-2</v>
      </c>
      <c r="U368" s="106">
        <f>IF(ISNA(VLOOKUP($R368&amp;U$2,$C$3:$F$4001,3,0)),"",VLOOKUP($R368&amp;U$2,$C$3:$F$4001,3,0))</f>
        <v>40415</v>
      </c>
      <c r="V368" s="107">
        <f>IF(ISNA(VLOOKUP($R368&amp;U$2,$C$3:$F$4001,4,0)),"",VLOOKUP($R368&amp;U$2,$C$3:$F$4001,4,0))</f>
        <v>1.6E-2</v>
      </c>
      <c r="W368" s="106">
        <f>IF(ISNA(VLOOKUP($R368&amp;W$2,$C$3:$F$4001,3,0)),"",VLOOKUP($R368&amp;W$2,$C$3:$F$4001,3,0))</f>
        <v>40525</v>
      </c>
      <c r="X368" s="107">
        <f>IF(ISNA(VLOOKUP($R368&amp;W$2,$C$3:$F$4001,4,0)),"",VLOOKUP($R368&amp;W$2,$C$3:$F$4001,4,0))</f>
        <v>1.8000000000000002E-2</v>
      </c>
      <c r="Y368" s="106">
        <f>IF(ISNA(VLOOKUP($R368&amp;Y$2,$C$3:$F$4001,3,0)),"",VLOOKUP($R368&amp;Y$2,$C$3:$F$4001,3,0))</f>
        <v>40780</v>
      </c>
      <c r="Z368" s="107">
        <f>IF(ISNA(VLOOKUP($R368&amp;Y$2,$C$3:$F$4001,4,0)),"",VLOOKUP($R368&amp;Y$2,$C$3:$F$4001,4,0))</f>
        <v>1.9E-2</v>
      </c>
      <c r="AA368" s="106">
        <f>IF(ISNA(VLOOKUP($R368&amp;AA$2,$C$3:$F$4001,3,0)),"",VLOOKUP($R368&amp;AA$2,$C$3:$F$4001,3,0))</f>
        <v>40890</v>
      </c>
      <c r="AB368" s="107">
        <f>IF(ISNA(VLOOKUP($R368&amp;AA$2,$C$3:$F$4001,4,0)),"",VLOOKUP($R368&amp;AA$2,$C$3:$F$4001,4,0))</f>
        <v>0.02</v>
      </c>
      <c r="AC368" s="106">
        <f>IF(ISNA(VLOOKUP($R368&amp;AC$2,$C$3:$F$4001,3,0)),"",VLOOKUP($R368&amp;AC$2,$C$3:$F$4001,3,0))</f>
        <v>41148</v>
      </c>
      <c r="AD368" s="107">
        <f>IF(ISNA(VLOOKUP($R368&amp;AC$2,$C$3:$F$4001,4,0)),"",VLOOKUP($R368&amp;AC$2,$C$3:$F$4001,4,0))</f>
        <v>2.2000000000000002E-2</v>
      </c>
      <c r="AE368" s="106">
        <f>IF(ISNA(VLOOKUP($R368&amp;AE$2,$C$3:$F$4001,3,0)),"",VLOOKUP($R368&amp;AE$2,$C$3:$F$4001,3,0))</f>
        <v>41256</v>
      </c>
      <c r="AF368" s="107">
        <f>IF(ISNA(VLOOKUP($R368&amp;AE$2,$C$3:$F$4001,4,0)),"",VLOOKUP($R368&amp;AE$2,$C$3:$F$4001,4,0))</f>
        <v>2.5000000000000001E-2</v>
      </c>
      <c r="AG368" s="106">
        <f>IF(ISNA(VLOOKUP($R368&amp;AG$2,$C$3:$F$4001,3,0)),"",VLOOKUP($R368&amp;AG$2,$C$3:$F$4001,3,0))</f>
        <v>41513</v>
      </c>
      <c r="AH368" s="107">
        <f>IF(ISNA(VLOOKUP($R368&amp;AG$2,$C$3:$F$4001,4,0)),"",VLOOKUP($R368&amp;AG$2,$C$3:$F$4001,4,0))</f>
        <v>1.8700000000000001E-2</v>
      </c>
      <c r="AI368" s="106">
        <f>IF(ISNA(VLOOKUP($R368&amp;AI$2,$C$3:$F$4001,3,0)),"",VLOOKUP($R368&amp;AI$2,$C$3:$F$4001,3,0))</f>
        <v>41621</v>
      </c>
      <c r="AJ368" s="107">
        <f>IF(ISNA(VLOOKUP($R368&amp;AI$2,$C$3:$F$4001,4,0)),"",VLOOKUP($R368&amp;AI$2,$C$3:$F$4001,4,0))</f>
        <v>2.1299999999999999E-2</v>
      </c>
      <c r="AK368" s="106" t="str">
        <f>IF(ISNA(VLOOKUP($R368&amp;AK$2,$C$3:$F$4001,3,0)),"",VLOOKUP($R368&amp;AK$2,$C$3:$F$4001,3,0))</f>
        <v/>
      </c>
    </row>
    <row r="369" spans="3:37" x14ac:dyDescent="0.2">
      <c r="C369" s="96" t="str">
        <f t="shared" si="20"/>
        <v>CAB5</v>
      </c>
      <c r="D369" s="73" t="s">
        <v>102</v>
      </c>
      <c r="E369" s="100">
        <v>40627</v>
      </c>
      <c r="F369" s="101">
        <v>0.22550000000000001</v>
      </c>
      <c r="G369" s="96">
        <f t="shared" si="21"/>
        <v>5</v>
      </c>
      <c r="I369" s="96"/>
      <c r="K369" t="str">
        <f t="shared" si="22"/>
        <v>CAB5</v>
      </c>
      <c r="L369" s="73" t="s">
        <v>102</v>
      </c>
      <c r="M369" s="72">
        <v>40627</v>
      </c>
      <c r="N369" s="84">
        <v>0.22550000000000001</v>
      </c>
      <c r="O369" s="96">
        <f t="shared" si="23"/>
        <v>5</v>
      </c>
      <c r="Q369" s="96"/>
      <c r="R369" s="96" t="str">
        <f>R368</f>
        <v>TIM</v>
      </c>
      <c r="S369" s="108">
        <f>IF(ISNA(VLOOKUP($R369&amp;S$2,$K$3:$N$4001,3,0)),"",VLOOKUP($R369&amp;S$2,$K$3:$N$4001,3,0))</f>
        <v>40158</v>
      </c>
      <c r="T369" s="109">
        <f>IF(ISNA(VLOOKUP($R369&amp;S$2,$K$3:$N$4001,4,0)),"",VLOOKUP($R369&amp;S$2,$K$3:$N$4001,4,0))</f>
        <v>1.4999999999999999E-2</v>
      </c>
      <c r="U369" s="108">
        <f>IF(ISNA(VLOOKUP($R369&amp;U$2,$K$3:$N$4001,3,0)),"",VLOOKUP($R369&amp;U$2,$K$3:$N$4001,3,0))</f>
        <v>40415</v>
      </c>
      <c r="V369" s="109">
        <f>IF(ISNA(VLOOKUP($R369&amp;U$2,$K$3:$N$4001,4,0)),"",VLOOKUP($R369&amp;U$2,$K$3:$N$4001,4,0))</f>
        <v>1.6E-2</v>
      </c>
      <c r="W369" s="108">
        <f>IF(ISNA(VLOOKUP($R369&amp;W$2,$K$3:$N$4001,3,0)),"",VLOOKUP($R369&amp;W$2,$K$3:$N$4001,3,0))</f>
        <v>40525</v>
      </c>
      <c r="X369" s="109">
        <f>IF(ISNA(VLOOKUP($R369&amp;W$2,$K$3:$N$4001,4,0)),"",VLOOKUP($R369&amp;W$2,$K$3:$N$4001,4,0))</f>
        <v>1.8000000000000002E-2</v>
      </c>
      <c r="Y369" s="108">
        <f>IF(ISNA(VLOOKUP($R369&amp;Y$2,$K$3:$N$4001,3,0)),"",VLOOKUP($R369&amp;Y$2,$K$3:$N$4001,3,0))</f>
        <v>40780</v>
      </c>
      <c r="Z369" s="109">
        <f>IF(ISNA(VLOOKUP($R369&amp;Y$2,$K$3:$N$4001,4,0)),"",VLOOKUP($R369&amp;Y$2,$K$3:$N$4001,4,0))</f>
        <v>1.9E-2</v>
      </c>
      <c r="AA369" s="108">
        <f>IF(ISNA(VLOOKUP($R369&amp;AA$2,$K$3:$N$4001,3,0)),"",VLOOKUP($R369&amp;AA$2,$K$3:$N$4001,3,0))</f>
        <v>40890</v>
      </c>
      <c r="AB369" s="109">
        <f>IF(ISNA(VLOOKUP($R369&amp;AA$2,$K$3:$N$4001,4,0)),"",VLOOKUP($R369&amp;AA$2,$K$3:$N$4001,4,0))</f>
        <v>0.02</v>
      </c>
      <c r="AC369" s="108">
        <f>IF(ISNA(VLOOKUP($R369&amp;AC$2,$K$3:$N$4001,3,0)),"",VLOOKUP($R369&amp;AC$2,$K$3:$N$4001,3,0))</f>
        <v>41148</v>
      </c>
      <c r="AD369" s="109">
        <f>IF(ISNA(VLOOKUP($R369&amp;AC$2,$K$3:$N$4001,4,0)),"",VLOOKUP($R369&amp;AC$2,$K$3:$N$4001,4,0))</f>
        <v>2.2000000000000002E-2</v>
      </c>
      <c r="AE369" s="108">
        <f>IF(ISNA(VLOOKUP($R369&amp;AE$2,$K$3:$N$4001,3,0)),"",VLOOKUP($R369&amp;AE$2,$K$3:$N$4001,3,0))</f>
        <v>41256</v>
      </c>
      <c r="AF369" s="109">
        <f>IF(ISNA(VLOOKUP($R369&amp;AE$2,$K$3:$N$4001,4,0)),"",VLOOKUP($R369&amp;AE$2,$K$3:$N$4001,4,0))</f>
        <v>2.5000000000000001E-2</v>
      </c>
      <c r="AG369" s="108">
        <f>IF(ISNA(VLOOKUP($R369&amp;AG$2,$K$3:$N$4001,3,0)),"",VLOOKUP($R369&amp;AG$2,$K$3:$N$4001,3,0))</f>
        <v>41513</v>
      </c>
      <c r="AH369" s="109">
        <f>IF(ISNA(VLOOKUP($R369&amp;AG$2,$K$3:$N$4001,4,0)),"",VLOOKUP($R369&amp;AG$2,$K$3:$N$4001,4,0))</f>
        <v>1.8700000000000001E-2</v>
      </c>
      <c r="AI369" s="108">
        <f>IF(ISNA(VLOOKUP($R369&amp;AI$2,$K$3:$N$4001,3,0)),"",VLOOKUP($R369&amp;AI$2,$K$3:$N$4001,3,0))</f>
        <v>41621</v>
      </c>
      <c r="AJ369" s="109">
        <f>IF(ISNA(VLOOKUP($R369&amp;AI$2,$K$3:$N$4001,4,0)),"",VLOOKUP($R369&amp;AI$2,$K$3:$N$4001,4,0))</f>
        <v>2.1299999999999999E-2</v>
      </c>
      <c r="AK369" s="108" t="str">
        <f>IF(ISNA(VLOOKUP($R369&amp;AK$2,$K$3:$N$4001,3,0)),"",VLOOKUP($R369&amp;AK$2,$K$3:$N$4001,3,0))</f>
        <v/>
      </c>
    </row>
    <row r="370" spans="3:37" x14ac:dyDescent="0.2">
      <c r="C370" s="96" t="str">
        <f t="shared" si="20"/>
        <v>CAB6</v>
      </c>
      <c r="D370" s="73" t="s">
        <v>102</v>
      </c>
      <c r="E370" s="100">
        <v>40809</v>
      </c>
      <c r="F370" s="101">
        <v>0.22550000000000001</v>
      </c>
      <c r="G370" s="96">
        <f t="shared" si="21"/>
        <v>6</v>
      </c>
      <c r="I370" s="96"/>
      <c r="K370" t="str">
        <f t="shared" si="22"/>
        <v>CAB6</v>
      </c>
      <c r="L370" s="73" t="s">
        <v>102</v>
      </c>
      <c r="M370" s="72">
        <v>40809</v>
      </c>
      <c r="N370" s="84">
        <v>0.22550000000000001</v>
      </c>
      <c r="O370" s="96">
        <f t="shared" si="23"/>
        <v>6</v>
      </c>
      <c r="Q370" s="96"/>
      <c r="R370" s="96" t="s">
        <v>229</v>
      </c>
      <c r="S370" s="106">
        <f>IF(ISNA(VLOOKUP($R370&amp;S$2,$C$3:$F$4001,3,0)),"",VLOOKUP($R370&amp;S$2,$C$3:$F$4001,3,0))</f>
        <v>39988</v>
      </c>
      <c r="T370" s="107">
        <f>IF(ISNA(VLOOKUP($R370&amp;S$2,$C$3:$F$4001,4,0)),"",VLOOKUP($R370&amp;S$2,$C$3:$F$4001,4,0))</f>
        <v>0.03</v>
      </c>
      <c r="U370" s="106">
        <f>IF(ISNA(VLOOKUP($R370&amp;U$2,$C$3:$F$4001,3,0)),"",VLOOKUP($R370&amp;U$2,$C$3:$F$4001,3,0))</f>
        <v>40170</v>
      </c>
      <c r="V370" s="107">
        <f>IF(ISNA(VLOOKUP($R370&amp;U$2,$C$3:$F$4001,4,0)),"",VLOOKUP($R370&amp;U$2,$C$3:$F$4001,4,0))</f>
        <v>0.02</v>
      </c>
      <c r="W370" s="106">
        <f>IF(ISNA(VLOOKUP($R370&amp;W$2,$C$3:$F$4001,3,0)),"",VLOOKUP($R370&amp;W$2,$C$3:$F$4001,3,0))</f>
        <v>40353</v>
      </c>
      <c r="X370" s="107">
        <f>IF(ISNA(VLOOKUP($R370&amp;W$2,$C$3:$F$4001,4,0)),"",VLOOKUP($R370&amp;W$2,$C$3:$F$4001,4,0))</f>
        <v>0.03</v>
      </c>
      <c r="Y370" s="106">
        <f>IF(ISNA(VLOOKUP($R370&amp;Y$2,$C$3:$F$4001,3,0)),"",VLOOKUP($R370&amp;Y$2,$C$3:$F$4001,3,0))</f>
        <v>40535</v>
      </c>
      <c r="Z370" s="107">
        <f>IF(ISNA(VLOOKUP($R370&amp;Y$2,$C$3:$F$4001,4,0)),"",VLOOKUP($R370&amp;Y$2,$C$3:$F$4001,4,0))</f>
        <v>0.03</v>
      </c>
      <c r="AA370" s="106">
        <f>IF(ISNA(VLOOKUP($R370&amp;AA$2,$C$3:$F$4001,3,0)),"",VLOOKUP($R370&amp;AA$2,$C$3:$F$4001,3,0))</f>
        <v>40718</v>
      </c>
      <c r="AB370" s="107">
        <f>IF(ISNA(VLOOKUP($R370&amp;AA$2,$C$3:$F$4001,4,0)),"",VLOOKUP($R370&amp;AA$2,$C$3:$F$4001,4,0))</f>
        <v>0.03</v>
      </c>
      <c r="AC370" s="106">
        <f>IF(ISNA(VLOOKUP($R370&amp;AC$2,$C$3:$F$4001,3,0)),"",VLOOKUP($R370&amp;AC$2,$C$3:$F$4001,3,0))</f>
        <v>40899</v>
      </c>
      <c r="AD370" s="107">
        <f>IF(ISNA(VLOOKUP($R370&amp;AC$2,$C$3:$F$4001,4,0)),"",VLOOKUP($R370&amp;AC$2,$C$3:$F$4001,4,0))</f>
        <v>0.04</v>
      </c>
      <c r="AE370" s="106">
        <f>IF(ISNA(VLOOKUP($R370&amp;AE$2,$C$3:$F$4001,3,0)),"",VLOOKUP($R370&amp;AE$2,$C$3:$F$4001,3,0))</f>
        <v>41085</v>
      </c>
      <c r="AF370" s="107">
        <f>IF(ISNA(VLOOKUP($R370&amp;AE$2,$C$3:$F$4001,4,0)),"",VLOOKUP($R370&amp;AE$2,$C$3:$F$4001,4,0))</f>
        <v>0.04</v>
      </c>
      <c r="AG370" s="106">
        <f>IF(ISNA(VLOOKUP($R370&amp;AG$2,$C$3:$F$4001,3,0)),"",VLOOKUP($R370&amp;AG$2,$C$3:$F$4001,3,0))</f>
        <v>41268</v>
      </c>
      <c r="AH370" s="107">
        <f>IF(ISNA(VLOOKUP($R370&amp;AG$2,$C$3:$F$4001,4,0)),"",VLOOKUP($R370&amp;AG$2,$C$3:$F$4001,4,0))</f>
        <v>6.1500000000000006E-2</v>
      </c>
      <c r="AI370" s="106">
        <f>IF(ISNA(VLOOKUP($R370&amp;AI$2,$C$3:$F$4001,3,0)),"",VLOOKUP($R370&amp;AI$2,$C$3:$F$4001,3,0))</f>
        <v>41450</v>
      </c>
      <c r="AJ370" s="107">
        <f>IF(ISNA(VLOOKUP($R370&amp;AI$2,$C$3:$F$4001,4,0)),"",VLOOKUP($R370&amp;AI$2,$C$3:$F$4001,4,0))</f>
        <v>6.1500000000000006E-2</v>
      </c>
      <c r="AK370" s="106" t="str">
        <f>IF(ISNA(VLOOKUP($R370&amp;AK$2,$C$3:$F$4001,3,0)),"",VLOOKUP($R370&amp;AK$2,$C$3:$F$4001,3,0))</f>
        <v/>
      </c>
    </row>
    <row r="371" spans="3:37" x14ac:dyDescent="0.2">
      <c r="C371" s="96" t="str">
        <f t="shared" si="20"/>
        <v>CAB7</v>
      </c>
      <c r="D371" s="73" t="s">
        <v>102</v>
      </c>
      <c r="E371" s="100">
        <v>40995</v>
      </c>
      <c r="F371" s="101">
        <v>0.24100000000000002</v>
      </c>
      <c r="G371" s="96">
        <f t="shared" si="21"/>
        <v>7</v>
      </c>
      <c r="I371" s="96"/>
      <c r="K371" t="str">
        <f t="shared" si="22"/>
        <v>CAB7</v>
      </c>
      <c r="L371" s="73" t="s">
        <v>102</v>
      </c>
      <c r="M371" s="72">
        <v>40995</v>
      </c>
      <c r="N371" s="84">
        <v>0.24100000000000002</v>
      </c>
      <c r="O371" s="96">
        <f t="shared" si="23"/>
        <v>7</v>
      </c>
      <c r="Q371" s="96"/>
      <c r="R371" s="96" t="str">
        <f>R370</f>
        <v>TSO</v>
      </c>
      <c r="S371" s="108">
        <f>IF(ISNA(VLOOKUP($R371&amp;S$2,$K$3:$N$4001,3,0)),"",VLOOKUP($R371&amp;S$2,$K$3:$N$4001,3,0))</f>
        <v>39988</v>
      </c>
      <c r="T371" s="109">
        <f>IF(ISNA(VLOOKUP($R371&amp;S$2,$K$3:$N$4001,4,0)),"",VLOOKUP($R371&amp;S$2,$K$3:$N$4001,4,0))</f>
        <v>0.03</v>
      </c>
      <c r="U371" s="108">
        <f>IF(ISNA(VLOOKUP($R371&amp;U$2,$K$3:$N$4001,3,0)),"",VLOOKUP($R371&amp;U$2,$K$3:$N$4001,3,0))</f>
        <v>40170</v>
      </c>
      <c r="V371" s="109">
        <f>IF(ISNA(VLOOKUP($R371&amp;U$2,$K$3:$N$4001,4,0)),"",VLOOKUP($R371&amp;U$2,$K$3:$N$4001,4,0))</f>
        <v>0.02</v>
      </c>
      <c r="W371" s="108">
        <f>IF(ISNA(VLOOKUP($R371&amp;W$2,$K$3:$N$4001,3,0)),"",VLOOKUP($R371&amp;W$2,$K$3:$N$4001,3,0))</f>
        <v>40353</v>
      </c>
      <c r="X371" s="109">
        <f>IF(ISNA(VLOOKUP($R371&amp;W$2,$K$3:$N$4001,4,0)),"",VLOOKUP($R371&amp;W$2,$K$3:$N$4001,4,0))</f>
        <v>0.03</v>
      </c>
      <c r="Y371" s="108">
        <f>IF(ISNA(VLOOKUP($R371&amp;Y$2,$K$3:$N$4001,3,0)),"",VLOOKUP($R371&amp;Y$2,$K$3:$N$4001,3,0))</f>
        <v>40535</v>
      </c>
      <c r="Z371" s="109">
        <f>IF(ISNA(VLOOKUP($R371&amp;Y$2,$K$3:$N$4001,4,0)),"",VLOOKUP($R371&amp;Y$2,$K$3:$N$4001,4,0))</f>
        <v>0.03</v>
      </c>
      <c r="AA371" s="108">
        <f>IF(ISNA(VLOOKUP($R371&amp;AA$2,$K$3:$N$4001,3,0)),"",VLOOKUP($R371&amp;AA$2,$K$3:$N$4001,3,0))</f>
        <v>40718</v>
      </c>
      <c r="AB371" s="109">
        <f>IF(ISNA(VLOOKUP($R371&amp;AA$2,$K$3:$N$4001,4,0)),"",VLOOKUP($R371&amp;AA$2,$K$3:$N$4001,4,0))</f>
        <v>0.03</v>
      </c>
      <c r="AC371" s="108">
        <f>IF(ISNA(VLOOKUP($R371&amp;AC$2,$K$3:$N$4001,3,0)),"",VLOOKUP($R371&amp;AC$2,$K$3:$N$4001,3,0))</f>
        <v>40899</v>
      </c>
      <c r="AD371" s="109">
        <f>IF(ISNA(VLOOKUP($R371&amp;AC$2,$K$3:$N$4001,4,0)),"",VLOOKUP($R371&amp;AC$2,$K$3:$N$4001,4,0))</f>
        <v>0.04</v>
      </c>
      <c r="AE371" s="108">
        <f>IF(ISNA(VLOOKUP($R371&amp;AE$2,$K$3:$N$4001,3,0)),"",VLOOKUP($R371&amp;AE$2,$K$3:$N$4001,3,0))</f>
        <v>41085</v>
      </c>
      <c r="AF371" s="109">
        <f>IF(ISNA(VLOOKUP($R371&amp;AE$2,$K$3:$N$4001,4,0)),"",VLOOKUP($R371&amp;AE$2,$K$3:$N$4001,4,0))</f>
        <v>0.04</v>
      </c>
      <c r="AG371" s="108">
        <f>IF(ISNA(VLOOKUP($R371&amp;AG$2,$K$3:$N$4001,3,0)),"",VLOOKUP($R371&amp;AG$2,$K$3:$N$4001,3,0))</f>
        <v>41268</v>
      </c>
      <c r="AH371" s="109">
        <f>IF(ISNA(VLOOKUP($R371&amp;AG$2,$K$3:$N$4001,4,0)),"",VLOOKUP($R371&amp;AG$2,$K$3:$N$4001,4,0))</f>
        <v>6.1500000000000006E-2</v>
      </c>
      <c r="AI371" s="108">
        <f>IF(ISNA(VLOOKUP($R371&amp;AI$2,$K$3:$N$4001,3,0)),"",VLOOKUP($R371&amp;AI$2,$K$3:$N$4001,3,0))</f>
        <v>41450</v>
      </c>
      <c r="AJ371" s="109">
        <f>IF(ISNA(VLOOKUP($R371&amp;AI$2,$K$3:$N$4001,4,0)),"",VLOOKUP($R371&amp;AI$2,$K$3:$N$4001,4,0))</f>
        <v>6.1500000000000006E-2</v>
      </c>
      <c r="AK371" s="108" t="str">
        <f>IF(ISNA(VLOOKUP($R371&amp;AK$2,$K$3:$N$4001,3,0)),"",VLOOKUP($R371&amp;AK$2,$K$3:$N$4001,3,0))</f>
        <v/>
      </c>
    </row>
    <row r="372" spans="3:37" x14ac:dyDescent="0.2">
      <c r="C372" s="96" t="str">
        <f t="shared" si="20"/>
        <v>CAB8</v>
      </c>
      <c r="D372" s="73" t="s">
        <v>102</v>
      </c>
      <c r="E372" s="100">
        <v>41177</v>
      </c>
      <c r="F372" s="101">
        <v>0.24100000000000002</v>
      </c>
      <c r="G372" s="96">
        <f t="shared" si="21"/>
        <v>8</v>
      </c>
      <c r="I372" s="96"/>
      <c r="K372" t="str">
        <f t="shared" si="22"/>
        <v>CAB8</v>
      </c>
      <c r="L372" s="73" t="s">
        <v>102</v>
      </c>
      <c r="M372" s="72">
        <v>41177</v>
      </c>
      <c r="N372" s="84">
        <v>0.24100000000000002</v>
      </c>
      <c r="O372" s="96">
        <f t="shared" si="23"/>
        <v>8</v>
      </c>
      <c r="Q372" s="96"/>
      <c r="R372" s="96" t="s">
        <v>225</v>
      </c>
      <c r="S372" s="106">
        <f>IF(ISNA(VLOOKUP($R372&amp;S$2,$C$3:$F$4001,3,0)),"",VLOOKUP($R372&amp;S$2,$C$3:$F$4001,3,0))</f>
        <v>39882</v>
      </c>
      <c r="T372" s="107">
        <f>IF(ISNA(VLOOKUP($R372&amp;S$2,$C$3:$F$4001,4,0)),"",VLOOKUP($R372&amp;S$2,$C$3:$F$4001,4,0))</f>
        <v>0.115</v>
      </c>
      <c r="U372" s="106">
        <f>IF(ISNA(VLOOKUP($R372&amp;U$2,$C$3:$F$4001,3,0)),"",VLOOKUP($R372&amp;U$2,$C$3:$F$4001,3,0))</f>
        <v>40092</v>
      </c>
      <c r="V372" s="107">
        <f>IF(ISNA(VLOOKUP($R372&amp;U$2,$C$3:$F$4001,4,0)),"",VLOOKUP($R372&amp;U$2,$C$3:$F$4001,4,0))</f>
        <v>0.13500000000000001</v>
      </c>
      <c r="W372" s="106">
        <f>IF(ISNA(VLOOKUP($R372&amp;W$2,$C$3:$F$4001,3,0)),"",VLOOKUP($R372&amp;W$2,$C$3:$F$4001,3,0))</f>
        <v>40247</v>
      </c>
      <c r="X372" s="107">
        <f>IF(ISNA(VLOOKUP($R372&amp;W$2,$C$3:$F$4001,4,0)),"",VLOOKUP($R372&amp;W$2,$C$3:$F$4001,4,0))</f>
        <v>0.12</v>
      </c>
      <c r="Y372" s="106">
        <f>IF(ISNA(VLOOKUP($R372&amp;Y$2,$C$3:$F$4001,3,0)),"",VLOOKUP($R372&amp;Y$2,$C$3:$F$4001,3,0))</f>
        <v>40457</v>
      </c>
      <c r="Z372" s="107">
        <f>IF(ISNA(VLOOKUP($R372&amp;Y$2,$C$3:$F$4001,4,0)),"",VLOOKUP($R372&amp;Y$2,$C$3:$F$4001,4,0))</f>
        <v>0.14000000000000001</v>
      </c>
      <c r="AA372" s="106">
        <f>IF(ISNA(VLOOKUP($R372&amp;AA$2,$C$3:$F$4001,3,0)),"",VLOOKUP($R372&amp;AA$2,$C$3:$F$4001,3,0))</f>
        <v>40612</v>
      </c>
      <c r="AB372" s="107">
        <f>IF(ISNA(VLOOKUP($R372&amp;AA$2,$C$3:$F$4001,4,0)),"",VLOOKUP($R372&amp;AA$2,$C$3:$F$4001,4,0))</f>
        <v>0.13</v>
      </c>
      <c r="AC372" s="106">
        <f>IF(ISNA(VLOOKUP($R372&amp;AC$2,$C$3:$F$4001,3,0)),"",VLOOKUP($R372&amp;AC$2,$C$3:$F$4001,3,0))</f>
        <v>40822</v>
      </c>
      <c r="AD372" s="107">
        <f>IF(ISNA(VLOOKUP($R372&amp;AC$2,$C$3:$F$4001,4,0)),"",VLOOKUP($R372&amp;AC$2,$C$3:$F$4001,4,0))</f>
        <v>0.15</v>
      </c>
      <c r="AE372" s="106">
        <f>IF(ISNA(VLOOKUP($R372&amp;AE$2,$C$3:$F$4001,3,0)),"",VLOOKUP($R372&amp;AE$2,$C$3:$F$4001,3,0))</f>
        <v>40980</v>
      </c>
      <c r="AF372" s="107">
        <f>IF(ISNA(VLOOKUP($R372&amp;AE$2,$C$3:$F$4001,4,0)),"",VLOOKUP($R372&amp;AE$2,$C$3:$F$4001,4,0))</f>
        <v>0.14000000000000001</v>
      </c>
      <c r="AG372" s="106">
        <f>IF(ISNA(VLOOKUP($R372&amp;AG$2,$C$3:$F$4001,3,0)),"",VLOOKUP($R372&amp;AG$2,$C$3:$F$4001,3,0))</f>
        <v>41190</v>
      </c>
      <c r="AH372" s="107">
        <f>IF(ISNA(VLOOKUP($R372&amp;AG$2,$C$3:$F$4001,4,0)),"",VLOOKUP($R372&amp;AG$2,$C$3:$F$4001,4,0))</f>
        <v>0.16</v>
      </c>
      <c r="AI372" s="106">
        <f>IF(ISNA(VLOOKUP($R372&amp;AI$2,$C$3:$F$4001,3,0)),"",VLOOKUP($R372&amp;AI$2,$C$3:$F$4001,3,0))</f>
        <v>41345</v>
      </c>
      <c r="AJ372" s="107">
        <f>IF(ISNA(VLOOKUP($R372&amp;AI$2,$C$3:$F$4001,4,0)),"",VLOOKUP($R372&amp;AI$2,$C$3:$F$4001,4,0))</f>
        <v>0.16</v>
      </c>
      <c r="AK372" s="106">
        <f>IF(ISNA(VLOOKUP($R372&amp;AK$2,$C$3:$F$4001,3,0)),"",VLOOKUP($R372&amp;AK$2,$C$3:$F$4001,3,0))</f>
        <v>41555</v>
      </c>
    </row>
    <row r="373" spans="3:37" x14ac:dyDescent="0.2">
      <c r="C373" s="96" t="str">
        <f t="shared" si="20"/>
        <v>CAB9</v>
      </c>
      <c r="D373" s="73" t="s">
        <v>102</v>
      </c>
      <c r="E373" s="100">
        <v>41360</v>
      </c>
      <c r="F373" s="101">
        <v>0.25800000000000001</v>
      </c>
      <c r="G373" s="96">
        <f t="shared" si="21"/>
        <v>9</v>
      </c>
      <c r="I373" s="96"/>
      <c r="K373" t="str">
        <f t="shared" si="22"/>
        <v>CAB9</v>
      </c>
      <c r="L373" s="73" t="s">
        <v>102</v>
      </c>
      <c r="M373" s="72">
        <v>41360</v>
      </c>
      <c r="N373" s="84">
        <v>0.25800000000000001</v>
      </c>
      <c r="O373" s="96">
        <f t="shared" si="23"/>
        <v>9</v>
      </c>
      <c r="Q373" s="96"/>
      <c r="R373" s="96" t="str">
        <f>R372</f>
        <v>TOL</v>
      </c>
      <c r="S373" s="108">
        <f>IF(ISNA(VLOOKUP($R373&amp;S$2,$K$3:$N$4001,3,0)),"",VLOOKUP($R373&amp;S$2,$K$3:$N$4001,3,0))</f>
        <v>39882</v>
      </c>
      <c r="T373" s="109">
        <f>IF(ISNA(VLOOKUP($R373&amp;S$2,$K$3:$N$4001,4,0)),"",VLOOKUP($R373&amp;S$2,$K$3:$N$4001,4,0))</f>
        <v>0.115</v>
      </c>
      <c r="U373" s="108">
        <f>IF(ISNA(VLOOKUP($R373&amp;U$2,$K$3:$N$4001,3,0)),"",VLOOKUP($R373&amp;U$2,$K$3:$N$4001,3,0))</f>
        <v>40092</v>
      </c>
      <c r="V373" s="109">
        <f>IF(ISNA(VLOOKUP($R373&amp;U$2,$K$3:$N$4001,4,0)),"",VLOOKUP($R373&amp;U$2,$K$3:$N$4001,4,0))</f>
        <v>0.13500000000000001</v>
      </c>
      <c r="W373" s="108">
        <f>IF(ISNA(VLOOKUP($R373&amp;W$2,$K$3:$N$4001,3,0)),"",VLOOKUP($R373&amp;W$2,$K$3:$N$4001,3,0))</f>
        <v>40247</v>
      </c>
      <c r="X373" s="109">
        <f>IF(ISNA(VLOOKUP($R373&amp;W$2,$K$3:$N$4001,4,0)),"",VLOOKUP($R373&amp;W$2,$K$3:$N$4001,4,0))</f>
        <v>0.12</v>
      </c>
      <c r="Y373" s="108">
        <f>IF(ISNA(VLOOKUP($R373&amp;Y$2,$K$3:$N$4001,3,0)),"",VLOOKUP($R373&amp;Y$2,$K$3:$N$4001,3,0))</f>
        <v>40457</v>
      </c>
      <c r="Z373" s="109">
        <f>IF(ISNA(VLOOKUP($R373&amp;Y$2,$K$3:$N$4001,4,0)),"",VLOOKUP($R373&amp;Y$2,$K$3:$N$4001,4,0))</f>
        <v>0.14000000000000001</v>
      </c>
      <c r="AA373" s="108">
        <f>IF(ISNA(VLOOKUP($R373&amp;AA$2,$K$3:$N$4001,3,0)),"",VLOOKUP($R373&amp;AA$2,$K$3:$N$4001,3,0))</f>
        <v>40612</v>
      </c>
      <c r="AB373" s="109">
        <f>IF(ISNA(VLOOKUP($R373&amp;AA$2,$K$3:$N$4001,4,0)),"",VLOOKUP($R373&amp;AA$2,$K$3:$N$4001,4,0))</f>
        <v>0.13</v>
      </c>
      <c r="AC373" s="108">
        <f>IF(ISNA(VLOOKUP($R373&amp;AC$2,$K$3:$N$4001,3,0)),"",VLOOKUP($R373&amp;AC$2,$K$3:$N$4001,3,0))</f>
        <v>40822</v>
      </c>
      <c r="AD373" s="109">
        <f>IF(ISNA(VLOOKUP($R373&amp;AC$2,$K$3:$N$4001,4,0)),"",VLOOKUP($R373&amp;AC$2,$K$3:$N$4001,4,0))</f>
        <v>0.15</v>
      </c>
      <c r="AE373" s="108">
        <f>IF(ISNA(VLOOKUP($R373&amp;AE$2,$K$3:$N$4001,3,0)),"",VLOOKUP($R373&amp;AE$2,$K$3:$N$4001,3,0))</f>
        <v>40980</v>
      </c>
      <c r="AF373" s="109">
        <f>IF(ISNA(VLOOKUP($R373&amp;AE$2,$K$3:$N$4001,4,0)),"",VLOOKUP($R373&amp;AE$2,$K$3:$N$4001,4,0))</f>
        <v>0.14000000000000001</v>
      </c>
      <c r="AG373" s="108">
        <f>IF(ISNA(VLOOKUP($R373&amp;AG$2,$K$3:$N$4001,3,0)),"",VLOOKUP($R373&amp;AG$2,$K$3:$N$4001,3,0))</f>
        <v>41190</v>
      </c>
      <c r="AH373" s="109">
        <f>IF(ISNA(VLOOKUP($R373&amp;AG$2,$K$3:$N$4001,4,0)),"",VLOOKUP($R373&amp;AG$2,$K$3:$N$4001,4,0))</f>
        <v>0.16</v>
      </c>
      <c r="AI373" s="108">
        <f>IF(ISNA(VLOOKUP($R373&amp;AI$2,$K$3:$N$4001,3,0)),"",VLOOKUP($R373&amp;AI$2,$K$3:$N$4001,3,0))</f>
        <v>41345</v>
      </c>
      <c r="AJ373" s="109">
        <f>IF(ISNA(VLOOKUP($R373&amp;AI$2,$K$3:$N$4001,4,0)),"",VLOOKUP($R373&amp;AI$2,$K$3:$N$4001,4,0))</f>
        <v>0.16</v>
      </c>
      <c r="AK373" s="108">
        <f>IF(ISNA(VLOOKUP($R373&amp;AK$2,$K$3:$N$4001,3,0)),"",VLOOKUP($R373&amp;AK$2,$K$3:$N$4001,3,0))</f>
        <v>41555</v>
      </c>
    </row>
    <row r="374" spans="3:37" x14ac:dyDescent="0.2">
      <c r="C374" s="96" t="str">
        <f t="shared" si="20"/>
        <v>CAB10</v>
      </c>
      <c r="D374" s="73" t="s">
        <v>102</v>
      </c>
      <c r="E374" s="100">
        <v>41542</v>
      </c>
      <c r="F374" s="101">
        <v>0.25800000000000001</v>
      </c>
      <c r="G374" s="96">
        <f t="shared" si="21"/>
        <v>10</v>
      </c>
      <c r="I374" s="96"/>
      <c r="K374" t="str">
        <f t="shared" si="22"/>
        <v>CAB10</v>
      </c>
      <c r="L374" s="73" t="s">
        <v>102</v>
      </c>
      <c r="M374" s="72">
        <v>41542</v>
      </c>
      <c r="N374" s="84">
        <v>0.25800000000000001</v>
      </c>
      <c r="O374" s="96">
        <f t="shared" si="23"/>
        <v>10</v>
      </c>
      <c r="Q374" s="96"/>
      <c r="R374" s="96" t="s">
        <v>218</v>
      </c>
      <c r="S374" s="106">
        <f>IF(ISNA(VLOOKUP($R374&amp;S$2,$C$3:$F$4001,3,0)),"",VLOOKUP($R374&amp;S$2,$C$3:$F$4001,3,0))</f>
        <v>40171</v>
      </c>
      <c r="T374" s="107">
        <f>IF(ISNA(VLOOKUP($R374&amp;S$2,$C$3:$F$4001,4,0)),"",VLOOKUP($R374&amp;S$2,$C$3:$F$4001,4,0))</f>
        <v>0.06</v>
      </c>
      <c r="U374" s="106">
        <f>IF(ISNA(VLOOKUP($R374&amp;U$2,$C$3:$F$4001,3,0)),"",VLOOKUP($R374&amp;U$2,$C$3:$F$4001,3,0))</f>
        <v>40541</v>
      </c>
      <c r="V374" s="107">
        <f>IF(ISNA(VLOOKUP($R374&amp;U$2,$C$3:$F$4001,4,0)),"",VLOOKUP($R374&amp;U$2,$C$3:$F$4001,4,0))</f>
        <v>7.2000000000000008E-2</v>
      </c>
      <c r="W374" s="106">
        <f>IF(ISNA(VLOOKUP($R374&amp;W$2,$C$3:$F$4001,3,0)),"",VLOOKUP($R374&amp;W$2,$C$3:$F$4001,3,0))</f>
        <v>40906</v>
      </c>
      <c r="X374" s="107">
        <f>IF(ISNA(VLOOKUP($R374&amp;W$2,$C$3:$F$4001,4,0)),"",VLOOKUP($R374&amp;W$2,$C$3:$F$4001,4,0))</f>
        <v>8.4000000000000005E-2</v>
      </c>
      <c r="Y374" s="106">
        <f>IF(ISNA(VLOOKUP($R374&amp;Y$2,$C$3:$F$4001,3,0)),"",VLOOKUP($R374&amp;Y$2,$C$3:$F$4001,3,0))</f>
        <v>41274</v>
      </c>
      <c r="Z374" s="107">
        <f>IF(ISNA(VLOOKUP($R374&amp;Y$2,$C$3:$F$4001,4,0)),"",VLOOKUP($R374&amp;Y$2,$C$3:$F$4001,4,0))</f>
        <v>8.5999999999999993E-2</v>
      </c>
      <c r="AA374" s="106">
        <f>IF(ISNA(VLOOKUP($R374&amp;AA$2,$C$3:$F$4001,3,0)),"",VLOOKUP($R374&amp;AA$2,$C$3:$F$4001,3,0))</f>
        <v>41639</v>
      </c>
      <c r="AB374" s="107">
        <f>IF(ISNA(VLOOKUP($R374&amp;AA$2,$C$3:$F$4001,4,0)),"",VLOOKUP($R374&amp;AA$2,$C$3:$F$4001,4,0))</f>
        <v>9.4E-2</v>
      </c>
      <c r="AC374" s="106" t="str">
        <f>IF(ISNA(VLOOKUP($R374&amp;AC$2,$C$3:$F$4001,3,0)),"",VLOOKUP($R374&amp;AC$2,$C$3:$F$4001,3,0))</f>
        <v/>
      </c>
      <c r="AD374" s="107" t="str">
        <f>IF(ISNA(VLOOKUP($R374&amp;AC$2,$C$3:$F$4001,4,0)),"",VLOOKUP($R374&amp;AC$2,$C$3:$F$4001,4,0))</f>
        <v/>
      </c>
      <c r="AE374" s="106" t="str">
        <f>IF(ISNA(VLOOKUP($R374&amp;AE$2,$C$3:$F$4001,3,0)),"",VLOOKUP($R374&amp;AE$2,$C$3:$F$4001,3,0))</f>
        <v/>
      </c>
      <c r="AF374" s="107" t="str">
        <f>IF(ISNA(VLOOKUP($R374&amp;AE$2,$C$3:$F$4001,4,0)),"",VLOOKUP($R374&amp;AE$2,$C$3:$F$4001,4,0))</f>
        <v/>
      </c>
      <c r="AG374" s="106" t="str">
        <f>IF(ISNA(VLOOKUP($R374&amp;AG$2,$C$3:$F$4001,3,0)),"",VLOOKUP($R374&amp;AG$2,$C$3:$F$4001,3,0))</f>
        <v/>
      </c>
      <c r="AH374" s="107" t="str">
        <f>IF(ISNA(VLOOKUP($R374&amp;AG$2,$C$3:$F$4001,4,0)),"",VLOOKUP($R374&amp;AG$2,$C$3:$F$4001,4,0))</f>
        <v/>
      </c>
      <c r="AI374" s="106" t="str">
        <f>IF(ISNA(VLOOKUP($R374&amp;AI$2,$C$3:$F$4001,3,0)),"",VLOOKUP($R374&amp;AI$2,$C$3:$F$4001,3,0))</f>
        <v/>
      </c>
      <c r="AJ374" s="107" t="str">
        <f>IF(ISNA(VLOOKUP($R374&amp;AI$2,$C$3:$F$4001,4,0)),"",VLOOKUP($R374&amp;AI$2,$C$3:$F$4001,4,0))</f>
        <v/>
      </c>
      <c r="AK374" s="106" t="str">
        <f>IF(ISNA(VLOOKUP($R374&amp;AK$2,$C$3:$F$4001,3,0)),"",VLOOKUP($R374&amp;AK$2,$C$3:$F$4001,3,0))</f>
        <v/>
      </c>
    </row>
    <row r="375" spans="3:37" x14ac:dyDescent="0.2">
      <c r="C375" s="96" t="str">
        <f t="shared" si="20"/>
        <v>CBA1</v>
      </c>
      <c r="D375" s="73" t="s">
        <v>103</v>
      </c>
      <c r="E375" s="100">
        <v>39860</v>
      </c>
      <c r="F375" s="101">
        <v>1.1299999999999999</v>
      </c>
      <c r="G375" s="96">
        <f t="shared" si="21"/>
        <v>1</v>
      </c>
      <c r="I375" s="96"/>
      <c r="K375" t="str">
        <f t="shared" si="22"/>
        <v>CBA1</v>
      </c>
      <c r="L375" s="73" t="s">
        <v>103</v>
      </c>
      <c r="M375" s="72">
        <v>39860</v>
      </c>
      <c r="N375" s="84">
        <v>1.1299999999999999</v>
      </c>
      <c r="O375" s="96">
        <f t="shared" si="23"/>
        <v>1</v>
      </c>
      <c r="Q375" s="96"/>
      <c r="R375" s="96" t="str">
        <f>R374</f>
        <v>TAL</v>
      </c>
      <c r="S375" s="108">
        <f>IF(ISNA(VLOOKUP($R375&amp;S$2,$K$3:$N$4001,3,0)),"",VLOOKUP($R375&amp;S$2,$K$3:$N$4001,3,0))</f>
        <v>40171</v>
      </c>
      <c r="T375" s="109">
        <f>IF(ISNA(VLOOKUP($R375&amp;S$2,$K$3:$N$4001,4,0)),"",VLOOKUP($R375&amp;S$2,$K$3:$N$4001,4,0))</f>
        <v>0.06</v>
      </c>
      <c r="U375" s="108">
        <f>IF(ISNA(VLOOKUP($R375&amp;U$2,$K$3:$N$4001,3,0)),"",VLOOKUP($R375&amp;U$2,$K$3:$N$4001,3,0))</f>
        <v>40541</v>
      </c>
      <c r="V375" s="109">
        <f>IF(ISNA(VLOOKUP($R375&amp;U$2,$K$3:$N$4001,4,0)),"",VLOOKUP($R375&amp;U$2,$K$3:$N$4001,4,0))</f>
        <v>7.2000000000000008E-2</v>
      </c>
      <c r="W375" s="108">
        <f>IF(ISNA(VLOOKUP($R375&amp;W$2,$K$3:$N$4001,3,0)),"",VLOOKUP($R375&amp;W$2,$K$3:$N$4001,3,0))</f>
        <v>40906</v>
      </c>
      <c r="X375" s="109">
        <f>IF(ISNA(VLOOKUP($R375&amp;W$2,$K$3:$N$4001,4,0)),"",VLOOKUP($R375&amp;W$2,$K$3:$N$4001,4,0))</f>
        <v>8.4000000000000005E-2</v>
      </c>
      <c r="Y375" s="108">
        <f>IF(ISNA(VLOOKUP($R375&amp;Y$2,$K$3:$N$4001,3,0)),"",VLOOKUP($R375&amp;Y$2,$K$3:$N$4001,3,0))</f>
        <v>41274</v>
      </c>
      <c r="Z375" s="109">
        <f>IF(ISNA(VLOOKUP($R375&amp;Y$2,$K$3:$N$4001,4,0)),"",VLOOKUP($R375&amp;Y$2,$K$3:$N$4001,4,0))</f>
        <v>8.5999999999999993E-2</v>
      </c>
      <c r="AA375" s="108">
        <f>IF(ISNA(VLOOKUP($R375&amp;AA$2,$K$3:$N$4001,3,0)),"",VLOOKUP($R375&amp;AA$2,$K$3:$N$4001,3,0))</f>
        <v>41639</v>
      </c>
      <c r="AB375" s="109">
        <f>IF(ISNA(VLOOKUP($R375&amp;AA$2,$K$3:$N$4001,4,0)),"",VLOOKUP($R375&amp;AA$2,$K$3:$N$4001,4,0))</f>
        <v>9.4E-2</v>
      </c>
      <c r="AC375" s="108" t="str">
        <f>IF(ISNA(VLOOKUP($R375&amp;AC$2,$K$3:$N$4001,3,0)),"",VLOOKUP($R375&amp;AC$2,$K$3:$N$4001,3,0))</f>
        <v/>
      </c>
      <c r="AD375" s="109" t="str">
        <f>IF(ISNA(VLOOKUP($R375&amp;AC$2,$K$3:$N$4001,4,0)),"",VLOOKUP($R375&amp;AC$2,$K$3:$N$4001,4,0))</f>
        <v/>
      </c>
      <c r="AE375" s="108" t="str">
        <f>IF(ISNA(VLOOKUP($R375&amp;AE$2,$K$3:$N$4001,3,0)),"",VLOOKUP($R375&amp;AE$2,$K$3:$N$4001,3,0))</f>
        <v/>
      </c>
      <c r="AF375" s="109" t="str">
        <f>IF(ISNA(VLOOKUP($R375&amp;AE$2,$K$3:$N$4001,4,0)),"",VLOOKUP($R375&amp;AE$2,$K$3:$N$4001,4,0))</f>
        <v/>
      </c>
      <c r="AG375" s="108" t="str">
        <f>IF(ISNA(VLOOKUP($R375&amp;AG$2,$K$3:$N$4001,3,0)),"",VLOOKUP($R375&amp;AG$2,$K$3:$N$4001,3,0))</f>
        <v/>
      </c>
      <c r="AH375" s="109" t="str">
        <f>IF(ISNA(VLOOKUP($R375&amp;AG$2,$K$3:$N$4001,4,0)),"",VLOOKUP($R375&amp;AG$2,$K$3:$N$4001,4,0))</f>
        <v/>
      </c>
      <c r="AI375" s="108" t="str">
        <f>IF(ISNA(VLOOKUP($R375&amp;AI$2,$K$3:$N$4001,3,0)),"",VLOOKUP($R375&amp;AI$2,$K$3:$N$4001,3,0))</f>
        <v/>
      </c>
      <c r="AJ375" s="109" t="str">
        <f>IF(ISNA(VLOOKUP($R375&amp;AI$2,$K$3:$N$4001,4,0)),"",VLOOKUP($R375&amp;AI$2,$K$3:$N$4001,4,0))</f>
        <v/>
      </c>
      <c r="AK375" s="108" t="str">
        <f>IF(ISNA(VLOOKUP($R375&amp;AK$2,$K$3:$N$4001,3,0)),"",VLOOKUP($R375&amp;AK$2,$K$3:$N$4001,3,0))</f>
        <v/>
      </c>
    </row>
    <row r="376" spans="3:37" x14ac:dyDescent="0.2">
      <c r="C376" s="96" t="str">
        <f t="shared" si="20"/>
        <v>CBA2</v>
      </c>
      <c r="D376" s="73" t="s">
        <v>103</v>
      </c>
      <c r="E376" s="100">
        <v>40042</v>
      </c>
      <c r="F376" s="101">
        <v>1.53</v>
      </c>
      <c r="G376" s="96">
        <f t="shared" si="21"/>
        <v>2</v>
      </c>
      <c r="I376" s="96"/>
      <c r="K376" t="str">
        <f t="shared" si="22"/>
        <v>CBA2</v>
      </c>
      <c r="L376" s="73" t="s">
        <v>103</v>
      </c>
      <c r="M376" s="72">
        <v>40042</v>
      </c>
      <c r="N376" s="84">
        <v>1.53</v>
      </c>
      <c r="O376" s="96">
        <f t="shared" si="23"/>
        <v>2</v>
      </c>
      <c r="Q376" s="96"/>
      <c r="R376" s="96" t="s">
        <v>227</v>
      </c>
      <c r="S376" s="106">
        <f>IF(ISNA(VLOOKUP($R376&amp;S$2,$C$3:$F$4001,3,0)),"",VLOOKUP($R376&amp;S$2,$C$3:$F$4001,3,0))</f>
        <v>39882</v>
      </c>
      <c r="T376" s="107">
        <f>IF(ISNA(VLOOKUP($R376&amp;S$2,$C$3:$F$4001,4,0)),"",VLOOKUP($R376&amp;S$2,$C$3:$F$4001,4,0))</f>
        <v>7.4999999999999997E-2</v>
      </c>
      <c r="U376" s="106">
        <f>IF(ISNA(VLOOKUP($R376&amp;U$2,$C$3:$F$4001,3,0)),"",VLOOKUP($R376&amp;U$2,$C$3:$F$4001,3,0))</f>
        <v>40058</v>
      </c>
      <c r="V376" s="107">
        <f>IF(ISNA(VLOOKUP($R376&amp;U$2,$C$3:$F$4001,4,0)),"",VLOOKUP($R376&amp;U$2,$C$3:$F$4001,4,0))</f>
        <v>7.4999999999999997E-2</v>
      </c>
      <c r="W376" s="106">
        <f>IF(ISNA(VLOOKUP($R376&amp;W$2,$C$3:$F$4001,3,0)),"",VLOOKUP($R376&amp;W$2,$C$3:$F$4001,3,0))</f>
        <v>40247</v>
      </c>
      <c r="X376" s="107">
        <f>IF(ISNA(VLOOKUP($R376&amp;W$2,$C$3:$F$4001,4,0)),"",VLOOKUP($R376&amp;W$2,$C$3:$F$4001,4,0))</f>
        <v>0.08</v>
      </c>
      <c r="Y376" s="106">
        <f>IF(ISNA(VLOOKUP($R376&amp;Y$2,$C$3:$F$4001,3,0)),"",VLOOKUP($R376&amp;Y$2,$C$3:$F$4001,3,0))</f>
        <v>40423</v>
      </c>
      <c r="Z376" s="107">
        <f>IF(ISNA(VLOOKUP($R376&amp;Y$2,$C$3:$F$4001,4,0)),"",VLOOKUP($R376&amp;Y$2,$C$3:$F$4001,4,0))</f>
        <v>0.08</v>
      </c>
      <c r="AA376" s="106">
        <f>IF(ISNA(VLOOKUP($R376&amp;AA$2,$C$3:$F$4001,3,0)),"",VLOOKUP($R376&amp;AA$2,$C$3:$F$4001,3,0))</f>
        <v>40612</v>
      </c>
      <c r="AB376" s="107">
        <f>IF(ISNA(VLOOKUP($R376&amp;AA$2,$C$3:$F$4001,4,0)),"",VLOOKUP($R376&amp;AA$2,$C$3:$F$4001,4,0))</f>
        <v>8.5000000000000006E-2</v>
      </c>
      <c r="AC376" s="106">
        <f>IF(ISNA(VLOOKUP($R376&amp;AC$2,$C$3:$F$4001,3,0)),"",VLOOKUP($R376&amp;AC$2,$C$3:$F$4001,3,0))</f>
        <v>40788</v>
      </c>
      <c r="AD376" s="107">
        <f>IF(ISNA(VLOOKUP($R376&amp;AC$2,$C$3:$F$4001,4,0)),"",VLOOKUP($R376&amp;AC$2,$C$3:$F$4001,4,0))</f>
        <v>8.5000000000000006E-2</v>
      </c>
      <c r="AE376" s="106">
        <f>IF(ISNA(VLOOKUP($R376&amp;AE$2,$C$3:$F$4001,3,0)),"",VLOOKUP($R376&amp;AE$2,$C$3:$F$4001,3,0))</f>
        <v>40980</v>
      </c>
      <c r="AF376" s="107">
        <f>IF(ISNA(VLOOKUP($R376&amp;AE$2,$C$3:$F$4001,4,0)),"",VLOOKUP($R376&amp;AE$2,$C$3:$F$4001,4,0))</f>
        <v>0.09</v>
      </c>
      <c r="AG376" s="106">
        <f>IF(ISNA(VLOOKUP($R376&amp;AG$2,$C$3:$F$4001,3,0)),"",VLOOKUP($R376&amp;AG$2,$C$3:$F$4001,3,0))</f>
        <v>41156</v>
      </c>
      <c r="AH376" s="107">
        <f>IF(ISNA(VLOOKUP($R376&amp;AG$2,$C$3:$F$4001,4,0)),"",VLOOKUP($R376&amp;AG$2,$C$3:$F$4001,4,0))</f>
        <v>0.09</v>
      </c>
      <c r="AI376" s="106">
        <f>IF(ISNA(VLOOKUP($R376&amp;AI$2,$C$3:$F$4001,3,0)),"",VLOOKUP($R376&amp;AI$2,$C$3:$F$4001,3,0))</f>
        <v>41345</v>
      </c>
      <c r="AJ376" s="107">
        <f>IF(ISNA(VLOOKUP($R376&amp;AI$2,$C$3:$F$4001,4,0)),"",VLOOKUP($R376&amp;AI$2,$C$3:$F$4001,4,0))</f>
        <v>0.1</v>
      </c>
      <c r="AK376" s="106">
        <f>IF(ISNA(VLOOKUP($R376&amp;AK$2,$C$3:$F$4001,3,0)),"",VLOOKUP($R376&amp;AK$2,$C$3:$F$4001,3,0))</f>
        <v>41521</v>
      </c>
    </row>
    <row r="377" spans="3:37" x14ac:dyDescent="0.2">
      <c r="C377" s="96" t="str">
        <f t="shared" si="20"/>
        <v>CBA3</v>
      </c>
      <c r="D377" s="73" t="s">
        <v>103</v>
      </c>
      <c r="E377" s="100">
        <v>40225</v>
      </c>
      <c r="F377" s="101">
        <v>1.1299999999999999</v>
      </c>
      <c r="G377" s="96">
        <f t="shared" si="21"/>
        <v>3</v>
      </c>
      <c r="I377" s="96"/>
      <c r="K377" t="str">
        <f t="shared" si="22"/>
        <v>CBA3</v>
      </c>
      <c r="L377" s="73" t="s">
        <v>103</v>
      </c>
      <c r="M377" s="72">
        <v>40225</v>
      </c>
      <c r="N377" s="84">
        <v>1.1299999999999999</v>
      </c>
      <c r="O377" s="96">
        <f t="shared" si="23"/>
        <v>3</v>
      </c>
      <c r="Q377" s="96"/>
      <c r="R377" s="96" t="str">
        <f>R376</f>
        <v>TSE</v>
      </c>
      <c r="S377" s="108">
        <f>IF(ISNA(VLOOKUP($R377&amp;S$2,$K$3:$N$4001,3,0)),"",VLOOKUP($R377&amp;S$2,$K$3:$N$4001,3,0))</f>
        <v>39882</v>
      </c>
      <c r="T377" s="109">
        <f>IF(ISNA(VLOOKUP($R377&amp;S$2,$K$3:$N$4001,4,0)),"",VLOOKUP($R377&amp;S$2,$K$3:$N$4001,4,0))</f>
        <v>7.4999999999999997E-2</v>
      </c>
      <c r="U377" s="108">
        <f>IF(ISNA(VLOOKUP($R377&amp;U$2,$K$3:$N$4001,3,0)),"",VLOOKUP($R377&amp;U$2,$K$3:$N$4001,3,0))</f>
        <v>40058</v>
      </c>
      <c r="V377" s="109">
        <f>IF(ISNA(VLOOKUP($R377&amp;U$2,$K$3:$N$4001,4,0)),"",VLOOKUP($R377&amp;U$2,$K$3:$N$4001,4,0))</f>
        <v>7.4999999999999997E-2</v>
      </c>
      <c r="W377" s="108">
        <f>IF(ISNA(VLOOKUP($R377&amp;W$2,$K$3:$N$4001,3,0)),"",VLOOKUP($R377&amp;W$2,$K$3:$N$4001,3,0))</f>
        <v>40247</v>
      </c>
      <c r="X377" s="109">
        <f>IF(ISNA(VLOOKUP($R377&amp;W$2,$K$3:$N$4001,4,0)),"",VLOOKUP($R377&amp;W$2,$K$3:$N$4001,4,0))</f>
        <v>0.08</v>
      </c>
      <c r="Y377" s="108">
        <f>IF(ISNA(VLOOKUP($R377&amp;Y$2,$K$3:$N$4001,3,0)),"",VLOOKUP($R377&amp;Y$2,$K$3:$N$4001,3,0))</f>
        <v>40423</v>
      </c>
      <c r="Z377" s="109">
        <f>IF(ISNA(VLOOKUP($R377&amp;Y$2,$K$3:$N$4001,4,0)),"",VLOOKUP($R377&amp;Y$2,$K$3:$N$4001,4,0))</f>
        <v>0.08</v>
      </c>
      <c r="AA377" s="108">
        <f>IF(ISNA(VLOOKUP($R377&amp;AA$2,$K$3:$N$4001,3,0)),"",VLOOKUP($R377&amp;AA$2,$K$3:$N$4001,3,0))</f>
        <v>40612</v>
      </c>
      <c r="AB377" s="109">
        <f>IF(ISNA(VLOOKUP($R377&amp;AA$2,$K$3:$N$4001,4,0)),"",VLOOKUP($R377&amp;AA$2,$K$3:$N$4001,4,0))</f>
        <v>8.5000000000000006E-2</v>
      </c>
      <c r="AC377" s="108">
        <f>IF(ISNA(VLOOKUP($R377&amp;AC$2,$K$3:$N$4001,3,0)),"",VLOOKUP($R377&amp;AC$2,$K$3:$N$4001,3,0))</f>
        <v>40788</v>
      </c>
      <c r="AD377" s="109">
        <f>IF(ISNA(VLOOKUP($R377&amp;AC$2,$K$3:$N$4001,4,0)),"",VLOOKUP($R377&amp;AC$2,$K$3:$N$4001,4,0))</f>
        <v>8.5000000000000006E-2</v>
      </c>
      <c r="AE377" s="108">
        <f>IF(ISNA(VLOOKUP($R377&amp;AE$2,$K$3:$N$4001,3,0)),"",VLOOKUP($R377&amp;AE$2,$K$3:$N$4001,3,0))</f>
        <v>40980</v>
      </c>
      <c r="AF377" s="109">
        <f>IF(ISNA(VLOOKUP($R377&amp;AE$2,$K$3:$N$4001,4,0)),"",VLOOKUP($R377&amp;AE$2,$K$3:$N$4001,4,0))</f>
        <v>0.09</v>
      </c>
      <c r="AG377" s="108">
        <f>IF(ISNA(VLOOKUP($R377&amp;AG$2,$K$3:$N$4001,3,0)),"",VLOOKUP($R377&amp;AG$2,$K$3:$N$4001,3,0))</f>
        <v>41156</v>
      </c>
      <c r="AH377" s="109">
        <f>IF(ISNA(VLOOKUP($R377&amp;AG$2,$K$3:$N$4001,4,0)),"",VLOOKUP($R377&amp;AG$2,$K$3:$N$4001,4,0))</f>
        <v>0.09</v>
      </c>
      <c r="AI377" s="108">
        <f>IF(ISNA(VLOOKUP($R377&amp;AI$2,$K$3:$N$4001,3,0)),"",VLOOKUP($R377&amp;AI$2,$K$3:$N$4001,3,0))</f>
        <v>41345</v>
      </c>
      <c r="AJ377" s="109">
        <f>IF(ISNA(VLOOKUP($R377&amp;AI$2,$K$3:$N$4001,4,0)),"",VLOOKUP($R377&amp;AI$2,$K$3:$N$4001,4,0))</f>
        <v>0.1</v>
      </c>
      <c r="AK377" s="108">
        <f>IF(ISNA(VLOOKUP($R377&amp;AK$2,$K$3:$N$4001,3,0)),"",VLOOKUP($R377&amp;AK$2,$K$3:$N$4001,3,0))</f>
        <v>41521</v>
      </c>
    </row>
    <row r="378" spans="3:37" x14ac:dyDescent="0.2">
      <c r="C378" s="96" t="str">
        <f t="shared" si="20"/>
        <v>CBA4</v>
      </c>
      <c r="D378" s="73" t="s">
        <v>103</v>
      </c>
      <c r="E378" s="100">
        <v>40407</v>
      </c>
      <c r="F378" s="101">
        <v>1.53</v>
      </c>
      <c r="G378" s="96">
        <f t="shared" si="21"/>
        <v>4</v>
      </c>
      <c r="I378" s="96"/>
      <c r="K378" t="str">
        <f t="shared" si="22"/>
        <v>CBA4</v>
      </c>
      <c r="L378" s="73" t="s">
        <v>103</v>
      </c>
      <c r="M378" s="72">
        <v>40407</v>
      </c>
      <c r="N378" s="84">
        <v>1.53</v>
      </c>
      <c r="O378" s="96">
        <f t="shared" si="23"/>
        <v>4</v>
      </c>
      <c r="Q378" s="96"/>
      <c r="R378" s="96" t="s">
        <v>226</v>
      </c>
      <c r="S378" s="106">
        <f>IF(ISNA(VLOOKUP($R378&amp;S$2,$C$3:$F$4001,3,0)),"",VLOOKUP($R378&amp;S$2,$C$3:$F$4001,3,0))</f>
        <v>39895</v>
      </c>
      <c r="T378" s="107">
        <f>IF(ISNA(VLOOKUP($R378&amp;S$2,$C$3:$F$4001,4,0)),"",VLOOKUP($R378&amp;S$2,$C$3:$F$4001,4,0))</f>
        <v>0.09</v>
      </c>
      <c r="U378" s="106">
        <f>IF(ISNA(VLOOKUP($R378&amp;U$2,$C$3:$F$4001,3,0)),"",VLOOKUP($R378&amp;U$2,$C$3:$F$4001,3,0))</f>
        <v>40077</v>
      </c>
      <c r="V378" s="107">
        <f>IF(ISNA(VLOOKUP($R378&amp;U$2,$C$3:$F$4001,4,0)),"",VLOOKUP($R378&amp;U$2,$C$3:$F$4001,4,0))</f>
        <v>0.10099999999999999</v>
      </c>
      <c r="W378" s="106">
        <f>IF(ISNA(VLOOKUP($R378&amp;W$2,$C$3:$F$4001,3,0)),"",VLOOKUP($R378&amp;W$2,$C$3:$F$4001,3,0))</f>
        <v>40260</v>
      </c>
      <c r="X378" s="107">
        <f>IF(ISNA(VLOOKUP($R378&amp;W$2,$C$3:$F$4001,4,0)),"",VLOOKUP($R378&amp;W$2,$C$3:$F$4001,4,0))</f>
        <v>9.3800000000000008E-2</v>
      </c>
      <c r="Y378" s="106">
        <f>IF(ISNA(VLOOKUP($R378&amp;Y$2,$C$3:$F$4001,3,0)),"",VLOOKUP($R378&amp;Y$2,$C$3:$F$4001,3,0))</f>
        <v>40442</v>
      </c>
      <c r="Z378" s="107">
        <f>IF(ISNA(VLOOKUP($R378&amp;Y$2,$C$3:$F$4001,4,0)),"",VLOOKUP($R378&amp;Y$2,$C$3:$F$4001,4,0))</f>
        <v>0.1052</v>
      </c>
      <c r="AA378" s="106">
        <f>IF(ISNA(VLOOKUP($R378&amp;AA$2,$C$3:$F$4001,3,0)),"",VLOOKUP($R378&amp;AA$2,$C$3:$F$4001,3,0))</f>
        <v>40625</v>
      </c>
      <c r="AB378" s="107">
        <f>IF(ISNA(VLOOKUP($R378&amp;AA$2,$C$3:$F$4001,4,0)),"",VLOOKUP($R378&amp;AA$2,$C$3:$F$4001,4,0))</f>
        <v>0.11119999999999999</v>
      </c>
      <c r="AC378" s="106">
        <f>IF(ISNA(VLOOKUP($R378&amp;AC$2,$C$3:$F$4001,3,0)),"",VLOOKUP($R378&amp;AC$2,$C$3:$F$4001,3,0))</f>
        <v>40807</v>
      </c>
      <c r="AD378" s="107">
        <f>IF(ISNA(VLOOKUP($R378&amp;AC$2,$C$3:$F$4001,4,0)),"",VLOOKUP($R378&amp;AC$2,$C$3:$F$4001,4,0))</f>
        <v>0.12480000000000001</v>
      </c>
      <c r="AE378" s="106">
        <f>IF(ISNA(VLOOKUP($R378&amp;AE$2,$C$3:$F$4001,3,0)),"",VLOOKUP($R378&amp;AE$2,$C$3:$F$4001,3,0))</f>
        <v>40991</v>
      </c>
      <c r="AF378" s="107">
        <f>IF(ISNA(VLOOKUP($R378&amp;AE$2,$C$3:$F$4001,4,0)),"",VLOOKUP($R378&amp;AE$2,$C$3:$F$4001,4,0))</f>
        <v>0.13470000000000001</v>
      </c>
      <c r="AG378" s="106">
        <f>IF(ISNA(VLOOKUP($R378&amp;AG$2,$C$3:$F$4001,3,0)),"",VLOOKUP($R378&amp;AG$2,$C$3:$F$4001,3,0))</f>
        <v>41173</v>
      </c>
      <c r="AH378" s="107">
        <f>IF(ISNA(VLOOKUP($R378&amp;AG$2,$C$3:$F$4001,4,0)),"",VLOOKUP($R378&amp;AG$2,$C$3:$F$4001,4,0))</f>
        <v>0.15130000000000002</v>
      </c>
      <c r="AI378" s="106">
        <f>IF(ISNA(VLOOKUP($R378&amp;AI$2,$C$3:$F$4001,3,0)),"",VLOOKUP($R378&amp;AI$2,$C$3:$F$4001,3,0))</f>
        <v>41358</v>
      </c>
      <c r="AJ378" s="107">
        <f>IF(ISNA(VLOOKUP($R378&amp;AI$2,$C$3:$F$4001,4,0)),"",VLOOKUP($R378&amp;AI$2,$C$3:$F$4001,4,0))</f>
        <v>0.16620000000000001</v>
      </c>
      <c r="AK378" s="106">
        <f>IF(ISNA(VLOOKUP($R378&amp;AK$2,$C$3:$F$4001,3,0)),"",VLOOKUP($R378&amp;AK$2,$C$3:$F$4001,3,0))</f>
        <v>41540</v>
      </c>
    </row>
    <row r="379" spans="3:37" x14ac:dyDescent="0.2">
      <c r="C379" s="96" t="str">
        <f t="shared" si="20"/>
        <v>CBA5</v>
      </c>
      <c r="D379" s="73" t="s">
        <v>103</v>
      </c>
      <c r="E379" s="100">
        <v>40590</v>
      </c>
      <c r="F379" s="101">
        <v>1.1399999999999999</v>
      </c>
      <c r="G379" s="96">
        <f t="shared" si="21"/>
        <v>5</v>
      </c>
      <c r="I379" s="96"/>
      <c r="K379" t="str">
        <f t="shared" si="22"/>
        <v>CBA5</v>
      </c>
      <c r="L379" s="73" t="s">
        <v>103</v>
      </c>
      <c r="M379" s="72">
        <v>40590</v>
      </c>
      <c r="N379" s="84">
        <v>1.1399999999999999</v>
      </c>
      <c r="O379" s="96">
        <f t="shared" si="23"/>
        <v>5</v>
      </c>
      <c r="Q379" s="96"/>
      <c r="R379" s="96" t="str">
        <f>R378</f>
        <v>TPI</v>
      </c>
      <c r="S379" s="108">
        <f>IF(ISNA(VLOOKUP($R379&amp;S$2,$K$3:$N$4001,3,0)),"",VLOOKUP($R379&amp;S$2,$K$3:$N$4001,3,0))</f>
        <v>39895</v>
      </c>
      <c r="T379" s="109">
        <f>IF(ISNA(VLOOKUP($R379&amp;S$2,$K$3:$N$4001,4,0)),"",VLOOKUP($R379&amp;S$2,$K$3:$N$4001,4,0))</f>
        <v>0.09</v>
      </c>
      <c r="U379" s="108">
        <f>IF(ISNA(VLOOKUP($R379&amp;U$2,$K$3:$N$4001,3,0)),"",VLOOKUP($R379&amp;U$2,$K$3:$N$4001,3,0))</f>
        <v>40077</v>
      </c>
      <c r="V379" s="109">
        <f>IF(ISNA(VLOOKUP($R379&amp;U$2,$K$3:$N$4001,4,0)),"",VLOOKUP($R379&amp;U$2,$K$3:$N$4001,4,0))</f>
        <v>0.10099999999999999</v>
      </c>
      <c r="W379" s="108">
        <f>IF(ISNA(VLOOKUP($R379&amp;W$2,$K$3:$N$4001,3,0)),"",VLOOKUP($R379&amp;W$2,$K$3:$N$4001,3,0))</f>
        <v>40260</v>
      </c>
      <c r="X379" s="109">
        <f>IF(ISNA(VLOOKUP($R379&amp;W$2,$K$3:$N$4001,4,0)),"",VLOOKUP($R379&amp;W$2,$K$3:$N$4001,4,0))</f>
        <v>9.3800000000000008E-2</v>
      </c>
      <c r="Y379" s="108">
        <f>IF(ISNA(VLOOKUP($R379&amp;Y$2,$K$3:$N$4001,3,0)),"",VLOOKUP($R379&amp;Y$2,$K$3:$N$4001,3,0))</f>
        <v>40442</v>
      </c>
      <c r="Z379" s="109">
        <f>IF(ISNA(VLOOKUP($R379&amp;Y$2,$K$3:$N$4001,4,0)),"",VLOOKUP($R379&amp;Y$2,$K$3:$N$4001,4,0))</f>
        <v>0.1052</v>
      </c>
      <c r="AA379" s="108">
        <f>IF(ISNA(VLOOKUP($R379&amp;AA$2,$K$3:$N$4001,3,0)),"",VLOOKUP($R379&amp;AA$2,$K$3:$N$4001,3,0))</f>
        <v>40625</v>
      </c>
      <c r="AB379" s="109">
        <f>IF(ISNA(VLOOKUP($R379&amp;AA$2,$K$3:$N$4001,4,0)),"",VLOOKUP($R379&amp;AA$2,$K$3:$N$4001,4,0))</f>
        <v>0.11119999999999999</v>
      </c>
      <c r="AC379" s="108">
        <f>IF(ISNA(VLOOKUP($R379&amp;AC$2,$K$3:$N$4001,3,0)),"",VLOOKUP($R379&amp;AC$2,$K$3:$N$4001,3,0))</f>
        <v>40807</v>
      </c>
      <c r="AD379" s="109">
        <f>IF(ISNA(VLOOKUP($R379&amp;AC$2,$K$3:$N$4001,4,0)),"",VLOOKUP($R379&amp;AC$2,$K$3:$N$4001,4,0))</f>
        <v>0.12480000000000001</v>
      </c>
      <c r="AE379" s="108">
        <f>IF(ISNA(VLOOKUP($R379&amp;AE$2,$K$3:$N$4001,3,0)),"",VLOOKUP($R379&amp;AE$2,$K$3:$N$4001,3,0))</f>
        <v>40991</v>
      </c>
      <c r="AF379" s="109">
        <f>IF(ISNA(VLOOKUP($R379&amp;AE$2,$K$3:$N$4001,4,0)),"",VLOOKUP($R379&amp;AE$2,$K$3:$N$4001,4,0))</f>
        <v>0.13470000000000001</v>
      </c>
      <c r="AG379" s="108">
        <f>IF(ISNA(VLOOKUP($R379&amp;AG$2,$K$3:$N$4001,3,0)),"",VLOOKUP($R379&amp;AG$2,$K$3:$N$4001,3,0))</f>
        <v>41173</v>
      </c>
      <c r="AH379" s="109">
        <f>IF(ISNA(VLOOKUP($R379&amp;AG$2,$K$3:$N$4001,4,0)),"",VLOOKUP($R379&amp;AG$2,$K$3:$N$4001,4,0))</f>
        <v>0.15130000000000002</v>
      </c>
      <c r="AI379" s="108">
        <f>IF(ISNA(VLOOKUP($R379&amp;AI$2,$K$3:$N$4001,3,0)),"",VLOOKUP($R379&amp;AI$2,$K$3:$N$4001,3,0))</f>
        <v>41358</v>
      </c>
      <c r="AJ379" s="109">
        <f>IF(ISNA(VLOOKUP($R379&amp;AI$2,$K$3:$N$4001,4,0)),"",VLOOKUP($R379&amp;AI$2,$K$3:$N$4001,4,0))</f>
        <v>0.16620000000000001</v>
      </c>
      <c r="AK379" s="108">
        <f>IF(ISNA(VLOOKUP($R379&amp;AK$2,$K$3:$N$4001,3,0)),"",VLOOKUP($R379&amp;AK$2,$K$3:$N$4001,3,0))</f>
        <v>41540</v>
      </c>
    </row>
    <row r="380" spans="3:37" x14ac:dyDescent="0.2">
      <c r="C380" s="96" t="str">
        <f t="shared" si="20"/>
        <v>CBA6</v>
      </c>
      <c r="D380" s="73" t="s">
        <v>103</v>
      </c>
      <c r="E380" s="100">
        <v>40772</v>
      </c>
      <c r="F380" s="101">
        <v>1.58</v>
      </c>
      <c r="G380" s="96">
        <f t="shared" si="21"/>
        <v>6</v>
      </c>
      <c r="I380" s="96"/>
      <c r="K380" t="str">
        <f t="shared" si="22"/>
        <v>CBA6</v>
      </c>
      <c r="L380" s="73" t="s">
        <v>103</v>
      </c>
      <c r="M380" s="72">
        <v>40772</v>
      </c>
      <c r="N380" s="84">
        <v>1.58</v>
      </c>
      <c r="O380" s="96">
        <f t="shared" si="23"/>
        <v>6</v>
      </c>
      <c r="Q380" s="96"/>
      <c r="R380" s="96" t="s">
        <v>219</v>
      </c>
      <c r="S380" s="106">
        <f>IF(ISNA(VLOOKUP($R380&amp;S$2,$C$3:$F$4001,3,0)),"",VLOOKUP($R380&amp;S$2,$C$3:$F$4001,3,0))</f>
        <v>39988</v>
      </c>
      <c r="T380" s="107">
        <f>IF(ISNA(VLOOKUP($R380&amp;S$2,$C$3:$F$4001,4,0)),"",VLOOKUP($R380&amp;S$2,$C$3:$F$4001,4,0))</f>
        <v>0.11</v>
      </c>
      <c r="U380" s="106">
        <f>IF(ISNA(VLOOKUP($R380&amp;U$2,$C$3:$F$4001,3,0)),"",VLOOKUP($R380&amp;U$2,$C$3:$F$4001,3,0))</f>
        <v>40170</v>
      </c>
      <c r="V380" s="107">
        <f>IF(ISNA(VLOOKUP($R380&amp;U$2,$C$3:$F$4001,4,0)),"",VLOOKUP($R380&amp;U$2,$C$3:$F$4001,4,0))</f>
        <v>0.11</v>
      </c>
      <c r="W380" s="106">
        <f>IF(ISNA(VLOOKUP($R380&amp;W$2,$C$3:$F$4001,3,0)),"",VLOOKUP($R380&amp;W$2,$C$3:$F$4001,3,0))</f>
        <v>40353</v>
      </c>
      <c r="X380" s="107">
        <f>IF(ISNA(VLOOKUP($R380&amp;W$2,$C$3:$F$4001,4,0)),"",VLOOKUP($R380&amp;W$2,$C$3:$F$4001,4,0))</f>
        <v>0.11</v>
      </c>
      <c r="Y380" s="106">
        <f>IF(ISNA(VLOOKUP($R380&amp;Y$2,$C$3:$F$4001,3,0)),"",VLOOKUP($R380&amp;Y$2,$C$3:$F$4001,3,0))</f>
        <v>40535</v>
      </c>
      <c r="Z380" s="107">
        <f>IF(ISNA(VLOOKUP($R380&amp;Y$2,$C$3:$F$4001,4,0)),"",VLOOKUP($R380&amp;Y$2,$C$3:$F$4001,4,0))</f>
        <v>0.11</v>
      </c>
      <c r="AA380" s="106">
        <f>IF(ISNA(VLOOKUP($R380&amp;AA$2,$C$3:$F$4001,3,0)),"",VLOOKUP($R380&amp;AA$2,$C$3:$F$4001,3,0))</f>
        <v>40718</v>
      </c>
      <c r="AB380" s="107">
        <f>IF(ISNA(VLOOKUP($R380&amp;AA$2,$C$3:$F$4001,4,0)),"",VLOOKUP($R380&amp;AA$2,$C$3:$F$4001,4,0))</f>
        <v>0.12</v>
      </c>
      <c r="AC380" s="106">
        <f>IF(ISNA(VLOOKUP($R380&amp;AC$2,$C$3:$F$4001,3,0)),"",VLOOKUP($R380&amp;AC$2,$C$3:$F$4001,3,0))</f>
        <v>40899</v>
      </c>
      <c r="AD380" s="107">
        <f>IF(ISNA(VLOOKUP($R380&amp;AC$2,$C$3:$F$4001,4,0)),"",VLOOKUP($R380&amp;AC$2,$C$3:$F$4001,4,0))</f>
        <v>0.12</v>
      </c>
      <c r="AE380" s="106">
        <f>IF(ISNA(VLOOKUP($R380&amp;AE$2,$C$3:$F$4001,3,0)),"",VLOOKUP($R380&amp;AE$2,$C$3:$F$4001,3,0))</f>
        <v>41085</v>
      </c>
      <c r="AF380" s="107">
        <f>IF(ISNA(VLOOKUP($R380&amp;AE$2,$C$3:$F$4001,4,0)),"",VLOOKUP($R380&amp;AE$2,$C$3:$F$4001,4,0))</f>
        <v>0.13</v>
      </c>
      <c r="AG380" s="106">
        <f>IF(ISNA(VLOOKUP($R380&amp;AG$2,$C$3:$F$4001,3,0)),"",VLOOKUP($R380&amp;AG$2,$C$3:$F$4001,3,0))</f>
        <v>41268</v>
      </c>
      <c r="AH380" s="107">
        <f>IF(ISNA(VLOOKUP($R380&amp;AG$2,$C$3:$F$4001,4,0)),"",VLOOKUP($R380&amp;AG$2,$C$3:$F$4001,4,0))</f>
        <v>0.13</v>
      </c>
      <c r="AI380" s="106">
        <f>IF(ISNA(VLOOKUP($R380&amp;AI$2,$C$3:$F$4001,3,0)),"",VLOOKUP($R380&amp;AI$2,$C$3:$F$4001,3,0))</f>
        <v>41450</v>
      </c>
      <c r="AJ380" s="107">
        <f>IF(ISNA(VLOOKUP($R380&amp;AI$2,$C$3:$F$4001,4,0)),"",VLOOKUP($R380&amp;AI$2,$C$3:$F$4001,4,0))</f>
        <v>0.14000000000000001</v>
      </c>
      <c r="AK380" s="106" t="str">
        <f>IF(ISNA(VLOOKUP($R380&amp;AK$2,$C$3:$F$4001,3,0)),"",VLOOKUP($R380&amp;AK$2,$C$3:$F$4001,3,0))</f>
        <v/>
      </c>
    </row>
    <row r="381" spans="3:37" x14ac:dyDescent="0.2">
      <c r="C381" s="96" t="str">
        <f t="shared" si="20"/>
        <v>CBA7</v>
      </c>
      <c r="D381" s="73" t="s">
        <v>103</v>
      </c>
      <c r="E381" s="100">
        <v>40955</v>
      </c>
      <c r="F381" s="101">
        <v>1.22</v>
      </c>
      <c r="G381" s="96">
        <f t="shared" si="21"/>
        <v>7</v>
      </c>
      <c r="I381" s="96"/>
      <c r="K381" t="str">
        <f t="shared" si="22"/>
        <v>CBA7</v>
      </c>
      <c r="L381" s="73" t="s">
        <v>103</v>
      </c>
      <c r="M381" s="72">
        <v>40955</v>
      </c>
      <c r="N381" s="84">
        <v>1.22</v>
      </c>
      <c r="O381" s="96">
        <f t="shared" si="23"/>
        <v>7</v>
      </c>
      <c r="Q381" s="96"/>
      <c r="R381" s="96" t="str">
        <f>R380</f>
        <v>TCL</v>
      </c>
      <c r="S381" s="108">
        <f>IF(ISNA(VLOOKUP($R381&amp;S$2,$K$3:$N$4001,3,0)),"",VLOOKUP($R381&amp;S$2,$K$3:$N$4001,3,0))</f>
        <v>39988</v>
      </c>
      <c r="T381" s="109">
        <f>IF(ISNA(VLOOKUP($R381&amp;S$2,$K$3:$N$4001,4,0)),"",VLOOKUP($R381&amp;S$2,$K$3:$N$4001,4,0))</f>
        <v>0.11</v>
      </c>
      <c r="U381" s="108">
        <f>IF(ISNA(VLOOKUP($R381&amp;U$2,$K$3:$N$4001,3,0)),"",VLOOKUP($R381&amp;U$2,$K$3:$N$4001,3,0))</f>
        <v>40170</v>
      </c>
      <c r="V381" s="109">
        <f>IF(ISNA(VLOOKUP($R381&amp;U$2,$K$3:$N$4001,4,0)),"",VLOOKUP($R381&amp;U$2,$K$3:$N$4001,4,0))</f>
        <v>0.11</v>
      </c>
      <c r="W381" s="108">
        <f>IF(ISNA(VLOOKUP($R381&amp;W$2,$K$3:$N$4001,3,0)),"",VLOOKUP($R381&amp;W$2,$K$3:$N$4001,3,0))</f>
        <v>40353</v>
      </c>
      <c r="X381" s="109">
        <f>IF(ISNA(VLOOKUP($R381&amp;W$2,$K$3:$N$4001,4,0)),"",VLOOKUP($R381&amp;W$2,$K$3:$N$4001,4,0))</f>
        <v>0.11</v>
      </c>
      <c r="Y381" s="108">
        <f>IF(ISNA(VLOOKUP($R381&amp;Y$2,$K$3:$N$4001,3,0)),"",VLOOKUP($R381&amp;Y$2,$K$3:$N$4001,3,0))</f>
        <v>40535</v>
      </c>
      <c r="Z381" s="109">
        <f>IF(ISNA(VLOOKUP($R381&amp;Y$2,$K$3:$N$4001,4,0)),"",VLOOKUP($R381&amp;Y$2,$K$3:$N$4001,4,0))</f>
        <v>0.11</v>
      </c>
      <c r="AA381" s="108">
        <f>IF(ISNA(VLOOKUP($R381&amp;AA$2,$K$3:$N$4001,3,0)),"",VLOOKUP($R381&amp;AA$2,$K$3:$N$4001,3,0))</f>
        <v>40718</v>
      </c>
      <c r="AB381" s="109">
        <f>IF(ISNA(VLOOKUP($R381&amp;AA$2,$K$3:$N$4001,4,0)),"",VLOOKUP($R381&amp;AA$2,$K$3:$N$4001,4,0))</f>
        <v>0.12</v>
      </c>
      <c r="AC381" s="108">
        <f>IF(ISNA(VLOOKUP($R381&amp;AC$2,$K$3:$N$4001,3,0)),"",VLOOKUP($R381&amp;AC$2,$K$3:$N$4001,3,0))</f>
        <v>40899</v>
      </c>
      <c r="AD381" s="109">
        <f>IF(ISNA(VLOOKUP($R381&amp;AC$2,$K$3:$N$4001,4,0)),"",VLOOKUP($R381&amp;AC$2,$K$3:$N$4001,4,0))</f>
        <v>0.12</v>
      </c>
      <c r="AE381" s="108">
        <f>IF(ISNA(VLOOKUP($R381&amp;AE$2,$K$3:$N$4001,3,0)),"",VLOOKUP($R381&amp;AE$2,$K$3:$N$4001,3,0))</f>
        <v>41085</v>
      </c>
      <c r="AF381" s="109">
        <f>IF(ISNA(VLOOKUP($R381&amp;AE$2,$K$3:$N$4001,4,0)),"",VLOOKUP($R381&amp;AE$2,$K$3:$N$4001,4,0))</f>
        <v>0.13</v>
      </c>
      <c r="AG381" s="108">
        <f>IF(ISNA(VLOOKUP($R381&amp;AG$2,$K$3:$N$4001,3,0)),"",VLOOKUP($R381&amp;AG$2,$K$3:$N$4001,3,0))</f>
        <v>41268</v>
      </c>
      <c r="AH381" s="109">
        <f>IF(ISNA(VLOOKUP($R381&amp;AG$2,$K$3:$N$4001,4,0)),"",VLOOKUP($R381&amp;AG$2,$K$3:$N$4001,4,0))</f>
        <v>0.13</v>
      </c>
      <c r="AI381" s="108">
        <f>IF(ISNA(VLOOKUP($R381&amp;AI$2,$K$3:$N$4001,3,0)),"",VLOOKUP($R381&amp;AI$2,$K$3:$N$4001,3,0))</f>
        <v>41450</v>
      </c>
      <c r="AJ381" s="109">
        <f>IF(ISNA(VLOOKUP($R381&amp;AI$2,$K$3:$N$4001,4,0)),"",VLOOKUP($R381&amp;AI$2,$K$3:$N$4001,4,0))</f>
        <v>0.14000000000000001</v>
      </c>
      <c r="AK381" s="108" t="str">
        <f>IF(ISNA(VLOOKUP($R381&amp;AK$2,$K$3:$N$4001,3,0)),"",VLOOKUP($R381&amp;AK$2,$K$3:$N$4001,3,0))</f>
        <v/>
      </c>
    </row>
    <row r="382" spans="3:37" x14ac:dyDescent="0.2">
      <c r="C382" s="96" t="str">
        <f t="shared" si="20"/>
        <v>CBA8</v>
      </c>
      <c r="D382" s="73" t="s">
        <v>103</v>
      </c>
      <c r="E382" s="100">
        <v>41138</v>
      </c>
      <c r="F382" s="101">
        <v>1.68</v>
      </c>
      <c r="G382" s="96">
        <f t="shared" si="21"/>
        <v>8</v>
      </c>
      <c r="I382" s="96"/>
      <c r="K382" t="str">
        <f t="shared" si="22"/>
        <v>CBA8</v>
      </c>
      <c r="L382" s="73" t="s">
        <v>103</v>
      </c>
      <c r="M382" s="72">
        <v>41138</v>
      </c>
      <c r="N382" s="84">
        <v>1.68</v>
      </c>
      <c r="O382" s="96">
        <f t="shared" si="23"/>
        <v>8</v>
      </c>
      <c r="Q382" s="96"/>
      <c r="R382" s="96" t="s">
        <v>231</v>
      </c>
      <c r="S382" s="106">
        <f>IF(ISNA(VLOOKUP($R382&amp;S$2,$C$3:$F$4001,3,0)),"",VLOOKUP($R382&amp;S$2,$C$3:$F$4001,3,0))</f>
        <v>39861</v>
      </c>
      <c r="T382" s="107">
        <f>IF(ISNA(VLOOKUP($R382&amp;S$2,$C$3:$F$4001,4,0)),"",VLOOKUP($R382&amp;S$2,$C$3:$F$4001,4,0))</f>
        <v>0.27</v>
      </c>
      <c r="U382" s="106">
        <f>IF(ISNA(VLOOKUP($R382&amp;U$2,$C$3:$F$4001,3,0)),"",VLOOKUP($R382&amp;U$2,$C$3:$F$4001,3,0))</f>
        <v>40042</v>
      </c>
      <c r="V382" s="107">
        <f>IF(ISNA(VLOOKUP($R382&amp;U$2,$C$3:$F$4001,4,0)),"",VLOOKUP($R382&amp;U$2,$C$3:$F$4001,4,0))</f>
        <v>0.37</v>
      </c>
      <c r="W382" s="106">
        <f>IF(ISNA(VLOOKUP($R382&amp;W$2,$C$3:$F$4001,3,0)),"",VLOOKUP($R382&amp;W$2,$C$3:$F$4001,3,0))</f>
        <v>40226</v>
      </c>
      <c r="X382" s="107">
        <f>IF(ISNA(VLOOKUP($R382&amp;W$2,$C$3:$F$4001,4,0)),"",VLOOKUP($R382&amp;W$2,$C$3:$F$4001,4,0))</f>
        <v>0.28000000000000003</v>
      </c>
      <c r="Y382" s="106">
        <f>IF(ISNA(VLOOKUP($R382&amp;Y$2,$C$3:$F$4001,3,0)),"",VLOOKUP($R382&amp;Y$2,$C$3:$F$4001,3,0))</f>
        <v>40407</v>
      </c>
      <c r="Z382" s="107">
        <f>IF(ISNA(VLOOKUP($R382&amp;Y$2,$C$3:$F$4001,4,0)),"",VLOOKUP($R382&amp;Y$2,$C$3:$F$4001,4,0))</f>
        <v>0.38</v>
      </c>
      <c r="AA382" s="106">
        <f>IF(ISNA(VLOOKUP($R382&amp;AA$2,$C$3:$F$4001,3,0)),"",VLOOKUP($R382&amp;AA$2,$C$3:$F$4001,3,0))</f>
        <v>40591</v>
      </c>
      <c r="AB382" s="107">
        <f>IF(ISNA(VLOOKUP($R382&amp;AA$2,$C$3:$F$4001,4,0)),"",VLOOKUP($R382&amp;AA$2,$C$3:$F$4001,4,0))</f>
        <v>0.3</v>
      </c>
      <c r="AC382" s="106">
        <f>IF(ISNA(VLOOKUP($R382&amp;AC$2,$C$3:$F$4001,3,0)),"",VLOOKUP($R382&amp;AC$2,$C$3:$F$4001,3,0))</f>
        <v>40772</v>
      </c>
      <c r="AD382" s="107">
        <f>IF(ISNA(VLOOKUP($R382&amp;AC$2,$C$3:$F$4001,4,0)),"",VLOOKUP($R382&amp;AC$2,$C$3:$F$4001,4,0))</f>
        <v>0.4</v>
      </c>
      <c r="AE382" s="106">
        <f>IF(ISNA(VLOOKUP($R382&amp;AE$2,$C$3:$F$4001,3,0)),"",VLOOKUP($R382&amp;AE$2,$C$3:$F$4001,3,0))</f>
        <v>40956</v>
      </c>
      <c r="AF382" s="107">
        <f>IF(ISNA(VLOOKUP($R382&amp;AE$2,$C$3:$F$4001,4,0)),"",VLOOKUP($R382&amp;AE$2,$C$3:$F$4001,4,0))</f>
        <v>0.32</v>
      </c>
      <c r="AG382" s="106">
        <f>IF(ISNA(VLOOKUP($R382&amp;AG$2,$C$3:$F$4001,3,0)),"",VLOOKUP($R382&amp;AG$2,$C$3:$F$4001,3,0))</f>
        <v>41138</v>
      </c>
      <c r="AH382" s="107">
        <f>IF(ISNA(VLOOKUP($R382&amp;AG$2,$C$3:$F$4001,4,0)),"",VLOOKUP($R382&amp;AG$2,$C$3:$F$4001,4,0))</f>
        <v>0.42</v>
      </c>
      <c r="AI382" s="106">
        <f>IF(ISNA(VLOOKUP($R382&amp;AI$2,$C$3:$F$4001,3,0)),"",VLOOKUP($R382&amp;AI$2,$C$3:$F$4001,3,0))</f>
        <v>41324</v>
      </c>
      <c r="AJ382" s="107">
        <f>IF(ISNA(VLOOKUP($R382&amp;AI$2,$C$3:$F$4001,4,0)),"",VLOOKUP($R382&amp;AI$2,$C$3:$F$4001,4,0))</f>
        <v>0.34</v>
      </c>
      <c r="AK382" s="106">
        <f>IF(ISNA(VLOOKUP($R382&amp;AK$2,$C$3:$F$4001,3,0)),"",VLOOKUP($R382&amp;AK$2,$C$3:$F$4001,3,0))</f>
        <v>41505</v>
      </c>
    </row>
    <row r="383" spans="3:37" x14ac:dyDescent="0.2">
      <c r="C383" s="96" t="str">
        <f t="shared" si="20"/>
        <v>CBA9</v>
      </c>
      <c r="D383" s="73" t="s">
        <v>103</v>
      </c>
      <c r="E383" s="100">
        <v>41323</v>
      </c>
      <c r="F383" s="101">
        <v>1.27</v>
      </c>
      <c r="G383" s="96">
        <f t="shared" si="21"/>
        <v>9</v>
      </c>
      <c r="I383" s="96"/>
      <c r="K383" t="str">
        <f t="shared" si="22"/>
        <v>CBA9</v>
      </c>
      <c r="L383" s="73" t="s">
        <v>103</v>
      </c>
      <c r="M383" s="72">
        <v>41323</v>
      </c>
      <c r="N383" s="84">
        <v>1.27</v>
      </c>
      <c r="O383" s="96">
        <f t="shared" si="23"/>
        <v>9</v>
      </c>
      <c r="Q383" s="96"/>
      <c r="R383" s="96" t="str">
        <f>R382</f>
        <v>UGL</v>
      </c>
      <c r="S383" s="108">
        <f>IF(ISNA(VLOOKUP($R383&amp;S$2,$K$3:$N$4001,3,0)),"",VLOOKUP($R383&amp;S$2,$K$3:$N$4001,3,0))</f>
        <v>39861</v>
      </c>
      <c r="T383" s="109">
        <f>IF(ISNA(VLOOKUP($R383&amp;S$2,$K$3:$N$4001,4,0)),"",VLOOKUP($R383&amp;S$2,$K$3:$N$4001,4,0))</f>
        <v>0.27</v>
      </c>
      <c r="U383" s="108">
        <f>IF(ISNA(VLOOKUP($R383&amp;U$2,$K$3:$N$4001,3,0)),"",VLOOKUP($R383&amp;U$2,$K$3:$N$4001,3,0))</f>
        <v>40042</v>
      </c>
      <c r="V383" s="109">
        <f>IF(ISNA(VLOOKUP($R383&amp;U$2,$K$3:$N$4001,4,0)),"",VLOOKUP($R383&amp;U$2,$K$3:$N$4001,4,0))</f>
        <v>0.37</v>
      </c>
      <c r="W383" s="108">
        <f>IF(ISNA(VLOOKUP($R383&amp;W$2,$K$3:$N$4001,3,0)),"",VLOOKUP($R383&amp;W$2,$K$3:$N$4001,3,0))</f>
        <v>40226</v>
      </c>
      <c r="X383" s="109">
        <f>IF(ISNA(VLOOKUP($R383&amp;W$2,$K$3:$N$4001,4,0)),"",VLOOKUP($R383&amp;W$2,$K$3:$N$4001,4,0))</f>
        <v>0.28000000000000003</v>
      </c>
      <c r="Y383" s="108">
        <f>IF(ISNA(VLOOKUP($R383&amp;Y$2,$K$3:$N$4001,3,0)),"",VLOOKUP($R383&amp;Y$2,$K$3:$N$4001,3,0))</f>
        <v>40407</v>
      </c>
      <c r="Z383" s="109">
        <f>IF(ISNA(VLOOKUP($R383&amp;Y$2,$K$3:$N$4001,4,0)),"",VLOOKUP($R383&amp;Y$2,$K$3:$N$4001,4,0))</f>
        <v>0.38</v>
      </c>
      <c r="AA383" s="108">
        <f>IF(ISNA(VLOOKUP($R383&amp;AA$2,$K$3:$N$4001,3,0)),"",VLOOKUP($R383&amp;AA$2,$K$3:$N$4001,3,0))</f>
        <v>40591</v>
      </c>
      <c r="AB383" s="109">
        <f>IF(ISNA(VLOOKUP($R383&amp;AA$2,$K$3:$N$4001,4,0)),"",VLOOKUP($R383&amp;AA$2,$K$3:$N$4001,4,0))</f>
        <v>0.3</v>
      </c>
      <c r="AC383" s="108">
        <f>IF(ISNA(VLOOKUP($R383&amp;AC$2,$K$3:$N$4001,3,0)),"",VLOOKUP($R383&amp;AC$2,$K$3:$N$4001,3,0))</f>
        <v>40772</v>
      </c>
      <c r="AD383" s="109">
        <f>IF(ISNA(VLOOKUP($R383&amp;AC$2,$K$3:$N$4001,4,0)),"",VLOOKUP($R383&amp;AC$2,$K$3:$N$4001,4,0))</f>
        <v>0.4</v>
      </c>
      <c r="AE383" s="108">
        <f>IF(ISNA(VLOOKUP($R383&amp;AE$2,$K$3:$N$4001,3,0)),"",VLOOKUP($R383&amp;AE$2,$K$3:$N$4001,3,0))</f>
        <v>40956</v>
      </c>
      <c r="AF383" s="109">
        <f>IF(ISNA(VLOOKUP($R383&amp;AE$2,$K$3:$N$4001,4,0)),"",VLOOKUP($R383&amp;AE$2,$K$3:$N$4001,4,0))</f>
        <v>0.32</v>
      </c>
      <c r="AG383" s="108">
        <f>IF(ISNA(VLOOKUP($R383&amp;AG$2,$K$3:$N$4001,3,0)),"",VLOOKUP($R383&amp;AG$2,$K$3:$N$4001,3,0))</f>
        <v>41138</v>
      </c>
      <c r="AH383" s="109">
        <f>IF(ISNA(VLOOKUP($R383&amp;AG$2,$K$3:$N$4001,4,0)),"",VLOOKUP($R383&amp;AG$2,$K$3:$N$4001,4,0))</f>
        <v>0.42</v>
      </c>
      <c r="AI383" s="108">
        <f>IF(ISNA(VLOOKUP($R383&amp;AI$2,$K$3:$N$4001,3,0)),"",VLOOKUP($R383&amp;AI$2,$K$3:$N$4001,3,0))</f>
        <v>41324</v>
      </c>
      <c r="AJ383" s="109">
        <f>IF(ISNA(VLOOKUP($R383&amp;AI$2,$K$3:$N$4001,4,0)),"",VLOOKUP($R383&amp;AI$2,$K$3:$N$4001,4,0))</f>
        <v>0.34</v>
      </c>
      <c r="AK383" s="108">
        <f>IF(ISNA(VLOOKUP($R383&amp;AK$2,$K$3:$N$4001,3,0)),"",VLOOKUP($R383&amp;AK$2,$K$3:$N$4001,3,0))</f>
        <v>41505</v>
      </c>
    </row>
    <row r="384" spans="3:37" x14ac:dyDescent="0.2">
      <c r="C384" s="96" t="str">
        <f t="shared" si="20"/>
        <v>CBA10</v>
      </c>
      <c r="D384" s="73" t="s">
        <v>103</v>
      </c>
      <c r="E384" s="100">
        <v>41505</v>
      </c>
      <c r="F384" s="101">
        <v>1.75</v>
      </c>
      <c r="G384" s="96">
        <f t="shared" si="21"/>
        <v>10</v>
      </c>
      <c r="I384" s="96"/>
      <c r="K384" t="str">
        <f t="shared" si="22"/>
        <v>CBA10</v>
      </c>
      <c r="L384" s="73" t="s">
        <v>103</v>
      </c>
      <c r="M384" s="72">
        <v>41505</v>
      </c>
      <c r="N384" s="84">
        <v>1.75</v>
      </c>
      <c r="O384" s="96">
        <f t="shared" si="23"/>
        <v>10</v>
      </c>
      <c r="Q384" s="96"/>
      <c r="R384" s="96" t="s">
        <v>233</v>
      </c>
      <c r="S384" s="106">
        <f>IF(ISNA(VLOOKUP($R384&amp;S$2,$C$3:$F$4001,3,0)),"",VLOOKUP($R384&amp;S$2,$C$3:$F$4001,3,0))</f>
        <v>40170</v>
      </c>
      <c r="T384" s="107">
        <f>IF(ISNA(VLOOKUP($R384&amp;S$2,$C$3:$F$4001,4,0)),"",VLOOKUP($R384&amp;S$2,$C$3:$F$4001,4,0))</f>
        <v>0.02</v>
      </c>
      <c r="U384" s="106">
        <f>IF(ISNA(VLOOKUP($R384&amp;U$2,$C$3:$F$4001,3,0)),"",VLOOKUP($R384&amp;U$2,$C$3:$F$4001,3,0))</f>
        <v>40353</v>
      </c>
      <c r="V384" s="107">
        <f>IF(ISNA(VLOOKUP($R384&amp;U$2,$C$3:$F$4001,4,0)),"",VLOOKUP($R384&amp;U$2,$C$3:$F$4001,4,0))</f>
        <v>0.02</v>
      </c>
      <c r="W384" s="106">
        <f>IF(ISNA(VLOOKUP($R384&amp;W$2,$C$3:$F$4001,3,0)),"",VLOOKUP($R384&amp;W$2,$C$3:$F$4001,3,0))</f>
        <v>40535</v>
      </c>
      <c r="X384" s="107">
        <f>IF(ISNA(VLOOKUP($R384&amp;W$2,$C$3:$F$4001,4,0)),"",VLOOKUP($R384&amp;W$2,$C$3:$F$4001,4,0))</f>
        <v>2.5000000000000001E-2</v>
      </c>
      <c r="Y384" s="106">
        <f>IF(ISNA(VLOOKUP($R384&amp;Y$2,$C$3:$F$4001,3,0)),"",VLOOKUP($R384&amp;Y$2,$C$3:$F$4001,3,0))</f>
        <v>40718</v>
      </c>
      <c r="Z384" s="107">
        <f>IF(ISNA(VLOOKUP($R384&amp;Y$2,$C$3:$F$4001,4,0)),"",VLOOKUP($R384&amp;Y$2,$C$3:$F$4001,4,0))</f>
        <v>2.5000000000000001E-2</v>
      </c>
      <c r="AA384" s="106">
        <f>IF(ISNA(VLOOKUP($R384&amp;AA$2,$C$3:$F$4001,3,0)),"",VLOOKUP($R384&amp;AA$2,$C$3:$F$4001,3,0))</f>
        <v>40899</v>
      </c>
      <c r="AB384" s="107">
        <f>IF(ISNA(VLOOKUP($R384&amp;AA$2,$C$3:$F$4001,4,0)),"",VLOOKUP($R384&amp;AA$2,$C$3:$F$4001,4,0))</f>
        <v>1.7000000000000001E-2</v>
      </c>
      <c r="AC384" s="106">
        <f>IF(ISNA(VLOOKUP($R384&amp;AC$2,$C$3:$F$4001,3,0)),"",VLOOKUP($R384&amp;AC$2,$C$3:$F$4001,3,0))</f>
        <v>41085</v>
      </c>
      <c r="AD384" s="107">
        <f>IF(ISNA(VLOOKUP($R384&amp;AC$2,$C$3:$F$4001,4,0)),"",VLOOKUP($R384&amp;AC$2,$C$3:$F$4001,4,0))</f>
        <v>1.7000000000000001E-2</v>
      </c>
      <c r="AE384" s="106">
        <f>IF(ISNA(VLOOKUP($R384&amp;AE$2,$C$3:$F$4001,3,0)),"",VLOOKUP($R384&amp;AE$2,$C$3:$F$4001,3,0))</f>
        <v>41268</v>
      </c>
      <c r="AF384" s="107">
        <f>IF(ISNA(VLOOKUP($R384&amp;AE$2,$C$3:$F$4001,4,0)),"",VLOOKUP($R384&amp;AE$2,$C$3:$F$4001,4,0))</f>
        <v>1.7500000000000002E-2</v>
      </c>
      <c r="AG384" s="106">
        <f>IF(ISNA(VLOOKUP($R384&amp;AG$2,$C$3:$F$4001,3,0)),"",VLOOKUP($R384&amp;AG$2,$C$3:$F$4001,3,0))</f>
        <v>41450</v>
      </c>
      <c r="AH384" s="107">
        <f>IF(ISNA(VLOOKUP($R384&amp;AG$2,$C$3:$F$4001,4,0)),"",VLOOKUP($R384&amp;AG$2,$C$3:$F$4001,4,0))</f>
        <v>1.7500000000000002E-2</v>
      </c>
      <c r="AI384" s="106" t="str">
        <f>IF(ISNA(VLOOKUP($R384&amp;AI$2,$C$3:$F$4001,3,0)),"",VLOOKUP($R384&amp;AI$2,$C$3:$F$4001,3,0))</f>
        <v/>
      </c>
      <c r="AJ384" s="107" t="str">
        <f>IF(ISNA(VLOOKUP($R384&amp;AI$2,$C$3:$F$4001,4,0)),"",VLOOKUP($R384&amp;AI$2,$C$3:$F$4001,4,0))</f>
        <v/>
      </c>
      <c r="AK384" s="106" t="str">
        <f>IF(ISNA(VLOOKUP($R384&amp;AK$2,$C$3:$F$4001,3,0)),"",VLOOKUP($R384&amp;AK$2,$C$3:$F$4001,3,0))</f>
        <v/>
      </c>
    </row>
    <row r="385" spans="3:37" x14ac:dyDescent="0.2">
      <c r="C385" s="96" t="str">
        <f t="shared" si="20"/>
        <v>CCL1</v>
      </c>
      <c r="D385" s="73" t="s">
        <v>104</v>
      </c>
      <c r="E385" s="100">
        <v>39861</v>
      </c>
      <c r="F385" s="101">
        <v>0.215</v>
      </c>
      <c r="G385" s="96">
        <f t="shared" si="21"/>
        <v>1</v>
      </c>
      <c r="I385" s="96"/>
      <c r="K385" t="str">
        <f t="shared" si="22"/>
        <v>CCL1</v>
      </c>
      <c r="L385" s="73" t="s">
        <v>104</v>
      </c>
      <c r="M385" s="72">
        <v>39861</v>
      </c>
      <c r="N385" s="84">
        <v>0.215</v>
      </c>
      <c r="O385" s="96">
        <f t="shared" si="23"/>
        <v>1</v>
      </c>
      <c r="Q385" s="96"/>
      <c r="R385" s="96" t="str">
        <f>R384</f>
        <v>VPG</v>
      </c>
      <c r="S385" s="108">
        <f>IF(ISNA(VLOOKUP($R385&amp;S$2,$K$3:$N$4001,3,0)),"",VLOOKUP($R385&amp;S$2,$K$3:$N$4001,3,0))</f>
        <v>40170</v>
      </c>
      <c r="T385" s="109">
        <f>IF(ISNA(VLOOKUP($R385&amp;S$2,$K$3:$N$4001,4,0)),"",VLOOKUP($R385&amp;S$2,$K$3:$N$4001,4,0))</f>
        <v>0.02</v>
      </c>
      <c r="U385" s="108">
        <f>IF(ISNA(VLOOKUP($R385&amp;U$2,$K$3:$N$4001,3,0)),"",VLOOKUP($R385&amp;U$2,$K$3:$N$4001,3,0))</f>
        <v>40353</v>
      </c>
      <c r="V385" s="109">
        <f>IF(ISNA(VLOOKUP($R385&amp;U$2,$K$3:$N$4001,4,0)),"",VLOOKUP($R385&amp;U$2,$K$3:$N$4001,4,0))</f>
        <v>0.02</v>
      </c>
      <c r="W385" s="108">
        <f>IF(ISNA(VLOOKUP($R385&amp;W$2,$K$3:$N$4001,3,0)),"",VLOOKUP($R385&amp;W$2,$K$3:$N$4001,3,0))</f>
        <v>40535</v>
      </c>
      <c r="X385" s="109">
        <f>IF(ISNA(VLOOKUP($R385&amp;W$2,$K$3:$N$4001,4,0)),"",VLOOKUP($R385&amp;W$2,$K$3:$N$4001,4,0))</f>
        <v>2.5000000000000001E-2</v>
      </c>
      <c r="Y385" s="108">
        <f>IF(ISNA(VLOOKUP($R385&amp;Y$2,$K$3:$N$4001,3,0)),"",VLOOKUP($R385&amp;Y$2,$K$3:$N$4001,3,0))</f>
        <v>40718</v>
      </c>
      <c r="Z385" s="109">
        <f>IF(ISNA(VLOOKUP($R385&amp;Y$2,$K$3:$N$4001,4,0)),"",VLOOKUP($R385&amp;Y$2,$K$3:$N$4001,4,0))</f>
        <v>2.5000000000000001E-2</v>
      </c>
      <c r="AA385" s="108">
        <f>IF(ISNA(VLOOKUP($R385&amp;AA$2,$K$3:$N$4001,3,0)),"",VLOOKUP($R385&amp;AA$2,$K$3:$N$4001,3,0))</f>
        <v>40899</v>
      </c>
      <c r="AB385" s="109">
        <f>IF(ISNA(VLOOKUP($R385&amp;AA$2,$K$3:$N$4001,4,0)),"",VLOOKUP($R385&amp;AA$2,$K$3:$N$4001,4,0))</f>
        <v>1.7000000000000001E-2</v>
      </c>
      <c r="AC385" s="108">
        <f>IF(ISNA(VLOOKUP($R385&amp;AC$2,$K$3:$N$4001,3,0)),"",VLOOKUP($R385&amp;AC$2,$K$3:$N$4001,3,0))</f>
        <v>41085</v>
      </c>
      <c r="AD385" s="109">
        <f>IF(ISNA(VLOOKUP($R385&amp;AC$2,$K$3:$N$4001,4,0)),"",VLOOKUP($R385&amp;AC$2,$K$3:$N$4001,4,0))</f>
        <v>1.7000000000000001E-2</v>
      </c>
      <c r="AE385" s="108">
        <f>IF(ISNA(VLOOKUP($R385&amp;AE$2,$K$3:$N$4001,3,0)),"",VLOOKUP($R385&amp;AE$2,$K$3:$N$4001,3,0))</f>
        <v>41268</v>
      </c>
      <c r="AF385" s="109">
        <f>IF(ISNA(VLOOKUP($R385&amp;AE$2,$K$3:$N$4001,4,0)),"",VLOOKUP($R385&amp;AE$2,$K$3:$N$4001,4,0))</f>
        <v>1.7500000000000002E-2</v>
      </c>
      <c r="AG385" s="108">
        <f>IF(ISNA(VLOOKUP($R385&amp;AG$2,$K$3:$N$4001,3,0)),"",VLOOKUP($R385&amp;AG$2,$K$3:$N$4001,3,0))</f>
        <v>41450</v>
      </c>
      <c r="AH385" s="109">
        <f>IF(ISNA(VLOOKUP($R385&amp;AG$2,$K$3:$N$4001,4,0)),"",VLOOKUP($R385&amp;AG$2,$K$3:$N$4001,4,0))</f>
        <v>1.7500000000000002E-2</v>
      </c>
      <c r="AI385" s="108" t="str">
        <f>IF(ISNA(VLOOKUP($R385&amp;AI$2,$K$3:$N$4001,3,0)),"",VLOOKUP($R385&amp;AI$2,$K$3:$N$4001,3,0))</f>
        <v/>
      </c>
      <c r="AJ385" s="109" t="str">
        <f>IF(ISNA(VLOOKUP($R385&amp;AI$2,$K$3:$N$4001,4,0)),"",VLOOKUP($R385&amp;AI$2,$K$3:$N$4001,4,0))</f>
        <v/>
      </c>
      <c r="AK385" s="108" t="str">
        <f>IF(ISNA(VLOOKUP($R385&amp;AK$2,$K$3:$N$4001,3,0)),"",VLOOKUP($R385&amp;AK$2,$K$3:$N$4001,3,0))</f>
        <v/>
      </c>
    </row>
    <row r="386" spans="3:37" x14ac:dyDescent="0.2">
      <c r="C386" s="96" t="str">
        <f t="shared" si="20"/>
        <v>CCL2</v>
      </c>
      <c r="D386" s="73" t="s">
        <v>104</v>
      </c>
      <c r="E386" s="100">
        <v>40043</v>
      </c>
      <c r="F386" s="101">
        <v>0.18989999999999999</v>
      </c>
      <c r="G386" s="96">
        <f t="shared" si="21"/>
        <v>2</v>
      </c>
      <c r="I386" s="96"/>
      <c r="K386" t="str">
        <f t="shared" si="22"/>
        <v>CCL2</v>
      </c>
      <c r="L386" s="73" t="s">
        <v>104</v>
      </c>
      <c r="M386" s="72">
        <v>40043</v>
      </c>
      <c r="N386" s="84">
        <v>0.18989999999999999</v>
      </c>
      <c r="O386" s="96">
        <f t="shared" si="23"/>
        <v>2</v>
      </c>
      <c r="Q386" s="96"/>
      <c r="R386" s="96" t="s">
        <v>237</v>
      </c>
      <c r="S386" s="106">
        <f>IF(ISNA(VLOOKUP($R386&amp;S$2,$C$3:$F$4001,3,0)),"",VLOOKUP($R386&amp;S$2,$C$3:$F$4001,3,0))</f>
        <v>39868</v>
      </c>
      <c r="T386" s="107">
        <f>IF(ISNA(VLOOKUP($R386&amp;S$2,$C$3:$F$4001,4,0)),"",VLOOKUP($R386&amp;S$2,$C$3:$F$4001,4,0))</f>
        <v>0.5</v>
      </c>
      <c r="U386" s="106">
        <f>IF(ISNA(VLOOKUP($R386&amp;U$2,$C$3:$F$4001,3,0)),"",VLOOKUP($R386&amp;U$2,$C$3:$F$4001,3,0))</f>
        <v>40044</v>
      </c>
      <c r="V386" s="107">
        <f>IF(ISNA(VLOOKUP($R386&amp;U$2,$C$3:$F$4001,4,0)),"",VLOOKUP($R386&amp;U$2,$C$3:$F$4001,4,0))</f>
        <v>0.45</v>
      </c>
      <c r="W386" s="106">
        <f>IF(ISNA(VLOOKUP($R386&amp;W$2,$C$3:$F$4001,3,0)),"",VLOOKUP($R386&amp;W$2,$C$3:$F$4001,3,0))</f>
        <v>40226</v>
      </c>
      <c r="X386" s="107">
        <f>IF(ISNA(VLOOKUP($R386&amp;W$2,$C$3:$F$4001,4,0)),"",VLOOKUP($R386&amp;W$2,$C$3:$F$4001,4,0))</f>
        <v>0.5</v>
      </c>
      <c r="Y386" s="106">
        <f>IF(ISNA(VLOOKUP($R386&amp;Y$2,$C$3:$F$4001,3,0)),"",VLOOKUP($R386&amp;Y$2,$C$3:$F$4001,3,0))</f>
        <v>40408</v>
      </c>
      <c r="Z386" s="107">
        <f>IF(ISNA(VLOOKUP($R386&amp;Y$2,$C$3:$F$4001,4,0)),"",VLOOKUP($R386&amp;Y$2,$C$3:$F$4001,4,0))</f>
        <v>0.45</v>
      </c>
      <c r="AA386" s="106">
        <f>IF(ISNA(VLOOKUP($R386&amp;AA$2,$C$3:$F$4001,3,0)),"",VLOOKUP($R386&amp;AA$2,$C$3:$F$4001,3,0))</f>
        <v>40590</v>
      </c>
      <c r="AB386" s="107">
        <f>IF(ISNA(VLOOKUP($R386&amp;AA$2,$C$3:$F$4001,4,0)),"",VLOOKUP($R386&amp;AA$2,$C$3:$F$4001,4,0))</f>
        <v>0.6</v>
      </c>
      <c r="AC386" s="106">
        <f>IF(ISNA(VLOOKUP($R386&amp;AC$2,$C$3:$F$4001,3,0)),"",VLOOKUP($R386&amp;AC$2,$C$3:$F$4001,3,0))</f>
        <v>40772</v>
      </c>
      <c r="AD386" s="107">
        <f>IF(ISNA(VLOOKUP($R386&amp;AC$2,$C$3:$F$4001,4,0)),"",VLOOKUP($R386&amp;AC$2,$C$3:$F$4001,4,0))</f>
        <v>0.6</v>
      </c>
      <c r="AE386" s="106">
        <f>IF(ISNA(VLOOKUP($R386&amp;AE$2,$C$3:$F$4001,3,0)),"",VLOOKUP($R386&amp;AE$2,$C$3:$F$4001,3,0))</f>
        <v>40954</v>
      </c>
      <c r="AF386" s="107">
        <f>IF(ISNA(VLOOKUP($R386&amp;AE$2,$C$3:$F$4001,4,0)),"",VLOOKUP($R386&amp;AE$2,$C$3:$F$4001,4,0))</f>
        <v>0.65</v>
      </c>
      <c r="AG386" s="106">
        <f>IF(ISNA(VLOOKUP($R386&amp;AG$2,$C$3:$F$4001,3,0)),"",VLOOKUP($R386&amp;AG$2,$C$3:$F$4001,3,0))</f>
        <v>41136</v>
      </c>
      <c r="AH386" s="107">
        <f>IF(ISNA(VLOOKUP($R386&amp;AG$2,$C$3:$F$4001,4,0)),"",VLOOKUP($R386&amp;AG$2,$C$3:$F$4001,4,0))</f>
        <v>0.65</v>
      </c>
      <c r="AI386" s="106">
        <f>IF(ISNA(VLOOKUP($R386&amp;AI$2,$C$3:$F$4001,3,0)),"",VLOOKUP($R386&amp;AI$2,$C$3:$F$4001,3,0))</f>
        <v>41320</v>
      </c>
      <c r="AJ386" s="107">
        <f>IF(ISNA(VLOOKUP($R386&amp;AI$2,$C$3:$F$4001,4,0)),"",VLOOKUP($R386&amp;AI$2,$C$3:$F$4001,4,0))</f>
        <v>0.7</v>
      </c>
      <c r="AK386" s="106">
        <f>IF(ISNA(VLOOKUP($R386&amp;AK$2,$C$3:$F$4001,3,0)),"",VLOOKUP($R386&amp;AK$2,$C$3:$F$4001,3,0))</f>
        <v>41501</v>
      </c>
    </row>
    <row r="387" spans="3:37" x14ac:dyDescent="0.2">
      <c r="C387" s="96" t="str">
        <f t="shared" ref="C387:C450" si="24">D387&amp;G387</f>
        <v>CCL3</v>
      </c>
      <c r="D387" s="73" t="s">
        <v>104</v>
      </c>
      <c r="E387" s="100">
        <v>40226</v>
      </c>
      <c r="F387" s="101">
        <v>0.24010000000000001</v>
      </c>
      <c r="G387" s="96">
        <f t="shared" ref="G387:G450" si="25">IF(D387&lt;&gt;D386,1,G386+1)</f>
        <v>3</v>
      </c>
      <c r="I387" s="96"/>
      <c r="K387" t="str">
        <f t="shared" ref="K387:K450" si="26">L387&amp;O387</f>
        <v>CCL3</v>
      </c>
      <c r="L387" s="73" t="s">
        <v>104</v>
      </c>
      <c r="M387" s="72">
        <v>40226</v>
      </c>
      <c r="N387" s="84">
        <v>0.24010000000000001</v>
      </c>
      <c r="O387" s="96">
        <f t="shared" ref="O387:O450" si="27">IF(L387&lt;&gt;L386,1,O386+1)</f>
        <v>3</v>
      </c>
      <c r="Q387" s="96"/>
      <c r="R387" s="96" t="str">
        <f>R386</f>
        <v>WES</v>
      </c>
      <c r="S387" s="108">
        <f>IF(ISNA(VLOOKUP($R387&amp;S$2,$K$3:$N$4001,3,0)),"",VLOOKUP($R387&amp;S$2,$K$3:$N$4001,3,0))</f>
        <v>39868</v>
      </c>
      <c r="T387" s="109">
        <f>IF(ISNA(VLOOKUP($R387&amp;S$2,$K$3:$N$4001,4,0)),"",VLOOKUP($R387&amp;S$2,$K$3:$N$4001,4,0))</f>
        <v>0.5</v>
      </c>
      <c r="U387" s="108">
        <f>IF(ISNA(VLOOKUP($R387&amp;U$2,$K$3:$N$4001,3,0)),"",VLOOKUP($R387&amp;U$2,$K$3:$N$4001,3,0))</f>
        <v>40044</v>
      </c>
      <c r="V387" s="109">
        <f>IF(ISNA(VLOOKUP($R387&amp;U$2,$K$3:$N$4001,4,0)),"",VLOOKUP($R387&amp;U$2,$K$3:$N$4001,4,0))</f>
        <v>0.45</v>
      </c>
      <c r="W387" s="108">
        <f>IF(ISNA(VLOOKUP($R387&amp;W$2,$K$3:$N$4001,3,0)),"",VLOOKUP($R387&amp;W$2,$K$3:$N$4001,3,0))</f>
        <v>40226</v>
      </c>
      <c r="X387" s="109">
        <f>IF(ISNA(VLOOKUP($R387&amp;W$2,$K$3:$N$4001,4,0)),"",VLOOKUP($R387&amp;W$2,$K$3:$N$4001,4,0))</f>
        <v>0.5</v>
      </c>
      <c r="Y387" s="108">
        <f>IF(ISNA(VLOOKUP($R387&amp;Y$2,$K$3:$N$4001,3,0)),"",VLOOKUP($R387&amp;Y$2,$K$3:$N$4001,3,0))</f>
        <v>40408</v>
      </c>
      <c r="Z387" s="109">
        <f>IF(ISNA(VLOOKUP($R387&amp;Y$2,$K$3:$N$4001,4,0)),"",VLOOKUP($R387&amp;Y$2,$K$3:$N$4001,4,0))</f>
        <v>0.45</v>
      </c>
      <c r="AA387" s="108">
        <f>IF(ISNA(VLOOKUP($R387&amp;AA$2,$K$3:$N$4001,3,0)),"",VLOOKUP($R387&amp;AA$2,$K$3:$N$4001,3,0))</f>
        <v>40590</v>
      </c>
      <c r="AB387" s="109">
        <f>IF(ISNA(VLOOKUP($R387&amp;AA$2,$K$3:$N$4001,4,0)),"",VLOOKUP($R387&amp;AA$2,$K$3:$N$4001,4,0))</f>
        <v>0.6</v>
      </c>
      <c r="AC387" s="108">
        <f>IF(ISNA(VLOOKUP($R387&amp;AC$2,$K$3:$N$4001,3,0)),"",VLOOKUP($R387&amp;AC$2,$K$3:$N$4001,3,0))</f>
        <v>40772</v>
      </c>
      <c r="AD387" s="109">
        <f>IF(ISNA(VLOOKUP($R387&amp;AC$2,$K$3:$N$4001,4,0)),"",VLOOKUP($R387&amp;AC$2,$K$3:$N$4001,4,0))</f>
        <v>0.6</v>
      </c>
      <c r="AE387" s="108">
        <f>IF(ISNA(VLOOKUP($R387&amp;AE$2,$K$3:$N$4001,3,0)),"",VLOOKUP($R387&amp;AE$2,$K$3:$N$4001,3,0))</f>
        <v>40954</v>
      </c>
      <c r="AF387" s="109">
        <f>IF(ISNA(VLOOKUP($R387&amp;AE$2,$K$3:$N$4001,4,0)),"",VLOOKUP($R387&amp;AE$2,$K$3:$N$4001,4,0))</f>
        <v>0.65</v>
      </c>
      <c r="AG387" s="108">
        <f>IF(ISNA(VLOOKUP($R387&amp;AG$2,$K$3:$N$4001,3,0)),"",VLOOKUP($R387&amp;AG$2,$K$3:$N$4001,3,0))</f>
        <v>41136</v>
      </c>
      <c r="AH387" s="109">
        <f>IF(ISNA(VLOOKUP($R387&amp;AG$2,$K$3:$N$4001,4,0)),"",VLOOKUP($R387&amp;AG$2,$K$3:$N$4001,4,0))</f>
        <v>0.65</v>
      </c>
      <c r="AI387" s="108">
        <f>IF(ISNA(VLOOKUP($R387&amp;AI$2,$K$3:$N$4001,3,0)),"",VLOOKUP($R387&amp;AI$2,$K$3:$N$4001,3,0))</f>
        <v>41320</v>
      </c>
      <c r="AJ387" s="109">
        <f>IF(ISNA(VLOOKUP($R387&amp;AI$2,$K$3:$N$4001,4,0)),"",VLOOKUP($R387&amp;AI$2,$K$3:$N$4001,4,0))</f>
        <v>0.7</v>
      </c>
      <c r="AK387" s="108">
        <f>IF(ISNA(VLOOKUP($R387&amp;AK$2,$K$3:$N$4001,3,0)),"",VLOOKUP($R387&amp;AK$2,$K$3:$N$4001,3,0))</f>
        <v>41501</v>
      </c>
    </row>
    <row r="388" spans="3:37" x14ac:dyDescent="0.2">
      <c r="C388" s="96" t="str">
        <f t="shared" si="24"/>
        <v>CCL4</v>
      </c>
      <c r="D388" s="73" t="s">
        <v>104</v>
      </c>
      <c r="E388" s="100">
        <v>40408</v>
      </c>
      <c r="F388" s="101">
        <v>0.20269999999999999</v>
      </c>
      <c r="G388" s="96">
        <f t="shared" si="25"/>
        <v>4</v>
      </c>
      <c r="I388" s="96"/>
      <c r="K388" t="str">
        <f t="shared" si="26"/>
        <v>CCL4</v>
      </c>
      <c r="L388" s="73" t="s">
        <v>104</v>
      </c>
      <c r="M388" s="72">
        <v>40408</v>
      </c>
      <c r="N388" s="84">
        <v>0.20269999999999999</v>
      </c>
      <c r="O388" s="96">
        <f t="shared" si="27"/>
        <v>4</v>
      </c>
      <c r="Q388" s="96"/>
      <c r="R388" s="96" t="s">
        <v>234</v>
      </c>
      <c r="S388" s="106">
        <f>IF(ISNA(VLOOKUP($R388&amp;S$2,$C$3:$F$4001,3,0)),"",VLOOKUP($R388&amp;S$2,$C$3:$F$4001,3,0))</f>
        <v>39874</v>
      </c>
      <c r="T388" s="107">
        <f>IF(ISNA(VLOOKUP($R388&amp;S$2,$C$3:$F$4001,4,0)),"",VLOOKUP($R388&amp;S$2,$C$3:$F$4001,4,0))</f>
        <v>0.23</v>
      </c>
      <c r="U388" s="106">
        <f>IF(ISNA(VLOOKUP($R388&amp;U$2,$C$3:$F$4001,3,0)),"",VLOOKUP($R388&amp;U$2,$C$3:$F$4001,3,0))</f>
        <v>40066</v>
      </c>
      <c r="V388" s="107">
        <f>IF(ISNA(VLOOKUP($R388&amp;U$2,$C$3:$F$4001,4,0)),"",VLOOKUP($R388&amp;U$2,$C$3:$F$4001,4,0))</f>
        <v>0.32</v>
      </c>
      <c r="W388" s="106">
        <f>IF(ISNA(VLOOKUP($R388&amp;W$2,$C$3:$F$4001,3,0)),"",VLOOKUP($R388&amp;W$2,$C$3:$F$4001,3,0))</f>
        <v>40240</v>
      </c>
      <c r="X388" s="107">
        <f>IF(ISNA(VLOOKUP($R388&amp;W$2,$C$3:$F$4001,4,0)),"",VLOOKUP($R388&amp;W$2,$C$3:$F$4001,4,0))</f>
        <v>0.23</v>
      </c>
      <c r="Y388" s="106">
        <f>IF(ISNA(VLOOKUP($R388&amp;Y$2,$C$3:$F$4001,3,0)),"",VLOOKUP($R388&amp;Y$2,$C$3:$F$4001,3,0))</f>
        <v>40431</v>
      </c>
      <c r="Z388" s="107">
        <f>IF(ISNA(VLOOKUP($R388&amp;Y$2,$C$3:$F$4001,4,0)),"",VLOOKUP($R388&amp;Y$2,$C$3:$F$4001,4,0))</f>
        <v>0.32</v>
      </c>
      <c r="AA388" s="106">
        <f>IF(ISNA(VLOOKUP($R388&amp;AA$2,$C$3:$F$4001,3,0)),"",VLOOKUP($R388&amp;AA$2,$C$3:$F$4001,3,0))</f>
        <v>40605</v>
      </c>
      <c r="AB388" s="107">
        <f>IF(ISNA(VLOOKUP($R388&amp;AA$2,$C$3:$F$4001,4,0)),"",VLOOKUP($R388&amp;AA$2,$C$3:$F$4001,4,0))</f>
        <v>0.21789999999999998</v>
      </c>
      <c r="AC388" s="106">
        <f>IF(ISNA(VLOOKUP($R388&amp;AC$2,$C$3:$F$4001,3,0)),"",VLOOKUP($R388&amp;AC$2,$C$3:$F$4001,3,0))</f>
        <v>40798</v>
      </c>
      <c r="AD388" s="107">
        <f>IF(ISNA(VLOOKUP($R388&amp;AC$2,$C$3:$F$4001,4,0)),"",VLOOKUP($R388&amp;AC$2,$C$3:$F$4001,4,0))</f>
        <v>0.30309999999999998</v>
      </c>
      <c r="AE388" s="106">
        <f>IF(ISNA(VLOOKUP($R388&amp;AE$2,$C$3:$F$4001,3,0)),"",VLOOKUP($R388&amp;AE$2,$C$3:$F$4001,3,0))</f>
        <v>40973</v>
      </c>
      <c r="AF388" s="107">
        <f>IF(ISNA(VLOOKUP($R388&amp;AE$2,$C$3:$F$4001,4,0)),"",VLOOKUP($R388&amp;AE$2,$C$3:$F$4001,4,0))</f>
        <v>0.22289999999999999</v>
      </c>
      <c r="AG388" s="106">
        <f>IF(ISNA(VLOOKUP($R388&amp;AG$2,$C$3:$F$4001,3,0)),"",VLOOKUP($R388&amp;AG$2,$C$3:$F$4001,3,0))</f>
        <v>41163</v>
      </c>
      <c r="AH388" s="107">
        <f>IF(ISNA(VLOOKUP($R388&amp;AG$2,$C$3:$F$4001,4,0)),"",VLOOKUP($R388&amp;AG$2,$C$3:$F$4001,4,0))</f>
        <v>0.31010000000000004</v>
      </c>
      <c r="AI388" s="106">
        <f>IF(ISNA(VLOOKUP($R388&amp;AI$2,$C$3:$F$4001,3,0)),"",VLOOKUP($R388&amp;AI$2,$C$3:$F$4001,3,0))</f>
        <v>41338</v>
      </c>
      <c r="AJ388" s="107">
        <f>IF(ISNA(VLOOKUP($R388&amp;AI$2,$C$3:$F$4001,4,0)),"",VLOOKUP($R388&amp;AI$2,$C$3:$F$4001,4,0))</f>
        <v>0.25170000000000003</v>
      </c>
      <c r="AK388" s="106">
        <f>IF(ISNA(VLOOKUP($R388&amp;AK$2,$C$3:$F$4001,3,0)),"",VLOOKUP($R388&amp;AK$2,$C$3:$F$4001,3,0))</f>
        <v>41528</v>
      </c>
    </row>
    <row r="389" spans="3:37" x14ac:dyDescent="0.2">
      <c r="C389" s="96" t="str">
        <f t="shared" si="24"/>
        <v>CCL5</v>
      </c>
      <c r="D389" s="73" t="s">
        <v>104</v>
      </c>
      <c r="E389" s="100">
        <v>40591</v>
      </c>
      <c r="F389" s="101">
        <v>0.25629999999999997</v>
      </c>
      <c r="G389" s="96">
        <f t="shared" si="25"/>
        <v>5</v>
      </c>
      <c r="I389" s="96"/>
      <c r="K389" t="str">
        <f t="shared" si="26"/>
        <v>CCL5</v>
      </c>
      <c r="L389" s="73" t="s">
        <v>104</v>
      </c>
      <c r="M389" s="72">
        <v>40591</v>
      </c>
      <c r="N389" s="84">
        <v>0.25629999999999997</v>
      </c>
      <c r="O389" s="96">
        <f t="shared" si="27"/>
        <v>5</v>
      </c>
      <c r="Q389" s="96"/>
      <c r="R389" s="96" t="str">
        <f>R388</f>
        <v>WAN</v>
      </c>
      <c r="S389" s="108">
        <f>IF(ISNA(VLOOKUP($R389&amp;S$2,$K$3:$N$4001,3,0)),"",VLOOKUP($R389&amp;S$2,$K$3:$N$4001,3,0))</f>
        <v>39874</v>
      </c>
      <c r="T389" s="109">
        <f>IF(ISNA(VLOOKUP($R389&amp;S$2,$K$3:$N$4001,4,0)),"",VLOOKUP($R389&amp;S$2,$K$3:$N$4001,4,0))</f>
        <v>0.23</v>
      </c>
      <c r="U389" s="108">
        <f>IF(ISNA(VLOOKUP($R389&amp;U$2,$K$3:$N$4001,3,0)),"",VLOOKUP($R389&amp;U$2,$K$3:$N$4001,3,0))</f>
        <v>40066</v>
      </c>
      <c r="V389" s="109">
        <f>IF(ISNA(VLOOKUP($R389&amp;U$2,$K$3:$N$4001,4,0)),"",VLOOKUP($R389&amp;U$2,$K$3:$N$4001,4,0))</f>
        <v>0.32</v>
      </c>
      <c r="W389" s="108">
        <f>IF(ISNA(VLOOKUP($R389&amp;W$2,$K$3:$N$4001,3,0)),"",VLOOKUP($R389&amp;W$2,$K$3:$N$4001,3,0))</f>
        <v>40240</v>
      </c>
      <c r="X389" s="109">
        <f>IF(ISNA(VLOOKUP($R389&amp;W$2,$K$3:$N$4001,4,0)),"",VLOOKUP($R389&amp;W$2,$K$3:$N$4001,4,0))</f>
        <v>0.23</v>
      </c>
      <c r="Y389" s="108">
        <f>IF(ISNA(VLOOKUP($R389&amp;Y$2,$K$3:$N$4001,3,0)),"",VLOOKUP($R389&amp;Y$2,$K$3:$N$4001,3,0))</f>
        <v>40431</v>
      </c>
      <c r="Z389" s="109">
        <f>IF(ISNA(VLOOKUP($R389&amp;Y$2,$K$3:$N$4001,4,0)),"",VLOOKUP($R389&amp;Y$2,$K$3:$N$4001,4,0))</f>
        <v>0.32</v>
      </c>
      <c r="AA389" s="108">
        <f>IF(ISNA(VLOOKUP($R389&amp;AA$2,$K$3:$N$4001,3,0)),"",VLOOKUP($R389&amp;AA$2,$K$3:$N$4001,3,0))</f>
        <v>40605</v>
      </c>
      <c r="AB389" s="109">
        <f>IF(ISNA(VLOOKUP($R389&amp;AA$2,$K$3:$N$4001,4,0)),"",VLOOKUP($R389&amp;AA$2,$K$3:$N$4001,4,0))</f>
        <v>0.21789999999999998</v>
      </c>
      <c r="AC389" s="108">
        <f>IF(ISNA(VLOOKUP($R389&amp;AC$2,$K$3:$N$4001,3,0)),"",VLOOKUP($R389&amp;AC$2,$K$3:$N$4001,3,0))</f>
        <v>40798</v>
      </c>
      <c r="AD389" s="109">
        <f>IF(ISNA(VLOOKUP($R389&amp;AC$2,$K$3:$N$4001,4,0)),"",VLOOKUP($R389&amp;AC$2,$K$3:$N$4001,4,0))</f>
        <v>0.30309999999999998</v>
      </c>
      <c r="AE389" s="108">
        <f>IF(ISNA(VLOOKUP($R389&amp;AE$2,$K$3:$N$4001,3,0)),"",VLOOKUP($R389&amp;AE$2,$K$3:$N$4001,3,0))</f>
        <v>40973</v>
      </c>
      <c r="AF389" s="109">
        <f>IF(ISNA(VLOOKUP($R389&amp;AE$2,$K$3:$N$4001,4,0)),"",VLOOKUP($R389&amp;AE$2,$K$3:$N$4001,4,0))</f>
        <v>0.22289999999999999</v>
      </c>
      <c r="AG389" s="108">
        <f>IF(ISNA(VLOOKUP($R389&amp;AG$2,$K$3:$N$4001,3,0)),"",VLOOKUP($R389&amp;AG$2,$K$3:$N$4001,3,0))</f>
        <v>41163</v>
      </c>
      <c r="AH389" s="109">
        <f>IF(ISNA(VLOOKUP($R389&amp;AG$2,$K$3:$N$4001,4,0)),"",VLOOKUP($R389&amp;AG$2,$K$3:$N$4001,4,0))</f>
        <v>0.31010000000000004</v>
      </c>
      <c r="AI389" s="108">
        <f>IF(ISNA(VLOOKUP($R389&amp;AI$2,$K$3:$N$4001,3,0)),"",VLOOKUP($R389&amp;AI$2,$K$3:$N$4001,3,0))</f>
        <v>41338</v>
      </c>
      <c r="AJ389" s="109">
        <f>IF(ISNA(VLOOKUP($R389&amp;AI$2,$K$3:$N$4001,4,0)),"",VLOOKUP($R389&amp;AI$2,$K$3:$N$4001,4,0))</f>
        <v>0.25170000000000003</v>
      </c>
      <c r="AK389" s="108">
        <f>IF(ISNA(VLOOKUP($R389&amp;AK$2,$K$3:$N$4001,3,0)),"",VLOOKUP($R389&amp;AK$2,$K$3:$N$4001,3,0))</f>
        <v>41528</v>
      </c>
    </row>
    <row r="390" spans="3:37" x14ac:dyDescent="0.2">
      <c r="C390" s="96" t="str">
        <f t="shared" si="24"/>
        <v>CCL6</v>
      </c>
      <c r="D390" s="73" t="s">
        <v>104</v>
      </c>
      <c r="E390" s="100">
        <v>40773</v>
      </c>
      <c r="F390" s="101">
        <v>0.21590000000000001</v>
      </c>
      <c r="G390" s="96">
        <f t="shared" si="25"/>
        <v>6</v>
      </c>
      <c r="I390" s="96"/>
      <c r="K390" t="str">
        <f t="shared" si="26"/>
        <v>CCL6</v>
      </c>
      <c r="L390" s="73" t="s">
        <v>104</v>
      </c>
      <c r="M390" s="72">
        <v>40773</v>
      </c>
      <c r="N390" s="84">
        <v>0.21590000000000001</v>
      </c>
      <c r="O390" s="96">
        <f t="shared" si="27"/>
        <v>6</v>
      </c>
      <c r="Q390" s="96"/>
      <c r="R390" s="96" t="s">
        <v>241</v>
      </c>
      <c r="S390" s="106">
        <f>IF(ISNA(VLOOKUP($R390&amp;S$2,$C$3:$F$4001,3,0)),"",VLOOKUP($R390&amp;S$2,$C$3:$F$4001,3,0))</f>
        <v>40239</v>
      </c>
      <c r="T390" s="107">
        <f>IF(ISNA(VLOOKUP($R390&amp;S$2,$C$3:$F$4001,4,0)),"",VLOOKUP($R390&amp;S$2,$C$3:$F$4001,4,0))</f>
        <v>0.03</v>
      </c>
      <c r="U390" s="106">
        <f>IF(ISNA(VLOOKUP($R390&amp;U$2,$C$3:$F$4001,3,0)),"",VLOOKUP($R390&amp;U$2,$C$3:$F$4001,3,0))</f>
        <v>40435</v>
      </c>
      <c r="V390" s="107">
        <f>IF(ISNA(VLOOKUP($R390&amp;U$2,$C$3:$F$4001,4,0)),"",VLOOKUP($R390&amp;U$2,$C$3:$F$4001,4,0))</f>
        <v>0.05</v>
      </c>
      <c r="W390" s="106">
        <f>IF(ISNA(VLOOKUP($R390&amp;W$2,$C$3:$F$4001,3,0)),"",VLOOKUP($R390&amp;W$2,$C$3:$F$4001,3,0))</f>
        <v>40604</v>
      </c>
      <c r="X390" s="107">
        <f>IF(ISNA(VLOOKUP($R390&amp;W$2,$C$3:$F$4001,4,0)),"",VLOOKUP($R390&amp;W$2,$C$3:$F$4001,4,0))</f>
        <v>0.05</v>
      </c>
      <c r="Y390" s="106">
        <f>IF(ISNA(VLOOKUP($R390&amp;Y$2,$C$3:$F$4001,3,0)),"",VLOOKUP($R390&amp;Y$2,$C$3:$F$4001,3,0))</f>
        <v>40800</v>
      </c>
      <c r="Z390" s="107">
        <f>IF(ISNA(VLOOKUP($R390&amp;Y$2,$C$3:$F$4001,4,0)),"",VLOOKUP($R390&amp;Y$2,$C$3:$F$4001,4,0))</f>
        <v>0.05</v>
      </c>
      <c r="AA390" s="106">
        <f>IF(ISNA(VLOOKUP($R390&amp;AA$2,$C$3:$F$4001,3,0)),"",VLOOKUP($R390&amp;AA$2,$C$3:$F$4001,3,0))</f>
        <v>40970</v>
      </c>
      <c r="AB390" s="107">
        <f>IF(ISNA(VLOOKUP($R390&amp;AA$2,$C$3:$F$4001,4,0)),"",VLOOKUP($R390&amp;AA$2,$C$3:$F$4001,4,0))</f>
        <v>0.05</v>
      </c>
      <c r="AC390" s="106">
        <f>IF(ISNA(VLOOKUP($R390&amp;AC$2,$C$3:$F$4001,3,0)),"",VLOOKUP($R390&amp;AC$2,$C$3:$F$4001,3,0))</f>
        <v>41166</v>
      </c>
      <c r="AD390" s="107">
        <f>IF(ISNA(VLOOKUP($R390&amp;AC$2,$C$3:$F$4001,4,0)),"",VLOOKUP($R390&amp;AC$2,$C$3:$F$4001,4,0))</f>
        <v>0.1</v>
      </c>
      <c r="AE390" s="106">
        <f>IF(ISNA(VLOOKUP($R390&amp;AE$2,$C$3:$F$4001,3,0)),"",VLOOKUP($R390&amp;AE$2,$C$3:$F$4001,3,0))</f>
        <v>41337</v>
      </c>
      <c r="AF390" s="107">
        <f>IF(ISNA(VLOOKUP($R390&amp;AE$2,$C$3:$F$4001,4,0)),"",VLOOKUP($R390&amp;AE$2,$C$3:$F$4001,4,0))</f>
        <v>5.33E-2</v>
      </c>
      <c r="AG390" s="106">
        <f>IF(ISNA(VLOOKUP($R390&amp;AG$2,$C$3:$F$4001,3,0)),"",VLOOKUP($R390&amp;AG$2,$C$3:$F$4001,3,0))</f>
        <v>41533</v>
      </c>
      <c r="AH390" s="107">
        <f>IF(ISNA(VLOOKUP($R390&amp;AG$2,$C$3:$F$4001,4,0)),"",VLOOKUP($R390&amp;AG$2,$C$3:$F$4001,4,0))</f>
        <v>0.1067</v>
      </c>
      <c r="AI390" s="106" t="str">
        <f>IF(ISNA(VLOOKUP($R390&amp;AI$2,$C$3:$F$4001,3,0)),"",VLOOKUP($R390&amp;AI$2,$C$3:$F$4001,3,0))</f>
        <v/>
      </c>
      <c r="AJ390" s="107" t="str">
        <f>IF(ISNA(VLOOKUP($R390&amp;AI$2,$C$3:$F$4001,4,0)),"",VLOOKUP($R390&amp;AI$2,$C$3:$F$4001,4,0))</f>
        <v/>
      </c>
      <c r="AK390" s="106" t="str">
        <f>IF(ISNA(VLOOKUP($R390&amp;AK$2,$C$3:$F$4001,3,0)),"",VLOOKUP($R390&amp;AK$2,$C$3:$F$4001,3,0))</f>
        <v/>
      </c>
    </row>
    <row r="391" spans="3:37" x14ac:dyDescent="0.2">
      <c r="C391" s="96" t="str">
        <f t="shared" si="24"/>
        <v>CCL7</v>
      </c>
      <c r="D391" s="73" t="s">
        <v>104</v>
      </c>
      <c r="E391" s="100">
        <v>40956</v>
      </c>
      <c r="F391" s="101">
        <v>0.27310000000000001</v>
      </c>
      <c r="G391" s="96">
        <f t="shared" si="25"/>
        <v>7</v>
      </c>
      <c r="I391" s="96"/>
      <c r="K391" t="str">
        <f t="shared" si="26"/>
        <v>CCL7</v>
      </c>
      <c r="L391" s="73" t="s">
        <v>104</v>
      </c>
      <c r="M391" s="72">
        <v>40956</v>
      </c>
      <c r="N391" s="84">
        <v>0.27310000000000001</v>
      </c>
      <c r="O391" s="96">
        <f t="shared" si="27"/>
        <v>7</v>
      </c>
      <c r="Q391" s="96"/>
      <c r="R391" s="96" t="str">
        <f>R390</f>
        <v>WSA</v>
      </c>
      <c r="S391" s="108">
        <f>IF(ISNA(VLOOKUP($R391&amp;S$2,$K$3:$N$4001,3,0)),"",VLOOKUP($R391&amp;S$2,$K$3:$N$4001,3,0))</f>
        <v>40239</v>
      </c>
      <c r="T391" s="109">
        <f>IF(ISNA(VLOOKUP($R391&amp;S$2,$K$3:$N$4001,4,0)),"",VLOOKUP($R391&amp;S$2,$K$3:$N$4001,4,0))</f>
        <v>0.03</v>
      </c>
      <c r="U391" s="108">
        <f>IF(ISNA(VLOOKUP($R391&amp;U$2,$K$3:$N$4001,3,0)),"",VLOOKUP($R391&amp;U$2,$K$3:$N$4001,3,0))</f>
        <v>40435</v>
      </c>
      <c r="V391" s="109">
        <f>IF(ISNA(VLOOKUP($R391&amp;U$2,$K$3:$N$4001,4,0)),"",VLOOKUP($R391&amp;U$2,$K$3:$N$4001,4,0))</f>
        <v>0.05</v>
      </c>
      <c r="W391" s="108">
        <f>IF(ISNA(VLOOKUP($R391&amp;W$2,$K$3:$N$4001,3,0)),"",VLOOKUP($R391&amp;W$2,$K$3:$N$4001,3,0))</f>
        <v>40604</v>
      </c>
      <c r="X391" s="109">
        <f>IF(ISNA(VLOOKUP($R391&amp;W$2,$K$3:$N$4001,4,0)),"",VLOOKUP($R391&amp;W$2,$K$3:$N$4001,4,0))</f>
        <v>0.05</v>
      </c>
      <c r="Y391" s="108">
        <f>IF(ISNA(VLOOKUP($R391&amp;Y$2,$K$3:$N$4001,3,0)),"",VLOOKUP($R391&amp;Y$2,$K$3:$N$4001,3,0))</f>
        <v>40800</v>
      </c>
      <c r="Z391" s="109">
        <f>IF(ISNA(VLOOKUP($R391&amp;Y$2,$K$3:$N$4001,4,0)),"",VLOOKUP($R391&amp;Y$2,$K$3:$N$4001,4,0))</f>
        <v>0.05</v>
      </c>
      <c r="AA391" s="108">
        <f>IF(ISNA(VLOOKUP($R391&amp;AA$2,$K$3:$N$4001,3,0)),"",VLOOKUP($R391&amp;AA$2,$K$3:$N$4001,3,0))</f>
        <v>40970</v>
      </c>
      <c r="AB391" s="109">
        <f>IF(ISNA(VLOOKUP($R391&amp;AA$2,$K$3:$N$4001,4,0)),"",VLOOKUP($R391&amp;AA$2,$K$3:$N$4001,4,0))</f>
        <v>0.05</v>
      </c>
      <c r="AC391" s="108">
        <f>IF(ISNA(VLOOKUP($R391&amp;AC$2,$K$3:$N$4001,3,0)),"",VLOOKUP($R391&amp;AC$2,$K$3:$N$4001,3,0))</f>
        <v>41166</v>
      </c>
      <c r="AD391" s="109">
        <f>IF(ISNA(VLOOKUP($R391&amp;AC$2,$K$3:$N$4001,4,0)),"",VLOOKUP($R391&amp;AC$2,$K$3:$N$4001,4,0))</f>
        <v>0.1</v>
      </c>
      <c r="AE391" s="108">
        <f>IF(ISNA(VLOOKUP($R391&amp;AE$2,$K$3:$N$4001,3,0)),"",VLOOKUP($R391&amp;AE$2,$K$3:$N$4001,3,0))</f>
        <v>41337</v>
      </c>
      <c r="AF391" s="109">
        <f>IF(ISNA(VLOOKUP($R391&amp;AE$2,$K$3:$N$4001,4,0)),"",VLOOKUP($R391&amp;AE$2,$K$3:$N$4001,4,0))</f>
        <v>5.33E-2</v>
      </c>
      <c r="AG391" s="108">
        <f>IF(ISNA(VLOOKUP($R391&amp;AG$2,$K$3:$N$4001,3,0)),"",VLOOKUP($R391&amp;AG$2,$K$3:$N$4001,3,0))</f>
        <v>41533</v>
      </c>
      <c r="AH391" s="109">
        <f>IF(ISNA(VLOOKUP($R391&amp;AG$2,$K$3:$N$4001,4,0)),"",VLOOKUP($R391&amp;AG$2,$K$3:$N$4001,4,0))</f>
        <v>0.1067</v>
      </c>
      <c r="AI391" s="108" t="str">
        <f>IF(ISNA(VLOOKUP($R391&amp;AI$2,$K$3:$N$4001,3,0)),"",VLOOKUP($R391&amp;AI$2,$K$3:$N$4001,3,0))</f>
        <v/>
      </c>
      <c r="AJ391" s="109" t="str">
        <f>IF(ISNA(VLOOKUP($R391&amp;AI$2,$K$3:$N$4001,4,0)),"",VLOOKUP($R391&amp;AI$2,$K$3:$N$4001,4,0))</f>
        <v/>
      </c>
      <c r="AK391" s="108" t="str">
        <f>IF(ISNA(VLOOKUP($R391&amp;AK$2,$K$3:$N$4001,3,0)),"",VLOOKUP($R391&amp;AK$2,$K$3:$N$4001,3,0))</f>
        <v/>
      </c>
    </row>
    <row r="392" spans="3:37" x14ac:dyDescent="0.2">
      <c r="C392" s="96" t="str">
        <f t="shared" si="24"/>
        <v>CCL8</v>
      </c>
      <c r="D392" s="73" t="s">
        <v>104</v>
      </c>
      <c r="E392" s="100">
        <v>41141</v>
      </c>
      <c r="F392" s="101">
        <v>0.23269999999999999</v>
      </c>
      <c r="G392" s="96">
        <f t="shared" si="25"/>
        <v>8</v>
      </c>
      <c r="I392" s="96"/>
      <c r="K392" t="str">
        <f t="shared" si="26"/>
        <v>CCL8</v>
      </c>
      <c r="L392" s="73" t="s">
        <v>104</v>
      </c>
      <c r="M392" s="72">
        <v>41141</v>
      </c>
      <c r="N392" s="84">
        <v>0.23269999999999999</v>
      </c>
      <c r="O392" s="96">
        <f t="shared" si="27"/>
        <v>8</v>
      </c>
      <c r="Q392" s="96"/>
      <c r="R392" s="96" t="s">
        <v>236</v>
      </c>
      <c r="S392" s="106">
        <f>IF(ISNA(VLOOKUP($R392&amp;S$2,$C$3:$F$4001,3,0)),"",VLOOKUP($R392&amp;S$2,$C$3:$F$4001,3,0))</f>
        <v>40036</v>
      </c>
      <c r="T392" s="107">
        <f>IF(ISNA(VLOOKUP($R392&amp;S$2,$C$3:$F$4001,4,0)),"",VLOOKUP($R392&amp;S$2,$C$3:$F$4001,4,0))</f>
        <v>0.53249999999999997</v>
      </c>
      <c r="U392" s="106">
        <f>IF(ISNA(VLOOKUP($R392&amp;U$2,$C$3:$F$4001,3,0)),"",VLOOKUP($R392&amp;U$2,$C$3:$F$4001,3,0))</f>
        <v>40211</v>
      </c>
      <c r="V392" s="107">
        <f>IF(ISNA(VLOOKUP($R392&amp;U$2,$C$3:$F$4001,4,0)),"",VLOOKUP($R392&amp;U$2,$C$3:$F$4001,4,0))</f>
        <v>0.53249999999999997</v>
      </c>
      <c r="W392" s="106">
        <f>IF(ISNA(VLOOKUP($R392&amp;W$2,$C$3:$F$4001,3,0)),"",VLOOKUP($R392&amp;W$2,$C$3:$F$4001,3,0))</f>
        <v>40401</v>
      </c>
      <c r="X392" s="107">
        <f>IF(ISNA(VLOOKUP($R392&amp;W$2,$C$3:$F$4001,4,0)),"",VLOOKUP($R392&amp;W$2,$C$3:$F$4001,4,0))</f>
        <v>0.53249999999999997</v>
      </c>
      <c r="Y392" s="106">
        <f>IF(ISNA(VLOOKUP($R392&amp;Y$2,$C$3:$F$4001,3,0)),"",VLOOKUP($R392&amp;Y$2,$C$3:$F$4001,3,0))</f>
        <v>40576</v>
      </c>
      <c r="Z392" s="107">
        <f>IF(ISNA(VLOOKUP($R392&amp;Y$2,$C$3:$F$4001,4,0)),"",VLOOKUP($R392&amp;Y$2,$C$3:$F$4001,4,0))</f>
        <v>0.53249999999999997</v>
      </c>
      <c r="AA392" s="106">
        <f>IF(ISNA(VLOOKUP($R392&amp;AA$2,$C$3:$F$4001,3,0)),"",VLOOKUP($R392&amp;AA$2,$C$3:$F$4001,3,0))</f>
        <v>40766</v>
      </c>
      <c r="AB392" s="107">
        <f>IF(ISNA(VLOOKUP($R392&amp;AA$2,$C$3:$F$4001,4,0)),"",VLOOKUP($R392&amp;AA$2,$C$3:$F$4001,4,0))</f>
        <v>0.53249999999999997</v>
      </c>
      <c r="AC392" s="106">
        <f>IF(ISNA(VLOOKUP($R392&amp;AC$2,$C$3:$F$4001,3,0)),"",VLOOKUP($R392&amp;AC$2,$C$3:$F$4001,3,0))</f>
        <v>40941</v>
      </c>
      <c r="AD392" s="107">
        <f>IF(ISNA(VLOOKUP($R392&amp;AC$2,$C$3:$F$4001,4,0)),"",VLOOKUP($R392&amp;AC$2,$C$3:$F$4001,4,0))</f>
        <v>0.53249999999999997</v>
      </c>
      <c r="AE392" s="106">
        <f>IF(ISNA(VLOOKUP($R392&amp;AE$2,$C$3:$F$4001,3,0)),"",VLOOKUP($R392&amp;AE$2,$C$3:$F$4001,3,0))</f>
        <v>41134</v>
      </c>
      <c r="AF392" s="107">
        <f>IF(ISNA(VLOOKUP($R392&amp;AE$2,$C$3:$F$4001,4,0)),"",VLOOKUP($R392&amp;AE$2,$C$3:$F$4001,4,0))</f>
        <v>0.54</v>
      </c>
      <c r="AG392" s="106">
        <f>IF(ISNA(VLOOKUP($R392&amp;AG$2,$C$3:$F$4001,3,0)),"",VLOOKUP($R392&amp;AG$2,$C$3:$F$4001,3,0))</f>
        <v>41309</v>
      </c>
      <c r="AH392" s="107">
        <f>IF(ISNA(VLOOKUP($R392&amp;AG$2,$C$3:$F$4001,4,0)),"",VLOOKUP($R392&amp;AG$2,$C$3:$F$4001,4,0))</f>
        <v>0.54</v>
      </c>
      <c r="AI392" s="106" t="str">
        <f>IF(ISNA(VLOOKUP($R392&amp;AI$2,$C$3:$F$4001,3,0)),"",VLOOKUP($R392&amp;AI$2,$C$3:$F$4001,3,0))</f>
        <v/>
      </c>
      <c r="AJ392" s="107" t="str">
        <f>IF(ISNA(VLOOKUP($R392&amp;AI$2,$C$3:$F$4001,4,0)),"",VLOOKUP($R392&amp;AI$2,$C$3:$F$4001,4,0))</f>
        <v/>
      </c>
      <c r="AK392" s="106" t="str">
        <f>IF(ISNA(VLOOKUP($R392&amp;AK$2,$C$3:$F$4001,3,0)),"",VLOOKUP($R392&amp;AK$2,$C$3:$F$4001,3,0))</f>
        <v/>
      </c>
    </row>
    <row r="393" spans="3:37" x14ac:dyDescent="0.2">
      <c r="C393" s="96" t="str">
        <f t="shared" si="24"/>
        <v>CCL9</v>
      </c>
      <c r="D393" s="73" t="s">
        <v>104</v>
      </c>
      <c r="E393" s="100">
        <v>41324</v>
      </c>
      <c r="F393" s="101">
        <v>0.29430000000000001</v>
      </c>
      <c r="G393" s="96">
        <f t="shared" si="25"/>
        <v>9</v>
      </c>
      <c r="I393" s="96"/>
      <c r="K393" t="str">
        <f t="shared" si="26"/>
        <v>CCL9</v>
      </c>
      <c r="L393" s="73" t="s">
        <v>104</v>
      </c>
      <c r="M393" s="72">
        <v>41324</v>
      </c>
      <c r="N393" s="84">
        <v>0.29430000000000001</v>
      </c>
      <c r="O393" s="96">
        <f t="shared" si="27"/>
        <v>9</v>
      </c>
      <c r="Q393" s="96"/>
      <c r="R393" s="96" t="str">
        <f>R392</f>
        <v>WDC</v>
      </c>
      <c r="S393" s="108">
        <f>IF(ISNA(VLOOKUP($R393&amp;S$2,$K$3:$N$4001,3,0)),"",VLOOKUP($R393&amp;S$2,$K$3:$N$4001,3,0))</f>
        <v>40036</v>
      </c>
      <c r="T393" s="109">
        <f>IF(ISNA(VLOOKUP($R393&amp;S$2,$K$3:$N$4001,4,0)),"",VLOOKUP($R393&amp;S$2,$K$3:$N$4001,4,0))</f>
        <v>0.53249999999999997</v>
      </c>
      <c r="U393" s="108">
        <f>IF(ISNA(VLOOKUP($R393&amp;U$2,$K$3:$N$4001,3,0)),"",VLOOKUP($R393&amp;U$2,$K$3:$N$4001,3,0))</f>
        <v>40211</v>
      </c>
      <c r="V393" s="109">
        <f>IF(ISNA(VLOOKUP($R393&amp;U$2,$K$3:$N$4001,4,0)),"",VLOOKUP($R393&amp;U$2,$K$3:$N$4001,4,0))</f>
        <v>0.53249999999999997</v>
      </c>
      <c r="W393" s="108">
        <f>IF(ISNA(VLOOKUP($R393&amp;W$2,$K$3:$N$4001,3,0)),"",VLOOKUP($R393&amp;W$2,$K$3:$N$4001,3,0))</f>
        <v>40401</v>
      </c>
      <c r="X393" s="109">
        <f>IF(ISNA(VLOOKUP($R393&amp;W$2,$K$3:$N$4001,4,0)),"",VLOOKUP($R393&amp;W$2,$K$3:$N$4001,4,0))</f>
        <v>0.53249999999999997</v>
      </c>
      <c r="Y393" s="108">
        <f>IF(ISNA(VLOOKUP($R393&amp;Y$2,$K$3:$N$4001,3,0)),"",VLOOKUP($R393&amp;Y$2,$K$3:$N$4001,3,0))</f>
        <v>40576</v>
      </c>
      <c r="Z393" s="109">
        <f>IF(ISNA(VLOOKUP($R393&amp;Y$2,$K$3:$N$4001,4,0)),"",VLOOKUP($R393&amp;Y$2,$K$3:$N$4001,4,0))</f>
        <v>0.53249999999999997</v>
      </c>
      <c r="AA393" s="108">
        <f>IF(ISNA(VLOOKUP($R393&amp;AA$2,$K$3:$N$4001,3,0)),"",VLOOKUP($R393&amp;AA$2,$K$3:$N$4001,3,0))</f>
        <v>40766</v>
      </c>
      <c r="AB393" s="109">
        <f>IF(ISNA(VLOOKUP($R393&amp;AA$2,$K$3:$N$4001,4,0)),"",VLOOKUP($R393&amp;AA$2,$K$3:$N$4001,4,0))</f>
        <v>0.53249999999999997</v>
      </c>
      <c r="AC393" s="108">
        <f>IF(ISNA(VLOOKUP($R393&amp;AC$2,$K$3:$N$4001,3,0)),"",VLOOKUP($R393&amp;AC$2,$K$3:$N$4001,3,0))</f>
        <v>40941</v>
      </c>
      <c r="AD393" s="109">
        <f>IF(ISNA(VLOOKUP($R393&amp;AC$2,$K$3:$N$4001,4,0)),"",VLOOKUP($R393&amp;AC$2,$K$3:$N$4001,4,0))</f>
        <v>0.53249999999999997</v>
      </c>
      <c r="AE393" s="108">
        <f>IF(ISNA(VLOOKUP($R393&amp;AE$2,$K$3:$N$4001,3,0)),"",VLOOKUP($R393&amp;AE$2,$K$3:$N$4001,3,0))</f>
        <v>41134</v>
      </c>
      <c r="AF393" s="109">
        <f>IF(ISNA(VLOOKUP($R393&amp;AE$2,$K$3:$N$4001,4,0)),"",VLOOKUP($R393&amp;AE$2,$K$3:$N$4001,4,0))</f>
        <v>0.54</v>
      </c>
      <c r="AG393" s="108">
        <f>IF(ISNA(VLOOKUP($R393&amp;AG$2,$K$3:$N$4001,3,0)),"",VLOOKUP($R393&amp;AG$2,$K$3:$N$4001,3,0))</f>
        <v>41309</v>
      </c>
      <c r="AH393" s="109">
        <f>IF(ISNA(VLOOKUP($R393&amp;AG$2,$K$3:$N$4001,4,0)),"",VLOOKUP($R393&amp;AG$2,$K$3:$N$4001,4,0))</f>
        <v>0.54</v>
      </c>
      <c r="AI393" s="108" t="str">
        <f>IF(ISNA(VLOOKUP($R393&amp;AI$2,$K$3:$N$4001,3,0)),"",VLOOKUP($R393&amp;AI$2,$K$3:$N$4001,3,0))</f>
        <v/>
      </c>
      <c r="AJ393" s="109" t="str">
        <f>IF(ISNA(VLOOKUP($R393&amp;AI$2,$K$3:$N$4001,4,0)),"",VLOOKUP($R393&amp;AI$2,$K$3:$N$4001,4,0))</f>
        <v/>
      </c>
      <c r="AK393" s="108" t="str">
        <f>IF(ISNA(VLOOKUP($R393&amp;AK$2,$K$3:$N$4001,3,0)),"",VLOOKUP($R393&amp;AK$2,$K$3:$N$4001,3,0))</f>
        <v/>
      </c>
    </row>
    <row r="394" spans="3:37" x14ac:dyDescent="0.2">
      <c r="C394" s="96" t="str">
        <f t="shared" si="24"/>
        <v>CER1</v>
      </c>
      <c r="D394" s="73" t="s">
        <v>105</v>
      </c>
      <c r="E394" s="100">
        <v>39988</v>
      </c>
      <c r="F394" s="101">
        <v>1.3999999999999999E-2</v>
      </c>
      <c r="G394" s="96">
        <f t="shared" si="25"/>
        <v>1</v>
      </c>
      <c r="I394" s="96"/>
      <c r="K394" t="str">
        <f t="shared" si="26"/>
        <v>CER1</v>
      </c>
      <c r="L394" s="73" t="s">
        <v>105</v>
      </c>
      <c r="M394" s="72">
        <v>39988</v>
      </c>
      <c r="N394" s="84">
        <v>1.3999999999999999E-2</v>
      </c>
      <c r="O394" s="96">
        <f t="shared" si="27"/>
        <v>1</v>
      </c>
      <c r="Q394" s="96"/>
      <c r="R394" s="96" t="s">
        <v>235</v>
      </c>
      <c r="S394" s="106">
        <f>IF(ISNA(VLOOKUP($R394&amp;S$2,$C$3:$F$4001,3,0)),"",VLOOKUP($R394&amp;S$2,$C$3:$F$4001,3,0))</f>
        <v>39951</v>
      </c>
      <c r="T394" s="107">
        <f>IF(ISNA(VLOOKUP($R394&amp;S$2,$C$3:$F$4001,4,0)),"",VLOOKUP($R394&amp;S$2,$C$3:$F$4001,4,0))</f>
        <v>0.7</v>
      </c>
      <c r="U394" s="106">
        <f>IF(ISNA(VLOOKUP($R394&amp;U$2,$C$3:$F$4001,3,0)),"",VLOOKUP($R394&amp;U$2,$C$3:$F$4001,3,0))</f>
        <v>40126</v>
      </c>
      <c r="V394" s="107">
        <f>IF(ISNA(VLOOKUP($R394&amp;U$2,$C$3:$F$4001,4,0)),"",VLOOKUP($R394&amp;U$2,$C$3:$F$4001,4,0))</f>
        <v>0.74</v>
      </c>
      <c r="W394" s="106">
        <f>IF(ISNA(VLOOKUP($R394&amp;W$2,$C$3:$F$4001,3,0)),"",VLOOKUP($R394&amp;W$2,$C$3:$F$4001,3,0))</f>
        <v>40316</v>
      </c>
      <c r="X394" s="107">
        <f>IF(ISNA(VLOOKUP($R394&amp;W$2,$C$3:$F$4001,4,0)),"",VLOOKUP($R394&amp;W$2,$C$3:$F$4001,4,0))</f>
        <v>0.7</v>
      </c>
      <c r="Y394" s="106">
        <f>IF(ISNA(VLOOKUP($R394&amp;Y$2,$C$3:$F$4001,3,0)),"",VLOOKUP($R394&amp;Y$2,$C$3:$F$4001,3,0))</f>
        <v>40491</v>
      </c>
      <c r="Z394" s="107">
        <f>IF(ISNA(VLOOKUP($R394&amp;Y$2,$C$3:$F$4001,4,0)),"",VLOOKUP($R394&amp;Y$2,$C$3:$F$4001,4,0))</f>
        <v>0.74</v>
      </c>
      <c r="AA394" s="106">
        <f>IF(ISNA(VLOOKUP($R394&amp;AA$2,$C$3:$F$4001,3,0)),"",VLOOKUP($R394&amp;AA$2,$C$3:$F$4001,3,0))</f>
        <v>40681</v>
      </c>
      <c r="AB394" s="107">
        <f>IF(ISNA(VLOOKUP($R394&amp;AA$2,$C$3:$F$4001,4,0)),"",VLOOKUP($R394&amp;AA$2,$C$3:$F$4001,4,0))</f>
        <v>0.74</v>
      </c>
      <c r="AC394" s="106">
        <f>IF(ISNA(VLOOKUP($R394&amp;AC$2,$C$3:$F$4001,3,0)),"",VLOOKUP($R394&amp;AC$2,$C$3:$F$4001,3,0))</f>
        <v>40856</v>
      </c>
      <c r="AD394" s="107">
        <f>IF(ISNA(VLOOKUP($R394&amp;AC$2,$C$3:$F$4001,4,0)),"",VLOOKUP($R394&amp;AC$2,$C$3:$F$4001,4,0))</f>
        <v>0.79</v>
      </c>
      <c r="AE394" s="106">
        <f>IF(ISNA(VLOOKUP($R394&amp;AE$2,$C$3:$F$4001,3,0)),"",VLOOKUP($R394&amp;AE$2,$C$3:$F$4001,3,0))</f>
        <v>41047</v>
      </c>
      <c r="AF394" s="107">
        <f>IF(ISNA(VLOOKUP($R394&amp;AE$2,$C$3:$F$4001,4,0)),"",VLOOKUP($R394&amp;AE$2,$C$3:$F$4001,4,0))</f>
        <v>0.78</v>
      </c>
      <c r="AG394" s="106">
        <f>IF(ISNA(VLOOKUP($R394&amp;AG$2,$C$3:$F$4001,3,0)),"",VLOOKUP($R394&amp;AG$2,$C$3:$F$4001,3,0))</f>
        <v>41222</v>
      </c>
      <c r="AH394" s="107">
        <f>IF(ISNA(VLOOKUP($R394&amp;AG$2,$C$3:$F$4001,4,0)),"",VLOOKUP($R394&amp;AG$2,$C$3:$F$4001,4,0))</f>
        <v>0.84</v>
      </c>
      <c r="AI394" s="106">
        <f>IF(ISNA(VLOOKUP($R394&amp;AI$2,$C$3:$F$4001,3,0)),"",VLOOKUP($R394&amp;AI$2,$C$3:$F$4001,3,0))</f>
        <v>41414</v>
      </c>
      <c r="AJ394" s="107">
        <f>IF(ISNA(VLOOKUP($R394&amp;AI$2,$C$3:$F$4001,4,0)),"",VLOOKUP($R394&amp;AI$2,$C$3:$F$4001,4,0))</f>
        <v>0.83</v>
      </c>
      <c r="AK394" s="106">
        <f>IF(ISNA(VLOOKUP($R394&amp;AK$2,$C$3:$F$4001,3,0)),"",VLOOKUP($R394&amp;AK$2,$C$3:$F$4001,3,0))</f>
        <v>41589</v>
      </c>
    </row>
    <row r="395" spans="3:37" x14ac:dyDescent="0.2">
      <c r="C395" s="96" t="str">
        <f t="shared" si="24"/>
        <v>CER2</v>
      </c>
      <c r="D395" s="73" t="s">
        <v>105</v>
      </c>
      <c r="E395" s="100">
        <v>40170</v>
      </c>
      <c r="F395" s="101">
        <v>0.01</v>
      </c>
      <c r="G395" s="96">
        <f t="shared" si="25"/>
        <v>2</v>
      </c>
      <c r="I395" s="96"/>
      <c r="K395" t="str">
        <f t="shared" si="26"/>
        <v>CER2</v>
      </c>
      <c r="L395" s="73" t="s">
        <v>105</v>
      </c>
      <c r="M395" s="72">
        <v>40170</v>
      </c>
      <c r="N395" s="84">
        <v>0.01</v>
      </c>
      <c r="O395" s="96">
        <f t="shared" si="27"/>
        <v>2</v>
      </c>
      <c r="Q395" s="96"/>
      <c r="R395" s="96" t="str">
        <f>R394</f>
        <v>WBC</v>
      </c>
      <c r="S395" s="108">
        <f>IF(ISNA(VLOOKUP($R395&amp;S$2,$K$3:$N$4001,3,0)),"",VLOOKUP($R395&amp;S$2,$K$3:$N$4001,3,0))</f>
        <v>39951</v>
      </c>
      <c r="T395" s="109">
        <f>IF(ISNA(VLOOKUP($R395&amp;S$2,$K$3:$N$4001,4,0)),"",VLOOKUP($R395&amp;S$2,$K$3:$N$4001,4,0))</f>
        <v>0.7</v>
      </c>
      <c r="U395" s="108">
        <f>IF(ISNA(VLOOKUP($R395&amp;U$2,$K$3:$N$4001,3,0)),"",VLOOKUP($R395&amp;U$2,$K$3:$N$4001,3,0))</f>
        <v>40126</v>
      </c>
      <c r="V395" s="109">
        <f>IF(ISNA(VLOOKUP($R395&amp;U$2,$K$3:$N$4001,4,0)),"",VLOOKUP($R395&amp;U$2,$K$3:$N$4001,4,0))</f>
        <v>0.74</v>
      </c>
      <c r="W395" s="108">
        <f>IF(ISNA(VLOOKUP($R395&amp;W$2,$K$3:$N$4001,3,0)),"",VLOOKUP($R395&amp;W$2,$K$3:$N$4001,3,0))</f>
        <v>40316</v>
      </c>
      <c r="X395" s="109">
        <f>IF(ISNA(VLOOKUP($R395&amp;W$2,$K$3:$N$4001,4,0)),"",VLOOKUP($R395&amp;W$2,$K$3:$N$4001,4,0))</f>
        <v>0.7</v>
      </c>
      <c r="Y395" s="108">
        <f>IF(ISNA(VLOOKUP($R395&amp;Y$2,$K$3:$N$4001,3,0)),"",VLOOKUP($R395&amp;Y$2,$K$3:$N$4001,3,0))</f>
        <v>40491</v>
      </c>
      <c r="Z395" s="109">
        <f>IF(ISNA(VLOOKUP($R395&amp;Y$2,$K$3:$N$4001,4,0)),"",VLOOKUP($R395&amp;Y$2,$K$3:$N$4001,4,0))</f>
        <v>0.74</v>
      </c>
      <c r="AA395" s="108">
        <f>IF(ISNA(VLOOKUP($R395&amp;AA$2,$K$3:$N$4001,3,0)),"",VLOOKUP($R395&amp;AA$2,$K$3:$N$4001,3,0))</f>
        <v>40681</v>
      </c>
      <c r="AB395" s="109">
        <f>IF(ISNA(VLOOKUP($R395&amp;AA$2,$K$3:$N$4001,4,0)),"",VLOOKUP($R395&amp;AA$2,$K$3:$N$4001,4,0))</f>
        <v>0.74</v>
      </c>
      <c r="AC395" s="108">
        <f>IF(ISNA(VLOOKUP($R395&amp;AC$2,$K$3:$N$4001,3,0)),"",VLOOKUP($R395&amp;AC$2,$K$3:$N$4001,3,0))</f>
        <v>40856</v>
      </c>
      <c r="AD395" s="109">
        <f>IF(ISNA(VLOOKUP($R395&amp;AC$2,$K$3:$N$4001,4,0)),"",VLOOKUP($R395&amp;AC$2,$K$3:$N$4001,4,0))</f>
        <v>0.79</v>
      </c>
      <c r="AE395" s="108">
        <f>IF(ISNA(VLOOKUP($R395&amp;AE$2,$K$3:$N$4001,3,0)),"",VLOOKUP($R395&amp;AE$2,$K$3:$N$4001,3,0))</f>
        <v>41047</v>
      </c>
      <c r="AF395" s="109">
        <f>IF(ISNA(VLOOKUP($R395&amp;AE$2,$K$3:$N$4001,4,0)),"",VLOOKUP($R395&amp;AE$2,$K$3:$N$4001,4,0))</f>
        <v>0.78</v>
      </c>
      <c r="AG395" s="108">
        <f>IF(ISNA(VLOOKUP($R395&amp;AG$2,$K$3:$N$4001,3,0)),"",VLOOKUP($R395&amp;AG$2,$K$3:$N$4001,3,0))</f>
        <v>41222</v>
      </c>
      <c r="AH395" s="109">
        <f>IF(ISNA(VLOOKUP($R395&amp;AG$2,$K$3:$N$4001,4,0)),"",VLOOKUP($R395&amp;AG$2,$K$3:$N$4001,4,0))</f>
        <v>0.84</v>
      </c>
      <c r="AI395" s="108">
        <f>IF(ISNA(VLOOKUP($R395&amp;AI$2,$K$3:$N$4001,3,0)),"",VLOOKUP($R395&amp;AI$2,$K$3:$N$4001,3,0))</f>
        <v>41414</v>
      </c>
      <c r="AJ395" s="109">
        <f>IF(ISNA(VLOOKUP($R395&amp;AI$2,$K$3:$N$4001,4,0)),"",VLOOKUP($R395&amp;AI$2,$K$3:$N$4001,4,0))</f>
        <v>0.83</v>
      </c>
      <c r="AK395" s="108">
        <f>IF(ISNA(VLOOKUP($R395&amp;AK$2,$K$3:$N$4001,3,0)),"",VLOOKUP($R395&amp;AK$2,$K$3:$N$4001,3,0))</f>
        <v>41589</v>
      </c>
    </row>
    <row r="396" spans="3:37" x14ac:dyDescent="0.2">
      <c r="C396" s="96" t="str">
        <f t="shared" si="24"/>
        <v>CER3</v>
      </c>
      <c r="D396" s="73" t="s">
        <v>105</v>
      </c>
      <c r="E396" s="100">
        <v>40353</v>
      </c>
      <c r="F396" s="101">
        <v>1.4999999999999999E-2</v>
      </c>
      <c r="G396" s="96">
        <f t="shared" si="25"/>
        <v>3</v>
      </c>
      <c r="I396" s="96"/>
      <c r="K396" t="str">
        <f t="shared" si="26"/>
        <v>CER3</v>
      </c>
      <c r="L396" s="73" t="s">
        <v>105</v>
      </c>
      <c r="M396" s="72">
        <v>40353</v>
      </c>
      <c r="N396" s="84">
        <v>1.4999999999999999E-2</v>
      </c>
      <c r="O396" s="96">
        <f t="shared" si="27"/>
        <v>3</v>
      </c>
      <c r="Q396" s="96"/>
      <c r="R396" s="96" t="s">
        <v>240</v>
      </c>
      <c r="S396" s="106">
        <f>IF(ISNA(VLOOKUP($R396&amp;S$2,$C$3:$F$4001,3,0)),"",VLOOKUP($R396&amp;S$2,$C$3:$F$4001,3,0))</f>
        <v>39868</v>
      </c>
      <c r="T396" s="107">
        <f>IF(ISNA(VLOOKUP($R396&amp;S$2,$C$3:$F$4001,4,0)),"",VLOOKUP($R396&amp;S$2,$C$3:$F$4001,4,0))</f>
        <v>0.8</v>
      </c>
      <c r="U396" s="106">
        <f>IF(ISNA(VLOOKUP($R396&amp;U$2,$C$3:$F$4001,3,0)),"",VLOOKUP($R396&amp;U$2,$C$3:$F$4001,3,0))</f>
        <v>40057</v>
      </c>
      <c r="V396" s="107">
        <f>IF(ISNA(VLOOKUP($R396&amp;U$2,$C$3:$F$4001,4,0)),"",VLOOKUP($R396&amp;U$2,$C$3:$F$4001,4,0))</f>
        <v>0.57999999999999996</v>
      </c>
      <c r="W396" s="106">
        <f>IF(ISNA(VLOOKUP($R396&amp;W$2,$C$3:$F$4001,3,0)),"",VLOOKUP($R396&amp;W$2,$C$3:$F$4001,3,0))</f>
        <v>40233</v>
      </c>
      <c r="X396" s="107">
        <f>IF(ISNA(VLOOKUP($R396&amp;W$2,$C$3:$F$4001,4,0)),"",VLOOKUP($R396&amp;W$2,$C$3:$F$4001,4,0))</f>
        <v>0.8</v>
      </c>
      <c r="Y396" s="106">
        <f>IF(ISNA(VLOOKUP($R396&amp;Y$2,$C$3:$F$4001,3,0)),"",VLOOKUP($R396&amp;Y$2,$C$3:$F$4001,3,0))</f>
        <v>40422</v>
      </c>
      <c r="Z396" s="107">
        <f>IF(ISNA(VLOOKUP($R396&amp;Y$2,$C$3:$F$4001,4,0)),"",VLOOKUP($R396&amp;Y$2,$C$3:$F$4001,4,0))</f>
        <v>0.57999999999999996</v>
      </c>
      <c r="AA396" s="106">
        <f>IF(ISNA(VLOOKUP($R396&amp;AA$2,$C$3:$F$4001,3,0)),"",VLOOKUP($R396&amp;AA$2,$C$3:$F$4001,3,0))</f>
        <v>40598</v>
      </c>
      <c r="AB396" s="107">
        <f>IF(ISNA(VLOOKUP($R396&amp;AA$2,$C$3:$F$4001,4,0)),"",VLOOKUP($R396&amp;AA$2,$C$3:$F$4001,4,0))</f>
        <v>0.8</v>
      </c>
      <c r="AC396" s="106">
        <f>IF(ISNA(VLOOKUP($R396&amp;AC$2,$C$3:$F$4001,3,0)),"",VLOOKUP($R396&amp;AC$2,$C$3:$F$4001,3,0))</f>
        <v>40787</v>
      </c>
      <c r="AD396" s="107">
        <f>IF(ISNA(VLOOKUP($R396&amp;AC$2,$C$3:$F$4001,4,0)),"",VLOOKUP($R396&amp;AC$2,$C$3:$F$4001,4,0))</f>
        <v>0.8</v>
      </c>
      <c r="AE396" s="106">
        <f>IF(ISNA(VLOOKUP($R396&amp;AE$2,$C$3:$F$4001,3,0)),"",VLOOKUP($R396&amp;AE$2,$C$3:$F$4001,3,0))</f>
        <v>40966</v>
      </c>
      <c r="AF396" s="107">
        <f>IF(ISNA(VLOOKUP($R396&amp;AE$2,$C$3:$F$4001,4,0)),"",VLOOKUP($R396&amp;AE$2,$C$3:$F$4001,4,0))</f>
        <v>1</v>
      </c>
      <c r="AG396" s="106">
        <f>IF(ISNA(VLOOKUP($R396&amp;AG$2,$C$3:$F$4001,3,0)),"",VLOOKUP($R396&amp;AG$2,$C$3:$F$4001,3,0))</f>
        <v>41155</v>
      </c>
      <c r="AH396" s="107">
        <f>IF(ISNA(VLOOKUP($R396&amp;AG$2,$C$3:$F$4001,4,0)),"",VLOOKUP($R396&amp;AG$2,$C$3:$F$4001,4,0))</f>
        <v>0.8</v>
      </c>
      <c r="AI396" s="106">
        <f>IF(ISNA(VLOOKUP($R396&amp;AI$2,$C$3:$F$4001,3,0)),"",VLOOKUP($R396&amp;AI$2,$C$3:$F$4001,3,0))</f>
        <v>41331</v>
      </c>
      <c r="AJ396" s="107">
        <f>IF(ISNA(VLOOKUP($R396&amp;AI$2,$C$3:$F$4001,4,0)),"",VLOOKUP($R396&amp;AI$2,$C$3:$F$4001,4,0))</f>
        <v>1</v>
      </c>
      <c r="AK396" s="106" t="str">
        <f>IF(ISNA(VLOOKUP($R396&amp;AK$2,$C$3:$F$4001,3,0)),"",VLOOKUP($R396&amp;AK$2,$C$3:$F$4001,3,0))</f>
        <v/>
      </c>
    </row>
    <row r="397" spans="3:37" x14ac:dyDescent="0.2">
      <c r="C397" s="96" t="str">
        <f t="shared" si="24"/>
        <v>CER4</v>
      </c>
      <c r="D397" s="73" t="s">
        <v>105</v>
      </c>
      <c r="E397" s="100">
        <v>40535</v>
      </c>
      <c r="F397" s="101">
        <v>1.4999999999999999E-2</v>
      </c>
      <c r="G397" s="96">
        <f t="shared" si="25"/>
        <v>4</v>
      </c>
      <c r="I397" s="96"/>
      <c r="K397" t="str">
        <f t="shared" si="26"/>
        <v>CER4</v>
      </c>
      <c r="L397" s="73" t="s">
        <v>105</v>
      </c>
      <c r="M397" s="72">
        <v>40535</v>
      </c>
      <c r="N397" s="84">
        <v>1.4999999999999999E-2</v>
      </c>
      <c r="O397" s="96">
        <f t="shared" si="27"/>
        <v>4</v>
      </c>
      <c r="Q397" s="96"/>
      <c r="R397" s="96" t="str">
        <f>R396</f>
        <v>WPL</v>
      </c>
      <c r="S397" s="108">
        <f>IF(ISNA(VLOOKUP($R397&amp;S$2,$K$3:$N$4001,3,0)),"",VLOOKUP($R397&amp;S$2,$K$3:$N$4001,3,0))</f>
        <v>39868</v>
      </c>
      <c r="T397" s="109">
        <f>IF(ISNA(VLOOKUP($R397&amp;S$2,$K$3:$N$4001,4,0)),"",VLOOKUP($R397&amp;S$2,$K$3:$N$4001,4,0))</f>
        <v>0.8</v>
      </c>
      <c r="U397" s="108">
        <f>IF(ISNA(VLOOKUP($R397&amp;U$2,$K$3:$N$4001,3,0)),"",VLOOKUP($R397&amp;U$2,$K$3:$N$4001,3,0))</f>
        <v>40057</v>
      </c>
      <c r="V397" s="109">
        <f>IF(ISNA(VLOOKUP($R397&amp;U$2,$K$3:$N$4001,4,0)),"",VLOOKUP($R397&amp;U$2,$K$3:$N$4001,4,0))</f>
        <v>0.57999999999999996</v>
      </c>
      <c r="W397" s="108">
        <f>IF(ISNA(VLOOKUP($R397&amp;W$2,$K$3:$N$4001,3,0)),"",VLOOKUP($R397&amp;W$2,$K$3:$N$4001,3,0))</f>
        <v>40233</v>
      </c>
      <c r="X397" s="109">
        <f>IF(ISNA(VLOOKUP($R397&amp;W$2,$K$3:$N$4001,4,0)),"",VLOOKUP($R397&amp;W$2,$K$3:$N$4001,4,0))</f>
        <v>0.8</v>
      </c>
      <c r="Y397" s="108">
        <f>IF(ISNA(VLOOKUP($R397&amp;Y$2,$K$3:$N$4001,3,0)),"",VLOOKUP($R397&amp;Y$2,$K$3:$N$4001,3,0))</f>
        <v>40422</v>
      </c>
      <c r="Z397" s="109">
        <f>IF(ISNA(VLOOKUP($R397&amp;Y$2,$K$3:$N$4001,4,0)),"",VLOOKUP($R397&amp;Y$2,$K$3:$N$4001,4,0))</f>
        <v>0.57999999999999996</v>
      </c>
      <c r="AA397" s="108">
        <f>IF(ISNA(VLOOKUP($R397&amp;AA$2,$K$3:$N$4001,3,0)),"",VLOOKUP($R397&amp;AA$2,$K$3:$N$4001,3,0))</f>
        <v>40598</v>
      </c>
      <c r="AB397" s="109">
        <f>IF(ISNA(VLOOKUP($R397&amp;AA$2,$K$3:$N$4001,4,0)),"",VLOOKUP($R397&amp;AA$2,$K$3:$N$4001,4,0))</f>
        <v>0.8</v>
      </c>
      <c r="AC397" s="108">
        <f>IF(ISNA(VLOOKUP($R397&amp;AC$2,$K$3:$N$4001,3,0)),"",VLOOKUP($R397&amp;AC$2,$K$3:$N$4001,3,0))</f>
        <v>40787</v>
      </c>
      <c r="AD397" s="109">
        <f>IF(ISNA(VLOOKUP($R397&amp;AC$2,$K$3:$N$4001,4,0)),"",VLOOKUP($R397&amp;AC$2,$K$3:$N$4001,4,0))</f>
        <v>0.8</v>
      </c>
      <c r="AE397" s="108">
        <f>IF(ISNA(VLOOKUP($R397&amp;AE$2,$K$3:$N$4001,3,0)),"",VLOOKUP($R397&amp;AE$2,$K$3:$N$4001,3,0))</f>
        <v>40966</v>
      </c>
      <c r="AF397" s="109">
        <f>IF(ISNA(VLOOKUP($R397&amp;AE$2,$K$3:$N$4001,4,0)),"",VLOOKUP($R397&amp;AE$2,$K$3:$N$4001,4,0))</f>
        <v>1</v>
      </c>
      <c r="AG397" s="108">
        <f>IF(ISNA(VLOOKUP($R397&amp;AG$2,$K$3:$N$4001,3,0)),"",VLOOKUP($R397&amp;AG$2,$K$3:$N$4001,3,0))</f>
        <v>41155</v>
      </c>
      <c r="AH397" s="109">
        <f>IF(ISNA(VLOOKUP($R397&amp;AG$2,$K$3:$N$4001,4,0)),"",VLOOKUP($R397&amp;AG$2,$K$3:$N$4001,4,0))</f>
        <v>0.8</v>
      </c>
      <c r="AI397" s="108">
        <f>IF(ISNA(VLOOKUP($R397&amp;AI$2,$K$3:$N$4001,3,0)),"",VLOOKUP($R397&amp;AI$2,$K$3:$N$4001,3,0))</f>
        <v>41331</v>
      </c>
      <c r="AJ397" s="109">
        <f>IF(ISNA(VLOOKUP($R397&amp;AI$2,$K$3:$N$4001,4,0)),"",VLOOKUP($R397&amp;AI$2,$K$3:$N$4001,4,0))</f>
        <v>1</v>
      </c>
      <c r="AK397" s="108" t="str">
        <f>IF(ISNA(VLOOKUP($R397&amp;AK$2,$K$3:$N$4001,3,0)),"",VLOOKUP($R397&amp;AK$2,$K$3:$N$4001,3,0))</f>
        <v/>
      </c>
    </row>
    <row r="398" spans="3:37" x14ac:dyDescent="0.2">
      <c r="C398" s="96" t="str">
        <f t="shared" si="24"/>
        <v>CER5</v>
      </c>
      <c r="D398" s="73" t="s">
        <v>105</v>
      </c>
      <c r="E398" s="100">
        <v>40718</v>
      </c>
      <c r="F398" s="101">
        <v>0.02</v>
      </c>
      <c r="G398" s="96">
        <f t="shared" si="25"/>
        <v>5</v>
      </c>
      <c r="I398" s="96"/>
      <c r="K398" t="str">
        <f t="shared" si="26"/>
        <v>CER5</v>
      </c>
      <c r="L398" s="73" t="s">
        <v>105</v>
      </c>
      <c r="M398" s="72">
        <v>40718</v>
      </c>
      <c r="N398" s="84">
        <v>0.02</v>
      </c>
      <c r="O398" s="96">
        <f t="shared" si="27"/>
        <v>5</v>
      </c>
      <c r="Q398" s="96"/>
      <c r="R398" s="96" t="s">
        <v>239</v>
      </c>
      <c r="S398" s="106">
        <f>IF(ISNA(VLOOKUP($R398&amp;S$2,$C$3:$F$4001,3,0)),"",VLOOKUP($R398&amp;S$2,$C$3:$F$4001,3,0))</f>
        <v>39896</v>
      </c>
      <c r="T398" s="107">
        <f>IF(ISNA(VLOOKUP($R398&amp;S$2,$C$3:$F$4001,4,0)),"",VLOOKUP($R398&amp;S$2,$C$3:$F$4001,4,0))</f>
        <v>0.44</v>
      </c>
      <c r="U398" s="106">
        <f>IF(ISNA(VLOOKUP($R398&amp;U$2,$C$3:$F$4001,3,0)),"",VLOOKUP($R398&amp;U$2,$C$3:$F$4001,3,0))</f>
        <v>40057</v>
      </c>
      <c r="V398" s="107">
        <f>IF(ISNA(VLOOKUP($R398&amp;U$2,$C$3:$F$4001,4,0)),"",VLOOKUP($R398&amp;U$2,$C$3:$F$4001,4,0))</f>
        <v>0.48</v>
      </c>
      <c r="W398" s="106">
        <f>IF(ISNA(VLOOKUP($R398&amp;W$2,$C$3:$F$4001,3,0)),"",VLOOKUP($R398&amp;W$2,$C$3:$F$4001,3,0))</f>
        <v>40261</v>
      </c>
      <c r="X398" s="107">
        <f>IF(ISNA(VLOOKUP($R398&amp;W$2,$C$3:$F$4001,4,0)),"",VLOOKUP($R398&amp;W$2,$C$3:$F$4001,4,0))</f>
        <v>0.45</v>
      </c>
      <c r="Y398" s="106">
        <f>IF(ISNA(VLOOKUP($R398&amp;Y$2,$C$3:$F$4001,3,0)),"",VLOOKUP($R398&amp;Y$2,$C$3:$F$4001,3,0))</f>
        <v>40422</v>
      </c>
      <c r="Z398" s="107">
        <f>IF(ISNA(VLOOKUP($R398&amp;Y$2,$C$3:$F$4001,4,0)),"",VLOOKUP($R398&amp;Y$2,$C$3:$F$4001,4,0))</f>
        <v>0.5</v>
      </c>
      <c r="AA398" s="106">
        <f>IF(ISNA(VLOOKUP($R398&amp;AA$2,$C$3:$F$4001,3,0)),"",VLOOKUP($R398&amp;AA$2,$C$3:$F$4001,3,0))</f>
        <v>40626</v>
      </c>
      <c r="AB398" s="107">
        <f>IF(ISNA(VLOOKUP($R398&amp;AA$2,$C$3:$F$4001,4,0)),"",VLOOKUP($R398&amp;AA$2,$C$3:$F$4001,4,0))</f>
        <v>0.47</v>
      </c>
      <c r="AC398" s="106">
        <f>IF(ISNA(VLOOKUP($R398&amp;AC$2,$C$3:$F$4001,3,0)),"",VLOOKUP($R398&amp;AC$2,$C$3:$F$4001,3,0))</f>
        <v>40787</v>
      </c>
      <c r="AD398" s="107">
        <f>IF(ISNA(VLOOKUP($R398&amp;AC$2,$C$3:$F$4001,4,0)),"",VLOOKUP($R398&amp;AC$2,$C$3:$F$4001,4,0))</f>
        <v>0.52</v>
      </c>
      <c r="AE398" s="106">
        <f>IF(ISNA(VLOOKUP($R398&amp;AE$2,$C$3:$F$4001,3,0)),"",VLOOKUP($R398&amp;AE$2,$C$3:$F$4001,3,0))</f>
        <v>40994</v>
      </c>
      <c r="AF398" s="107">
        <f>IF(ISNA(VLOOKUP($R398&amp;AE$2,$C$3:$F$4001,4,0)),"",VLOOKUP($R398&amp;AE$2,$C$3:$F$4001,4,0))</f>
        <v>0.5</v>
      </c>
      <c r="AG398" s="106">
        <f>IF(ISNA(VLOOKUP($R398&amp;AG$2,$C$3:$F$4001,3,0)),"",VLOOKUP($R398&amp;AG$2,$C$3:$F$4001,3,0))</f>
        <v>41155</v>
      </c>
      <c r="AH398" s="107">
        <f>IF(ISNA(VLOOKUP($R398&amp;AG$2,$C$3:$F$4001,4,0)),"",VLOOKUP($R398&amp;AG$2,$C$3:$F$4001,4,0))</f>
        <v>0.55000000000000004</v>
      </c>
      <c r="AI398" s="106">
        <f>IF(ISNA(VLOOKUP($R398&amp;AI$2,$C$3:$F$4001,3,0)),"",VLOOKUP($R398&amp;AI$2,$C$3:$F$4001,3,0))</f>
        <v>41359</v>
      </c>
      <c r="AJ398" s="107">
        <f>IF(ISNA(VLOOKUP($R398&amp;AI$2,$C$3:$F$4001,4,0)),"",VLOOKUP($R398&amp;AI$2,$C$3:$F$4001,4,0))</f>
        <v>0.54</v>
      </c>
      <c r="AK398" s="106">
        <f>IF(ISNA(VLOOKUP($R398&amp;AK$2,$C$3:$F$4001,3,0)),"",VLOOKUP($R398&amp;AK$2,$C$3:$F$4001,3,0))</f>
        <v>41520</v>
      </c>
    </row>
    <row r="399" spans="3:37" x14ac:dyDescent="0.2">
      <c r="C399" s="96" t="str">
        <f t="shared" si="24"/>
        <v>CER6</v>
      </c>
      <c r="D399" s="73" t="s">
        <v>105</v>
      </c>
      <c r="E399" s="100">
        <v>40899</v>
      </c>
      <c r="F399" s="101">
        <v>2.4E-2</v>
      </c>
      <c r="G399" s="96">
        <f t="shared" si="25"/>
        <v>6</v>
      </c>
      <c r="I399" s="96"/>
      <c r="K399" t="str">
        <f t="shared" si="26"/>
        <v>CER6</v>
      </c>
      <c r="L399" s="73" t="s">
        <v>105</v>
      </c>
      <c r="M399" s="72">
        <v>40899</v>
      </c>
      <c r="N399" s="84">
        <v>2.4E-2</v>
      </c>
      <c r="O399" s="96">
        <f t="shared" si="27"/>
        <v>6</v>
      </c>
      <c r="Q399" s="96"/>
      <c r="R399" s="96" t="str">
        <f>R398</f>
        <v>WOW</v>
      </c>
      <c r="S399" s="108">
        <f>IF(ISNA(VLOOKUP($R399&amp;S$2,$K$3:$N$4001,3,0)),"",VLOOKUP($R399&amp;S$2,$K$3:$N$4001,3,0))</f>
        <v>39896</v>
      </c>
      <c r="T399" s="109">
        <f>IF(ISNA(VLOOKUP($R399&amp;S$2,$K$3:$N$4001,4,0)),"",VLOOKUP($R399&amp;S$2,$K$3:$N$4001,4,0))</f>
        <v>0.44</v>
      </c>
      <c r="U399" s="108">
        <f>IF(ISNA(VLOOKUP($R399&amp;U$2,$K$3:$N$4001,3,0)),"",VLOOKUP($R399&amp;U$2,$K$3:$N$4001,3,0))</f>
        <v>40057</v>
      </c>
      <c r="V399" s="109">
        <f>IF(ISNA(VLOOKUP($R399&amp;U$2,$K$3:$N$4001,4,0)),"",VLOOKUP($R399&amp;U$2,$K$3:$N$4001,4,0))</f>
        <v>0.48</v>
      </c>
      <c r="W399" s="108">
        <f>IF(ISNA(VLOOKUP($R399&amp;W$2,$K$3:$N$4001,3,0)),"",VLOOKUP($R399&amp;W$2,$K$3:$N$4001,3,0))</f>
        <v>40261</v>
      </c>
      <c r="X399" s="109">
        <f>IF(ISNA(VLOOKUP($R399&amp;W$2,$K$3:$N$4001,4,0)),"",VLOOKUP($R399&amp;W$2,$K$3:$N$4001,4,0))</f>
        <v>0.45</v>
      </c>
      <c r="Y399" s="108">
        <f>IF(ISNA(VLOOKUP($R399&amp;Y$2,$K$3:$N$4001,3,0)),"",VLOOKUP($R399&amp;Y$2,$K$3:$N$4001,3,0))</f>
        <v>40422</v>
      </c>
      <c r="Z399" s="109">
        <f>IF(ISNA(VLOOKUP($R399&amp;Y$2,$K$3:$N$4001,4,0)),"",VLOOKUP($R399&amp;Y$2,$K$3:$N$4001,4,0))</f>
        <v>0.5</v>
      </c>
      <c r="AA399" s="108">
        <f>IF(ISNA(VLOOKUP($R399&amp;AA$2,$K$3:$N$4001,3,0)),"",VLOOKUP($R399&amp;AA$2,$K$3:$N$4001,3,0))</f>
        <v>40626</v>
      </c>
      <c r="AB399" s="109">
        <f>IF(ISNA(VLOOKUP($R399&amp;AA$2,$K$3:$N$4001,4,0)),"",VLOOKUP($R399&amp;AA$2,$K$3:$N$4001,4,0))</f>
        <v>0.47</v>
      </c>
      <c r="AC399" s="108">
        <f>IF(ISNA(VLOOKUP($R399&amp;AC$2,$K$3:$N$4001,3,0)),"",VLOOKUP($R399&amp;AC$2,$K$3:$N$4001,3,0))</f>
        <v>40787</v>
      </c>
      <c r="AD399" s="109">
        <f>IF(ISNA(VLOOKUP($R399&amp;AC$2,$K$3:$N$4001,4,0)),"",VLOOKUP($R399&amp;AC$2,$K$3:$N$4001,4,0))</f>
        <v>0.52</v>
      </c>
      <c r="AE399" s="108">
        <f>IF(ISNA(VLOOKUP($R399&amp;AE$2,$K$3:$N$4001,3,0)),"",VLOOKUP($R399&amp;AE$2,$K$3:$N$4001,3,0))</f>
        <v>40994</v>
      </c>
      <c r="AF399" s="109">
        <f>IF(ISNA(VLOOKUP($R399&amp;AE$2,$K$3:$N$4001,4,0)),"",VLOOKUP($R399&amp;AE$2,$K$3:$N$4001,4,0))</f>
        <v>0.5</v>
      </c>
      <c r="AG399" s="108">
        <f>IF(ISNA(VLOOKUP($R399&amp;AG$2,$K$3:$N$4001,3,0)),"",VLOOKUP($R399&amp;AG$2,$K$3:$N$4001,3,0))</f>
        <v>41155</v>
      </c>
      <c r="AH399" s="109">
        <f>IF(ISNA(VLOOKUP($R399&amp;AG$2,$K$3:$N$4001,4,0)),"",VLOOKUP($R399&amp;AG$2,$K$3:$N$4001,4,0))</f>
        <v>0.55000000000000004</v>
      </c>
      <c r="AI399" s="108">
        <f>IF(ISNA(VLOOKUP($R399&amp;AI$2,$K$3:$N$4001,3,0)),"",VLOOKUP($R399&amp;AI$2,$K$3:$N$4001,3,0))</f>
        <v>41359</v>
      </c>
      <c r="AJ399" s="109">
        <f>IF(ISNA(VLOOKUP($R399&amp;AI$2,$K$3:$N$4001,4,0)),"",VLOOKUP($R399&amp;AI$2,$K$3:$N$4001,4,0))</f>
        <v>0.54</v>
      </c>
      <c r="AK399" s="108">
        <f>IF(ISNA(VLOOKUP($R399&amp;AK$2,$K$3:$N$4001,3,0)),"",VLOOKUP($R399&amp;AK$2,$K$3:$N$4001,3,0))</f>
        <v>41520</v>
      </c>
    </row>
    <row r="400" spans="3:37" x14ac:dyDescent="0.2">
      <c r="C400" s="96" t="str">
        <f t="shared" si="24"/>
        <v>CER7</v>
      </c>
      <c r="D400" s="73" t="s">
        <v>105</v>
      </c>
      <c r="E400" s="100">
        <v>41085</v>
      </c>
      <c r="F400" s="101">
        <v>3.2000000000000001E-2</v>
      </c>
      <c r="G400" s="96">
        <f t="shared" si="25"/>
        <v>7</v>
      </c>
      <c r="I400" s="96"/>
      <c r="K400" t="str">
        <f t="shared" si="26"/>
        <v>CER7</v>
      </c>
      <c r="L400" s="73" t="s">
        <v>105</v>
      </c>
      <c r="M400" s="72">
        <v>41085</v>
      </c>
      <c r="N400" s="84">
        <v>3.2000000000000001E-2</v>
      </c>
      <c r="O400" s="96">
        <f t="shared" si="27"/>
        <v>7</v>
      </c>
      <c r="Q400" s="96"/>
      <c r="R400" s="96" t="s">
        <v>238</v>
      </c>
      <c r="S400" s="106">
        <f>IF(ISNA(VLOOKUP($R400&amp;S$2,$C$3:$F$4001,3,0)),"",VLOOKUP($R400&amp;S$2,$C$3:$F$4001,3,0))</f>
        <v>39878</v>
      </c>
      <c r="T400" s="107">
        <f>IF(ISNA(VLOOKUP($R400&amp;S$2,$C$3:$F$4001,4,0)),"",VLOOKUP($R400&amp;S$2,$C$3:$F$4001,4,0))</f>
        <v>0.42</v>
      </c>
      <c r="U400" s="106"/>
      <c r="V400" s="107"/>
      <c r="W400" s="106"/>
      <c r="X400" s="107"/>
      <c r="Y400" s="106"/>
      <c r="Z400" s="107"/>
      <c r="AA400" s="106"/>
      <c r="AB400" s="107"/>
      <c r="AC400" s="106"/>
      <c r="AD400" s="107"/>
      <c r="AE400" s="106"/>
      <c r="AF400" s="107"/>
      <c r="AG400" s="106"/>
      <c r="AH400" s="107"/>
      <c r="AI400" s="106"/>
      <c r="AJ400" s="107"/>
      <c r="AK400" s="106"/>
    </row>
    <row r="401" spans="3:37" x14ac:dyDescent="0.2">
      <c r="C401" s="96" t="str">
        <f t="shared" si="24"/>
        <v>CER8</v>
      </c>
      <c r="D401" s="73" t="s">
        <v>105</v>
      </c>
      <c r="E401" s="100">
        <v>41268</v>
      </c>
      <c r="F401" s="101">
        <v>2.3E-2</v>
      </c>
      <c r="G401" s="96">
        <f t="shared" si="25"/>
        <v>8</v>
      </c>
      <c r="I401" s="96"/>
      <c r="K401" t="str">
        <f t="shared" si="26"/>
        <v>CER8</v>
      </c>
      <c r="L401" s="73" t="s">
        <v>105</v>
      </c>
      <c r="M401" s="72">
        <v>41268</v>
      </c>
      <c r="N401" s="84">
        <v>2.3E-2</v>
      </c>
      <c r="O401" s="96">
        <f t="shared" si="27"/>
        <v>8</v>
      </c>
      <c r="Q401" s="96"/>
      <c r="R401" s="96" t="str">
        <f>R400</f>
        <v>WOR</v>
      </c>
      <c r="S401" s="108">
        <f>IF(ISNA(VLOOKUP($R401&amp;S$2,$K$3:$N$4001,3,0)),"",VLOOKUP($R401&amp;S$2,$K$3:$N$4001,3,0))</f>
        <v>39878</v>
      </c>
      <c r="T401" s="109">
        <f>IF(ISNA(VLOOKUP($R401&amp;S$2,$K$3:$N$4001,4,0)),"",VLOOKUP($R401&amp;S$2,$K$3:$N$4001,4,0))</f>
        <v>0.42</v>
      </c>
      <c r="U401" s="108"/>
      <c r="V401" s="109"/>
      <c r="W401" s="108"/>
      <c r="X401" s="109"/>
      <c r="Y401" s="108"/>
      <c r="Z401" s="109"/>
      <c r="AA401" s="108"/>
      <c r="AB401" s="109"/>
      <c r="AC401" s="108"/>
      <c r="AD401" s="109"/>
      <c r="AE401" s="108"/>
      <c r="AF401" s="109"/>
      <c r="AG401" s="108"/>
      <c r="AH401" s="109"/>
      <c r="AI401" s="108"/>
      <c r="AJ401" s="109"/>
      <c r="AK401" s="108"/>
    </row>
    <row r="402" spans="3:37" x14ac:dyDescent="0.2">
      <c r="C402" s="96" t="str">
        <f t="shared" si="24"/>
        <v>CER9</v>
      </c>
      <c r="D402" s="73" t="s">
        <v>105</v>
      </c>
      <c r="E402" s="100">
        <v>41450</v>
      </c>
      <c r="F402" s="101">
        <v>2.3E-2</v>
      </c>
      <c r="G402" s="96">
        <f t="shared" si="25"/>
        <v>9</v>
      </c>
      <c r="I402" s="96"/>
      <c r="K402" t="str">
        <f t="shared" si="26"/>
        <v>CER9</v>
      </c>
      <c r="L402" s="73" t="s">
        <v>105</v>
      </c>
      <c r="M402" s="72">
        <v>41450</v>
      </c>
      <c r="N402" s="84">
        <v>2.3E-2</v>
      </c>
      <c r="O402" s="96">
        <f t="shared" si="27"/>
        <v>9</v>
      </c>
      <c r="Q402" s="96"/>
      <c r="R402" s="96">
        <v>0</v>
      </c>
      <c r="S402" s="96" t="str">
        <f>IF(ISNA(VLOOKUP($R402&amp;S$2,$C$3:$F$4001,3,0)),"",VLOOKUP($R402&amp;S$2,$C$3:$F$4001,3,0))</f>
        <v/>
      </c>
      <c r="T402" s="110" t="str">
        <f>IF(ISNA(VLOOKUP($R402&amp;S$2,$C$3:$F$4001,4,0)),"",VLOOKUP($R402&amp;S$2,$C$3:$F$4001,4,0))</f>
        <v/>
      </c>
    </row>
    <row r="403" spans="3:37" x14ac:dyDescent="0.2">
      <c r="C403" s="96" t="str">
        <f t="shared" si="24"/>
        <v>CEU1</v>
      </c>
      <c r="D403" s="73" t="s">
        <v>106</v>
      </c>
      <c r="E403" s="100">
        <v>39895</v>
      </c>
      <c r="F403" s="101">
        <v>0.01</v>
      </c>
      <c r="G403" s="96">
        <f t="shared" si="25"/>
        <v>1</v>
      </c>
      <c r="I403" s="96"/>
      <c r="K403" t="str">
        <f t="shared" si="26"/>
        <v>CEU1</v>
      </c>
      <c r="L403" s="73" t="s">
        <v>106</v>
      </c>
      <c r="M403" s="72">
        <v>39895</v>
      </c>
      <c r="N403" s="84">
        <v>0.01</v>
      </c>
      <c r="O403" s="96">
        <f t="shared" si="27"/>
        <v>1</v>
      </c>
      <c r="Q403" s="96"/>
      <c r="R403" s="96">
        <f>R402</f>
        <v>0</v>
      </c>
      <c r="S403" s="96" t="str">
        <f>IF(ISNA(VLOOKUP($R403&amp;S$2,$K$3:$N$4001,3,0)),"",VLOOKUP($R403&amp;S$2,$K$3:$N$4001,3,0))</f>
        <v/>
      </c>
      <c r="T403" s="110" t="str">
        <f>IF(ISNA(VLOOKUP($R403&amp;S$2,$K$3:$N$4001,4,0)),"",VLOOKUP($R403&amp;S$2,$K$3:$N$4001,4,0))</f>
        <v/>
      </c>
    </row>
    <row r="404" spans="3:37" x14ac:dyDescent="0.2">
      <c r="C404" s="96" t="str">
        <f t="shared" si="24"/>
        <v>CEU2</v>
      </c>
      <c r="D404" s="73" t="s">
        <v>106</v>
      </c>
      <c r="E404" s="100">
        <v>40066</v>
      </c>
      <c r="F404" s="101">
        <v>0.01</v>
      </c>
      <c r="G404" s="96">
        <f t="shared" si="25"/>
        <v>2</v>
      </c>
      <c r="I404" s="96"/>
      <c r="K404" t="str">
        <f t="shared" si="26"/>
        <v>CEU2</v>
      </c>
      <c r="L404" s="73" t="s">
        <v>106</v>
      </c>
      <c r="M404" s="72">
        <v>40066</v>
      </c>
      <c r="N404" s="84">
        <v>0.01</v>
      </c>
      <c r="O404" s="96">
        <f t="shared" si="27"/>
        <v>2</v>
      </c>
      <c r="Q404" s="96"/>
      <c r="R404" s="96">
        <v>0</v>
      </c>
      <c r="S404" s="96" t="str">
        <f>IF(ISNA(VLOOKUP($R404&amp;S$2,$C$3:$F$4001,3,0)),"",VLOOKUP($R404&amp;S$2,$C$3:$F$4001,3,0))</f>
        <v/>
      </c>
      <c r="T404" s="110" t="str">
        <f>IF(ISNA(VLOOKUP($R404&amp;S$2,$C$3:$F$4001,4,0)),"",VLOOKUP($R404&amp;S$2,$C$3:$F$4001,4,0))</f>
        <v/>
      </c>
    </row>
    <row r="405" spans="3:37" x14ac:dyDescent="0.2">
      <c r="C405" s="96" t="str">
        <f t="shared" si="24"/>
        <v>CEU3</v>
      </c>
      <c r="D405" s="73" t="s">
        <v>106</v>
      </c>
      <c r="E405" s="100">
        <v>40260</v>
      </c>
      <c r="F405" s="101">
        <v>0.01</v>
      </c>
      <c r="G405" s="96">
        <f t="shared" si="25"/>
        <v>3</v>
      </c>
      <c r="I405" s="96"/>
      <c r="K405" t="str">
        <f t="shared" si="26"/>
        <v>CEU3</v>
      </c>
      <c r="L405" s="73" t="s">
        <v>106</v>
      </c>
      <c r="M405" s="72">
        <v>40260</v>
      </c>
      <c r="N405" s="84">
        <v>0.01</v>
      </c>
      <c r="O405" s="96">
        <f t="shared" si="27"/>
        <v>3</v>
      </c>
      <c r="Q405" s="96"/>
      <c r="R405" s="96">
        <f>R404</f>
        <v>0</v>
      </c>
      <c r="S405" s="96" t="str">
        <f>IF(ISNA(VLOOKUP($R405&amp;S$2,$K$3:$N$4001,3,0)),"",VLOOKUP($R405&amp;S$2,$K$3:$N$4001,3,0))</f>
        <v/>
      </c>
      <c r="T405" s="110" t="str">
        <f>IF(ISNA(VLOOKUP($R405&amp;S$2,$K$3:$N$4001,4,0)),"",VLOOKUP($R405&amp;S$2,$K$3:$N$4001,4,0))</f>
        <v/>
      </c>
    </row>
    <row r="406" spans="3:37" x14ac:dyDescent="0.2">
      <c r="C406" s="96" t="str">
        <f t="shared" si="24"/>
        <v>CEU4</v>
      </c>
      <c r="D406" s="73" t="s">
        <v>106</v>
      </c>
      <c r="E406" s="100">
        <v>40431</v>
      </c>
      <c r="F406" s="101">
        <v>0.03</v>
      </c>
      <c r="G406" s="96">
        <f t="shared" si="25"/>
        <v>4</v>
      </c>
      <c r="I406" s="96"/>
      <c r="K406" t="str">
        <f t="shared" si="26"/>
        <v>CEU4</v>
      </c>
      <c r="L406" s="73" t="s">
        <v>106</v>
      </c>
      <c r="M406" s="72">
        <v>40431</v>
      </c>
      <c r="N406" s="84">
        <v>0.03</v>
      </c>
      <c r="O406" s="96">
        <f t="shared" si="27"/>
        <v>4</v>
      </c>
      <c r="Q406" s="96"/>
      <c r="R406" s="96">
        <v>0</v>
      </c>
      <c r="S406" s="96" t="str">
        <f>IF(ISNA(VLOOKUP($R406&amp;S$2,$C$3:$F$4001,3,0)),"",VLOOKUP($R406&amp;S$2,$C$3:$F$4001,3,0))</f>
        <v/>
      </c>
      <c r="T406" s="110" t="str">
        <f>IF(ISNA(VLOOKUP($R406&amp;S$2,$C$3:$F$4001,4,0)),"",VLOOKUP($R406&amp;S$2,$C$3:$F$4001,4,0))</f>
        <v/>
      </c>
    </row>
    <row r="407" spans="3:37" x14ac:dyDescent="0.2">
      <c r="C407" s="96" t="str">
        <f t="shared" si="24"/>
        <v>CEU5</v>
      </c>
      <c r="D407" s="73" t="s">
        <v>106</v>
      </c>
      <c r="E407" s="100">
        <v>40625</v>
      </c>
      <c r="F407" s="101">
        <v>1.4999999999999999E-2</v>
      </c>
      <c r="G407" s="96">
        <f t="shared" si="25"/>
        <v>5</v>
      </c>
      <c r="I407" s="96"/>
      <c r="K407" t="str">
        <f t="shared" si="26"/>
        <v>CEU5</v>
      </c>
      <c r="L407" s="73" t="s">
        <v>106</v>
      </c>
      <c r="M407" s="72">
        <v>40625</v>
      </c>
      <c r="N407" s="84">
        <v>1.4999999999999999E-2</v>
      </c>
      <c r="O407" s="96">
        <f t="shared" si="27"/>
        <v>5</v>
      </c>
      <c r="Q407" s="96"/>
      <c r="R407" s="96">
        <f>R406</f>
        <v>0</v>
      </c>
      <c r="S407" s="96" t="str">
        <f>IF(ISNA(VLOOKUP($R407&amp;S$2,$K$3:$N$4001,3,0)),"",VLOOKUP($R407&amp;S$2,$K$3:$N$4001,3,0))</f>
        <v/>
      </c>
      <c r="T407" s="110" t="str">
        <f>IF(ISNA(VLOOKUP($R407&amp;S$2,$K$3:$N$4001,4,0)),"",VLOOKUP($R407&amp;S$2,$K$3:$N$4001,4,0))</f>
        <v/>
      </c>
    </row>
    <row r="408" spans="3:37" x14ac:dyDescent="0.2">
      <c r="C408" s="96" t="str">
        <f t="shared" si="24"/>
        <v>CEU6</v>
      </c>
      <c r="D408" s="73" t="s">
        <v>106</v>
      </c>
      <c r="E408" s="100">
        <v>40798</v>
      </c>
      <c r="F408" s="101">
        <v>3.5000000000000003E-2</v>
      </c>
      <c r="G408" s="96">
        <f t="shared" si="25"/>
        <v>6</v>
      </c>
      <c r="I408" s="96"/>
      <c r="K408" t="str">
        <f t="shared" si="26"/>
        <v>CEU6</v>
      </c>
      <c r="L408" s="73" t="s">
        <v>106</v>
      </c>
      <c r="M408" s="72">
        <v>40798</v>
      </c>
      <c r="N408" s="84">
        <v>3.5000000000000003E-2</v>
      </c>
      <c r="O408" s="96">
        <f t="shared" si="27"/>
        <v>6</v>
      </c>
      <c r="Q408" s="96"/>
      <c r="R408" s="96">
        <v>0</v>
      </c>
      <c r="S408" s="96" t="str">
        <f>IF(ISNA(VLOOKUP($R408&amp;S$2,$C$3:$F$4001,3,0)),"",VLOOKUP($R408&amp;S$2,$C$3:$F$4001,3,0))</f>
        <v/>
      </c>
      <c r="T408" s="110" t="str">
        <f>IF(ISNA(VLOOKUP($R408&amp;S$2,$C$3:$F$4001,4,0)),"",VLOOKUP($R408&amp;S$2,$C$3:$F$4001,4,0))</f>
        <v/>
      </c>
    </row>
    <row r="409" spans="3:37" x14ac:dyDescent="0.2">
      <c r="C409" s="96" t="str">
        <f t="shared" si="24"/>
        <v>CEU7</v>
      </c>
      <c r="D409" s="73" t="s">
        <v>106</v>
      </c>
      <c r="E409" s="100">
        <v>40991</v>
      </c>
      <c r="F409" s="101">
        <v>0.02</v>
      </c>
      <c r="G409" s="96">
        <f t="shared" si="25"/>
        <v>7</v>
      </c>
      <c r="I409" s="96"/>
      <c r="K409" t="str">
        <f t="shared" si="26"/>
        <v>CEU7</v>
      </c>
      <c r="L409" s="73" t="s">
        <v>106</v>
      </c>
      <c r="M409" s="72">
        <v>40991</v>
      </c>
      <c r="N409" s="84">
        <v>0.02</v>
      </c>
      <c r="O409" s="96">
        <f t="shared" si="27"/>
        <v>7</v>
      </c>
      <c r="Q409" s="96"/>
      <c r="R409" s="96">
        <f>R408</f>
        <v>0</v>
      </c>
      <c r="S409" s="96" t="str">
        <f>IF(ISNA(VLOOKUP($R409&amp;S$2,$K$3:$N$4001,3,0)),"",VLOOKUP($R409&amp;S$2,$K$3:$N$4001,3,0))</f>
        <v/>
      </c>
      <c r="T409" s="110" t="str">
        <f>IF(ISNA(VLOOKUP($R409&amp;S$2,$K$3:$N$4001,4,0)),"",VLOOKUP($R409&amp;S$2,$K$3:$N$4001,4,0))</f>
        <v/>
      </c>
    </row>
    <row r="410" spans="3:37" x14ac:dyDescent="0.2">
      <c r="C410" s="96" t="str">
        <f t="shared" si="24"/>
        <v>CEU8</v>
      </c>
      <c r="D410" s="73" t="s">
        <v>106</v>
      </c>
      <c r="E410" s="100">
        <v>41163</v>
      </c>
      <c r="F410" s="101">
        <v>0.04</v>
      </c>
      <c r="G410" s="96">
        <f t="shared" si="25"/>
        <v>8</v>
      </c>
      <c r="I410" s="96"/>
      <c r="K410" t="str">
        <f t="shared" si="26"/>
        <v>CEU8</v>
      </c>
      <c r="L410" s="73" t="s">
        <v>106</v>
      </c>
      <c r="M410" s="72">
        <v>41163</v>
      </c>
      <c r="N410" s="84">
        <v>0.04</v>
      </c>
      <c r="O410" s="96">
        <f t="shared" si="27"/>
        <v>8</v>
      </c>
      <c r="Q410" s="96"/>
      <c r="R410" s="96">
        <v>0</v>
      </c>
      <c r="S410" s="96" t="str">
        <f>IF(ISNA(VLOOKUP($R410&amp;S$2,$C$3:$F$4001,3,0)),"",VLOOKUP($R410&amp;S$2,$C$3:$F$4001,3,0))</f>
        <v/>
      </c>
      <c r="T410" s="110" t="str">
        <f>IF(ISNA(VLOOKUP($R410&amp;S$2,$C$3:$F$4001,4,0)),"",VLOOKUP($R410&amp;S$2,$C$3:$F$4001,4,0))</f>
        <v/>
      </c>
    </row>
    <row r="411" spans="3:37" x14ac:dyDescent="0.2">
      <c r="C411" s="96" t="str">
        <f t="shared" si="24"/>
        <v>CEU9</v>
      </c>
      <c r="D411" s="73" t="s">
        <v>106</v>
      </c>
      <c r="E411" s="100">
        <v>41358</v>
      </c>
      <c r="F411" s="101">
        <v>2.5000000000000001E-2</v>
      </c>
      <c r="G411" s="96">
        <f t="shared" si="25"/>
        <v>9</v>
      </c>
      <c r="I411" s="96"/>
      <c r="K411" t="str">
        <f t="shared" si="26"/>
        <v>CEU9</v>
      </c>
      <c r="L411" s="73" t="s">
        <v>106</v>
      </c>
      <c r="M411" s="72">
        <v>41358</v>
      </c>
      <c r="N411" s="84">
        <v>2.5000000000000001E-2</v>
      </c>
      <c r="O411" s="96">
        <f t="shared" si="27"/>
        <v>9</v>
      </c>
      <c r="Q411" s="96"/>
      <c r="R411" s="96">
        <f>R410</f>
        <v>0</v>
      </c>
      <c r="S411" s="96" t="str">
        <f>IF(ISNA(VLOOKUP($R411&amp;S$2,$K$3:$N$4001,3,0)),"",VLOOKUP($R411&amp;S$2,$K$3:$N$4001,3,0))</f>
        <v/>
      </c>
      <c r="T411" s="110" t="str">
        <f>IF(ISNA(VLOOKUP($R411&amp;S$2,$K$3:$N$4001,4,0)),"",VLOOKUP($R411&amp;S$2,$K$3:$N$4001,4,0))</f>
        <v/>
      </c>
    </row>
    <row r="412" spans="3:37" x14ac:dyDescent="0.2">
      <c r="C412" s="96" t="str">
        <f t="shared" si="24"/>
        <v>CEU10</v>
      </c>
      <c r="D412" s="73" t="s">
        <v>106</v>
      </c>
      <c r="E412" s="100">
        <v>41528</v>
      </c>
      <c r="F412" s="101">
        <v>4.4999999999999998E-2</v>
      </c>
      <c r="G412" s="96">
        <f t="shared" si="25"/>
        <v>10</v>
      </c>
      <c r="I412" s="96"/>
      <c r="K412" t="str">
        <f t="shared" si="26"/>
        <v>CEU10</v>
      </c>
      <c r="L412" s="73" t="s">
        <v>106</v>
      </c>
      <c r="M412" s="72">
        <v>41528</v>
      </c>
      <c r="N412" s="84">
        <v>4.4999999999999998E-2</v>
      </c>
      <c r="O412" s="96">
        <f t="shared" si="27"/>
        <v>10</v>
      </c>
      <c r="Q412" s="96"/>
      <c r="R412" s="96">
        <v>0</v>
      </c>
      <c r="S412" s="96" t="str">
        <f>IF(ISNA(VLOOKUP($R412&amp;S$2,$C$3:$F$4001,3,0)),"",VLOOKUP($R412&amp;S$2,$C$3:$F$4001,3,0))</f>
        <v/>
      </c>
      <c r="T412" s="110" t="str">
        <f>IF(ISNA(VLOOKUP($R412&amp;S$2,$C$3:$F$4001,4,0)),"",VLOOKUP($R412&amp;S$2,$C$3:$F$4001,4,0))</f>
        <v/>
      </c>
    </row>
    <row r="413" spans="3:37" x14ac:dyDescent="0.2">
      <c r="C413" s="96" t="str">
        <f t="shared" si="24"/>
        <v>CEY1</v>
      </c>
      <c r="D413" s="73" t="s">
        <v>107</v>
      </c>
      <c r="E413" s="100">
        <v>39905</v>
      </c>
      <c r="F413" s="101">
        <v>7.0000000000000007E-2</v>
      </c>
      <c r="G413" s="96">
        <f t="shared" si="25"/>
        <v>1</v>
      </c>
      <c r="I413" s="96"/>
      <c r="K413" t="str">
        <f t="shared" si="26"/>
        <v>CEY1</v>
      </c>
      <c r="L413" s="73" t="s">
        <v>107</v>
      </c>
      <c r="M413" s="72">
        <v>39905</v>
      </c>
      <c r="N413" s="84">
        <v>7.0000000000000007E-2</v>
      </c>
      <c r="O413" s="96">
        <f t="shared" si="27"/>
        <v>1</v>
      </c>
      <c r="Q413" s="96"/>
      <c r="R413" s="96">
        <f>R412</f>
        <v>0</v>
      </c>
      <c r="S413" s="96" t="str">
        <f>IF(ISNA(VLOOKUP($R413&amp;S$2,$K$3:$N$4001,3,0)),"",VLOOKUP($R413&amp;S$2,$K$3:$N$4001,3,0))</f>
        <v/>
      </c>
      <c r="T413" s="110" t="str">
        <f>IF(ISNA(VLOOKUP($R413&amp;S$2,$K$3:$N$4001,4,0)),"",VLOOKUP($R413&amp;S$2,$K$3:$N$4001,4,0))</f>
        <v/>
      </c>
    </row>
    <row r="414" spans="3:37" x14ac:dyDescent="0.2">
      <c r="C414" s="96" t="str">
        <f t="shared" si="24"/>
        <v>CEY2</v>
      </c>
      <c r="D414" s="73" t="s">
        <v>107</v>
      </c>
      <c r="E414" s="100">
        <v>40074</v>
      </c>
      <c r="F414" s="101">
        <v>7.0000000000000007E-2</v>
      </c>
      <c r="G414" s="96">
        <f t="shared" si="25"/>
        <v>2</v>
      </c>
      <c r="I414" s="96"/>
      <c r="K414" t="str">
        <f t="shared" si="26"/>
        <v>CEY2</v>
      </c>
      <c r="L414" s="73" t="s">
        <v>107</v>
      </c>
      <c r="M414" s="72">
        <v>40074</v>
      </c>
      <c r="N414" s="84">
        <v>7.0000000000000007E-2</v>
      </c>
      <c r="O414" s="96">
        <f t="shared" si="27"/>
        <v>2</v>
      </c>
      <c r="Q414" s="96"/>
      <c r="R414" s="96">
        <v>0</v>
      </c>
      <c r="S414" s="96" t="str">
        <f>IF(ISNA(VLOOKUP($R414&amp;S$2,$C$3:$F$4001,3,0)),"",VLOOKUP($R414&amp;S$2,$C$3:$F$4001,3,0))</f>
        <v/>
      </c>
      <c r="T414" s="110" t="str">
        <f>IF(ISNA(VLOOKUP($R414&amp;S$2,$C$3:$F$4001,4,0)),"",VLOOKUP($R414&amp;S$2,$C$3:$F$4001,4,0))</f>
        <v/>
      </c>
    </row>
    <row r="415" spans="3:37" x14ac:dyDescent="0.2">
      <c r="C415" s="96" t="str">
        <f t="shared" si="24"/>
        <v>CEY3</v>
      </c>
      <c r="D415" s="73" t="s">
        <v>107</v>
      </c>
      <c r="E415" s="100">
        <v>40268</v>
      </c>
      <c r="F415" s="101">
        <v>7.0000000000000007E-2</v>
      </c>
      <c r="G415" s="96">
        <f t="shared" si="25"/>
        <v>3</v>
      </c>
      <c r="I415" s="96"/>
      <c r="K415" t="str">
        <f t="shared" si="26"/>
        <v>CEY3</v>
      </c>
      <c r="L415" s="73" t="s">
        <v>107</v>
      </c>
      <c r="M415" s="72">
        <v>40268</v>
      </c>
      <c r="N415" s="84">
        <v>7.0000000000000007E-2</v>
      </c>
      <c r="O415" s="96">
        <f t="shared" si="27"/>
        <v>3</v>
      </c>
      <c r="Q415" s="96"/>
      <c r="R415" s="96">
        <f>R414</f>
        <v>0</v>
      </c>
      <c r="S415" s="96" t="str">
        <f>IF(ISNA(VLOOKUP($R415&amp;S$2,$K$3:$N$4001,3,0)),"",VLOOKUP($R415&amp;S$2,$K$3:$N$4001,3,0))</f>
        <v/>
      </c>
      <c r="T415" s="110" t="str">
        <f>IF(ISNA(VLOOKUP($R415&amp;S$2,$K$3:$N$4001,4,0)),"",VLOOKUP($R415&amp;S$2,$K$3:$N$4001,4,0))</f>
        <v/>
      </c>
    </row>
    <row r="416" spans="3:37" x14ac:dyDescent="0.2">
      <c r="C416" s="96" t="str">
        <f t="shared" si="24"/>
        <v>CEY4</v>
      </c>
      <c r="D416" s="73" t="s">
        <v>107</v>
      </c>
      <c r="E416" s="100">
        <v>40441</v>
      </c>
      <c r="F416" s="101">
        <v>0.08</v>
      </c>
      <c r="G416" s="96">
        <f t="shared" si="25"/>
        <v>4</v>
      </c>
      <c r="I416" s="96"/>
      <c r="K416" t="str">
        <f t="shared" si="26"/>
        <v>CEY4</v>
      </c>
      <c r="L416" s="73" t="s">
        <v>107</v>
      </c>
      <c r="M416" s="72">
        <v>40441</v>
      </c>
      <c r="N416" s="84">
        <v>0.08</v>
      </c>
      <c r="O416" s="96">
        <f t="shared" si="27"/>
        <v>4</v>
      </c>
      <c r="Q416" s="96"/>
      <c r="R416" s="96">
        <v>0</v>
      </c>
      <c r="S416" s="96" t="str">
        <f>IF(ISNA(VLOOKUP($R416&amp;S$2,$C$3:$F$4001,3,0)),"",VLOOKUP($R416&amp;S$2,$C$3:$F$4001,3,0))</f>
        <v/>
      </c>
      <c r="T416" s="110" t="str">
        <f>IF(ISNA(VLOOKUP($R416&amp;S$2,$C$3:$F$4001,4,0)),"",VLOOKUP($R416&amp;S$2,$C$3:$F$4001,4,0))</f>
        <v/>
      </c>
    </row>
    <row r="417" spans="3:20" x14ac:dyDescent="0.2">
      <c r="C417" s="96" t="str">
        <f t="shared" si="24"/>
        <v>CEY5</v>
      </c>
      <c r="D417" s="73" t="s">
        <v>107</v>
      </c>
      <c r="E417" s="100">
        <v>40637</v>
      </c>
      <c r="F417" s="101">
        <v>0.09</v>
      </c>
      <c r="G417" s="96">
        <f t="shared" si="25"/>
        <v>5</v>
      </c>
      <c r="I417" s="96"/>
      <c r="K417" t="str">
        <f t="shared" si="26"/>
        <v>CEY5</v>
      </c>
      <c r="L417" s="73" t="s">
        <v>107</v>
      </c>
      <c r="M417" s="72">
        <v>40637</v>
      </c>
      <c r="N417" s="84">
        <v>0.09</v>
      </c>
      <c r="O417" s="96">
        <f t="shared" si="27"/>
        <v>5</v>
      </c>
      <c r="Q417" s="96"/>
      <c r="R417" s="96">
        <f>R416</f>
        <v>0</v>
      </c>
      <c r="S417" s="96" t="str">
        <f>IF(ISNA(VLOOKUP($R417&amp;S$2,$K$3:$N$4001,3,0)),"",VLOOKUP($R417&amp;S$2,$K$3:$N$4001,3,0))</f>
        <v/>
      </c>
      <c r="T417" s="110" t="str">
        <f>IF(ISNA(VLOOKUP($R417&amp;S$2,$K$3:$N$4001,4,0)),"",VLOOKUP($R417&amp;S$2,$K$3:$N$4001,4,0))</f>
        <v/>
      </c>
    </row>
    <row r="418" spans="3:20" x14ac:dyDescent="0.2">
      <c r="C418" s="96" t="str">
        <f t="shared" si="24"/>
        <v>CEY6</v>
      </c>
      <c r="D418" s="73" t="s">
        <v>107</v>
      </c>
      <c r="E418" s="100">
        <v>40806</v>
      </c>
      <c r="F418" s="101">
        <v>0.1</v>
      </c>
      <c r="G418" s="96">
        <f t="shared" si="25"/>
        <v>6</v>
      </c>
      <c r="I418" s="96"/>
      <c r="K418" t="str">
        <f t="shared" si="26"/>
        <v>CEY6</v>
      </c>
      <c r="L418" s="73" t="s">
        <v>107</v>
      </c>
      <c r="M418" s="72">
        <v>40806</v>
      </c>
      <c r="N418" s="84">
        <v>0.1</v>
      </c>
      <c r="O418" s="96">
        <f t="shared" si="27"/>
        <v>6</v>
      </c>
      <c r="Q418" s="96"/>
      <c r="R418" s="96">
        <v>0</v>
      </c>
      <c r="S418" s="96" t="str">
        <f>IF(ISNA(VLOOKUP($R418&amp;S$2,$C$3:$F$4001,3,0)),"",VLOOKUP($R418&amp;S$2,$C$3:$F$4001,3,0))</f>
        <v/>
      </c>
      <c r="T418" s="110" t="str">
        <f>IF(ISNA(VLOOKUP($R418&amp;S$2,$C$3:$F$4001,4,0)),"",VLOOKUP($R418&amp;S$2,$C$3:$F$4001,4,0))</f>
        <v/>
      </c>
    </row>
    <row r="419" spans="3:20" x14ac:dyDescent="0.2">
      <c r="C419" s="96" t="str">
        <f t="shared" si="24"/>
        <v>CEY7</v>
      </c>
      <c r="D419" s="73" t="s">
        <v>107</v>
      </c>
      <c r="E419" s="100">
        <v>41002</v>
      </c>
      <c r="F419" s="101">
        <v>0.1</v>
      </c>
      <c r="G419" s="96">
        <f t="shared" si="25"/>
        <v>7</v>
      </c>
      <c r="I419" s="96"/>
      <c r="K419" t="str">
        <f t="shared" si="26"/>
        <v>CEY7</v>
      </c>
      <c r="L419" s="73" t="s">
        <v>107</v>
      </c>
      <c r="M419" s="72">
        <v>41002</v>
      </c>
      <c r="N419" s="84">
        <v>0.1</v>
      </c>
      <c r="O419" s="96">
        <f t="shared" si="27"/>
        <v>7</v>
      </c>
      <c r="Q419" s="96"/>
      <c r="R419" s="96">
        <f>R418</f>
        <v>0</v>
      </c>
      <c r="S419" s="96" t="str">
        <f>IF(ISNA(VLOOKUP($R419&amp;S$2,$K$3:$N$4001,3,0)),"",VLOOKUP($R419&amp;S$2,$K$3:$N$4001,3,0))</f>
        <v/>
      </c>
      <c r="T419" s="110" t="str">
        <f>IF(ISNA(VLOOKUP($R419&amp;S$2,$K$3:$N$4001,4,0)),"",VLOOKUP($R419&amp;S$2,$K$3:$N$4001,4,0))</f>
        <v/>
      </c>
    </row>
    <row r="420" spans="3:20" x14ac:dyDescent="0.2">
      <c r="C420" s="96" t="str">
        <f t="shared" si="24"/>
        <v>CEY8</v>
      </c>
      <c r="D420" s="73" t="s">
        <v>107</v>
      </c>
      <c r="E420" s="100">
        <v>41172</v>
      </c>
      <c r="F420" s="101">
        <v>0.15</v>
      </c>
      <c r="G420" s="96">
        <f t="shared" si="25"/>
        <v>8</v>
      </c>
      <c r="I420" s="96"/>
      <c r="K420" t="str">
        <f t="shared" si="26"/>
        <v>CEY8</v>
      </c>
      <c r="L420" s="73" t="s">
        <v>107</v>
      </c>
      <c r="M420" s="72">
        <v>41172</v>
      </c>
      <c r="N420" s="84">
        <v>0.15</v>
      </c>
      <c r="O420" s="96">
        <f t="shared" si="27"/>
        <v>8</v>
      </c>
      <c r="Q420" s="96"/>
      <c r="R420" s="96">
        <v>0</v>
      </c>
      <c r="S420" s="96" t="str">
        <f>IF(ISNA(VLOOKUP($R420&amp;S$2,$C$3:$F$4001,3,0)),"",VLOOKUP($R420&amp;S$2,$C$3:$F$4001,3,0))</f>
        <v/>
      </c>
      <c r="T420" s="110" t="str">
        <f>IF(ISNA(VLOOKUP($R420&amp;S$2,$C$3:$F$4001,4,0)),"",VLOOKUP($R420&amp;S$2,$C$3:$F$4001,4,0))</f>
        <v/>
      </c>
    </row>
    <row r="421" spans="3:20" x14ac:dyDescent="0.2">
      <c r="C421" s="96" t="str">
        <f t="shared" si="24"/>
        <v>CEY9</v>
      </c>
      <c r="D421" s="73" t="s">
        <v>107</v>
      </c>
      <c r="E421" s="100">
        <v>41367</v>
      </c>
      <c r="F421" s="101">
        <v>0.12</v>
      </c>
      <c r="G421" s="96">
        <f t="shared" si="25"/>
        <v>9</v>
      </c>
      <c r="I421" s="96"/>
      <c r="K421" t="str">
        <f t="shared" si="26"/>
        <v>CEY9</v>
      </c>
      <c r="L421" s="73" t="s">
        <v>107</v>
      </c>
      <c r="M421" s="72">
        <v>41367</v>
      </c>
      <c r="N421" s="84">
        <v>0.12</v>
      </c>
      <c r="O421" s="96">
        <f t="shared" si="27"/>
        <v>9</v>
      </c>
      <c r="Q421" s="96"/>
      <c r="R421" s="96">
        <f>R420</f>
        <v>0</v>
      </c>
      <c r="S421" s="96" t="str">
        <f>IF(ISNA(VLOOKUP($R421&amp;S$2,$K$3:$N$4001,3,0)),"",VLOOKUP($R421&amp;S$2,$K$3:$N$4001,3,0))</f>
        <v/>
      </c>
      <c r="T421" s="110" t="str">
        <f>IF(ISNA(VLOOKUP($R421&amp;S$2,$K$3:$N$4001,4,0)),"",VLOOKUP($R421&amp;S$2,$K$3:$N$4001,4,0))</f>
        <v/>
      </c>
    </row>
    <row r="422" spans="3:20" x14ac:dyDescent="0.2">
      <c r="C422" s="96" t="str">
        <f t="shared" si="24"/>
        <v>CEY10</v>
      </c>
      <c r="D422" s="73" t="s">
        <v>107</v>
      </c>
      <c r="E422" s="100">
        <v>41537</v>
      </c>
      <c r="F422" s="101">
        <v>0.18</v>
      </c>
      <c r="G422" s="96">
        <f t="shared" si="25"/>
        <v>10</v>
      </c>
      <c r="I422" s="96"/>
      <c r="K422" t="str">
        <f t="shared" si="26"/>
        <v>CEY10</v>
      </c>
      <c r="L422" s="73" t="s">
        <v>107</v>
      </c>
      <c r="M422" s="72">
        <v>41537</v>
      </c>
      <c r="N422" s="84">
        <v>0.18</v>
      </c>
      <c r="O422" s="96">
        <f t="shared" si="27"/>
        <v>10</v>
      </c>
      <c r="Q422" s="96"/>
      <c r="R422" s="96">
        <v>0</v>
      </c>
      <c r="S422" s="96" t="str">
        <f>IF(ISNA(VLOOKUP($R422&amp;S$2,$C$3:$F$4001,3,0)),"",VLOOKUP($R422&amp;S$2,$C$3:$F$4001,3,0))</f>
        <v/>
      </c>
      <c r="T422" s="110" t="str">
        <f>IF(ISNA(VLOOKUP($R422&amp;S$2,$C$3:$F$4001,4,0)),"",VLOOKUP($R422&amp;S$2,$C$3:$F$4001,4,0))</f>
        <v/>
      </c>
    </row>
    <row r="423" spans="3:20" x14ac:dyDescent="0.2">
      <c r="C423" s="96" t="str">
        <f t="shared" si="24"/>
        <v>CFX1</v>
      </c>
      <c r="D423" s="73" t="s">
        <v>108</v>
      </c>
      <c r="E423" s="100">
        <v>39988</v>
      </c>
      <c r="F423" s="101">
        <v>6.3E-2</v>
      </c>
      <c r="G423" s="96">
        <f t="shared" si="25"/>
        <v>1</v>
      </c>
      <c r="I423" s="96"/>
      <c r="K423" t="str">
        <f t="shared" si="26"/>
        <v>CFX1</v>
      </c>
      <c r="L423" s="73" t="s">
        <v>108</v>
      </c>
      <c r="M423" s="72">
        <v>39988</v>
      </c>
      <c r="N423" s="84">
        <v>6.3E-2</v>
      </c>
      <c r="O423" s="96">
        <f t="shared" si="27"/>
        <v>1</v>
      </c>
      <c r="Q423" s="96"/>
      <c r="R423" s="96">
        <f>R422</f>
        <v>0</v>
      </c>
      <c r="S423" s="96" t="str">
        <f>IF(ISNA(VLOOKUP($R423&amp;S$2,$K$3:$N$4001,3,0)),"",VLOOKUP($R423&amp;S$2,$K$3:$N$4001,3,0))</f>
        <v/>
      </c>
      <c r="T423" s="83" t="str">
        <f>IF(ISNA(VLOOKUP($R423&amp;S$2,$K$3:$N$4001,4,0)),"",VLOOKUP($R423&amp;S$2,$K$3:$N$4001,4,0))</f>
        <v/>
      </c>
    </row>
    <row r="424" spans="3:20" x14ac:dyDescent="0.2">
      <c r="C424" s="96" t="str">
        <f t="shared" si="24"/>
        <v>CFX2</v>
      </c>
      <c r="D424" s="73" t="s">
        <v>108</v>
      </c>
      <c r="E424" s="100">
        <v>40170</v>
      </c>
      <c r="F424" s="101">
        <v>6.5000000000000002E-2</v>
      </c>
      <c r="G424" s="96">
        <f t="shared" si="25"/>
        <v>2</v>
      </c>
      <c r="I424" s="96"/>
      <c r="K424" t="str">
        <f t="shared" si="26"/>
        <v>CFX2</v>
      </c>
      <c r="L424" s="73" t="s">
        <v>108</v>
      </c>
      <c r="M424" s="72">
        <v>40170</v>
      </c>
      <c r="N424" s="84">
        <v>6.5000000000000002E-2</v>
      </c>
      <c r="O424" s="96">
        <f t="shared" si="27"/>
        <v>2</v>
      </c>
      <c r="Q424" s="96"/>
      <c r="R424" s="96">
        <v>0</v>
      </c>
      <c r="S424" s="96" t="str">
        <f>IF(ISNA(VLOOKUP($R424&amp;S$2,$C$3:$F$4001,3,0)),"",VLOOKUP($R424&amp;S$2,$C$3:$F$4001,3,0))</f>
        <v/>
      </c>
      <c r="T424" s="110" t="str">
        <f>IF(ISNA(VLOOKUP($R424&amp;S$2,$C$3:$F$4001,4,0)),"",VLOOKUP($R424&amp;S$2,$C$3:$F$4001,4,0))</f>
        <v/>
      </c>
    </row>
    <row r="425" spans="3:20" x14ac:dyDescent="0.2">
      <c r="C425" s="96" t="str">
        <f t="shared" si="24"/>
        <v>CFX3</v>
      </c>
      <c r="D425" s="73" t="s">
        <v>108</v>
      </c>
      <c r="E425" s="100">
        <v>40353</v>
      </c>
      <c r="F425" s="101">
        <v>6.5000000000000002E-2</v>
      </c>
      <c r="G425" s="96">
        <f t="shared" si="25"/>
        <v>3</v>
      </c>
      <c r="I425" s="96"/>
      <c r="K425" t="str">
        <f t="shared" si="26"/>
        <v>CFX3</v>
      </c>
      <c r="L425" s="73" t="s">
        <v>108</v>
      </c>
      <c r="M425" s="72">
        <v>40353</v>
      </c>
      <c r="N425" s="84">
        <v>6.5000000000000002E-2</v>
      </c>
      <c r="O425" s="96">
        <f t="shared" si="27"/>
        <v>3</v>
      </c>
      <c r="Q425" s="96"/>
      <c r="R425" s="96">
        <f>R424</f>
        <v>0</v>
      </c>
      <c r="S425" s="96" t="str">
        <f>IF(ISNA(VLOOKUP($R425&amp;S$2,$K$3:$N$4001,3,0)),"",VLOOKUP($R425&amp;S$2,$K$3:$N$4001,3,0))</f>
        <v/>
      </c>
      <c r="T425" s="110" t="str">
        <f>IF(ISNA(VLOOKUP($R425&amp;S$2,$K$3:$N$4001,4,0)),"",VLOOKUP($R425&amp;S$2,$K$3:$N$4001,4,0))</f>
        <v/>
      </c>
    </row>
    <row r="426" spans="3:20" x14ac:dyDescent="0.2">
      <c r="C426" s="96" t="str">
        <f t="shared" si="24"/>
        <v>CFX4</v>
      </c>
      <c r="D426" s="73" t="s">
        <v>108</v>
      </c>
      <c r="E426" s="100">
        <v>40535</v>
      </c>
      <c r="F426" s="101">
        <v>6.6000000000000003E-2</v>
      </c>
      <c r="G426" s="96">
        <f t="shared" si="25"/>
        <v>4</v>
      </c>
      <c r="I426" s="96"/>
      <c r="K426" t="str">
        <f t="shared" si="26"/>
        <v>CFX4</v>
      </c>
      <c r="L426" s="73" t="s">
        <v>108</v>
      </c>
      <c r="M426" s="72">
        <v>40535</v>
      </c>
      <c r="N426" s="84">
        <v>6.6000000000000003E-2</v>
      </c>
      <c r="O426" s="96">
        <f t="shared" si="27"/>
        <v>4</v>
      </c>
      <c r="Q426" s="96"/>
      <c r="R426" s="96">
        <v>0</v>
      </c>
      <c r="S426" s="96" t="str">
        <f>IF(ISNA(VLOOKUP($R426&amp;S$2,$C$3:$F$4001,3,0)),"",VLOOKUP($R426&amp;S$2,$C$3:$F$4001,3,0))</f>
        <v/>
      </c>
      <c r="T426" s="110" t="str">
        <f>IF(ISNA(VLOOKUP($R426&amp;S$2,$C$3:$F$4001,4,0)),"",VLOOKUP($R426&amp;S$2,$C$3:$F$4001,4,0))</f>
        <v/>
      </c>
    </row>
    <row r="427" spans="3:20" x14ac:dyDescent="0.2">
      <c r="C427" s="96" t="str">
        <f t="shared" si="24"/>
        <v>CFX5</v>
      </c>
      <c r="D427" s="73" t="s">
        <v>108</v>
      </c>
      <c r="E427" s="100">
        <v>40718</v>
      </c>
      <c r="F427" s="101">
        <v>6.6000000000000003E-2</v>
      </c>
      <c r="G427" s="96">
        <f t="shared" si="25"/>
        <v>5</v>
      </c>
      <c r="I427" s="96"/>
      <c r="K427" t="str">
        <f t="shared" si="26"/>
        <v>CFX5</v>
      </c>
      <c r="L427" s="73" t="s">
        <v>108</v>
      </c>
      <c r="M427" s="72">
        <v>40718</v>
      </c>
      <c r="N427" s="84">
        <v>6.6000000000000003E-2</v>
      </c>
      <c r="O427" s="96">
        <f t="shared" si="27"/>
        <v>5</v>
      </c>
      <c r="Q427" s="96"/>
      <c r="R427" s="96">
        <f>R426</f>
        <v>0</v>
      </c>
      <c r="S427" s="96" t="str">
        <f>IF(ISNA(VLOOKUP($R427&amp;S$2,$K$3:$N$4001,3,0)),"",VLOOKUP($R427&amp;S$2,$K$3:$N$4001,3,0))</f>
        <v/>
      </c>
      <c r="T427" s="110" t="str">
        <f>IF(ISNA(VLOOKUP($R427&amp;S$2,$K$3:$N$4001,4,0)),"",VLOOKUP($R427&amp;S$2,$K$3:$N$4001,4,0))</f>
        <v/>
      </c>
    </row>
    <row r="428" spans="3:20" x14ac:dyDescent="0.2">
      <c r="C428" s="96" t="str">
        <f t="shared" si="24"/>
        <v>CFX6</v>
      </c>
      <c r="D428" s="73" t="s">
        <v>108</v>
      </c>
      <c r="E428" s="100">
        <v>40899</v>
      </c>
      <c r="F428" s="101">
        <v>6.7500000000000004E-2</v>
      </c>
      <c r="G428" s="96">
        <f t="shared" si="25"/>
        <v>6</v>
      </c>
      <c r="I428" s="96"/>
      <c r="K428" t="str">
        <f t="shared" si="26"/>
        <v>CFX6</v>
      </c>
      <c r="L428" s="73" t="s">
        <v>108</v>
      </c>
      <c r="M428" s="72">
        <v>40899</v>
      </c>
      <c r="N428" s="84">
        <v>6.7500000000000004E-2</v>
      </c>
      <c r="O428" s="96">
        <f t="shared" si="27"/>
        <v>6</v>
      </c>
      <c r="Q428" s="96"/>
      <c r="R428" s="96">
        <v>0</v>
      </c>
      <c r="S428" s="96" t="str">
        <f>IF(ISNA(VLOOKUP($R428&amp;S$2,$C$3:$F$4001,3,0)),"",VLOOKUP($R428&amp;S$2,$C$3:$F$4001,3,0))</f>
        <v/>
      </c>
      <c r="T428" s="110" t="str">
        <f>IF(ISNA(VLOOKUP($R428&amp;S$2,$C$3:$F$4001,4,0)),"",VLOOKUP($R428&amp;S$2,$C$3:$F$4001,4,0))</f>
        <v/>
      </c>
    </row>
    <row r="429" spans="3:20" x14ac:dyDescent="0.2">
      <c r="C429" s="96" t="str">
        <f t="shared" si="24"/>
        <v>CFX7</v>
      </c>
      <c r="D429" s="73" t="s">
        <v>108</v>
      </c>
      <c r="E429" s="100">
        <v>41085</v>
      </c>
      <c r="F429" s="101">
        <v>6.7500000000000004E-2</v>
      </c>
      <c r="G429" s="96">
        <f t="shared" si="25"/>
        <v>7</v>
      </c>
      <c r="I429" s="96"/>
      <c r="K429" t="str">
        <f t="shared" si="26"/>
        <v>CFX7</v>
      </c>
      <c r="L429" s="73" t="s">
        <v>108</v>
      </c>
      <c r="M429" s="72">
        <v>41085</v>
      </c>
      <c r="N429" s="84">
        <v>6.7500000000000004E-2</v>
      </c>
      <c r="O429" s="96">
        <f t="shared" si="27"/>
        <v>7</v>
      </c>
      <c r="Q429" s="96"/>
      <c r="R429" s="96">
        <f>R428</f>
        <v>0</v>
      </c>
      <c r="S429" s="96" t="str">
        <f>IF(ISNA(VLOOKUP($R429&amp;S$2,$K$3:$N$4001,3,0)),"",VLOOKUP($R429&amp;S$2,$K$3:$N$4001,3,0))</f>
        <v/>
      </c>
      <c r="T429" s="110" t="str">
        <f>IF(ISNA(VLOOKUP($R429&amp;S$2,$K$3:$N$4001,4,0)),"",VLOOKUP($R429&amp;S$2,$K$3:$N$4001,4,0))</f>
        <v/>
      </c>
    </row>
    <row r="430" spans="3:20" x14ac:dyDescent="0.2">
      <c r="C430" s="96" t="str">
        <f t="shared" si="24"/>
        <v>CFX8</v>
      </c>
      <c r="D430" s="73" t="s">
        <v>108</v>
      </c>
      <c r="E430" s="100">
        <v>41268</v>
      </c>
      <c r="F430" s="101">
        <v>6.8000000000000005E-2</v>
      </c>
      <c r="G430" s="96">
        <f t="shared" si="25"/>
        <v>8</v>
      </c>
      <c r="I430" s="96"/>
      <c r="K430" t="str">
        <f t="shared" si="26"/>
        <v>CFX8</v>
      </c>
      <c r="L430" s="73" t="s">
        <v>108</v>
      </c>
      <c r="M430" s="72">
        <v>41268</v>
      </c>
      <c r="N430" s="84">
        <v>6.8000000000000005E-2</v>
      </c>
      <c r="O430" s="96">
        <f t="shared" si="27"/>
        <v>8</v>
      </c>
      <c r="Q430" s="96"/>
      <c r="R430" s="96">
        <v>0</v>
      </c>
      <c r="S430" s="96" t="str">
        <f>IF(ISNA(VLOOKUP($R430&amp;S$2,$C$3:$F$4001,3,0)),"",VLOOKUP($R430&amp;S$2,$C$3:$F$4001,3,0))</f>
        <v/>
      </c>
      <c r="T430" s="110" t="str">
        <f>IF(ISNA(VLOOKUP($R430&amp;S$2,$C$3:$F$4001,4,0)),"",VLOOKUP($R430&amp;S$2,$C$3:$F$4001,4,0))</f>
        <v/>
      </c>
    </row>
    <row r="431" spans="3:20" x14ac:dyDescent="0.2">
      <c r="C431" s="96" t="str">
        <f t="shared" si="24"/>
        <v>CFX9</v>
      </c>
      <c r="D431" s="73" t="s">
        <v>108</v>
      </c>
      <c r="E431" s="100">
        <v>41450</v>
      </c>
      <c r="F431" s="101">
        <v>6.8000000000000005E-2</v>
      </c>
      <c r="G431" s="96">
        <f t="shared" si="25"/>
        <v>9</v>
      </c>
      <c r="I431" s="96"/>
      <c r="K431" t="str">
        <f t="shared" si="26"/>
        <v>CFX9</v>
      </c>
      <c r="L431" s="73" t="s">
        <v>108</v>
      </c>
      <c r="M431" s="72">
        <v>41450</v>
      </c>
      <c r="N431" s="84">
        <v>6.8000000000000005E-2</v>
      </c>
      <c r="O431" s="96">
        <f t="shared" si="27"/>
        <v>9</v>
      </c>
      <c r="Q431" s="96"/>
      <c r="R431" s="96">
        <f>R430</f>
        <v>0</v>
      </c>
      <c r="S431" s="96" t="str">
        <f>IF(ISNA(VLOOKUP($R431&amp;S$2,$K$3:$N$4001,3,0)),"",VLOOKUP($R431&amp;S$2,$K$3:$N$4001,3,0))</f>
        <v/>
      </c>
      <c r="T431" s="110" t="str">
        <f>IF(ISNA(VLOOKUP($R431&amp;S$2,$K$3:$N$4001,4,0)),"",VLOOKUP($R431&amp;S$2,$K$3:$N$4001,4,0))</f>
        <v/>
      </c>
    </row>
    <row r="432" spans="3:20" x14ac:dyDescent="0.2">
      <c r="C432" s="96" t="str">
        <f t="shared" si="24"/>
        <v>CGF1</v>
      </c>
      <c r="D432" s="73" t="s">
        <v>109</v>
      </c>
      <c r="E432" s="100">
        <v>39891</v>
      </c>
      <c r="F432" s="101">
        <v>0.05</v>
      </c>
      <c r="G432" s="96">
        <f t="shared" si="25"/>
        <v>1</v>
      </c>
      <c r="I432" s="96"/>
      <c r="K432" t="str">
        <f t="shared" si="26"/>
        <v>CGF1</v>
      </c>
      <c r="L432" s="73" t="s">
        <v>109</v>
      </c>
      <c r="M432" s="72">
        <v>39891</v>
      </c>
      <c r="N432" s="84">
        <v>0.05</v>
      </c>
      <c r="O432" s="96">
        <f t="shared" si="27"/>
        <v>1</v>
      </c>
      <c r="Q432" s="96"/>
      <c r="R432" s="96">
        <v>0</v>
      </c>
      <c r="S432" s="96" t="str">
        <f>IF(ISNA(VLOOKUP($R432&amp;S$2,$C$3:$F$4001,3,0)),"",VLOOKUP($R432&amp;S$2,$C$3:$F$4001,3,0))</f>
        <v/>
      </c>
      <c r="T432" s="110" t="str">
        <f>IF(ISNA(VLOOKUP($R432&amp;S$2,$C$3:$F$4001,4,0)),"",VLOOKUP($R432&amp;S$2,$C$3:$F$4001,4,0))</f>
        <v/>
      </c>
    </row>
    <row r="433" spans="3:20" x14ac:dyDescent="0.2">
      <c r="C433" s="96" t="str">
        <f t="shared" si="24"/>
        <v>CGF2</v>
      </c>
      <c r="D433" s="73" t="s">
        <v>109</v>
      </c>
      <c r="E433" s="100">
        <v>40074</v>
      </c>
      <c r="F433" s="101">
        <v>7.4999999999999997E-2</v>
      </c>
      <c r="G433" s="96">
        <f t="shared" si="25"/>
        <v>2</v>
      </c>
      <c r="I433" s="96"/>
      <c r="K433" t="str">
        <f t="shared" si="26"/>
        <v>CGF2</v>
      </c>
      <c r="L433" s="73" t="s">
        <v>109</v>
      </c>
      <c r="M433" s="72">
        <v>40074</v>
      </c>
      <c r="N433" s="84">
        <v>7.4999999999999997E-2</v>
      </c>
      <c r="O433" s="96">
        <f t="shared" si="27"/>
        <v>2</v>
      </c>
      <c r="Q433" s="96"/>
      <c r="R433" s="96">
        <f>R432</f>
        <v>0</v>
      </c>
      <c r="S433" s="96" t="str">
        <f>IF(ISNA(VLOOKUP($R433&amp;S$2,$K$3:$N$4001,3,0)),"",VLOOKUP($R433&amp;S$2,$K$3:$N$4001,3,0))</f>
        <v/>
      </c>
      <c r="T433" s="110" t="str">
        <f>IF(ISNA(VLOOKUP($R433&amp;S$2,$K$3:$N$4001,4,0)),"",VLOOKUP($R433&amp;S$2,$K$3:$N$4001,4,0))</f>
        <v/>
      </c>
    </row>
    <row r="434" spans="3:20" x14ac:dyDescent="0.2">
      <c r="C434" s="96" t="str">
        <f t="shared" si="24"/>
        <v>CGF3</v>
      </c>
      <c r="D434" s="73" t="s">
        <v>109</v>
      </c>
      <c r="E434" s="100">
        <v>40256</v>
      </c>
      <c r="F434" s="101">
        <v>0.06</v>
      </c>
      <c r="G434" s="96">
        <f t="shared" si="25"/>
        <v>3</v>
      </c>
      <c r="I434" s="96"/>
      <c r="K434" t="str">
        <f t="shared" si="26"/>
        <v>CGF3</v>
      </c>
      <c r="L434" s="73" t="s">
        <v>109</v>
      </c>
      <c r="M434" s="72">
        <v>40256</v>
      </c>
      <c r="N434" s="84">
        <v>0.06</v>
      </c>
      <c r="O434" s="96">
        <f t="shared" si="27"/>
        <v>3</v>
      </c>
      <c r="Q434" s="96"/>
      <c r="R434" s="96">
        <v>0</v>
      </c>
      <c r="S434" s="96" t="str">
        <f>IF(ISNA(VLOOKUP($R434&amp;S$2,$C$3:$F$4001,3,0)),"",VLOOKUP($R434&amp;S$2,$C$3:$F$4001,3,0))</f>
        <v/>
      </c>
      <c r="T434" s="110" t="str">
        <f>IF(ISNA(VLOOKUP($R434&amp;S$2,$C$3:$F$4001,4,0)),"",VLOOKUP($R434&amp;S$2,$C$3:$F$4001,4,0))</f>
        <v/>
      </c>
    </row>
    <row r="435" spans="3:20" x14ac:dyDescent="0.2">
      <c r="C435" s="96" t="str">
        <f t="shared" si="24"/>
        <v>CGF4</v>
      </c>
      <c r="D435" s="73" t="s">
        <v>109</v>
      </c>
      <c r="E435" s="100">
        <v>40441</v>
      </c>
      <c r="F435" s="101">
        <v>0.08</v>
      </c>
      <c r="G435" s="96">
        <f t="shared" si="25"/>
        <v>4</v>
      </c>
      <c r="I435" s="96"/>
      <c r="K435" t="str">
        <f t="shared" si="26"/>
        <v>CGF4</v>
      </c>
      <c r="L435" s="73" t="s">
        <v>109</v>
      </c>
      <c r="M435" s="72">
        <v>40441</v>
      </c>
      <c r="N435" s="84">
        <v>0.08</v>
      </c>
      <c r="O435" s="96">
        <f t="shared" si="27"/>
        <v>4</v>
      </c>
      <c r="Q435" s="96"/>
      <c r="R435" s="96">
        <f>R434</f>
        <v>0</v>
      </c>
      <c r="S435" s="96" t="str">
        <f>IF(ISNA(VLOOKUP($R435&amp;S$2,$K$3:$N$4001,3,0)),"",VLOOKUP($R435&amp;S$2,$K$3:$N$4001,3,0))</f>
        <v/>
      </c>
      <c r="T435" s="110" t="str">
        <f>IF(ISNA(VLOOKUP($R435&amp;S$2,$K$3:$N$4001,4,0)),"",VLOOKUP($R435&amp;S$2,$K$3:$N$4001,4,0))</f>
        <v/>
      </c>
    </row>
    <row r="436" spans="3:20" x14ac:dyDescent="0.2">
      <c r="C436" s="96" t="str">
        <f t="shared" si="24"/>
        <v>CGF5</v>
      </c>
      <c r="D436" s="73" t="s">
        <v>109</v>
      </c>
      <c r="E436" s="100">
        <v>40623</v>
      </c>
      <c r="F436" s="101">
        <v>6.5099999999999991E-2</v>
      </c>
      <c r="G436" s="96">
        <f t="shared" si="25"/>
        <v>5</v>
      </c>
      <c r="I436" s="96"/>
      <c r="K436" t="str">
        <f t="shared" si="26"/>
        <v>CGF5</v>
      </c>
      <c r="L436" s="73" t="s">
        <v>109</v>
      </c>
      <c r="M436" s="72">
        <v>40623</v>
      </c>
      <c r="N436" s="84">
        <v>6.5099999999999991E-2</v>
      </c>
      <c r="O436" s="96">
        <f t="shared" si="27"/>
        <v>5</v>
      </c>
      <c r="Q436" s="96"/>
      <c r="R436" s="96">
        <v>0</v>
      </c>
      <c r="S436" s="96" t="str">
        <f>IF(ISNA(VLOOKUP($R436&amp;S$2,$C$3:$F$4001,3,0)),"",VLOOKUP($R436&amp;S$2,$C$3:$F$4001,3,0))</f>
        <v/>
      </c>
      <c r="T436" s="110" t="str">
        <f>IF(ISNA(VLOOKUP($R436&amp;S$2,$C$3:$F$4001,4,0)),"",VLOOKUP($R436&amp;S$2,$C$3:$F$4001,4,0))</f>
        <v/>
      </c>
    </row>
    <row r="437" spans="3:20" x14ac:dyDescent="0.2">
      <c r="C437" s="96" t="str">
        <f t="shared" si="24"/>
        <v>CGF6</v>
      </c>
      <c r="D437" s="73" t="s">
        <v>109</v>
      </c>
      <c r="E437" s="100">
        <v>40806</v>
      </c>
      <c r="F437" s="101">
        <v>8.6899999999999991E-2</v>
      </c>
      <c r="G437" s="96">
        <f t="shared" si="25"/>
        <v>6</v>
      </c>
      <c r="I437" s="96"/>
      <c r="K437" t="str">
        <f t="shared" si="26"/>
        <v>CGF6</v>
      </c>
      <c r="L437" s="73" t="s">
        <v>109</v>
      </c>
      <c r="M437" s="72">
        <v>40806</v>
      </c>
      <c r="N437" s="84">
        <v>8.6899999999999991E-2</v>
      </c>
      <c r="O437" s="96">
        <f t="shared" si="27"/>
        <v>6</v>
      </c>
      <c r="Q437" s="96"/>
      <c r="R437" s="96">
        <f>R436</f>
        <v>0</v>
      </c>
      <c r="S437" s="96" t="str">
        <f>IF(ISNA(VLOOKUP($R437&amp;S$2,$K$3:$N$4001,3,0)),"",VLOOKUP($R437&amp;S$2,$K$3:$N$4001,3,0))</f>
        <v/>
      </c>
      <c r="T437" s="110" t="str">
        <f>IF(ISNA(VLOOKUP($R437&amp;S$2,$K$3:$N$4001,4,0)),"",VLOOKUP($R437&amp;S$2,$K$3:$N$4001,4,0))</f>
        <v/>
      </c>
    </row>
    <row r="438" spans="3:20" x14ac:dyDescent="0.2">
      <c r="C438" s="96" t="str">
        <f t="shared" si="24"/>
        <v>CGF7</v>
      </c>
      <c r="D438" s="73" t="s">
        <v>109</v>
      </c>
      <c r="E438" s="100">
        <v>40988</v>
      </c>
      <c r="F438" s="101">
        <v>7.0999999999999994E-2</v>
      </c>
      <c r="G438" s="96">
        <f t="shared" si="25"/>
        <v>7</v>
      </c>
      <c r="I438" s="96"/>
      <c r="K438" t="str">
        <f t="shared" si="26"/>
        <v>CGF7</v>
      </c>
      <c r="L438" s="73" t="s">
        <v>109</v>
      </c>
      <c r="M438" s="72">
        <v>40988</v>
      </c>
      <c r="N438" s="84">
        <v>7.0999999999999994E-2</v>
      </c>
      <c r="O438" s="96">
        <f t="shared" si="27"/>
        <v>7</v>
      </c>
      <c r="Q438" s="96"/>
      <c r="R438" s="96">
        <v>0</v>
      </c>
      <c r="S438" s="96" t="str">
        <f>IF(ISNA(VLOOKUP($R438&amp;S$2,$C$3:$F$4001,3,0)),"",VLOOKUP($R438&amp;S$2,$C$3:$F$4001,3,0))</f>
        <v/>
      </c>
      <c r="T438" s="110" t="str">
        <f>IF(ISNA(VLOOKUP($R438&amp;S$2,$C$3:$F$4001,4,0)),"",VLOOKUP($R438&amp;S$2,$C$3:$F$4001,4,0))</f>
        <v/>
      </c>
    </row>
    <row r="439" spans="3:20" x14ac:dyDescent="0.2">
      <c r="C439" s="96" t="str">
        <f t="shared" si="24"/>
        <v>CGF8</v>
      </c>
      <c r="D439" s="73" t="s">
        <v>109</v>
      </c>
      <c r="E439" s="100">
        <v>41172</v>
      </c>
      <c r="F439" s="101">
        <v>9.6999999999999989E-2</v>
      </c>
      <c r="G439" s="96">
        <f t="shared" si="25"/>
        <v>8</v>
      </c>
      <c r="I439" s="96"/>
      <c r="K439" t="str">
        <f t="shared" si="26"/>
        <v>CGF8</v>
      </c>
      <c r="L439" s="73" t="s">
        <v>109</v>
      </c>
      <c r="M439" s="72">
        <v>41172</v>
      </c>
      <c r="N439" s="84">
        <v>9.6999999999999989E-2</v>
      </c>
      <c r="O439" s="96">
        <f t="shared" si="27"/>
        <v>8</v>
      </c>
      <c r="Q439" s="96"/>
      <c r="R439" s="96">
        <f>R438</f>
        <v>0</v>
      </c>
      <c r="S439" s="96" t="str">
        <f>IF(ISNA(VLOOKUP($R439&amp;S$2,$K$3:$N$4001,3,0)),"",VLOOKUP($R439&amp;S$2,$K$3:$N$4001,3,0))</f>
        <v/>
      </c>
      <c r="T439" s="110" t="str">
        <f>IF(ISNA(VLOOKUP($R439&amp;S$2,$K$3:$N$4001,4,0)),"",VLOOKUP($R439&amp;S$2,$K$3:$N$4001,4,0))</f>
        <v/>
      </c>
    </row>
    <row r="440" spans="3:20" x14ac:dyDescent="0.2">
      <c r="C440" s="96" t="str">
        <f t="shared" si="24"/>
        <v>CGF9</v>
      </c>
      <c r="D440" s="73" t="s">
        <v>109</v>
      </c>
      <c r="E440" s="100">
        <v>41353</v>
      </c>
      <c r="F440" s="101">
        <v>8.1300000000000011E-2</v>
      </c>
      <c r="G440" s="96">
        <f t="shared" si="25"/>
        <v>9</v>
      </c>
      <c r="I440" s="96"/>
      <c r="K440" t="str">
        <f t="shared" si="26"/>
        <v>CGF9</v>
      </c>
      <c r="L440" s="73" t="s">
        <v>109</v>
      </c>
      <c r="M440" s="72">
        <v>41353</v>
      </c>
      <c r="N440" s="84">
        <v>8.1300000000000011E-2</v>
      </c>
      <c r="O440" s="96">
        <f t="shared" si="27"/>
        <v>9</v>
      </c>
      <c r="Q440" s="96"/>
      <c r="R440" s="96">
        <v>0</v>
      </c>
      <c r="S440" s="96" t="str">
        <f>IF(ISNA(VLOOKUP($R440&amp;S$2,$C$3:$F$4001,3,0)),"",VLOOKUP($R440&amp;S$2,$C$3:$F$4001,3,0))</f>
        <v/>
      </c>
      <c r="T440" s="110" t="str">
        <f>IF(ISNA(VLOOKUP($R440&amp;S$2,$C$3:$F$4001,4,0)),"",VLOOKUP($R440&amp;S$2,$C$3:$F$4001,4,0))</f>
        <v/>
      </c>
    </row>
    <row r="441" spans="3:20" x14ac:dyDescent="0.2">
      <c r="C441" s="96" t="str">
        <f t="shared" si="24"/>
        <v>CGF10</v>
      </c>
      <c r="D441" s="73" t="s">
        <v>109</v>
      </c>
      <c r="E441" s="100">
        <v>41537</v>
      </c>
      <c r="F441" s="101">
        <v>0.11269999999999999</v>
      </c>
      <c r="G441" s="96">
        <f t="shared" si="25"/>
        <v>10</v>
      </c>
      <c r="I441" s="96"/>
      <c r="K441" t="str">
        <f t="shared" si="26"/>
        <v>CGF10</v>
      </c>
      <c r="L441" s="73" t="s">
        <v>109</v>
      </c>
      <c r="M441" s="72">
        <v>41537</v>
      </c>
      <c r="N441" s="84">
        <v>0.11269999999999999</v>
      </c>
      <c r="O441" s="96">
        <f t="shared" si="27"/>
        <v>10</v>
      </c>
      <c r="Q441" s="96"/>
      <c r="R441" s="96">
        <f>R440</f>
        <v>0</v>
      </c>
      <c r="S441" s="96" t="str">
        <f>IF(ISNA(VLOOKUP($R441&amp;S$2,$K$3:$N$4001,3,0)),"",VLOOKUP($R441&amp;S$2,$K$3:$N$4001,3,0))</f>
        <v/>
      </c>
      <c r="T441" s="110" t="str">
        <f>IF(ISNA(VLOOKUP($R441&amp;S$2,$K$3:$N$4001,4,0)),"",VLOOKUP($R441&amp;S$2,$K$3:$N$4001,4,0))</f>
        <v/>
      </c>
    </row>
    <row r="442" spans="3:20" x14ac:dyDescent="0.2">
      <c r="C442" s="96" t="str">
        <f t="shared" si="24"/>
        <v>CMJ1</v>
      </c>
      <c r="D442" s="73" t="s">
        <v>110</v>
      </c>
      <c r="E442" s="100">
        <v>39909</v>
      </c>
      <c r="F442" s="101">
        <v>0.06</v>
      </c>
      <c r="G442" s="96">
        <f t="shared" si="25"/>
        <v>1</v>
      </c>
      <c r="I442" s="96"/>
      <c r="K442" t="str">
        <f t="shared" si="26"/>
        <v>CMJ1</v>
      </c>
      <c r="L442" s="73" t="s">
        <v>110</v>
      </c>
      <c r="M442" s="72">
        <v>39909</v>
      </c>
      <c r="N442" s="84">
        <v>0.06</v>
      </c>
      <c r="O442" s="96">
        <f t="shared" si="27"/>
        <v>1</v>
      </c>
      <c r="Q442" s="96"/>
      <c r="R442" s="96">
        <v>0</v>
      </c>
      <c r="S442" s="96" t="str">
        <f>IF(ISNA(VLOOKUP($R442&amp;S$2,$C$3:$F$4001,3,0)),"",VLOOKUP($R442&amp;S$2,$C$3:$F$4001,3,0))</f>
        <v/>
      </c>
      <c r="T442" s="110" t="str">
        <f>IF(ISNA(VLOOKUP($R442&amp;S$2,$C$3:$F$4001,4,0)),"",VLOOKUP($R442&amp;S$2,$C$3:$F$4001,4,0))</f>
        <v/>
      </c>
    </row>
    <row r="443" spans="3:20" x14ac:dyDescent="0.2">
      <c r="C443" s="96" t="str">
        <f t="shared" si="24"/>
        <v>CMJ2</v>
      </c>
      <c r="D443" s="73" t="s">
        <v>110</v>
      </c>
      <c r="E443" s="100">
        <v>40085</v>
      </c>
      <c r="F443" s="101">
        <v>0.06</v>
      </c>
      <c r="G443" s="96">
        <f t="shared" si="25"/>
        <v>2</v>
      </c>
      <c r="I443" s="96"/>
      <c r="K443" t="str">
        <f t="shared" si="26"/>
        <v>CMJ2</v>
      </c>
      <c r="L443" s="73" t="s">
        <v>110</v>
      </c>
      <c r="M443" s="72">
        <v>40085</v>
      </c>
      <c r="N443" s="84">
        <v>0.06</v>
      </c>
      <c r="O443" s="96">
        <f t="shared" si="27"/>
        <v>2</v>
      </c>
      <c r="Q443" s="96"/>
      <c r="R443" s="96">
        <f>R442</f>
        <v>0</v>
      </c>
      <c r="S443" s="96" t="str">
        <f>IF(ISNA(VLOOKUP($R443&amp;S$2,$K$3:$N$4001,3,0)),"",VLOOKUP($R443&amp;S$2,$K$3:$N$4001,3,0))</f>
        <v/>
      </c>
      <c r="T443" s="110" t="str">
        <f>IF(ISNA(VLOOKUP($R443&amp;S$2,$K$3:$N$4001,4,0)),"",VLOOKUP($R443&amp;S$2,$K$3:$N$4001,4,0))</f>
        <v/>
      </c>
    </row>
    <row r="444" spans="3:20" x14ac:dyDescent="0.2">
      <c r="C444" s="96" t="str">
        <f t="shared" si="24"/>
        <v>CMJ3</v>
      </c>
      <c r="D444" s="73" t="s">
        <v>110</v>
      </c>
      <c r="E444" s="100">
        <v>40276</v>
      </c>
      <c r="F444" s="101">
        <v>7.0000000000000007E-2</v>
      </c>
      <c r="G444" s="96">
        <f t="shared" si="25"/>
        <v>3</v>
      </c>
      <c r="I444" s="96"/>
      <c r="K444" t="str">
        <f t="shared" si="26"/>
        <v>CMJ3</v>
      </c>
      <c r="L444" s="73" t="s">
        <v>110</v>
      </c>
      <c r="M444" s="72">
        <v>40276</v>
      </c>
      <c r="N444" s="84">
        <v>7.0000000000000007E-2</v>
      </c>
      <c r="O444" s="96">
        <f t="shared" si="27"/>
        <v>3</v>
      </c>
      <c r="Q444" s="96"/>
      <c r="R444" s="96">
        <v>0</v>
      </c>
      <c r="S444" s="96" t="str">
        <f>IF(ISNA(VLOOKUP($R444&amp;S$2,$C$3:$F$4001,3,0)),"",VLOOKUP($R444&amp;S$2,$C$3:$F$4001,3,0))</f>
        <v/>
      </c>
      <c r="T444" s="110" t="str">
        <f>IF(ISNA(VLOOKUP($R444&amp;S$2,$C$3:$F$4001,4,0)),"",VLOOKUP($R444&amp;S$2,$C$3:$F$4001,4,0))</f>
        <v/>
      </c>
    </row>
    <row r="445" spans="3:20" x14ac:dyDescent="0.2">
      <c r="C445" s="96" t="str">
        <f t="shared" si="24"/>
        <v>CMJ4</v>
      </c>
      <c r="D445" s="73" t="s">
        <v>110</v>
      </c>
      <c r="E445" s="100">
        <v>40450</v>
      </c>
      <c r="F445" s="101">
        <v>0.06</v>
      </c>
      <c r="G445" s="96">
        <f t="shared" si="25"/>
        <v>4</v>
      </c>
      <c r="I445" s="96"/>
      <c r="K445" t="str">
        <f t="shared" si="26"/>
        <v>CMJ4</v>
      </c>
      <c r="L445" s="73" t="s">
        <v>110</v>
      </c>
      <c r="M445" s="72">
        <v>40450</v>
      </c>
      <c r="N445" s="84">
        <v>0.06</v>
      </c>
      <c r="O445" s="96">
        <f t="shared" si="27"/>
        <v>4</v>
      </c>
      <c r="Q445" s="96"/>
      <c r="R445" s="96">
        <f>R444</f>
        <v>0</v>
      </c>
      <c r="S445" s="96" t="str">
        <f>IF(ISNA(VLOOKUP($R445&amp;S$2,$K$3:$N$4001,3,0)),"",VLOOKUP($R445&amp;S$2,$K$3:$N$4001,3,0))</f>
        <v/>
      </c>
      <c r="T445" s="110" t="str">
        <f>IF(ISNA(VLOOKUP($R445&amp;S$2,$K$3:$N$4001,4,0)),"",VLOOKUP($R445&amp;S$2,$K$3:$N$4001,4,0))</f>
        <v/>
      </c>
    </row>
    <row r="446" spans="3:20" x14ac:dyDescent="0.2">
      <c r="C446" s="96" t="str">
        <f t="shared" si="24"/>
        <v>CMJ5</v>
      </c>
      <c r="D446" s="73" t="s">
        <v>110</v>
      </c>
      <c r="E446" s="100">
        <v>40641</v>
      </c>
      <c r="F446" s="101">
        <v>0.08</v>
      </c>
      <c r="G446" s="96">
        <f t="shared" si="25"/>
        <v>5</v>
      </c>
      <c r="I446" s="96"/>
      <c r="K446" t="str">
        <f t="shared" si="26"/>
        <v>CMJ5</v>
      </c>
      <c r="L446" s="73" t="s">
        <v>110</v>
      </c>
      <c r="M446" s="72">
        <v>40641</v>
      </c>
      <c r="N446" s="84">
        <v>0.08</v>
      </c>
      <c r="O446" s="96">
        <f t="shared" si="27"/>
        <v>5</v>
      </c>
      <c r="Q446" s="96"/>
      <c r="R446" s="96">
        <v>0</v>
      </c>
      <c r="S446" s="96" t="str">
        <f>IF(ISNA(VLOOKUP($R446&amp;S$2,$C$3:$F$4001,3,0)),"",VLOOKUP($R446&amp;S$2,$C$3:$F$4001,3,0))</f>
        <v/>
      </c>
      <c r="T446" s="110" t="str">
        <f>IF(ISNA(VLOOKUP($R446&amp;S$2,$C$3:$F$4001,4,0)),"",VLOOKUP($R446&amp;S$2,$C$3:$F$4001,4,0))</f>
        <v/>
      </c>
    </row>
    <row r="447" spans="3:20" x14ac:dyDescent="0.2">
      <c r="C447" s="96" t="str">
        <f t="shared" si="24"/>
        <v>CMJ6</v>
      </c>
      <c r="D447" s="73" t="s">
        <v>110</v>
      </c>
      <c r="E447" s="100">
        <v>40816</v>
      </c>
      <c r="F447" s="101">
        <v>7.0000000000000007E-2</v>
      </c>
      <c r="G447" s="96">
        <f t="shared" si="25"/>
        <v>6</v>
      </c>
      <c r="I447" s="96"/>
      <c r="K447" t="str">
        <f t="shared" si="26"/>
        <v>CMJ6</v>
      </c>
      <c r="L447" s="73" t="s">
        <v>110</v>
      </c>
      <c r="M447" s="72">
        <v>40816</v>
      </c>
      <c r="N447" s="84">
        <v>7.0000000000000007E-2</v>
      </c>
      <c r="O447" s="96">
        <f t="shared" si="27"/>
        <v>6</v>
      </c>
      <c r="Q447" s="96"/>
      <c r="R447" s="96">
        <f>R446</f>
        <v>0</v>
      </c>
      <c r="S447" s="96" t="str">
        <f>IF(ISNA(VLOOKUP($R447&amp;S$2,$K$3:$N$4001,3,0)),"",VLOOKUP($R447&amp;S$2,$K$3:$N$4001,3,0))</f>
        <v/>
      </c>
      <c r="T447" s="110" t="str">
        <f>IF(ISNA(VLOOKUP($R447&amp;S$2,$K$3:$N$4001,4,0)),"",VLOOKUP($R447&amp;S$2,$K$3:$N$4001,4,0))</f>
        <v/>
      </c>
    </row>
    <row r="448" spans="3:20" x14ac:dyDescent="0.2">
      <c r="C448" s="96" t="str">
        <f t="shared" si="24"/>
        <v>CMJ7</v>
      </c>
      <c r="D448" s="73" t="s">
        <v>110</v>
      </c>
      <c r="E448" s="100">
        <v>41009</v>
      </c>
      <c r="F448" s="101">
        <v>0.1</v>
      </c>
      <c r="G448" s="96">
        <f t="shared" si="25"/>
        <v>7</v>
      </c>
      <c r="I448" s="96"/>
      <c r="K448" t="str">
        <f t="shared" si="26"/>
        <v>CMJ7</v>
      </c>
      <c r="L448" s="73" t="s">
        <v>110</v>
      </c>
      <c r="M448" s="72">
        <v>41009</v>
      </c>
      <c r="N448" s="84">
        <v>0.1</v>
      </c>
      <c r="O448" s="96">
        <f t="shared" si="27"/>
        <v>7</v>
      </c>
      <c r="Q448" s="96"/>
      <c r="R448" s="96">
        <v>0</v>
      </c>
      <c r="S448" s="96" t="str">
        <f>IF(ISNA(VLOOKUP($R448&amp;S$2,$C$3:$F$4001,3,0)),"",VLOOKUP($R448&amp;S$2,$C$3:$F$4001,3,0))</f>
        <v/>
      </c>
      <c r="T448" s="110" t="str">
        <f>IF(ISNA(VLOOKUP($R448&amp;S$2,$C$3:$F$4001,4,0)),"",VLOOKUP($R448&amp;S$2,$C$3:$F$4001,4,0))</f>
        <v/>
      </c>
    </row>
    <row r="449" spans="3:20" x14ac:dyDescent="0.2">
      <c r="C449" s="96" t="str">
        <f t="shared" si="24"/>
        <v>CMJ8</v>
      </c>
      <c r="D449" s="73" t="s">
        <v>110</v>
      </c>
      <c r="E449" s="100">
        <v>41184</v>
      </c>
      <c r="F449" s="101">
        <v>0.09</v>
      </c>
      <c r="G449" s="96">
        <f t="shared" si="25"/>
        <v>8</v>
      </c>
      <c r="I449" s="96"/>
      <c r="K449" t="str">
        <f t="shared" si="26"/>
        <v>CMJ8</v>
      </c>
      <c r="L449" s="73" t="s">
        <v>110</v>
      </c>
      <c r="M449" s="72">
        <v>41184</v>
      </c>
      <c r="N449" s="84">
        <v>0.09</v>
      </c>
      <c r="O449" s="96">
        <f t="shared" si="27"/>
        <v>8</v>
      </c>
      <c r="Q449" s="96"/>
      <c r="R449" s="96">
        <f>R448</f>
        <v>0</v>
      </c>
      <c r="S449" s="96" t="str">
        <f>IF(ISNA(VLOOKUP($R449&amp;S$2,$K$3:$N$4001,3,0)),"",VLOOKUP($R449&amp;S$2,$K$3:$N$4001,3,0))</f>
        <v/>
      </c>
      <c r="T449" s="110" t="str">
        <f>IF(ISNA(VLOOKUP($R449&amp;S$2,$K$3:$N$4001,4,0)),"",VLOOKUP($R449&amp;S$2,$K$3:$N$4001,4,0))</f>
        <v/>
      </c>
    </row>
    <row r="450" spans="3:20" x14ac:dyDescent="0.2">
      <c r="C450" s="96" t="str">
        <f t="shared" si="24"/>
        <v>CMJ9</v>
      </c>
      <c r="D450" s="73" t="s">
        <v>110</v>
      </c>
      <c r="E450" s="100">
        <v>41374</v>
      </c>
      <c r="F450" s="101">
        <v>0.11</v>
      </c>
      <c r="G450" s="96">
        <f t="shared" si="25"/>
        <v>9</v>
      </c>
      <c r="I450" s="96"/>
      <c r="K450" t="str">
        <f t="shared" si="26"/>
        <v>CMJ9</v>
      </c>
      <c r="L450" s="73" t="s">
        <v>110</v>
      </c>
      <c r="M450" s="72">
        <v>41374</v>
      </c>
      <c r="N450" s="84">
        <v>0.11</v>
      </c>
      <c r="O450" s="96">
        <f t="shared" si="27"/>
        <v>9</v>
      </c>
      <c r="Q450" s="96"/>
      <c r="R450" s="96">
        <v>0</v>
      </c>
      <c r="S450" s="96" t="str">
        <f>IF(ISNA(VLOOKUP($R450&amp;S$2,$C$3:$F$4001,3,0)),"",VLOOKUP($R450&amp;S$2,$C$3:$F$4001,3,0))</f>
        <v/>
      </c>
      <c r="T450" s="110" t="str">
        <f>IF(ISNA(VLOOKUP($R450&amp;S$2,$C$3:$F$4001,4,0)),"",VLOOKUP($R450&amp;S$2,$C$3:$F$4001,4,0))</f>
        <v/>
      </c>
    </row>
    <row r="451" spans="3:20" x14ac:dyDescent="0.2">
      <c r="C451" s="96" t="str">
        <f t="shared" ref="C451:C514" si="28">D451&amp;G451</f>
        <v>CMJ10</v>
      </c>
      <c r="D451" s="73" t="s">
        <v>110</v>
      </c>
      <c r="E451" s="100">
        <v>41549</v>
      </c>
      <c r="F451" s="101">
        <v>0.1</v>
      </c>
      <c r="G451" s="96">
        <f t="shared" ref="G451:G514" si="29">IF(D451&lt;&gt;D450,1,G450+1)</f>
        <v>10</v>
      </c>
      <c r="I451" s="96"/>
      <c r="K451" t="str">
        <f t="shared" ref="K451:K514" si="30">L451&amp;O451</f>
        <v>CMJ10</v>
      </c>
      <c r="L451" s="73" t="s">
        <v>110</v>
      </c>
      <c r="M451" s="72">
        <v>41549</v>
      </c>
      <c r="N451" s="84">
        <v>0.1</v>
      </c>
      <c r="O451" s="96">
        <f t="shared" ref="O451:O514" si="31">IF(L451&lt;&gt;L450,1,O450+1)</f>
        <v>10</v>
      </c>
      <c r="Q451" s="96"/>
      <c r="R451" s="96">
        <f>R450</f>
        <v>0</v>
      </c>
      <c r="S451" s="96" t="str">
        <f>IF(ISNA(VLOOKUP($R451&amp;S$2,$K$3:$N$4001,3,0)),"",VLOOKUP($R451&amp;S$2,$K$3:$N$4001,3,0))</f>
        <v/>
      </c>
      <c r="T451" s="110" t="str">
        <f>IF(ISNA(VLOOKUP($R451&amp;S$2,$K$3:$N$4001,4,0)),"",VLOOKUP($R451&amp;S$2,$K$3:$N$4001,4,0))</f>
        <v/>
      </c>
    </row>
    <row r="452" spans="3:20" x14ac:dyDescent="0.2">
      <c r="C452" s="96" t="str">
        <f t="shared" si="28"/>
        <v>CNP1</v>
      </c>
      <c r="D452" s="73" t="s">
        <v>111</v>
      </c>
      <c r="E452" s="100">
        <v>40535</v>
      </c>
      <c r="F452" s="101">
        <v>0.05</v>
      </c>
      <c r="G452" s="96">
        <f t="shared" si="29"/>
        <v>1</v>
      </c>
      <c r="I452" s="96"/>
      <c r="K452" t="str">
        <f t="shared" si="30"/>
        <v>CNP1</v>
      </c>
      <c r="L452" s="73" t="s">
        <v>111</v>
      </c>
      <c r="M452" s="72">
        <v>40535</v>
      </c>
      <c r="N452" s="84">
        <v>0.05</v>
      </c>
      <c r="O452" s="96">
        <f t="shared" si="31"/>
        <v>1</v>
      </c>
      <c r="Q452" s="96"/>
      <c r="R452" s="96">
        <v>0</v>
      </c>
      <c r="S452" s="96" t="str">
        <f>IF(ISNA(VLOOKUP($R452&amp;S$2,$C$3:$F$4001,3,0)),"",VLOOKUP($R452&amp;S$2,$C$3:$F$4001,3,0))</f>
        <v/>
      </c>
      <c r="T452" s="110" t="str">
        <f>IF(ISNA(VLOOKUP($R452&amp;S$2,$C$3:$F$4001,4,0)),"",VLOOKUP($R452&amp;S$2,$C$3:$F$4001,4,0))</f>
        <v/>
      </c>
    </row>
    <row r="453" spans="3:20" x14ac:dyDescent="0.2">
      <c r="C453" s="96" t="str">
        <f t="shared" si="28"/>
        <v>CNP2</v>
      </c>
      <c r="D453" s="73" t="s">
        <v>111</v>
      </c>
      <c r="E453" s="100">
        <v>40718</v>
      </c>
      <c r="F453" s="101">
        <v>0.1</v>
      </c>
      <c r="G453" s="96">
        <f t="shared" si="29"/>
        <v>2</v>
      </c>
      <c r="I453" s="96"/>
      <c r="K453" t="str">
        <f t="shared" si="30"/>
        <v>CNP2</v>
      </c>
      <c r="L453" s="73" t="s">
        <v>111</v>
      </c>
      <c r="M453" s="72">
        <v>40718</v>
      </c>
      <c r="N453" s="84">
        <v>0.1</v>
      </c>
      <c r="O453" s="96">
        <f t="shared" si="31"/>
        <v>2</v>
      </c>
      <c r="Q453" s="96"/>
      <c r="R453" s="96">
        <f>R452</f>
        <v>0</v>
      </c>
      <c r="S453" s="96" t="str">
        <f>IF(ISNA(VLOOKUP($R453&amp;S$2,$K$3:$N$4001,3,0)),"",VLOOKUP($R453&amp;S$2,$K$3:$N$4001,3,0))</f>
        <v/>
      </c>
      <c r="T453" s="110" t="str">
        <f>IF(ISNA(VLOOKUP($R453&amp;S$2,$K$3:$N$4001,4,0)),"",VLOOKUP($R453&amp;S$2,$K$3:$N$4001,4,0))</f>
        <v/>
      </c>
    </row>
    <row r="454" spans="3:20" x14ac:dyDescent="0.2">
      <c r="C454" s="96" t="str">
        <f t="shared" si="28"/>
        <v>CNP3</v>
      </c>
      <c r="D454" s="73" t="s">
        <v>111</v>
      </c>
      <c r="E454" s="100">
        <v>40899</v>
      </c>
      <c r="F454" s="101">
        <v>0.1</v>
      </c>
      <c r="G454" s="96">
        <f t="shared" si="29"/>
        <v>3</v>
      </c>
      <c r="I454" s="96"/>
      <c r="K454" t="str">
        <f t="shared" si="30"/>
        <v>CNP3</v>
      </c>
      <c r="L454" s="73" t="s">
        <v>111</v>
      </c>
      <c r="M454" s="72">
        <v>40899</v>
      </c>
      <c r="N454" s="84">
        <v>0.1</v>
      </c>
      <c r="O454" s="96">
        <f t="shared" si="31"/>
        <v>3</v>
      </c>
      <c r="Q454" s="96"/>
      <c r="R454" s="96">
        <v>0</v>
      </c>
      <c r="S454" s="96" t="str">
        <f>IF(ISNA(VLOOKUP($R454&amp;S$2,$C$3:$F$4001,3,0)),"",VLOOKUP($R454&amp;S$2,$C$3:$F$4001,3,0))</f>
        <v/>
      </c>
      <c r="T454" s="110" t="str">
        <f>IF(ISNA(VLOOKUP($R454&amp;S$2,$C$3:$F$4001,4,0)),"",VLOOKUP($R454&amp;S$2,$C$3:$F$4001,4,0))</f>
        <v/>
      </c>
    </row>
    <row r="455" spans="3:20" x14ac:dyDescent="0.2">
      <c r="C455" s="96" t="str">
        <f t="shared" si="28"/>
        <v>CNP4</v>
      </c>
      <c r="D455" s="73" t="s">
        <v>111</v>
      </c>
      <c r="E455" s="100">
        <v>41085</v>
      </c>
      <c r="F455" s="101">
        <v>0.1</v>
      </c>
      <c r="G455" s="96">
        <f t="shared" si="29"/>
        <v>4</v>
      </c>
      <c r="I455" s="96"/>
      <c r="K455" t="str">
        <f t="shared" si="30"/>
        <v>CNP4</v>
      </c>
      <c r="L455" s="73" t="s">
        <v>111</v>
      </c>
      <c r="M455" s="72">
        <v>41085</v>
      </c>
      <c r="N455" s="84">
        <v>0.1</v>
      </c>
      <c r="O455" s="96">
        <f t="shared" si="31"/>
        <v>4</v>
      </c>
      <c r="Q455" s="96"/>
      <c r="R455" s="96">
        <f>R454</f>
        <v>0</v>
      </c>
      <c r="S455" s="96" t="str">
        <f>IF(ISNA(VLOOKUP($R455&amp;S$2,$K$3:$N$4001,3,0)),"",VLOOKUP($R455&amp;S$2,$K$3:$N$4001,3,0))</f>
        <v/>
      </c>
      <c r="T455" s="110" t="str">
        <f>IF(ISNA(VLOOKUP($R455&amp;S$2,$K$3:$N$4001,4,0)),"",VLOOKUP($R455&amp;S$2,$K$3:$N$4001,4,0))</f>
        <v/>
      </c>
    </row>
    <row r="456" spans="3:20" x14ac:dyDescent="0.2">
      <c r="C456" s="96" t="str">
        <f t="shared" si="28"/>
        <v>CNP5</v>
      </c>
      <c r="D456" s="73" t="s">
        <v>111</v>
      </c>
      <c r="E456" s="100">
        <v>41268</v>
      </c>
      <c r="F456" s="101">
        <v>5.9500000000000004E-2</v>
      </c>
      <c r="G456" s="96">
        <f t="shared" si="29"/>
        <v>5</v>
      </c>
      <c r="I456" s="96"/>
      <c r="K456" t="str">
        <f t="shared" si="30"/>
        <v>CNP5</v>
      </c>
      <c r="L456" s="73" t="s">
        <v>111</v>
      </c>
      <c r="M456" s="72">
        <v>41268</v>
      </c>
      <c r="N456" s="84">
        <v>5.9500000000000004E-2</v>
      </c>
      <c r="O456" s="96">
        <f t="shared" si="31"/>
        <v>5</v>
      </c>
      <c r="Q456" s="96"/>
      <c r="R456" s="96">
        <v>0</v>
      </c>
      <c r="S456" s="96" t="str">
        <f>IF(ISNA(VLOOKUP($R456&amp;S$2,$C$3:$F$4001,3,0)),"",VLOOKUP($R456&amp;S$2,$C$3:$F$4001,3,0))</f>
        <v/>
      </c>
      <c r="T456" s="110" t="str">
        <f>IF(ISNA(VLOOKUP($R456&amp;S$2,$C$3:$F$4001,4,0)),"",VLOOKUP($R456&amp;S$2,$C$3:$F$4001,4,0))</f>
        <v/>
      </c>
    </row>
    <row r="457" spans="3:20" x14ac:dyDescent="0.2">
      <c r="C457" s="96" t="str">
        <f t="shared" si="28"/>
        <v>CNP6</v>
      </c>
      <c r="D457" s="73" t="s">
        <v>111</v>
      </c>
      <c r="E457" s="100">
        <v>41450</v>
      </c>
      <c r="F457" s="101">
        <v>5.9500000000000004E-2</v>
      </c>
      <c r="G457" s="96">
        <f t="shared" si="29"/>
        <v>6</v>
      </c>
      <c r="I457" s="96"/>
      <c r="K457" t="str">
        <f t="shared" si="30"/>
        <v>CNP6</v>
      </c>
      <c r="L457" s="73" t="s">
        <v>111</v>
      </c>
      <c r="M457" s="72">
        <v>41450</v>
      </c>
      <c r="N457" s="84">
        <v>5.9500000000000004E-2</v>
      </c>
      <c r="O457" s="96">
        <f t="shared" si="31"/>
        <v>6</v>
      </c>
      <c r="Q457" s="96"/>
      <c r="R457" s="96">
        <f>R456</f>
        <v>0</v>
      </c>
      <c r="S457" s="96" t="str">
        <f>IF(ISNA(VLOOKUP($R457&amp;S$2,$K$3:$N$4001,3,0)),"",VLOOKUP($R457&amp;S$2,$K$3:$N$4001,3,0))</f>
        <v/>
      </c>
      <c r="T457" s="110" t="str">
        <f>IF(ISNA(VLOOKUP($R457&amp;S$2,$K$3:$N$4001,4,0)),"",VLOOKUP($R457&amp;S$2,$K$3:$N$4001,4,0))</f>
        <v/>
      </c>
    </row>
    <row r="458" spans="3:20" x14ac:dyDescent="0.2">
      <c r="C458" s="96" t="str">
        <f t="shared" si="28"/>
        <v>COH1</v>
      </c>
      <c r="D458" s="73" t="s">
        <v>112</v>
      </c>
      <c r="E458" s="100">
        <v>39868</v>
      </c>
      <c r="F458" s="101">
        <v>0.8</v>
      </c>
      <c r="G458" s="96">
        <f t="shared" si="29"/>
        <v>1</v>
      </c>
      <c r="I458" s="96"/>
      <c r="K458" t="str">
        <f t="shared" si="30"/>
        <v>COH1</v>
      </c>
      <c r="L458" s="73" t="s">
        <v>112</v>
      </c>
      <c r="M458" s="72">
        <v>39868</v>
      </c>
      <c r="N458" s="84">
        <v>0.8</v>
      </c>
      <c r="O458" s="96">
        <f t="shared" si="31"/>
        <v>1</v>
      </c>
      <c r="Q458" s="96"/>
      <c r="R458" s="96">
        <v>0</v>
      </c>
      <c r="S458" s="96" t="str">
        <f>IF(ISNA(VLOOKUP($R458&amp;S$2,$C$3:$F$4001,3,0)),"",VLOOKUP($R458&amp;S$2,$C$3:$F$4001,3,0))</f>
        <v/>
      </c>
      <c r="T458" s="110" t="str">
        <f>IF(ISNA(VLOOKUP($R458&amp;S$2,$C$3:$F$4001,4,0)),"",VLOOKUP($R458&amp;S$2,$C$3:$F$4001,4,0))</f>
        <v/>
      </c>
    </row>
    <row r="459" spans="3:20" x14ac:dyDescent="0.2">
      <c r="C459" s="96" t="str">
        <f t="shared" si="28"/>
        <v>COH2</v>
      </c>
      <c r="D459" s="73" t="s">
        <v>112</v>
      </c>
      <c r="E459" s="100">
        <v>40056</v>
      </c>
      <c r="F459" s="101">
        <v>0.9</v>
      </c>
      <c r="G459" s="96">
        <f t="shared" si="29"/>
        <v>2</v>
      </c>
      <c r="I459" s="96"/>
      <c r="K459" t="str">
        <f t="shared" si="30"/>
        <v>COH2</v>
      </c>
      <c r="L459" s="73" t="s">
        <v>112</v>
      </c>
      <c r="M459" s="72">
        <v>40056</v>
      </c>
      <c r="N459" s="84">
        <v>0.9</v>
      </c>
      <c r="O459" s="96">
        <f t="shared" si="31"/>
        <v>2</v>
      </c>
      <c r="Q459" s="96"/>
      <c r="R459" s="96">
        <f>R458</f>
        <v>0</v>
      </c>
      <c r="S459" s="96" t="str">
        <f>IF(ISNA(VLOOKUP($R459&amp;S$2,$K$3:$N$4001,3,0)),"",VLOOKUP($R459&amp;S$2,$K$3:$N$4001,3,0))</f>
        <v/>
      </c>
      <c r="T459" s="110" t="str">
        <f>IF(ISNA(VLOOKUP($R459&amp;S$2,$K$3:$N$4001,4,0)),"",VLOOKUP($R459&amp;S$2,$K$3:$N$4001,4,0))</f>
        <v/>
      </c>
    </row>
    <row r="460" spans="3:20" x14ac:dyDescent="0.2">
      <c r="C460" s="96" t="str">
        <f t="shared" si="28"/>
        <v>COH3</v>
      </c>
      <c r="D460" s="73" t="s">
        <v>112</v>
      </c>
      <c r="E460" s="100">
        <v>40233</v>
      </c>
      <c r="F460" s="101">
        <v>0.9</v>
      </c>
      <c r="G460" s="96">
        <f t="shared" si="29"/>
        <v>3</v>
      </c>
      <c r="I460" s="96"/>
      <c r="K460" t="str">
        <f t="shared" si="30"/>
        <v>COH3</v>
      </c>
      <c r="L460" s="73" t="s">
        <v>112</v>
      </c>
      <c r="M460" s="72">
        <v>40233</v>
      </c>
      <c r="N460" s="84">
        <v>0.9</v>
      </c>
      <c r="O460" s="96">
        <f t="shared" si="31"/>
        <v>3</v>
      </c>
      <c r="Q460" s="96"/>
      <c r="R460" s="96">
        <v>0</v>
      </c>
      <c r="S460" s="96" t="str">
        <f>IF(ISNA(VLOOKUP($R460&amp;S$2,$C$3:$F$4001,3,0)),"",VLOOKUP($R460&amp;S$2,$C$3:$F$4001,3,0))</f>
        <v/>
      </c>
      <c r="T460" s="110" t="str">
        <f>IF(ISNA(VLOOKUP($R460&amp;S$2,$C$3:$F$4001,4,0)),"",VLOOKUP($R460&amp;S$2,$C$3:$F$4001,4,0))</f>
        <v/>
      </c>
    </row>
    <row r="461" spans="3:20" x14ac:dyDescent="0.2">
      <c r="C461" s="96" t="str">
        <f t="shared" si="28"/>
        <v>COH4</v>
      </c>
      <c r="D461" s="73" t="s">
        <v>112</v>
      </c>
      <c r="E461" s="100">
        <v>40421</v>
      </c>
      <c r="F461" s="101">
        <v>1.1000000000000001</v>
      </c>
      <c r="G461" s="96">
        <f t="shared" si="29"/>
        <v>4</v>
      </c>
      <c r="I461" s="96"/>
      <c r="K461" t="str">
        <f t="shared" si="30"/>
        <v>COH4</v>
      </c>
      <c r="L461" s="73" t="s">
        <v>112</v>
      </c>
      <c r="M461" s="72">
        <v>40421</v>
      </c>
      <c r="N461" s="84">
        <v>1.1000000000000001</v>
      </c>
      <c r="O461" s="96">
        <f t="shared" si="31"/>
        <v>4</v>
      </c>
      <c r="Q461" s="96"/>
      <c r="R461" s="96">
        <f>R460</f>
        <v>0</v>
      </c>
      <c r="S461" s="96" t="str">
        <f>IF(ISNA(VLOOKUP($R461&amp;S$2,$K$3:$N$4001,3,0)),"",VLOOKUP($R461&amp;S$2,$K$3:$N$4001,3,0))</f>
        <v/>
      </c>
      <c r="T461" s="110" t="str">
        <f>IF(ISNA(VLOOKUP($R461&amp;S$2,$K$3:$N$4001,4,0)),"",VLOOKUP($R461&amp;S$2,$K$3:$N$4001,4,0))</f>
        <v/>
      </c>
    </row>
    <row r="462" spans="3:20" x14ac:dyDescent="0.2">
      <c r="C462" s="96" t="str">
        <f t="shared" si="28"/>
        <v>COH5</v>
      </c>
      <c r="D462" s="73" t="s">
        <v>112</v>
      </c>
      <c r="E462" s="100">
        <v>40598</v>
      </c>
      <c r="F462" s="101">
        <v>1.1000000000000001</v>
      </c>
      <c r="G462" s="96">
        <f t="shared" si="29"/>
        <v>5</v>
      </c>
      <c r="I462" s="96"/>
      <c r="K462" t="str">
        <f t="shared" si="30"/>
        <v>COH5</v>
      </c>
      <c r="L462" s="73" t="s">
        <v>112</v>
      </c>
      <c r="M462" s="72">
        <v>40598</v>
      </c>
      <c r="N462" s="84">
        <v>1.1000000000000001</v>
      </c>
      <c r="O462" s="96">
        <f t="shared" si="31"/>
        <v>5</v>
      </c>
      <c r="Q462" s="96"/>
      <c r="R462" s="96">
        <v>0</v>
      </c>
      <c r="S462" s="96" t="str">
        <f>IF(ISNA(VLOOKUP($R462&amp;S$2,$C$3:$F$4001,3,0)),"",VLOOKUP($R462&amp;S$2,$C$3:$F$4001,3,0))</f>
        <v/>
      </c>
      <c r="T462" s="110" t="str">
        <f>IF(ISNA(VLOOKUP($R462&amp;S$2,$C$3:$F$4001,4,0)),"",VLOOKUP($R462&amp;S$2,$C$3:$F$4001,4,0))</f>
        <v/>
      </c>
    </row>
    <row r="463" spans="3:20" x14ac:dyDescent="0.2">
      <c r="C463" s="96" t="str">
        <f t="shared" si="28"/>
        <v>COH6</v>
      </c>
      <c r="D463" s="73" t="s">
        <v>112</v>
      </c>
      <c r="E463" s="100">
        <v>40786</v>
      </c>
      <c r="F463" s="101">
        <v>1.2</v>
      </c>
      <c r="G463" s="96">
        <f t="shared" si="29"/>
        <v>6</v>
      </c>
      <c r="I463" s="96"/>
      <c r="K463" t="str">
        <f t="shared" si="30"/>
        <v>COH6</v>
      </c>
      <c r="L463" s="73" t="s">
        <v>112</v>
      </c>
      <c r="M463" s="72">
        <v>40786</v>
      </c>
      <c r="N463" s="84">
        <v>1.2</v>
      </c>
      <c r="O463" s="96">
        <f t="shared" si="31"/>
        <v>6</v>
      </c>
      <c r="Q463" s="96"/>
      <c r="R463" s="96">
        <f>R462</f>
        <v>0</v>
      </c>
      <c r="S463" s="96" t="str">
        <f>IF(ISNA(VLOOKUP($R463&amp;S$2,$K$3:$N$4001,3,0)),"",VLOOKUP($R463&amp;S$2,$K$3:$N$4001,3,0))</f>
        <v/>
      </c>
      <c r="T463" s="110" t="str">
        <f>IF(ISNA(VLOOKUP($R463&amp;S$2,$K$3:$N$4001,4,0)),"",VLOOKUP($R463&amp;S$2,$K$3:$N$4001,4,0))</f>
        <v/>
      </c>
    </row>
    <row r="464" spans="3:20" x14ac:dyDescent="0.2">
      <c r="C464" s="96" t="str">
        <f t="shared" si="28"/>
        <v>COH7</v>
      </c>
      <c r="D464" s="73" t="s">
        <v>112</v>
      </c>
      <c r="E464" s="100">
        <v>40966</v>
      </c>
      <c r="F464" s="101">
        <v>1.2</v>
      </c>
      <c r="G464" s="96">
        <f t="shared" si="29"/>
        <v>7</v>
      </c>
      <c r="I464" s="96"/>
      <c r="K464" t="str">
        <f t="shared" si="30"/>
        <v>COH7</v>
      </c>
      <c r="L464" s="73" t="s">
        <v>112</v>
      </c>
      <c r="M464" s="72">
        <v>40966</v>
      </c>
      <c r="N464" s="84">
        <v>1.2</v>
      </c>
      <c r="O464" s="96">
        <f t="shared" si="31"/>
        <v>7</v>
      </c>
      <c r="Q464" s="96"/>
      <c r="R464" s="96">
        <v>0</v>
      </c>
      <c r="S464" s="96" t="str">
        <f>IF(ISNA(VLOOKUP($R464&amp;S$2,$C$3:$F$4001,3,0)),"",VLOOKUP($R464&amp;S$2,$C$3:$F$4001,3,0))</f>
        <v/>
      </c>
      <c r="T464" s="110" t="str">
        <f>IF(ISNA(VLOOKUP($R464&amp;S$2,$C$3:$F$4001,4,0)),"",VLOOKUP($R464&amp;S$2,$C$3:$F$4001,4,0))</f>
        <v/>
      </c>
    </row>
    <row r="465" spans="3:20" x14ac:dyDescent="0.2">
      <c r="C465" s="96" t="str">
        <f t="shared" si="28"/>
        <v>COH8</v>
      </c>
      <c r="D465" s="73" t="s">
        <v>112</v>
      </c>
      <c r="E465" s="100">
        <v>41152</v>
      </c>
      <c r="F465" s="101">
        <v>1.5</v>
      </c>
      <c r="G465" s="96">
        <f t="shared" si="29"/>
        <v>8</v>
      </c>
      <c r="I465" s="96"/>
      <c r="K465" t="str">
        <f t="shared" si="30"/>
        <v>COH8</v>
      </c>
      <c r="L465" s="73" t="s">
        <v>112</v>
      </c>
      <c r="M465" s="72">
        <v>41152</v>
      </c>
      <c r="N465" s="84">
        <v>1.5</v>
      </c>
      <c r="O465" s="96">
        <f t="shared" si="31"/>
        <v>8</v>
      </c>
      <c r="Q465" s="96"/>
      <c r="R465" s="96">
        <f>R464</f>
        <v>0</v>
      </c>
      <c r="S465" s="96" t="str">
        <f>IF(ISNA(VLOOKUP($R465&amp;S$2,$K$3:$N$4001,3,0)),"",VLOOKUP($R465&amp;S$2,$K$3:$N$4001,3,0))</f>
        <v/>
      </c>
      <c r="T465" s="110" t="str">
        <f>IF(ISNA(VLOOKUP($R465&amp;S$2,$K$3:$N$4001,4,0)),"",VLOOKUP($R465&amp;S$2,$K$3:$N$4001,4,0))</f>
        <v/>
      </c>
    </row>
    <row r="466" spans="3:20" x14ac:dyDescent="0.2">
      <c r="C466" s="96" t="str">
        <f t="shared" si="28"/>
        <v>COH9</v>
      </c>
      <c r="D466" s="73" t="s">
        <v>112</v>
      </c>
      <c r="E466" s="100">
        <v>41331</v>
      </c>
      <c r="F466" s="101">
        <v>1.5</v>
      </c>
      <c r="G466" s="96">
        <f t="shared" si="29"/>
        <v>9</v>
      </c>
      <c r="I466" s="96"/>
      <c r="K466" t="str">
        <f t="shared" si="30"/>
        <v>COH9</v>
      </c>
      <c r="L466" s="73" t="s">
        <v>112</v>
      </c>
      <c r="M466" s="72">
        <v>41331</v>
      </c>
      <c r="N466" s="84">
        <v>1.5</v>
      </c>
      <c r="O466" s="96">
        <f t="shared" si="31"/>
        <v>9</v>
      </c>
      <c r="Q466" s="96"/>
      <c r="R466" s="96">
        <v>0</v>
      </c>
      <c r="S466" s="96" t="str">
        <f>IF(ISNA(VLOOKUP($R466&amp;S$2,$C$3:$F$4001,3,0)),"",VLOOKUP($R466&amp;S$2,$C$3:$F$4001,3,0))</f>
        <v/>
      </c>
      <c r="T466" s="110" t="str">
        <f>IF(ISNA(VLOOKUP($R466&amp;S$2,$C$3:$F$4001,4,0)),"",VLOOKUP($R466&amp;S$2,$C$3:$F$4001,4,0))</f>
        <v/>
      </c>
    </row>
    <row r="467" spans="3:20" x14ac:dyDescent="0.2">
      <c r="C467" s="96" t="str">
        <f t="shared" si="28"/>
        <v>COH10</v>
      </c>
      <c r="D467" s="73" t="s">
        <v>112</v>
      </c>
      <c r="E467" s="100">
        <v>41519</v>
      </c>
      <c r="F467" s="101">
        <v>1.7</v>
      </c>
      <c r="G467" s="96">
        <f t="shared" si="29"/>
        <v>10</v>
      </c>
      <c r="I467" s="96"/>
      <c r="K467" t="str">
        <f t="shared" si="30"/>
        <v>COH10</v>
      </c>
      <c r="L467" s="73" t="s">
        <v>112</v>
      </c>
      <c r="M467" s="72">
        <v>41519</v>
      </c>
      <c r="N467" s="84">
        <v>1.7</v>
      </c>
      <c r="O467" s="96">
        <f t="shared" si="31"/>
        <v>10</v>
      </c>
      <c r="Q467" s="96"/>
      <c r="R467" s="96">
        <f>R466</f>
        <v>0</v>
      </c>
      <c r="S467" s="96" t="str">
        <f>IF(ISNA(VLOOKUP($R467&amp;S$2,$K$3:$N$4001,3,0)),"",VLOOKUP($R467&amp;S$2,$K$3:$N$4001,3,0))</f>
        <v/>
      </c>
      <c r="T467" s="110" t="str">
        <f>IF(ISNA(VLOOKUP($R467&amp;S$2,$K$3:$N$4001,4,0)),"",VLOOKUP($R467&amp;S$2,$K$3:$N$4001,4,0))</f>
        <v/>
      </c>
    </row>
    <row r="468" spans="3:20" x14ac:dyDescent="0.2">
      <c r="C468" s="96" t="str">
        <f t="shared" si="28"/>
        <v>CPA1</v>
      </c>
      <c r="D468" s="73" t="s">
        <v>113</v>
      </c>
      <c r="E468" s="100">
        <v>39988</v>
      </c>
      <c r="F468" s="101">
        <v>4.2000000000000003E-2</v>
      </c>
      <c r="G468" s="96">
        <f t="shared" si="29"/>
        <v>1</v>
      </c>
      <c r="I468" s="96"/>
      <c r="K468" t="str">
        <f t="shared" si="30"/>
        <v>CPA1</v>
      </c>
      <c r="L468" s="73" t="s">
        <v>113</v>
      </c>
      <c r="M468" s="72">
        <v>39988</v>
      </c>
      <c r="N468" s="84">
        <v>4.2000000000000003E-2</v>
      </c>
      <c r="O468" s="96">
        <f t="shared" si="31"/>
        <v>1</v>
      </c>
      <c r="Q468" s="96"/>
      <c r="R468" s="96">
        <v>0</v>
      </c>
      <c r="S468" s="96" t="str">
        <f>IF(ISNA(VLOOKUP($R468&amp;S$2,$C$3:$F$4001,3,0)),"",VLOOKUP($R468&amp;S$2,$C$3:$F$4001,3,0))</f>
        <v/>
      </c>
      <c r="T468" s="110" t="str">
        <f>IF(ISNA(VLOOKUP($R468&amp;S$2,$C$3:$F$4001,4,0)),"",VLOOKUP($R468&amp;S$2,$C$3:$F$4001,4,0))</f>
        <v/>
      </c>
    </row>
    <row r="469" spans="3:20" x14ac:dyDescent="0.2">
      <c r="C469" s="96" t="str">
        <f t="shared" si="28"/>
        <v>CPA2</v>
      </c>
      <c r="D469" s="73" t="s">
        <v>113</v>
      </c>
      <c r="E469" s="100">
        <v>40170</v>
      </c>
      <c r="F469" s="101">
        <v>4.4999999999999998E-2</v>
      </c>
      <c r="G469" s="96">
        <f t="shared" si="29"/>
        <v>2</v>
      </c>
      <c r="I469" s="96"/>
      <c r="K469" t="str">
        <f t="shared" si="30"/>
        <v>CPA2</v>
      </c>
      <c r="L469" s="73" t="s">
        <v>113</v>
      </c>
      <c r="M469" s="72">
        <v>40170</v>
      </c>
      <c r="N469" s="84">
        <v>4.4999999999999998E-2</v>
      </c>
      <c r="O469" s="96">
        <f t="shared" si="31"/>
        <v>2</v>
      </c>
      <c r="Q469" s="96"/>
      <c r="R469" s="96">
        <f>R468</f>
        <v>0</v>
      </c>
      <c r="S469" s="96" t="str">
        <f>IF(ISNA(VLOOKUP($R469&amp;S$2,$K$3:$N$4001,3,0)),"",VLOOKUP($R469&amp;S$2,$K$3:$N$4001,3,0))</f>
        <v/>
      </c>
      <c r="T469" s="110" t="str">
        <f>IF(ISNA(VLOOKUP($R469&amp;S$2,$K$3:$N$4001,4,0)),"",VLOOKUP($R469&amp;S$2,$K$3:$N$4001,4,0))</f>
        <v/>
      </c>
    </row>
    <row r="470" spans="3:20" x14ac:dyDescent="0.2">
      <c r="C470" s="96" t="str">
        <f t="shared" si="28"/>
        <v>CPA3</v>
      </c>
      <c r="D470" s="73" t="s">
        <v>113</v>
      </c>
      <c r="E470" s="100">
        <v>40353</v>
      </c>
      <c r="F470" s="101">
        <v>4.4999999999999998E-2</v>
      </c>
      <c r="G470" s="96">
        <f t="shared" si="29"/>
        <v>3</v>
      </c>
      <c r="I470" s="96"/>
      <c r="K470" t="str">
        <f t="shared" si="30"/>
        <v>CPA3</v>
      </c>
      <c r="L470" s="73" t="s">
        <v>113</v>
      </c>
      <c r="M470" s="72">
        <v>40353</v>
      </c>
      <c r="N470" s="84">
        <v>4.4999999999999998E-2</v>
      </c>
      <c r="O470" s="96">
        <f t="shared" si="31"/>
        <v>3</v>
      </c>
      <c r="Q470" s="96"/>
      <c r="R470" s="96">
        <v>0</v>
      </c>
      <c r="S470" s="96" t="str">
        <f>IF(ISNA(VLOOKUP($R470&amp;S$2,$C$3:$F$4001,3,0)),"",VLOOKUP($R470&amp;S$2,$C$3:$F$4001,3,0))</f>
        <v/>
      </c>
      <c r="T470" s="110" t="str">
        <f>IF(ISNA(VLOOKUP($R470&amp;S$2,$C$3:$F$4001,4,0)),"",VLOOKUP($R470&amp;S$2,$C$3:$F$4001,4,0))</f>
        <v/>
      </c>
    </row>
    <row r="471" spans="3:20" x14ac:dyDescent="0.2">
      <c r="C471" s="96" t="str">
        <f t="shared" si="28"/>
        <v>CPA4</v>
      </c>
      <c r="D471" s="73" t="s">
        <v>113</v>
      </c>
      <c r="E471" s="100">
        <v>40535</v>
      </c>
      <c r="F471" s="101">
        <v>4.2500000000000003E-2</v>
      </c>
      <c r="G471" s="96">
        <f t="shared" si="29"/>
        <v>4</v>
      </c>
      <c r="I471" s="96"/>
      <c r="K471" t="str">
        <f t="shared" si="30"/>
        <v>CPA4</v>
      </c>
      <c r="L471" s="73" t="s">
        <v>113</v>
      </c>
      <c r="M471" s="72">
        <v>40535</v>
      </c>
      <c r="N471" s="84">
        <v>4.2500000000000003E-2</v>
      </c>
      <c r="O471" s="96">
        <f t="shared" si="31"/>
        <v>4</v>
      </c>
      <c r="Q471" s="96"/>
      <c r="R471" s="96">
        <f>R470</f>
        <v>0</v>
      </c>
      <c r="S471" s="96" t="str">
        <f>IF(ISNA(VLOOKUP($R471&amp;S$2,$K$3:$N$4001,3,0)),"",VLOOKUP($R471&amp;S$2,$K$3:$N$4001,3,0))</f>
        <v/>
      </c>
      <c r="T471" s="110" t="str">
        <f>IF(ISNA(VLOOKUP($R471&amp;S$2,$K$3:$N$4001,4,0)),"",VLOOKUP($R471&amp;S$2,$K$3:$N$4001,4,0))</f>
        <v/>
      </c>
    </row>
    <row r="472" spans="3:20" x14ac:dyDescent="0.2">
      <c r="C472" s="96" t="str">
        <f t="shared" si="28"/>
        <v>CPA5</v>
      </c>
      <c r="D472" s="73" t="s">
        <v>113</v>
      </c>
      <c r="E472" s="100">
        <v>40718</v>
      </c>
      <c r="F472" s="101">
        <v>4.2500000000000003E-2</v>
      </c>
      <c r="G472" s="96">
        <f t="shared" si="29"/>
        <v>5</v>
      </c>
      <c r="I472" s="96"/>
      <c r="K472" t="str">
        <f t="shared" si="30"/>
        <v>CPA5</v>
      </c>
      <c r="L472" s="73" t="s">
        <v>113</v>
      </c>
      <c r="M472" s="72">
        <v>40718</v>
      </c>
      <c r="N472" s="84">
        <v>4.2500000000000003E-2</v>
      </c>
      <c r="O472" s="96">
        <f t="shared" si="31"/>
        <v>5</v>
      </c>
      <c r="Q472" s="96"/>
      <c r="R472" s="96">
        <v>0</v>
      </c>
      <c r="S472" s="96" t="str">
        <f>IF(ISNA(VLOOKUP($R472&amp;S$2,$C$3:$F$4001,3,0)),"",VLOOKUP($R472&amp;S$2,$C$3:$F$4001,3,0))</f>
        <v/>
      </c>
      <c r="T472" s="110" t="str">
        <f>IF(ISNA(VLOOKUP($R472&amp;S$2,$C$3:$F$4001,4,0)),"",VLOOKUP($R472&amp;S$2,$C$3:$F$4001,4,0))</f>
        <v/>
      </c>
    </row>
    <row r="473" spans="3:20" x14ac:dyDescent="0.2">
      <c r="C473" s="96" t="str">
        <f t="shared" si="28"/>
        <v>CPA6</v>
      </c>
      <c r="D473" s="73" t="s">
        <v>113</v>
      </c>
      <c r="E473" s="100">
        <v>40899</v>
      </c>
      <c r="F473" s="101">
        <v>4.4000000000000004E-2</v>
      </c>
      <c r="G473" s="96">
        <f t="shared" si="29"/>
        <v>6</v>
      </c>
      <c r="I473" s="96"/>
      <c r="K473" t="str">
        <f t="shared" si="30"/>
        <v>CPA6</v>
      </c>
      <c r="L473" s="73" t="s">
        <v>113</v>
      </c>
      <c r="M473" s="72">
        <v>40899</v>
      </c>
      <c r="N473" s="84">
        <v>4.4000000000000004E-2</v>
      </c>
      <c r="O473" s="96">
        <f t="shared" si="31"/>
        <v>6</v>
      </c>
      <c r="Q473" s="96"/>
      <c r="R473" s="96">
        <f>R472</f>
        <v>0</v>
      </c>
      <c r="S473" s="96" t="str">
        <f>IF(ISNA(VLOOKUP($R473&amp;S$2,$K$3:$N$4001,3,0)),"",VLOOKUP($R473&amp;S$2,$K$3:$N$4001,3,0))</f>
        <v/>
      </c>
      <c r="T473" s="110" t="str">
        <f>IF(ISNA(VLOOKUP($R473&amp;S$2,$K$3:$N$4001,4,0)),"",VLOOKUP($R473&amp;S$2,$K$3:$N$4001,4,0))</f>
        <v/>
      </c>
    </row>
    <row r="474" spans="3:20" x14ac:dyDescent="0.2">
      <c r="C474" s="96" t="str">
        <f t="shared" si="28"/>
        <v>CPA7</v>
      </c>
      <c r="D474" s="73" t="s">
        <v>113</v>
      </c>
      <c r="E474" s="100">
        <v>41085</v>
      </c>
      <c r="F474" s="101">
        <v>4.4000000000000004E-2</v>
      </c>
      <c r="G474" s="96">
        <f t="shared" si="29"/>
        <v>7</v>
      </c>
      <c r="I474" s="96"/>
      <c r="K474" t="str">
        <f t="shared" si="30"/>
        <v>CPA7</v>
      </c>
      <c r="L474" s="73" t="s">
        <v>113</v>
      </c>
      <c r="M474" s="72">
        <v>41085</v>
      </c>
      <c r="N474" s="84">
        <v>4.4000000000000004E-2</v>
      </c>
      <c r="O474" s="96">
        <f t="shared" si="31"/>
        <v>7</v>
      </c>
      <c r="Q474" s="96"/>
      <c r="R474" s="96">
        <v>0</v>
      </c>
      <c r="S474" s="96" t="str">
        <f>IF(ISNA(VLOOKUP($R474&amp;S$2,$C$3:$F$4001,3,0)),"",VLOOKUP($R474&amp;S$2,$C$3:$F$4001,3,0))</f>
        <v/>
      </c>
      <c r="T474" s="110" t="str">
        <f>IF(ISNA(VLOOKUP($R474&amp;S$2,$C$3:$F$4001,4,0)),"",VLOOKUP($R474&amp;S$2,$C$3:$F$4001,4,0))</f>
        <v/>
      </c>
    </row>
    <row r="475" spans="3:20" x14ac:dyDescent="0.2">
      <c r="C475" s="96" t="str">
        <f t="shared" si="28"/>
        <v>CPA8</v>
      </c>
      <c r="D475" s="73" t="s">
        <v>113</v>
      </c>
      <c r="E475" s="100">
        <v>41268</v>
      </c>
      <c r="F475" s="101">
        <v>4.4999999999999998E-2</v>
      </c>
      <c r="G475" s="96">
        <f t="shared" si="29"/>
        <v>8</v>
      </c>
      <c r="I475" s="96"/>
      <c r="K475" t="str">
        <f t="shared" si="30"/>
        <v>CPA8</v>
      </c>
      <c r="L475" s="73" t="s">
        <v>113</v>
      </c>
      <c r="M475" s="72">
        <v>41268</v>
      </c>
      <c r="N475" s="84">
        <v>4.4999999999999998E-2</v>
      </c>
      <c r="O475" s="96">
        <f t="shared" si="31"/>
        <v>8</v>
      </c>
      <c r="Q475" s="96"/>
      <c r="R475" s="96">
        <f>R474</f>
        <v>0</v>
      </c>
      <c r="S475" s="96" t="str">
        <f>IF(ISNA(VLOOKUP($R475&amp;S$2,$K$3:$N$4001,3,0)),"",VLOOKUP($R475&amp;S$2,$K$3:$N$4001,3,0))</f>
        <v/>
      </c>
      <c r="T475" s="110" t="str">
        <f>IF(ISNA(VLOOKUP($R475&amp;S$2,$K$3:$N$4001,4,0)),"",VLOOKUP($R475&amp;S$2,$K$3:$N$4001,4,0))</f>
        <v/>
      </c>
    </row>
    <row r="476" spans="3:20" x14ac:dyDescent="0.2">
      <c r="C476" s="96" t="str">
        <f t="shared" si="28"/>
        <v>CPA9</v>
      </c>
      <c r="D476" s="73" t="s">
        <v>113</v>
      </c>
      <c r="E476" s="100">
        <v>41450</v>
      </c>
      <c r="F476" s="101">
        <v>4.4999999999999998E-2</v>
      </c>
      <c r="G476" s="96">
        <f t="shared" si="29"/>
        <v>9</v>
      </c>
      <c r="I476" s="96"/>
      <c r="K476" t="str">
        <f t="shared" si="30"/>
        <v>CPA9</v>
      </c>
      <c r="L476" s="73" t="s">
        <v>113</v>
      </c>
      <c r="M476" s="72">
        <v>41450</v>
      </c>
      <c r="N476" s="84">
        <v>4.4999999999999998E-2</v>
      </c>
      <c r="O476" s="96">
        <f t="shared" si="31"/>
        <v>9</v>
      </c>
      <c r="Q476" s="96"/>
      <c r="R476" s="96">
        <v>0</v>
      </c>
      <c r="S476" s="96" t="str">
        <f>IF(ISNA(VLOOKUP($R476&amp;S$2,$C$3:$F$4001,3,0)),"",VLOOKUP($R476&amp;S$2,$C$3:$F$4001,3,0))</f>
        <v/>
      </c>
      <c r="T476" s="110" t="str">
        <f>IF(ISNA(VLOOKUP($R476&amp;S$2,$C$3:$F$4001,4,0)),"",VLOOKUP($R476&amp;S$2,$C$3:$F$4001,4,0))</f>
        <v/>
      </c>
    </row>
    <row r="477" spans="3:20" x14ac:dyDescent="0.2">
      <c r="C477" s="96" t="str">
        <f t="shared" si="28"/>
        <v>CPU1</v>
      </c>
      <c r="D477" s="73" t="s">
        <v>114</v>
      </c>
      <c r="E477" s="100">
        <v>39869</v>
      </c>
      <c r="F477" s="101">
        <v>0.12</v>
      </c>
      <c r="G477" s="96">
        <f t="shared" si="29"/>
        <v>1</v>
      </c>
      <c r="I477" s="96"/>
      <c r="K477" t="str">
        <f t="shared" si="30"/>
        <v>CPU1</v>
      </c>
      <c r="L477" s="73" t="s">
        <v>114</v>
      </c>
      <c r="M477" s="72">
        <v>39869</v>
      </c>
      <c r="N477" s="84">
        <v>0.12</v>
      </c>
      <c r="O477" s="96">
        <f t="shared" si="31"/>
        <v>1</v>
      </c>
      <c r="Q477" s="96"/>
      <c r="R477" s="96">
        <f>R476</f>
        <v>0</v>
      </c>
      <c r="S477" s="96" t="str">
        <f>IF(ISNA(VLOOKUP($R477&amp;S$2,$K$3:$N$4001,3,0)),"",VLOOKUP($R477&amp;S$2,$K$3:$N$4001,3,0))</f>
        <v/>
      </c>
      <c r="T477" s="110" t="str">
        <f>IF(ISNA(VLOOKUP($R477&amp;S$2,$K$3:$N$4001,4,0)),"",VLOOKUP($R477&amp;S$2,$K$3:$N$4001,4,0))</f>
        <v/>
      </c>
    </row>
    <row r="478" spans="3:20" x14ac:dyDescent="0.2">
      <c r="C478" s="96" t="str">
        <f t="shared" si="28"/>
        <v>CPU2</v>
      </c>
      <c r="D478" s="73" t="s">
        <v>114</v>
      </c>
      <c r="E478" s="100">
        <v>40057</v>
      </c>
      <c r="F478" s="101">
        <v>0.13</v>
      </c>
      <c r="G478" s="96">
        <f t="shared" si="29"/>
        <v>2</v>
      </c>
      <c r="I478" s="96"/>
      <c r="K478" t="str">
        <f t="shared" si="30"/>
        <v>CPU2</v>
      </c>
      <c r="L478" s="73" t="s">
        <v>114</v>
      </c>
      <c r="M478" s="72">
        <v>40057</v>
      </c>
      <c r="N478" s="84">
        <v>0.13</v>
      </c>
      <c r="O478" s="96">
        <f t="shared" si="31"/>
        <v>2</v>
      </c>
      <c r="Q478" s="96"/>
      <c r="R478" s="96">
        <v>0</v>
      </c>
      <c r="S478" s="96" t="str">
        <f>IF(ISNA(VLOOKUP($R478&amp;S$2,$C$3:$F$4001,3,0)),"",VLOOKUP($R478&amp;S$2,$C$3:$F$4001,3,0))</f>
        <v/>
      </c>
      <c r="T478" s="110" t="str">
        <f>IF(ISNA(VLOOKUP($R478&amp;S$2,$C$3:$F$4001,4,0)),"",VLOOKUP($R478&amp;S$2,$C$3:$F$4001,4,0))</f>
        <v/>
      </c>
    </row>
    <row r="479" spans="3:20" x14ac:dyDescent="0.2">
      <c r="C479" s="96" t="str">
        <f t="shared" si="28"/>
        <v>CPU3</v>
      </c>
      <c r="D479" s="73" t="s">
        <v>114</v>
      </c>
      <c r="E479" s="100">
        <v>40234</v>
      </c>
      <c r="F479" s="101">
        <v>0.13</v>
      </c>
      <c r="G479" s="96">
        <f t="shared" si="29"/>
        <v>3</v>
      </c>
      <c r="I479" s="96"/>
      <c r="K479" t="str">
        <f t="shared" si="30"/>
        <v>CPU3</v>
      </c>
      <c r="L479" s="73" t="s">
        <v>114</v>
      </c>
      <c r="M479" s="72">
        <v>40234</v>
      </c>
      <c r="N479" s="84">
        <v>0.13</v>
      </c>
      <c r="O479" s="96">
        <f t="shared" si="31"/>
        <v>3</v>
      </c>
      <c r="Q479" s="96"/>
      <c r="R479" s="96">
        <f>R478</f>
        <v>0</v>
      </c>
      <c r="S479" s="96" t="str">
        <f>IF(ISNA(VLOOKUP($R479&amp;S$2,$K$3:$N$4001,3,0)),"",VLOOKUP($R479&amp;S$2,$K$3:$N$4001,3,0))</f>
        <v/>
      </c>
      <c r="T479" s="110" t="str">
        <f>IF(ISNA(VLOOKUP($R479&amp;S$2,$K$3:$N$4001,4,0)),"",VLOOKUP($R479&amp;S$2,$K$3:$N$4001,4,0))</f>
        <v/>
      </c>
    </row>
    <row r="480" spans="3:20" x14ac:dyDescent="0.2">
      <c r="C480" s="96" t="str">
        <f t="shared" si="28"/>
        <v>CPU4</v>
      </c>
      <c r="D480" s="73" t="s">
        <v>114</v>
      </c>
      <c r="E480" s="100">
        <v>40422</v>
      </c>
      <c r="F480" s="101">
        <v>0.14000000000000001</v>
      </c>
      <c r="G480" s="96">
        <f t="shared" si="29"/>
        <v>4</v>
      </c>
      <c r="I480" s="96"/>
      <c r="K480" t="str">
        <f t="shared" si="30"/>
        <v>CPU4</v>
      </c>
      <c r="L480" s="73" t="s">
        <v>114</v>
      </c>
      <c r="M480" s="72">
        <v>40422</v>
      </c>
      <c r="N480" s="84">
        <v>0.14000000000000001</v>
      </c>
      <c r="O480" s="96">
        <f t="shared" si="31"/>
        <v>4</v>
      </c>
      <c r="Q480" s="96"/>
      <c r="R480" s="96">
        <v>0</v>
      </c>
      <c r="S480" s="96" t="str">
        <f>IF(ISNA(VLOOKUP($R480&amp;S$2,$C$3:$F$4001,3,0)),"",VLOOKUP($R480&amp;S$2,$C$3:$F$4001,3,0))</f>
        <v/>
      </c>
      <c r="T480" s="110" t="str">
        <f>IF(ISNA(VLOOKUP($R480&amp;S$2,$C$3:$F$4001,4,0)),"",VLOOKUP($R480&amp;S$2,$C$3:$F$4001,4,0))</f>
        <v/>
      </c>
    </row>
    <row r="481" spans="3:20" x14ac:dyDescent="0.2">
      <c r="C481" s="96" t="str">
        <f t="shared" si="28"/>
        <v>CPU5</v>
      </c>
      <c r="D481" s="73" t="s">
        <v>114</v>
      </c>
      <c r="E481" s="100">
        <v>40599</v>
      </c>
      <c r="F481" s="101">
        <v>0.1603</v>
      </c>
      <c r="G481" s="96">
        <f t="shared" si="29"/>
        <v>5</v>
      </c>
      <c r="I481" s="96"/>
      <c r="K481" t="str">
        <f t="shared" si="30"/>
        <v>CPU5</v>
      </c>
      <c r="L481" s="73" t="s">
        <v>114</v>
      </c>
      <c r="M481" s="72">
        <v>40599</v>
      </c>
      <c r="N481" s="84">
        <v>0.1603</v>
      </c>
      <c r="O481" s="96">
        <f t="shared" si="31"/>
        <v>5</v>
      </c>
      <c r="Q481" s="96"/>
      <c r="R481" s="96">
        <f>R480</f>
        <v>0</v>
      </c>
      <c r="S481" s="96" t="str">
        <f>IF(ISNA(VLOOKUP($R481&amp;S$2,$K$3:$N$4001,3,0)),"",VLOOKUP($R481&amp;S$2,$K$3:$N$4001,3,0))</f>
        <v/>
      </c>
      <c r="T481" s="110" t="str">
        <f>IF(ISNA(VLOOKUP($R481&amp;S$2,$K$3:$N$4001,4,0)),"",VLOOKUP($R481&amp;S$2,$K$3:$N$4001,4,0))</f>
        <v/>
      </c>
    </row>
    <row r="482" spans="3:20" x14ac:dyDescent="0.2">
      <c r="C482" s="96" t="str">
        <f t="shared" si="28"/>
        <v>CPU6</v>
      </c>
      <c r="D482" s="73" t="s">
        <v>114</v>
      </c>
      <c r="E482" s="100">
        <v>40787</v>
      </c>
      <c r="F482" s="101">
        <v>0.17269999999999999</v>
      </c>
      <c r="G482" s="96">
        <f t="shared" si="29"/>
        <v>6</v>
      </c>
      <c r="I482" s="96"/>
      <c r="K482" t="str">
        <f t="shared" si="30"/>
        <v>CPU6</v>
      </c>
      <c r="L482" s="73" t="s">
        <v>114</v>
      </c>
      <c r="M482" s="72">
        <v>40787</v>
      </c>
      <c r="N482" s="84">
        <v>0.17269999999999999</v>
      </c>
      <c r="O482" s="96">
        <f t="shared" si="31"/>
        <v>6</v>
      </c>
      <c r="Q482" s="96"/>
      <c r="R482" s="96">
        <v>0</v>
      </c>
      <c r="S482" s="96" t="str">
        <f>IF(ISNA(VLOOKUP($R482&amp;S$2,$C$3:$F$4001,3,0)),"",VLOOKUP($R482&amp;S$2,$C$3:$F$4001,3,0))</f>
        <v/>
      </c>
      <c r="T482" s="110" t="str">
        <f>IF(ISNA(VLOOKUP($R482&amp;S$2,$C$3:$F$4001,4,0)),"",VLOOKUP($R482&amp;S$2,$C$3:$F$4001,4,0))</f>
        <v/>
      </c>
    </row>
    <row r="483" spans="3:20" x14ac:dyDescent="0.2">
      <c r="C483" s="96" t="str">
        <f t="shared" si="28"/>
        <v>CPU7</v>
      </c>
      <c r="D483" s="73" t="s">
        <v>114</v>
      </c>
      <c r="E483" s="100">
        <v>40967</v>
      </c>
      <c r="F483" s="101">
        <v>0.18049999999999999</v>
      </c>
      <c r="G483" s="96">
        <f t="shared" si="29"/>
        <v>7</v>
      </c>
      <c r="I483" s="96"/>
      <c r="K483" t="str">
        <f t="shared" si="30"/>
        <v>CPU7</v>
      </c>
      <c r="L483" s="73" t="s">
        <v>114</v>
      </c>
      <c r="M483" s="72">
        <v>40967</v>
      </c>
      <c r="N483" s="84">
        <v>0.18049999999999999</v>
      </c>
      <c r="O483" s="96">
        <f t="shared" si="31"/>
        <v>7</v>
      </c>
      <c r="Q483" s="96"/>
      <c r="R483" s="96">
        <f>R482</f>
        <v>0</v>
      </c>
      <c r="S483" s="96" t="str">
        <f>IF(ISNA(VLOOKUP($R483&amp;S$2,$K$3:$N$4001,3,0)),"",VLOOKUP($R483&amp;S$2,$K$3:$N$4001,3,0))</f>
        <v/>
      </c>
      <c r="T483" s="110" t="str">
        <f>IF(ISNA(VLOOKUP($R483&amp;S$2,$K$3:$N$4001,4,0)),"",VLOOKUP($R483&amp;S$2,$K$3:$N$4001,4,0))</f>
        <v/>
      </c>
    </row>
    <row r="484" spans="3:20" x14ac:dyDescent="0.2">
      <c r="C484" s="96" t="str">
        <f t="shared" si="28"/>
        <v>CPU8</v>
      </c>
      <c r="D484" s="73" t="s">
        <v>114</v>
      </c>
      <c r="E484" s="100">
        <v>41155</v>
      </c>
      <c r="F484" s="101">
        <v>0.19450000000000001</v>
      </c>
      <c r="G484" s="96">
        <f t="shared" si="29"/>
        <v>8</v>
      </c>
      <c r="I484" s="96"/>
      <c r="K484" t="str">
        <f t="shared" si="30"/>
        <v>CPU8</v>
      </c>
      <c r="L484" s="73" t="s">
        <v>114</v>
      </c>
      <c r="M484" s="72">
        <v>41155</v>
      </c>
      <c r="N484" s="84">
        <v>0.19450000000000001</v>
      </c>
      <c r="O484" s="96">
        <f t="shared" si="31"/>
        <v>8</v>
      </c>
      <c r="Q484" s="96"/>
      <c r="R484" s="96">
        <v>0</v>
      </c>
      <c r="S484" s="96" t="str">
        <f>IF(ISNA(VLOOKUP($R484&amp;S$2,$C$3:$F$4001,3,0)),"",VLOOKUP($R484&amp;S$2,$C$3:$F$4001,3,0))</f>
        <v/>
      </c>
      <c r="T484" s="110" t="str">
        <f>IF(ISNA(VLOOKUP($R484&amp;S$2,$C$3:$F$4001,4,0)),"",VLOOKUP($R484&amp;S$2,$C$3:$F$4001,4,0))</f>
        <v/>
      </c>
    </row>
    <row r="485" spans="3:20" x14ac:dyDescent="0.2">
      <c r="C485" s="96" t="str">
        <f t="shared" si="28"/>
        <v>CPU9</v>
      </c>
      <c r="D485" s="73" t="s">
        <v>114</v>
      </c>
      <c r="E485" s="100">
        <v>41332</v>
      </c>
      <c r="F485" s="101">
        <v>0.2109</v>
      </c>
      <c r="G485" s="96">
        <f t="shared" si="29"/>
        <v>9</v>
      </c>
      <c r="I485" s="96"/>
      <c r="K485" t="str">
        <f t="shared" si="30"/>
        <v>CPU9</v>
      </c>
      <c r="L485" s="73" t="s">
        <v>114</v>
      </c>
      <c r="M485" s="72">
        <v>41332</v>
      </c>
      <c r="N485" s="84">
        <v>0.2109</v>
      </c>
      <c r="O485" s="96">
        <f t="shared" si="31"/>
        <v>9</v>
      </c>
      <c r="Q485" s="96"/>
      <c r="R485" s="96">
        <f>R484</f>
        <v>0</v>
      </c>
      <c r="S485" s="96" t="str">
        <f>IF(ISNA(VLOOKUP($R485&amp;S$2,$K$3:$N$4001,3,0)),"",VLOOKUP($R485&amp;S$2,$K$3:$N$4001,3,0))</f>
        <v/>
      </c>
      <c r="T485" s="110" t="str">
        <f>IF(ISNA(VLOOKUP($R485&amp;S$2,$K$3:$N$4001,4,0)),"",VLOOKUP($R485&amp;S$2,$K$3:$N$4001,4,0))</f>
        <v/>
      </c>
    </row>
    <row r="486" spans="3:20" x14ac:dyDescent="0.2">
      <c r="C486" s="96" t="str">
        <f t="shared" si="28"/>
        <v>CPU10</v>
      </c>
      <c r="D486" s="73" t="s">
        <v>114</v>
      </c>
      <c r="E486" s="100">
        <v>41520</v>
      </c>
      <c r="F486" s="101">
        <v>0.2271</v>
      </c>
      <c r="G486" s="96">
        <f t="shared" si="29"/>
        <v>10</v>
      </c>
      <c r="I486" s="96"/>
      <c r="K486" t="str">
        <f t="shared" si="30"/>
        <v>CPU10</v>
      </c>
      <c r="L486" s="73" t="s">
        <v>114</v>
      </c>
      <c r="M486" s="72">
        <v>41520</v>
      </c>
      <c r="N486" s="84">
        <v>0.2271</v>
      </c>
      <c r="O486" s="96">
        <f t="shared" si="31"/>
        <v>10</v>
      </c>
      <c r="Q486" s="96"/>
      <c r="R486" s="96">
        <v>0</v>
      </c>
      <c r="S486" s="96" t="str">
        <f>IF(ISNA(VLOOKUP($R486&amp;S$2,$C$3:$F$4001,3,0)),"",VLOOKUP($R486&amp;S$2,$C$3:$F$4001,3,0))</f>
        <v/>
      </c>
      <c r="T486" s="110" t="str">
        <f>IF(ISNA(VLOOKUP($R486&amp;S$2,$C$3:$F$4001,4,0)),"",VLOOKUP($R486&amp;S$2,$C$3:$F$4001,4,0))</f>
        <v/>
      </c>
    </row>
    <row r="487" spans="3:20" x14ac:dyDescent="0.2">
      <c r="C487" s="96" t="str">
        <f t="shared" si="28"/>
        <v>CRG1</v>
      </c>
      <c r="D487" s="73" t="s">
        <v>115</v>
      </c>
      <c r="E487" s="100">
        <v>39864</v>
      </c>
      <c r="F487" s="101">
        <v>0.35</v>
      </c>
      <c r="G487" s="96">
        <f t="shared" si="29"/>
        <v>1</v>
      </c>
      <c r="I487" s="96"/>
      <c r="K487" t="str">
        <f t="shared" si="30"/>
        <v>CRG1</v>
      </c>
      <c r="L487" s="73" t="s">
        <v>115</v>
      </c>
      <c r="M487" s="72">
        <v>39864</v>
      </c>
      <c r="N487" s="84">
        <v>0.35</v>
      </c>
      <c r="O487" s="96">
        <f t="shared" si="31"/>
        <v>1</v>
      </c>
      <c r="Q487" s="96"/>
      <c r="R487" s="96">
        <f>R486</f>
        <v>0</v>
      </c>
      <c r="S487" s="96" t="str">
        <f>IF(ISNA(VLOOKUP($R487&amp;S$2,$K$3:$N$4001,3,0)),"",VLOOKUP($R487&amp;S$2,$K$3:$N$4001,3,0))</f>
        <v/>
      </c>
      <c r="T487" s="110" t="str">
        <f>IF(ISNA(VLOOKUP($R487&amp;S$2,$K$3:$N$4001,4,0)),"",VLOOKUP($R487&amp;S$2,$K$3:$N$4001,4,0))</f>
        <v/>
      </c>
    </row>
    <row r="488" spans="3:20" x14ac:dyDescent="0.2">
      <c r="C488" s="96" t="str">
        <f t="shared" si="28"/>
        <v>CRG2</v>
      </c>
      <c r="D488" s="73" t="s">
        <v>115</v>
      </c>
      <c r="E488" s="100">
        <v>40043</v>
      </c>
      <c r="F488" s="101">
        <v>0.36</v>
      </c>
      <c r="G488" s="96">
        <f t="shared" si="29"/>
        <v>2</v>
      </c>
      <c r="I488" s="96"/>
      <c r="K488" t="str">
        <f t="shared" si="30"/>
        <v>CRG2</v>
      </c>
      <c r="L488" s="73" t="s">
        <v>115</v>
      </c>
      <c r="M488" s="72">
        <v>40043</v>
      </c>
      <c r="N488" s="84">
        <v>0.36</v>
      </c>
      <c r="O488" s="96">
        <f t="shared" si="31"/>
        <v>2</v>
      </c>
      <c r="Q488" s="96"/>
      <c r="R488" s="96">
        <v>0</v>
      </c>
      <c r="S488" s="96" t="str">
        <f>IF(ISNA(VLOOKUP($R488&amp;S$2,$C$3:$F$4001,3,0)),"",VLOOKUP($R488&amp;S$2,$C$3:$F$4001,3,0))</f>
        <v/>
      </c>
      <c r="T488" s="110" t="str">
        <f>IF(ISNA(VLOOKUP($R488&amp;S$2,$C$3:$F$4001,4,0)),"",VLOOKUP($R488&amp;S$2,$C$3:$F$4001,4,0))</f>
        <v/>
      </c>
    </row>
    <row r="489" spans="3:20" x14ac:dyDescent="0.2">
      <c r="C489" s="96" t="str">
        <f t="shared" si="28"/>
        <v>CRG3</v>
      </c>
      <c r="D489" s="73" t="s">
        <v>115</v>
      </c>
      <c r="E489" s="100">
        <v>40231</v>
      </c>
      <c r="F489" s="101">
        <v>0.35049999999999998</v>
      </c>
      <c r="G489" s="96">
        <f t="shared" si="29"/>
        <v>3</v>
      </c>
      <c r="I489" s="96"/>
      <c r="K489" t="str">
        <f t="shared" si="30"/>
        <v>CRG3</v>
      </c>
      <c r="L489" s="73" t="s">
        <v>115</v>
      </c>
      <c r="M489" s="72">
        <v>40231</v>
      </c>
      <c r="N489" s="84">
        <v>0.35049999999999998</v>
      </c>
      <c r="O489" s="96">
        <f t="shared" si="31"/>
        <v>3</v>
      </c>
      <c r="Q489" s="96"/>
      <c r="R489" s="96">
        <f>R488</f>
        <v>0</v>
      </c>
      <c r="S489" s="96" t="str">
        <f>IF(ISNA(VLOOKUP($R489&amp;S$2,$K$3:$N$4001,3,0)),"",VLOOKUP($R489&amp;S$2,$K$3:$N$4001,3,0))</f>
        <v/>
      </c>
      <c r="T489" s="110" t="str">
        <f>IF(ISNA(VLOOKUP($R489&amp;S$2,$K$3:$N$4001,4,0)),"",VLOOKUP($R489&amp;S$2,$K$3:$N$4001,4,0))</f>
        <v/>
      </c>
    </row>
    <row r="490" spans="3:20" x14ac:dyDescent="0.2">
      <c r="C490" s="96" t="str">
        <f t="shared" si="28"/>
        <v>CRG4</v>
      </c>
      <c r="D490" s="73" t="s">
        <v>115</v>
      </c>
      <c r="E490" s="100">
        <v>40408</v>
      </c>
      <c r="F490" s="101">
        <v>0.36049999999999999</v>
      </c>
      <c r="G490" s="96">
        <f t="shared" si="29"/>
        <v>4</v>
      </c>
      <c r="I490" s="96"/>
      <c r="K490" t="str">
        <f t="shared" si="30"/>
        <v>CRG4</v>
      </c>
      <c r="L490" s="73" t="s">
        <v>115</v>
      </c>
      <c r="M490" s="72">
        <v>40408</v>
      </c>
      <c r="N490" s="84">
        <v>0.36049999999999999</v>
      </c>
      <c r="O490" s="96">
        <f t="shared" si="31"/>
        <v>4</v>
      </c>
      <c r="Q490" s="96"/>
      <c r="R490" s="96">
        <v>0</v>
      </c>
      <c r="S490" s="96" t="str">
        <f>IF(ISNA(VLOOKUP($R490&amp;S$2,$C$3:$F$4001,3,0)),"",VLOOKUP($R490&amp;S$2,$C$3:$F$4001,3,0))</f>
        <v/>
      </c>
      <c r="T490" s="110" t="str">
        <f>IF(ISNA(VLOOKUP($R490&amp;S$2,$C$3:$F$4001,4,0)),"",VLOOKUP($R490&amp;S$2,$C$3:$F$4001,4,0))</f>
        <v/>
      </c>
    </row>
    <row r="491" spans="3:20" x14ac:dyDescent="0.2">
      <c r="C491" s="96" t="str">
        <f t="shared" si="28"/>
        <v>CRG5</v>
      </c>
      <c r="D491" s="73" t="s">
        <v>115</v>
      </c>
      <c r="E491" s="100">
        <v>40596</v>
      </c>
      <c r="F491" s="101">
        <v>0.38400000000000001</v>
      </c>
      <c r="G491" s="96">
        <f t="shared" si="29"/>
        <v>5</v>
      </c>
      <c r="I491" s="96"/>
      <c r="K491" t="str">
        <f t="shared" si="30"/>
        <v>CRG5</v>
      </c>
      <c r="L491" s="73" t="s">
        <v>115</v>
      </c>
      <c r="M491" s="72">
        <v>40596</v>
      </c>
      <c r="N491" s="84">
        <v>0.38400000000000001</v>
      </c>
      <c r="O491" s="96">
        <f t="shared" si="31"/>
        <v>5</v>
      </c>
      <c r="Q491" s="96"/>
      <c r="R491" s="96">
        <f>R490</f>
        <v>0</v>
      </c>
      <c r="S491" s="96" t="str">
        <f>IF(ISNA(VLOOKUP($R491&amp;S$2,$K$3:$N$4001,3,0)),"",VLOOKUP($R491&amp;S$2,$K$3:$N$4001,3,0))</f>
        <v/>
      </c>
      <c r="T491" s="110" t="str">
        <f>IF(ISNA(VLOOKUP($R491&amp;S$2,$K$3:$N$4001,4,0)),"",VLOOKUP($R491&amp;S$2,$K$3:$N$4001,4,0))</f>
        <v/>
      </c>
    </row>
    <row r="492" spans="3:20" x14ac:dyDescent="0.2">
      <c r="C492" s="96" t="str">
        <f t="shared" si="28"/>
        <v>CRG6</v>
      </c>
      <c r="D492" s="73" t="s">
        <v>115</v>
      </c>
      <c r="E492" s="100">
        <v>40773</v>
      </c>
      <c r="F492" s="101">
        <v>0.39500000000000002</v>
      </c>
      <c r="G492" s="96">
        <f t="shared" si="29"/>
        <v>6</v>
      </c>
      <c r="I492" s="96"/>
      <c r="K492" t="str">
        <f t="shared" si="30"/>
        <v>CRG6</v>
      </c>
      <c r="L492" s="73" t="s">
        <v>115</v>
      </c>
      <c r="M492" s="72">
        <v>40773</v>
      </c>
      <c r="N492" s="84">
        <v>0.39500000000000002</v>
      </c>
      <c r="O492" s="96">
        <f t="shared" si="31"/>
        <v>6</v>
      </c>
      <c r="Q492" s="96"/>
      <c r="R492" s="96">
        <v>0</v>
      </c>
      <c r="S492" s="96" t="str">
        <f>IF(ISNA(VLOOKUP($R492&amp;S$2,$C$3:$F$4001,3,0)),"",VLOOKUP($R492&amp;S$2,$C$3:$F$4001,3,0))</f>
        <v/>
      </c>
      <c r="T492" s="110" t="str">
        <f>IF(ISNA(VLOOKUP($R492&amp;S$2,$C$3:$F$4001,4,0)),"",VLOOKUP($R492&amp;S$2,$C$3:$F$4001,4,0))</f>
        <v/>
      </c>
    </row>
    <row r="493" spans="3:20" x14ac:dyDescent="0.2">
      <c r="C493" s="96" t="str">
        <f t="shared" si="28"/>
        <v>CRG7</v>
      </c>
      <c r="D493" s="73" t="s">
        <v>115</v>
      </c>
      <c r="E493" s="100">
        <v>40961</v>
      </c>
      <c r="F493" s="101">
        <v>0.43180000000000002</v>
      </c>
      <c r="G493" s="96">
        <f t="shared" si="29"/>
        <v>7</v>
      </c>
      <c r="I493" s="96"/>
      <c r="K493" t="str">
        <f t="shared" si="30"/>
        <v>CRG7</v>
      </c>
      <c r="L493" s="73" t="s">
        <v>115</v>
      </c>
      <c r="M493" s="72">
        <v>40961</v>
      </c>
      <c r="N493" s="84">
        <v>0.43180000000000002</v>
      </c>
      <c r="O493" s="96">
        <f t="shared" si="31"/>
        <v>7</v>
      </c>
      <c r="Q493" s="96"/>
      <c r="R493" s="96">
        <f>R492</f>
        <v>0</v>
      </c>
      <c r="S493" s="96" t="str">
        <f>IF(ISNA(VLOOKUP($R493&amp;S$2,$K$3:$N$4001,3,0)),"",VLOOKUP($R493&amp;S$2,$K$3:$N$4001,3,0))</f>
        <v/>
      </c>
      <c r="T493" s="110" t="str">
        <f>IF(ISNA(VLOOKUP($R493&amp;S$2,$K$3:$N$4001,4,0)),"",VLOOKUP($R493&amp;S$2,$K$3:$N$4001,4,0))</f>
        <v/>
      </c>
    </row>
    <row r="494" spans="3:20" x14ac:dyDescent="0.2">
      <c r="C494" s="96" t="str">
        <f t="shared" si="28"/>
        <v>CRG8</v>
      </c>
      <c r="D494" s="73" t="s">
        <v>115</v>
      </c>
      <c r="E494" s="100">
        <v>41141</v>
      </c>
      <c r="F494" s="101">
        <v>0.44420000000000004</v>
      </c>
      <c r="G494" s="96">
        <f t="shared" si="29"/>
        <v>8</v>
      </c>
      <c r="I494" s="96"/>
      <c r="K494" t="str">
        <f t="shared" si="30"/>
        <v>CRG8</v>
      </c>
      <c r="L494" s="73" t="s">
        <v>115</v>
      </c>
      <c r="M494" s="72">
        <v>41141</v>
      </c>
      <c r="N494" s="84">
        <v>0.44420000000000004</v>
      </c>
      <c r="O494" s="96">
        <f t="shared" si="31"/>
        <v>8</v>
      </c>
      <c r="Q494" s="96"/>
      <c r="R494" s="96">
        <v>0</v>
      </c>
      <c r="S494" s="96" t="str">
        <f>IF(ISNA(VLOOKUP($R494&amp;S$2,$C$3:$F$4001,3,0)),"",VLOOKUP($R494&amp;S$2,$C$3:$F$4001,3,0))</f>
        <v/>
      </c>
      <c r="T494" s="110" t="str">
        <f>IF(ISNA(VLOOKUP($R494&amp;S$2,$C$3:$F$4001,4,0)),"",VLOOKUP($R494&amp;S$2,$C$3:$F$4001,4,0))</f>
        <v/>
      </c>
    </row>
    <row r="495" spans="3:20" x14ac:dyDescent="0.2">
      <c r="C495" s="96" t="str">
        <f t="shared" si="28"/>
        <v>CRG9</v>
      </c>
      <c r="D495" s="73" t="s">
        <v>115</v>
      </c>
      <c r="E495" s="100">
        <v>41327</v>
      </c>
      <c r="F495" s="101">
        <v>0.43619999999999998</v>
      </c>
      <c r="G495" s="96">
        <f t="shared" si="29"/>
        <v>9</v>
      </c>
      <c r="I495" s="96"/>
      <c r="K495" t="str">
        <f t="shared" si="30"/>
        <v>CRG9</v>
      </c>
      <c r="L495" s="73" t="s">
        <v>115</v>
      </c>
      <c r="M495" s="72">
        <v>41327</v>
      </c>
      <c r="N495" s="84">
        <v>0.43619999999999998</v>
      </c>
      <c r="O495" s="96">
        <f t="shared" si="31"/>
        <v>9</v>
      </c>
      <c r="Q495" s="96"/>
      <c r="R495" s="96">
        <f>R494</f>
        <v>0</v>
      </c>
      <c r="S495" s="96" t="str">
        <f>IF(ISNA(VLOOKUP($R495&amp;S$2,$K$3:$N$4001,3,0)),"",VLOOKUP($R495&amp;S$2,$K$3:$N$4001,3,0))</f>
        <v/>
      </c>
      <c r="T495" s="110" t="str">
        <f>IF(ISNA(VLOOKUP($R495&amp;S$2,$K$3:$N$4001,4,0)),"",VLOOKUP($R495&amp;S$2,$K$3:$N$4001,4,0))</f>
        <v/>
      </c>
    </row>
    <row r="496" spans="3:20" x14ac:dyDescent="0.2">
      <c r="C496" s="96" t="str">
        <f t="shared" si="28"/>
        <v>CRG10</v>
      </c>
      <c r="D496" s="73" t="s">
        <v>115</v>
      </c>
      <c r="E496" s="100">
        <v>41506</v>
      </c>
      <c r="F496" s="101">
        <v>0.44880000000000003</v>
      </c>
      <c r="G496" s="96">
        <f t="shared" si="29"/>
        <v>10</v>
      </c>
      <c r="I496" s="96"/>
      <c r="K496" t="str">
        <f t="shared" si="30"/>
        <v>CRG10</v>
      </c>
      <c r="L496" s="73" t="s">
        <v>115</v>
      </c>
      <c r="M496" s="72">
        <v>41506</v>
      </c>
      <c r="N496" s="84">
        <v>0.44880000000000003</v>
      </c>
      <c r="O496" s="96">
        <f t="shared" si="31"/>
        <v>10</v>
      </c>
      <c r="Q496" s="96"/>
      <c r="R496" s="96">
        <v>0</v>
      </c>
      <c r="S496" s="96" t="str">
        <f>IF(ISNA(VLOOKUP($R496&amp;S$2,$C$3:$F$4001,3,0)),"",VLOOKUP($R496&amp;S$2,$C$3:$F$4001,3,0))</f>
        <v/>
      </c>
      <c r="T496" s="110" t="str">
        <f>IF(ISNA(VLOOKUP($R496&amp;S$2,$C$3:$F$4001,4,0)),"",VLOOKUP($R496&amp;S$2,$C$3:$F$4001,4,0))</f>
        <v/>
      </c>
    </row>
    <row r="497" spans="3:20" x14ac:dyDescent="0.2">
      <c r="C497" s="96" t="str">
        <f t="shared" si="28"/>
        <v>CSL1</v>
      </c>
      <c r="D497" s="73" t="s">
        <v>116</v>
      </c>
      <c r="E497" s="100">
        <v>39882</v>
      </c>
      <c r="F497" s="101">
        <v>0.27600000000000002</v>
      </c>
      <c r="G497" s="96">
        <f t="shared" si="29"/>
        <v>1</v>
      </c>
      <c r="I497" s="96"/>
      <c r="K497" t="str">
        <f t="shared" si="30"/>
        <v>CSL1</v>
      </c>
      <c r="L497" s="73" t="s">
        <v>116</v>
      </c>
      <c r="M497" s="72">
        <v>39882</v>
      </c>
      <c r="N497" s="84">
        <v>0.27600000000000002</v>
      </c>
      <c r="O497" s="96">
        <f t="shared" si="31"/>
        <v>1</v>
      </c>
      <c r="Q497" s="96"/>
      <c r="R497" s="96">
        <f>R496</f>
        <v>0</v>
      </c>
      <c r="S497" s="96" t="str">
        <f>IF(ISNA(VLOOKUP($R497&amp;S$2,$K$3:$N$4001,3,0)),"",VLOOKUP($R497&amp;S$2,$K$3:$N$4001,3,0))</f>
        <v/>
      </c>
      <c r="T497" s="110" t="str">
        <f>IF(ISNA(VLOOKUP($R497&amp;S$2,$K$3:$N$4001,4,0)),"",VLOOKUP($R497&amp;S$2,$K$3:$N$4001,4,0))</f>
        <v/>
      </c>
    </row>
    <row r="498" spans="3:20" x14ac:dyDescent="0.2">
      <c r="C498" s="96" t="str">
        <f t="shared" si="28"/>
        <v>CSL2</v>
      </c>
      <c r="D498" s="73" t="s">
        <v>116</v>
      </c>
      <c r="E498" s="100">
        <v>40070</v>
      </c>
      <c r="F498" s="101">
        <v>0.27600000000000002</v>
      </c>
      <c r="G498" s="96">
        <f t="shared" si="29"/>
        <v>2</v>
      </c>
      <c r="I498" s="96"/>
      <c r="K498" t="str">
        <f t="shared" si="30"/>
        <v>CSL2</v>
      </c>
      <c r="L498" s="73" t="s">
        <v>116</v>
      </c>
      <c r="M498" s="72">
        <v>40070</v>
      </c>
      <c r="N498" s="84">
        <v>0.27600000000000002</v>
      </c>
      <c r="O498" s="96">
        <f t="shared" si="31"/>
        <v>2</v>
      </c>
      <c r="Q498" s="96"/>
      <c r="R498" s="96">
        <v>0</v>
      </c>
      <c r="S498" s="96" t="str">
        <f>IF(ISNA(VLOOKUP($R498&amp;S$2,$C$3:$F$4001,3,0)),"",VLOOKUP($R498&amp;S$2,$C$3:$F$4001,3,0))</f>
        <v/>
      </c>
      <c r="T498" s="110" t="str">
        <f>IF(ISNA(VLOOKUP($R498&amp;S$2,$C$3:$F$4001,4,0)),"",VLOOKUP($R498&amp;S$2,$C$3:$F$4001,4,0))</f>
        <v/>
      </c>
    </row>
    <row r="499" spans="3:20" x14ac:dyDescent="0.2">
      <c r="C499" s="96" t="str">
        <f t="shared" si="28"/>
        <v>CSL3</v>
      </c>
      <c r="D499" s="73" t="s">
        <v>116</v>
      </c>
      <c r="E499" s="100">
        <v>40247</v>
      </c>
      <c r="F499" s="101">
        <v>0.375</v>
      </c>
      <c r="G499" s="96">
        <f t="shared" si="29"/>
        <v>3</v>
      </c>
      <c r="I499" s="96"/>
      <c r="K499" t="str">
        <f t="shared" si="30"/>
        <v>CSL3</v>
      </c>
      <c r="L499" s="73" t="s">
        <v>116</v>
      </c>
      <c r="M499" s="72">
        <v>40247</v>
      </c>
      <c r="N499" s="84">
        <v>0.375</v>
      </c>
      <c r="O499" s="96">
        <f t="shared" si="31"/>
        <v>3</v>
      </c>
      <c r="Q499" s="96"/>
      <c r="R499" s="96">
        <f>R498</f>
        <v>0</v>
      </c>
      <c r="S499" s="96" t="str">
        <f>IF(ISNA(VLOOKUP($R499&amp;S$2,$K$3:$N$4001,3,0)),"",VLOOKUP($R499&amp;S$2,$K$3:$N$4001,3,0))</f>
        <v/>
      </c>
      <c r="T499" s="110" t="str">
        <f>IF(ISNA(VLOOKUP($R499&amp;S$2,$K$3:$N$4001,4,0)),"",VLOOKUP($R499&amp;S$2,$K$3:$N$4001,4,0))</f>
        <v/>
      </c>
    </row>
    <row r="500" spans="3:20" x14ac:dyDescent="0.2">
      <c r="C500" s="96" t="str">
        <f t="shared" si="28"/>
        <v>CSL4</v>
      </c>
      <c r="D500" s="73" t="s">
        <v>116</v>
      </c>
      <c r="E500" s="100">
        <v>40435</v>
      </c>
      <c r="F500" s="101">
        <v>0.375</v>
      </c>
      <c r="G500" s="96">
        <f t="shared" si="29"/>
        <v>4</v>
      </c>
      <c r="I500" s="96"/>
      <c r="K500" t="str">
        <f t="shared" si="30"/>
        <v>CSL4</v>
      </c>
      <c r="L500" s="73" t="s">
        <v>116</v>
      </c>
      <c r="M500" s="72">
        <v>40435</v>
      </c>
      <c r="N500" s="84">
        <v>0.375</v>
      </c>
      <c r="O500" s="96">
        <f t="shared" si="31"/>
        <v>4</v>
      </c>
      <c r="Q500" s="96"/>
      <c r="R500" s="96">
        <v>0</v>
      </c>
      <c r="S500" s="96" t="str">
        <f>IF(ISNA(VLOOKUP($R500&amp;S$2,$C$3:$F$4001,3,0)),"",VLOOKUP($R500&amp;S$2,$C$3:$F$4001,3,0))</f>
        <v/>
      </c>
      <c r="T500" s="110" t="str">
        <f>IF(ISNA(VLOOKUP($R500&amp;S$2,$C$3:$F$4001,4,0)),"",VLOOKUP($R500&amp;S$2,$C$3:$F$4001,4,0))</f>
        <v/>
      </c>
    </row>
    <row r="501" spans="3:20" x14ac:dyDescent="0.2">
      <c r="C501" s="96" t="str">
        <f t="shared" si="28"/>
        <v>CSL5</v>
      </c>
      <c r="D501" s="73" t="s">
        <v>116</v>
      </c>
      <c r="E501" s="100">
        <v>40612</v>
      </c>
      <c r="F501" s="101">
        <v>0.4335</v>
      </c>
      <c r="G501" s="96">
        <f t="shared" si="29"/>
        <v>5</v>
      </c>
      <c r="I501" s="96"/>
      <c r="K501" t="str">
        <f t="shared" si="30"/>
        <v>CSL5</v>
      </c>
      <c r="L501" s="73" t="s">
        <v>116</v>
      </c>
      <c r="M501" s="72">
        <v>40612</v>
      </c>
      <c r="N501" s="84">
        <v>0.4335</v>
      </c>
      <c r="O501" s="96">
        <f t="shared" si="31"/>
        <v>5</v>
      </c>
      <c r="Q501" s="96"/>
      <c r="R501" s="96">
        <f>R500</f>
        <v>0</v>
      </c>
      <c r="S501" s="96" t="str">
        <f>IF(ISNA(VLOOKUP($R501&amp;S$2,$K$3:$N$4001,3,0)),"",VLOOKUP($R501&amp;S$2,$K$3:$N$4001,3,0))</f>
        <v/>
      </c>
      <c r="T501" s="110" t="str">
        <f>IF(ISNA(VLOOKUP($R501&amp;S$2,$K$3:$N$4001,4,0)),"",VLOOKUP($R501&amp;S$2,$K$3:$N$4001,4,0))</f>
        <v/>
      </c>
    </row>
    <row r="502" spans="3:20" x14ac:dyDescent="0.2">
      <c r="C502" s="96" t="str">
        <f t="shared" si="28"/>
        <v>CSL6</v>
      </c>
      <c r="D502" s="73" t="s">
        <v>116</v>
      </c>
      <c r="E502" s="100">
        <v>40800</v>
      </c>
      <c r="F502" s="101">
        <v>0.4335</v>
      </c>
      <c r="G502" s="96">
        <f t="shared" si="29"/>
        <v>6</v>
      </c>
      <c r="I502" s="96"/>
      <c r="K502" t="str">
        <f t="shared" si="30"/>
        <v>CSL6</v>
      </c>
      <c r="L502" s="73" t="s">
        <v>116</v>
      </c>
      <c r="M502" s="72">
        <v>40800</v>
      </c>
      <c r="N502" s="84">
        <v>0.4335</v>
      </c>
      <c r="O502" s="96">
        <f t="shared" si="31"/>
        <v>6</v>
      </c>
      <c r="Q502" s="96"/>
      <c r="R502" s="96">
        <v>0</v>
      </c>
      <c r="S502" s="96" t="str">
        <f>IF(ISNA(VLOOKUP($R502&amp;S$2,$C$3:$F$4001,3,0)),"",VLOOKUP($R502&amp;S$2,$C$3:$F$4001,3,0))</f>
        <v/>
      </c>
      <c r="T502" s="110" t="str">
        <f>IF(ISNA(VLOOKUP($R502&amp;S$2,$C$3:$F$4001,4,0)),"",VLOOKUP($R502&amp;S$2,$C$3:$F$4001,4,0))</f>
        <v/>
      </c>
    </row>
    <row r="503" spans="3:20" x14ac:dyDescent="0.2">
      <c r="C503" s="96" t="str">
        <f t="shared" si="28"/>
        <v>CSL7</v>
      </c>
      <c r="D503" s="73" t="s">
        <v>116</v>
      </c>
      <c r="E503" s="100">
        <v>40980</v>
      </c>
      <c r="F503" s="101">
        <v>0.50350000000000006</v>
      </c>
      <c r="G503" s="96">
        <f t="shared" si="29"/>
        <v>7</v>
      </c>
      <c r="I503" s="96"/>
      <c r="K503" t="str">
        <f t="shared" si="30"/>
        <v>CSL7</v>
      </c>
      <c r="L503" s="73" t="s">
        <v>116</v>
      </c>
      <c r="M503" s="72">
        <v>40980</v>
      </c>
      <c r="N503" s="84">
        <v>0.50350000000000006</v>
      </c>
      <c r="O503" s="96">
        <f t="shared" si="31"/>
        <v>7</v>
      </c>
      <c r="Q503" s="96"/>
      <c r="R503" s="96">
        <f>R502</f>
        <v>0</v>
      </c>
      <c r="S503" s="96" t="str">
        <f>IF(ISNA(VLOOKUP($R503&amp;S$2,$K$3:$N$4001,3,0)),"",VLOOKUP($R503&amp;S$2,$K$3:$N$4001,3,0))</f>
        <v/>
      </c>
      <c r="T503" s="110" t="str">
        <f>IF(ISNA(VLOOKUP($R503&amp;S$2,$K$3:$N$4001,4,0)),"",VLOOKUP($R503&amp;S$2,$K$3:$N$4001,4,0))</f>
        <v/>
      </c>
    </row>
    <row r="504" spans="3:20" x14ac:dyDescent="0.2">
      <c r="C504" s="96" t="str">
        <f t="shared" si="28"/>
        <v>CSL8</v>
      </c>
      <c r="D504" s="73" t="s">
        <v>116</v>
      </c>
      <c r="E504" s="100">
        <v>41166</v>
      </c>
      <c r="F504" s="101">
        <v>0.50350000000000006</v>
      </c>
      <c r="G504" s="96">
        <f t="shared" si="29"/>
        <v>8</v>
      </c>
      <c r="I504" s="96"/>
      <c r="K504" t="str">
        <f t="shared" si="30"/>
        <v>CSL8</v>
      </c>
      <c r="L504" s="73" t="s">
        <v>116</v>
      </c>
      <c r="M504" s="72">
        <v>41166</v>
      </c>
      <c r="N504" s="84">
        <v>0.50350000000000006</v>
      </c>
      <c r="O504" s="96">
        <f t="shared" si="31"/>
        <v>8</v>
      </c>
      <c r="Q504" s="96"/>
      <c r="R504">
        <v>0</v>
      </c>
      <c r="S504" t="str">
        <f>IF(ISNA(VLOOKUP($R504&amp;S$2,$C$3:$F$4001,3,0)),"",VLOOKUP($R504&amp;S$2,$C$3:$F$4001,3,0))</f>
        <v/>
      </c>
      <c r="T504" s="110" t="str">
        <f>IF(ISNA(VLOOKUP($R504&amp;S$2,$C$3:$F$4001,4,0)),"",VLOOKUP($R504&amp;S$2,$C$3:$F$4001,4,0))</f>
        <v/>
      </c>
    </row>
    <row r="505" spans="3:20" x14ac:dyDescent="0.2">
      <c r="C505" s="96" t="str">
        <f t="shared" si="28"/>
        <v>CSL9</v>
      </c>
      <c r="D505" s="73" t="s">
        <v>116</v>
      </c>
      <c r="E505" s="100">
        <v>41345</v>
      </c>
      <c r="F505" s="101">
        <v>0.56899999999999995</v>
      </c>
      <c r="G505" s="96">
        <f t="shared" si="29"/>
        <v>9</v>
      </c>
      <c r="I505" s="96"/>
      <c r="K505" t="str">
        <f t="shared" si="30"/>
        <v>CSL9</v>
      </c>
      <c r="L505" s="73" t="s">
        <v>116</v>
      </c>
      <c r="M505" s="72">
        <v>41345</v>
      </c>
      <c r="N505" s="84">
        <v>0.56899999999999995</v>
      </c>
      <c r="O505" s="96">
        <f t="shared" si="31"/>
        <v>9</v>
      </c>
      <c r="Q505" s="96"/>
      <c r="R505">
        <f>R504</f>
        <v>0</v>
      </c>
      <c r="S505" t="str">
        <f>IF(ISNA(VLOOKUP($R505&amp;S$2,$K$3:$N$4001,3,0)),"",VLOOKUP($R505&amp;S$2,$K$3:$N$4001,3,0))</f>
        <v/>
      </c>
      <c r="T505" s="110" t="str">
        <f>IF(ISNA(VLOOKUP($R505&amp;S$2,$K$3:$N$4001,4,0)),"",VLOOKUP($R505&amp;S$2,$K$3:$N$4001,4,0))</f>
        <v/>
      </c>
    </row>
    <row r="506" spans="3:20" x14ac:dyDescent="0.2">
      <c r="C506" s="96" t="str">
        <f t="shared" si="28"/>
        <v>CSL10</v>
      </c>
      <c r="D506" s="73" t="s">
        <v>116</v>
      </c>
      <c r="E506" s="100">
        <v>41533</v>
      </c>
      <c r="F506" s="101">
        <v>0.56899999999999995</v>
      </c>
      <c r="G506" s="96">
        <f t="shared" si="29"/>
        <v>10</v>
      </c>
      <c r="I506" s="96"/>
      <c r="K506" t="str">
        <f t="shared" si="30"/>
        <v>CSL10</v>
      </c>
      <c r="L506" s="73" t="s">
        <v>116</v>
      </c>
      <c r="M506" s="72">
        <v>41533</v>
      </c>
      <c r="N506" s="84">
        <v>0.56899999999999995</v>
      </c>
      <c r="O506" s="96">
        <f t="shared" si="31"/>
        <v>10</v>
      </c>
      <c r="Q506" s="96"/>
      <c r="R506">
        <v>0</v>
      </c>
      <c r="S506" t="str">
        <f>IF(ISNA(VLOOKUP($R506&amp;S$2,$C$3:$F$4001,3,0)),"",VLOOKUP($R506&amp;S$2,$C$3:$F$4001,3,0))</f>
        <v/>
      </c>
      <c r="T506" s="110" t="str">
        <f>IF(ISNA(VLOOKUP($R506&amp;S$2,$C$3:$F$4001,4,0)),"",VLOOKUP($R506&amp;S$2,$C$3:$F$4001,4,0))</f>
        <v/>
      </c>
    </row>
    <row r="507" spans="3:20" x14ac:dyDescent="0.2">
      <c r="C507" s="96" t="str">
        <f t="shared" si="28"/>
        <v>CSR1</v>
      </c>
      <c r="D507" s="73" t="s">
        <v>117</v>
      </c>
      <c r="E507" s="100">
        <v>39968</v>
      </c>
      <c r="F507" s="101">
        <v>0.06</v>
      </c>
      <c r="G507" s="96">
        <f t="shared" si="29"/>
        <v>1</v>
      </c>
      <c r="I507" s="96"/>
      <c r="K507" t="str">
        <f t="shared" si="30"/>
        <v>CSR1</v>
      </c>
      <c r="L507" s="73" t="s">
        <v>117</v>
      </c>
      <c r="M507" s="72">
        <v>39968</v>
      </c>
      <c r="N507" s="84">
        <v>0.06</v>
      </c>
      <c r="O507" s="96">
        <f t="shared" si="31"/>
        <v>1</v>
      </c>
      <c r="Q507" s="96"/>
      <c r="R507">
        <f>R506</f>
        <v>0</v>
      </c>
      <c r="S507" t="str">
        <f>IF(ISNA(VLOOKUP($R507&amp;S$2,$K$3:$N$4001,3,0)),"",VLOOKUP($R507&amp;S$2,$K$3:$N$4001,3,0))</f>
        <v/>
      </c>
      <c r="T507" s="110" t="str">
        <f>IF(ISNA(VLOOKUP($R507&amp;S$2,$K$3:$N$4001,4,0)),"",VLOOKUP($R507&amp;S$2,$K$3:$N$4001,4,0))</f>
        <v/>
      </c>
    </row>
    <row r="508" spans="3:20" x14ac:dyDescent="0.2">
      <c r="C508" s="96" t="str">
        <f t="shared" si="28"/>
        <v>CSR2</v>
      </c>
      <c r="D508" s="73" t="s">
        <v>117</v>
      </c>
      <c r="E508" s="100">
        <v>40127</v>
      </c>
      <c r="F508" s="101">
        <v>0.06</v>
      </c>
      <c r="G508" s="96">
        <f t="shared" si="29"/>
        <v>2</v>
      </c>
      <c r="I508" s="96"/>
      <c r="K508" t="str">
        <f t="shared" si="30"/>
        <v>CSR2</v>
      </c>
      <c r="L508" s="73" t="s">
        <v>117</v>
      </c>
      <c r="M508" s="72">
        <v>40127</v>
      </c>
      <c r="N508" s="84">
        <v>0.06</v>
      </c>
      <c r="O508" s="96">
        <f t="shared" si="31"/>
        <v>2</v>
      </c>
      <c r="Q508" s="96"/>
      <c r="R508">
        <v>0</v>
      </c>
      <c r="S508" t="str">
        <f>IF(ISNA(VLOOKUP($R508&amp;S$2,$C$3:$F$4001,3,0)),"",VLOOKUP($R508&amp;S$2,$C$3:$F$4001,3,0))</f>
        <v/>
      </c>
      <c r="T508" s="110" t="str">
        <f>IF(ISNA(VLOOKUP($R508&amp;S$2,$C$3:$F$4001,4,0)),"",VLOOKUP($R508&amp;S$2,$C$3:$F$4001,4,0))</f>
        <v/>
      </c>
    </row>
    <row r="509" spans="3:20" x14ac:dyDescent="0.2">
      <c r="C509" s="96" t="str">
        <f t="shared" si="28"/>
        <v>CSR3</v>
      </c>
      <c r="D509" s="73" t="s">
        <v>117</v>
      </c>
      <c r="E509" s="100">
        <v>40336</v>
      </c>
      <c r="F509" s="101">
        <v>7.0000000000000007E-2</v>
      </c>
      <c r="G509" s="96">
        <f t="shared" si="29"/>
        <v>3</v>
      </c>
      <c r="I509" s="96"/>
      <c r="K509" t="str">
        <f t="shared" si="30"/>
        <v>CSR3</v>
      </c>
      <c r="L509" s="73" t="s">
        <v>117</v>
      </c>
      <c r="M509" s="72">
        <v>40336</v>
      </c>
      <c r="N509" s="84">
        <v>7.0000000000000007E-2</v>
      </c>
      <c r="O509" s="96">
        <f t="shared" si="31"/>
        <v>3</v>
      </c>
      <c r="Q509" s="96"/>
      <c r="R509">
        <f>R508</f>
        <v>0</v>
      </c>
      <c r="S509" t="str">
        <f>IF(ISNA(VLOOKUP($R509&amp;S$2,$K$3:$N$4001,3,0)),"",VLOOKUP($R509&amp;S$2,$K$3:$N$4001,3,0))</f>
        <v/>
      </c>
      <c r="T509" s="110" t="str">
        <f>IF(ISNA(VLOOKUP($R509&amp;S$2,$K$3:$N$4001,4,0)),"",VLOOKUP($R509&amp;S$2,$K$3:$N$4001,4,0))</f>
        <v/>
      </c>
    </row>
    <row r="510" spans="3:20" x14ac:dyDescent="0.2">
      <c r="C510" s="96" t="str">
        <f t="shared" si="28"/>
        <v>CSR4</v>
      </c>
      <c r="D510" s="73" t="s">
        <v>117</v>
      </c>
      <c r="E510" s="100">
        <v>40492</v>
      </c>
      <c r="F510" s="101">
        <v>0.06</v>
      </c>
      <c r="G510" s="96">
        <f t="shared" si="29"/>
        <v>4</v>
      </c>
      <c r="I510" s="96"/>
      <c r="K510" t="str">
        <f t="shared" si="30"/>
        <v>CSR4</v>
      </c>
      <c r="L510" s="73" t="s">
        <v>117</v>
      </c>
      <c r="M510" s="72">
        <v>40492</v>
      </c>
      <c r="N510" s="84">
        <v>0.06</v>
      </c>
      <c r="O510" s="96">
        <f t="shared" si="31"/>
        <v>4</v>
      </c>
      <c r="Q510" s="96"/>
      <c r="R510">
        <v>0</v>
      </c>
      <c r="S510" t="str">
        <f>IF(ISNA(VLOOKUP($R510&amp;S$2,$C$3:$F$4001,3,0)),"",VLOOKUP($R510&amp;S$2,$C$3:$F$4001,3,0))</f>
        <v/>
      </c>
      <c r="T510" s="110" t="str">
        <f>IF(ISNA(VLOOKUP($R510&amp;S$2,$C$3:$F$4001,4,0)),"",VLOOKUP($R510&amp;S$2,$C$3:$F$4001,4,0))</f>
        <v/>
      </c>
    </row>
    <row r="511" spans="3:20" x14ac:dyDescent="0.2">
      <c r="C511" s="96" t="str">
        <f t="shared" si="28"/>
        <v>CSR5</v>
      </c>
      <c r="D511" s="73" t="s">
        <v>117</v>
      </c>
      <c r="E511" s="100">
        <v>40701</v>
      </c>
      <c r="F511" s="101">
        <v>0.08</v>
      </c>
      <c r="G511" s="96">
        <f t="shared" si="29"/>
        <v>5</v>
      </c>
      <c r="I511" s="96"/>
      <c r="K511" t="str">
        <f t="shared" si="30"/>
        <v>CSR5</v>
      </c>
      <c r="L511" s="73" t="s">
        <v>117</v>
      </c>
      <c r="M511" s="72">
        <v>40701</v>
      </c>
      <c r="N511" s="84">
        <v>0.08</v>
      </c>
      <c r="O511" s="96">
        <f t="shared" si="31"/>
        <v>5</v>
      </c>
      <c r="Q511" s="96"/>
      <c r="R511">
        <f>R510</f>
        <v>0</v>
      </c>
      <c r="S511" t="str">
        <f>IF(ISNA(VLOOKUP($R511&amp;S$2,$K$3:$N$4001,3,0)),"",VLOOKUP($R511&amp;S$2,$K$3:$N$4001,3,0))</f>
        <v/>
      </c>
      <c r="T511" s="110" t="str">
        <f>IF(ISNA(VLOOKUP($R511&amp;S$2,$K$3:$N$4001,4,0)),"",VLOOKUP($R511&amp;S$2,$K$3:$N$4001,4,0))</f>
        <v/>
      </c>
    </row>
    <row r="512" spans="3:20" x14ac:dyDescent="0.2">
      <c r="C512" s="96" t="str">
        <f t="shared" si="28"/>
        <v>CSR6</v>
      </c>
      <c r="D512" s="73" t="s">
        <v>117</v>
      </c>
      <c r="E512" s="100">
        <v>40857</v>
      </c>
      <c r="F512" s="101">
        <v>0.06</v>
      </c>
      <c r="G512" s="96">
        <f t="shared" si="29"/>
        <v>6</v>
      </c>
      <c r="I512" s="96"/>
      <c r="K512" t="str">
        <f t="shared" si="30"/>
        <v>CSR6</v>
      </c>
      <c r="L512" s="73" t="s">
        <v>117</v>
      </c>
      <c r="M512" s="72">
        <v>40857</v>
      </c>
      <c r="N512" s="84">
        <v>0.06</v>
      </c>
      <c r="O512" s="96">
        <f t="shared" si="31"/>
        <v>6</v>
      </c>
      <c r="Q512" s="96"/>
      <c r="R512">
        <v>0</v>
      </c>
      <c r="S512" t="str">
        <f>IF(ISNA(VLOOKUP($R512&amp;S$2,$C$3:$F$4001,3,0)),"",VLOOKUP($R512&amp;S$2,$C$3:$F$4001,3,0))</f>
        <v/>
      </c>
      <c r="T512" s="110" t="str">
        <f>IF(ISNA(VLOOKUP($R512&amp;S$2,$C$3:$F$4001,4,0)),"",VLOOKUP($R512&amp;S$2,$C$3:$F$4001,4,0))</f>
        <v/>
      </c>
    </row>
    <row r="513" spans="3:20" x14ac:dyDescent="0.2">
      <c r="C513" s="96" t="str">
        <f t="shared" si="28"/>
        <v>CSR7</v>
      </c>
      <c r="D513" s="73" t="s">
        <v>117</v>
      </c>
      <c r="E513" s="100">
        <v>41067</v>
      </c>
      <c r="F513" s="101">
        <v>0.09</v>
      </c>
      <c r="G513" s="96">
        <f t="shared" si="29"/>
        <v>7</v>
      </c>
      <c r="I513" s="96"/>
      <c r="K513" t="str">
        <f t="shared" si="30"/>
        <v>CSR7</v>
      </c>
      <c r="L513" s="73" t="s">
        <v>117</v>
      </c>
      <c r="M513" s="72">
        <v>41067</v>
      </c>
      <c r="N513" s="84">
        <v>0.09</v>
      </c>
      <c r="O513" s="96">
        <f t="shared" si="31"/>
        <v>7</v>
      </c>
      <c r="Q513" s="96"/>
      <c r="R513">
        <f>R512</f>
        <v>0</v>
      </c>
      <c r="S513" t="str">
        <f>IF(ISNA(VLOOKUP($R513&amp;S$2,$K$3:$N$4001,3,0)),"",VLOOKUP($R513&amp;S$2,$K$3:$N$4001,3,0))</f>
        <v/>
      </c>
      <c r="T513" s="110" t="str">
        <f>IF(ISNA(VLOOKUP($R513&amp;S$2,$K$3:$N$4001,4,0)),"",VLOOKUP($R513&amp;S$2,$K$3:$N$4001,4,0))</f>
        <v/>
      </c>
    </row>
    <row r="514" spans="3:20" x14ac:dyDescent="0.2">
      <c r="C514" s="96" t="str">
        <f t="shared" si="28"/>
        <v>CSR8</v>
      </c>
      <c r="D514" s="73" t="s">
        <v>117</v>
      </c>
      <c r="E514" s="100">
        <v>41225</v>
      </c>
      <c r="F514" s="101">
        <v>0.06</v>
      </c>
      <c r="G514" s="96">
        <f t="shared" si="29"/>
        <v>8</v>
      </c>
      <c r="I514" s="96"/>
      <c r="K514" t="str">
        <f t="shared" si="30"/>
        <v>CSR8</v>
      </c>
      <c r="L514" s="73" t="s">
        <v>117</v>
      </c>
      <c r="M514" s="72">
        <v>41225</v>
      </c>
      <c r="N514" s="84">
        <v>0.06</v>
      </c>
      <c r="O514" s="96">
        <f t="shared" si="31"/>
        <v>8</v>
      </c>
      <c r="Q514" s="96"/>
      <c r="R514">
        <v>0</v>
      </c>
      <c r="S514" t="str">
        <f>IF(ISNA(VLOOKUP($R514&amp;S$2,$C$3:$F$4001,3,0)),"",VLOOKUP($R514&amp;S$2,$C$3:$F$4001,3,0))</f>
        <v/>
      </c>
      <c r="T514" s="110" t="str">
        <f>IF(ISNA(VLOOKUP($R514&amp;S$2,$C$3:$F$4001,4,0)),"",VLOOKUP($R514&amp;S$2,$C$3:$F$4001,4,0))</f>
        <v/>
      </c>
    </row>
    <row r="515" spans="3:20" x14ac:dyDescent="0.2">
      <c r="C515" s="96" t="str">
        <f t="shared" ref="C515:C578" si="32">D515&amp;G515</f>
        <v>CSR9</v>
      </c>
      <c r="D515" s="73" t="s">
        <v>117</v>
      </c>
      <c r="E515" s="100">
        <v>41432</v>
      </c>
      <c r="F515" s="101">
        <v>0.09</v>
      </c>
      <c r="G515" s="96">
        <f t="shared" ref="G515:G578" si="33">IF(D515&lt;&gt;D514,1,G514+1)</f>
        <v>9</v>
      </c>
      <c r="I515" s="96"/>
      <c r="K515" t="str">
        <f t="shared" ref="K515:K578" si="34">L515&amp;O515</f>
        <v>CSR9</v>
      </c>
      <c r="L515" s="73" t="s">
        <v>117</v>
      </c>
      <c r="M515" s="72">
        <v>41432</v>
      </c>
      <c r="N515" s="84">
        <v>0.09</v>
      </c>
      <c r="O515" s="96">
        <f t="shared" ref="O515:O578" si="35">IF(L515&lt;&gt;L514,1,O514+1)</f>
        <v>9</v>
      </c>
      <c r="Q515" s="96"/>
      <c r="R515">
        <f>R514</f>
        <v>0</v>
      </c>
      <c r="S515" t="str">
        <f>IF(ISNA(VLOOKUP($R515&amp;S$2,$K$3:$N$4001,3,0)),"",VLOOKUP($R515&amp;S$2,$K$3:$N$4001,3,0))</f>
        <v/>
      </c>
      <c r="T515" s="110" t="str">
        <f>IF(ISNA(VLOOKUP($R515&amp;S$2,$K$3:$N$4001,4,0)),"",VLOOKUP($R515&amp;S$2,$K$3:$N$4001,4,0))</f>
        <v/>
      </c>
    </row>
    <row r="516" spans="3:20" x14ac:dyDescent="0.2">
      <c r="C516" s="96" t="str">
        <f t="shared" si="32"/>
        <v>CTX1</v>
      </c>
      <c r="D516" s="73" t="s">
        <v>118</v>
      </c>
      <c r="E516" s="100">
        <v>40057</v>
      </c>
      <c r="F516" s="101">
        <v>0.23</v>
      </c>
      <c r="G516" s="96">
        <f t="shared" si="33"/>
        <v>1</v>
      </c>
      <c r="I516" s="96"/>
      <c r="K516" t="str">
        <f t="shared" si="34"/>
        <v>CTX1</v>
      </c>
      <c r="L516" s="73" t="s">
        <v>118</v>
      </c>
      <c r="M516" s="72">
        <v>40057</v>
      </c>
      <c r="N516" s="84">
        <v>0.23</v>
      </c>
      <c r="O516" s="96">
        <f t="shared" si="35"/>
        <v>1</v>
      </c>
      <c r="Q516" s="96"/>
      <c r="R516">
        <v>0</v>
      </c>
      <c r="S516" t="str">
        <f>IF(ISNA(VLOOKUP($R516&amp;S$2,$C$3:$F$4001,3,0)),"",VLOOKUP($R516&amp;S$2,$C$3:$F$4001,3,0))</f>
        <v/>
      </c>
      <c r="T516" s="110" t="str">
        <f>IF(ISNA(VLOOKUP($R516&amp;S$2,$C$3:$F$4001,4,0)),"",VLOOKUP($R516&amp;S$2,$C$3:$F$4001,4,0))</f>
        <v/>
      </c>
    </row>
    <row r="517" spans="3:20" x14ac:dyDescent="0.2">
      <c r="C517" s="96" t="str">
        <f t="shared" si="32"/>
        <v>CTX2</v>
      </c>
      <c r="D517" s="73" t="s">
        <v>118</v>
      </c>
      <c r="E517" s="100">
        <v>40239</v>
      </c>
      <c r="F517" s="101">
        <v>0.35</v>
      </c>
      <c r="G517" s="96">
        <f t="shared" si="33"/>
        <v>2</v>
      </c>
      <c r="I517" s="96"/>
      <c r="K517" t="str">
        <f t="shared" si="34"/>
        <v>CTX2</v>
      </c>
      <c r="L517" s="73" t="s">
        <v>118</v>
      </c>
      <c r="M517" s="72">
        <v>40239</v>
      </c>
      <c r="N517" s="84">
        <v>0.35</v>
      </c>
      <c r="O517" s="96">
        <f t="shared" si="35"/>
        <v>2</v>
      </c>
      <c r="Q517" s="96"/>
      <c r="R517">
        <f>R516</f>
        <v>0</v>
      </c>
      <c r="S517" t="str">
        <f>IF(ISNA(VLOOKUP($R517&amp;S$2,$K$3:$N$4001,3,0)),"",VLOOKUP($R517&amp;S$2,$K$3:$N$4001,3,0))</f>
        <v/>
      </c>
      <c r="T517" s="110" t="str">
        <f>IF(ISNA(VLOOKUP($R517&amp;S$2,$K$3:$N$4001,4,0)),"",VLOOKUP($R517&amp;S$2,$K$3:$N$4001,4,0))</f>
        <v/>
      </c>
    </row>
    <row r="518" spans="3:20" x14ac:dyDescent="0.2">
      <c r="C518" s="96" t="str">
        <f t="shared" si="32"/>
        <v>CTX3</v>
      </c>
      <c r="D518" s="73" t="s">
        <v>118</v>
      </c>
      <c r="E518" s="100">
        <v>40422</v>
      </c>
      <c r="F518" s="101">
        <v>0.26</v>
      </c>
      <c r="G518" s="96">
        <f t="shared" si="33"/>
        <v>3</v>
      </c>
      <c r="I518" s="96"/>
      <c r="K518" t="str">
        <f t="shared" si="34"/>
        <v>CTX3</v>
      </c>
      <c r="L518" s="73" t="s">
        <v>118</v>
      </c>
      <c r="M518" s="72">
        <v>40422</v>
      </c>
      <c r="N518" s="84">
        <v>0.26</v>
      </c>
      <c r="O518" s="96">
        <f t="shared" si="35"/>
        <v>3</v>
      </c>
      <c r="Q518" s="96"/>
      <c r="R518">
        <v>0</v>
      </c>
      <c r="S518" t="str">
        <f>IF(ISNA(VLOOKUP($R518&amp;S$2,$C$3:$F$4001,3,0)),"",VLOOKUP($R518&amp;S$2,$C$3:$F$4001,3,0))</f>
        <v/>
      </c>
      <c r="T518" s="110" t="str">
        <f>IF(ISNA(VLOOKUP($R518&amp;S$2,$C$3:$F$4001,4,0)),"",VLOOKUP($R518&amp;S$2,$C$3:$F$4001,4,0))</f>
        <v/>
      </c>
    </row>
    <row r="519" spans="3:20" x14ac:dyDescent="0.2">
      <c r="C519" s="96" t="str">
        <f t="shared" si="32"/>
        <v>CTX4</v>
      </c>
      <c r="D519" s="73" t="s">
        <v>118</v>
      </c>
      <c r="E519" s="100">
        <v>40604</v>
      </c>
      <c r="F519" s="101">
        <v>0.39</v>
      </c>
      <c r="G519" s="96">
        <f t="shared" si="33"/>
        <v>4</v>
      </c>
      <c r="I519" s="96"/>
      <c r="K519" t="str">
        <f t="shared" si="34"/>
        <v>CTX4</v>
      </c>
      <c r="L519" s="73" t="s">
        <v>118</v>
      </c>
      <c r="M519" s="72">
        <v>40604</v>
      </c>
      <c r="N519" s="84">
        <v>0.39</v>
      </c>
      <c r="O519" s="96">
        <f t="shared" si="35"/>
        <v>4</v>
      </c>
      <c r="Q519" s="96"/>
      <c r="R519">
        <f>R518</f>
        <v>0</v>
      </c>
      <c r="S519" t="str">
        <f>IF(ISNA(VLOOKUP($R519&amp;S$2,$K$3:$N$4001,3,0)),"",VLOOKUP($R519&amp;S$2,$K$3:$N$4001,3,0))</f>
        <v/>
      </c>
      <c r="T519" s="110" t="str">
        <f>IF(ISNA(VLOOKUP($R519&amp;S$2,$K$3:$N$4001,4,0)),"",VLOOKUP($R519&amp;S$2,$K$3:$N$4001,4,0))</f>
        <v/>
      </c>
    </row>
    <row r="520" spans="3:20" x14ac:dyDescent="0.2">
      <c r="C520" s="96" t="str">
        <f t="shared" si="32"/>
        <v>CTX5</v>
      </c>
      <c r="D520" s="73" t="s">
        <v>118</v>
      </c>
      <c r="E520" s="100">
        <v>40787</v>
      </c>
      <c r="F520" s="101">
        <v>0.27</v>
      </c>
      <c r="G520" s="96">
        <f t="shared" si="33"/>
        <v>5</v>
      </c>
      <c r="I520" s="96"/>
      <c r="K520" t="str">
        <f t="shared" si="34"/>
        <v>CTX5</v>
      </c>
      <c r="L520" s="73" t="s">
        <v>118</v>
      </c>
      <c r="M520" s="72">
        <v>40787</v>
      </c>
      <c r="N520" s="84">
        <v>0.27</v>
      </c>
      <c r="O520" s="96">
        <f t="shared" si="35"/>
        <v>5</v>
      </c>
      <c r="Q520" s="96"/>
      <c r="R520">
        <v>0</v>
      </c>
      <c r="S520" t="str">
        <f>IF(ISNA(VLOOKUP($R520&amp;S$2,$C$3:$F$4001,3,0)),"",VLOOKUP($R520&amp;S$2,$C$3:$F$4001,3,0))</f>
        <v/>
      </c>
      <c r="T520" s="110" t="str">
        <f>IF(ISNA(VLOOKUP($R520&amp;S$2,$C$3:$F$4001,4,0)),"",VLOOKUP($R520&amp;S$2,$C$3:$F$4001,4,0))</f>
        <v/>
      </c>
    </row>
    <row r="521" spans="3:20" x14ac:dyDescent="0.2">
      <c r="C521" s="96" t="str">
        <f t="shared" si="32"/>
        <v>CTX6</v>
      </c>
      <c r="D521" s="73" t="s">
        <v>118</v>
      </c>
      <c r="E521" s="100">
        <v>40970</v>
      </c>
      <c r="F521" s="101">
        <v>0.41</v>
      </c>
      <c r="G521" s="96">
        <f t="shared" si="33"/>
        <v>6</v>
      </c>
      <c r="I521" s="96"/>
      <c r="K521" t="str">
        <f t="shared" si="34"/>
        <v>CTX6</v>
      </c>
      <c r="L521" s="73" t="s">
        <v>118</v>
      </c>
      <c r="M521" s="72">
        <v>40970</v>
      </c>
      <c r="N521" s="84">
        <v>0.41</v>
      </c>
      <c r="O521" s="96">
        <f t="shared" si="35"/>
        <v>6</v>
      </c>
      <c r="Q521" s="96"/>
      <c r="R521">
        <f>R520</f>
        <v>0</v>
      </c>
      <c r="S521" t="str">
        <f>IF(ISNA(VLOOKUP($R521&amp;S$2,$K$3:$N$4001,3,0)),"",VLOOKUP($R521&amp;S$2,$K$3:$N$4001,3,0))</f>
        <v/>
      </c>
      <c r="T521" s="110" t="str">
        <f>IF(ISNA(VLOOKUP($R521&amp;S$2,$K$3:$N$4001,4,0)),"",VLOOKUP($R521&amp;S$2,$K$3:$N$4001,4,0))</f>
        <v/>
      </c>
    </row>
    <row r="522" spans="3:20" x14ac:dyDescent="0.2">
      <c r="C522" s="96" t="str">
        <f t="shared" si="32"/>
        <v>CTX7</v>
      </c>
      <c r="D522" s="73" t="s">
        <v>118</v>
      </c>
      <c r="E522" s="100">
        <v>41155</v>
      </c>
      <c r="F522" s="101">
        <v>0.3</v>
      </c>
      <c r="G522" s="96">
        <f t="shared" si="33"/>
        <v>7</v>
      </c>
      <c r="I522" s="96"/>
      <c r="K522" t="str">
        <f t="shared" si="34"/>
        <v>CTX7</v>
      </c>
      <c r="L522" s="73" t="s">
        <v>118</v>
      </c>
      <c r="M522" s="72">
        <v>41155</v>
      </c>
      <c r="N522" s="84">
        <v>0.3</v>
      </c>
      <c r="O522" s="96">
        <f t="shared" si="35"/>
        <v>7</v>
      </c>
      <c r="Q522" s="96"/>
      <c r="R522">
        <v>0</v>
      </c>
      <c r="S522" t="str">
        <f>IF(ISNA(VLOOKUP($R522&amp;S$2,$C$3:$F$4001,3,0)),"",VLOOKUP($R522&amp;S$2,$C$3:$F$4001,3,0))</f>
        <v/>
      </c>
      <c r="T522" s="110" t="str">
        <f>IF(ISNA(VLOOKUP($R522&amp;S$2,$C$3:$F$4001,4,0)),"",VLOOKUP($R522&amp;S$2,$C$3:$F$4001,4,0))</f>
        <v/>
      </c>
    </row>
    <row r="523" spans="3:20" x14ac:dyDescent="0.2">
      <c r="C523" s="96" t="str">
        <f t="shared" si="32"/>
        <v>CTX8</v>
      </c>
      <c r="D523" s="73" t="s">
        <v>118</v>
      </c>
      <c r="E523" s="100">
        <v>41337</v>
      </c>
      <c r="F523" s="101">
        <v>0.45</v>
      </c>
      <c r="G523" s="96">
        <f t="shared" si="33"/>
        <v>8</v>
      </c>
      <c r="I523" s="96"/>
      <c r="K523" t="str">
        <f t="shared" si="34"/>
        <v>CTX8</v>
      </c>
      <c r="L523" s="73" t="s">
        <v>118</v>
      </c>
      <c r="M523" s="72">
        <v>41337</v>
      </c>
      <c r="N523" s="84">
        <v>0.45</v>
      </c>
      <c r="O523" s="96">
        <f t="shared" si="35"/>
        <v>8</v>
      </c>
      <c r="Q523" s="96"/>
      <c r="R523">
        <f>R522</f>
        <v>0</v>
      </c>
      <c r="S523" t="str">
        <f>IF(ISNA(VLOOKUP($R523&amp;S$2,$K$3:$N$4001,3,0)),"",VLOOKUP($R523&amp;S$2,$K$3:$N$4001,3,0))</f>
        <v/>
      </c>
      <c r="T523" s="110" t="str">
        <f>IF(ISNA(VLOOKUP($R523&amp;S$2,$K$3:$N$4001,4,0)),"",VLOOKUP($R523&amp;S$2,$K$3:$N$4001,4,0))</f>
        <v/>
      </c>
    </row>
    <row r="524" spans="3:20" x14ac:dyDescent="0.2">
      <c r="C524" s="96" t="str">
        <f t="shared" si="32"/>
        <v>CWN1</v>
      </c>
      <c r="D524" s="73" t="s">
        <v>119</v>
      </c>
      <c r="E524" s="100">
        <v>39909</v>
      </c>
      <c r="F524" s="101">
        <v>0.18</v>
      </c>
      <c r="G524" s="96">
        <f t="shared" si="33"/>
        <v>1</v>
      </c>
      <c r="I524" s="96"/>
      <c r="K524" t="str">
        <f t="shared" si="34"/>
        <v>CWN1</v>
      </c>
      <c r="L524" s="73" t="s">
        <v>119</v>
      </c>
      <c r="M524" s="72">
        <v>39909</v>
      </c>
      <c r="N524" s="84">
        <v>0.18</v>
      </c>
      <c r="O524" s="96">
        <f t="shared" si="35"/>
        <v>1</v>
      </c>
      <c r="Q524" s="96"/>
      <c r="R524">
        <v>0</v>
      </c>
      <c r="S524" t="str">
        <f>IF(ISNA(VLOOKUP($R524&amp;S$2,$C$3:$F$4001,3,0)),"",VLOOKUP($R524&amp;S$2,$C$3:$F$4001,3,0))</f>
        <v/>
      </c>
      <c r="T524" s="110" t="str">
        <f>IF(ISNA(VLOOKUP($R524&amp;S$2,$C$3:$F$4001,4,0)),"",VLOOKUP($R524&amp;S$2,$C$3:$F$4001,4,0))</f>
        <v/>
      </c>
    </row>
    <row r="525" spans="3:20" x14ac:dyDescent="0.2">
      <c r="C525" s="96" t="str">
        <f t="shared" si="32"/>
        <v>CWN2</v>
      </c>
      <c r="D525" s="73" t="s">
        <v>119</v>
      </c>
      <c r="E525" s="100">
        <v>40092</v>
      </c>
      <c r="F525" s="101">
        <v>0.22</v>
      </c>
      <c r="G525" s="96">
        <f t="shared" si="33"/>
        <v>2</v>
      </c>
      <c r="I525" s="96"/>
      <c r="K525" t="str">
        <f t="shared" si="34"/>
        <v>CWN2</v>
      </c>
      <c r="L525" s="73" t="s">
        <v>119</v>
      </c>
      <c r="M525" s="72">
        <v>40092</v>
      </c>
      <c r="N525" s="84">
        <v>0.22</v>
      </c>
      <c r="O525" s="96">
        <f t="shared" si="35"/>
        <v>2</v>
      </c>
      <c r="Q525" s="96"/>
      <c r="R525">
        <f>R524</f>
        <v>0</v>
      </c>
      <c r="S525" t="str">
        <f>IF(ISNA(VLOOKUP($R525&amp;S$2,$K$3:$N$4001,3,0)),"",VLOOKUP($R525&amp;S$2,$K$3:$N$4001,3,0))</f>
        <v/>
      </c>
      <c r="T525" s="110" t="str">
        <f>IF(ISNA(VLOOKUP($R525&amp;S$2,$K$3:$N$4001,4,0)),"",VLOOKUP($R525&amp;S$2,$K$3:$N$4001,4,0))</f>
        <v/>
      </c>
    </row>
    <row r="526" spans="3:20" x14ac:dyDescent="0.2">
      <c r="C526" s="96" t="str">
        <f t="shared" si="32"/>
        <v>CWN3</v>
      </c>
      <c r="D526" s="73" t="s">
        <v>119</v>
      </c>
      <c r="E526" s="100">
        <v>40276</v>
      </c>
      <c r="F526" s="101">
        <v>0.25</v>
      </c>
      <c r="G526" s="96">
        <f t="shared" si="33"/>
        <v>3</v>
      </c>
      <c r="I526" s="96"/>
      <c r="K526" t="str">
        <f t="shared" si="34"/>
        <v>CWN3</v>
      </c>
      <c r="L526" s="73" t="s">
        <v>119</v>
      </c>
      <c r="M526" s="72">
        <v>40276</v>
      </c>
      <c r="N526" s="84">
        <v>0.25</v>
      </c>
      <c r="O526" s="96">
        <f t="shared" si="35"/>
        <v>3</v>
      </c>
      <c r="Q526" s="96"/>
      <c r="R526">
        <v>0</v>
      </c>
      <c r="S526" t="str">
        <f>IF(ISNA(VLOOKUP($R526&amp;S$2,$C$3:$F$4001,3,0)),"",VLOOKUP($R526&amp;S$2,$C$3:$F$4001,3,0))</f>
        <v/>
      </c>
      <c r="T526" s="110" t="str">
        <f>IF(ISNA(VLOOKUP($R526&amp;S$2,$C$3:$F$4001,4,0)),"",VLOOKUP($R526&amp;S$2,$C$3:$F$4001,4,0))</f>
        <v/>
      </c>
    </row>
    <row r="527" spans="3:20" x14ac:dyDescent="0.2">
      <c r="C527" s="96" t="str">
        <f t="shared" si="32"/>
        <v>CWN4</v>
      </c>
      <c r="D527" s="73" t="s">
        <v>119</v>
      </c>
      <c r="E527" s="100">
        <v>40457</v>
      </c>
      <c r="F527" s="101">
        <v>0.28999999999999998</v>
      </c>
      <c r="G527" s="96">
        <f t="shared" si="33"/>
        <v>4</v>
      </c>
      <c r="I527" s="96"/>
      <c r="K527" t="str">
        <f t="shared" si="34"/>
        <v>CWN4</v>
      </c>
      <c r="L527" s="73" t="s">
        <v>119</v>
      </c>
      <c r="M527" s="72">
        <v>40457</v>
      </c>
      <c r="N527" s="84">
        <v>0.28999999999999998</v>
      </c>
      <c r="O527" s="96">
        <f t="shared" si="35"/>
        <v>4</v>
      </c>
      <c r="Q527" s="96"/>
      <c r="R527">
        <f>R526</f>
        <v>0</v>
      </c>
      <c r="S527" t="str">
        <f>IF(ISNA(VLOOKUP($R527&amp;S$2,$K$3:$N$4001,3,0)),"",VLOOKUP($R527&amp;S$2,$K$3:$N$4001,3,0))</f>
        <v/>
      </c>
      <c r="T527" s="110" t="str">
        <f>IF(ISNA(VLOOKUP($R527&amp;S$2,$K$3:$N$4001,4,0)),"",VLOOKUP($R527&amp;S$2,$K$3:$N$4001,4,0))</f>
        <v/>
      </c>
    </row>
    <row r="528" spans="3:20" x14ac:dyDescent="0.2">
      <c r="C528" s="96" t="str">
        <f t="shared" si="32"/>
        <v>CWN5</v>
      </c>
      <c r="D528" s="73" t="s">
        <v>119</v>
      </c>
      <c r="E528" s="100">
        <v>40641</v>
      </c>
      <c r="F528" s="101">
        <v>0.3</v>
      </c>
      <c r="G528" s="96">
        <f t="shared" si="33"/>
        <v>5</v>
      </c>
      <c r="I528" s="96"/>
      <c r="K528" t="str">
        <f t="shared" si="34"/>
        <v>CWN5</v>
      </c>
      <c r="L528" s="73" t="s">
        <v>119</v>
      </c>
      <c r="M528" s="72">
        <v>40641</v>
      </c>
      <c r="N528" s="84">
        <v>0.3</v>
      </c>
      <c r="O528" s="96">
        <f t="shared" si="35"/>
        <v>5</v>
      </c>
      <c r="Q528" s="96"/>
      <c r="R528">
        <v>0</v>
      </c>
      <c r="S528" t="str">
        <f>IF(ISNA(VLOOKUP($R528&amp;S$2,$C$3:$F$4001,3,0)),"",VLOOKUP($R528&amp;S$2,$C$3:$F$4001,3,0))</f>
        <v/>
      </c>
      <c r="T528" s="110" t="str">
        <f>IF(ISNA(VLOOKUP($R528&amp;S$2,$C$3:$F$4001,4,0)),"",VLOOKUP($R528&amp;S$2,$C$3:$F$4001,4,0))</f>
        <v/>
      </c>
    </row>
    <row r="529" spans="3:20" x14ac:dyDescent="0.2">
      <c r="C529" s="96" t="str">
        <f t="shared" si="32"/>
        <v>CWN6</v>
      </c>
      <c r="D529" s="73" t="s">
        <v>119</v>
      </c>
      <c r="E529" s="100">
        <v>40822</v>
      </c>
      <c r="F529" s="101">
        <v>0.34</v>
      </c>
      <c r="G529" s="96">
        <f t="shared" si="33"/>
        <v>6</v>
      </c>
      <c r="I529" s="96"/>
      <c r="K529" t="str">
        <f t="shared" si="34"/>
        <v>CWN6</v>
      </c>
      <c r="L529" s="73" t="s">
        <v>119</v>
      </c>
      <c r="M529" s="72">
        <v>40822</v>
      </c>
      <c r="N529" s="84">
        <v>0.34</v>
      </c>
      <c r="O529" s="96">
        <f t="shared" si="35"/>
        <v>6</v>
      </c>
      <c r="Q529" s="96"/>
      <c r="R529">
        <f>R528</f>
        <v>0</v>
      </c>
      <c r="S529" t="str">
        <f>IF(ISNA(VLOOKUP($R529&amp;S$2,$K$3:$N$4001,3,0)),"",VLOOKUP($R529&amp;S$2,$K$3:$N$4001,3,0))</f>
        <v/>
      </c>
      <c r="T529" s="110" t="str">
        <f>IF(ISNA(VLOOKUP($R529&amp;S$2,$K$3:$N$4001,4,0)),"",VLOOKUP($R529&amp;S$2,$K$3:$N$4001,4,0))</f>
        <v/>
      </c>
    </row>
    <row r="530" spans="3:20" x14ac:dyDescent="0.2">
      <c r="C530" s="96" t="str">
        <f t="shared" si="32"/>
        <v>CWN7</v>
      </c>
      <c r="D530" s="73" t="s">
        <v>119</v>
      </c>
      <c r="E530" s="100">
        <v>41009</v>
      </c>
      <c r="F530" s="101">
        <v>0.33</v>
      </c>
      <c r="G530" s="96">
        <f t="shared" si="33"/>
        <v>7</v>
      </c>
      <c r="I530" s="96"/>
      <c r="K530" t="str">
        <f t="shared" si="34"/>
        <v>CWN7</v>
      </c>
      <c r="L530" s="73" t="s">
        <v>119</v>
      </c>
      <c r="M530" s="72">
        <v>41009</v>
      </c>
      <c r="N530" s="84">
        <v>0.33</v>
      </c>
      <c r="O530" s="96">
        <f t="shared" si="35"/>
        <v>7</v>
      </c>
      <c r="Q530" s="96"/>
      <c r="R530">
        <v>0</v>
      </c>
      <c r="S530" t="str">
        <f>IF(ISNA(VLOOKUP($R530&amp;S$2,$C$3:$F$4001,3,0)),"",VLOOKUP($R530&amp;S$2,$C$3:$F$4001,3,0))</f>
        <v/>
      </c>
      <c r="T530" s="110" t="str">
        <f>IF(ISNA(VLOOKUP($R530&amp;S$2,$C$3:$F$4001,4,0)),"",VLOOKUP($R530&amp;S$2,$C$3:$F$4001,4,0))</f>
        <v/>
      </c>
    </row>
    <row r="531" spans="3:20" x14ac:dyDescent="0.2">
      <c r="C531" s="96" t="str">
        <f t="shared" si="32"/>
        <v>CWN8</v>
      </c>
      <c r="D531" s="73" t="s">
        <v>119</v>
      </c>
      <c r="E531" s="100">
        <v>41190</v>
      </c>
      <c r="F531" s="101">
        <v>0.37</v>
      </c>
      <c r="G531" s="96">
        <f t="shared" si="33"/>
        <v>8</v>
      </c>
      <c r="I531" s="96"/>
      <c r="K531" t="str">
        <f t="shared" si="34"/>
        <v>CWN8</v>
      </c>
      <c r="L531" s="73" t="s">
        <v>119</v>
      </c>
      <c r="M531" s="72">
        <v>41190</v>
      </c>
      <c r="N531" s="84">
        <v>0.37</v>
      </c>
      <c r="O531" s="96">
        <f t="shared" si="35"/>
        <v>8</v>
      </c>
      <c r="Q531" s="96"/>
      <c r="R531">
        <f>R530</f>
        <v>0</v>
      </c>
      <c r="S531" t="str">
        <f>IF(ISNA(VLOOKUP($R531&amp;S$2,$K$3:$N$4001,3,0)),"",VLOOKUP($R531&amp;S$2,$K$3:$N$4001,3,0))</f>
        <v/>
      </c>
      <c r="T531" s="110" t="str">
        <f>IF(ISNA(VLOOKUP($R531&amp;S$2,$K$3:$N$4001,4,0)),"",VLOOKUP($R531&amp;S$2,$K$3:$N$4001,4,0))</f>
        <v/>
      </c>
    </row>
    <row r="532" spans="3:20" x14ac:dyDescent="0.2">
      <c r="C532" s="96" t="str">
        <f t="shared" si="32"/>
        <v>CWN9</v>
      </c>
      <c r="D532" s="73" t="s">
        <v>119</v>
      </c>
      <c r="E532" s="100">
        <v>41374</v>
      </c>
      <c r="F532" s="101">
        <v>0.38</v>
      </c>
      <c r="G532" s="96">
        <f t="shared" si="33"/>
        <v>9</v>
      </c>
      <c r="I532" s="96"/>
      <c r="K532" t="str">
        <f t="shared" si="34"/>
        <v>CWN9</v>
      </c>
      <c r="L532" s="73" t="s">
        <v>119</v>
      </c>
      <c r="M532" s="72">
        <v>41374</v>
      </c>
      <c r="N532" s="84">
        <v>0.38</v>
      </c>
      <c r="O532" s="96">
        <f t="shared" si="35"/>
        <v>9</v>
      </c>
      <c r="Q532" s="96"/>
      <c r="R532">
        <v>0</v>
      </c>
      <c r="S532" t="str">
        <f>IF(ISNA(VLOOKUP($R532&amp;S$2,$C$3:$F$4001,3,0)),"",VLOOKUP($R532&amp;S$2,$C$3:$F$4001,3,0))</f>
        <v/>
      </c>
      <c r="T532" s="110" t="str">
        <f>IF(ISNA(VLOOKUP($R532&amp;S$2,$C$3:$F$4001,4,0)),"",VLOOKUP($R532&amp;S$2,$C$3:$F$4001,4,0))</f>
        <v/>
      </c>
    </row>
    <row r="533" spans="3:20" x14ac:dyDescent="0.2">
      <c r="C533" s="96" t="str">
        <f t="shared" si="32"/>
        <v>CWN10</v>
      </c>
      <c r="D533" s="73" t="s">
        <v>119</v>
      </c>
      <c r="E533" s="100">
        <v>41555</v>
      </c>
      <c r="F533" s="101">
        <v>0.42</v>
      </c>
      <c r="G533" s="96">
        <f t="shared" si="33"/>
        <v>10</v>
      </c>
      <c r="I533" s="96"/>
      <c r="K533" t="str">
        <f t="shared" si="34"/>
        <v>CWN10</v>
      </c>
      <c r="L533" s="73" t="s">
        <v>119</v>
      </c>
      <c r="M533" s="72">
        <v>41555</v>
      </c>
      <c r="N533" s="84">
        <v>0.42</v>
      </c>
      <c r="O533" s="96">
        <f t="shared" si="35"/>
        <v>10</v>
      </c>
      <c r="Q533" s="96"/>
      <c r="R533">
        <f>R532</f>
        <v>0</v>
      </c>
      <c r="S533" t="str">
        <f>IF(ISNA(VLOOKUP($R533&amp;S$2,$K$3:$N$4001,3,0)),"",VLOOKUP($R533&amp;S$2,$K$3:$N$4001,3,0))</f>
        <v/>
      </c>
      <c r="T533" s="110" t="str">
        <f>IF(ISNA(VLOOKUP($R533&amp;S$2,$K$3:$N$4001,4,0)),"",VLOOKUP($R533&amp;S$2,$K$3:$N$4001,4,0))</f>
        <v/>
      </c>
    </row>
    <row r="534" spans="3:20" x14ac:dyDescent="0.2">
      <c r="C534" s="96" t="str">
        <f t="shared" si="32"/>
        <v>CXP1</v>
      </c>
      <c r="D534" s="73" t="s">
        <v>120</v>
      </c>
      <c r="E534" s="100">
        <v>39895</v>
      </c>
      <c r="F534" s="101">
        <v>0.13500000000000001</v>
      </c>
      <c r="G534" s="96">
        <f t="shared" si="33"/>
        <v>1</v>
      </c>
      <c r="I534" s="96"/>
      <c r="K534" t="str">
        <f t="shared" si="34"/>
        <v>CXP1</v>
      </c>
      <c r="L534" s="73" t="s">
        <v>120</v>
      </c>
      <c r="M534" s="72">
        <v>39895</v>
      </c>
      <c r="N534" s="84">
        <v>0.13500000000000001</v>
      </c>
      <c r="O534" s="96">
        <f t="shared" si="35"/>
        <v>1</v>
      </c>
      <c r="Q534" s="96"/>
      <c r="R534">
        <v>0</v>
      </c>
      <c r="S534" t="str">
        <f>IF(ISNA(VLOOKUP($R534&amp;S$2,$C$3:$F$4001,3,0)),"",VLOOKUP($R534&amp;S$2,$C$3:$F$4001,3,0))</f>
        <v/>
      </c>
      <c r="T534" s="110" t="str">
        <f>IF(ISNA(VLOOKUP($R534&amp;S$2,$C$3:$F$4001,4,0)),"",VLOOKUP($R534&amp;S$2,$C$3:$F$4001,4,0))</f>
        <v/>
      </c>
    </row>
    <row r="535" spans="3:20" x14ac:dyDescent="0.2">
      <c r="C535" s="96" t="str">
        <f t="shared" si="32"/>
        <v>CXP2</v>
      </c>
      <c r="D535" s="73" t="s">
        <v>120</v>
      </c>
      <c r="E535" s="100">
        <v>40098</v>
      </c>
      <c r="F535" s="101">
        <v>0.13200000000000001</v>
      </c>
      <c r="G535" s="96">
        <f t="shared" si="33"/>
        <v>2</v>
      </c>
      <c r="I535" s="96"/>
      <c r="K535" t="str">
        <f t="shared" si="34"/>
        <v>CXP2</v>
      </c>
      <c r="L535" s="73" t="s">
        <v>120</v>
      </c>
      <c r="M535" s="72">
        <v>40098</v>
      </c>
      <c r="N535" s="84">
        <v>0.13200000000000001</v>
      </c>
      <c r="O535" s="96">
        <f t="shared" si="35"/>
        <v>2</v>
      </c>
      <c r="Q535" s="96"/>
      <c r="R535">
        <f>R534</f>
        <v>0</v>
      </c>
      <c r="S535" t="str">
        <f>IF(ISNA(VLOOKUP($R535&amp;S$2,$K$3:$N$4001,3,0)),"",VLOOKUP($R535&amp;S$2,$K$3:$N$4001,3,0))</f>
        <v/>
      </c>
      <c r="T535" s="110" t="str">
        <f>IF(ISNA(VLOOKUP($R535&amp;S$2,$K$3:$N$4001,4,0)),"",VLOOKUP($R535&amp;S$2,$K$3:$N$4001,4,0))</f>
        <v/>
      </c>
    </row>
    <row r="536" spans="3:20" x14ac:dyDescent="0.2">
      <c r="C536" s="96" t="str">
        <f t="shared" si="32"/>
        <v>CXP3</v>
      </c>
      <c r="D536" s="73" t="s">
        <v>120</v>
      </c>
      <c r="E536" s="100">
        <v>40260</v>
      </c>
      <c r="F536" s="101">
        <v>0.13200000000000001</v>
      </c>
      <c r="G536" s="96">
        <f t="shared" si="33"/>
        <v>3</v>
      </c>
      <c r="I536" s="96"/>
      <c r="K536" t="str">
        <f t="shared" si="34"/>
        <v>CXP3</v>
      </c>
      <c r="L536" s="73" t="s">
        <v>120</v>
      </c>
      <c r="M536" s="72">
        <v>40260</v>
      </c>
      <c r="N536" s="84">
        <v>0.13200000000000001</v>
      </c>
      <c r="O536" s="96">
        <f t="shared" si="35"/>
        <v>3</v>
      </c>
      <c r="Q536" s="96"/>
      <c r="R536">
        <v>0</v>
      </c>
      <c r="S536" t="str">
        <f>IF(ISNA(VLOOKUP($R536&amp;S$2,$C$3:$F$4001,3,0)),"",VLOOKUP($R536&amp;S$2,$C$3:$F$4001,3,0))</f>
        <v/>
      </c>
      <c r="T536" s="110" t="str">
        <f>IF(ISNA(VLOOKUP($R536&amp;S$2,$C$3:$F$4001,4,0)),"",VLOOKUP($R536&amp;S$2,$C$3:$F$4001,4,0))</f>
        <v/>
      </c>
    </row>
    <row r="537" spans="3:20" x14ac:dyDescent="0.2">
      <c r="C537" s="96" t="str">
        <f t="shared" si="32"/>
        <v>CXP4</v>
      </c>
      <c r="D537" s="73" t="s">
        <v>120</v>
      </c>
      <c r="E537" s="100">
        <v>40463</v>
      </c>
      <c r="F537" s="101">
        <v>0.14249999999999999</v>
      </c>
      <c r="G537" s="96">
        <f t="shared" si="33"/>
        <v>4</v>
      </c>
      <c r="I537" s="96"/>
      <c r="K537" t="str">
        <f t="shared" si="34"/>
        <v>CXP4</v>
      </c>
      <c r="L537" s="73" t="s">
        <v>120</v>
      </c>
      <c r="M537" s="72">
        <v>40463</v>
      </c>
      <c r="N537" s="84">
        <v>0.14249999999999999</v>
      </c>
      <c r="O537" s="96">
        <f t="shared" si="35"/>
        <v>4</v>
      </c>
      <c r="Q537" s="96"/>
      <c r="R537">
        <f>R536</f>
        <v>0</v>
      </c>
      <c r="S537" t="str">
        <f>IF(ISNA(VLOOKUP($R537&amp;S$2,$K$3:$N$4001,3,0)),"",VLOOKUP($R537&amp;S$2,$K$3:$N$4001,3,0))</f>
        <v/>
      </c>
      <c r="T537" s="110" t="str">
        <f>IF(ISNA(VLOOKUP($R537&amp;S$2,$K$3:$N$4001,4,0)),"",VLOOKUP($R537&amp;S$2,$K$3:$N$4001,4,0))</f>
        <v/>
      </c>
    </row>
    <row r="538" spans="3:20" x14ac:dyDescent="0.2">
      <c r="C538" s="96" t="str">
        <f t="shared" si="32"/>
        <v>CXP5</v>
      </c>
      <c r="D538" s="73" t="s">
        <v>120</v>
      </c>
      <c r="E538" s="100">
        <v>40625</v>
      </c>
      <c r="F538" s="101">
        <v>0.14249999999999999</v>
      </c>
      <c r="G538" s="96">
        <f t="shared" si="33"/>
        <v>5</v>
      </c>
      <c r="I538" s="96"/>
      <c r="K538" t="str">
        <f t="shared" si="34"/>
        <v>CXP5</v>
      </c>
      <c r="L538" s="73" t="s">
        <v>120</v>
      </c>
      <c r="M538" s="72">
        <v>40625</v>
      </c>
      <c r="N538" s="84">
        <v>0.14249999999999999</v>
      </c>
      <c r="O538" s="96">
        <f t="shared" si="35"/>
        <v>5</v>
      </c>
      <c r="Q538" s="96"/>
      <c r="R538">
        <v>0</v>
      </c>
      <c r="S538" t="str">
        <f>IF(ISNA(VLOOKUP($R538&amp;S$2,$C$3:$F$4001,3,0)),"",VLOOKUP($R538&amp;S$2,$C$3:$F$4001,3,0))</f>
        <v/>
      </c>
      <c r="T538" s="110" t="str">
        <f>IF(ISNA(VLOOKUP($R538&amp;S$2,$C$3:$F$4001,4,0)),"",VLOOKUP($R538&amp;S$2,$C$3:$F$4001,4,0))</f>
        <v/>
      </c>
    </row>
    <row r="539" spans="3:20" x14ac:dyDescent="0.2">
      <c r="C539" s="96" t="str">
        <f t="shared" si="32"/>
        <v>CXP6</v>
      </c>
      <c r="D539" s="73" t="s">
        <v>120</v>
      </c>
      <c r="E539" s="100">
        <v>40828</v>
      </c>
      <c r="F539" s="101">
        <v>0.14449999999999999</v>
      </c>
      <c r="G539" s="96">
        <f t="shared" si="33"/>
        <v>6</v>
      </c>
      <c r="I539" s="96"/>
      <c r="K539" t="str">
        <f t="shared" si="34"/>
        <v>CXP6</v>
      </c>
      <c r="L539" s="73" t="s">
        <v>120</v>
      </c>
      <c r="M539" s="72">
        <v>40828</v>
      </c>
      <c r="N539" s="84">
        <v>0.14449999999999999</v>
      </c>
      <c r="O539" s="96">
        <f t="shared" si="35"/>
        <v>6</v>
      </c>
      <c r="Q539" s="96"/>
      <c r="R539">
        <f>R538</f>
        <v>0</v>
      </c>
      <c r="S539" t="str">
        <f>IF(ISNA(VLOOKUP($R539&amp;S$2,$K$3:$N$4001,3,0)),"",VLOOKUP($R539&amp;S$2,$K$3:$N$4001,3,0))</f>
        <v/>
      </c>
      <c r="T539" s="110" t="str">
        <f>IF(ISNA(VLOOKUP($R539&amp;S$2,$K$3:$N$4001,4,0)),"",VLOOKUP($R539&amp;S$2,$K$3:$N$4001,4,0))</f>
        <v/>
      </c>
    </row>
    <row r="540" spans="3:20" x14ac:dyDescent="0.2">
      <c r="C540" s="96" t="str">
        <f t="shared" si="32"/>
        <v>CXP7</v>
      </c>
      <c r="D540" s="73" t="s">
        <v>120</v>
      </c>
      <c r="E540" s="100">
        <v>40991</v>
      </c>
      <c r="F540" s="101">
        <v>0.14449999999999999</v>
      </c>
      <c r="G540" s="96">
        <f t="shared" si="33"/>
        <v>7</v>
      </c>
      <c r="I540" s="96"/>
      <c r="K540" t="str">
        <f t="shared" si="34"/>
        <v>CXP7</v>
      </c>
      <c r="L540" s="73" t="s">
        <v>120</v>
      </c>
      <c r="M540" s="72">
        <v>40991</v>
      </c>
      <c r="N540" s="84">
        <v>0.14449999999999999</v>
      </c>
      <c r="O540" s="96">
        <f t="shared" si="35"/>
        <v>7</v>
      </c>
      <c r="Q540" s="96"/>
      <c r="R540">
        <v>0</v>
      </c>
      <c r="S540" t="str">
        <f>IF(ISNA(VLOOKUP($R540&amp;S$2,$C$3:$F$4001,3,0)),"",VLOOKUP($R540&amp;S$2,$C$3:$F$4001,3,0))</f>
        <v/>
      </c>
      <c r="T540" s="110" t="str">
        <f>IF(ISNA(VLOOKUP($R540&amp;S$2,$C$3:$F$4001,4,0)),"",VLOOKUP($R540&amp;S$2,$C$3:$F$4001,4,0))</f>
        <v/>
      </c>
    </row>
    <row r="541" spans="3:20" x14ac:dyDescent="0.2">
      <c r="C541" s="96" t="str">
        <f t="shared" si="32"/>
        <v>CXP8</v>
      </c>
      <c r="D541" s="73" t="s">
        <v>120</v>
      </c>
      <c r="E541" s="100">
        <v>41194</v>
      </c>
      <c r="F541" s="101">
        <v>0.1545</v>
      </c>
      <c r="G541" s="96">
        <f t="shared" si="33"/>
        <v>8</v>
      </c>
      <c r="I541" s="96"/>
      <c r="K541" t="str">
        <f t="shared" si="34"/>
        <v>CXP8</v>
      </c>
      <c r="L541" s="73" t="s">
        <v>120</v>
      </c>
      <c r="M541" s="72">
        <v>41194</v>
      </c>
      <c r="N541" s="84">
        <v>0.1545</v>
      </c>
      <c r="O541" s="96">
        <f t="shared" si="35"/>
        <v>8</v>
      </c>
      <c r="Q541" s="96"/>
      <c r="R541">
        <f>R540</f>
        <v>0</v>
      </c>
      <c r="S541" t="str">
        <f>IF(ISNA(VLOOKUP($R541&amp;S$2,$K$3:$N$4001,3,0)),"",VLOOKUP($R541&amp;S$2,$K$3:$N$4001,3,0))</f>
        <v/>
      </c>
      <c r="T541" s="110" t="str">
        <f>IF(ISNA(VLOOKUP($R541&amp;S$2,$K$3:$N$4001,4,0)),"",VLOOKUP($R541&amp;S$2,$K$3:$N$4001,4,0))</f>
        <v/>
      </c>
    </row>
    <row r="542" spans="3:20" x14ac:dyDescent="0.2">
      <c r="C542" s="96" t="str">
        <f t="shared" si="32"/>
        <v>CXP9</v>
      </c>
      <c r="D542" s="73" t="s">
        <v>120</v>
      </c>
      <c r="E542" s="100">
        <v>41358</v>
      </c>
      <c r="F542" s="101">
        <v>0.1545</v>
      </c>
      <c r="G542" s="96">
        <f t="shared" si="33"/>
        <v>9</v>
      </c>
      <c r="I542" s="96"/>
      <c r="K542" t="str">
        <f t="shared" si="34"/>
        <v>CXP9</v>
      </c>
      <c r="L542" s="73" t="s">
        <v>120</v>
      </c>
      <c r="M542" s="72">
        <v>41358</v>
      </c>
      <c r="N542" s="84">
        <v>0.1545</v>
      </c>
      <c r="O542" s="96">
        <f t="shared" si="35"/>
        <v>9</v>
      </c>
      <c r="Q542" s="96"/>
      <c r="R542">
        <v>0</v>
      </c>
      <c r="S542" t="str">
        <f>IF(ISNA(VLOOKUP($R542&amp;S$2,$C$3:$F$4001,3,0)),"",VLOOKUP($R542&amp;S$2,$C$3:$F$4001,3,0))</f>
        <v/>
      </c>
      <c r="T542" s="110" t="str">
        <f>IF(ISNA(VLOOKUP($R542&amp;S$2,$C$3:$F$4001,4,0)),"",VLOOKUP($R542&amp;S$2,$C$3:$F$4001,4,0))</f>
        <v/>
      </c>
    </row>
    <row r="543" spans="3:20" x14ac:dyDescent="0.2">
      <c r="C543" s="96" t="str">
        <f t="shared" si="32"/>
        <v>DJS1</v>
      </c>
      <c r="D543" s="73" t="s">
        <v>121</v>
      </c>
      <c r="E543" s="100">
        <v>39909</v>
      </c>
      <c r="F543" s="101">
        <v>0.11</v>
      </c>
      <c r="G543" s="96">
        <f t="shared" si="33"/>
        <v>1</v>
      </c>
      <c r="I543" s="96"/>
      <c r="K543" t="str">
        <f t="shared" si="34"/>
        <v>DJS1</v>
      </c>
      <c r="L543" s="73" t="s">
        <v>121</v>
      </c>
      <c r="M543" s="72">
        <v>39909</v>
      </c>
      <c r="N543" s="84">
        <v>0.11</v>
      </c>
      <c r="O543" s="96">
        <f t="shared" si="35"/>
        <v>1</v>
      </c>
      <c r="Q543" s="96"/>
      <c r="R543">
        <f>R542</f>
        <v>0</v>
      </c>
      <c r="S543" t="str">
        <f>IF(ISNA(VLOOKUP($R543&amp;S$2,$K$3:$N$4001,3,0)),"",VLOOKUP($R543&amp;S$2,$K$3:$N$4001,3,0))</f>
        <v/>
      </c>
      <c r="T543" s="110" t="str">
        <f>IF(ISNA(VLOOKUP($R543&amp;S$2,$K$3:$N$4001,4,0)),"",VLOOKUP($R543&amp;S$2,$K$3:$N$4001,4,0))</f>
        <v/>
      </c>
    </row>
    <row r="544" spans="3:20" x14ac:dyDescent="0.2">
      <c r="C544" s="96" t="str">
        <f t="shared" si="32"/>
        <v>DJS2</v>
      </c>
      <c r="D544" s="73" t="s">
        <v>121</v>
      </c>
      <c r="E544" s="100">
        <v>40092</v>
      </c>
      <c r="F544" s="101">
        <v>0.16</v>
      </c>
      <c r="G544" s="96">
        <f t="shared" si="33"/>
        <v>2</v>
      </c>
      <c r="I544" s="96"/>
      <c r="K544" t="str">
        <f t="shared" si="34"/>
        <v>DJS2</v>
      </c>
      <c r="L544" s="73" t="s">
        <v>121</v>
      </c>
      <c r="M544" s="72">
        <v>40092</v>
      </c>
      <c r="N544" s="84">
        <v>0.16</v>
      </c>
      <c r="O544" s="96">
        <f t="shared" si="35"/>
        <v>2</v>
      </c>
      <c r="Q544" s="96"/>
      <c r="R544">
        <v>0</v>
      </c>
      <c r="S544" t="str">
        <f>IF(ISNA(VLOOKUP($R544&amp;S$2,$C$3:$F$4001,3,0)),"",VLOOKUP($R544&amp;S$2,$C$3:$F$4001,3,0))</f>
        <v/>
      </c>
      <c r="T544" s="110" t="str">
        <f>IF(ISNA(VLOOKUP($R544&amp;S$2,$C$3:$F$4001,4,0)),"",VLOOKUP($R544&amp;S$2,$C$3:$F$4001,4,0))</f>
        <v/>
      </c>
    </row>
    <row r="545" spans="3:20" x14ac:dyDescent="0.2">
      <c r="C545" s="96" t="str">
        <f t="shared" si="32"/>
        <v>DJS3</v>
      </c>
      <c r="D545" s="73" t="s">
        <v>121</v>
      </c>
      <c r="E545" s="100">
        <v>40276</v>
      </c>
      <c r="F545" s="101">
        <v>0.11</v>
      </c>
      <c r="G545" s="96">
        <f t="shared" si="33"/>
        <v>3</v>
      </c>
      <c r="I545" s="96"/>
      <c r="K545" t="str">
        <f t="shared" si="34"/>
        <v>DJS3</v>
      </c>
      <c r="L545" s="73" t="s">
        <v>121</v>
      </c>
      <c r="M545" s="72">
        <v>40276</v>
      </c>
      <c r="N545" s="84">
        <v>0.11</v>
      </c>
      <c r="O545" s="96">
        <f t="shared" si="35"/>
        <v>3</v>
      </c>
      <c r="Q545" s="96"/>
      <c r="R545">
        <f>R544</f>
        <v>0</v>
      </c>
      <c r="S545" t="str">
        <f>IF(ISNA(VLOOKUP($R545&amp;S$2,$K$3:$N$4001,3,0)),"",VLOOKUP($R545&amp;S$2,$K$3:$N$4001,3,0))</f>
        <v/>
      </c>
      <c r="T545" s="110" t="str">
        <f>IF(ISNA(VLOOKUP($R545&amp;S$2,$K$3:$N$4001,4,0)),"",VLOOKUP($R545&amp;S$2,$K$3:$N$4001,4,0))</f>
        <v/>
      </c>
    </row>
    <row r="546" spans="3:20" x14ac:dyDescent="0.2">
      <c r="C546" s="96" t="str">
        <f t="shared" si="32"/>
        <v>DJS4</v>
      </c>
      <c r="D546" s="73" t="s">
        <v>121</v>
      </c>
      <c r="E546" s="100">
        <v>40457</v>
      </c>
      <c r="F546" s="101">
        <v>0.16</v>
      </c>
      <c r="G546" s="96">
        <f t="shared" si="33"/>
        <v>4</v>
      </c>
      <c r="I546" s="96"/>
      <c r="K546" t="str">
        <f t="shared" si="34"/>
        <v>DJS4</v>
      </c>
      <c r="L546" s="73" t="s">
        <v>121</v>
      </c>
      <c r="M546" s="72">
        <v>40457</v>
      </c>
      <c r="N546" s="84">
        <v>0.16</v>
      </c>
      <c r="O546" s="96">
        <f t="shared" si="35"/>
        <v>4</v>
      </c>
      <c r="Q546" s="96"/>
      <c r="R546">
        <v>0</v>
      </c>
      <c r="S546" t="str">
        <f>IF(ISNA(VLOOKUP($R546&amp;S$2,$C$3:$F$4001,3,0)),"",VLOOKUP($R546&amp;S$2,$C$3:$F$4001,3,0))</f>
        <v/>
      </c>
      <c r="T546" s="110" t="str">
        <f>IF(ISNA(VLOOKUP($R546&amp;S$2,$C$3:$F$4001,4,0)),"",VLOOKUP($R546&amp;S$2,$C$3:$F$4001,4,0))</f>
        <v/>
      </c>
    </row>
    <row r="547" spans="3:20" x14ac:dyDescent="0.2">
      <c r="C547" s="96" t="str">
        <f t="shared" si="32"/>
        <v>DJS5</v>
      </c>
      <c r="D547" s="73" t="s">
        <v>121</v>
      </c>
      <c r="E547" s="100">
        <v>40641</v>
      </c>
      <c r="F547" s="101">
        <v>0.12</v>
      </c>
      <c r="G547" s="96">
        <f t="shared" si="33"/>
        <v>5</v>
      </c>
      <c r="I547" s="96"/>
      <c r="K547" t="str">
        <f t="shared" si="34"/>
        <v>DJS5</v>
      </c>
      <c r="L547" s="73" t="s">
        <v>121</v>
      </c>
      <c r="M547" s="72">
        <v>40641</v>
      </c>
      <c r="N547" s="84">
        <v>0.12</v>
      </c>
      <c r="O547" s="96">
        <f t="shared" si="35"/>
        <v>5</v>
      </c>
      <c r="Q547" s="96"/>
      <c r="R547">
        <f>R546</f>
        <v>0</v>
      </c>
      <c r="S547" t="str">
        <f>IF(ISNA(VLOOKUP($R547&amp;S$2,$K$3:$N$4001,3,0)),"",VLOOKUP($R547&amp;S$2,$K$3:$N$4001,3,0))</f>
        <v/>
      </c>
      <c r="T547" s="110" t="str">
        <f>IF(ISNA(VLOOKUP($R547&amp;S$2,$K$3:$N$4001,4,0)),"",VLOOKUP($R547&amp;S$2,$K$3:$N$4001,4,0))</f>
        <v/>
      </c>
    </row>
    <row r="548" spans="3:20" x14ac:dyDescent="0.2">
      <c r="C548" s="96" t="str">
        <f t="shared" si="32"/>
        <v>DJS6</v>
      </c>
      <c r="D548" s="73" t="s">
        <v>121</v>
      </c>
      <c r="E548" s="100">
        <v>40822</v>
      </c>
      <c r="F548" s="101">
        <v>0.16</v>
      </c>
      <c r="G548" s="96">
        <f t="shared" si="33"/>
        <v>6</v>
      </c>
      <c r="I548" s="96"/>
      <c r="K548" t="str">
        <f t="shared" si="34"/>
        <v>DJS6</v>
      </c>
      <c r="L548" s="73" t="s">
        <v>121</v>
      </c>
      <c r="M548" s="72">
        <v>40822</v>
      </c>
      <c r="N548" s="84">
        <v>0.16</v>
      </c>
      <c r="O548" s="96">
        <f t="shared" si="35"/>
        <v>6</v>
      </c>
      <c r="Q548" s="96"/>
      <c r="R548">
        <v>0</v>
      </c>
      <c r="S548" t="str">
        <f>IF(ISNA(VLOOKUP($R548&amp;S$2,$C$3:$F$4001,3,0)),"",VLOOKUP($R548&amp;S$2,$C$3:$F$4001,3,0))</f>
        <v/>
      </c>
      <c r="T548" s="110" t="str">
        <f>IF(ISNA(VLOOKUP($R548&amp;S$2,$C$3:$F$4001,4,0)),"",VLOOKUP($R548&amp;S$2,$C$3:$F$4001,4,0))</f>
        <v/>
      </c>
    </row>
    <row r="549" spans="3:20" x14ac:dyDescent="0.2">
      <c r="C549" s="96" t="str">
        <f t="shared" si="32"/>
        <v>DJS7</v>
      </c>
      <c r="D549" s="73" t="s">
        <v>121</v>
      </c>
      <c r="E549" s="100">
        <v>41009</v>
      </c>
      <c r="F549" s="101">
        <v>0.13</v>
      </c>
      <c r="G549" s="96">
        <f t="shared" si="33"/>
        <v>7</v>
      </c>
      <c r="I549" s="96"/>
      <c r="K549" t="str">
        <f t="shared" si="34"/>
        <v>DJS7</v>
      </c>
      <c r="L549" s="73" t="s">
        <v>121</v>
      </c>
      <c r="M549" s="72">
        <v>41009</v>
      </c>
      <c r="N549" s="84">
        <v>0.13</v>
      </c>
      <c r="O549" s="96">
        <f t="shared" si="35"/>
        <v>7</v>
      </c>
      <c r="Q549" s="96"/>
      <c r="R549">
        <f>R548</f>
        <v>0</v>
      </c>
      <c r="S549" t="str">
        <f>IF(ISNA(VLOOKUP($R549&amp;S$2,$K$3:$N$4001,3,0)),"",VLOOKUP($R549&amp;S$2,$K$3:$N$4001,3,0))</f>
        <v/>
      </c>
      <c r="T549" s="110" t="str">
        <f>IF(ISNA(VLOOKUP($R549&amp;S$2,$K$3:$N$4001,4,0)),"",VLOOKUP($R549&amp;S$2,$K$3:$N$4001,4,0))</f>
        <v/>
      </c>
    </row>
    <row r="550" spans="3:20" x14ac:dyDescent="0.2">
      <c r="C550" s="96" t="str">
        <f t="shared" si="32"/>
        <v>DJS8</v>
      </c>
      <c r="D550" s="73" t="s">
        <v>121</v>
      </c>
      <c r="E550" s="100">
        <v>41190</v>
      </c>
      <c r="F550" s="101">
        <v>0.17</v>
      </c>
      <c r="G550" s="96">
        <f t="shared" si="33"/>
        <v>8</v>
      </c>
      <c r="I550" s="96"/>
      <c r="K550" t="str">
        <f t="shared" si="34"/>
        <v>DJS8</v>
      </c>
      <c r="L550" s="73" t="s">
        <v>121</v>
      </c>
      <c r="M550" s="72">
        <v>41190</v>
      </c>
      <c r="N550" s="84">
        <v>0.17</v>
      </c>
      <c r="O550" s="96">
        <f t="shared" si="35"/>
        <v>8</v>
      </c>
      <c r="Q550" s="96"/>
      <c r="R550">
        <v>0</v>
      </c>
      <c r="S550" t="str">
        <f>IF(ISNA(VLOOKUP($R550&amp;S$2,$C$3:$F$4001,3,0)),"",VLOOKUP($R550&amp;S$2,$C$3:$F$4001,3,0))</f>
        <v/>
      </c>
      <c r="T550" s="110" t="str">
        <f>IF(ISNA(VLOOKUP($R550&amp;S$2,$C$3:$F$4001,4,0)),"",VLOOKUP($R550&amp;S$2,$C$3:$F$4001,4,0))</f>
        <v/>
      </c>
    </row>
    <row r="551" spans="3:20" x14ac:dyDescent="0.2">
      <c r="C551" s="96" t="str">
        <f t="shared" si="32"/>
        <v>DJS9</v>
      </c>
      <c r="D551" s="73" t="s">
        <v>121</v>
      </c>
      <c r="E551" s="100">
        <v>41374</v>
      </c>
      <c r="F551" s="101">
        <v>0.14000000000000001</v>
      </c>
      <c r="G551" s="96">
        <f t="shared" si="33"/>
        <v>9</v>
      </c>
      <c r="I551" s="96"/>
      <c r="K551" t="str">
        <f t="shared" si="34"/>
        <v>DJS9</v>
      </c>
      <c r="L551" s="73" t="s">
        <v>121</v>
      </c>
      <c r="M551" s="72">
        <v>41374</v>
      </c>
      <c r="N551" s="84">
        <v>0.14000000000000001</v>
      </c>
      <c r="O551" s="96">
        <f t="shared" si="35"/>
        <v>9</v>
      </c>
      <c r="Q551" s="96"/>
      <c r="R551">
        <f>R550</f>
        <v>0</v>
      </c>
      <c r="S551" t="str">
        <f>IF(ISNA(VLOOKUP($R551&amp;S$2,$K$3:$N$4001,3,0)),"",VLOOKUP($R551&amp;S$2,$K$3:$N$4001,3,0))</f>
        <v/>
      </c>
      <c r="T551" s="110" t="str">
        <f>IF(ISNA(VLOOKUP($R551&amp;S$2,$K$3:$N$4001,4,0)),"",VLOOKUP($R551&amp;S$2,$K$3:$N$4001,4,0))</f>
        <v/>
      </c>
    </row>
    <row r="552" spans="3:20" x14ac:dyDescent="0.2">
      <c r="C552" s="96" t="str">
        <f t="shared" si="32"/>
        <v>DJS10</v>
      </c>
      <c r="D552" s="73" t="s">
        <v>121</v>
      </c>
      <c r="E552" s="100">
        <v>41555</v>
      </c>
      <c r="F552" s="101">
        <v>0.18</v>
      </c>
      <c r="G552" s="96">
        <f t="shared" si="33"/>
        <v>10</v>
      </c>
      <c r="I552" s="96"/>
      <c r="K552" t="str">
        <f t="shared" si="34"/>
        <v>DJS10</v>
      </c>
      <c r="L552" s="73" t="s">
        <v>121</v>
      </c>
      <c r="M552" s="72">
        <v>41555</v>
      </c>
      <c r="N552" s="84">
        <v>0.18</v>
      </c>
      <c r="O552" s="96">
        <f t="shared" si="35"/>
        <v>10</v>
      </c>
      <c r="Q552" s="96"/>
      <c r="R552">
        <v>0</v>
      </c>
      <c r="S552" t="str">
        <f>IF(ISNA(VLOOKUP($R552&amp;S$2,$C$3:$F$4001,3,0)),"",VLOOKUP($R552&amp;S$2,$C$3:$F$4001,3,0))</f>
        <v/>
      </c>
      <c r="T552" s="110" t="str">
        <f>IF(ISNA(VLOOKUP($R552&amp;S$2,$C$3:$F$4001,4,0)),"",VLOOKUP($R552&amp;S$2,$C$3:$F$4001,4,0))</f>
        <v/>
      </c>
    </row>
    <row r="553" spans="3:20" x14ac:dyDescent="0.2">
      <c r="C553" s="96" t="str">
        <f t="shared" si="32"/>
        <v>DOW1</v>
      </c>
      <c r="D553" s="73" t="s">
        <v>122</v>
      </c>
      <c r="E553" s="100">
        <v>39875</v>
      </c>
      <c r="F553" s="101">
        <v>0.13</v>
      </c>
      <c r="G553" s="96">
        <f t="shared" si="33"/>
        <v>1</v>
      </c>
      <c r="I553" s="96"/>
      <c r="K553" t="str">
        <f t="shared" si="34"/>
        <v>DOW1</v>
      </c>
      <c r="L553" s="73" t="s">
        <v>122</v>
      </c>
      <c r="M553" s="72">
        <v>39875</v>
      </c>
      <c r="N553" s="84">
        <v>0.13</v>
      </c>
      <c r="O553" s="96">
        <f t="shared" si="35"/>
        <v>1</v>
      </c>
      <c r="Q553" s="96"/>
      <c r="R553">
        <f>R552</f>
        <v>0</v>
      </c>
      <c r="S553" t="str">
        <f>IF(ISNA(VLOOKUP($R553&amp;S$2,$K$3:$N$4001,3,0)),"",VLOOKUP($R553&amp;S$2,$K$3:$N$4001,3,0))</f>
        <v/>
      </c>
      <c r="T553" s="110" t="str">
        <f>IF(ISNA(VLOOKUP($R553&amp;S$2,$K$3:$N$4001,4,0)),"",VLOOKUP($R553&amp;S$2,$K$3:$N$4001,4,0))</f>
        <v/>
      </c>
    </row>
    <row r="554" spans="3:20" x14ac:dyDescent="0.2">
      <c r="C554" s="96" t="str">
        <f t="shared" si="32"/>
        <v>DOW2</v>
      </c>
      <c r="D554" s="73" t="s">
        <v>122</v>
      </c>
      <c r="E554" s="100">
        <v>40056</v>
      </c>
      <c r="F554" s="101">
        <v>0.15</v>
      </c>
      <c r="G554" s="96">
        <f t="shared" si="33"/>
        <v>2</v>
      </c>
      <c r="I554" s="96"/>
      <c r="K554" t="str">
        <f t="shared" si="34"/>
        <v>DOW2</v>
      </c>
      <c r="L554" s="73" t="s">
        <v>122</v>
      </c>
      <c r="M554" s="72">
        <v>40056</v>
      </c>
      <c r="N554" s="84">
        <v>0.15</v>
      </c>
      <c r="O554" s="96">
        <f t="shared" si="35"/>
        <v>2</v>
      </c>
      <c r="Q554" s="96"/>
      <c r="R554">
        <v>0</v>
      </c>
      <c r="S554" t="str">
        <f>IF(ISNA(VLOOKUP($R554&amp;S$2,$C$3:$F$4001,3,0)),"",VLOOKUP($R554&amp;S$2,$C$3:$F$4001,3,0))</f>
        <v/>
      </c>
      <c r="T554" s="110" t="str">
        <f>IF(ISNA(VLOOKUP($R554&amp;S$2,$C$3:$F$4001,4,0)),"",VLOOKUP($R554&amp;S$2,$C$3:$F$4001,4,0))</f>
        <v/>
      </c>
    </row>
    <row r="555" spans="3:20" x14ac:dyDescent="0.2">
      <c r="C555" s="96" t="str">
        <f t="shared" si="32"/>
        <v>DOW3</v>
      </c>
      <c r="D555" s="73" t="s">
        <v>122</v>
      </c>
      <c r="E555" s="100">
        <v>40241</v>
      </c>
      <c r="F555" s="101">
        <v>0.13500000000000001</v>
      </c>
      <c r="G555" s="96">
        <f t="shared" si="33"/>
        <v>3</v>
      </c>
      <c r="I555" s="96"/>
      <c r="K555" t="str">
        <f t="shared" si="34"/>
        <v>DOW3</v>
      </c>
      <c r="L555" s="73" t="s">
        <v>122</v>
      </c>
      <c r="M555" s="72">
        <v>40241</v>
      </c>
      <c r="N555" s="84">
        <v>0.13500000000000001</v>
      </c>
      <c r="O555" s="96">
        <f t="shared" si="35"/>
        <v>3</v>
      </c>
      <c r="Q555" s="96"/>
      <c r="R555">
        <f>R554</f>
        <v>0</v>
      </c>
      <c r="S555" t="str">
        <f>IF(ISNA(VLOOKUP($R555&amp;S$2,$K$3:$N$4001,3,0)),"",VLOOKUP($R555&amp;S$2,$K$3:$N$4001,3,0))</f>
        <v/>
      </c>
      <c r="T555" s="110" t="str">
        <f>IF(ISNA(VLOOKUP($R555&amp;S$2,$K$3:$N$4001,4,0)),"",VLOOKUP($R555&amp;S$2,$K$3:$N$4001,4,0))</f>
        <v/>
      </c>
    </row>
    <row r="556" spans="3:20" x14ac:dyDescent="0.2">
      <c r="C556" s="96" t="str">
        <f t="shared" si="32"/>
        <v>DOW4</v>
      </c>
      <c r="D556" s="73" t="s">
        <v>122</v>
      </c>
      <c r="E556" s="100">
        <v>40421</v>
      </c>
      <c r="F556" s="101">
        <v>0.16</v>
      </c>
      <c r="G556" s="96">
        <f t="shared" si="33"/>
        <v>4</v>
      </c>
      <c r="I556" s="96"/>
      <c r="K556" t="str">
        <f t="shared" si="34"/>
        <v>DOW4</v>
      </c>
      <c r="L556" s="73" t="s">
        <v>122</v>
      </c>
      <c r="M556" s="72">
        <v>40421</v>
      </c>
      <c r="N556" s="84">
        <v>0.16</v>
      </c>
      <c r="O556" s="96">
        <f t="shared" si="35"/>
        <v>4</v>
      </c>
      <c r="Q556" s="96"/>
      <c r="R556">
        <v>0</v>
      </c>
      <c r="S556" t="str">
        <f>IF(ISNA(VLOOKUP($R556&amp;S$2,$C$3:$F$4001,3,0)),"",VLOOKUP($R556&amp;S$2,$C$3:$F$4001,3,0))</f>
        <v/>
      </c>
      <c r="T556" s="110" t="str">
        <f>IF(ISNA(VLOOKUP($R556&amp;S$2,$C$3:$F$4001,4,0)),"",VLOOKUP($R556&amp;S$2,$C$3:$F$4001,4,0))</f>
        <v/>
      </c>
    </row>
    <row r="557" spans="3:20" x14ac:dyDescent="0.2">
      <c r="C557" s="96" t="str">
        <f t="shared" si="32"/>
        <v>DOW5</v>
      </c>
      <c r="D557" s="73" t="s">
        <v>122</v>
      </c>
      <c r="E557" s="100">
        <v>40606</v>
      </c>
      <c r="F557" s="101">
        <v>0.14000000000000001</v>
      </c>
      <c r="G557" s="96">
        <f t="shared" si="33"/>
        <v>5</v>
      </c>
      <c r="I557" s="96"/>
      <c r="K557" t="str">
        <f t="shared" si="34"/>
        <v>DOW5</v>
      </c>
      <c r="L557" s="73" t="s">
        <v>122</v>
      </c>
      <c r="M557" s="72">
        <v>40606</v>
      </c>
      <c r="N557" s="84">
        <v>0.14000000000000001</v>
      </c>
      <c r="O557" s="96">
        <f t="shared" si="35"/>
        <v>5</v>
      </c>
      <c r="Q557" s="96"/>
      <c r="R557">
        <f>R556</f>
        <v>0</v>
      </c>
      <c r="S557" t="str">
        <f>IF(ISNA(VLOOKUP($R557&amp;S$2,$K$3:$N$4001,3,0)),"",VLOOKUP($R557&amp;S$2,$K$3:$N$4001,3,0))</f>
        <v/>
      </c>
      <c r="T557" s="110" t="str">
        <f>IF(ISNA(VLOOKUP($R557&amp;S$2,$K$3:$N$4001,4,0)),"",VLOOKUP($R557&amp;S$2,$K$3:$N$4001,4,0))</f>
        <v/>
      </c>
    </row>
    <row r="558" spans="3:20" x14ac:dyDescent="0.2">
      <c r="C558" s="96" t="str">
        <f t="shared" si="32"/>
        <v>DOW6</v>
      </c>
      <c r="D558" s="73" t="s">
        <v>122</v>
      </c>
      <c r="E558" s="100">
        <v>40786</v>
      </c>
      <c r="F558" s="101">
        <v>0.18</v>
      </c>
      <c r="G558" s="96">
        <f t="shared" si="33"/>
        <v>6</v>
      </c>
      <c r="I558" s="96"/>
      <c r="K558" t="str">
        <f t="shared" si="34"/>
        <v>DOW6</v>
      </c>
      <c r="L558" s="73" t="s">
        <v>122</v>
      </c>
      <c r="M558" s="72">
        <v>40786</v>
      </c>
      <c r="N558" s="84">
        <v>0.18</v>
      </c>
      <c r="O558" s="96">
        <f t="shared" si="35"/>
        <v>6</v>
      </c>
      <c r="Q558" s="96"/>
      <c r="R558">
        <v>0</v>
      </c>
      <c r="S558" t="str">
        <f>IF(ISNA(VLOOKUP($R558&amp;S$2,$C$3:$F$4001,3,0)),"",VLOOKUP($R558&amp;S$2,$C$3:$F$4001,3,0))</f>
        <v/>
      </c>
      <c r="T558" s="110" t="str">
        <f>IF(ISNA(VLOOKUP($R558&amp;S$2,$C$3:$F$4001,4,0)),"",VLOOKUP($R558&amp;S$2,$C$3:$F$4001,4,0))</f>
        <v/>
      </c>
    </row>
    <row r="559" spans="3:20" x14ac:dyDescent="0.2">
      <c r="C559" s="96" t="str">
        <f t="shared" si="32"/>
        <v>DOW7</v>
      </c>
      <c r="D559" s="73" t="s">
        <v>122</v>
      </c>
      <c r="E559" s="100">
        <v>40974</v>
      </c>
      <c r="F559" s="101">
        <v>0.15</v>
      </c>
      <c r="G559" s="96">
        <f t="shared" si="33"/>
        <v>7</v>
      </c>
      <c r="I559" s="96"/>
      <c r="K559" t="str">
        <f t="shared" si="34"/>
        <v>DOW7</v>
      </c>
      <c r="L559" s="73" t="s">
        <v>122</v>
      </c>
      <c r="M559" s="72">
        <v>40974</v>
      </c>
      <c r="N559" s="84">
        <v>0.15</v>
      </c>
      <c r="O559" s="96">
        <f t="shared" si="35"/>
        <v>7</v>
      </c>
      <c r="Q559" s="96"/>
      <c r="R559">
        <f>R558</f>
        <v>0</v>
      </c>
      <c r="S559" t="str">
        <f>IF(ISNA(VLOOKUP($R559&amp;S$2,$K$3:$N$4001,3,0)),"",VLOOKUP($R559&amp;S$2,$K$3:$N$4001,3,0))</f>
        <v/>
      </c>
      <c r="T559" s="110" t="str">
        <f>IF(ISNA(VLOOKUP($R559&amp;S$2,$K$3:$N$4001,4,0)),"",VLOOKUP($R559&amp;S$2,$K$3:$N$4001,4,0))</f>
        <v/>
      </c>
    </row>
    <row r="560" spans="3:20" x14ac:dyDescent="0.2">
      <c r="C560" s="96" t="str">
        <f t="shared" si="32"/>
        <v>DOW8</v>
      </c>
      <c r="D560" s="73" t="s">
        <v>122</v>
      </c>
      <c r="E560" s="100">
        <v>41152</v>
      </c>
      <c r="F560" s="101">
        <v>0.2</v>
      </c>
      <c r="G560" s="96">
        <f t="shared" si="33"/>
        <v>8</v>
      </c>
      <c r="I560" s="96"/>
      <c r="K560" t="str">
        <f t="shared" si="34"/>
        <v>DOW8</v>
      </c>
      <c r="L560" s="73" t="s">
        <v>122</v>
      </c>
      <c r="M560" s="72">
        <v>41152</v>
      </c>
      <c r="N560" s="84">
        <v>0.2</v>
      </c>
      <c r="O560" s="96">
        <f t="shared" si="35"/>
        <v>8</v>
      </c>
      <c r="Q560" s="96"/>
      <c r="R560">
        <v>0</v>
      </c>
      <c r="S560" t="str">
        <f>IF(ISNA(VLOOKUP($R560&amp;S$2,$C$3:$F$4001,3,0)),"",VLOOKUP($R560&amp;S$2,$C$3:$F$4001,3,0))</f>
        <v/>
      </c>
      <c r="T560" s="110" t="str">
        <f>IF(ISNA(VLOOKUP($R560&amp;S$2,$C$3:$F$4001,4,0)),"",VLOOKUP($R560&amp;S$2,$C$3:$F$4001,4,0))</f>
        <v/>
      </c>
    </row>
    <row r="561" spans="3:20" x14ac:dyDescent="0.2">
      <c r="C561" s="96" t="str">
        <f t="shared" si="32"/>
        <v>DOW9</v>
      </c>
      <c r="D561" s="73" t="s">
        <v>122</v>
      </c>
      <c r="E561" s="100">
        <v>41339</v>
      </c>
      <c r="F561" s="101">
        <v>0.155</v>
      </c>
      <c r="G561" s="96">
        <f t="shared" si="33"/>
        <v>9</v>
      </c>
      <c r="I561" s="96"/>
      <c r="K561" t="str">
        <f t="shared" si="34"/>
        <v>DOW9</v>
      </c>
      <c r="L561" s="73" t="s">
        <v>122</v>
      </c>
      <c r="M561" s="72">
        <v>41339</v>
      </c>
      <c r="N561" s="84">
        <v>0.155</v>
      </c>
      <c r="O561" s="96">
        <f t="shared" si="35"/>
        <v>9</v>
      </c>
      <c r="Q561" s="96"/>
      <c r="R561">
        <f>R560</f>
        <v>0</v>
      </c>
      <c r="S561" t="str">
        <f>IF(ISNA(VLOOKUP($R561&amp;S$2,$K$3:$N$4001,3,0)),"",VLOOKUP($R561&amp;S$2,$K$3:$N$4001,3,0))</f>
        <v/>
      </c>
      <c r="T561" s="110" t="str">
        <f>IF(ISNA(VLOOKUP($R561&amp;S$2,$K$3:$N$4001,4,0)),"",VLOOKUP($R561&amp;S$2,$K$3:$N$4001,4,0))</f>
        <v/>
      </c>
    </row>
    <row r="562" spans="3:20" x14ac:dyDescent="0.2">
      <c r="C562" s="96" t="str">
        <f t="shared" si="32"/>
        <v>DOW10</v>
      </c>
      <c r="D562" s="73" t="s">
        <v>122</v>
      </c>
      <c r="E562" s="100">
        <v>41519</v>
      </c>
      <c r="F562" s="101">
        <v>0.215</v>
      </c>
      <c r="G562" s="96">
        <f t="shared" si="33"/>
        <v>10</v>
      </c>
      <c r="I562" s="96"/>
      <c r="K562" t="str">
        <f t="shared" si="34"/>
        <v>DOW10</v>
      </c>
      <c r="L562" s="73" t="s">
        <v>122</v>
      </c>
      <c r="M562" s="72">
        <v>41519</v>
      </c>
      <c r="N562" s="84">
        <v>0.215</v>
      </c>
      <c r="O562" s="96">
        <f t="shared" si="35"/>
        <v>10</v>
      </c>
      <c r="Q562" s="96"/>
      <c r="R562">
        <v>0</v>
      </c>
      <c r="S562" t="str">
        <f>IF(ISNA(VLOOKUP($R562&amp;S$2,$C$3:$F$4001,3,0)),"",VLOOKUP($R562&amp;S$2,$C$3:$F$4001,3,0))</f>
        <v/>
      </c>
      <c r="T562" s="110" t="str">
        <f>IF(ISNA(VLOOKUP($R562&amp;S$2,$C$3:$F$4001,4,0)),"",VLOOKUP($R562&amp;S$2,$C$3:$F$4001,4,0))</f>
        <v/>
      </c>
    </row>
    <row r="563" spans="3:20" x14ac:dyDescent="0.2">
      <c r="C563" s="96" t="str">
        <f t="shared" si="32"/>
        <v>DUE1</v>
      </c>
      <c r="D563" s="73" t="s">
        <v>123</v>
      </c>
      <c r="E563" s="100">
        <v>39988</v>
      </c>
      <c r="F563" s="101">
        <v>0.14249999999999999</v>
      </c>
      <c r="G563" s="96">
        <f t="shared" si="33"/>
        <v>1</v>
      </c>
      <c r="I563" s="96"/>
      <c r="K563" t="str">
        <f t="shared" si="34"/>
        <v>DUE1</v>
      </c>
      <c r="L563" s="73" t="s">
        <v>123</v>
      </c>
      <c r="M563" s="72">
        <v>39988</v>
      </c>
      <c r="N563" s="84">
        <v>0.14249999999999999</v>
      </c>
      <c r="O563" s="96">
        <f t="shared" si="35"/>
        <v>1</v>
      </c>
      <c r="Q563" s="96"/>
      <c r="R563">
        <f>R562</f>
        <v>0</v>
      </c>
      <c r="S563" t="str">
        <f>IF(ISNA(VLOOKUP($R563&amp;S$2,$K$3:$N$4001,3,0)),"",VLOOKUP($R563&amp;S$2,$K$3:$N$4001,3,0))</f>
        <v/>
      </c>
      <c r="T563" s="110" t="str">
        <f>IF(ISNA(VLOOKUP($R563&amp;S$2,$K$3:$N$4001,4,0)),"",VLOOKUP($R563&amp;S$2,$K$3:$N$4001,4,0))</f>
        <v/>
      </c>
    </row>
    <row r="564" spans="3:20" x14ac:dyDescent="0.2">
      <c r="C564" s="96" t="str">
        <f t="shared" si="32"/>
        <v>DUE2</v>
      </c>
      <c r="D564" s="73" t="s">
        <v>123</v>
      </c>
      <c r="E564" s="100">
        <v>40170</v>
      </c>
      <c r="F564" s="101">
        <v>0.14679999999999999</v>
      </c>
      <c r="G564" s="96">
        <f t="shared" si="33"/>
        <v>2</v>
      </c>
      <c r="I564" s="96"/>
      <c r="K564" t="str">
        <f t="shared" si="34"/>
        <v>DUE2</v>
      </c>
      <c r="L564" s="73" t="s">
        <v>123</v>
      </c>
      <c r="M564" s="72">
        <v>40170</v>
      </c>
      <c r="N564" s="84">
        <v>0.14679999999999999</v>
      </c>
      <c r="O564" s="96">
        <f t="shared" si="35"/>
        <v>2</v>
      </c>
      <c r="Q564" s="96"/>
      <c r="R564">
        <v>0</v>
      </c>
      <c r="S564" t="str">
        <f>IF(ISNA(VLOOKUP($R564&amp;S$2,$C$3:$F$4001,3,0)),"",VLOOKUP($R564&amp;S$2,$C$3:$F$4001,3,0))</f>
        <v/>
      </c>
      <c r="T564" s="110" t="str">
        <f>IF(ISNA(VLOOKUP($R564&amp;S$2,$C$3:$F$4001,4,0)),"",VLOOKUP($R564&amp;S$2,$C$3:$F$4001,4,0))</f>
        <v/>
      </c>
    </row>
    <row r="565" spans="3:20" x14ac:dyDescent="0.2">
      <c r="C565" s="96" t="str">
        <f t="shared" si="32"/>
        <v>DUE3</v>
      </c>
      <c r="D565" s="73" t="s">
        <v>123</v>
      </c>
      <c r="E565" s="100">
        <v>40353</v>
      </c>
      <c r="F565" s="101">
        <v>0.1482</v>
      </c>
      <c r="G565" s="96">
        <f t="shared" si="33"/>
        <v>3</v>
      </c>
      <c r="I565" s="96"/>
      <c r="K565" t="str">
        <f t="shared" si="34"/>
        <v>DUE3</v>
      </c>
      <c r="L565" s="73" t="s">
        <v>123</v>
      </c>
      <c r="M565" s="72">
        <v>40353</v>
      </c>
      <c r="N565" s="84">
        <v>0.1482</v>
      </c>
      <c r="O565" s="96">
        <f t="shared" si="35"/>
        <v>3</v>
      </c>
      <c r="Q565" s="96"/>
      <c r="R565">
        <f>R564</f>
        <v>0</v>
      </c>
      <c r="S565" t="str">
        <f>IF(ISNA(VLOOKUP($R565&amp;S$2,$K$3:$N$4001,3,0)),"",VLOOKUP($R565&amp;S$2,$K$3:$N$4001,3,0))</f>
        <v/>
      </c>
      <c r="T565" s="110" t="str">
        <f>IF(ISNA(VLOOKUP($R565&amp;S$2,$K$3:$N$4001,4,0)),"",VLOOKUP($R565&amp;S$2,$K$3:$N$4001,4,0))</f>
        <v/>
      </c>
    </row>
    <row r="566" spans="3:20" x14ac:dyDescent="0.2">
      <c r="C566" s="96" t="str">
        <f t="shared" si="32"/>
        <v>DUE4</v>
      </c>
      <c r="D566" s="73" t="s">
        <v>123</v>
      </c>
      <c r="E566" s="100">
        <v>40535</v>
      </c>
      <c r="F566" s="101">
        <v>0.15229999999999999</v>
      </c>
      <c r="G566" s="96">
        <f t="shared" si="33"/>
        <v>4</v>
      </c>
      <c r="I566" s="96"/>
      <c r="K566" t="str">
        <f t="shared" si="34"/>
        <v>DUE4</v>
      </c>
      <c r="L566" s="73" t="s">
        <v>123</v>
      </c>
      <c r="M566" s="72">
        <v>40535</v>
      </c>
      <c r="N566" s="84">
        <v>0.15229999999999999</v>
      </c>
      <c r="O566" s="96">
        <f t="shared" si="35"/>
        <v>4</v>
      </c>
      <c r="Q566" s="96"/>
      <c r="R566">
        <v>0</v>
      </c>
      <c r="S566" t="str">
        <f>IF(ISNA(VLOOKUP($R566&amp;S$2,$C$3:$F$4001,3,0)),"",VLOOKUP($R566&amp;S$2,$C$3:$F$4001,3,0))</f>
        <v/>
      </c>
      <c r="T566" s="110" t="str">
        <f>IF(ISNA(VLOOKUP($R566&amp;S$2,$C$3:$F$4001,4,0)),"",VLOOKUP($R566&amp;S$2,$C$3:$F$4001,4,0))</f>
        <v/>
      </c>
    </row>
    <row r="567" spans="3:20" x14ac:dyDescent="0.2">
      <c r="C567" s="96" t="str">
        <f t="shared" si="32"/>
        <v>DUE5</v>
      </c>
      <c r="D567" s="73" t="s">
        <v>123</v>
      </c>
      <c r="E567" s="100">
        <v>40718</v>
      </c>
      <c r="F567" s="101">
        <v>0.1537</v>
      </c>
      <c r="G567" s="96">
        <f t="shared" si="33"/>
        <v>5</v>
      </c>
      <c r="I567" s="96"/>
      <c r="K567" t="str">
        <f t="shared" si="34"/>
        <v>DUE5</v>
      </c>
      <c r="L567" s="73" t="s">
        <v>123</v>
      </c>
      <c r="M567" s="72">
        <v>40718</v>
      </c>
      <c r="N567" s="84">
        <v>0.1537</v>
      </c>
      <c r="O567" s="96">
        <f t="shared" si="35"/>
        <v>5</v>
      </c>
      <c r="Q567" s="96"/>
      <c r="R567">
        <f>R566</f>
        <v>0</v>
      </c>
      <c r="S567" t="str">
        <f>IF(ISNA(VLOOKUP($R567&amp;S$2,$K$3:$N$4001,3,0)),"",VLOOKUP($R567&amp;S$2,$K$3:$N$4001,3,0))</f>
        <v/>
      </c>
      <c r="T567" s="110" t="str">
        <f>IF(ISNA(VLOOKUP($R567&amp;S$2,$K$3:$N$4001,4,0)),"",VLOOKUP($R567&amp;S$2,$K$3:$N$4001,4,0))</f>
        <v/>
      </c>
    </row>
    <row r="568" spans="3:20" x14ac:dyDescent="0.2">
      <c r="C568" s="96" t="str">
        <f t="shared" si="32"/>
        <v>DUE6</v>
      </c>
      <c r="D568" s="73" t="s">
        <v>123</v>
      </c>
      <c r="E568" s="100">
        <v>40899</v>
      </c>
      <c r="F568" s="101">
        <v>0.1573</v>
      </c>
      <c r="G568" s="96">
        <f t="shared" si="33"/>
        <v>6</v>
      </c>
      <c r="I568" s="96"/>
      <c r="K568" t="str">
        <f t="shared" si="34"/>
        <v>DUE6</v>
      </c>
      <c r="L568" s="73" t="s">
        <v>123</v>
      </c>
      <c r="M568" s="72">
        <v>40899</v>
      </c>
      <c r="N568" s="84">
        <v>0.1573</v>
      </c>
      <c r="O568" s="96">
        <f t="shared" si="35"/>
        <v>6</v>
      </c>
      <c r="Q568" s="96"/>
      <c r="R568">
        <v>0</v>
      </c>
      <c r="S568" t="str">
        <f>IF(ISNA(VLOOKUP($R568&amp;S$2,$C$3:$F$4001,3,0)),"",VLOOKUP($R568&amp;S$2,$C$3:$F$4001,3,0))</f>
        <v/>
      </c>
      <c r="T568" s="110" t="str">
        <f>IF(ISNA(VLOOKUP($R568&amp;S$2,$C$3:$F$4001,4,0)),"",VLOOKUP($R568&amp;S$2,$C$3:$F$4001,4,0))</f>
        <v/>
      </c>
    </row>
    <row r="569" spans="3:20" x14ac:dyDescent="0.2">
      <c r="C569" s="96" t="str">
        <f t="shared" si="32"/>
        <v>DUE7</v>
      </c>
      <c r="D569" s="73" t="s">
        <v>123</v>
      </c>
      <c r="E569" s="100">
        <v>41085</v>
      </c>
      <c r="F569" s="101">
        <v>0.15869999999999998</v>
      </c>
      <c r="G569" s="96">
        <f t="shared" si="33"/>
        <v>7</v>
      </c>
      <c r="I569" s="96"/>
      <c r="K569" t="str">
        <f t="shared" si="34"/>
        <v>DUE7</v>
      </c>
      <c r="L569" s="73" t="s">
        <v>123</v>
      </c>
      <c r="M569" s="72">
        <v>41085</v>
      </c>
      <c r="N569" s="84">
        <v>0.15869999999999998</v>
      </c>
      <c r="O569" s="96">
        <f t="shared" si="35"/>
        <v>7</v>
      </c>
      <c r="Q569" s="96"/>
      <c r="R569">
        <f>R568</f>
        <v>0</v>
      </c>
      <c r="S569" t="str">
        <f>IF(ISNA(VLOOKUP($R569&amp;S$2,$K$3:$N$4001,3,0)),"",VLOOKUP($R569&amp;S$2,$K$3:$N$4001,3,0))</f>
        <v/>
      </c>
      <c r="T569" s="110" t="str">
        <f>IF(ISNA(VLOOKUP($R569&amp;S$2,$K$3:$N$4001,4,0)),"",VLOOKUP($R569&amp;S$2,$K$3:$N$4001,4,0))</f>
        <v/>
      </c>
    </row>
    <row r="570" spans="3:20" x14ac:dyDescent="0.2">
      <c r="C570" s="96" t="str">
        <f t="shared" si="32"/>
        <v>DUE8</v>
      </c>
      <c r="D570" s="73" t="s">
        <v>123</v>
      </c>
      <c r="E570" s="100">
        <v>41268</v>
      </c>
      <c r="F570" s="101">
        <v>0.1653</v>
      </c>
      <c r="G570" s="96">
        <f t="shared" si="33"/>
        <v>8</v>
      </c>
      <c r="I570" s="96"/>
      <c r="K570" t="str">
        <f t="shared" si="34"/>
        <v>DUE8</v>
      </c>
      <c r="L570" s="73" t="s">
        <v>123</v>
      </c>
      <c r="M570" s="72">
        <v>41268</v>
      </c>
      <c r="N570" s="84">
        <v>0.1653</v>
      </c>
      <c r="O570" s="96">
        <f t="shared" si="35"/>
        <v>8</v>
      </c>
      <c r="Q570" s="96"/>
      <c r="R570">
        <v>0</v>
      </c>
      <c r="S570" t="str">
        <f>IF(ISNA(VLOOKUP($R570&amp;S$2,$C$3:$F$4001,3,0)),"",VLOOKUP($R570&amp;S$2,$C$3:$F$4001,3,0))</f>
        <v/>
      </c>
      <c r="T570" s="110" t="str">
        <f>IF(ISNA(VLOOKUP($R570&amp;S$2,$C$3:$F$4001,4,0)),"",VLOOKUP($R570&amp;S$2,$C$3:$F$4001,4,0))</f>
        <v/>
      </c>
    </row>
    <row r="571" spans="3:20" x14ac:dyDescent="0.2">
      <c r="C571" s="96" t="str">
        <f t="shared" si="32"/>
        <v>DUE9</v>
      </c>
      <c r="D571" s="73" t="s">
        <v>123</v>
      </c>
      <c r="E571" s="100">
        <v>41450</v>
      </c>
      <c r="F571" s="101">
        <v>0.16670000000000001</v>
      </c>
      <c r="G571" s="96">
        <f t="shared" si="33"/>
        <v>9</v>
      </c>
      <c r="I571" s="96"/>
      <c r="K571" t="str">
        <f t="shared" si="34"/>
        <v>DUE9</v>
      </c>
      <c r="L571" s="73" t="s">
        <v>123</v>
      </c>
      <c r="M571" s="72">
        <v>41450</v>
      </c>
      <c r="N571" s="84">
        <v>0.16670000000000001</v>
      </c>
      <c r="O571" s="96">
        <f t="shared" si="35"/>
        <v>9</v>
      </c>
      <c r="Q571" s="96"/>
      <c r="R571">
        <f>R570</f>
        <v>0</v>
      </c>
      <c r="S571" t="str">
        <f>IF(ISNA(VLOOKUP($R571&amp;S$2,$K$3:$N$4001,3,0)),"",VLOOKUP($R571&amp;S$2,$K$3:$N$4001,3,0))</f>
        <v/>
      </c>
      <c r="T571" s="110" t="str">
        <f>IF(ISNA(VLOOKUP($R571&amp;S$2,$K$3:$N$4001,4,0)),"",VLOOKUP($R571&amp;S$2,$K$3:$N$4001,4,0))</f>
        <v/>
      </c>
    </row>
    <row r="572" spans="3:20" x14ac:dyDescent="0.2">
      <c r="C572" s="96" t="str">
        <f t="shared" si="32"/>
        <v>DXL1</v>
      </c>
      <c r="D572" s="73" t="s">
        <v>124</v>
      </c>
      <c r="E572" s="100">
        <v>39897</v>
      </c>
      <c r="F572" s="101">
        <v>3.9E-2</v>
      </c>
      <c r="G572" s="96">
        <f t="shared" si="33"/>
        <v>1</v>
      </c>
      <c r="I572" s="96"/>
      <c r="K572" t="str">
        <f t="shared" si="34"/>
        <v>DXL1</v>
      </c>
      <c r="L572" s="73" t="s">
        <v>124</v>
      </c>
      <c r="M572" s="72">
        <v>39897</v>
      </c>
      <c r="N572" s="84">
        <v>3.9E-2</v>
      </c>
      <c r="O572" s="96">
        <f t="shared" si="35"/>
        <v>1</v>
      </c>
      <c r="Q572" s="96"/>
      <c r="R572">
        <v>0</v>
      </c>
      <c r="S572" t="str">
        <f>IF(ISNA(VLOOKUP($R572&amp;S$2,$C$3:$F$4001,3,0)),"",VLOOKUP($R572&amp;S$2,$C$3:$F$4001,3,0))</f>
        <v/>
      </c>
      <c r="T572" s="110" t="str">
        <f>IF(ISNA(VLOOKUP($R572&amp;S$2,$C$3:$F$4001,4,0)),"",VLOOKUP($R572&amp;S$2,$C$3:$F$4001,4,0))</f>
        <v/>
      </c>
    </row>
    <row r="573" spans="3:20" x14ac:dyDescent="0.2">
      <c r="C573" s="96" t="str">
        <f t="shared" si="32"/>
        <v>DXL2</v>
      </c>
      <c r="D573" s="73" t="s">
        <v>124</v>
      </c>
      <c r="E573" s="100">
        <v>40051</v>
      </c>
      <c r="F573" s="101">
        <v>3.0800000000000001E-2</v>
      </c>
      <c r="G573" s="96">
        <f t="shared" si="33"/>
        <v>2</v>
      </c>
      <c r="I573" s="96"/>
      <c r="K573" t="str">
        <f t="shared" si="34"/>
        <v>DXL2</v>
      </c>
      <c r="L573" s="73" t="s">
        <v>124</v>
      </c>
      <c r="M573" s="72">
        <v>40051</v>
      </c>
      <c r="N573" s="84">
        <v>3.0800000000000001E-2</v>
      </c>
      <c r="O573" s="96">
        <f t="shared" si="35"/>
        <v>2</v>
      </c>
      <c r="Q573" s="96"/>
      <c r="R573">
        <f>R572</f>
        <v>0</v>
      </c>
      <c r="S573" t="str">
        <f>IF(ISNA(VLOOKUP($R573&amp;S$2,$K$3:$N$4001,3,0)),"",VLOOKUP($R573&amp;S$2,$K$3:$N$4001,3,0))</f>
        <v/>
      </c>
      <c r="T573" s="110" t="str">
        <f>IF(ISNA(VLOOKUP($R573&amp;S$2,$K$3:$N$4001,4,0)),"",VLOOKUP($R573&amp;S$2,$K$3:$N$4001,4,0))</f>
        <v/>
      </c>
    </row>
    <row r="574" spans="3:20" x14ac:dyDescent="0.2">
      <c r="C574" s="96" t="str">
        <f t="shared" si="32"/>
        <v>DXL3</v>
      </c>
      <c r="D574" s="73" t="s">
        <v>124</v>
      </c>
      <c r="E574" s="100">
        <v>40261</v>
      </c>
      <c r="F574" s="101">
        <v>4.6199999999999998E-2</v>
      </c>
      <c r="G574" s="96">
        <f t="shared" si="33"/>
        <v>3</v>
      </c>
      <c r="I574" s="96"/>
      <c r="K574" t="str">
        <f t="shared" si="34"/>
        <v>DXL3</v>
      </c>
      <c r="L574" s="73" t="s">
        <v>124</v>
      </c>
      <c r="M574" s="72">
        <v>40261</v>
      </c>
      <c r="N574" s="84">
        <v>4.6199999999999998E-2</v>
      </c>
      <c r="O574" s="96">
        <f t="shared" si="35"/>
        <v>3</v>
      </c>
      <c r="Q574" s="96"/>
      <c r="R574">
        <v>0</v>
      </c>
      <c r="S574" t="str">
        <f>IF(ISNA(VLOOKUP($R574&amp;S$2,$C$3:$F$4001,3,0)),"",VLOOKUP($R574&amp;S$2,$C$3:$F$4001,3,0))</f>
        <v/>
      </c>
      <c r="T574" s="110" t="str">
        <f>IF(ISNA(VLOOKUP($R574&amp;S$2,$C$3:$F$4001,4,0)),"",VLOOKUP($R574&amp;S$2,$C$3:$F$4001,4,0))</f>
        <v/>
      </c>
    </row>
    <row r="575" spans="3:20" x14ac:dyDescent="0.2">
      <c r="C575" s="96" t="str">
        <f t="shared" si="32"/>
        <v>DXL4</v>
      </c>
      <c r="D575" s="73" t="s">
        <v>124</v>
      </c>
      <c r="E575" s="100">
        <v>40415</v>
      </c>
      <c r="F575" s="101">
        <v>3.56E-2</v>
      </c>
      <c r="G575" s="96">
        <f t="shared" si="33"/>
        <v>4</v>
      </c>
      <c r="I575" s="96"/>
      <c r="K575" t="str">
        <f t="shared" si="34"/>
        <v>DXL4</v>
      </c>
      <c r="L575" s="73" t="s">
        <v>124</v>
      </c>
      <c r="M575" s="72">
        <v>40415</v>
      </c>
      <c r="N575" s="84">
        <v>3.56E-2</v>
      </c>
      <c r="O575" s="96">
        <f t="shared" si="35"/>
        <v>4</v>
      </c>
      <c r="Q575" s="96"/>
      <c r="R575">
        <f>R574</f>
        <v>0</v>
      </c>
      <c r="S575" t="str">
        <f>IF(ISNA(VLOOKUP($R575&amp;S$2,$K$3:$N$4001,3,0)),"",VLOOKUP($R575&amp;S$2,$K$3:$N$4001,3,0))</f>
        <v/>
      </c>
      <c r="T575" s="110" t="str">
        <f>IF(ISNA(VLOOKUP($R575&amp;S$2,$K$3:$N$4001,4,0)),"",VLOOKUP($R575&amp;S$2,$K$3:$N$4001,4,0))</f>
        <v/>
      </c>
    </row>
    <row r="576" spans="3:20" x14ac:dyDescent="0.2">
      <c r="C576" s="96" t="str">
        <f t="shared" si="32"/>
        <v>DXL5</v>
      </c>
      <c r="D576" s="73" t="s">
        <v>124</v>
      </c>
      <c r="E576" s="100">
        <v>40625</v>
      </c>
      <c r="F576" s="101">
        <v>5.3399999999999996E-2</v>
      </c>
      <c r="G576" s="96">
        <f t="shared" si="33"/>
        <v>5</v>
      </c>
      <c r="I576" s="96"/>
      <c r="K576" t="str">
        <f t="shared" si="34"/>
        <v>DXL5</v>
      </c>
      <c r="L576" s="73" t="s">
        <v>124</v>
      </c>
      <c r="M576" s="72">
        <v>40625</v>
      </c>
      <c r="N576" s="84">
        <v>5.3399999999999996E-2</v>
      </c>
      <c r="O576" s="96">
        <f t="shared" si="35"/>
        <v>5</v>
      </c>
      <c r="Q576" s="96"/>
      <c r="R576">
        <v>0</v>
      </c>
      <c r="S576" t="str">
        <f>IF(ISNA(VLOOKUP($R576&amp;S$2,$C$3:$F$4001,3,0)),"",VLOOKUP($R576&amp;S$2,$C$3:$F$4001,3,0))</f>
        <v/>
      </c>
      <c r="T576" s="110" t="str">
        <f>IF(ISNA(VLOOKUP($R576&amp;S$2,$C$3:$F$4001,4,0)),"",VLOOKUP($R576&amp;S$2,$C$3:$F$4001,4,0))</f>
        <v/>
      </c>
    </row>
    <row r="577" spans="3:20" x14ac:dyDescent="0.2">
      <c r="C577" s="96" t="str">
        <f t="shared" si="32"/>
        <v>DXL6</v>
      </c>
      <c r="D577" s="73" t="s">
        <v>124</v>
      </c>
      <c r="E577" s="100">
        <v>40779</v>
      </c>
      <c r="F577" s="101">
        <v>3.9599999999999996E-2</v>
      </c>
      <c r="G577" s="96">
        <f t="shared" si="33"/>
        <v>6</v>
      </c>
      <c r="I577" s="96"/>
      <c r="K577" t="str">
        <f t="shared" si="34"/>
        <v>DXL6</v>
      </c>
      <c r="L577" s="73" t="s">
        <v>124</v>
      </c>
      <c r="M577" s="72">
        <v>40779</v>
      </c>
      <c r="N577" s="84">
        <v>3.9599999999999996E-2</v>
      </c>
      <c r="O577" s="96">
        <f t="shared" si="35"/>
        <v>6</v>
      </c>
      <c r="Q577" s="96"/>
      <c r="R577">
        <f>R576</f>
        <v>0</v>
      </c>
      <c r="S577" t="str">
        <f>IF(ISNA(VLOOKUP($R577&amp;S$2,$K$3:$N$4001,3,0)),"",VLOOKUP($R577&amp;S$2,$K$3:$N$4001,3,0))</f>
        <v/>
      </c>
      <c r="T577" s="110" t="str">
        <f>IF(ISNA(VLOOKUP($R577&amp;S$2,$K$3:$N$4001,4,0)),"",VLOOKUP($R577&amp;S$2,$K$3:$N$4001,4,0))</f>
        <v/>
      </c>
    </row>
    <row r="578" spans="3:20" x14ac:dyDescent="0.2">
      <c r="C578" s="96" t="str">
        <f t="shared" si="32"/>
        <v>DXL7</v>
      </c>
      <c r="D578" s="73" t="s">
        <v>124</v>
      </c>
      <c r="E578" s="100">
        <v>40996</v>
      </c>
      <c r="F578" s="101">
        <v>5.9400000000000001E-2</v>
      </c>
      <c r="G578" s="96">
        <f t="shared" si="33"/>
        <v>7</v>
      </c>
      <c r="I578" s="96"/>
      <c r="K578" t="str">
        <f t="shared" si="34"/>
        <v>DXL7</v>
      </c>
      <c r="L578" s="73" t="s">
        <v>124</v>
      </c>
      <c r="M578" s="72">
        <v>40996</v>
      </c>
      <c r="N578" s="84">
        <v>5.9400000000000001E-2</v>
      </c>
      <c r="O578" s="96">
        <f t="shared" si="35"/>
        <v>7</v>
      </c>
      <c r="Q578" s="96"/>
      <c r="R578">
        <v>0</v>
      </c>
      <c r="S578" t="str">
        <f>IF(ISNA(VLOOKUP($R578&amp;S$2,$C$3:$F$4001,3,0)),"",VLOOKUP($R578&amp;S$2,$C$3:$F$4001,3,0))</f>
        <v/>
      </c>
      <c r="T578" s="110" t="str">
        <f>IF(ISNA(VLOOKUP($R578&amp;S$2,$C$3:$F$4001,4,0)),"",VLOOKUP($R578&amp;S$2,$C$3:$F$4001,4,0))</f>
        <v/>
      </c>
    </row>
    <row r="579" spans="3:20" x14ac:dyDescent="0.2">
      <c r="C579" s="96" t="str">
        <f t="shared" ref="C579:C642" si="36">D579&amp;G579</f>
        <v>DXL8</v>
      </c>
      <c r="D579" s="73" t="s">
        <v>124</v>
      </c>
      <c r="E579" s="100">
        <v>41143</v>
      </c>
      <c r="F579" s="101">
        <v>4.36E-2</v>
      </c>
      <c r="G579" s="96">
        <f t="shared" ref="G579:G642" si="37">IF(D579&lt;&gt;D578,1,G578+1)</f>
        <v>8</v>
      </c>
      <c r="I579" s="96"/>
      <c r="K579" t="str">
        <f t="shared" ref="K579:K642" si="38">L579&amp;O579</f>
        <v>DXL8</v>
      </c>
      <c r="L579" s="73" t="s">
        <v>124</v>
      </c>
      <c r="M579" s="72">
        <v>41143</v>
      </c>
      <c r="N579" s="84">
        <v>4.36E-2</v>
      </c>
      <c r="O579" s="96">
        <f t="shared" ref="O579:O642" si="39">IF(L579&lt;&gt;L578,1,O578+1)</f>
        <v>8</v>
      </c>
      <c r="Q579" s="96"/>
      <c r="R579">
        <f>R578</f>
        <v>0</v>
      </c>
      <c r="S579" t="str">
        <f>IF(ISNA(VLOOKUP($R579&amp;S$2,$K$3:$N$4001,3,0)),"",VLOOKUP($R579&amp;S$2,$K$3:$N$4001,3,0))</f>
        <v/>
      </c>
      <c r="T579" s="110" t="str">
        <f>IF(ISNA(VLOOKUP($R579&amp;S$2,$K$3:$N$4001,4,0)),"",VLOOKUP($R579&amp;S$2,$K$3:$N$4001,4,0))</f>
        <v/>
      </c>
    </row>
    <row r="580" spans="3:20" x14ac:dyDescent="0.2">
      <c r="C580" s="96" t="str">
        <f t="shared" si="36"/>
        <v>DXL9</v>
      </c>
      <c r="D580" s="73" t="s">
        <v>124</v>
      </c>
      <c r="E580" s="100">
        <v>41360</v>
      </c>
      <c r="F580" s="101">
        <v>6.54E-2</v>
      </c>
      <c r="G580" s="96">
        <f t="shared" si="37"/>
        <v>9</v>
      </c>
      <c r="I580" s="96"/>
      <c r="K580" t="str">
        <f t="shared" si="38"/>
        <v>DXL9</v>
      </c>
      <c r="L580" s="73" t="s">
        <v>124</v>
      </c>
      <c r="M580" s="72">
        <v>41360</v>
      </c>
      <c r="N580" s="84">
        <v>6.54E-2</v>
      </c>
      <c r="O580" s="96">
        <f t="shared" si="39"/>
        <v>9</v>
      </c>
      <c r="Q580" s="96"/>
      <c r="R580">
        <v>0</v>
      </c>
      <c r="S580" t="str">
        <f>IF(ISNA(VLOOKUP($R580&amp;S$2,$C$3:$F$4001,3,0)),"",VLOOKUP($R580&amp;S$2,$C$3:$F$4001,3,0))</f>
        <v/>
      </c>
      <c r="T580" s="110" t="str">
        <f>IF(ISNA(VLOOKUP($R580&amp;S$2,$C$3:$F$4001,4,0)),"",VLOOKUP($R580&amp;S$2,$C$3:$F$4001,4,0))</f>
        <v/>
      </c>
    </row>
    <row r="581" spans="3:20" x14ac:dyDescent="0.2">
      <c r="C581" s="96" t="str">
        <f t="shared" si="36"/>
        <v>DXS1</v>
      </c>
      <c r="D581" s="73" t="s">
        <v>125</v>
      </c>
      <c r="E581" s="100">
        <v>39988</v>
      </c>
      <c r="F581" s="101">
        <v>3.7999999999999999E-2</v>
      </c>
      <c r="G581" s="96">
        <f t="shared" si="37"/>
        <v>1</v>
      </c>
      <c r="I581" s="96"/>
      <c r="K581" t="str">
        <f t="shared" si="38"/>
        <v>DXS1</v>
      </c>
      <c r="L581" s="73" t="s">
        <v>125</v>
      </c>
      <c r="M581" s="72">
        <v>39988</v>
      </c>
      <c r="N581" s="84">
        <v>3.7999999999999999E-2</v>
      </c>
      <c r="O581" s="96">
        <f t="shared" si="39"/>
        <v>1</v>
      </c>
      <c r="Q581" s="96"/>
      <c r="R581">
        <f>R580</f>
        <v>0</v>
      </c>
      <c r="S581" t="str">
        <f>IF(ISNA(VLOOKUP($R581&amp;S$2,$K$3:$N$4001,3,0)),"",VLOOKUP($R581&amp;S$2,$K$3:$N$4001,3,0))</f>
        <v/>
      </c>
      <c r="T581" s="110" t="str">
        <f>IF(ISNA(VLOOKUP($R581&amp;S$2,$K$3:$N$4001,4,0)),"",VLOOKUP($R581&amp;S$2,$K$3:$N$4001,4,0))</f>
        <v/>
      </c>
    </row>
    <row r="582" spans="3:20" x14ac:dyDescent="0.2">
      <c r="C582" s="96" t="str">
        <f t="shared" si="36"/>
        <v>DXS2</v>
      </c>
      <c r="D582" s="73" t="s">
        <v>125</v>
      </c>
      <c r="E582" s="100">
        <v>40170</v>
      </c>
      <c r="F582" s="101">
        <v>0.04</v>
      </c>
      <c r="G582" s="96">
        <f t="shared" si="37"/>
        <v>2</v>
      </c>
      <c r="I582" s="96"/>
      <c r="K582" t="str">
        <f t="shared" si="38"/>
        <v>DXS2</v>
      </c>
      <c r="L582" s="73" t="s">
        <v>125</v>
      </c>
      <c r="M582" s="72">
        <v>40170</v>
      </c>
      <c r="N582" s="84">
        <v>0.04</v>
      </c>
      <c r="O582" s="96">
        <f t="shared" si="39"/>
        <v>2</v>
      </c>
      <c r="Q582" s="96"/>
      <c r="R582">
        <v>0</v>
      </c>
      <c r="S582" t="str">
        <f>IF(ISNA(VLOOKUP($R582&amp;S$2,$C$3:$F$4001,3,0)),"",VLOOKUP($R582&amp;S$2,$C$3:$F$4001,3,0))</f>
        <v/>
      </c>
      <c r="T582" s="110" t="str">
        <f>IF(ISNA(VLOOKUP($R582&amp;S$2,$C$3:$F$4001,4,0)),"",VLOOKUP($R582&amp;S$2,$C$3:$F$4001,4,0))</f>
        <v/>
      </c>
    </row>
    <row r="583" spans="3:20" x14ac:dyDescent="0.2">
      <c r="C583" s="96" t="str">
        <f t="shared" si="36"/>
        <v>DXS3</v>
      </c>
      <c r="D583" s="73" t="s">
        <v>125</v>
      </c>
      <c r="E583" s="100">
        <v>40353</v>
      </c>
      <c r="F583" s="101">
        <v>0.04</v>
      </c>
      <c r="G583" s="96">
        <f t="shared" si="37"/>
        <v>3</v>
      </c>
      <c r="I583" s="96"/>
      <c r="K583" t="str">
        <f t="shared" si="38"/>
        <v>DXS3</v>
      </c>
      <c r="L583" s="73" t="s">
        <v>125</v>
      </c>
      <c r="M583" s="72">
        <v>40353</v>
      </c>
      <c r="N583" s="84">
        <v>0.04</v>
      </c>
      <c r="O583" s="96">
        <f t="shared" si="39"/>
        <v>3</v>
      </c>
      <c r="Q583" s="96"/>
      <c r="R583">
        <f>R582</f>
        <v>0</v>
      </c>
      <c r="S583" t="str">
        <f>IF(ISNA(VLOOKUP($R583&amp;S$2,$K$3:$N$4001,3,0)),"",VLOOKUP($R583&amp;S$2,$K$3:$N$4001,3,0))</f>
        <v/>
      </c>
      <c r="T583" s="110" t="str">
        <f>IF(ISNA(VLOOKUP($R583&amp;S$2,$K$3:$N$4001,4,0)),"",VLOOKUP($R583&amp;S$2,$K$3:$N$4001,4,0))</f>
        <v/>
      </c>
    </row>
    <row r="584" spans="3:20" x14ac:dyDescent="0.2">
      <c r="C584" s="96" t="str">
        <f t="shared" si="36"/>
        <v>DXS4</v>
      </c>
      <c r="D584" s="73" t="s">
        <v>125</v>
      </c>
      <c r="E584" s="100">
        <v>40535</v>
      </c>
      <c r="F584" s="101">
        <v>4.2000000000000003E-2</v>
      </c>
      <c r="G584" s="96">
        <f t="shared" si="37"/>
        <v>4</v>
      </c>
      <c r="I584" s="96"/>
      <c r="K584" t="str">
        <f t="shared" si="38"/>
        <v>DXS4</v>
      </c>
      <c r="L584" s="73" t="s">
        <v>125</v>
      </c>
      <c r="M584" s="72">
        <v>40535</v>
      </c>
      <c r="N584" s="84">
        <v>4.2000000000000003E-2</v>
      </c>
      <c r="O584" s="96">
        <f t="shared" si="39"/>
        <v>4</v>
      </c>
      <c r="Q584" s="96"/>
      <c r="R584">
        <v>0</v>
      </c>
      <c r="S584" t="str">
        <f>IF(ISNA(VLOOKUP($R584&amp;S$2,$C$3:$F$4001,3,0)),"",VLOOKUP($R584&amp;S$2,$C$3:$F$4001,3,0))</f>
        <v/>
      </c>
      <c r="T584" s="110" t="str">
        <f>IF(ISNA(VLOOKUP($R584&amp;S$2,$C$3:$F$4001,4,0)),"",VLOOKUP($R584&amp;S$2,$C$3:$F$4001,4,0))</f>
        <v/>
      </c>
    </row>
    <row r="585" spans="3:20" x14ac:dyDescent="0.2">
      <c r="C585" s="96" t="str">
        <f t="shared" si="36"/>
        <v>DXS5</v>
      </c>
      <c r="D585" s="73" t="s">
        <v>125</v>
      </c>
      <c r="E585" s="100">
        <v>40718</v>
      </c>
      <c r="F585" s="101">
        <v>4.2000000000000003E-2</v>
      </c>
      <c r="G585" s="96">
        <f t="shared" si="37"/>
        <v>5</v>
      </c>
      <c r="I585" s="96"/>
      <c r="K585" t="str">
        <f t="shared" si="38"/>
        <v>DXS5</v>
      </c>
      <c r="L585" s="73" t="s">
        <v>125</v>
      </c>
      <c r="M585" s="72">
        <v>40718</v>
      </c>
      <c r="N585" s="84">
        <v>4.2000000000000003E-2</v>
      </c>
      <c r="O585" s="96">
        <f t="shared" si="39"/>
        <v>5</v>
      </c>
      <c r="Q585" s="96"/>
      <c r="R585">
        <f>R584</f>
        <v>0</v>
      </c>
      <c r="S585" t="str">
        <f>IF(ISNA(VLOOKUP($R585&amp;S$2,$K$3:$N$4001,3,0)),"",VLOOKUP($R585&amp;S$2,$K$3:$N$4001,3,0))</f>
        <v/>
      </c>
      <c r="T585" s="110" t="str">
        <f>IF(ISNA(VLOOKUP($R585&amp;S$2,$K$3:$N$4001,4,0)),"",VLOOKUP($R585&amp;S$2,$K$3:$N$4001,4,0))</f>
        <v/>
      </c>
    </row>
    <row r="586" spans="3:20" x14ac:dyDescent="0.2">
      <c r="C586" s="96" t="str">
        <f t="shared" si="36"/>
        <v>DXS6</v>
      </c>
      <c r="D586" s="73" t="s">
        <v>125</v>
      </c>
      <c r="E586" s="100">
        <v>40899</v>
      </c>
      <c r="F586" s="101">
        <v>4.4999999999999998E-2</v>
      </c>
      <c r="G586" s="96">
        <f t="shared" si="37"/>
        <v>6</v>
      </c>
      <c r="I586" s="96"/>
      <c r="K586" t="str">
        <f t="shared" si="38"/>
        <v>DXS6</v>
      </c>
      <c r="L586" s="73" t="s">
        <v>125</v>
      </c>
      <c r="M586" s="72">
        <v>40899</v>
      </c>
      <c r="N586" s="84">
        <v>4.4999999999999998E-2</v>
      </c>
      <c r="O586" s="96">
        <f t="shared" si="39"/>
        <v>6</v>
      </c>
      <c r="Q586" s="96"/>
      <c r="R586">
        <v>0</v>
      </c>
      <c r="S586" t="str">
        <f>IF(ISNA(VLOOKUP($R586&amp;S$2,$C$3:$F$4001,3,0)),"",VLOOKUP($R586&amp;S$2,$C$3:$F$4001,3,0))</f>
        <v/>
      </c>
      <c r="T586" s="110" t="str">
        <f>IF(ISNA(VLOOKUP($R586&amp;S$2,$C$3:$F$4001,4,0)),"",VLOOKUP($R586&amp;S$2,$C$3:$F$4001,4,0))</f>
        <v/>
      </c>
    </row>
    <row r="587" spans="3:20" x14ac:dyDescent="0.2">
      <c r="C587" s="96" t="str">
        <f t="shared" si="36"/>
        <v>DXS7</v>
      </c>
      <c r="D587" s="73" t="s">
        <v>125</v>
      </c>
      <c r="E587" s="100">
        <v>41085</v>
      </c>
      <c r="F587" s="101">
        <v>4.4999999999999998E-2</v>
      </c>
      <c r="G587" s="96">
        <f t="shared" si="37"/>
        <v>7</v>
      </c>
      <c r="I587" s="96"/>
      <c r="K587" t="str">
        <f t="shared" si="38"/>
        <v>DXS7</v>
      </c>
      <c r="L587" s="73" t="s">
        <v>125</v>
      </c>
      <c r="M587" s="72">
        <v>41085</v>
      </c>
      <c r="N587" s="84">
        <v>4.4999999999999998E-2</v>
      </c>
      <c r="O587" s="96">
        <f t="shared" si="39"/>
        <v>7</v>
      </c>
      <c r="Q587" s="96"/>
      <c r="R587">
        <f>R586</f>
        <v>0</v>
      </c>
      <c r="S587" t="str">
        <f>IF(ISNA(VLOOKUP($R587&amp;S$2,$K$3:$N$4001,3,0)),"",VLOOKUP($R587&amp;S$2,$K$3:$N$4001,3,0))</f>
        <v/>
      </c>
      <c r="T587" s="110" t="str">
        <f>IF(ISNA(VLOOKUP($R587&amp;S$2,$K$3:$N$4001,4,0)),"",VLOOKUP($R587&amp;S$2,$K$3:$N$4001,4,0))</f>
        <v/>
      </c>
    </row>
    <row r="588" spans="3:20" x14ac:dyDescent="0.2">
      <c r="C588" s="96" t="str">
        <f t="shared" si="36"/>
        <v>DXS8</v>
      </c>
      <c r="D588" s="73" t="s">
        <v>125</v>
      </c>
      <c r="E588" s="100">
        <v>41268</v>
      </c>
      <c r="F588" s="101">
        <v>4.8000000000000001E-2</v>
      </c>
      <c r="G588" s="96">
        <f t="shared" si="37"/>
        <v>8</v>
      </c>
      <c r="I588" s="96"/>
      <c r="K588" t="str">
        <f t="shared" si="38"/>
        <v>DXS8</v>
      </c>
      <c r="L588" s="73" t="s">
        <v>125</v>
      </c>
      <c r="M588" s="72">
        <v>41268</v>
      </c>
      <c r="N588" s="84">
        <v>4.8000000000000001E-2</v>
      </c>
      <c r="O588" s="96">
        <f t="shared" si="39"/>
        <v>8</v>
      </c>
      <c r="Q588" s="96"/>
      <c r="R588">
        <v>0</v>
      </c>
      <c r="S588" t="str">
        <f>IF(ISNA(VLOOKUP($R588&amp;S$2,$C$3:$F$4001,3,0)),"",VLOOKUP($R588&amp;S$2,$C$3:$F$4001,3,0))</f>
        <v/>
      </c>
      <c r="T588" s="110" t="str">
        <f>IF(ISNA(VLOOKUP($R588&amp;S$2,$C$3:$F$4001,4,0)),"",VLOOKUP($R588&amp;S$2,$C$3:$F$4001,4,0))</f>
        <v/>
      </c>
    </row>
    <row r="589" spans="3:20" x14ac:dyDescent="0.2">
      <c r="C589" s="96" t="str">
        <f t="shared" si="36"/>
        <v>DXS9</v>
      </c>
      <c r="D589" s="73" t="s">
        <v>125</v>
      </c>
      <c r="E589" s="100">
        <v>41450</v>
      </c>
      <c r="F589" s="101">
        <v>4.8000000000000001E-2</v>
      </c>
      <c r="G589" s="96">
        <f t="shared" si="37"/>
        <v>9</v>
      </c>
      <c r="I589" s="96"/>
      <c r="K589" t="str">
        <f t="shared" si="38"/>
        <v>DXS9</v>
      </c>
      <c r="L589" s="73" t="s">
        <v>125</v>
      </c>
      <c r="M589" s="72">
        <v>41450</v>
      </c>
      <c r="N589" s="84">
        <v>4.8000000000000001E-2</v>
      </c>
      <c r="O589" s="96">
        <f t="shared" si="39"/>
        <v>9</v>
      </c>
      <c r="Q589" s="96"/>
      <c r="R589">
        <f>R588</f>
        <v>0</v>
      </c>
      <c r="S589" t="str">
        <f>IF(ISNA(VLOOKUP($R589&amp;S$2,$K$3:$N$4001,3,0)),"",VLOOKUP($R589&amp;S$2,$K$3:$N$4001,3,0))</f>
        <v/>
      </c>
      <c r="T589" s="110" t="str">
        <f>IF(ISNA(VLOOKUP($R589&amp;S$2,$K$3:$N$4001,4,0)),"",VLOOKUP($R589&amp;S$2,$K$3:$N$4001,4,0))</f>
        <v/>
      </c>
    </row>
    <row r="590" spans="3:20" x14ac:dyDescent="0.2">
      <c r="C590" s="96" t="str">
        <f t="shared" si="36"/>
        <v>EHL1</v>
      </c>
      <c r="D590" s="73" t="s">
        <v>126</v>
      </c>
      <c r="E590" s="100">
        <v>39875</v>
      </c>
      <c r="F590" s="101">
        <v>0.02</v>
      </c>
      <c r="G590" s="96">
        <f t="shared" si="37"/>
        <v>1</v>
      </c>
      <c r="I590" s="96"/>
      <c r="K590" t="str">
        <f t="shared" si="38"/>
        <v>EHL1</v>
      </c>
      <c r="L590" s="73" t="s">
        <v>126</v>
      </c>
      <c r="M590" s="72">
        <v>39875</v>
      </c>
      <c r="N590" s="84">
        <v>0.02</v>
      </c>
      <c r="O590" s="96">
        <f t="shared" si="39"/>
        <v>1</v>
      </c>
      <c r="Q590" s="96"/>
      <c r="R590">
        <v>0</v>
      </c>
      <c r="S590" t="str">
        <f>IF(ISNA(VLOOKUP($R590&amp;S$2,$C$3:$F$4001,3,0)),"",VLOOKUP($R590&amp;S$2,$C$3:$F$4001,3,0))</f>
        <v/>
      </c>
      <c r="T590" s="110" t="str">
        <f>IF(ISNA(VLOOKUP($R590&amp;S$2,$C$3:$F$4001,4,0)),"",VLOOKUP($R590&amp;S$2,$C$3:$F$4001,4,0))</f>
        <v/>
      </c>
    </row>
    <row r="591" spans="3:20" x14ac:dyDescent="0.2">
      <c r="C591" s="96" t="str">
        <f t="shared" si="36"/>
        <v>EHL2</v>
      </c>
      <c r="D591" s="73" t="s">
        <v>126</v>
      </c>
      <c r="E591" s="100">
        <v>40057</v>
      </c>
      <c r="F591" s="101">
        <v>2.5000000000000001E-2</v>
      </c>
      <c r="G591" s="96">
        <f t="shared" si="37"/>
        <v>2</v>
      </c>
      <c r="I591" s="96"/>
      <c r="K591" t="str">
        <f t="shared" si="38"/>
        <v>EHL2</v>
      </c>
      <c r="L591" s="73" t="s">
        <v>126</v>
      </c>
      <c r="M591" s="72">
        <v>40057</v>
      </c>
      <c r="N591" s="84">
        <v>2.5000000000000001E-2</v>
      </c>
      <c r="O591" s="96">
        <f t="shared" si="39"/>
        <v>2</v>
      </c>
      <c r="Q591" s="96"/>
      <c r="R591">
        <f>R590</f>
        <v>0</v>
      </c>
      <c r="S591" t="str">
        <f>IF(ISNA(VLOOKUP($R591&amp;S$2,$K$3:$N$4001,3,0)),"",VLOOKUP($R591&amp;S$2,$K$3:$N$4001,3,0))</f>
        <v/>
      </c>
      <c r="T591" s="110" t="str">
        <f>IF(ISNA(VLOOKUP($R591&amp;S$2,$K$3:$N$4001,4,0)),"",VLOOKUP($R591&amp;S$2,$K$3:$N$4001,4,0))</f>
        <v/>
      </c>
    </row>
    <row r="592" spans="3:20" x14ac:dyDescent="0.2">
      <c r="C592" s="96" t="str">
        <f t="shared" si="36"/>
        <v>EHL3</v>
      </c>
      <c r="D592" s="73" t="s">
        <v>126</v>
      </c>
      <c r="E592" s="100">
        <v>40241</v>
      </c>
      <c r="F592" s="101">
        <v>2.35E-2</v>
      </c>
      <c r="G592" s="96">
        <f t="shared" si="37"/>
        <v>3</v>
      </c>
      <c r="I592" s="96"/>
      <c r="K592" t="str">
        <f t="shared" si="38"/>
        <v>EHL3</v>
      </c>
      <c r="L592" s="73" t="s">
        <v>126</v>
      </c>
      <c r="M592" s="72">
        <v>40241</v>
      </c>
      <c r="N592" s="84">
        <v>2.35E-2</v>
      </c>
      <c r="O592" s="96">
        <f t="shared" si="39"/>
        <v>3</v>
      </c>
      <c r="Q592" s="96"/>
      <c r="R592">
        <v>0</v>
      </c>
      <c r="S592" t="str">
        <f>IF(ISNA(VLOOKUP($R592&amp;S$2,$C$3:$F$4001,3,0)),"",VLOOKUP($R592&amp;S$2,$C$3:$F$4001,3,0))</f>
        <v/>
      </c>
      <c r="T592" s="110" t="str">
        <f>IF(ISNA(VLOOKUP($R592&amp;S$2,$C$3:$F$4001,4,0)),"",VLOOKUP($R592&amp;S$2,$C$3:$F$4001,4,0))</f>
        <v/>
      </c>
    </row>
    <row r="593" spans="3:20" x14ac:dyDescent="0.2">
      <c r="C593" s="96" t="str">
        <f t="shared" si="36"/>
        <v>EHL4</v>
      </c>
      <c r="D593" s="73" t="s">
        <v>126</v>
      </c>
      <c r="E593" s="100">
        <v>40422</v>
      </c>
      <c r="F593" s="101">
        <v>2.9500000000000002E-2</v>
      </c>
      <c r="G593" s="96">
        <f t="shared" si="37"/>
        <v>4</v>
      </c>
      <c r="I593" s="96"/>
      <c r="K593" t="str">
        <f t="shared" si="38"/>
        <v>EHL4</v>
      </c>
      <c r="L593" s="73" t="s">
        <v>126</v>
      </c>
      <c r="M593" s="72">
        <v>40422</v>
      </c>
      <c r="N593" s="84">
        <v>2.9500000000000002E-2</v>
      </c>
      <c r="O593" s="96">
        <f t="shared" si="39"/>
        <v>4</v>
      </c>
      <c r="Q593" s="96"/>
      <c r="R593">
        <f>R592</f>
        <v>0</v>
      </c>
      <c r="S593" t="str">
        <f>IF(ISNA(VLOOKUP($R593&amp;S$2,$K$3:$N$4001,3,0)),"",VLOOKUP($R593&amp;S$2,$K$3:$N$4001,3,0))</f>
        <v/>
      </c>
      <c r="T593" s="110" t="str">
        <f>IF(ISNA(VLOOKUP($R593&amp;S$2,$K$3:$N$4001,4,0)),"",VLOOKUP($R593&amp;S$2,$K$3:$N$4001,4,0))</f>
        <v/>
      </c>
    </row>
    <row r="594" spans="3:20" x14ac:dyDescent="0.2">
      <c r="C594" s="96" t="str">
        <f t="shared" si="36"/>
        <v>EHL5</v>
      </c>
      <c r="D594" s="73" t="s">
        <v>126</v>
      </c>
      <c r="E594" s="100">
        <v>40606</v>
      </c>
      <c r="F594" s="101">
        <v>2.4399999999999998E-2</v>
      </c>
      <c r="G594" s="96">
        <f t="shared" si="37"/>
        <v>5</v>
      </c>
      <c r="I594" s="96"/>
      <c r="K594" t="str">
        <f t="shared" si="38"/>
        <v>EHL5</v>
      </c>
      <c r="L594" s="73" t="s">
        <v>126</v>
      </c>
      <c r="M594" s="72">
        <v>40606</v>
      </c>
      <c r="N594" s="84">
        <v>2.4399999999999998E-2</v>
      </c>
      <c r="O594" s="96">
        <f t="shared" si="39"/>
        <v>5</v>
      </c>
      <c r="Q594" s="96"/>
      <c r="R594">
        <v>0</v>
      </c>
      <c r="S594" t="str">
        <f>IF(ISNA(VLOOKUP($R594&amp;S$2,$C$3:$F$4001,3,0)),"",VLOOKUP($R594&amp;S$2,$C$3:$F$4001,3,0))</f>
        <v/>
      </c>
      <c r="T594" s="110" t="str">
        <f>IF(ISNA(VLOOKUP($R594&amp;S$2,$C$3:$F$4001,4,0)),"",VLOOKUP($R594&amp;S$2,$C$3:$F$4001,4,0))</f>
        <v/>
      </c>
    </row>
    <row r="595" spans="3:20" x14ac:dyDescent="0.2">
      <c r="C595" s="96" t="str">
        <f t="shared" si="36"/>
        <v>EHL6</v>
      </c>
      <c r="D595" s="73" t="s">
        <v>126</v>
      </c>
      <c r="E595" s="100">
        <v>40787</v>
      </c>
      <c r="F595" s="101">
        <v>3.0600000000000002E-2</v>
      </c>
      <c r="G595" s="96">
        <f t="shared" si="37"/>
        <v>6</v>
      </c>
      <c r="I595" s="96"/>
      <c r="K595" t="str">
        <f t="shared" si="38"/>
        <v>EHL6</v>
      </c>
      <c r="L595" s="73" t="s">
        <v>126</v>
      </c>
      <c r="M595" s="72">
        <v>40787</v>
      </c>
      <c r="N595" s="84">
        <v>3.0600000000000002E-2</v>
      </c>
      <c r="O595" s="96">
        <f t="shared" si="39"/>
        <v>6</v>
      </c>
      <c r="Q595" s="96"/>
      <c r="R595">
        <f>R594</f>
        <v>0</v>
      </c>
      <c r="S595" t="str">
        <f>IF(ISNA(VLOOKUP($R595&amp;S$2,$K$3:$N$4001,3,0)),"",VLOOKUP($R595&amp;S$2,$K$3:$N$4001,3,0))</f>
        <v/>
      </c>
      <c r="T595" s="110" t="str">
        <f>IF(ISNA(VLOOKUP($R595&amp;S$2,$K$3:$N$4001,4,0)),"",VLOOKUP($R595&amp;S$2,$K$3:$N$4001,4,0))</f>
        <v/>
      </c>
    </row>
    <row r="596" spans="3:20" x14ac:dyDescent="0.2">
      <c r="C596" s="96" t="str">
        <f t="shared" si="36"/>
        <v>EHL7</v>
      </c>
      <c r="D596" s="73" t="s">
        <v>126</v>
      </c>
      <c r="E596" s="100">
        <v>40974</v>
      </c>
      <c r="F596" s="101">
        <v>3.0099999999999998E-2</v>
      </c>
      <c r="G596" s="96">
        <f t="shared" si="37"/>
        <v>7</v>
      </c>
      <c r="I596" s="96"/>
      <c r="K596" t="str">
        <f t="shared" si="38"/>
        <v>EHL7</v>
      </c>
      <c r="L596" s="73" t="s">
        <v>126</v>
      </c>
      <c r="M596" s="72">
        <v>40974</v>
      </c>
      <c r="N596" s="84">
        <v>3.0099999999999998E-2</v>
      </c>
      <c r="O596" s="96">
        <f t="shared" si="39"/>
        <v>7</v>
      </c>
      <c r="Q596" s="96"/>
      <c r="R596">
        <v>0</v>
      </c>
      <c r="S596" t="str">
        <f>IF(ISNA(VLOOKUP($R596&amp;S$2,$C$3:$F$4001,3,0)),"",VLOOKUP($R596&amp;S$2,$C$3:$F$4001,3,0))</f>
        <v/>
      </c>
      <c r="T596" s="110" t="str">
        <f>IF(ISNA(VLOOKUP($R596&amp;S$2,$C$3:$F$4001,4,0)),"",VLOOKUP($R596&amp;S$2,$C$3:$F$4001,4,0))</f>
        <v/>
      </c>
    </row>
    <row r="597" spans="3:20" x14ac:dyDescent="0.2">
      <c r="C597" s="96" t="str">
        <f t="shared" si="36"/>
        <v>EHL8</v>
      </c>
      <c r="D597" s="73" t="s">
        <v>126</v>
      </c>
      <c r="E597" s="100">
        <v>41155</v>
      </c>
      <c r="F597" s="101">
        <v>3.7900000000000003E-2</v>
      </c>
      <c r="G597" s="96">
        <f t="shared" si="37"/>
        <v>8</v>
      </c>
      <c r="I597" s="96"/>
      <c r="K597" t="str">
        <f t="shared" si="38"/>
        <v>EHL8</v>
      </c>
      <c r="L597" s="73" t="s">
        <v>126</v>
      </c>
      <c r="M597" s="72">
        <v>41155</v>
      </c>
      <c r="N597" s="84">
        <v>3.7900000000000003E-2</v>
      </c>
      <c r="O597" s="96">
        <f t="shared" si="39"/>
        <v>8</v>
      </c>
      <c r="Q597" s="96"/>
      <c r="R597">
        <f>R596</f>
        <v>0</v>
      </c>
      <c r="S597" t="str">
        <f>IF(ISNA(VLOOKUP($R597&amp;S$2,$K$3:$N$4001,3,0)),"",VLOOKUP($R597&amp;S$2,$K$3:$N$4001,3,0))</f>
        <v/>
      </c>
      <c r="T597" s="110" t="str">
        <f>IF(ISNA(VLOOKUP($R597&amp;S$2,$K$3:$N$4001,4,0)),"",VLOOKUP($R597&amp;S$2,$K$3:$N$4001,4,0))</f>
        <v/>
      </c>
    </row>
    <row r="598" spans="3:20" x14ac:dyDescent="0.2">
      <c r="C598" s="96" t="str">
        <f t="shared" si="36"/>
        <v>EHL9</v>
      </c>
      <c r="D598" s="73" t="s">
        <v>126</v>
      </c>
      <c r="E598" s="100">
        <v>41339</v>
      </c>
      <c r="F598" s="101">
        <v>3.2000000000000001E-2</v>
      </c>
      <c r="G598" s="96">
        <f t="shared" si="37"/>
        <v>9</v>
      </c>
      <c r="I598" s="96"/>
      <c r="K598" t="str">
        <f t="shared" si="38"/>
        <v>EHL9</v>
      </c>
      <c r="L598" s="73" t="s">
        <v>126</v>
      </c>
      <c r="M598" s="72">
        <v>41339</v>
      </c>
      <c r="N598" s="84">
        <v>3.2000000000000001E-2</v>
      </c>
      <c r="O598" s="96">
        <f t="shared" si="39"/>
        <v>9</v>
      </c>
      <c r="Q598" s="96"/>
      <c r="R598">
        <v>0</v>
      </c>
      <c r="S598" t="str">
        <f>IF(ISNA(VLOOKUP($R598&amp;S$2,$C$3:$F$4001,3,0)),"",VLOOKUP($R598&amp;S$2,$C$3:$F$4001,3,0))</f>
        <v/>
      </c>
      <c r="T598" s="110" t="str">
        <f>IF(ISNA(VLOOKUP($R598&amp;S$2,$C$3:$F$4001,4,0)),"",VLOOKUP($R598&amp;S$2,$C$3:$F$4001,4,0))</f>
        <v/>
      </c>
    </row>
    <row r="599" spans="3:20" x14ac:dyDescent="0.2">
      <c r="C599" s="96" t="str">
        <f t="shared" si="36"/>
        <v>EHL10</v>
      </c>
      <c r="D599" s="73" t="s">
        <v>126</v>
      </c>
      <c r="E599" s="100">
        <v>41520</v>
      </c>
      <c r="F599" s="101">
        <v>0.04</v>
      </c>
      <c r="G599" s="96">
        <f t="shared" si="37"/>
        <v>10</v>
      </c>
      <c r="I599" s="96"/>
      <c r="K599" t="str">
        <f t="shared" si="38"/>
        <v>EHL10</v>
      </c>
      <c r="L599" s="73" t="s">
        <v>126</v>
      </c>
      <c r="M599" s="72">
        <v>41520</v>
      </c>
      <c r="N599" s="84">
        <v>0.04</v>
      </c>
      <c r="O599" s="96">
        <f t="shared" si="39"/>
        <v>10</v>
      </c>
      <c r="Q599" s="96"/>
      <c r="R599">
        <f>R598</f>
        <v>0</v>
      </c>
      <c r="S599" t="str">
        <f>IF(ISNA(VLOOKUP($R599&amp;S$2,$K$3:$N$4001,3,0)),"",VLOOKUP($R599&amp;S$2,$K$3:$N$4001,3,0))</f>
        <v/>
      </c>
      <c r="T599" s="110" t="str">
        <f>IF(ISNA(VLOOKUP($R599&amp;S$2,$K$3:$N$4001,4,0)),"",VLOOKUP($R599&amp;S$2,$K$3:$N$4001,4,0))</f>
        <v/>
      </c>
    </row>
    <row r="600" spans="3:20" x14ac:dyDescent="0.2">
      <c r="C600" s="96" t="str">
        <f t="shared" si="36"/>
        <v>ENV1</v>
      </c>
      <c r="D600" s="73" t="s">
        <v>127</v>
      </c>
      <c r="E600" s="100">
        <v>39939</v>
      </c>
      <c r="F600" s="101">
        <v>2.75E-2</v>
      </c>
      <c r="G600" s="96">
        <f t="shared" si="37"/>
        <v>1</v>
      </c>
      <c r="I600" s="96"/>
      <c r="K600" t="str">
        <f t="shared" si="38"/>
        <v>ENV1</v>
      </c>
      <c r="L600" s="73" t="s">
        <v>127</v>
      </c>
      <c r="M600" s="72">
        <v>39939</v>
      </c>
      <c r="N600" s="84">
        <v>2.75E-2</v>
      </c>
      <c r="O600" s="96">
        <f t="shared" si="39"/>
        <v>1</v>
      </c>
      <c r="Q600" s="96"/>
      <c r="R600">
        <v>0</v>
      </c>
      <c r="S600" t="str">
        <f>IF(ISNA(VLOOKUP($R600&amp;S$2,$C$3:$F$4001,3,0)),"",VLOOKUP($R600&amp;S$2,$C$3:$F$4001,3,0))</f>
        <v/>
      </c>
      <c r="T600" s="110" t="str">
        <f>IF(ISNA(VLOOKUP($R600&amp;S$2,$C$3:$F$4001,4,0)),"",VLOOKUP($R600&amp;S$2,$C$3:$F$4001,4,0))</f>
        <v/>
      </c>
    </row>
    <row r="601" spans="3:20" x14ac:dyDescent="0.2">
      <c r="C601" s="96" t="str">
        <f t="shared" si="36"/>
        <v>ENV2</v>
      </c>
      <c r="D601" s="73" t="s">
        <v>127</v>
      </c>
      <c r="E601" s="100">
        <v>40126</v>
      </c>
      <c r="F601" s="101">
        <v>2.75E-2</v>
      </c>
      <c r="G601" s="96">
        <f t="shared" si="37"/>
        <v>2</v>
      </c>
      <c r="I601" s="96"/>
      <c r="K601" t="str">
        <f t="shared" si="38"/>
        <v>ENV2</v>
      </c>
      <c r="L601" s="73" t="s">
        <v>127</v>
      </c>
      <c r="M601" s="72">
        <v>40126</v>
      </c>
      <c r="N601" s="84">
        <v>2.75E-2</v>
      </c>
      <c r="O601" s="96">
        <f t="shared" si="39"/>
        <v>2</v>
      </c>
      <c r="Q601" s="96"/>
      <c r="R601">
        <f>R600</f>
        <v>0</v>
      </c>
      <c r="S601" t="str">
        <f>IF(ISNA(VLOOKUP($R601&amp;S$2,$K$3:$N$4001,3,0)),"",VLOOKUP($R601&amp;S$2,$K$3:$N$4001,3,0))</f>
        <v/>
      </c>
      <c r="T601" s="110" t="str">
        <f>IF(ISNA(VLOOKUP($R601&amp;S$2,$K$3:$N$4001,4,0)),"",VLOOKUP($R601&amp;S$2,$K$3:$N$4001,4,0))</f>
        <v/>
      </c>
    </row>
    <row r="602" spans="3:20" x14ac:dyDescent="0.2">
      <c r="C602" s="96" t="str">
        <f t="shared" si="36"/>
        <v>ENV3</v>
      </c>
      <c r="D602" s="73" t="s">
        <v>127</v>
      </c>
      <c r="E602" s="100">
        <v>40304</v>
      </c>
      <c r="F602" s="101">
        <v>3.5000000000000003E-2</v>
      </c>
      <c r="G602" s="96">
        <f t="shared" si="37"/>
        <v>3</v>
      </c>
      <c r="I602" s="96"/>
      <c r="K602" t="str">
        <f t="shared" si="38"/>
        <v>ENV3</v>
      </c>
      <c r="L602" s="73" t="s">
        <v>127</v>
      </c>
      <c r="M602" s="72">
        <v>40304</v>
      </c>
      <c r="N602" s="84">
        <v>3.5000000000000003E-2</v>
      </c>
      <c r="O602" s="96">
        <f t="shared" si="39"/>
        <v>3</v>
      </c>
      <c r="Q602" s="96"/>
      <c r="R602">
        <v>0</v>
      </c>
      <c r="S602" t="str">
        <f>IF(ISNA(VLOOKUP($R602&amp;S$2,$C$3:$F$4001,3,0)),"",VLOOKUP($R602&amp;S$2,$C$3:$F$4001,3,0))</f>
        <v/>
      </c>
      <c r="T602" s="110" t="str">
        <f>IF(ISNA(VLOOKUP($R602&amp;S$2,$C$3:$F$4001,4,0)),"",VLOOKUP($R602&amp;S$2,$C$3:$F$4001,4,0))</f>
        <v/>
      </c>
    </row>
    <row r="603" spans="3:20" x14ac:dyDescent="0.2">
      <c r="C603" s="96" t="str">
        <f t="shared" si="36"/>
        <v>ENV4</v>
      </c>
      <c r="D603" s="73" t="s">
        <v>127</v>
      </c>
      <c r="E603" s="100">
        <v>40492</v>
      </c>
      <c r="F603" s="101">
        <v>2.64E-2</v>
      </c>
      <c r="G603" s="96">
        <f t="shared" si="37"/>
        <v>4</v>
      </c>
      <c r="I603" s="96"/>
      <c r="K603" t="str">
        <f t="shared" si="38"/>
        <v>ENV4</v>
      </c>
      <c r="L603" s="73" t="s">
        <v>127</v>
      </c>
      <c r="M603" s="72">
        <v>40492</v>
      </c>
      <c r="N603" s="84">
        <v>2.64E-2</v>
      </c>
      <c r="O603" s="96">
        <f t="shared" si="39"/>
        <v>4</v>
      </c>
      <c r="Q603" s="96"/>
      <c r="R603">
        <f>R602</f>
        <v>0</v>
      </c>
      <c r="S603" t="str">
        <f>IF(ISNA(VLOOKUP($R603&amp;S$2,$K$3:$N$4001,3,0)),"",VLOOKUP($R603&amp;S$2,$K$3:$N$4001,3,0))</f>
        <v/>
      </c>
      <c r="T603" s="110" t="str">
        <f>IF(ISNA(VLOOKUP($R603&amp;S$2,$K$3:$N$4001,4,0)),"",VLOOKUP($R603&amp;S$2,$K$3:$N$4001,4,0))</f>
        <v/>
      </c>
    </row>
    <row r="604" spans="3:20" x14ac:dyDescent="0.2">
      <c r="C604" s="96" t="str">
        <f t="shared" si="36"/>
        <v>ENV5</v>
      </c>
      <c r="D604" s="73" t="s">
        <v>127</v>
      </c>
      <c r="E604" s="100">
        <v>40669</v>
      </c>
      <c r="F604" s="101">
        <v>3.3599999999999998E-2</v>
      </c>
      <c r="G604" s="96">
        <f t="shared" si="37"/>
        <v>5</v>
      </c>
      <c r="I604" s="96"/>
      <c r="K604" t="str">
        <f t="shared" si="38"/>
        <v>ENV5</v>
      </c>
      <c r="L604" s="73" t="s">
        <v>127</v>
      </c>
      <c r="M604" s="72">
        <v>40669</v>
      </c>
      <c r="N604" s="84">
        <v>3.3599999999999998E-2</v>
      </c>
      <c r="O604" s="96">
        <f t="shared" si="39"/>
        <v>5</v>
      </c>
      <c r="Q604" s="96"/>
      <c r="R604">
        <v>0</v>
      </c>
      <c r="S604" t="str">
        <f>IF(ISNA(VLOOKUP($R604&amp;S$2,$C$3:$F$4001,3,0)),"",VLOOKUP($R604&amp;S$2,$C$3:$F$4001,3,0))</f>
        <v/>
      </c>
      <c r="T604" s="110" t="str">
        <f>IF(ISNA(VLOOKUP($R604&amp;S$2,$C$3:$F$4001,4,0)),"",VLOOKUP($R604&amp;S$2,$C$3:$F$4001,4,0))</f>
        <v/>
      </c>
    </row>
    <row r="605" spans="3:20" x14ac:dyDescent="0.2">
      <c r="C605" s="96" t="str">
        <f t="shared" si="36"/>
        <v>ENV6</v>
      </c>
      <c r="D605" s="73" t="s">
        <v>127</v>
      </c>
      <c r="E605" s="100">
        <v>40857</v>
      </c>
      <c r="F605" s="101">
        <v>2.46E-2</v>
      </c>
      <c r="G605" s="96">
        <f t="shared" si="37"/>
        <v>6</v>
      </c>
      <c r="I605" s="96"/>
      <c r="K605" t="str">
        <f t="shared" si="38"/>
        <v>ENV6</v>
      </c>
      <c r="L605" s="73" t="s">
        <v>127</v>
      </c>
      <c r="M605" s="72">
        <v>40857</v>
      </c>
      <c r="N605" s="84">
        <v>2.46E-2</v>
      </c>
      <c r="O605" s="96">
        <f t="shared" si="39"/>
        <v>6</v>
      </c>
      <c r="Q605" s="96"/>
      <c r="R605">
        <f>R604</f>
        <v>0</v>
      </c>
      <c r="S605" t="str">
        <f>IF(ISNA(VLOOKUP($R605&amp;S$2,$K$3:$N$4001,3,0)),"",VLOOKUP($R605&amp;S$2,$K$3:$N$4001,3,0))</f>
        <v/>
      </c>
      <c r="T605" s="83" t="str">
        <f>IF(ISNA(VLOOKUP($R605&amp;S$2,$K$3:$N$4001,4,0)),"",VLOOKUP($R605&amp;S$2,$K$3:$N$4001,4,0))</f>
        <v/>
      </c>
    </row>
    <row r="606" spans="3:20" x14ac:dyDescent="0.2">
      <c r="C606" s="96" t="str">
        <f t="shared" si="36"/>
        <v>ENV7</v>
      </c>
      <c r="D606" s="73" t="s">
        <v>127</v>
      </c>
      <c r="E606" s="100">
        <v>41037</v>
      </c>
      <c r="F606" s="101">
        <v>3.1400000000000004E-2</v>
      </c>
      <c r="G606" s="96">
        <f t="shared" si="37"/>
        <v>7</v>
      </c>
      <c r="I606" s="96"/>
      <c r="K606" t="str">
        <f t="shared" si="38"/>
        <v>ENV7</v>
      </c>
      <c r="L606" s="73" t="s">
        <v>127</v>
      </c>
      <c r="M606" s="72">
        <v>41037</v>
      </c>
      <c r="N606" s="84">
        <v>3.1400000000000004E-2</v>
      </c>
      <c r="O606" s="96">
        <f t="shared" si="39"/>
        <v>7</v>
      </c>
      <c r="Q606" s="96"/>
      <c r="R606">
        <v>0</v>
      </c>
      <c r="S606" t="str">
        <f>IF(ISNA(VLOOKUP($R606&amp;S$2,$C$3:$F$4001,3,0)),"",VLOOKUP($R606&amp;S$2,$C$3:$F$4001,3,0))</f>
        <v/>
      </c>
      <c r="T606" s="83" t="str">
        <f>IF(ISNA(VLOOKUP($R606&amp;S$2,$C$3:$F$4001,4,0)),"",VLOOKUP($R606&amp;S$2,$C$3:$F$4001,4,0))</f>
        <v/>
      </c>
    </row>
    <row r="607" spans="3:20" x14ac:dyDescent="0.2">
      <c r="C607" s="96" t="str">
        <f t="shared" si="36"/>
        <v>ENV8</v>
      </c>
      <c r="D607" s="73" t="s">
        <v>127</v>
      </c>
      <c r="E607" s="100">
        <v>41225</v>
      </c>
      <c r="F607" s="101">
        <v>2.5000000000000001E-2</v>
      </c>
      <c r="G607" s="96">
        <f t="shared" si="37"/>
        <v>8</v>
      </c>
      <c r="I607" s="96"/>
      <c r="K607" t="str">
        <f t="shared" si="38"/>
        <v>ENV8</v>
      </c>
      <c r="L607" s="73" t="s">
        <v>127</v>
      </c>
      <c r="M607" s="72">
        <v>41225</v>
      </c>
      <c r="N607" s="84">
        <v>2.5000000000000001E-2</v>
      </c>
      <c r="O607" s="96">
        <f t="shared" si="39"/>
        <v>8</v>
      </c>
      <c r="Q607" s="96"/>
      <c r="R607">
        <f>R606</f>
        <v>0</v>
      </c>
      <c r="S607" t="str">
        <f>IF(ISNA(VLOOKUP($R607&amp;S$2,$K$3:$N$4001,3,0)),"",VLOOKUP($R607&amp;S$2,$K$3:$N$4001,3,0))</f>
        <v/>
      </c>
      <c r="T607" s="83" t="str">
        <f>IF(ISNA(VLOOKUP($R607&amp;S$2,$K$3:$N$4001,4,0)),"",VLOOKUP($R607&amp;S$2,$K$3:$N$4001,4,0))</f>
        <v/>
      </c>
    </row>
    <row r="608" spans="3:20" x14ac:dyDescent="0.2">
      <c r="C608" s="96" t="str">
        <f t="shared" si="36"/>
        <v>ENV9</v>
      </c>
      <c r="D608" s="73" t="s">
        <v>127</v>
      </c>
      <c r="E608" s="100">
        <v>41402</v>
      </c>
      <c r="F608" s="101">
        <v>3.2000000000000001E-2</v>
      </c>
      <c r="G608" s="96">
        <f t="shared" si="37"/>
        <v>9</v>
      </c>
      <c r="I608" s="96"/>
      <c r="K608" t="str">
        <f t="shared" si="38"/>
        <v>ENV9</v>
      </c>
      <c r="L608" s="73" t="s">
        <v>127</v>
      </c>
      <c r="M608" s="72">
        <v>41402</v>
      </c>
      <c r="N608" s="84">
        <v>3.2000000000000001E-2</v>
      </c>
      <c r="O608" s="96">
        <f t="shared" si="39"/>
        <v>9</v>
      </c>
      <c r="Q608" s="96"/>
      <c r="R608">
        <v>0</v>
      </c>
      <c r="S608" t="str">
        <f>IF(ISNA(VLOOKUP($R608&amp;S$2,$C$3:$F$4001,3,0)),"",VLOOKUP($R608&amp;S$2,$C$3:$F$4001,3,0))</f>
        <v/>
      </c>
      <c r="T608" s="83" t="str">
        <f>IF(ISNA(VLOOKUP($R608&amp;S$2,$C$3:$F$4001,4,0)),"",VLOOKUP($R608&amp;S$2,$C$3:$F$4001,4,0))</f>
        <v/>
      </c>
    </row>
    <row r="609" spans="3:20" x14ac:dyDescent="0.2">
      <c r="C609" s="96" t="str">
        <f t="shared" si="36"/>
        <v>ERA1</v>
      </c>
      <c r="D609" s="73" t="s">
        <v>128</v>
      </c>
      <c r="E609" s="100">
        <v>39853</v>
      </c>
      <c r="F609" s="101">
        <v>0.2</v>
      </c>
      <c r="G609" s="96">
        <f t="shared" si="37"/>
        <v>1</v>
      </c>
      <c r="I609" s="96"/>
      <c r="K609" t="str">
        <f t="shared" si="38"/>
        <v>ERA1</v>
      </c>
      <c r="L609" s="73" t="s">
        <v>128</v>
      </c>
      <c r="M609" s="72">
        <v>39853</v>
      </c>
      <c r="N609" s="84">
        <v>0.2</v>
      </c>
      <c r="O609" s="96">
        <f t="shared" si="39"/>
        <v>1</v>
      </c>
      <c r="Q609" s="96"/>
      <c r="R609">
        <f>R608</f>
        <v>0</v>
      </c>
      <c r="S609" t="str">
        <f>IF(ISNA(VLOOKUP($R609&amp;S$2,$K$3:$N$4001,3,0)),"",VLOOKUP($R609&amp;S$2,$K$3:$N$4001,3,0))</f>
        <v/>
      </c>
      <c r="T609" s="83" t="str">
        <f>IF(ISNA(VLOOKUP($R609&amp;S$2,$K$3:$N$4001,4,0)),"",VLOOKUP($R609&amp;S$2,$K$3:$N$4001,4,0))</f>
        <v/>
      </c>
    </row>
    <row r="610" spans="3:20" x14ac:dyDescent="0.2">
      <c r="C610" s="96" t="str">
        <f t="shared" si="36"/>
        <v>ERA2</v>
      </c>
      <c r="D610" s="73" t="s">
        <v>128</v>
      </c>
      <c r="E610" s="100">
        <v>40045</v>
      </c>
      <c r="F610" s="101">
        <v>0.1</v>
      </c>
      <c r="G610" s="96">
        <f t="shared" si="37"/>
        <v>2</v>
      </c>
      <c r="I610" s="96"/>
      <c r="K610" t="str">
        <f t="shared" si="38"/>
        <v>ERA2</v>
      </c>
      <c r="L610" s="73" t="s">
        <v>128</v>
      </c>
      <c r="M610" s="72">
        <v>40045</v>
      </c>
      <c r="N610" s="84">
        <v>0.1</v>
      </c>
      <c r="O610" s="96">
        <f t="shared" si="39"/>
        <v>2</v>
      </c>
      <c r="Q610" s="96"/>
      <c r="R610">
        <v>0</v>
      </c>
      <c r="S610" t="str">
        <f>IF(ISNA(VLOOKUP($R610&amp;S$2,$C$3:$F$4001,3,0)),"",VLOOKUP($R610&amp;S$2,$C$3:$F$4001,3,0))</f>
        <v/>
      </c>
      <c r="T610" s="83" t="str">
        <f>IF(ISNA(VLOOKUP($R610&amp;S$2,$C$3:$F$4001,4,0)),"",VLOOKUP($R610&amp;S$2,$C$3:$F$4001,4,0))</f>
        <v/>
      </c>
    </row>
    <row r="611" spans="3:20" x14ac:dyDescent="0.2">
      <c r="C611" s="96" t="str">
        <f t="shared" si="36"/>
        <v>ERA3</v>
      </c>
      <c r="D611" s="73" t="s">
        <v>128</v>
      </c>
      <c r="E611" s="100">
        <v>40219</v>
      </c>
      <c r="F611" s="101">
        <v>0.22</v>
      </c>
      <c r="G611" s="96">
        <f t="shared" si="37"/>
        <v>3</v>
      </c>
      <c r="I611" s="96"/>
      <c r="K611" t="str">
        <f t="shared" si="38"/>
        <v>ERA3</v>
      </c>
      <c r="L611" s="73" t="s">
        <v>128</v>
      </c>
      <c r="M611" s="72">
        <v>40219</v>
      </c>
      <c r="N611" s="84">
        <v>0.22</v>
      </c>
      <c r="O611" s="96">
        <f t="shared" si="39"/>
        <v>3</v>
      </c>
      <c r="Q611" s="96"/>
      <c r="R611">
        <f>R610</f>
        <v>0</v>
      </c>
      <c r="S611" t="str">
        <f>IF(ISNA(VLOOKUP($R611&amp;S$2,$K$3:$N$4001,3,0)),"",VLOOKUP($R611&amp;S$2,$K$3:$N$4001,3,0))</f>
        <v/>
      </c>
      <c r="T611" s="110" t="str">
        <f>IF(ISNA(VLOOKUP($R611&amp;S$2,$K$3:$N$4001,4,0)),"",VLOOKUP($R611&amp;S$2,$K$3:$N$4001,4,0))</f>
        <v/>
      </c>
    </row>
    <row r="612" spans="3:20" x14ac:dyDescent="0.2">
      <c r="C612" s="96" t="str">
        <f t="shared" si="36"/>
        <v>ERA4</v>
      </c>
      <c r="D612" s="73" t="s">
        <v>128</v>
      </c>
      <c r="E612" s="100">
        <v>40410</v>
      </c>
      <c r="F612" s="101">
        <v>0.12</v>
      </c>
      <c r="G612" s="96">
        <f t="shared" si="37"/>
        <v>4</v>
      </c>
      <c r="I612" s="96"/>
      <c r="K612" t="str">
        <f t="shared" si="38"/>
        <v>ERA4</v>
      </c>
      <c r="L612" s="73" t="s">
        <v>128</v>
      </c>
      <c r="M612" s="72">
        <v>40410</v>
      </c>
      <c r="N612" s="84">
        <v>0.12</v>
      </c>
      <c r="O612" s="96">
        <f t="shared" si="39"/>
        <v>4</v>
      </c>
      <c r="Q612" s="96"/>
      <c r="R612">
        <v>0</v>
      </c>
      <c r="S612" t="str">
        <f>IF(ISNA(VLOOKUP($R612&amp;S$2,$C$3:$F$4001,3,0)),"",VLOOKUP($R612&amp;S$2,$C$3:$F$4001,3,0))</f>
        <v/>
      </c>
      <c r="T612" s="110" t="str">
        <f>IF(ISNA(VLOOKUP($R612&amp;S$2,$C$3:$F$4001,4,0)),"",VLOOKUP($R612&amp;S$2,$C$3:$F$4001,4,0))</f>
        <v/>
      </c>
    </row>
    <row r="613" spans="3:20" x14ac:dyDescent="0.2">
      <c r="C613" s="96" t="str">
        <f t="shared" si="36"/>
        <v>ERA5</v>
      </c>
      <c r="D613" s="73" t="s">
        <v>128</v>
      </c>
      <c r="E613" s="100">
        <v>40584</v>
      </c>
      <c r="F613" s="101">
        <v>0.24</v>
      </c>
      <c r="G613" s="96">
        <f t="shared" si="37"/>
        <v>5</v>
      </c>
      <c r="I613" s="96"/>
      <c r="K613" t="str">
        <f t="shared" si="38"/>
        <v>ERA5</v>
      </c>
      <c r="L613" s="73" t="s">
        <v>128</v>
      </c>
      <c r="M613" s="72">
        <v>40584</v>
      </c>
      <c r="N613" s="84">
        <v>0.24</v>
      </c>
      <c r="O613" s="96">
        <f t="shared" si="39"/>
        <v>5</v>
      </c>
      <c r="Q613" s="96"/>
      <c r="R613">
        <f>R612</f>
        <v>0</v>
      </c>
      <c r="S613" t="str">
        <f>IF(ISNA(VLOOKUP($R613&amp;S$2,$K$3:$N$4001,3,0)),"",VLOOKUP($R613&amp;S$2,$K$3:$N$4001,3,0))</f>
        <v/>
      </c>
      <c r="T613" s="110" t="str">
        <f>IF(ISNA(VLOOKUP($R613&amp;S$2,$K$3:$N$4001,4,0)),"",VLOOKUP($R613&amp;S$2,$K$3:$N$4001,4,0))</f>
        <v/>
      </c>
    </row>
    <row r="614" spans="3:20" x14ac:dyDescent="0.2">
      <c r="C614" s="96" t="str">
        <f t="shared" si="36"/>
        <v>ERA6</v>
      </c>
      <c r="D614" s="73" t="s">
        <v>128</v>
      </c>
      <c r="E614" s="100">
        <v>40777</v>
      </c>
      <c r="F614" s="101">
        <v>0.15</v>
      </c>
      <c r="G614" s="96">
        <f t="shared" si="37"/>
        <v>6</v>
      </c>
      <c r="I614" s="96"/>
      <c r="K614" t="str">
        <f t="shared" si="38"/>
        <v>ERA6</v>
      </c>
      <c r="L614" s="73" t="s">
        <v>128</v>
      </c>
      <c r="M614" s="72">
        <v>40777</v>
      </c>
      <c r="N614" s="84">
        <v>0.15</v>
      </c>
      <c r="O614" s="96">
        <f t="shared" si="39"/>
        <v>6</v>
      </c>
      <c r="Q614" s="96"/>
      <c r="T614" s="110"/>
    </row>
    <row r="615" spans="3:20" x14ac:dyDescent="0.2">
      <c r="C615" s="96" t="str">
        <f t="shared" si="36"/>
        <v>ERA7</v>
      </c>
      <c r="D615" s="73" t="s">
        <v>128</v>
      </c>
      <c r="E615" s="100">
        <v>40949</v>
      </c>
      <c r="F615" s="101">
        <v>0.27</v>
      </c>
      <c r="G615" s="96">
        <f t="shared" si="37"/>
        <v>7</v>
      </c>
      <c r="I615" s="96"/>
      <c r="K615" t="str">
        <f t="shared" si="38"/>
        <v>ERA7</v>
      </c>
      <c r="L615" s="73" t="s">
        <v>128</v>
      </c>
      <c r="M615" s="72">
        <v>40949</v>
      </c>
      <c r="N615" s="84">
        <v>0.27</v>
      </c>
      <c r="O615" s="96">
        <f t="shared" si="39"/>
        <v>7</v>
      </c>
      <c r="Q615" s="96"/>
      <c r="T615" s="110"/>
    </row>
    <row r="616" spans="3:20" x14ac:dyDescent="0.2">
      <c r="C616" s="96" t="str">
        <f t="shared" si="36"/>
        <v>ERA8</v>
      </c>
      <c r="D616" s="73" t="s">
        <v>128</v>
      </c>
      <c r="E616" s="100">
        <v>41142</v>
      </c>
      <c r="F616" s="101">
        <v>0.18</v>
      </c>
      <c r="G616" s="96">
        <f t="shared" si="37"/>
        <v>8</v>
      </c>
      <c r="I616" s="96"/>
      <c r="K616" t="str">
        <f t="shared" si="38"/>
        <v>ERA8</v>
      </c>
      <c r="L616" s="73" t="s">
        <v>128</v>
      </c>
      <c r="M616" s="72">
        <v>41142</v>
      </c>
      <c r="N616" s="84">
        <v>0.18</v>
      </c>
      <c r="O616" s="96">
        <f t="shared" si="39"/>
        <v>8</v>
      </c>
      <c r="Q616" s="96"/>
      <c r="T616" s="110"/>
    </row>
    <row r="617" spans="3:20" x14ac:dyDescent="0.2">
      <c r="C617" s="96" t="str">
        <f t="shared" si="36"/>
        <v>ERA9</v>
      </c>
      <c r="D617" s="73" t="s">
        <v>128</v>
      </c>
      <c r="E617" s="100">
        <v>41317</v>
      </c>
      <c r="F617" s="101">
        <v>0.3</v>
      </c>
      <c r="G617" s="96">
        <f t="shared" si="37"/>
        <v>9</v>
      </c>
      <c r="I617" s="96"/>
      <c r="K617" t="str">
        <f t="shared" si="38"/>
        <v>ERA9</v>
      </c>
      <c r="L617" s="73" t="s">
        <v>128</v>
      </c>
      <c r="M617" s="72">
        <v>41317</v>
      </c>
      <c r="N617" s="84">
        <v>0.3</v>
      </c>
      <c r="O617" s="96">
        <f t="shared" si="39"/>
        <v>9</v>
      </c>
      <c r="Q617" s="96"/>
      <c r="T617" s="110"/>
    </row>
    <row r="618" spans="3:20" x14ac:dyDescent="0.2">
      <c r="C618" s="96" t="str">
        <f t="shared" si="36"/>
        <v>ERA10</v>
      </c>
      <c r="D618" s="73" t="s">
        <v>128</v>
      </c>
      <c r="E618" s="100">
        <v>41507</v>
      </c>
      <c r="F618" s="101">
        <v>0.22500000000000001</v>
      </c>
      <c r="G618" s="96">
        <f t="shared" si="37"/>
        <v>10</v>
      </c>
      <c r="I618" s="96"/>
      <c r="K618" t="str">
        <f t="shared" si="38"/>
        <v>ERA10</v>
      </c>
      <c r="L618" s="73" t="s">
        <v>128</v>
      </c>
      <c r="M618" s="72">
        <v>41507</v>
      </c>
      <c r="N618" s="84">
        <v>0.22500000000000001</v>
      </c>
      <c r="O618" s="96">
        <f t="shared" si="39"/>
        <v>10</v>
      </c>
      <c r="Q618" s="96"/>
      <c r="T618" s="110"/>
    </row>
    <row r="619" spans="3:20" x14ac:dyDescent="0.2">
      <c r="C619" s="96" t="str">
        <f t="shared" si="36"/>
        <v>ERA11</v>
      </c>
      <c r="D619" s="73" t="s">
        <v>128</v>
      </c>
      <c r="E619" s="100">
        <v>41682</v>
      </c>
      <c r="F619" s="101">
        <v>0.375</v>
      </c>
      <c r="G619" s="96">
        <f t="shared" si="37"/>
        <v>11</v>
      </c>
      <c r="I619" s="96"/>
      <c r="K619" t="str">
        <f t="shared" si="38"/>
        <v>ERA11</v>
      </c>
      <c r="L619" s="73" t="s">
        <v>128</v>
      </c>
      <c r="M619" s="72">
        <v>41682</v>
      </c>
      <c r="N619" s="84">
        <v>0.375</v>
      </c>
      <c r="O619" s="96">
        <f t="shared" si="39"/>
        <v>11</v>
      </c>
      <c r="Q619" s="96"/>
      <c r="T619" s="110"/>
    </row>
    <row r="620" spans="3:20" x14ac:dyDescent="0.2">
      <c r="C620" s="96" t="str">
        <f t="shared" si="36"/>
        <v>FCL1</v>
      </c>
      <c r="D620" s="73" t="s">
        <v>129</v>
      </c>
      <c r="E620" s="100">
        <v>39883</v>
      </c>
      <c r="F620" s="101">
        <v>0.01</v>
      </c>
      <c r="G620" s="96">
        <f t="shared" si="37"/>
        <v>1</v>
      </c>
      <c r="I620" s="96"/>
      <c r="K620" t="str">
        <f t="shared" si="38"/>
        <v>FCL1</v>
      </c>
      <c r="L620" s="73" t="s">
        <v>129</v>
      </c>
      <c r="M620" s="72">
        <v>39883</v>
      </c>
      <c r="N620" s="84">
        <v>0.01</v>
      </c>
      <c r="O620" s="96">
        <f t="shared" si="39"/>
        <v>1</v>
      </c>
      <c r="Q620" s="96"/>
      <c r="T620" s="110"/>
    </row>
    <row r="621" spans="3:20" x14ac:dyDescent="0.2">
      <c r="C621" s="96" t="str">
        <f t="shared" si="36"/>
        <v>FCL2</v>
      </c>
      <c r="D621" s="73" t="s">
        <v>129</v>
      </c>
      <c r="E621" s="100">
        <v>40084</v>
      </c>
      <c r="F621" s="101">
        <v>2.5000000000000001E-2</v>
      </c>
      <c r="G621" s="96">
        <f t="shared" si="37"/>
        <v>2</v>
      </c>
      <c r="I621" s="96"/>
      <c r="K621" t="str">
        <f t="shared" si="38"/>
        <v>FCL2</v>
      </c>
      <c r="L621" s="73" t="s">
        <v>129</v>
      </c>
      <c r="M621" s="72">
        <v>40084</v>
      </c>
      <c r="N621" s="84">
        <v>2.5000000000000001E-2</v>
      </c>
      <c r="O621" s="96">
        <f t="shared" si="39"/>
        <v>2</v>
      </c>
      <c r="Q621" s="96"/>
      <c r="T621" s="110"/>
    </row>
    <row r="622" spans="3:20" x14ac:dyDescent="0.2">
      <c r="C622" s="96" t="str">
        <f t="shared" si="36"/>
        <v>FCL3</v>
      </c>
      <c r="D622" s="73" t="s">
        <v>129</v>
      </c>
      <c r="E622" s="100">
        <v>40248</v>
      </c>
      <c r="F622" s="101">
        <v>0.01</v>
      </c>
      <c r="G622" s="96">
        <f t="shared" si="37"/>
        <v>3</v>
      </c>
      <c r="I622" s="96"/>
      <c r="K622" t="str">
        <f t="shared" si="38"/>
        <v>FCL3</v>
      </c>
      <c r="L622" s="73" t="s">
        <v>129</v>
      </c>
      <c r="M622" s="72">
        <v>40248</v>
      </c>
      <c r="N622" s="84">
        <v>0.01</v>
      </c>
      <c r="O622" s="96">
        <f t="shared" si="39"/>
        <v>3</v>
      </c>
      <c r="Q622" s="96"/>
      <c r="T622" s="110"/>
    </row>
    <row r="623" spans="3:20" x14ac:dyDescent="0.2">
      <c r="C623" s="96" t="str">
        <f t="shared" si="36"/>
        <v>FCL4</v>
      </c>
      <c r="D623" s="73" t="s">
        <v>129</v>
      </c>
      <c r="E623" s="100">
        <v>40449</v>
      </c>
      <c r="F623" s="101">
        <v>0.03</v>
      </c>
      <c r="G623" s="96">
        <f t="shared" si="37"/>
        <v>4</v>
      </c>
      <c r="I623" s="96"/>
      <c r="K623" t="str">
        <f t="shared" si="38"/>
        <v>FCL4</v>
      </c>
      <c r="L623" s="73" t="s">
        <v>129</v>
      </c>
      <c r="M623" s="72">
        <v>40449</v>
      </c>
      <c r="N623" s="84">
        <v>0.03</v>
      </c>
      <c r="O623" s="96">
        <f t="shared" si="39"/>
        <v>4</v>
      </c>
      <c r="Q623" s="96"/>
      <c r="T623" s="110"/>
    </row>
    <row r="624" spans="3:20" x14ac:dyDescent="0.2">
      <c r="C624" s="96" t="str">
        <f t="shared" si="36"/>
        <v>FCL5</v>
      </c>
      <c r="D624" s="73" t="s">
        <v>129</v>
      </c>
      <c r="E624" s="100">
        <v>40613</v>
      </c>
      <c r="F624" s="101">
        <v>1.4999999999999999E-2</v>
      </c>
      <c r="G624" s="96">
        <f t="shared" si="37"/>
        <v>5</v>
      </c>
      <c r="I624" s="96"/>
      <c r="K624" t="str">
        <f t="shared" si="38"/>
        <v>FCL5</v>
      </c>
      <c r="L624" s="73" t="s">
        <v>129</v>
      </c>
      <c r="M624" s="72">
        <v>40613</v>
      </c>
      <c r="N624" s="84">
        <v>1.4999999999999999E-2</v>
      </c>
      <c r="O624" s="96">
        <f t="shared" si="39"/>
        <v>5</v>
      </c>
      <c r="Q624" s="96"/>
      <c r="T624" s="110"/>
    </row>
    <row r="625" spans="3:20" x14ac:dyDescent="0.2">
      <c r="C625" s="96" t="str">
        <f t="shared" si="36"/>
        <v>FCL6</v>
      </c>
      <c r="D625" s="73" t="s">
        <v>129</v>
      </c>
      <c r="E625" s="100">
        <v>40815</v>
      </c>
      <c r="F625" s="101">
        <v>3.5000000000000003E-2</v>
      </c>
      <c r="G625" s="96">
        <f t="shared" si="37"/>
        <v>6</v>
      </c>
      <c r="I625" s="96"/>
      <c r="K625" t="str">
        <f t="shared" si="38"/>
        <v>FCL6</v>
      </c>
      <c r="L625" s="73" t="s">
        <v>129</v>
      </c>
      <c r="M625" s="72">
        <v>40815</v>
      </c>
      <c r="N625" s="84">
        <v>3.5000000000000003E-2</v>
      </c>
      <c r="O625" s="96">
        <f t="shared" si="39"/>
        <v>6</v>
      </c>
      <c r="Q625" s="96"/>
      <c r="T625" s="110"/>
    </row>
    <row r="626" spans="3:20" x14ac:dyDescent="0.2">
      <c r="C626" s="96" t="str">
        <f t="shared" si="36"/>
        <v>FCL7</v>
      </c>
      <c r="D626" s="73" t="s">
        <v>129</v>
      </c>
      <c r="E626" s="100">
        <v>40981</v>
      </c>
      <c r="F626" s="101">
        <v>0.02</v>
      </c>
      <c r="G626" s="96">
        <f t="shared" si="37"/>
        <v>7</v>
      </c>
      <c r="I626" s="96"/>
      <c r="K626" t="str">
        <f t="shared" si="38"/>
        <v>FCL7</v>
      </c>
      <c r="L626" s="73" t="s">
        <v>129</v>
      </c>
      <c r="M626" s="72">
        <v>40981</v>
      </c>
      <c r="N626" s="84">
        <v>0.02</v>
      </c>
      <c r="O626" s="96">
        <f t="shared" si="39"/>
        <v>7</v>
      </c>
      <c r="Q626" s="96"/>
      <c r="T626" s="110"/>
    </row>
    <row r="627" spans="3:20" x14ac:dyDescent="0.2">
      <c r="C627" s="96" t="str">
        <f t="shared" si="36"/>
        <v>FCL8</v>
      </c>
      <c r="D627" s="73" t="s">
        <v>129</v>
      </c>
      <c r="E627" s="100">
        <v>41183</v>
      </c>
      <c r="F627" s="101">
        <v>0.04</v>
      </c>
      <c r="G627" s="96">
        <f t="shared" si="37"/>
        <v>8</v>
      </c>
      <c r="I627" s="96"/>
      <c r="K627" t="str">
        <f t="shared" si="38"/>
        <v>FCL8</v>
      </c>
      <c r="L627" s="73" t="s">
        <v>129</v>
      </c>
      <c r="M627" s="72">
        <v>41183</v>
      </c>
      <c r="N627" s="84">
        <v>0.04</v>
      </c>
      <c r="O627" s="96">
        <f t="shared" si="39"/>
        <v>8</v>
      </c>
      <c r="Q627" s="96"/>
      <c r="T627" s="110"/>
    </row>
    <row r="628" spans="3:20" x14ac:dyDescent="0.2">
      <c r="C628" s="96" t="str">
        <f t="shared" si="36"/>
        <v>FCL9</v>
      </c>
      <c r="D628" s="73" t="s">
        <v>129</v>
      </c>
      <c r="E628" s="100">
        <v>41346</v>
      </c>
      <c r="F628" s="101">
        <v>2.5000000000000001E-2</v>
      </c>
      <c r="G628" s="96">
        <f t="shared" si="37"/>
        <v>9</v>
      </c>
      <c r="I628" s="96"/>
      <c r="K628" t="str">
        <f t="shared" si="38"/>
        <v>FCL9</v>
      </c>
      <c r="L628" s="73" t="s">
        <v>129</v>
      </c>
      <c r="M628" s="72">
        <v>41346</v>
      </c>
      <c r="N628" s="84">
        <v>2.5000000000000001E-2</v>
      </c>
      <c r="O628" s="96">
        <f t="shared" si="39"/>
        <v>9</v>
      </c>
      <c r="Q628" s="96"/>
      <c r="T628" s="110"/>
    </row>
    <row r="629" spans="3:20" x14ac:dyDescent="0.2">
      <c r="C629" s="96" t="str">
        <f t="shared" si="36"/>
        <v>FCL10</v>
      </c>
      <c r="D629" s="73" t="s">
        <v>129</v>
      </c>
      <c r="E629" s="100">
        <v>41548</v>
      </c>
      <c r="F629" s="101">
        <v>0.05</v>
      </c>
      <c r="G629" s="96">
        <f t="shared" si="37"/>
        <v>10</v>
      </c>
      <c r="I629" s="96"/>
      <c r="K629" t="str">
        <f t="shared" si="38"/>
        <v>FCL10</v>
      </c>
      <c r="L629" s="73" t="s">
        <v>129</v>
      </c>
      <c r="M629" s="72">
        <v>41548</v>
      </c>
      <c r="N629" s="84">
        <v>0.05</v>
      </c>
      <c r="O629" s="96">
        <f t="shared" si="39"/>
        <v>10</v>
      </c>
      <c r="Q629" s="96"/>
      <c r="T629" s="110"/>
    </row>
    <row r="630" spans="3:20" x14ac:dyDescent="0.2">
      <c r="C630" s="96" t="str">
        <f t="shared" si="36"/>
        <v>FGL1</v>
      </c>
      <c r="D630" s="73" t="s">
        <v>130</v>
      </c>
      <c r="E630" s="100">
        <v>39868</v>
      </c>
      <c r="F630" s="101">
        <v>0.125</v>
      </c>
      <c r="G630" s="96">
        <f t="shared" si="37"/>
        <v>1</v>
      </c>
      <c r="I630" s="96"/>
      <c r="K630" t="str">
        <f t="shared" si="38"/>
        <v>FGL1</v>
      </c>
      <c r="L630" s="73" t="s">
        <v>130</v>
      </c>
      <c r="M630" s="72">
        <v>39868</v>
      </c>
      <c r="N630" s="84">
        <v>0.125</v>
      </c>
      <c r="O630" s="96">
        <f t="shared" si="39"/>
        <v>1</v>
      </c>
      <c r="Q630" s="96"/>
      <c r="T630" s="110"/>
    </row>
    <row r="631" spans="3:20" x14ac:dyDescent="0.2">
      <c r="C631" s="96" t="str">
        <f t="shared" si="36"/>
        <v>FGL2</v>
      </c>
      <c r="D631" s="73" t="s">
        <v>130</v>
      </c>
      <c r="E631" s="100">
        <v>40058</v>
      </c>
      <c r="F631" s="101">
        <v>0.14749999999999999</v>
      </c>
      <c r="G631" s="96">
        <f t="shared" si="37"/>
        <v>2</v>
      </c>
      <c r="I631" s="96"/>
      <c r="K631" t="str">
        <f t="shared" si="38"/>
        <v>FGL2</v>
      </c>
      <c r="L631" s="73" t="s">
        <v>130</v>
      </c>
      <c r="M631" s="72">
        <v>40058</v>
      </c>
      <c r="N631" s="84">
        <v>0.14749999999999999</v>
      </c>
      <c r="O631" s="96">
        <f t="shared" si="39"/>
        <v>2</v>
      </c>
      <c r="Q631" s="96"/>
      <c r="T631" s="110"/>
    </row>
    <row r="632" spans="3:20" x14ac:dyDescent="0.2">
      <c r="C632" s="96" t="str">
        <f t="shared" si="36"/>
        <v>FGL3</v>
      </c>
      <c r="D632" s="73" t="s">
        <v>130</v>
      </c>
      <c r="E632" s="100">
        <v>40233</v>
      </c>
      <c r="F632" s="101">
        <v>0.13</v>
      </c>
      <c r="G632" s="96">
        <f t="shared" si="37"/>
        <v>3</v>
      </c>
      <c r="I632" s="96"/>
      <c r="K632" t="str">
        <f t="shared" si="38"/>
        <v>FGL3</v>
      </c>
      <c r="L632" s="73" t="s">
        <v>130</v>
      </c>
      <c r="M632" s="72">
        <v>40233</v>
      </c>
      <c r="N632" s="84">
        <v>0.13</v>
      </c>
      <c r="O632" s="96">
        <f t="shared" si="39"/>
        <v>3</v>
      </c>
      <c r="Q632" s="96"/>
      <c r="T632" s="110"/>
    </row>
    <row r="633" spans="3:20" x14ac:dyDescent="0.2">
      <c r="C633" s="96" t="str">
        <f t="shared" si="36"/>
        <v>FGL4</v>
      </c>
      <c r="D633" s="73" t="s">
        <v>130</v>
      </c>
      <c r="E633" s="100">
        <v>40423</v>
      </c>
      <c r="F633" s="101">
        <v>0.16250000000000001</v>
      </c>
      <c r="G633" s="96">
        <f t="shared" si="37"/>
        <v>4</v>
      </c>
      <c r="I633" s="96"/>
      <c r="K633" t="str">
        <f t="shared" si="38"/>
        <v>FGL4</v>
      </c>
      <c r="L633" s="73" t="s">
        <v>130</v>
      </c>
      <c r="M633" s="72">
        <v>40423</v>
      </c>
      <c r="N633" s="84">
        <v>0.16250000000000001</v>
      </c>
      <c r="O633" s="96">
        <f t="shared" si="39"/>
        <v>4</v>
      </c>
      <c r="Q633" s="96"/>
      <c r="T633" s="110"/>
    </row>
    <row r="634" spans="3:20" x14ac:dyDescent="0.2">
      <c r="C634" s="96" t="str">
        <f t="shared" si="36"/>
        <v>FGL5</v>
      </c>
      <c r="D634" s="73" t="s">
        <v>130</v>
      </c>
      <c r="E634" s="100">
        <v>40598</v>
      </c>
      <c r="F634" s="101">
        <v>0.14000000000000001</v>
      </c>
      <c r="G634" s="96">
        <f t="shared" si="37"/>
        <v>5</v>
      </c>
      <c r="I634" s="96"/>
      <c r="K634" t="str">
        <f t="shared" si="38"/>
        <v>FGL5</v>
      </c>
      <c r="L634" s="73" t="s">
        <v>130</v>
      </c>
      <c r="M634" s="72">
        <v>40598</v>
      </c>
      <c r="N634" s="84">
        <v>0.14000000000000001</v>
      </c>
      <c r="O634" s="96">
        <f t="shared" si="39"/>
        <v>5</v>
      </c>
      <c r="Q634" s="96"/>
      <c r="T634" s="110"/>
    </row>
    <row r="635" spans="3:20" x14ac:dyDescent="0.2">
      <c r="C635" s="96" t="str">
        <f t="shared" si="36"/>
        <v>FGL6</v>
      </c>
      <c r="D635" s="73" t="s">
        <v>130</v>
      </c>
      <c r="E635" s="100">
        <v>40788</v>
      </c>
      <c r="F635" s="101">
        <v>0.17499999999999999</v>
      </c>
      <c r="G635" s="96">
        <f t="shared" si="37"/>
        <v>6</v>
      </c>
      <c r="I635" s="96"/>
      <c r="K635" t="str">
        <f t="shared" si="38"/>
        <v>FGL6</v>
      </c>
      <c r="L635" s="73" t="s">
        <v>130</v>
      </c>
      <c r="M635" s="72">
        <v>40788</v>
      </c>
      <c r="N635" s="84">
        <v>0.17499999999999999</v>
      </c>
      <c r="O635" s="96">
        <f t="shared" si="39"/>
        <v>6</v>
      </c>
      <c r="Q635" s="96"/>
      <c r="T635" s="110"/>
    </row>
    <row r="636" spans="3:20" x14ac:dyDescent="0.2">
      <c r="C636" s="96" t="str">
        <f t="shared" si="36"/>
        <v>FGL7</v>
      </c>
      <c r="D636" s="73" t="s">
        <v>130</v>
      </c>
      <c r="E636" s="100">
        <v>40966</v>
      </c>
      <c r="F636" s="101">
        <v>0.15</v>
      </c>
      <c r="G636" s="96">
        <f t="shared" si="37"/>
        <v>7</v>
      </c>
      <c r="I636" s="96"/>
      <c r="K636" t="str">
        <f t="shared" si="38"/>
        <v>FGL7</v>
      </c>
      <c r="L636" s="73" t="s">
        <v>130</v>
      </c>
      <c r="M636" s="72">
        <v>40966</v>
      </c>
      <c r="N636" s="84">
        <v>0.15</v>
      </c>
      <c r="O636" s="96">
        <f t="shared" si="39"/>
        <v>7</v>
      </c>
      <c r="Q636" s="96"/>
      <c r="T636" s="110"/>
    </row>
    <row r="637" spans="3:20" x14ac:dyDescent="0.2">
      <c r="C637" s="96" t="str">
        <f t="shared" si="36"/>
        <v>FGL8</v>
      </c>
      <c r="D637" s="73" t="s">
        <v>130</v>
      </c>
      <c r="E637" s="100">
        <v>41156</v>
      </c>
      <c r="F637" s="101">
        <v>0.1875</v>
      </c>
      <c r="G637" s="96">
        <f t="shared" si="37"/>
        <v>8</v>
      </c>
      <c r="I637" s="96"/>
      <c r="K637" t="str">
        <f t="shared" si="38"/>
        <v>FGL8</v>
      </c>
      <c r="L637" s="73" t="s">
        <v>130</v>
      </c>
      <c r="M637" s="72">
        <v>41156</v>
      </c>
      <c r="N637" s="84">
        <v>0.1875</v>
      </c>
      <c r="O637" s="96">
        <f t="shared" si="39"/>
        <v>8</v>
      </c>
      <c r="Q637" s="96"/>
      <c r="T637" s="110"/>
    </row>
    <row r="638" spans="3:20" x14ac:dyDescent="0.2">
      <c r="C638" s="96" t="str">
        <f t="shared" si="36"/>
        <v>FGL9</v>
      </c>
      <c r="D638" s="73" t="s">
        <v>130</v>
      </c>
      <c r="E638" s="100">
        <v>41331</v>
      </c>
      <c r="F638" s="101">
        <v>0.155</v>
      </c>
      <c r="G638" s="96">
        <f t="shared" si="37"/>
        <v>9</v>
      </c>
      <c r="I638" s="96"/>
      <c r="K638" t="str">
        <f t="shared" si="38"/>
        <v>FGL9</v>
      </c>
      <c r="L638" s="73" t="s">
        <v>130</v>
      </c>
      <c r="M638" s="72">
        <v>41331</v>
      </c>
      <c r="N638" s="84">
        <v>0.155</v>
      </c>
      <c r="O638" s="96">
        <f t="shared" si="39"/>
        <v>9</v>
      </c>
      <c r="Q638" s="96"/>
      <c r="T638" s="110"/>
    </row>
    <row r="639" spans="3:20" x14ac:dyDescent="0.2">
      <c r="C639" s="96" t="str">
        <f t="shared" si="36"/>
        <v>FGL10</v>
      </c>
      <c r="D639" s="73" t="s">
        <v>130</v>
      </c>
      <c r="E639" s="100">
        <v>41521</v>
      </c>
      <c r="F639" s="101">
        <v>0.19500000000000001</v>
      </c>
      <c r="G639" s="96">
        <f t="shared" si="37"/>
        <v>10</v>
      </c>
      <c r="I639" s="96"/>
      <c r="K639" t="str">
        <f t="shared" si="38"/>
        <v>FGL10</v>
      </c>
      <c r="L639" s="73" t="s">
        <v>130</v>
      </c>
      <c r="M639" s="72">
        <v>41521</v>
      </c>
      <c r="N639" s="84">
        <v>0.19500000000000001</v>
      </c>
      <c r="O639" s="96">
        <f t="shared" si="39"/>
        <v>10</v>
      </c>
      <c r="Q639" s="96"/>
      <c r="T639" s="110"/>
    </row>
    <row r="640" spans="3:20" x14ac:dyDescent="0.2">
      <c r="C640" s="96" t="str">
        <f t="shared" si="36"/>
        <v>FKP1</v>
      </c>
      <c r="D640" s="73" t="s">
        <v>131</v>
      </c>
      <c r="E640" s="100">
        <v>39988</v>
      </c>
      <c r="F640" s="101">
        <v>1.4999999999999999E-2</v>
      </c>
      <c r="G640" s="96">
        <f t="shared" si="37"/>
        <v>1</v>
      </c>
      <c r="I640" s="96"/>
      <c r="K640" t="str">
        <f t="shared" si="38"/>
        <v>FKP1</v>
      </c>
      <c r="L640" s="73" t="s">
        <v>131</v>
      </c>
      <c r="M640" s="72">
        <v>39988</v>
      </c>
      <c r="N640" s="84">
        <v>1.4999999999999999E-2</v>
      </c>
      <c r="O640" s="96">
        <f t="shared" si="39"/>
        <v>1</v>
      </c>
      <c r="Q640" s="96"/>
      <c r="T640" s="110"/>
    </row>
    <row r="641" spans="3:20" x14ac:dyDescent="0.2">
      <c r="C641" s="96" t="str">
        <f t="shared" si="36"/>
        <v>FKP2</v>
      </c>
      <c r="D641" s="73" t="s">
        <v>131</v>
      </c>
      <c r="E641" s="100">
        <v>40170</v>
      </c>
      <c r="F641" s="101">
        <v>2.5000000000000001E-2</v>
      </c>
      <c r="G641" s="96">
        <f t="shared" si="37"/>
        <v>2</v>
      </c>
      <c r="I641" s="96"/>
      <c r="K641" t="str">
        <f t="shared" si="38"/>
        <v>FKP2</v>
      </c>
      <c r="L641" s="73" t="s">
        <v>131</v>
      </c>
      <c r="M641" s="72">
        <v>40170</v>
      </c>
      <c r="N641" s="84">
        <v>2.5000000000000001E-2</v>
      </c>
      <c r="O641" s="96">
        <f t="shared" si="39"/>
        <v>2</v>
      </c>
      <c r="Q641" s="96"/>
      <c r="T641" s="110"/>
    </row>
    <row r="642" spans="3:20" x14ac:dyDescent="0.2">
      <c r="C642" s="96" t="str">
        <f t="shared" si="36"/>
        <v>FKP3</v>
      </c>
      <c r="D642" s="73" t="s">
        <v>131</v>
      </c>
      <c r="E642" s="100">
        <v>40353</v>
      </c>
      <c r="F642" s="101">
        <v>2.5000000000000001E-2</v>
      </c>
      <c r="G642" s="96">
        <f t="shared" si="37"/>
        <v>3</v>
      </c>
      <c r="I642" s="96"/>
      <c r="K642" t="str">
        <f t="shared" si="38"/>
        <v>FKP3</v>
      </c>
      <c r="L642" s="73" t="s">
        <v>131</v>
      </c>
      <c r="M642" s="72">
        <v>40353</v>
      </c>
      <c r="N642" s="84">
        <v>2.5000000000000001E-2</v>
      </c>
      <c r="O642" s="96">
        <f t="shared" si="39"/>
        <v>3</v>
      </c>
      <c r="Q642" s="96"/>
      <c r="T642" s="110"/>
    </row>
    <row r="643" spans="3:20" x14ac:dyDescent="0.2">
      <c r="C643" s="96" t="str">
        <f t="shared" ref="C643:C706" si="40">D643&amp;G643</f>
        <v>FKP4</v>
      </c>
      <c r="D643" s="73" t="s">
        <v>131</v>
      </c>
      <c r="E643" s="100">
        <v>40535</v>
      </c>
      <c r="F643" s="101">
        <v>0.05</v>
      </c>
      <c r="G643" s="96">
        <f t="shared" ref="G643:G706" si="41">IF(D643&lt;&gt;D642,1,G642+1)</f>
        <v>4</v>
      </c>
      <c r="I643" s="96"/>
      <c r="K643" t="str">
        <f t="shared" ref="K643:K706" si="42">L643&amp;O643</f>
        <v>FKP4</v>
      </c>
      <c r="L643" s="73" t="s">
        <v>131</v>
      </c>
      <c r="M643" s="72">
        <v>40535</v>
      </c>
      <c r="N643" s="84">
        <v>0.05</v>
      </c>
      <c r="O643" s="96">
        <f t="shared" ref="O643:O706" si="43">IF(L643&lt;&gt;L642,1,O642+1)</f>
        <v>4</v>
      </c>
      <c r="Q643" s="96"/>
      <c r="T643" s="110"/>
    </row>
    <row r="644" spans="3:20" x14ac:dyDescent="0.2">
      <c r="C644" s="96" t="str">
        <f t="shared" si="40"/>
        <v>FKP5</v>
      </c>
      <c r="D644" s="73" t="s">
        <v>131</v>
      </c>
      <c r="E644" s="100">
        <v>40718</v>
      </c>
      <c r="F644" s="101">
        <v>0.05</v>
      </c>
      <c r="G644" s="96">
        <f t="shared" si="41"/>
        <v>5</v>
      </c>
      <c r="I644" s="96"/>
      <c r="K644" t="str">
        <f t="shared" si="42"/>
        <v>FKP5</v>
      </c>
      <c r="L644" s="73" t="s">
        <v>131</v>
      </c>
      <c r="M644" s="72">
        <v>40718</v>
      </c>
      <c r="N644" s="84">
        <v>0.05</v>
      </c>
      <c r="O644" s="96">
        <f t="shared" si="43"/>
        <v>5</v>
      </c>
      <c r="Q644" s="96"/>
      <c r="T644" s="110"/>
    </row>
    <row r="645" spans="3:20" x14ac:dyDescent="0.2">
      <c r="C645" s="96" t="str">
        <f t="shared" si="40"/>
        <v>FKP6</v>
      </c>
      <c r="D645" s="73" t="s">
        <v>131</v>
      </c>
      <c r="E645" s="100">
        <v>40899</v>
      </c>
      <c r="F645" s="101">
        <v>0.08</v>
      </c>
      <c r="G645" s="96">
        <f t="shared" si="41"/>
        <v>6</v>
      </c>
      <c r="I645" s="96"/>
      <c r="K645" t="str">
        <f t="shared" si="42"/>
        <v>FKP6</v>
      </c>
      <c r="L645" s="73" t="s">
        <v>131</v>
      </c>
      <c r="M645" s="72">
        <v>40899</v>
      </c>
      <c r="N645" s="84">
        <v>0.08</v>
      </c>
      <c r="O645" s="96">
        <f t="shared" si="43"/>
        <v>6</v>
      </c>
      <c r="Q645" s="96"/>
      <c r="T645" s="110"/>
    </row>
    <row r="646" spans="3:20" x14ac:dyDescent="0.2">
      <c r="C646" s="96" t="str">
        <f t="shared" si="40"/>
        <v>FKP7</v>
      </c>
      <c r="D646" s="73" t="s">
        <v>131</v>
      </c>
      <c r="E646" s="100">
        <v>41085</v>
      </c>
      <c r="F646" s="101">
        <v>0.08</v>
      </c>
      <c r="G646" s="96">
        <f t="shared" si="41"/>
        <v>7</v>
      </c>
      <c r="I646" s="96"/>
      <c r="K646" t="str">
        <f t="shared" si="42"/>
        <v>FKP7</v>
      </c>
      <c r="L646" s="73" t="s">
        <v>131</v>
      </c>
      <c r="M646" s="72">
        <v>41085</v>
      </c>
      <c r="N646" s="84">
        <v>0.08</v>
      </c>
      <c r="O646" s="96">
        <f t="shared" si="43"/>
        <v>7</v>
      </c>
      <c r="Q646" s="96"/>
      <c r="T646" s="110"/>
    </row>
    <row r="647" spans="3:20" x14ac:dyDescent="0.2">
      <c r="C647" s="96" t="str">
        <f t="shared" si="40"/>
        <v>FKP8</v>
      </c>
      <c r="D647" s="73" t="s">
        <v>131</v>
      </c>
      <c r="E647" s="100">
        <v>41268</v>
      </c>
      <c r="F647" s="101">
        <v>0.1</v>
      </c>
      <c r="G647" s="96">
        <f t="shared" si="41"/>
        <v>8</v>
      </c>
      <c r="I647" s="96"/>
      <c r="K647" t="str">
        <f t="shared" si="42"/>
        <v>FKP8</v>
      </c>
      <c r="L647" s="73" t="s">
        <v>131</v>
      </c>
      <c r="M647" s="72">
        <v>41268</v>
      </c>
      <c r="N647" s="84">
        <v>0.1</v>
      </c>
      <c r="O647" s="96">
        <f t="shared" si="43"/>
        <v>8</v>
      </c>
      <c r="Q647" s="96"/>
      <c r="T647" s="110"/>
    </row>
    <row r="648" spans="3:20" x14ac:dyDescent="0.2">
      <c r="C648" s="96" t="str">
        <f t="shared" si="40"/>
        <v>FKP9</v>
      </c>
      <c r="D648" s="73" t="s">
        <v>131</v>
      </c>
      <c r="E648" s="100">
        <v>41450</v>
      </c>
      <c r="F648" s="101">
        <v>0.1</v>
      </c>
      <c r="G648" s="96">
        <f t="shared" si="41"/>
        <v>9</v>
      </c>
      <c r="I648" s="96"/>
      <c r="K648" t="str">
        <f t="shared" si="42"/>
        <v>FKP9</v>
      </c>
      <c r="L648" s="73" t="s">
        <v>131</v>
      </c>
      <c r="M648" s="72">
        <v>41450</v>
      </c>
      <c r="N648" s="84">
        <v>0.1</v>
      </c>
      <c r="O648" s="96">
        <f t="shared" si="43"/>
        <v>9</v>
      </c>
      <c r="Q648" s="96"/>
      <c r="T648" s="110"/>
    </row>
    <row r="649" spans="3:20" x14ac:dyDescent="0.2">
      <c r="C649" s="96" t="str">
        <f t="shared" si="40"/>
        <v>FLT1</v>
      </c>
      <c r="D649" s="73" t="s">
        <v>132</v>
      </c>
      <c r="E649" s="100">
        <v>39874</v>
      </c>
      <c r="F649" s="101">
        <v>0.375</v>
      </c>
      <c r="G649" s="96">
        <f t="shared" si="41"/>
        <v>1</v>
      </c>
      <c r="I649" s="96"/>
      <c r="K649" t="str">
        <f t="shared" si="42"/>
        <v>FLT1</v>
      </c>
      <c r="L649" s="73" t="s">
        <v>132</v>
      </c>
      <c r="M649" s="72">
        <v>39874</v>
      </c>
      <c r="N649" s="84">
        <v>0.375</v>
      </c>
      <c r="O649" s="96">
        <f t="shared" si="43"/>
        <v>1</v>
      </c>
      <c r="Q649" s="96"/>
      <c r="T649" s="110"/>
    </row>
    <row r="650" spans="3:20" x14ac:dyDescent="0.2">
      <c r="C650" s="96" t="str">
        <f t="shared" si="40"/>
        <v>FLT2</v>
      </c>
      <c r="D650" s="73" t="s">
        <v>132</v>
      </c>
      <c r="E650" s="100">
        <v>40070</v>
      </c>
      <c r="F650" s="101">
        <v>0.4</v>
      </c>
      <c r="G650" s="96">
        <f t="shared" si="41"/>
        <v>2</v>
      </c>
      <c r="I650" s="96"/>
      <c r="K650" t="str">
        <f t="shared" si="42"/>
        <v>FLT2</v>
      </c>
      <c r="L650" s="73" t="s">
        <v>132</v>
      </c>
      <c r="M650" s="72">
        <v>40070</v>
      </c>
      <c r="N650" s="84">
        <v>0.4</v>
      </c>
      <c r="O650" s="96">
        <f t="shared" si="43"/>
        <v>2</v>
      </c>
      <c r="Q650" s="96"/>
      <c r="T650" s="110"/>
    </row>
    <row r="651" spans="3:20" x14ac:dyDescent="0.2">
      <c r="C651" s="96" t="str">
        <f t="shared" si="40"/>
        <v>FLT3</v>
      </c>
      <c r="D651" s="73" t="s">
        <v>132</v>
      </c>
      <c r="E651" s="100">
        <v>40239</v>
      </c>
      <c r="F651" s="101">
        <v>0.28309999999999996</v>
      </c>
      <c r="G651" s="96">
        <f t="shared" si="41"/>
        <v>3</v>
      </c>
      <c r="I651" s="96"/>
      <c r="K651" t="str">
        <f t="shared" si="42"/>
        <v>FLT3</v>
      </c>
      <c r="L651" s="73" t="s">
        <v>132</v>
      </c>
      <c r="M651" s="72">
        <v>40239</v>
      </c>
      <c r="N651" s="84">
        <v>0.28309999999999996</v>
      </c>
      <c r="O651" s="96">
        <f t="shared" si="43"/>
        <v>3</v>
      </c>
      <c r="Q651" s="96"/>
      <c r="T651" s="110"/>
    </row>
    <row r="652" spans="3:20" x14ac:dyDescent="0.2">
      <c r="C652" s="96" t="str">
        <f t="shared" si="40"/>
        <v>FLT4</v>
      </c>
      <c r="D652" s="73" t="s">
        <v>132</v>
      </c>
      <c r="E652" s="100">
        <v>40435</v>
      </c>
      <c r="F652" s="101">
        <v>0.3019</v>
      </c>
      <c r="G652" s="96">
        <f t="shared" si="41"/>
        <v>4</v>
      </c>
      <c r="I652" s="96"/>
      <c r="K652" t="str">
        <f t="shared" si="42"/>
        <v>FLT4</v>
      </c>
      <c r="L652" s="73" t="s">
        <v>132</v>
      </c>
      <c r="M652" s="72">
        <v>40435</v>
      </c>
      <c r="N652" s="84">
        <v>0.3019</v>
      </c>
      <c r="O652" s="96">
        <f t="shared" si="43"/>
        <v>4</v>
      </c>
      <c r="Q652" s="96"/>
      <c r="T652" s="110"/>
    </row>
    <row r="653" spans="3:20" x14ac:dyDescent="0.2">
      <c r="C653" s="96" t="str">
        <f t="shared" si="40"/>
        <v>FLT5</v>
      </c>
      <c r="D653" s="73" t="s">
        <v>132</v>
      </c>
      <c r="E653" s="100">
        <v>40604</v>
      </c>
      <c r="F653" s="101">
        <v>0.3276</v>
      </c>
      <c r="G653" s="96">
        <f t="shared" si="41"/>
        <v>5</v>
      </c>
      <c r="I653" s="96"/>
      <c r="K653" t="str">
        <f t="shared" si="42"/>
        <v>FLT5</v>
      </c>
      <c r="L653" s="73" t="s">
        <v>132</v>
      </c>
      <c r="M653" s="72">
        <v>40604</v>
      </c>
      <c r="N653" s="84">
        <v>0.3276</v>
      </c>
      <c r="O653" s="96">
        <f t="shared" si="43"/>
        <v>5</v>
      </c>
      <c r="Q653" s="96"/>
      <c r="T653" s="110"/>
    </row>
    <row r="654" spans="3:20" x14ac:dyDescent="0.2">
      <c r="C654" s="96" t="str">
        <f t="shared" si="40"/>
        <v>FLT6</v>
      </c>
      <c r="D654" s="73" t="s">
        <v>132</v>
      </c>
      <c r="E654" s="100">
        <v>40800</v>
      </c>
      <c r="F654" s="101">
        <v>0.34939999999999999</v>
      </c>
      <c r="G654" s="96">
        <f t="shared" si="41"/>
        <v>6</v>
      </c>
      <c r="I654" s="96"/>
      <c r="K654" t="str">
        <f t="shared" si="42"/>
        <v>FLT6</v>
      </c>
      <c r="L654" s="73" t="s">
        <v>132</v>
      </c>
      <c r="M654" s="72">
        <v>40800</v>
      </c>
      <c r="N654" s="84">
        <v>0.34939999999999999</v>
      </c>
      <c r="O654" s="96">
        <f t="shared" si="43"/>
        <v>6</v>
      </c>
      <c r="Q654" s="96"/>
      <c r="T654" s="110"/>
    </row>
    <row r="655" spans="3:20" x14ac:dyDescent="0.2">
      <c r="C655" s="96" t="str">
        <f t="shared" si="40"/>
        <v>FLT7</v>
      </c>
      <c r="D655" s="73" t="s">
        <v>132</v>
      </c>
      <c r="E655" s="100">
        <v>40970</v>
      </c>
      <c r="F655" s="101">
        <v>0.48969999999999997</v>
      </c>
      <c r="G655" s="96">
        <f t="shared" si="41"/>
        <v>7</v>
      </c>
      <c r="I655" s="96"/>
      <c r="K655" t="str">
        <f t="shared" si="42"/>
        <v>FLT7</v>
      </c>
      <c r="L655" s="73" t="s">
        <v>132</v>
      </c>
      <c r="M655" s="72">
        <v>40970</v>
      </c>
      <c r="N655" s="84">
        <v>0.48969999999999997</v>
      </c>
      <c r="O655" s="96">
        <f t="shared" si="43"/>
        <v>7</v>
      </c>
      <c r="Q655" s="96"/>
      <c r="T655" s="110"/>
    </row>
    <row r="656" spans="3:20" x14ac:dyDescent="0.2">
      <c r="C656" s="96" t="str">
        <f t="shared" si="40"/>
        <v>FLT8</v>
      </c>
      <c r="D656" s="73" t="s">
        <v>132</v>
      </c>
      <c r="E656" s="100">
        <v>41166</v>
      </c>
      <c r="F656" s="101">
        <v>0.52229999999999999</v>
      </c>
      <c r="G656" s="96">
        <f t="shared" si="41"/>
        <v>8</v>
      </c>
      <c r="I656" s="96"/>
      <c r="K656" t="str">
        <f t="shared" si="42"/>
        <v>FLT8</v>
      </c>
      <c r="L656" s="73" t="s">
        <v>132</v>
      </c>
      <c r="M656" s="72">
        <v>41166</v>
      </c>
      <c r="N656" s="84">
        <v>0.52229999999999999</v>
      </c>
      <c r="O656" s="96">
        <f t="shared" si="43"/>
        <v>8</v>
      </c>
      <c r="Q656" s="96"/>
      <c r="T656" s="110"/>
    </row>
    <row r="657" spans="3:20" x14ac:dyDescent="0.2">
      <c r="C657" s="96" t="str">
        <f t="shared" si="40"/>
        <v>FLT9</v>
      </c>
      <c r="D657" s="73" t="s">
        <v>132</v>
      </c>
      <c r="E657" s="100">
        <v>41337</v>
      </c>
      <c r="F657" s="101">
        <v>0.61109999999999998</v>
      </c>
      <c r="G657" s="96">
        <f t="shared" si="41"/>
        <v>9</v>
      </c>
      <c r="I657" s="96"/>
      <c r="K657" t="str">
        <f t="shared" si="42"/>
        <v>FLT9</v>
      </c>
      <c r="L657" s="73" t="s">
        <v>132</v>
      </c>
      <c r="M657" s="72">
        <v>41337</v>
      </c>
      <c r="N657" s="84">
        <v>0.61109999999999998</v>
      </c>
      <c r="O657" s="96">
        <f t="shared" si="43"/>
        <v>9</v>
      </c>
      <c r="Q657" s="96"/>
      <c r="T657" s="110"/>
    </row>
    <row r="658" spans="3:20" x14ac:dyDescent="0.2">
      <c r="C658" s="96" t="str">
        <f t="shared" si="40"/>
        <v>FLT10</v>
      </c>
      <c r="D658" s="73" t="s">
        <v>132</v>
      </c>
      <c r="E658" s="100">
        <v>41533</v>
      </c>
      <c r="F658" s="101">
        <v>0.65189999999999992</v>
      </c>
      <c r="G658" s="96">
        <f t="shared" si="41"/>
        <v>10</v>
      </c>
      <c r="I658" s="96"/>
      <c r="K658" t="str">
        <f t="shared" si="42"/>
        <v>FLT10</v>
      </c>
      <c r="L658" s="73" t="s">
        <v>132</v>
      </c>
      <c r="M658" s="72">
        <v>41533</v>
      </c>
      <c r="N658" s="84">
        <v>0.65189999999999992</v>
      </c>
      <c r="O658" s="96">
        <f t="shared" si="43"/>
        <v>10</v>
      </c>
      <c r="Q658" s="96"/>
      <c r="T658" s="110"/>
    </row>
    <row r="659" spans="3:20" x14ac:dyDescent="0.2">
      <c r="C659" s="96" t="str">
        <f t="shared" si="40"/>
        <v>FLX1</v>
      </c>
      <c r="D659" s="73" t="s">
        <v>133</v>
      </c>
      <c r="E659" s="100">
        <v>39882</v>
      </c>
      <c r="F659" s="101">
        <v>0.5</v>
      </c>
      <c r="G659" s="96">
        <f t="shared" si="41"/>
        <v>1</v>
      </c>
      <c r="I659" s="96"/>
      <c r="K659" t="str">
        <f t="shared" si="42"/>
        <v>FLX1</v>
      </c>
      <c r="L659" s="73" t="s">
        <v>133</v>
      </c>
      <c r="M659" s="72">
        <v>39882</v>
      </c>
      <c r="N659" s="84">
        <v>0.5</v>
      </c>
      <c r="O659" s="96">
        <f t="shared" si="43"/>
        <v>1</v>
      </c>
      <c r="Q659" s="96"/>
      <c r="T659" s="110"/>
    </row>
    <row r="660" spans="3:20" x14ac:dyDescent="0.2">
      <c r="C660" s="96" t="str">
        <f t="shared" si="40"/>
        <v>FLX2</v>
      </c>
      <c r="D660" s="73" t="s">
        <v>133</v>
      </c>
      <c r="E660" s="100">
        <v>40092</v>
      </c>
      <c r="F660" s="101">
        <v>0.5</v>
      </c>
      <c r="G660" s="96">
        <f t="shared" si="41"/>
        <v>2</v>
      </c>
      <c r="I660" s="96"/>
      <c r="K660" t="str">
        <f t="shared" si="42"/>
        <v>FLX2</v>
      </c>
      <c r="L660" s="73" t="s">
        <v>133</v>
      </c>
      <c r="M660" s="72">
        <v>40092</v>
      </c>
      <c r="N660" s="84">
        <v>0.5</v>
      </c>
      <c r="O660" s="96">
        <f t="shared" si="43"/>
        <v>2</v>
      </c>
      <c r="Q660" s="96"/>
      <c r="T660" s="110"/>
    </row>
    <row r="661" spans="3:20" x14ac:dyDescent="0.2">
      <c r="C661" s="96" t="str">
        <f t="shared" si="40"/>
        <v>FLX3</v>
      </c>
      <c r="D661" s="73" t="s">
        <v>133</v>
      </c>
      <c r="E661" s="100">
        <v>40247</v>
      </c>
      <c r="F661" s="101">
        <v>0.5</v>
      </c>
      <c r="G661" s="96">
        <f t="shared" si="41"/>
        <v>3</v>
      </c>
      <c r="I661" s="96"/>
      <c r="K661" t="str">
        <f t="shared" si="42"/>
        <v>FLX3</v>
      </c>
      <c r="L661" s="73" t="s">
        <v>133</v>
      </c>
      <c r="M661" s="72">
        <v>40247</v>
      </c>
      <c r="N661" s="84">
        <v>0.5</v>
      </c>
      <c r="O661" s="96">
        <f t="shared" si="43"/>
        <v>3</v>
      </c>
      <c r="Q661" s="96"/>
      <c r="T661" s="110"/>
    </row>
    <row r="662" spans="3:20" x14ac:dyDescent="0.2">
      <c r="C662" s="96" t="str">
        <f t="shared" si="40"/>
        <v>FLX4</v>
      </c>
      <c r="D662" s="73" t="s">
        <v>133</v>
      </c>
      <c r="E662" s="100">
        <v>40456</v>
      </c>
      <c r="F662" s="101">
        <v>0.6</v>
      </c>
      <c r="G662" s="96">
        <f t="shared" si="41"/>
        <v>4</v>
      </c>
      <c r="I662" s="96"/>
      <c r="K662" t="str">
        <f t="shared" si="42"/>
        <v>FLX4</v>
      </c>
      <c r="L662" s="73" t="s">
        <v>133</v>
      </c>
      <c r="M662" s="72">
        <v>40456</v>
      </c>
      <c r="N662" s="84">
        <v>0.6</v>
      </c>
      <c r="O662" s="96">
        <f t="shared" si="43"/>
        <v>4</v>
      </c>
      <c r="Q662" s="96"/>
      <c r="T662" s="110"/>
    </row>
    <row r="663" spans="3:20" x14ac:dyDescent="0.2">
      <c r="C663" s="96" t="str">
        <f t="shared" si="40"/>
        <v>FLX5</v>
      </c>
      <c r="D663" s="73" t="s">
        <v>133</v>
      </c>
      <c r="E663" s="100">
        <v>40612</v>
      </c>
      <c r="F663" s="101">
        <v>0.6</v>
      </c>
      <c r="G663" s="96">
        <f t="shared" si="41"/>
        <v>5</v>
      </c>
      <c r="I663" s="96"/>
      <c r="K663" t="str">
        <f t="shared" si="42"/>
        <v>FLX5</v>
      </c>
      <c r="L663" s="73" t="s">
        <v>133</v>
      </c>
      <c r="M663" s="72">
        <v>40612</v>
      </c>
      <c r="N663" s="84">
        <v>0.6</v>
      </c>
      <c r="O663" s="96">
        <f t="shared" si="43"/>
        <v>5</v>
      </c>
      <c r="Q663" s="96"/>
      <c r="T663" s="110"/>
    </row>
    <row r="664" spans="3:20" x14ac:dyDescent="0.2">
      <c r="C664" s="96" t="str">
        <f t="shared" si="40"/>
        <v>FLX6</v>
      </c>
      <c r="D664" s="73" t="s">
        <v>133</v>
      </c>
      <c r="E664" s="100">
        <v>40820</v>
      </c>
      <c r="F664" s="101">
        <v>0.8</v>
      </c>
      <c r="G664" s="96">
        <f t="shared" si="41"/>
        <v>6</v>
      </c>
      <c r="I664" s="96"/>
      <c r="K664" t="str">
        <f t="shared" si="42"/>
        <v>FLX6</v>
      </c>
      <c r="L664" s="73" t="s">
        <v>133</v>
      </c>
      <c r="M664" s="72">
        <v>40820</v>
      </c>
      <c r="N664" s="84">
        <v>0.8</v>
      </c>
      <c r="O664" s="96">
        <f t="shared" si="43"/>
        <v>6</v>
      </c>
      <c r="Q664" s="96"/>
      <c r="T664" s="110"/>
    </row>
    <row r="665" spans="3:20" x14ac:dyDescent="0.2">
      <c r="C665" s="96" t="str">
        <f t="shared" si="40"/>
        <v>FLX7</v>
      </c>
      <c r="D665" s="73" t="s">
        <v>133</v>
      </c>
      <c r="E665" s="100">
        <v>40980</v>
      </c>
      <c r="F665" s="101">
        <v>0.8</v>
      </c>
      <c r="G665" s="96">
        <f t="shared" si="41"/>
        <v>7</v>
      </c>
      <c r="I665" s="96"/>
      <c r="K665" t="str">
        <f t="shared" si="42"/>
        <v>FLX7</v>
      </c>
      <c r="L665" s="73" t="s">
        <v>133</v>
      </c>
      <c r="M665" s="72">
        <v>40980</v>
      </c>
      <c r="N665" s="84">
        <v>0.8</v>
      </c>
      <c r="O665" s="96">
        <f t="shared" si="43"/>
        <v>7</v>
      </c>
      <c r="Q665" s="96"/>
      <c r="T665" s="110"/>
    </row>
    <row r="666" spans="3:20" x14ac:dyDescent="0.2">
      <c r="C666" s="96" t="str">
        <f t="shared" si="40"/>
        <v>FLX8</v>
      </c>
      <c r="D666" s="73" t="s">
        <v>133</v>
      </c>
      <c r="E666" s="100">
        <v>41184</v>
      </c>
      <c r="F666" s="101">
        <v>0.8</v>
      </c>
      <c r="G666" s="96">
        <f t="shared" si="41"/>
        <v>8</v>
      </c>
      <c r="I666" s="96"/>
      <c r="K666" t="str">
        <f t="shared" si="42"/>
        <v>FLX8</v>
      </c>
      <c r="L666" s="73" t="s">
        <v>133</v>
      </c>
      <c r="M666" s="72">
        <v>41184</v>
      </c>
      <c r="N666" s="84">
        <v>0.8</v>
      </c>
      <c r="O666" s="96">
        <f t="shared" si="43"/>
        <v>8</v>
      </c>
      <c r="Q666" s="96"/>
      <c r="T666" s="110"/>
    </row>
    <row r="667" spans="3:20" x14ac:dyDescent="0.2">
      <c r="C667" s="96" t="str">
        <f t="shared" si="40"/>
        <v>FLX9</v>
      </c>
      <c r="D667" s="73" t="s">
        <v>133</v>
      </c>
      <c r="E667" s="100">
        <v>41345</v>
      </c>
      <c r="F667" s="101">
        <v>0.8</v>
      </c>
      <c r="G667" s="96">
        <f t="shared" si="41"/>
        <v>9</v>
      </c>
      <c r="I667" s="96"/>
      <c r="K667" t="str">
        <f t="shared" si="42"/>
        <v>FLX9</v>
      </c>
      <c r="L667" s="73" t="s">
        <v>133</v>
      </c>
      <c r="M667" s="72">
        <v>41345</v>
      </c>
      <c r="N667" s="84">
        <v>0.8</v>
      </c>
      <c r="O667" s="96">
        <f t="shared" si="43"/>
        <v>9</v>
      </c>
      <c r="Q667" s="96"/>
      <c r="T667" s="110"/>
    </row>
    <row r="668" spans="3:20" x14ac:dyDescent="0.2">
      <c r="C668" s="96" t="str">
        <f t="shared" si="40"/>
        <v>FLX10</v>
      </c>
      <c r="D668" s="73" t="s">
        <v>133</v>
      </c>
      <c r="E668" s="100">
        <v>41549</v>
      </c>
      <c r="F668" s="101">
        <v>0.9</v>
      </c>
      <c r="G668" s="96">
        <f t="shared" si="41"/>
        <v>10</v>
      </c>
      <c r="I668" s="96"/>
      <c r="K668" t="str">
        <f t="shared" si="42"/>
        <v>FLX10</v>
      </c>
      <c r="L668" s="73" t="s">
        <v>133</v>
      </c>
      <c r="M668" s="72">
        <v>41549</v>
      </c>
      <c r="N668" s="84">
        <v>0.9</v>
      </c>
      <c r="O668" s="96">
        <f t="shared" si="43"/>
        <v>10</v>
      </c>
      <c r="Q668" s="96"/>
      <c r="T668" s="110"/>
    </row>
    <row r="669" spans="3:20" x14ac:dyDescent="0.2">
      <c r="C669" s="96" t="str">
        <f t="shared" si="40"/>
        <v>FXJ1</v>
      </c>
      <c r="D669" s="73" t="s">
        <v>134</v>
      </c>
      <c r="E669" s="100">
        <v>39869</v>
      </c>
      <c r="F669" s="101">
        <v>0.02</v>
      </c>
      <c r="G669" s="96">
        <f t="shared" si="41"/>
        <v>1</v>
      </c>
      <c r="I669" s="96"/>
      <c r="K669" t="str">
        <f t="shared" si="42"/>
        <v>FXJ1</v>
      </c>
      <c r="L669" s="73" t="s">
        <v>134</v>
      </c>
      <c r="M669" s="72">
        <v>39869</v>
      </c>
      <c r="N669" s="84">
        <v>0.02</v>
      </c>
      <c r="O669" s="96">
        <f t="shared" si="43"/>
        <v>1</v>
      </c>
      <c r="Q669" s="96"/>
      <c r="T669" s="110"/>
    </row>
    <row r="670" spans="3:20" x14ac:dyDescent="0.2">
      <c r="C670" s="96" t="str">
        <f t="shared" si="40"/>
        <v>FXJ2</v>
      </c>
      <c r="D670" s="73" t="s">
        <v>134</v>
      </c>
      <c r="E670" s="100">
        <v>40052</v>
      </c>
      <c r="F670" s="101">
        <v>0.02</v>
      </c>
      <c r="G670" s="96">
        <f t="shared" si="41"/>
        <v>2</v>
      </c>
      <c r="I670" s="96"/>
      <c r="K670" t="str">
        <f t="shared" si="42"/>
        <v>FXJ2</v>
      </c>
      <c r="L670" s="73" t="s">
        <v>134</v>
      </c>
      <c r="M670" s="72">
        <v>40052</v>
      </c>
      <c r="N670" s="84">
        <v>0.02</v>
      </c>
      <c r="O670" s="96">
        <f t="shared" si="43"/>
        <v>2</v>
      </c>
      <c r="Q670" s="96"/>
      <c r="T670" s="110"/>
    </row>
    <row r="671" spans="3:20" x14ac:dyDescent="0.2">
      <c r="C671" s="96" t="str">
        <f t="shared" si="40"/>
        <v>FXJ3</v>
      </c>
      <c r="D671" s="73" t="s">
        <v>134</v>
      </c>
      <c r="E671" s="100">
        <v>40234</v>
      </c>
      <c r="F671" s="101">
        <v>0.02</v>
      </c>
      <c r="G671" s="96">
        <f t="shared" si="41"/>
        <v>3</v>
      </c>
      <c r="I671" s="96"/>
      <c r="K671" t="str">
        <f t="shared" si="42"/>
        <v>FXJ3</v>
      </c>
      <c r="L671" s="73" t="s">
        <v>134</v>
      </c>
      <c r="M671" s="72">
        <v>40234</v>
      </c>
      <c r="N671" s="84">
        <v>0.02</v>
      </c>
      <c r="O671" s="96">
        <f t="shared" si="43"/>
        <v>3</v>
      </c>
      <c r="Q671" s="96"/>
      <c r="T671" s="110"/>
    </row>
    <row r="672" spans="3:20" x14ac:dyDescent="0.2">
      <c r="C672" s="96" t="str">
        <f t="shared" si="40"/>
        <v>FXJ4</v>
      </c>
      <c r="D672" s="73" t="s">
        <v>134</v>
      </c>
      <c r="E672" s="100">
        <v>40417</v>
      </c>
      <c r="F672" s="101">
        <v>0.02</v>
      </c>
      <c r="G672" s="96">
        <f t="shared" si="41"/>
        <v>4</v>
      </c>
      <c r="I672" s="96"/>
      <c r="K672" t="str">
        <f t="shared" si="42"/>
        <v>FXJ4</v>
      </c>
      <c r="L672" s="73" t="s">
        <v>134</v>
      </c>
      <c r="M672" s="72">
        <v>40417</v>
      </c>
      <c r="N672" s="84">
        <v>0.02</v>
      </c>
      <c r="O672" s="96">
        <f t="shared" si="43"/>
        <v>4</v>
      </c>
      <c r="Q672" s="96"/>
      <c r="T672" s="110"/>
    </row>
    <row r="673" spans="3:20" x14ac:dyDescent="0.2">
      <c r="C673" s="96" t="str">
        <f t="shared" si="40"/>
        <v>FXJ5</v>
      </c>
      <c r="D673" s="73" t="s">
        <v>134</v>
      </c>
      <c r="E673" s="100">
        <v>40599</v>
      </c>
      <c r="F673" s="101">
        <v>0.08</v>
      </c>
      <c r="G673" s="96">
        <f t="shared" si="41"/>
        <v>5</v>
      </c>
      <c r="I673" s="96"/>
      <c r="K673" t="str">
        <f t="shared" si="42"/>
        <v>FXJ5</v>
      </c>
      <c r="L673" s="73" t="s">
        <v>134</v>
      </c>
      <c r="M673" s="72">
        <v>40599</v>
      </c>
      <c r="N673" s="84">
        <v>0.08</v>
      </c>
      <c r="O673" s="96">
        <f t="shared" si="43"/>
        <v>5</v>
      </c>
      <c r="Q673" s="96"/>
      <c r="T673" s="110"/>
    </row>
    <row r="674" spans="3:20" x14ac:dyDescent="0.2">
      <c r="C674" s="96" t="str">
        <f t="shared" si="40"/>
        <v>FXJ6</v>
      </c>
      <c r="D674" s="73" t="s">
        <v>134</v>
      </c>
      <c r="E674" s="100">
        <v>40784</v>
      </c>
      <c r="F674" s="101">
        <v>0.08</v>
      </c>
      <c r="G674" s="96">
        <f t="shared" si="41"/>
        <v>6</v>
      </c>
      <c r="I674" s="96"/>
      <c r="K674" t="str">
        <f t="shared" si="42"/>
        <v>FXJ6</v>
      </c>
      <c r="L674" s="73" t="s">
        <v>134</v>
      </c>
      <c r="M674" s="72">
        <v>40784</v>
      </c>
      <c r="N674" s="84">
        <v>0.08</v>
      </c>
      <c r="O674" s="96">
        <f t="shared" si="43"/>
        <v>6</v>
      </c>
      <c r="Q674" s="96"/>
      <c r="T674" s="110"/>
    </row>
    <row r="675" spans="3:20" x14ac:dyDescent="0.2">
      <c r="C675" s="96" t="str">
        <f t="shared" si="40"/>
        <v>FXJ7</v>
      </c>
      <c r="D675" s="73" t="s">
        <v>134</v>
      </c>
      <c r="E675" s="100">
        <v>40967</v>
      </c>
      <c r="F675" s="101">
        <v>0.09</v>
      </c>
      <c r="G675" s="96">
        <f t="shared" si="41"/>
        <v>7</v>
      </c>
      <c r="I675" s="96"/>
      <c r="K675" t="str">
        <f t="shared" si="42"/>
        <v>FXJ7</v>
      </c>
      <c r="L675" s="73" t="s">
        <v>134</v>
      </c>
      <c r="M675" s="72">
        <v>40967</v>
      </c>
      <c r="N675" s="84">
        <v>0.09</v>
      </c>
      <c r="O675" s="96">
        <f t="shared" si="43"/>
        <v>7</v>
      </c>
      <c r="Q675" s="96"/>
      <c r="T675" s="110"/>
    </row>
    <row r="676" spans="3:20" x14ac:dyDescent="0.2">
      <c r="C676" s="96" t="str">
        <f t="shared" si="40"/>
        <v>FXJ8</v>
      </c>
      <c r="D676" s="73" t="s">
        <v>134</v>
      </c>
      <c r="E676" s="100">
        <v>41149</v>
      </c>
      <c r="F676" s="101">
        <v>0.09</v>
      </c>
      <c r="G676" s="96">
        <f t="shared" si="41"/>
        <v>8</v>
      </c>
      <c r="I676" s="96"/>
      <c r="K676" t="str">
        <f t="shared" si="42"/>
        <v>FXJ8</v>
      </c>
      <c r="L676" s="73" t="s">
        <v>134</v>
      </c>
      <c r="M676" s="72">
        <v>41149</v>
      </c>
      <c r="N676" s="84">
        <v>0.09</v>
      </c>
      <c r="O676" s="96">
        <f t="shared" si="43"/>
        <v>8</v>
      </c>
      <c r="Q676" s="96"/>
      <c r="T676" s="110"/>
    </row>
    <row r="677" spans="3:20" x14ac:dyDescent="0.2">
      <c r="C677" s="96" t="str">
        <f t="shared" si="40"/>
        <v>FXJ9</v>
      </c>
      <c r="D677" s="73" t="s">
        <v>134</v>
      </c>
      <c r="E677" s="100">
        <v>41332</v>
      </c>
      <c r="F677" s="101">
        <v>0.1</v>
      </c>
      <c r="G677" s="96">
        <f t="shared" si="41"/>
        <v>9</v>
      </c>
      <c r="I677" s="96"/>
      <c r="K677" t="str">
        <f t="shared" si="42"/>
        <v>FXJ9</v>
      </c>
      <c r="L677" s="73" t="s">
        <v>134</v>
      </c>
      <c r="M677" s="72">
        <v>41332</v>
      </c>
      <c r="N677" s="84">
        <v>0.1</v>
      </c>
      <c r="O677" s="96">
        <f t="shared" si="43"/>
        <v>9</v>
      </c>
      <c r="Q677" s="96"/>
      <c r="T677" s="110"/>
    </row>
    <row r="678" spans="3:20" x14ac:dyDescent="0.2">
      <c r="C678" s="96" t="str">
        <f t="shared" si="40"/>
        <v>FXJ10</v>
      </c>
      <c r="D678" s="73" t="s">
        <v>134</v>
      </c>
      <c r="E678" s="100">
        <v>41514</v>
      </c>
      <c r="F678" s="101">
        <v>0.1</v>
      </c>
      <c r="G678" s="96">
        <f t="shared" si="41"/>
        <v>10</v>
      </c>
      <c r="I678" s="96"/>
      <c r="K678" t="str">
        <f t="shared" si="42"/>
        <v>FXJ10</v>
      </c>
      <c r="L678" s="73" t="s">
        <v>134</v>
      </c>
      <c r="M678" s="72">
        <v>41514</v>
      </c>
      <c r="N678" s="84">
        <v>0.1</v>
      </c>
      <c r="O678" s="96">
        <f t="shared" si="43"/>
        <v>10</v>
      </c>
      <c r="Q678" s="96"/>
      <c r="T678" s="110"/>
    </row>
    <row r="679" spans="3:20" x14ac:dyDescent="0.2">
      <c r="C679" s="96" t="str">
        <f t="shared" si="40"/>
        <v>GCL1</v>
      </c>
      <c r="D679" s="73" t="s">
        <v>251</v>
      </c>
      <c r="E679" s="100">
        <v>39876</v>
      </c>
      <c r="F679" s="101">
        <v>9.8100000000000007E-2</v>
      </c>
      <c r="G679" s="96">
        <f t="shared" si="41"/>
        <v>1</v>
      </c>
      <c r="I679" s="96"/>
      <c r="K679" t="str">
        <f t="shared" si="42"/>
        <v>GCL1</v>
      </c>
      <c r="L679" s="73" t="s">
        <v>251</v>
      </c>
      <c r="M679" s="72">
        <v>39876</v>
      </c>
      <c r="N679" s="84">
        <v>9.8100000000000007E-2</v>
      </c>
      <c r="O679" s="96">
        <f t="shared" si="43"/>
        <v>1</v>
      </c>
      <c r="Q679" s="96"/>
      <c r="T679" s="110"/>
    </row>
    <row r="680" spans="3:20" x14ac:dyDescent="0.2">
      <c r="C680" s="96" t="str">
        <f t="shared" si="40"/>
        <v>GCL2</v>
      </c>
      <c r="D680" s="73" t="s">
        <v>251</v>
      </c>
      <c r="E680" s="100">
        <v>40060</v>
      </c>
      <c r="F680" s="101">
        <v>0.31390000000000001</v>
      </c>
      <c r="G680" s="96">
        <f t="shared" si="41"/>
        <v>2</v>
      </c>
      <c r="I680" s="96"/>
      <c r="K680" t="str">
        <f t="shared" si="42"/>
        <v>GCL2</v>
      </c>
      <c r="L680" s="73" t="s">
        <v>251</v>
      </c>
      <c r="M680" s="72">
        <v>40060</v>
      </c>
      <c r="N680" s="84">
        <v>0.31390000000000001</v>
      </c>
      <c r="O680" s="96">
        <f t="shared" si="43"/>
        <v>2</v>
      </c>
      <c r="Q680" s="96"/>
      <c r="T680" s="110"/>
    </row>
    <row r="681" spans="3:20" x14ac:dyDescent="0.2">
      <c r="C681" s="96" t="str">
        <f t="shared" si="40"/>
        <v>GCL3</v>
      </c>
      <c r="D681" s="73" t="s">
        <v>251</v>
      </c>
      <c r="E681" s="100">
        <v>40242</v>
      </c>
      <c r="F681" s="101">
        <v>0.1202</v>
      </c>
      <c r="G681" s="96">
        <f t="shared" si="41"/>
        <v>3</v>
      </c>
      <c r="I681" s="96"/>
      <c r="K681" t="str">
        <f t="shared" si="42"/>
        <v>GCL3</v>
      </c>
      <c r="L681" s="73" t="s">
        <v>251</v>
      </c>
      <c r="M681" s="72">
        <v>40242</v>
      </c>
      <c r="N681" s="84">
        <v>0.1202</v>
      </c>
      <c r="O681" s="96">
        <f t="shared" si="43"/>
        <v>3</v>
      </c>
      <c r="Q681" s="96"/>
      <c r="T681" s="110"/>
    </row>
    <row r="682" spans="3:20" x14ac:dyDescent="0.2">
      <c r="C682" s="96" t="str">
        <f t="shared" si="40"/>
        <v>GCL4</v>
      </c>
      <c r="D682" s="73" t="s">
        <v>251</v>
      </c>
      <c r="E682" s="100">
        <v>40427</v>
      </c>
      <c r="F682" s="101">
        <v>0.38479999999999998</v>
      </c>
      <c r="G682" s="96">
        <f t="shared" si="41"/>
        <v>4</v>
      </c>
      <c r="I682" s="96"/>
      <c r="K682" t="str">
        <f t="shared" si="42"/>
        <v>GCL4</v>
      </c>
      <c r="L682" s="73" t="s">
        <v>251</v>
      </c>
      <c r="M682" s="72">
        <v>40427</v>
      </c>
      <c r="N682" s="84">
        <v>0.38479999999999998</v>
      </c>
      <c r="O682" s="96">
        <f t="shared" si="43"/>
        <v>4</v>
      </c>
      <c r="Q682" s="96"/>
      <c r="T682" s="110"/>
    </row>
    <row r="683" spans="3:20" x14ac:dyDescent="0.2">
      <c r="C683" s="96" t="str">
        <f t="shared" si="40"/>
        <v>GCL5</v>
      </c>
      <c r="D683" s="73" t="s">
        <v>251</v>
      </c>
      <c r="E683" s="100">
        <v>40609</v>
      </c>
      <c r="F683" s="101">
        <v>0.12759999999999999</v>
      </c>
      <c r="G683" s="96">
        <f t="shared" si="41"/>
        <v>5</v>
      </c>
      <c r="I683" s="96"/>
      <c r="K683" t="str">
        <f t="shared" si="42"/>
        <v>GCL5</v>
      </c>
      <c r="L683" s="73" t="s">
        <v>251</v>
      </c>
      <c r="M683" s="72">
        <v>40609</v>
      </c>
      <c r="N683" s="84">
        <v>0.12759999999999999</v>
      </c>
      <c r="O683" s="96">
        <f t="shared" si="43"/>
        <v>5</v>
      </c>
      <c r="Q683" s="96"/>
      <c r="T683" s="110"/>
    </row>
    <row r="684" spans="3:20" x14ac:dyDescent="0.2">
      <c r="C684" s="96" t="str">
        <f t="shared" si="40"/>
        <v>GCL6</v>
      </c>
      <c r="D684" s="73" t="s">
        <v>251</v>
      </c>
      <c r="E684" s="100">
        <v>40792</v>
      </c>
      <c r="F684" s="101">
        <v>0.40840000000000004</v>
      </c>
      <c r="G684" s="96">
        <f t="shared" si="41"/>
        <v>6</v>
      </c>
      <c r="I684" s="96"/>
      <c r="K684" t="str">
        <f t="shared" si="42"/>
        <v>GCL6</v>
      </c>
      <c r="L684" s="73" t="s">
        <v>251</v>
      </c>
      <c r="M684" s="72">
        <v>40792</v>
      </c>
      <c r="N684" s="84">
        <v>0.40840000000000004</v>
      </c>
      <c r="O684" s="96">
        <f t="shared" si="43"/>
        <v>6</v>
      </c>
      <c r="Q684" s="96"/>
      <c r="T684" s="110"/>
    </row>
    <row r="685" spans="3:20" x14ac:dyDescent="0.2">
      <c r="C685" s="96" t="str">
        <f t="shared" si="40"/>
        <v>GCL7</v>
      </c>
      <c r="D685" s="73" t="s">
        <v>251</v>
      </c>
      <c r="E685" s="100">
        <v>40974</v>
      </c>
      <c r="F685" s="101">
        <v>0.22</v>
      </c>
      <c r="G685" s="96">
        <f t="shared" si="41"/>
        <v>7</v>
      </c>
      <c r="I685" s="96"/>
      <c r="K685" t="str">
        <f t="shared" si="42"/>
        <v>GCL7</v>
      </c>
      <c r="L685" s="73" t="s">
        <v>251</v>
      </c>
      <c r="M685" s="72">
        <v>40974</v>
      </c>
      <c r="N685" s="84">
        <v>0.22</v>
      </c>
      <c r="O685" s="96">
        <f t="shared" si="43"/>
        <v>7</v>
      </c>
      <c r="Q685" s="96"/>
      <c r="T685" s="110"/>
    </row>
    <row r="686" spans="3:20" x14ac:dyDescent="0.2">
      <c r="C686" s="96" t="str">
        <f t="shared" si="40"/>
        <v>GCL8</v>
      </c>
      <c r="D686" s="73" t="s">
        <v>251</v>
      </c>
      <c r="E686" s="100">
        <v>41158</v>
      </c>
      <c r="F686" s="101">
        <v>0.45</v>
      </c>
      <c r="G686" s="96">
        <f t="shared" si="41"/>
        <v>8</v>
      </c>
      <c r="I686" s="96"/>
      <c r="K686" t="str">
        <f t="shared" si="42"/>
        <v>GCL8</v>
      </c>
      <c r="L686" s="73" t="s">
        <v>251</v>
      </c>
      <c r="M686" s="72">
        <v>41158</v>
      </c>
      <c r="N686" s="84">
        <v>0.45</v>
      </c>
      <c r="O686" s="96">
        <f t="shared" si="43"/>
        <v>8</v>
      </c>
      <c r="Q686" s="96"/>
      <c r="T686" s="110"/>
    </row>
    <row r="687" spans="3:20" x14ac:dyDescent="0.2">
      <c r="C687" s="96" t="str">
        <f t="shared" si="40"/>
        <v>GCL9</v>
      </c>
      <c r="D687" s="73" t="s">
        <v>251</v>
      </c>
      <c r="E687" s="100">
        <v>41339</v>
      </c>
      <c r="F687" s="101">
        <v>0.28010000000000002</v>
      </c>
      <c r="G687" s="96">
        <f t="shared" si="41"/>
        <v>9</v>
      </c>
      <c r="I687" s="96"/>
      <c r="K687" t="str">
        <f t="shared" si="42"/>
        <v>GCL9</v>
      </c>
      <c r="L687" s="73" t="s">
        <v>251</v>
      </c>
      <c r="M687" s="72">
        <v>41339</v>
      </c>
      <c r="N687" s="84">
        <v>0.28010000000000002</v>
      </c>
      <c r="O687" s="96">
        <f t="shared" si="43"/>
        <v>9</v>
      </c>
      <c r="Q687" s="96"/>
      <c r="T687" s="110"/>
    </row>
    <row r="688" spans="3:20" x14ac:dyDescent="0.2">
      <c r="C688" s="96" t="str">
        <f t="shared" si="40"/>
        <v>GCL10</v>
      </c>
      <c r="D688" s="73" t="s">
        <v>251</v>
      </c>
      <c r="E688" s="100">
        <v>41523</v>
      </c>
      <c r="F688" s="101">
        <v>0.57289999999999996</v>
      </c>
      <c r="G688" s="96">
        <f t="shared" si="41"/>
        <v>10</v>
      </c>
      <c r="I688" s="96"/>
      <c r="K688" t="str">
        <f t="shared" si="42"/>
        <v>GCL10</v>
      </c>
      <c r="L688" s="73" t="s">
        <v>251</v>
      </c>
      <c r="M688" s="72">
        <v>41523</v>
      </c>
      <c r="N688" s="84">
        <v>0.57289999999999996</v>
      </c>
      <c r="O688" s="96">
        <f t="shared" si="43"/>
        <v>10</v>
      </c>
      <c r="Q688" s="96"/>
      <c r="T688" s="110"/>
    </row>
    <row r="689" spans="3:20" x14ac:dyDescent="0.2">
      <c r="C689" s="96" t="str">
        <f t="shared" si="40"/>
        <v>GFF1</v>
      </c>
      <c r="D689" s="73" t="s">
        <v>135</v>
      </c>
      <c r="E689" s="100">
        <v>39875</v>
      </c>
      <c r="F689" s="101">
        <v>0.06</v>
      </c>
      <c r="G689" s="96">
        <f t="shared" si="41"/>
        <v>1</v>
      </c>
      <c r="I689" s="96"/>
      <c r="K689" t="str">
        <f t="shared" si="42"/>
        <v>GFF1</v>
      </c>
      <c r="L689" s="73" t="s">
        <v>135</v>
      </c>
      <c r="M689" s="72">
        <v>39875</v>
      </c>
      <c r="N689" s="84">
        <v>0.06</v>
      </c>
      <c r="O689" s="96">
        <f t="shared" si="43"/>
        <v>1</v>
      </c>
      <c r="Q689" s="96"/>
      <c r="T689" s="110"/>
    </row>
    <row r="690" spans="3:20" x14ac:dyDescent="0.2">
      <c r="C690" s="96" t="str">
        <f t="shared" si="40"/>
        <v>GFF2</v>
      </c>
      <c r="D690" s="73" t="s">
        <v>135</v>
      </c>
      <c r="E690" s="100">
        <v>40078</v>
      </c>
      <c r="F690" s="101">
        <v>7.4999999999999997E-2</v>
      </c>
      <c r="G690" s="96">
        <f t="shared" si="41"/>
        <v>2</v>
      </c>
      <c r="I690" s="96"/>
      <c r="K690" t="str">
        <f t="shared" si="42"/>
        <v>GFF2</v>
      </c>
      <c r="L690" s="73" t="s">
        <v>135</v>
      </c>
      <c r="M690" s="72">
        <v>40078</v>
      </c>
      <c r="N690" s="84">
        <v>7.4999999999999997E-2</v>
      </c>
      <c r="O690" s="96">
        <f t="shared" si="43"/>
        <v>2</v>
      </c>
      <c r="Q690" s="96"/>
      <c r="T690" s="110"/>
    </row>
    <row r="691" spans="3:20" x14ac:dyDescent="0.2">
      <c r="C691" s="96" t="str">
        <f t="shared" si="40"/>
        <v>GFF3</v>
      </c>
      <c r="D691" s="73" t="s">
        <v>135</v>
      </c>
      <c r="E691" s="100">
        <v>40241</v>
      </c>
      <c r="F691" s="101">
        <v>6.13E-2</v>
      </c>
      <c r="G691" s="96">
        <f t="shared" si="41"/>
        <v>3</v>
      </c>
      <c r="I691" s="96"/>
      <c r="K691" t="str">
        <f t="shared" si="42"/>
        <v>GFF3</v>
      </c>
      <c r="L691" s="73" t="s">
        <v>135</v>
      </c>
      <c r="M691" s="72">
        <v>40241</v>
      </c>
      <c r="N691" s="84">
        <v>6.13E-2</v>
      </c>
      <c r="O691" s="96">
        <f t="shared" si="43"/>
        <v>3</v>
      </c>
      <c r="Q691" s="96"/>
      <c r="T691" s="110"/>
    </row>
    <row r="692" spans="3:20" x14ac:dyDescent="0.2">
      <c r="C692" s="96" t="str">
        <f t="shared" si="40"/>
        <v>GFF4</v>
      </c>
      <c r="D692" s="73" t="s">
        <v>135</v>
      </c>
      <c r="E692" s="100">
        <v>40443</v>
      </c>
      <c r="F692" s="101">
        <v>7.6700000000000004E-2</v>
      </c>
      <c r="G692" s="96">
        <f t="shared" si="41"/>
        <v>4</v>
      </c>
      <c r="I692" s="96"/>
      <c r="K692" t="str">
        <f t="shared" si="42"/>
        <v>GFF4</v>
      </c>
      <c r="L692" s="73" t="s">
        <v>135</v>
      </c>
      <c r="M692" s="72">
        <v>40443</v>
      </c>
      <c r="N692" s="84">
        <v>7.6700000000000004E-2</v>
      </c>
      <c r="O692" s="96">
        <f t="shared" si="43"/>
        <v>4</v>
      </c>
      <c r="Q692" s="96"/>
      <c r="T692" s="110"/>
    </row>
    <row r="693" spans="3:20" x14ac:dyDescent="0.2">
      <c r="C693" s="96" t="str">
        <f t="shared" si="40"/>
        <v>GFF5</v>
      </c>
      <c r="D693" s="73" t="s">
        <v>135</v>
      </c>
      <c r="E693" s="100">
        <v>40606</v>
      </c>
      <c r="F693" s="101">
        <v>6.4000000000000001E-2</v>
      </c>
      <c r="G693" s="96">
        <f t="shared" si="41"/>
        <v>5</v>
      </c>
      <c r="I693" s="96"/>
      <c r="K693" t="str">
        <f t="shared" si="42"/>
        <v>GFF5</v>
      </c>
      <c r="L693" s="73" t="s">
        <v>135</v>
      </c>
      <c r="M693" s="72">
        <v>40606</v>
      </c>
      <c r="N693" s="84">
        <v>6.4000000000000001E-2</v>
      </c>
      <c r="O693" s="96">
        <f t="shared" si="43"/>
        <v>5</v>
      </c>
      <c r="Q693" s="96"/>
      <c r="T693" s="110"/>
    </row>
    <row r="694" spans="3:20" x14ac:dyDescent="0.2">
      <c r="C694" s="96" t="str">
        <f t="shared" si="40"/>
        <v>GFF6</v>
      </c>
      <c r="D694" s="73" t="s">
        <v>135</v>
      </c>
      <c r="E694" s="100">
        <v>40808</v>
      </c>
      <c r="F694" s="101">
        <v>0.08</v>
      </c>
      <c r="G694" s="96">
        <f t="shared" si="41"/>
        <v>6</v>
      </c>
      <c r="I694" s="96"/>
      <c r="K694" t="str">
        <f t="shared" si="42"/>
        <v>GFF6</v>
      </c>
      <c r="L694" s="73" t="s">
        <v>135</v>
      </c>
      <c r="M694" s="72">
        <v>40808</v>
      </c>
      <c r="N694" s="84">
        <v>0.08</v>
      </c>
      <c r="O694" s="96">
        <f t="shared" si="43"/>
        <v>6</v>
      </c>
      <c r="Q694" s="96"/>
      <c r="T694" s="110"/>
    </row>
    <row r="695" spans="3:20" x14ac:dyDescent="0.2">
      <c r="C695" s="96" t="str">
        <f t="shared" si="40"/>
        <v>GFF7</v>
      </c>
      <c r="D695" s="73" t="s">
        <v>135</v>
      </c>
      <c r="E695" s="100">
        <v>40974</v>
      </c>
      <c r="F695" s="101">
        <v>6.5299999999999997E-2</v>
      </c>
      <c r="G695" s="96">
        <f t="shared" si="41"/>
        <v>7</v>
      </c>
      <c r="I695" s="96"/>
      <c r="K695" t="str">
        <f t="shared" si="42"/>
        <v>GFF7</v>
      </c>
      <c r="L695" s="73" t="s">
        <v>135</v>
      </c>
      <c r="M695" s="72">
        <v>40974</v>
      </c>
      <c r="N695" s="84">
        <v>6.5299999999999997E-2</v>
      </c>
      <c r="O695" s="96">
        <f t="shared" si="43"/>
        <v>7</v>
      </c>
      <c r="Q695" s="96"/>
      <c r="T695" s="83"/>
    </row>
    <row r="696" spans="3:20" x14ac:dyDescent="0.2">
      <c r="C696" s="96" t="str">
        <f t="shared" si="40"/>
        <v>GFF8</v>
      </c>
      <c r="D696" s="73" t="s">
        <v>135</v>
      </c>
      <c r="E696" s="100">
        <v>41176</v>
      </c>
      <c r="F696" s="101">
        <v>8.1699999999999995E-2</v>
      </c>
      <c r="G696" s="96">
        <f t="shared" si="41"/>
        <v>8</v>
      </c>
      <c r="I696" s="96"/>
      <c r="K696" t="str">
        <f t="shared" si="42"/>
        <v>GFF8</v>
      </c>
      <c r="L696" s="73" t="s">
        <v>135</v>
      </c>
      <c r="M696" s="72">
        <v>41176</v>
      </c>
      <c r="N696" s="84">
        <v>8.1699999999999995E-2</v>
      </c>
      <c r="O696" s="96">
        <f t="shared" si="43"/>
        <v>8</v>
      </c>
      <c r="Q696" s="96"/>
      <c r="T696" s="83"/>
    </row>
    <row r="697" spans="3:20" x14ac:dyDescent="0.2">
      <c r="C697" s="96" t="str">
        <f t="shared" si="40"/>
        <v>GFF9</v>
      </c>
      <c r="D697" s="73" t="s">
        <v>135</v>
      </c>
      <c r="E697" s="100">
        <v>41339</v>
      </c>
      <c r="F697" s="101">
        <v>6.93E-2</v>
      </c>
      <c r="G697" s="96">
        <f t="shared" si="41"/>
        <v>9</v>
      </c>
      <c r="I697" s="96"/>
      <c r="K697" t="str">
        <f t="shared" si="42"/>
        <v>GFF9</v>
      </c>
      <c r="L697" s="73" t="s">
        <v>135</v>
      </c>
      <c r="M697" s="72">
        <v>41339</v>
      </c>
      <c r="N697" s="84">
        <v>6.93E-2</v>
      </c>
      <c r="O697" s="96">
        <f t="shared" si="43"/>
        <v>9</v>
      </c>
      <c r="Q697" s="96"/>
      <c r="T697" s="110"/>
    </row>
    <row r="698" spans="3:20" x14ac:dyDescent="0.2">
      <c r="C698" s="96" t="str">
        <f t="shared" si="40"/>
        <v>GFF10</v>
      </c>
      <c r="D698" s="73" t="s">
        <v>135</v>
      </c>
      <c r="E698" s="100">
        <v>41541</v>
      </c>
      <c r="F698" s="101">
        <v>8.6699999999999999E-2</v>
      </c>
      <c r="G698" s="96">
        <f t="shared" si="41"/>
        <v>10</v>
      </c>
      <c r="I698" s="96"/>
      <c r="K698" t="str">
        <f t="shared" si="42"/>
        <v>GFF10</v>
      </c>
      <c r="L698" s="73" t="s">
        <v>135</v>
      </c>
      <c r="M698" s="72">
        <v>41541</v>
      </c>
      <c r="N698" s="84">
        <v>8.6699999999999999E-2</v>
      </c>
      <c r="O698" s="96">
        <f t="shared" si="43"/>
        <v>10</v>
      </c>
      <c r="Q698" s="96"/>
      <c r="T698" s="110"/>
    </row>
    <row r="699" spans="3:20" x14ac:dyDescent="0.2">
      <c r="C699" s="96" t="str">
        <f t="shared" si="40"/>
        <v>GMG1</v>
      </c>
      <c r="D699" s="73" t="s">
        <v>136</v>
      </c>
      <c r="E699" s="100">
        <v>39988</v>
      </c>
      <c r="F699" s="101">
        <v>9.6500000000000002E-2</v>
      </c>
      <c r="G699" s="96">
        <f t="shared" si="41"/>
        <v>1</v>
      </c>
      <c r="I699" s="96"/>
      <c r="K699" t="str">
        <f t="shared" si="42"/>
        <v>GMG1</v>
      </c>
      <c r="L699" s="73" t="s">
        <v>136</v>
      </c>
      <c r="M699" s="72">
        <v>39988</v>
      </c>
      <c r="N699" s="84">
        <v>9.6500000000000002E-2</v>
      </c>
      <c r="O699" s="96">
        <f t="shared" si="43"/>
        <v>1</v>
      </c>
      <c r="Q699" s="96"/>
      <c r="T699" s="110"/>
    </row>
    <row r="700" spans="3:20" x14ac:dyDescent="0.2">
      <c r="C700" s="96" t="str">
        <f t="shared" si="40"/>
        <v>GMG2</v>
      </c>
      <c r="D700" s="73" t="s">
        <v>136</v>
      </c>
      <c r="E700" s="100">
        <v>40170</v>
      </c>
      <c r="F700" s="101">
        <v>9.6500000000000002E-2</v>
      </c>
      <c r="G700" s="96">
        <f t="shared" si="41"/>
        <v>2</v>
      </c>
      <c r="I700" s="96"/>
      <c r="K700" t="str">
        <f t="shared" si="42"/>
        <v>GMG2</v>
      </c>
      <c r="L700" s="73" t="s">
        <v>136</v>
      </c>
      <c r="M700" s="72">
        <v>40170</v>
      </c>
      <c r="N700" s="84">
        <v>9.6500000000000002E-2</v>
      </c>
      <c r="O700" s="96">
        <f t="shared" si="43"/>
        <v>2</v>
      </c>
      <c r="Q700" s="96"/>
      <c r="T700" s="110"/>
    </row>
    <row r="701" spans="3:20" x14ac:dyDescent="0.2">
      <c r="C701" s="96" t="str">
        <f t="shared" si="40"/>
        <v>GMG3</v>
      </c>
      <c r="D701" s="73" t="s">
        <v>136</v>
      </c>
      <c r="E701" s="100">
        <v>40353</v>
      </c>
      <c r="F701" s="101">
        <v>9.6500000000000002E-2</v>
      </c>
      <c r="G701" s="96">
        <f t="shared" si="41"/>
        <v>3</v>
      </c>
      <c r="I701" s="96"/>
      <c r="K701" t="str">
        <f t="shared" si="42"/>
        <v>GMG3</v>
      </c>
      <c r="L701" s="73" t="s">
        <v>136</v>
      </c>
      <c r="M701" s="72">
        <v>40353</v>
      </c>
      <c r="N701" s="84">
        <v>9.6500000000000002E-2</v>
      </c>
      <c r="O701" s="96">
        <f t="shared" si="43"/>
        <v>3</v>
      </c>
      <c r="Q701" s="96"/>
      <c r="T701" s="110"/>
    </row>
    <row r="702" spans="3:20" x14ac:dyDescent="0.2">
      <c r="C702" s="96" t="str">
        <f t="shared" si="40"/>
        <v>GMG4</v>
      </c>
      <c r="D702" s="73" t="s">
        <v>136</v>
      </c>
      <c r="E702" s="100">
        <v>40535</v>
      </c>
      <c r="F702" s="101">
        <v>0.10199999999999999</v>
      </c>
      <c r="G702" s="96">
        <f t="shared" si="41"/>
        <v>4</v>
      </c>
      <c r="I702" s="96"/>
      <c r="K702" t="str">
        <f t="shared" si="42"/>
        <v>GMG4</v>
      </c>
      <c r="L702" s="73" t="s">
        <v>136</v>
      </c>
      <c r="M702" s="72">
        <v>40535</v>
      </c>
      <c r="N702" s="84">
        <v>0.10199999999999999</v>
      </c>
      <c r="O702" s="96">
        <f t="shared" si="43"/>
        <v>4</v>
      </c>
      <c r="Q702" s="96"/>
      <c r="T702" s="110"/>
    </row>
    <row r="703" spans="3:20" x14ac:dyDescent="0.2">
      <c r="C703" s="96" t="str">
        <f t="shared" si="40"/>
        <v>GMG5</v>
      </c>
      <c r="D703" s="73" t="s">
        <v>136</v>
      </c>
      <c r="E703" s="100">
        <v>40718</v>
      </c>
      <c r="F703" s="101">
        <v>0.10199999999999999</v>
      </c>
      <c r="G703" s="96">
        <f t="shared" si="41"/>
        <v>5</v>
      </c>
      <c r="I703" s="96"/>
      <c r="K703" t="str">
        <f t="shared" si="42"/>
        <v>GMG5</v>
      </c>
      <c r="L703" s="73" t="s">
        <v>136</v>
      </c>
      <c r="M703" s="72">
        <v>40718</v>
      </c>
      <c r="N703" s="84">
        <v>0.10199999999999999</v>
      </c>
      <c r="O703" s="96">
        <f t="shared" si="43"/>
        <v>5</v>
      </c>
      <c r="Q703" s="96"/>
      <c r="T703" s="110"/>
    </row>
    <row r="704" spans="3:20" x14ac:dyDescent="0.2">
      <c r="C704" s="96" t="str">
        <f t="shared" si="40"/>
        <v>GMG6</v>
      </c>
      <c r="D704" s="73" t="s">
        <v>136</v>
      </c>
      <c r="E704" s="100">
        <v>40899</v>
      </c>
      <c r="F704" s="101">
        <v>0.105</v>
      </c>
      <c r="G704" s="96">
        <f t="shared" si="41"/>
        <v>6</v>
      </c>
      <c r="I704" s="96"/>
      <c r="K704" t="str">
        <f t="shared" si="42"/>
        <v>GMG6</v>
      </c>
      <c r="L704" s="73" t="s">
        <v>136</v>
      </c>
      <c r="M704" s="72">
        <v>40899</v>
      </c>
      <c r="N704" s="84">
        <v>0.105</v>
      </c>
      <c r="O704" s="96">
        <f t="shared" si="43"/>
        <v>6</v>
      </c>
      <c r="Q704" s="96"/>
      <c r="T704" s="110"/>
    </row>
    <row r="705" spans="3:20" x14ac:dyDescent="0.2">
      <c r="C705" s="96" t="str">
        <f t="shared" si="40"/>
        <v>GMG7</v>
      </c>
      <c r="D705" s="73" t="s">
        <v>136</v>
      </c>
      <c r="E705" s="100">
        <v>41085</v>
      </c>
      <c r="F705" s="101">
        <v>0.105</v>
      </c>
      <c r="G705" s="96">
        <f t="shared" si="41"/>
        <v>7</v>
      </c>
      <c r="I705" s="96"/>
      <c r="K705" t="str">
        <f t="shared" si="42"/>
        <v>GMG7</v>
      </c>
      <c r="L705" s="73" t="s">
        <v>136</v>
      </c>
      <c r="M705" s="72">
        <v>41085</v>
      </c>
      <c r="N705" s="84">
        <v>0.105</v>
      </c>
      <c r="O705" s="96">
        <f t="shared" si="43"/>
        <v>7</v>
      </c>
      <c r="Q705" s="96"/>
      <c r="T705" s="110"/>
    </row>
    <row r="706" spans="3:20" x14ac:dyDescent="0.2">
      <c r="C706" s="96" t="str">
        <f t="shared" si="40"/>
        <v>GMG8</v>
      </c>
      <c r="D706" s="73" t="s">
        <v>136</v>
      </c>
      <c r="E706" s="100">
        <v>41268</v>
      </c>
      <c r="F706" s="101">
        <v>0.11</v>
      </c>
      <c r="G706" s="96">
        <f t="shared" si="41"/>
        <v>8</v>
      </c>
      <c r="I706" s="96"/>
      <c r="K706" t="str">
        <f t="shared" si="42"/>
        <v>GMG8</v>
      </c>
      <c r="L706" s="73" t="s">
        <v>136</v>
      </c>
      <c r="M706" s="72">
        <v>41268</v>
      </c>
      <c r="N706" s="84">
        <v>0.11</v>
      </c>
      <c r="O706" s="96">
        <f t="shared" si="43"/>
        <v>8</v>
      </c>
      <c r="Q706" s="96"/>
      <c r="T706" s="110"/>
    </row>
    <row r="707" spans="3:20" x14ac:dyDescent="0.2">
      <c r="C707" s="96" t="str">
        <f t="shared" ref="C707:C770" si="44">D707&amp;G707</f>
        <v>GMG9</v>
      </c>
      <c r="D707" s="73" t="s">
        <v>136</v>
      </c>
      <c r="E707" s="100">
        <v>41450</v>
      </c>
      <c r="F707" s="101">
        <v>0.11</v>
      </c>
      <c r="G707" s="96">
        <f t="shared" ref="G707:G770" si="45">IF(D707&lt;&gt;D706,1,G706+1)</f>
        <v>9</v>
      </c>
      <c r="I707" s="96"/>
      <c r="K707" t="str">
        <f t="shared" ref="K707:K770" si="46">L707&amp;O707</f>
        <v>GMG9</v>
      </c>
      <c r="L707" s="73" t="s">
        <v>136</v>
      </c>
      <c r="M707" s="72">
        <v>41450</v>
      </c>
      <c r="N707" s="84">
        <v>0.11</v>
      </c>
      <c r="O707" s="96">
        <f t="shared" ref="O707:O770" si="47">IF(L707&lt;&gt;L706,1,O706+1)</f>
        <v>9</v>
      </c>
      <c r="Q707" s="96"/>
      <c r="T707" s="110"/>
    </row>
    <row r="708" spans="3:20" x14ac:dyDescent="0.2">
      <c r="C708" s="96" t="str">
        <f t="shared" si="44"/>
        <v>GNS1</v>
      </c>
      <c r="D708" s="73" t="s">
        <v>137</v>
      </c>
      <c r="E708" s="100">
        <v>39888</v>
      </c>
      <c r="F708" s="101">
        <v>0.06</v>
      </c>
      <c r="G708" s="96">
        <f t="shared" si="45"/>
        <v>1</v>
      </c>
      <c r="I708" s="96"/>
      <c r="K708" t="str">
        <f t="shared" si="46"/>
        <v>GNS1</v>
      </c>
      <c r="L708" s="73" t="s">
        <v>137</v>
      </c>
      <c r="M708" s="72">
        <v>39888</v>
      </c>
      <c r="N708" s="84">
        <v>0.06</v>
      </c>
      <c r="O708" s="96">
        <f t="shared" si="47"/>
        <v>1</v>
      </c>
      <c r="Q708" s="96"/>
      <c r="T708" s="110"/>
    </row>
    <row r="709" spans="3:20" x14ac:dyDescent="0.2">
      <c r="C709" s="96" t="str">
        <f t="shared" si="44"/>
        <v>GNS2</v>
      </c>
      <c r="D709" s="73" t="s">
        <v>137</v>
      </c>
      <c r="E709" s="100">
        <v>40063</v>
      </c>
      <c r="F709" s="101">
        <v>0.04</v>
      </c>
      <c r="G709" s="96">
        <f t="shared" si="45"/>
        <v>2</v>
      </c>
      <c r="I709" s="96"/>
      <c r="K709" t="str">
        <f t="shared" si="46"/>
        <v>GNS2</v>
      </c>
      <c r="L709" s="73" t="s">
        <v>137</v>
      </c>
      <c r="M709" s="72">
        <v>40063</v>
      </c>
      <c r="N709" s="84">
        <v>0.04</v>
      </c>
      <c r="O709" s="96">
        <f t="shared" si="47"/>
        <v>2</v>
      </c>
      <c r="Q709" s="96"/>
      <c r="T709" s="110"/>
    </row>
    <row r="710" spans="3:20" x14ac:dyDescent="0.2">
      <c r="C710" s="96" t="str">
        <f t="shared" si="44"/>
        <v>GNS3</v>
      </c>
      <c r="D710" s="73" t="s">
        <v>137</v>
      </c>
      <c r="E710" s="100">
        <v>40253</v>
      </c>
      <c r="F710" s="101">
        <v>0.06</v>
      </c>
      <c r="G710" s="96">
        <f t="shared" si="45"/>
        <v>3</v>
      </c>
      <c r="I710" s="96"/>
      <c r="K710" t="str">
        <f t="shared" si="46"/>
        <v>GNS3</v>
      </c>
      <c r="L710" s="73" t="s">
        <v>137</v>
      </c>
      <c r="M710" s="72">
        <v>40253</v>
      </c>
      <c r="N710" s="84">
        <v>0.06</v>
      </c>
      <c r="O710" s="96">
        <f t="shared" si="47"/>
        <v>3</v>
      </c>
      <c r="Q710" s="96"/>
      <c r="T710" s="110"/>
    </row>
    <row r="711" spans="3:20" x14ac:dyDescent="0.2">
      <c r="C711" s="96" t="str">
        <f t="shared" si="44"/>
        <v>GNS4</v>
      </c>
      <c r="D711" s="73" t="s">
        <v>137</v>
      </c>
      <c r="E711" s="100">
        <v>40428</v>
      </c>
      <c r="F711" s="101">
        <v>0.05</v>
      </c>
      <c r="G711" s="96">
        <f t="shared" si="45"/>
        <v>4</v>
      </c>
      <c r="I711" s="96"/>
      <c r="K711" t="str">
        <f t="shared" si="46"/>
        <v>GNS4</v>
      </c>
      <c r="L711" s="73" t="s">
        <v>137</v>
      </c>
      <c r="M711" s="72">
        <v>40428</v>
      </c>
      <c r="N711" s="84">
        <v>0.05</v>
      </c>
      <c r="O711" s="96">
        <f t="shared" si="47"/>
        <v>4</v>
      </c>
      <c r="Q711" s="96"/>
      <c r="T711" s="110"/>
    </row>
    <row r="712" spans="3:20" x14ac:dyDescent="0.2">
      <c r="C712" s="96" t="str">
        <f t="shared" si="44"/>
        <v>GNS5</v>
      </c>
      <c r="D712" s="73" t="s">
        <v>137</v>
      </c>
      <c r="E712" s="100">
        <v>40618</v>
      </c>
      <c r="F712" s="101">
        <v>0.06</v>
      </c>
      <c r="G712" s="96">
        <f t="shared" si="45"/>
        <v>5</v>
      </c>
      <c r="I712" s="96"/>
      <c r="K712" t="str">
        <f t="shared" si="46"/>
        <v>GNS5</v>
      </c>
      <c r="L712" s="73" t="s">
        <v>137</v>
      </c>
      <c r="M712" s="72">
        <v>40618</v>
      </c>
      <c r="N712" s="84">
        <v>0.06</v>
      </c>
      <c r="O712" s="96">
        <f t="shared" si="47"/>
        <v>5</v>
      </c>
      <c r="Q712" s="96"/>
      <c r="T712" s="110"/>
    </row>
    <row r="713" spans="3:20" x14ac:dyDescent="0.2">
      <c r="C713" s="96" t="str">
        <f t="shared" si="44"/>
        <v>GNS6</v>
      </c>
      <c r="D713" s="73" t="s">
        <v>137</v>
      </c>
      <c r="E713" s="100">
        <v>40793</v>
      </c>
      <c r="F713" s="101">
        <v>0.05</v>
      </c>
      <c r="G713" s="96">
        <f t="shared" si="45"/>
        <v>6</v>
      </c>
      <c r="I713" s="96"/>
      <c r="K713" t="str">
        <f t="shared" si="46"/>
        <v>GNS6</v>
      </c>
      <c r="L713" s="73" t="s">
        <v>137</v>
      </c>
      <c r="M713" s="72">
        <v>40793</v>
      </c>
      <c r="N713" s="84">
        <v>0.05</v>
      </c>
      <c r="O713" s="96">
        <f t="shared" si="47"/>
        <v>6</v>
      </c>
      <c r="Q713" s="96"/>
      <c r="T713" s="110"/>
    </row>
    <row r="714" spans="3:20" x14ac:dyDescent="0.2">
      <c r="C714" s="96" t="str">
        <f t="shared" si="44"/>
        <v>GNS7</v>
      </c>
      <c r="D714" s="73" t="s">
        <v>137</v>
      </c>
      <c r="E714" s="100">
        <v>40984</v>
      </c>
      <c r="F714" s="101">
        <v>0.06</v>
      </c>
      <c r="G714" s="96">
        <f t="shared" si="45"/>
        <v>7</v>
      </c>
      <c r="I714" s="96"/>
      <c r="K714" t="str">
        <f t="shared" si="46"/>
        <v>GNS7</v>
      </c>
      <c r="L714" s="73" t="s">
        <v>137</v>
      </c>
      <c r="M714" s="72">
        <v>40984</v>
      </c>
      <c r="N714" s="84">
        <v>0.06</v>
      </c>
      <c r="O714" s="96">
        <f t="shared" si="47"/>
        <v>7</v>
      </c>
      <c r="Q714" s="96"/>
      <c r="T714" s="110"/>
    </row>
    <row r="715" spans="3:20" x14ac:dyDescent="0.2">
      <c r="C715" s="96" t="str">
        <f t="shared" si="44"/>
        <v>GNS8</v>
      </c>
      <c r="D715" s="73" t="s">
        <v>137</v>
      </c>
      <c r="E715" s="100">
        <v>41159</v>
      </c>
      <c r="F715" s="101">
        <v>0.06</v>
      </c>
      <c r="G715" s="96">
        <f t="shared" si="45"/>
        <v>8</v>
      </c>
      <c r="I715" s="96"/>
      <c r="K715" t="str">
        <f t="shared" si="46"/>
        <v>GNS8</v>
      </c>
      <c r="L715" s="73" t="s">
        <v>137</v>
      </c>
      <c r="M715" s="72">
        <v>41159</v>
      </c>
      <c r="N715" s="84">
        <v>0.06</v>
      </c>
      <c r="O715" s="96">
        <f t="shared" si="47"/>
        <v>8</v>
      </c>
      <c r="Q715" s="96"/>
      <c r="T715" s="110"/>
    </row>
    <row r="716" spans="3:20" x14ac:dyDescent="0.2">
      <c r="C716" s="96" t="str">
        <f t="shared" si="44"/>
        <v>GNS9</v>
      </c>
      <c r="D716" s="73" t="s">
        <v>137</v>
      </c>
      <c r="E716" s="100">
        <v>41351</v>
      </c>
      <c r="F716" s="101">
        <v>0.06</v>
      </c>
      <c r="G716" s="96">
        <f t="shared" si="45"/>
        <v>9</v>
      </c>
      <c r="I716" s="96"/>
      <c r="K716" t="str">
        <f t="shared" si="46"/>
        <v>GNS9</v>
      </c>
      <c r="L716" s="73" t="s">
        <v>137</v>
      </c>
      <c r="M716" s="72">
        <v>41351</v>
      </c>
      <c r="N716" s="84">
        <v>0.06</v>
      </c>
      <c r="O716" s="96">
        <f t="shared" si="47"/>
        <v>9</v>
      </c>
      <c r="Q716" s="96"/>
      <c r="T716" s="110"/>
    </row>
    <row r="717" spans="3:20" x14ac:dyDescent="0.2">
      <c r="C717" s="96" t="str">
        <f t="shared" si="44"/>
        <v>GNS10</v>
      </c>
      <c r="D717" s="73" t="s">
        <v>137</v>
      </c>
      <c r="E717" s="100">
        <v>41526</v>
      </c>
      <c r="F717" s="101">
        <v>7.0000000000000007E-2</v>
      </c>
      <c r="G717" s="96">
        <f t="shared" si="45"/>
        <v>10</v>
      </c>
      <c r="I717" s="96"/>
      <c r="K717" t="str">
        <f t="shared" si="46"/>
        <v>GNS10</v>
      </c>
      <c r="L717" s="73" t="s">
        <v>137</v>
      </c>
      <c r="M717" s="72">
        <v>41526</v>
      </c>
      <c r="N717" s="84">
        <v>7.0000000000000007E-2</v>
      </c>
      <c r="O717" s="96">
        <f t="shared" si="47"/>
        <v>10</v>
      </c>
      <c r="Q717" s="96"/>
      <c r="T717" s="110"/>
    </row>
    <row r="718" spans="3:20" x14ac:dyDescent="0.2">
      <c r="C718" s="96" t="str">
        <f t="shared" si="44"/>
        <v>GPT1</v>
      </c>
      <c r="D718" s="73" t="s">
        <v>138</v>
      </c>
      <c r="E718" s="100">
        <v>39875</v>
      </c>
      <c r="F718" s="101">
        <v>1.7000000000000001E-2</v>
      </c>
      <c r="G718" s="96">
        <f t="shared" si="45"/>
        <v>1</v>
      </c>
      <c r="I718" s="96"/>
      <c r="K718" t="str">
        <f t="shared" si="46"/>
        <v>GPT1</v>
      </c>
      <c r="L718" s="73" t="s">
        <v>138</v>
      </c>
      <c r="M718" s="72">
        <v>39875</v>
      </c>
      <c r="N718" s="84">
        <v>1.7000000000000001E-2</v>
      </c>
      <c r="O718" s="96">
        <f t="shared" si="47"/>
        <v>1</v>
      </c>
      <c r="Q718" s="96"/>
      <c r="T718" s="110"/>
    </row>
    <row r="719" spans="3:20" x14ac:dyDescent="0.2">
      <c r="C719" s="96" t="str">
        <f t="shared" si="44"/>
        <v>GPT2</v>
      </c>
      <c r="D719" s="73" t="s">
        <v>138</v>
      </c>
      <c r="E719" s="100">
        <v>39940</v>
      </c>
      <c r="F719" s="101">
        <v>1.8000000000000002E-2</v>
      </c>
      <c r="G719" s="96">
        <f t="shared" si="45"/>
        <v>2</v>
      </c>
      <c r="I719" s="96"/>
      <c r="K719" t="str">
        <f t="shared" si="46"/>
        <v>GPT2</v>
      </c>
      <c r="L719" s="73" t="s">
        <v>138</v>
      </c>
      <c r="M719" s="72">
        <v>39940</v>
      </c>
      <c r="N719" s="84">
        <v>1.8000000000000002E-2</v>
      </c>
      <c r="O719" s="96">
        <f t="shared" si="47"/>
        <v>2</v>
      </c>
      <c r="Q719" s="96"/>
      <c r="T719" s="110"/>
    </row>
    <row r="720" spans="3:20" x14ac:dyDescent="0.2">
      <c r="C720" s="96" t="str">
        <f t="shared" si="44"/>
        <v>GPT3</v>
      </c>
      <c r="D720" s="73" t="s">
        <v>138</v>
      </c>
      <c r="E720" s="100">
        <v>40057</v>
      </c>
      <c r="F720" s="101">
        <v>1.8000000000000002E-2</v>
      </c>
      <c r="G720" s="96">
        <f t="shared" si="45"/>
        <v>3</v>
      </c>
      <c r="I720" s="96"/>
      <c r="K720" t="str">
        <f t="shared" si="46"/>
        <v>GPT3</v>
      </c>
      <c r="L720" s="73" t="s">
        <v>138</v>
      </c>
      <c r="M720" s="72">
        <v>40057</v>
      </c>
      <c r="N720" s="84">
        <v>1.8000000000000002E-2</v>
      </c>
      <c r="O720" s="96">
        <f t="shared" si="47"/>
        <v>3</v>
      </c>
      <c r="Q720" s="96"/>
      <c r="T720" s="110"/>
    </row>
    <row r="721" spans="3:20" x14ac:dyDescent="0.2">
      <c r="C721" s="96" t="str">
        <f t="shared" si="44"/>
        <v>GPT4</v>
      </c>
      <c r="D721" s="73" t="s">
        <v>138</v>
      </c>
      <c r="E721" s="100">
        <v>40119</v>
      </c>
      <c r="F721" s="101">
        <v>1.8000000000000002E-2</v>
      </c>
      <c r="G721" s="96">
        <f t="shared" si="45"/>
        <v>4</v>
      </c>
      <c r="I721" s="96"/>
      <c r="K721" t="str">
        <f t="shared" si="46"/>
        <v>GPT4</v>
      </c>
      <c r="L721" s="73" t="s">
        <v>138</v>
      </c>
      <c r="M721" s="72">
        <v>40119</v>
      </c>
      <c r="N721" s="84">
        <v>1.8000000000000002E-2</v>
      </c>
      <c r="O721" s="96">
        <f t="shared" si="47"/>
        <v>4</v>
      </c>
      <c r="Q721" s="96"/>
      <c r="T721" s="110"/>
    </row>
    <row r="722" spans="3:20" x14ac:dyDescent="0.2">
      <c r="C722" s="96" t="str">
        <f t="shared" si="44"/>
        <v>GPT5</v>
      </c>
      <c r="D722" s="73" t="s">
        <v>138</v>
      </c>
      <c r="E722" s="100">
        <v>40241</v>
      </c>
      <c r="F722" s="101">
        <v>1.8000000000000002E-2</v>
      </c>
      <c r="G722" s="96">
        <f t="shared" si="45"/>
        <v>5</v>
      </c>
      <c r="I722" s="96"/>
      <c r="K722" t="str">
        <f t="shared" si="46"/>
        <v>GPT5</v>
      </c>
      <c r="L722" s="73" t="s">
        <v>138</v>
      </c>
      <c r="M722" s="72">
        <v>40241</v>
      </c>
      <c r="N722" s="84">
        <v>1.8000000000000002E-2</v>
      </c>
      <c r="O722" s="96">
        <f t="shared" si="47"/>
        <v>5</v>
      </c>
      <c r="Q722" s="96"/>
      <c r="T722" s="110"/>
    </row>
    <row r="723" spans="3:20" x14ac:dyDescent="0.2">
      <c r="C723" s="96" t="str">
        <f t="shared" si="44"/>
        <v>GPT6</v>
      </c>
      <c r="D723" s="73" t="s">
        <v>138</v>
      </c>
      <c r="E723" s="100">
        <v>40305</v>
      </c>
      <c r="F723" s="101">
        <v>0.02</v>
      </c>
      <c r="G723" s="96">
        <f t="shared" si="45"/>
        <v>6</v>
      </c>
      <c r="I723" s="96"/>
      <c r="K723" t="str">
        <f t="shared" si="46"/>
        <v>GPT6</v>
      </c>
      <c r="L723" s="73" t="s">
        <v>138</v>
      </c>
      <c r="M723" s="72">
        <v>40305</v>
      </c>
      <c r="N723" s="84">
        <v>0.02</v>
      </c>
      <c r="O723" s="96">
        <f t="shared" si="47"/>
        <v>6</v>
      </c>
      <c r="Q723" s="96"/>
      <c r="T723" s="110"/>
    </row>
    <row r="724" spans="3:20" x14ac:dyDescent="0.2">
      <c r="C724" s="96" t="str">
        <f t="shared" si="44"/>
        <v>GPT7</v>
      </c>
      <c r="D724" s="73" t="s">
        <v>138</v>
      </c>
      <c r="E724" s="100">
        <v>40422</v>
      </c>
      <c r="F724" s="101">
        <v>0.02</v>
      </c>
      <c r="G724" s="96">
        <f t="shared" si="45"/>
        <v>7</v>
      </c>
      <c r="I724" s="96"/>
      <c r="K724" t="str">
        <f t="shared" si="46"/>
        <v>GPT7</v>
      </c>
      <c r="L724" s="73" t="s">
        <v>138</v>
      </c>
      <c r="M724" s="72">
        <v>40422</v>
      </c>
      <c r="N724" s="84">
        <v>0.02</v>
      </c>
      <c r="O724" s="96">
        <f t="shared" si="47"/>
        <v>7</v>
      </c>
      <c r="Q724" s="96"/>
      <c r="T724" s="110"/>
    </row>
    <row r="725" spans="3:20" x14ac:dyDescent="0.2">
      <c r="C725" s="96" t="str">
        <f t="shared" si="44"/>
        <v>GPT8</v>
      </c>
      <c r="D725" s="73" t="s">
        <v>138</v>
      </c>
      <c r="E725" s="100">
        <v>40485</v>
      </c>
      <c r="F725" s="101">
        <v>0.02</v>
      </c>
      <c r="G725" s="96">
        <f t="shared" si="45"/>
        <v>8</v>
      </c>
      <c r="I725" s="96"/>
      <c r="K725" t="str">
        <f t="shared" si="46"/>
        <v>GPT8</v>
      </c>
      <c r="L725" s="73" t="s">
        <v>138</v>
      </c>
      <c r="M725" s="72">
        <v>40485</v>
      </c>
      <c r="N725" s="84">
        <v>0.02</v>
      </c>
      <c r="O725" s="96">
        <f t="shared" si="47"/>
        <v>8</v>
      </c>
      <c r="Q725" s="96"/>
      <c r="T725" s="110"/>
    </row>
    <row r="726" spans="3:20" x14ac:dyDescent="0.2">
      <c r="C726" s="96" t="str">
        <f t="shared" si="44"/>
        <v>GPT9</v>
      </c>
      <c r="D726" s="73" t="s">
        <v>138</v>
      </c>
      <c r="E726" s="100">
        <v>40606</v>
      </c>
      <c r="F726" s="101">
        <v>0.02</v>
      </c>
      <c r="G726" s="96">
        <f t="shared" si="45"/>
        <v>9</v>
      </c>
      <c r="I726" s="96"/>
      <c r="K726" t="str">
        <f t="shared" si="46"/>
        <v>GPT9</v>
      </c>
      <c r="L726" s="73" t="s">
        <v>138</v>
      </c>
      <c r="M726" s="72">
        <v>40606</v>
      </c>
      <c r="N726" s="84">
        <v>0.02</v>
      </c>
      <c r="O726" s="96">
        <f t="shared" si="47"/>
        <v>9</v>
      </c>
      <c r="Q726" s="96"/>
      <c r="T726" s="110"/>
    </row>
    <row r="727" spans="3:20" x14ac:dyDescent="0.2">
      <c r="C727" s="96" t="str">
        <f t="shared" si="44"/>
        <v>GPT10</v>
      </c>
      <c r="D727" s="73" t="s">
        <v>138</v>
      </c>
      <c r="E727" s="100">
        <v>40672</v>
      </c>
      <c r="F727" s="101">
        <v>2.2000000000000002E-2</v>
      </c>
      <c r="G727" s="96">
        <f t="shared" si="45"/>
        <v>10</v>
      </c>
      <c r="I727" s="96"/>
      <c r="K727" t="str">
        <f t="shared" si="46"/>
        <v>GPT10</v>
      </c>
      <c r="L727" s="73" t="s">
        <v>138</v>
      </c>
      <c r="M727" s="72">
        <v>40672</v>
      </c>
      <c r="N727" s="84">
        <v>2.2000000000000002E-2</v>
      </c>
      <c r="O727" s="96">
        <f t="shared" si="47"/>
        <v>10</v>
      </c>
      <c r="Q727" s="96"/>
      <c r="T727" s="110"/>
    </row>
    <row r="728" spans="3:20" x14ac:dyDescent="0.2">
      <c r="C728" s="96" t="str">
        <f t="shared" si="44"/>
        <v>GPT11</v>
      </c>
      <c r="D728" s="73" t="s">
        <v>138</v>
      </c>
      <c r="E728" s="100">
        <v>40787</v>
      </c>
      <c r="F728" s="101">
        <v>2.2000000000000002E-2</v>
      </c>
      <c r="G728" s="96">
        <f t="shared" si="45"/>
        <v>11</v>
      </c>
      <c r="I728" s="96"/>
      <c r="K728" t="str">
        <f t="shared" si="46"/>
        <v>GPT11</v>
      </c>
      <c r="L728" s="73" t="s">
        <v>138</v>
      </c>
      <c r="M728" s="72">
        <v>40787</v>
      </c>
      <c r="N728" s="84">
        <v>2.2000000000000002E-2</v>
      </c>
      <c r="O728" s="96">
        <f t="shared" si="47"/>
        <v>11</v>
      </c>
      <c r="Q728" s="96"/>
      <c r="T728" s="110"/>
    </row>
    <row r="729" spans="3:20" x14ac:dyDescent="0.2">
      <c r="C729" s="96" t="str">
        <f t="shared" si="44"/>
        <v>GPT12</v>
      </c>
      <c r="D729" s="73" t="s">
        <v>138</v>
      </c>
      <c r="E729" s="100">
        <v>40850</v>
      </c>
      <c r="F729" s="101">
        <v>2.2000000000000002E-2</v>
      </c>
      <c r="G729" s="96">
        <f t="shared" si="45"/>
        <v>12</v>
      </c>
      <c r="I729" s="96"/>
      <c r="K729" t="str">
        <f t="shared" si="46"/>
        <v>GPT12</v>
      </c>
      <c r="L729" s="73" t="s">
        <v>138</v>
      </c>
      <c r="M729" s="72">
        <v>40850</v>
      </c>
      <c r="N729" s="84">
        <v>2.2000000000000002E-2</v>
      </c>
      <c r="O729" s="96">
        <f t="shared" si="47"/>
        <v>12</v>
      </c>
      <c r="Q729" s="96"/>
      <c r="T729" s="110"/>
    </row>
    <row r="730" spans="3:20" x14ac:dyDescent="0.2">
      <c r="C730" s="96" t="str">
        <f t="shared" si="44"/>
        <v>GPT13</v>
      </c>
      <c r="D730" s="73" t="s">
        <v>138</v>
      </c>
      <c r="E730" s="100">
        <v>40974</v>
      </c>
      <c r="F730" s="101">
        <v>2.2000000000000002E-2</v>
      </c>
      <c r="G730" s="96">
        <f t="shared" si="45"/>
        <v>13</v>
      </c>
      <c r="I730" s="96"/>
      <c r="K730" t="str">
        <f t="shared" si="46"/>
        <v>GPT13</v>
      </c>
      <c r="L730" s="73" t="s">
        <v>138</v>
      </c>
      <c r="M730" s="72">
        <v>40974</v>
      </c>
      <c r="N730" s="84">
        <v>2.2000000000000002E-2</v>
      </c>
      <c r="O730" s="96">
        <f t="shared" si="47"/>
        <v>13</v>
      </c>
      <c r="Q730" s="96"/>
      <c r="T730" s="110"/>
    </row>
    <row r="731" spans="3:20" x14ac:dyDescent="0.2">
      <c r="C731" s="96" t="str">
        <f t="shared" si="44"/>
        <v>GPT14</v>
      </c>
      <c r="D731" s="73" t="s">
        <v>138</v>
      </c>
      <c r="E731" s="100">
        <v>41037</v>
      </c>
      <c r="F731" s="101">
        <v>2.5000000000000001E-2</v>
      </c>
      <c r="G731" s="96">
        <f t="shared" si="45"/>
        <v>14</v>
      </c>
      <c r="I731" s="96"/>
      <c r="K731" t="str">
        <f t="shared" si="46"/>
        <v>GPT14</v>
      </c>
      <c r="L731" s="73" t="s">
        <v>138</v>
      </c>
      <c r="M731" s="72">
        <v>41037</v>
      </c>
      <c r="N731" s="84">
        <v>2.5000000000000001E-2</v>
      </c>
      <c r="O731" s="96">
        <f t="shared" si="47"/>
        <v>14</v>
      </c>
      <c r="Q731" s="96"/>
      <c r="T731" s="110"/>
    </row>
    <row r="732" spans="3:20" x14ac:dyDescent="0.2">
      <c r="C732" s="96" t="str">
        <f t="shared" si="44"/>
        <v>GPT15</v>
      </c>
      <c r="D732" s="73" t="s">
        <v>138</v>
      </c>
      <c r="E732" s="100">
        <v>41155</v>
      </c>
      <c r="F732" s="101">
        <v>2.5000000000000001E-2</v>
      </c>
      <c r="G732" s="96">
        <f t="shared" si="45"/>
        <v>15</v>
      </c>
      <c r="I732" s="96"/>
      <c r="K732" t="str">
        <f t="shared" si="46"/>
        <v>GPT15</v>
      </c>
      <c r="L732" s="73" t="s">
        <v>138</v>
      </c>
      <c r="M732" s="72">
        <v>41155</v>
      </c>
      <c r="N732" s="84">
        <v>2.5000000000000001E-2</v>
      </c>
      <c r="O732" s="96">
        <f t="shared" si="47"/>
        <v>15</v>
      </c>
      <c r="Q732" s="96"/>
      <c r="T732" s="110"/>
    </row>
    <row r="733" spans="3:20" x14ac:dyDescent="0.2">
      <c r="C733" s="96" t="str">
        <f t="shared" si="44"/>
        <v>GPT16</v>
      </c>
      <c r="D733" s="73" t="s">
        <v>138</v>
      </c>
      <c r="E733" s="100">
        <v>41218</v>
      </c>
      <c r="F733" s="101">
        <v>2.5000000000000001E-2</v>
      </c>
      <c r="G733" s="96">
        <f t="shared" si="45"/>
        <v>16</v>
      </c>
      <c r="I733" s="96"/>
      <c r="K733" t="str">
        <f t="shared" si="46"/>
        <v>GPT16</v>
      </c>
      <c r="L733" s="73" t="s">
        <v>138</v>
      </c>
      <c r="M733" s="72">
        <v>41218</v>
      </c>
      <c r="N733" s="84">
        <v>2.5000000000000001E-2</v>
      </c>
      <c r="O733" s="96">
        <f t="shared" si="47"/>
        <v>16</v>
      </c>
      <c r="Q733" s="96"/>
      <c r="T733" s="110"/>
    </row>
    <row r="734" spans="3:20" x14ac:dyDescent="0.2">
      <c r="C734" s="96" t="str">
        <f t="shared" si="44"/>
        <v>GPT17</v>
      </c>
      <c r="D734" s="73" t="s">
        <v>138</v>
      </c>
      <c r="E734" s="100">
        <v>41339</v>
      </c>
      <c r="F734" s="101">
        <v>2.5000000000000001E-2</v>
      </c>
      <c r="G734" s="96">
        <f t="shared" si="45"/>
        <v>17</v>
      </c>
      <c r="I734" s="96"/>
      <c r="K734" t="str">
        <f t="shared" si="46"/>
        <v>GPT17</v>
      </c>
      <c r="L734" s="73" t="s">
        <v>138</v>
      </c>
      <c r="M734" s="72">
        <v>41339</v>
      </c>
      <c r="N734" s="84">
        <v>2.5000000000000001E-2</v>
      </c>
      <c r="O734" s="96">
        <f t="shared" si="47"/>
        <v>17</v>
      </c>
      <c r="Q734" s="96"/>
      <c r="T734" s="110"/>
    </row>
    <row r="735" spans="3:20" x14ac:dyDescent="0.2">
      <c r="C735" s="96" t="str">
        <f t="shared" si="44"/>
        <v>GTP1</v>
      </c>
      <c r="D735" s="73" t="s">
        <v>139</v>
      </c>
      <c r="E735" s="100">
        <v>39976</v>
      </c>
      <c r="F735" s="101">
        <v>0.01</v>
      </c>
      <c r="G735" s="96">
        <f t="shared" si="45"/>
        <v>1</v>
      </c>
      <c r="I735" s="96"/>
      <c r="K735" t="str">
        <f t="shared" si="46"/>
        <v>GTP1</v>
      </c>
      <c r="L735" s="73" t="s">
        <v>139</v>
      </c>
      <c r="M735" s="72">
        <v>39976</v>
      </c>
      <c r="N735" s="84">
        <v>0.01</v>
      </c>
      <c r="O735" s="96">
        <f t="shared" si="47"/>
        <v>1</v>
      </c>
      <c r="Q735" s="96"/>
      <c r="T735" s="110"/>
    </row>
    <row r="736" spans="3:20" x14ac:dyDescent="0.2">
      <c r="C736" s="96" t="str">
        <f t="shared" si="44"/>
        <v>GTP2</v>
      </c>
      <c r="D736" s="73" t="s">
        <v>139</v>
      </c>
      <c r="E736" s="100">
        <v>40151</v>
      </c>
      <c r="F736" s="101">
        <v>0.03</v>
      </c>
      <c r="G736" s="96">
        <f t="shared" si="45"/>
        <v>2</v>
      </c>
      <c r="I736" s="96"/>
      <c r="K736" t="str">
        <f t="shared" si="46"/>
        <v>GTP2</v>
      </c>
      <c r="L736" s="73" t="s">
        <v>139</v>
      </c>
      <c r="M736" s="72">
        <v>40151</v>
      </c>
      <c r="N736" s="84">
        <v>0.03</v>
      </c>
      <c r="O736" s="96">
        <f t="shared" si="47"/>
        <v>2</v>
      </c>
      <c r="Q736" s="96"/>
      <c r="T736" s="110"/>
    </row>
    <row r="737" spans="3:20" x14ac:dyDescent="0.2">
      <c r="C737" s="96" t="str">
        <f t="shared" si="44"/>
        <v>GTP3</v>
      </c>
      <c r="D737" s="73" t="s">
        <v>139</v>
      </c>
      <c r="E737" s="100">
        <v>40343</v>
      </c>
      <c r="F737" s="101">
        <v>0.02</v>
      </c>
      <c r="G737" s="96">
        <f t="shared" si="45"/>
        <v>3</v>
      </c>
      <c r="I737" s="96"/>
      <c r="K737" t="str">
        <f t="shared" si="46"/>
        <v>GTP3</v>
      </c>
      <c r="L737" s="73" t="s">
        <v>139</v>
      </c>
      <c r="M737" s="72">
        <v>40343</v>
      </c>
      <c r="N737" s="84">
        <v>0.02</v>
      </c>
      <c r="O737" s="96">
        <f t="shared" si="47"/>
        <v>3</v>
      </c>
      <c r="Q737" s="96"/>
      <c r="T737" s="110"/>
    </row>
    <row r="738" spans="3:20" x14ac:dyDescent="0.2">
      <c r="C738" s="96" t="str">
        <f t="shared" si="44"/>
        <v>GTP4</v>
      </c>
      <c r="D738" s="73" t="s">
        <v>139</v>
      </c>
      <c r="E738" s="100">
        <v>40518</v>
      </c>
      <c r="F738" s="101">
        <v>0.04</v>
      </c>
      <c r="G738" s="96">
        <f t="shared" si="45"/>
        <v>4</v>
      </c>
      <c r="I738" s="96"/>
      <c r="K738" t="str">
        <f t="shared" si="46"/>
        <v>GTP4</v>
      </c>
      <c r="L738" s="73" t="s">
        <v>139</v>
      </c>
      <c r="M738" s="72">
        <v>40518</v>
      </c>
      <c r="N738" s="84">
        <v>0.04</v>
      </c>
      <c r="O738" s="96">
        <f t="shared" si="47"/>
        <v>4</v>
      </c>
      <c r="Q738" s="96"/>
      <c r="T738" s="110"/>
    </row>
    <row r="739" spans="3:20" x14ac:dyDescent="0.2">
      <c r="C739" s="96" t="str">
        <f t="shared" si="44"/>
        <v>GTP5</v>
      </c>
      <c r="D739" s="73" t="s">
        <v>139</v>
      </c>
      <c r="E739" s="100">
        <v>40708</v>
      </c>
      <c r="F739" s="101">
        <v>0.02</v>
      </c>
      <c r="G739" s="96">
        <f t="shared" si="45"/>
        <v>5</v>
      </c>
      <c r="I739" s="96"/>
      <c r="K739" t="str">
        <f t="shared" si="46"/>
        <v>GTP5</v>
      </c>
      <c r="L739" s="73" t="s">
        <v>139</v>
      </c>
      <c r="M739" s="72">
        <v>40708</v>
      </c>
      <c r="N739" s="84">
        <v>0.02</v>
      </c>
      <c r="O739" s="96">
        <f t="shared" si="47"/>
        <v>5</v>
      </c>
      <c r="Q739" s="96"/>
      <c r="T739" s="110"/>
    </row>
    <row r="740" spans="3:20" x14ac:dyDescent="0.2">
      <c r="C740" s="96" t="str">
        <f t="shared" si="44"/>
        <v>GTP6</v>
      </c>
      <c r="D740" s="73" t="s">
        <v>139</v>
      </c>
      <c r="E740" s="100">
        <v>40883</v>
      </c>
      <c r="F740" s="101">
        <v>0.04</v>
      </c>
      <c r="G740" s="96">
        <f t="shared" si="45"/>
        <v>6</v>
      </c>
      <c r="I740" s="96"/>
      <c r="K740" t="str">
        <f t="shared" si="46"/>
        <v>GTP6</v>
      </c>
      <c r="L740" s="73" t="s">
        <v>139</v>
      </c>
      <c r="M740" s="72">
        <v>40883</v>
      </c>
      <c r="N740" s="84">
        <v>0.04</v>
      </c>
      <c r="O740" s="96">
        <f t="shared" si="47"/>
        <v>6</v>
      </c>
      <c r="Q740" s="96"/>
      <c r="T740" s="110"/>
    </row>
    <row r="741" spans="3:20" x14ac:dyDescent="0.2">
      <c r="C741" s="96" t="str">
        <f t="shared" si="44"/>
        <v>GTP7</v>
      </c>
      <c r="D741" s="73" t="s">
        <v>139</v>
      </c>
      <c r="E741" s="100">
        <v>41074</v>
      </c>
      <c r="F741" s="101">
        <v>0.03</v>
      </c>
      <c r="G741" s="96">
        <f t="shared" si="45"/>
        <v>7</v>
      </c>
      <c r="I741" s="96"/>
      <c r="K741" t="str">
        <f t="shared" si="46"/>
        <v>GTP7</v>
      </c>
      <c r="L741" s="73" t="s">
        <v>139</v>
      </c>
      <c r="M741" s="72">
        <v>41074</v>
      </c>
      <c r="N741" s="84">
        <v>0.03</v>
      </c>
      <c r="O741" s="96">
        <f t="shared" si="47"/>
        <v>7</v>
      </c>
      <c r="Q741" s="96"/>
      <c r="T741" s="110"/>
    </row>
    <row r="742" spans="3:20" x14ac:dyDescent="0.2">
      <c r="C742" s="96" t="str">
        <f t="shared" si="44"/>
        <v>GUD1</v>
      </c>
      <c r="D742" s="73" t="s">
        <v>140</v>
      </c>
      <c r="E742" s="100">
        <v>39878</v>
      </c>
      <c r="F742" s="101">
        <v>0.27</v>
      </c>
      <c r="G742" s="96">
        <f t="shared" si="45"/>
        <v>1</v>
      </c>
      <c r="I742" s="96"/>
      <c r="K742" t="str">
        <f t="shared" si="46"/>
        <v>GUD1</v>
      </c>
      <c r="L742" s="73" t="s">
        <v>140</v>
      </c>
      <c r="M742" s="72">
        <v>39878</v>
      </c>
      <c r="N742" s="84">
        <v>0.27</v>
      </c>
      <c r="O742" s="96">
        <f t="shared" si="47"/>
        <v>1</v>
      </c>
      <c r="Q742" s="96"/>
      <c r="T742" s="110"/>
    </row>
    <row r="743" spans="3:20" x14ac:dyDescent="0.2">
      <c r="C743" s="96" t="str">
        <f t="shared" si="44"/>
        <v>GUD2</v>
      </c>
      <c r="D743" s="73" t="s">
        <v>140</v>
      </c>
      <c r="E743" s="100">
        <v>40049</v>
      </c>
      <c r="F743" s="101">
        <v>0.30099999999999999</v>
      </c>
      <c r="G743" s="96">
        <f t="shared" si="45"/>
        <v>2</v>
      </c>
      <c r="I743" s="96"/>
      <c r="K743" t="str">
        <f t="shared" si="46"/>
        <v>GUD2</v>
      </c>
      <c r="L743" s="73" t="s">
        <v>140</v>
      </c>
      <c r="M743" s="72">
        <v>40049</v>
      </c>
      <c r="N743" s="84">
        <v>0.30099999999999999</v>
      </c>
      <c r="O743" s="96">
        <f t="shared" si="47"/>
        <v>2</v>
      </c>
      <c r="Q743" s="96"/>
      <c r="T743" s="110"/>
    </row>
    <row r="744" spans="3:20" x14ac:dyDescent="0.2">
      <c r="C744" s="96" t="str">
        <f t="shared" si="44"/>
        <v>GUD3</v>
      </c>
      <c r="D744" s="73" t="s">
        <v>140</v>
      </c>
      <c r="E744" s="100">
        <v>40246</v>
      </c>
      <c r="F744" s="101">
        <v>0.27089999999999997</v>
      </c>
      <c r="G744" s="96">
        <f t="shared" si="45"/>
        <v>3</v>
      </c>
      <c r="I744" s="96"/>
      <c r="K744" t="str">
        <f t="shared" si="46"/>
        <v>GUD3</v>
      </c>
      <c r="L744" s="73" t="s">
        <v>140</v>
      </c>
      <c r="M744" s="72">
        <v>40246</v>
      </c>
      <c r="N744" s="84">
        <v>0.27089999999999997</v>
      </c>
      <c r="O744" s="96">
        <f t="shared" si="47"/>
        <v>3</v>
      </c>
      <c r="Q744" s="96"/>
      <c r="T744" s="110"/>
    </row>
    <row r="745" spans="3:20" x14ac:dyDescent="0.2">
      <c r="C745" s="96" t="str">
        <f t="shared" si="44"/>
        <v>GUD4</v>
      </c>
      <c r="D745" s="73" t="s">
        <v>140</v>
      </c>
      <c r="E745" s="100">
        <v>40414</v>
      </c>
      <c r="F745" s="101">
        <v>0.30609999999999998</v>
      </c>
      <c r="G745" s="96">
        <f t="shared" si="45"/>
        <v>4</v>
      </c>
      <c r="I745" s="96"/>
      <c r="K745" t="str">
        <f t="shared" si="46"/>
        <v>GUD4</v>
      </c>
      <c r="L745" s="73" t="s">
        <v>140</v>
      </c>
      <c r="M745" s="72">
        <v>40414</v>
      </c>
      <c r="N745" s="84">
        <v>0.30609999999999998</v>
      </c>
      <c r="O745" s="96">
        <f t="shared" si="47"/>
        <v>4</v>
      </c>
      <c r="Q745" s="96"/>
      <c r="T745" s="110"/>
    </row>
    <row r="746" spans="3:20" x14ac:dyDescent="0.2">
      <c r="C746" s="96" t="str">
        <f t="shared" si="44"/>
        <v>GUD5</v>
      </c>
      <c r="D746" s="73" t="s">
        <v>140</v>
      </c>
      <c r="E746" s="100">
        <v>40611</v>
      </c>
      <c r="F746" s="101">
        <v>0.29149999999999998</v>
      </c>
      <c r="G746" s="96">
        <f t="shared" si="45"/>
        <v>5</v>
      </c>
      <c r="I746" s="96"/>
      <c r="K746" t="str">
        <f t="shared" si="46"/>
        <v>GUD5</v>
      </c>
      <c r="L746" s="73" t="s">
        <v>140</v>
      </c>
      <c r="M746" s="72">
        <v>40611</v>
      </c>
      <c r="N746" s="84">
        <v>0.29149999999999998</v>
      </c>
      <c r="O746" s="96">
        <f t="shared" si="47"/>
        <v>5</v>
      </c>
      <c r="Q746" s="96"/>
      <c r="T746" s="83"/>
    </row>
    <row r="747" spans="3:20" x14ac:dyDescent="0.2">
      <c r="C747" s="96" t="str">
        <f t="shared" si="44"/>
        <v>GUD6</v>
      </c>
      <c r="D747" s="73" t="s">
        <v>140</v>
      </c>
      <c r="E747" s="100">
        <v>40779</v>
      </c>
      <c r="F747" s="101">
        <v>0.32950000000000002</v>
      </c>
      <c r="G747" s="96">
        <f t="shared" si="45"/>
        <v>6</v>
      </c>
      <c r="I747" s="96"/>
      <c r="K747" t="str">
        <f t="shared" si="46"/>
        <v>GUD6</v>
      </c>
      <c r="L747" s="73" t="s">
        <v>140</v>
      </c>
      <c r="M747" s="72">
        <v>40779</v>
      </c>
      <c r="N747" s="84">
        <v>0.32950000000000002</v>
      </c>
      <c r="O747" s="96">
        <f t="shared" si="47"/>
        <v>6</v>
      </c>
      <c r="Q747" s="96"/>
      <c r="T747" s="110"/>
    </row>
    <row r="748" spans="3:20" x14ac:dyDescent="0.2">
      <c r="C748" s="96" t="str">
        <f t="shared" si="44"/>
        <v>GUD7</v>
      </c>
      <c r="D748" s="73" t="s">
        <v>140</v>
      </c>
      <c r="E748" s="100">
        <v>40977</v>
      </c>
      <c r="F748" s="101">
        <v>0.307</v>
      </c>
      <c r="G748" s="96">
        <f t="shared" si="45"/>
        <v>7</v>
      </c>
      <c r="I748" s="96"/>
      <c r="K748" t="str">
        <f t="shared" si="46"/>
        <v>GUD7</v>
      </c>
      <c r="L748" s="73" t="s">
        <v>140</v>
      </c>
      <c r="M748" s="72">
        <v>40977</v>
      </c>
      <c r="N748" s="84">
        <v>0.307</v>
      </c>
      <c r="O748" s="96">
        <f t="shared" si="47"/>
        <v>7</v>
      </c>
      <c r="Q748" s="96"/>
      <c r="T748" s="110"/>
    </row>
    <row r="749" spans="3:20" x14ac:dyDescent="0.2">
      <c r="C749" s="96" t="str">
        <f t="shared" si="44"/>
        <v>GUD8</v>
      </c>
      <c r="D749" s="73" t="s">
        <v>140</v>
      </c>
      <c r="E749" s="100">
        <v>41145</v>
      </c>
      <c r="F749" s="101">
        <v>0.34100000000000003</v>
      </c>
      <c r="G749" s="96">
        <f t="shared" si="45"/>
        <v>8</v>
      </c>
      <c r="I749" s="96"/>
      <c r="K749" t="str">
        <f t="shared" si="46"/>
        <v>GUD8</v>
      </c>
      <c r="L749" s="73" t="s">
        <v>140</v>
      </c>
      <c r="M749" s="72">
        <v>41145</v>
      </c>
      <c r="N749" s="84">
        <v>0.34100000000000003</v>
      </c>
      <c r="O749" s="96">
        <f t="shared" si="47"/>
        <v>8</v>
      </c>
      <c r="Q749" s="96"/>
      <c r="T749" s="110"/>
    </row>
    <row r="750" spans="3:20" x14ac:dyDescent="0.2">
      <c r="C750" s="96" t="str">
        <f t="shared" si="44"/>
        <v>GUD9</v>
      </c>
      <c r="D750" s="73" t="s">
        <v>140</v>
      </c>
      <c r="E750" s="100">
        <v>41344</v>
      </c>
      <c r="F750" s="101">
        <v>0.31459999999999999</v>
      </c>
      <c r="G750" s="96">
        <f t="shared" si="45"/>
        <v>9</v>
      </c>
      <c r="I750" s="96"/>
      <c r="K750" t="str">
        <f t="shared" si="46"/>
        <v>GUD9</v>
      </c>
      <c r="L750" s="73" t="s">
        <v>140</v>
      </c>
      <c r="M750" s="72">
        <v>41344</v>
      </c>
      <c r="N750" s="84">
        <v>0.31459999999999999</v>
      </c>
      <c r="O750" s="96">
        <f t="shared" si="47"/>
        <v>9</v>
      </c>
      <c r="Q750" s="96"/>
      <c r="T750" s="110"/>
    </row>
    <row r="751" spans="3:20" x14ac:dyDescent="0.2">
      <c r="C751" s="96" t="str">
        <f t="shared" si="44"/>
        <v>GUD10</v>
      </c>
      <c r="D751" s="73" t="s">
        <v>140</v>
      </c>
      <c r="E751" s="100">
        <v>41512</v>
      </c>
      <c r="F751" s="101">
        <v>0.34939999999999999</v>
      </c>
      <c r="G751" s="96">
        <f t="shared" si="45"/>
        <v>10</v>
      </c>
      <c r="I751" s="96"/>
      <c r="K751" t="str">
        <f t="shared" si="46"/>
        <v>GUD10</v>
      </c>
      <c r="L751" s="73" t="s">
        <v>140</v>
      </c>
      <c r="M751" s="72">
        <v>41512</v>
      </c>
      <c r="N751" s="84">
        <v>0.34939999999999999</v>
      </c>
      <c r="O751" s="96">
        <f t="shared" si="47"/>
        <v>10</v>
      </c>
      <c r="Q751" s="96"/>
      <c r="T751" s="110"/>
    </row>
    <row r="752" spans="3:20" x14ac:dyDescent="0.2">
      <c r="C752" s="96" t="str">
        <f t="shared" si="44"/>
        <v>GWT1</v>
      </c>
      <c r="D752" s="73" t="s">
        <v>141</v>
      </c>
      <c r="E752" s="100">
        <v>39876</v>
      </c>
      <c r="F752" s="101">
        <v>0.1</v>
      </c>
      <c r="G752" s="96">
        <f t="shared" si="45"/>
        <v>1</v>
      </c>
      <c r="I752" s="96"/>
      <c r="K752" t="str">
        <f t="shared" si="46"/>
        <v>GWT1</v>
      </c>
      <c r="L752" s="73" t="s">
        <v>141</v>
      </c>
      <c r="M752" s="72">
        <v>39876</v>
      </c>
      <c r="N752" s="84">
        <v>0.1</v>
      </c>
      <c r="O752" s="96">
        <f t="shared" si="47"/>
        <v>1</v>
      </c>
      <c r="Q752" s="96"/>
      <c r="T752" s="110"/>
    </row>
    <row r="753" spans="3:20" x14ac:dyDescent="0.2">
      <c r="C753" s="96" t="str">
        <f t="shared" si="44"/>
        <v>GWT2</v>
      </c>
      <c r="D753" s="73" t="s">
        <v>141</v>
      </c>
      <c r="E753" s="100">
        <v>40071</v>
      </c>
      <c r="F753" s="101">
        <v>0.08</v>
      </c>
      <c r="G753" s="96">
        <f t="shared" si="45"/>
        <v>2</v>
      </c>
      <c r="I753" s="96"/>
      <c r="K753" t="str">
        <f t="shared" si="46"/>
        <v>GWT2</v>
      </c>
      <c r="L753" s="73" t="s">
        <v>141</v>
      </c>
      <c r="M753" s="72">
        <v>40071</v>
      </c>
      <c r="N753" s="84">
        <v>0.08</v>
      </c>
      <c r="O753" s="96">
        <f t="shared" si="47"/>
        <v>2</v>
      </c>
      <c r="Q753" s="96"/>
      <c r="T753" s="110"/>
    </row>
    <row r="754" spans="3:20" x14ac:dyDescent="0.2">
      <c r="C754" s="96" t="str">
        <f t="shared" si="44"/>
        <v>GWT3</v>
      </c>
      <c r="D754" s="73" t="s">
        <v>141</v>
      </c>
      <c r="E754" s="100">
        <v>40242</v>
      </c>
      <c r="F754" s="101">
        <v>0.1017</v>
      </c>
      <c r="G754" s="96">
        <f t="shared" si="45"/>
        <v>3</v>
      </c>
      <c r="I754" s="96"/>
      <c r="K754" t="str">
        <f t="shared" si="46"/>
        <v>GWT3</v>
      </c>
      <c r="L754" s="73" t="s">
        <v>141</v>
      </c>
      <c r="M754" s="72">
        <v>40242</v>
      </c>
      <c r="N754" s="84">
        <v>0.1017</v>
      </c>
      <c r="O754" s="96">
        <f t="shared" si="47"/>
        <v>3</v>
      </c>
      <c r="Q754" s="96"/>
      <c r="T754" s="110"/>
    </row>
    <row r="755" spans="3:20" x14ac:dyDescent="0.2">
      <c r="C755" s="96" t="str">
        <f t="shared" si="44"/>
        <v>GWT4</v>
      </c>
      <c r="D755" s="73" t="s">
        <v>141</v>
      </c>
      <c r="E755" s="100">
        <v>40436</v>
      </c>
      <c r="F755" s="101">
        <v>8.1300000000000011E-2</v>
      </c>
      <c r="G755" s="96">
        <f t="shared" si="45"/>
        <v>4</v>
      </c>
      <c r="I755" s="96"/>
      <c r="K755" t="str">
        <f t="shared" si="46"/>
        <v>GWT4</v>
      </c>
      <c r="L755" s="73" t="s">
        <v>141</v>
      </c>
      <c r="M755" s="72">
        <v>40436</v>
      </c>
      <c r="N755" s="84">
        <v>8.1300000000000011E-2</v>
      </c>
      <c r="O755" s="96">
        <f t="shared" si="47"/>
        <v>4</v>
      </c>
      <c r="Q755" s="96"/>
      <c r="T755" s="110"/>
    </row>
    <row r="756" spans="3:20" x14ac:dyDescent="0.2">
      <c r="C756" s="96" t="str">
        <f t="shared" si="44"/>
        <v>GWT5</v>
      </c>
      <c r="D756" s="73" t="s">
        <v>141</v>
      </c>
      <c r="E756" s="100">
        <v>40609</v>
      </c>
      <c r="F756" s="101">
        <v>0.11779999999999999</v>
      </c>
      <c r="G756" s="96">
        <f t="shared" si="45"/>
        <v>5</v>
      </c>
      <c r="I756" s="96"/>
      <c r="K756" t="str">
        <f t="shared" si="46"/>
        <v>GWT5</v>
      </c>
      <c r="L756" s="73" t="s">
        <v>141</v>
      </c>
      <c r="M756" s="72">
        <v>40609</v>
      </c>
      <c r="N756" s="84">
        <v>0.11779999999999999</v>
      </c>
      <c r="O756" s="96">
        <f t="shared" si="47"/>
        <v>5</v>
      </c>
      <c r="Q756" s="96"/>
      <c r="T756" s="110"/>
    </row>
    <row r="757" spans="3:20" x14ac:dyDescent="0.2">
      <c r="C757" s="96" t="str">
        <f t="shared" si="44"/>
        <v>GWT6</v>
      </c>
      <c r="D757" s="73" t="s">
        <v>141</v>
      </c>
      <c r="E757" s="100">
        <v>40801</v>
      </c>
      <c r="F757" s="101">
        <v>9.4200000000000006E-2</v>
      </c>
      <c r="G757" s="96">
        <f t="shared" si="45"/>
        <v>6</v>
      </c>
      <c r="I757" s="96"/>
      <c r="K757" t="str">
        <f t="shared" si="46"/>
        <v>GWT6</v>
      </c>
      <c r="L757" s="73" t="s">
        <v>141</v>
      </c>
      <c r="M757" s="72">
        <v>40801</v>
      </c>
      <c r="N757" s="84">
        <v>9.4200000000000006E-2</v>
      </c>
      <c r="O757" s="96">
        <f t="shared" si="47"/>
        <v>6</v>
      </c>
      <c r="Q757" s="96"/>
      <c r="T757" s="110"/>
    </row>
    <row r="758" spans="3:20" x14ac:dyDescent="0.2">
      <c r="C758" s="96" t="str">
        <f t="shared" si="44"/>
        <v>GWT7</v>
      </c>
      <c r="D758" s="73" t="s">
        <v>141</v>
      </c>
      <c r="E758" s="100">
        <v>40974</v>
      </c>
      <c r="F758" s="101">
        <v>0.14000000000000001</v>
      </c>
      <c r="G758" s="96">
        <f t="shared" si="45"/>
        <v>7</v>
      </c>
      <c r="I758" s="96"/>
      <c r="K758" t="str">
        <f t="shared" si="46"/>
        <v>GWT7</v>
      </c>
      <c r="L758" s="73" t="s">
        <v>141</v>
      </c>
      <c r="M758" s="72">
        <v>40974</v>
      </c>
      <c r="N758" s="84">
        <v>0.14000000000000001</v>
      </c>
      <c r="O758" s="96">
        <f t="shared" si="47"/>
        <v>7</v>
      </c>
      <c r="Q758" s="96"/>
      <c r="T758" s="110"/>
    </row>
    <row r="759" spans="3:20" x14ac:dyDescent="0.2">
      <c r="C759" s="96" t="str">
        <f t="shared" si="44"/>
        <v>GWT8</v>
      </c>
      <c r="D759" s="73" t="s">
        <v>141</v>
      </c>
      <c r="E759" s="100">
        <v>41169</v>
      </c>
      <c r="F759" s="101">
        <v>0.11199999999999999</v>
      </c>
      <c r="G759" s="96">
        <f t="shared" si="45"/>
        <v>8</v>
      </c>
      <c r="I759" s="96"/>
      <c r="K759" t="str">
        <f t="shared" si="46"/>
        <v>GWT8</v>
      </c>
      <c r="L759" s="73" t="s">
        <v>141</v>
      </c>
      <c r="M759" s="72">
        <v>41169</v>
      </c>
      <c r="N759" s="84">
        <v>0.11199999999999999</v>
      </c>
      <c r="O759" s="96">
        <f t="shared" si="47"/>
        <v>8</v>
      </c>
      <c r="Q759" s="96"/>
      <c r="T759" s="110"/>
    </row>
    <row r="760" spans="3:20" x14ac:dyDescent="0.2">
      <c r="C760" s="96" t="str">
        <f t="shared" si="44"/>
        <v>GWT9</v>
      </c>
      <c r="D760" s="73" t="s">
        <v>141</v>
      </c>
      <c r="E760" s="100">
        <v>41339</v>
      </c>
      <c r="F760" s="101">
        <v>0.14779999999999999</v>
      </c>
      <c r="G760" s="96">
        <f t="shared" si="45"/>
        <v>9</v>
      </c>
      <c r="I760" s="96"/>
      <c r="K760" t="str">
        <f t="shared" si="46"/>
        <v>GWT9</v>
      </c>
      <c r="L760" s="73" t="s">
        <v>141</v>
      </c>
      <c r="M760" s="72">
        <v>41339</v>
      </c>
      <c r="N760" s="84">
        <v>0.14779999999999999</v>
      </c>
      <c r="O760" s="96">
        <f t="shared" si="47"/>
        <v>9</v>
      </c>
      <c r="Q760" s="96"/>
      <c r="T760" s="110"/>
    </row>
    <row r="761" spans="3:20" x14ac:dyDescent="0.2">
      <c r="C761" s="96" t="str">
        <f t="shared" si="44"/>
        <v>GWT10</v>
      </c>
      <c r="D761" s="73" t="s">
        <v>141</v>
      </c>
      <c r="E761" s="100">
        <v>41534</v>
      </c>
      <c r="F761" s="101">
        <v>0.1182</v>
      </c>
      <c r="G761" s="96">
        <f t="shared" si="45"/>
        <v>10</v>
      </c>
      <c r="I761" s="96"/>
      <c r="K761" t="str">
        <f t="shared" si="46"/>
        <v>GWT10</v>
      </c>
      <c r="L761" s="73" t="s">
        <v>141</v>
      </c>
      <c r="M761" s="72">
        <v>41534</v>
      </c>
      <c r="N761" s="84">
        <v>0.1182</v>
      </c>
      <c r="O761" s="96">
        <f t="shared" si="47"/>
        <v>10</v>
      </c>
      <c r="Q761" s="96"/>
      <c r="T761" s="110"/>
    </row>
    <row r="762" spans="3:20" x14ac:dyDescent="0.2">
      <c r="C762" s="96" t="str">
        <f t="shared" si="44"/>
        <v>HDF1</v>
      </c>
      <c r="D762" s="73" t="s">
        <v>142</v>
      </c>
      <c r="E762" s="100">
        <v>39897</v>
      </c>
      <c r="F762" s="101">
        <v>7.1300000000000002E-2</v>
      </c>
      <c r="G762" s="96">
        <f t="shared" si="45"/>
        <v>1</v>
      </c>
      <c r="I762" s="96"/>
      <c r="K762" t="str">
        <f t="shared" si="46"/>
        <v>HDF1</v>
      </c>
      <c r="L762" s="73" t="s">
        <v>142</v>
      </c>
      <c r="M762" s="72">
        <v>39897</v>
      </c>
      <c r="N762" s="84">
        <v>7.1300000000000002E-2</v>
      </c>
      <c r="O762" s="96">
        <f t="shared" si="47"/>
        <v>1</v>
      </c>
      <c r="Q762" s="96"/>
      <c r="T762" s="110"/>
    </row>
    <row r="763" spans="3:20" x14ac:dyDescent="0.2">
      <c r="C763" s="96" t="str">
        <f t="shared" si="44"/>
        <v>HDF2</v>
      </c>
      <c r="D763" s="73" t="s">
        <v>142</v>
      </c>
      <c r="E763" s="100">
        <v>39988</v>
      </c>
      <c r="F763" s="101">
        <v>7.1300000000000002E-2</v>
      </c>
      <c r="G763" s="96">
        <f t="shared" si="45"/>
        <v>2</v>
      </c>
      <c r="I763" s="96"/>
      <c r="K763" t="str">
        <f t="shared" si="46"/>
        <v>HDF2</v>
      </c>
      <c r="L763" s="73" t="s">
        <v>142</v>
      </c>
      <c r="M763" s="72">
        <v>39988</v>
      </c>
      <c r="N763" s="84">
        <v>7.1300000000000002E-2</v>
      </c>
      <c r="O763" s="96">
        <f t="shared" si="47"/>
        <v>2</v>
      </c>
      <c r="Q763" s="96"/>
      <c r="T763" s="110"/>
    </row>
    <row r="764" spans="3:20" x14ac:dyDescent="0.2">
      <c r="C764" s="96" t="str">
        <f t="shared" si="44"/>
        <v>HDF3</v>
      </c>
      <c r="D764" s="73" t="s">
        <v>142</v>
      </c>
      <c r="E764" s="100">
        <v>40080</v>
      </c>
      <c r="F764" s="101">
        <v>7.1300000000000002E-2</v>
      </c>
      <c r="G764" s="96">
        <f t="shared" si="45"/>
        <v>3</v>
      </c>
      <c r="I764" s="96"/>
      <c r="K764" t="str">
        <f t="shared" si="46"/>
        <v>HDF3</v>
      </c>
      <c r="L764" s="73" t="s">
        <v>142</v>
      </c>
      <c r="M764" s="72">
        <v>40080</v>
      </c>
      <c r="N764" s="84">
        <v>7.1300000000000002E-2</v>
      </c>
      <c r="O764" s="96">
        <f t="shared" si="47"/>
        <v>3</v>
      </c>
      <c r="Q764" s="96"/>
      <c r="T764" s="110"/>
    </row>
    <row r="765" spans="3:20" x14ac:dyDescent="0.2">
      <c r="C765" s="96" t="str">
        <f t="shared" si="44"/>
        <v>HDF4</v>
      </c>
      <c r="D765" s="73" t="s">
        <v>142</v>
      </c>
      <c r="E765" s="100">
        <v>40170</v>
      </c>
      <c r="F765" s="101">
        <v>7.1300000000000002E-2</v>
      </c>
      <c r="G765" s="96">
        <f t="shared" si="45"/>
        <v>4</v>
      </c>
      <c r="I765" s="96"/>
      <c r="K765" t="str">
        <f t="shared" si="46"/>
        <v>HDF4</v>
      </c>
      <c r="L765" s="73" t="s">
        <v>142</v>
      </c>
      <c r="M765" s="72">
        <v>40170</v>
      </c>
      <c r="N765" s="84">
        <v>7.1300000000000002E-2</v>
      </c>
      <c r="O765" s="96">
        <f t="shared" si="47"/>
        <v>4</v>
      </c>
      <c r="Q765" s="96"/>
      <c r="T765" s="110"/>
    </row>
    <row r="766" spans="3:20" x14ac:dyDescent="0.2">
      <c r="C766" s="96" t="str">
        <f t="shared" si="44"/>
        <v>HDF5</v>
      </c>
      <c r="D766" s="73" t="s">
        <v>142</v>
      </c>
      <c r="E766" s="100">
        <v>40262</v>
      </c>
      <c r="F766" s="101">
        <v>7.3499999999999996E-2</v>
      </c>
      <c r="G766" s="96">
        <f t="shared" si="45"/>
        <v>5</v>
      </c>
      <c r="I766" s="96"/>
      <c r="K766" t="str">
        <f t="shared" si="46"/>
        <v>HDF5</v>
      </c>
      <c r="L766" s="73" t="s">
        <v>142</v>
      </c>
      <c r="M766" s="72">
        <v>40262</v>
      </c>
      <c r="N766" s="84">
        <v>7.3499999999999996E-2</v>
      </c>
      <c r="O766" s="96">
        <f t="shared" si="47"/>
        <v>5</v>
      </c>
      <c r="Q766" s="96"/>
      <c r="T766" s="110"/>
    </row>
    <row r="767" spans="3:20" x14ac:dyDescent="0.2">
      <c r="C767" s="96" t="str">
        <f t="shared" si="44"/>
        <v>HDF6</v>
      </c>
      <c r="D767" s="73" t="s">
        <v>142</v>
      </c>
      <c r="E767" s="100">
        <v>40353</v>
      </c>
      <c r="F767" s="101">
        <v>7.3499999999999996E-2</v>
      </c>
      <c r="G767" s="96">
        <f t="shared" si="45"/>
        <v>6</v>
      </c>
      <c r="I767" s="96"/>
      <c r="K767" t="str">
        <f t="shared" si="46"/>
        <v>HDF6</v>
      </c>
      <c r="L767" s="73" t="s">
        <v>142</v>
      </c>
      <c r="M767" s="72">
        <v>40353</v>
      </c>
      <c r="N767" s="84">
        <v>7.3499999999999996E-2</v>
      </c>
      <c r="O767" s="96">
        <f t="shared" si="47"/>
        <v>6</v>
      </c>
      <c r="Q767" s="96"/>
      <c r="T767" s="110"/>
    </row>
    <row r="768" spans="3:20" x14ac:dyDescent="0.2">
      <c r="C768" s="96" t="str">
        <f t="shared" si="44"/>
        <v>HDF7</v>
      </c>
      <c r="D768" s="73" t="s">
        <v>142</v>
      </c>
      <c r="E768" s="100">
        <v>40445</v>
      </c>
      <c r="F768" s="101">
        <v>7.3499999999999996E-2</v>
      </c>
      <c r="G768" s="96">
        <f t="shared" si="45"/>
        <v>7</v>
      </c>
      <c r="I768" s="96"/>
      <c r="K768" t="str">
        <f t="shared" si="46"/>
        <v>HDF7</v>
      </c>
      <c r="L768" s="73" t="s">
        <v>142</v>
      </c>
      <c r="M768" s="72">
        <v>40445</v>
      </c>
      <c r="N768" s="84">
        <v>7.3499999999999996E-2</v>
      </c>
      <c r="O768" s="96">
        <f t="shared" si="47"/>
        <v>7</v>
      </c>
      <c r="Q768" s="96"/>
      <c r="T768" s="110"/>
    </row>
    <row r="769" spans="3:20" x14ac:dyDescent="0.2">
      <c r="C769" s="96" t="str">
        <f t="shared" si="44"/>
        <v>HDF8</v>
      </c>
      <c r="D769" s="73" t="s">
        <v>142</v>
      </c>
      <c r="E769" s="100">
        <v>40535</v>
      </c>
      <c r="F769" s="101">
        <v>7.3499999999999996E-2</v>
      </c>
      <c r="G769" s="96">
        <f t="shared" si="45"/>
        <v>8</v>
      </c>
      <c r="I769" s="96"/>
      <c r="K769" t="str">
        <f t="shared" si="46"/>
        <v>HDF8</v>
      </c>
      <c r="L769" s="73" t="s">
        <v>142</v>
      </c>
      <c r="M769" s="72">
        <v>40535</v>
      </c>
      <c r="N769" s="84">
        <v>7.3499999999999996E-2</v>
      </c>
      <c r="O769" s="96">
        <f t="shared" si="47"/>
        <v>8</v>
      </c>
      <c r="Q769" s="96"/>
      <c r="T769" s="110"/>
    </row>
    <row r="770" spans="3:20" x14ac:dyDescent="0.2">
      <c r="C770" s="96" t="str">
        <f t="shared" si="44"/>
        <v>HDF9</v>
      </c>
      <c r="D770" s="73" t="s">
        <v>142</v>
      </c>
      <c r="E770" s="100">
        <v>40627</v>
      </c>
      <c r="F770" s="101">
        <v>7.6499999999999999E-2</v>
      </c>
      <c r="G770" s="96">
        <f t="shared" si="45"/>
        <v>9</v>
      </c>
      <c r="I770" s="96"/>
      <c r="K770" t="str">
        <f t="shared" si="46"/>
        <v>HDF9</v>
      </c>
      <c r="L770" s="73" t="s">
        <v>142</v>
      </c>
      <c r="M770" s="72">
        <v>40627</v>
      </c>
      <c r="N770" s="84">
        <v>7.6499999999999999E-2</v>
      </c>
      <c r="O770" s="96">
        <f t="shared" si="47"/>
        <v>9</v>
      </c>
      <c r="Q770" s="96"/>
      <c r="T770" s="110"/>
    </row>
    <row r="771" spans="3:20" x14ac:dyDescent="0.2">
      <c r="C771" s="96" t="str">
        <f t="shared" ref="C771:C834" si="48">D771&amp;G771</f>
        <v>HDF10</v>
      </c>
      <c r="D771" s="73" t="s">
        <v>142</v>
      </c>
      <c r="E771" s="100">
        <v>40718</v>
      </c>
      <c r="F771" s="101">
        <v>7.6499999999999999E-2</v>
      </c>
      <c r="G771" s="96">
        <f t="shared" ref="G771:G834" si="49">IF(D771&lt;&gt;D770,1,G770+1)</f>
        <v>10</v>
      </c>
      <c r="I771" s="96"/>
      <c r="K771" t="str">
        <f t="shared" ref="K771:K834" si="50">L771&amp;O771</f>
        <v>HDF10</v>
      </c>
      <c r="L771" s="73" t="s">
        <v>142</v>
      </c>
      <c r="M771" s="72">
        <v>40718</v>
      </c>
      <c r="N771" s="84">
        <v>7.6499999999999999E-2</v>
      </c>
      <c r="O771" s="96">
        <f t="shared" ref="O771:O834" si="51">IF(L771&lt;&gt;L770,1,O770+1)</f>
        <v>10</v>
      </c>
      <c r="Q771" s="96"/>
      <c r="T771" s="110"/>
    </row>
    <row r="772" spans="3:20" x14ac:dyDescent="0.2">
      <c r="C772" s="96" t="str">
        <f t="shared" si="48"/>
        <v>HDF11</v>
      </c>
      <c r="D772" s="73" t="s">
        <v>142</v>
      </c>
      <c r="E772" s="100">
        <v>40812</v>
      </c>
      <c r="F772" s="101">
        <v>7.6499999999999999E-2</v>
      </c>
      <c r="G772" s="96">
        <f t="shared" si="49"/>
        <v>11</v>
      </c>
      <c r="I772" s="96"/>
      <c r="K772" t="str">
        <f t="shared" si="50"/>
        <v>HDF11</v>
      </c>
      <c r="L772" s="73" t="s">
        <v>142</v>
      </c>
      <c r="M772" s="72">
        <v>40812</v>
      </c>
      <c r="N772" s="84">
        <v>7.6499999999999999E-2</v>
      </c>
      <c r="O772" s="96">
        <f t="shared" si="51"/>
        <v>11</v>
      </c>
      <c r="Q772" s="96"/>
      <c r="T772" s="110"/>
    </row>
    <row r="773" spans="3:20" x14ac:dyDescent="0.2">
      <c r="C773" s="96" t="str">
        <f t="shared" si="48"/>
        <v>HDF12</v>
      </c>
      <c r="D773" s="73" t="s">
        <v>142</v>
      </c>
      <c r="E773" s="100">
        <v>40899</v>
      </c>
      <c r="F773" s="101">
        <v>7.6499999999999999E-2</v>
      </c>
      <c r="G773" s="96">
        <f t="shared" si="49"/>
        <v>12</v>
      </c>
      <c r="I773" s="96"/>
      <c r="K773" t="str">
        <f t="shared" si="50"/>
        <v>HDF12</v>
      </c>
      <c r="L773" s="73" t="s">
        <v>142</v>
      </c>
      <c r="M773" s="72">
        <v>40899</v>
      </c>
      <c r="N773" s="84">
        <v>7.6499999999999999E-2</v>
      </c>
      <c r="O773" s="96">
        <f t="shared" si="51"/>
        <v>12</v>
      </c>
      <c r="Q773" s="96"/>
      <c r="T773" s="110"/>
    </row>
    <row r="774" spans="3:20" x14ac:dyDescent="0.2">
      <c r="C774" s="96" t="str">
        <f t="shared" si="48"/>
        <v>HDF13</v>
      </c>
      <c r="D774" s="73" t="s">
        <v>142</v>
      </c>
      <c r="E774" s="100">
        <v>40994</v>
      </c>
      <c r="F774" s="101">
        <v>7.9199999999999993E-2</v>
      </c>
      <c r="G774" s="96">
        <f t="shared" si="49"/>
        <v>13</v>
      </c>
      <c r="I774" s="96"/>
      <c r="K774" t="str">
        <f t="shared" si="50"/>
        <v>HDF13</v>
      </c>
      <c r="L774" s="73" t="s">
        <v>142</v>
      </c>
      <c r="M774" s="72">
        <v>40994</v>
      </c>
      <c r="N774" s="84">
        <v>7.9199999999999993E-2</v>
      </c>
      <c r="O774" s="96">
        <f t="shared" si="51"/>
        <v>13</v>
      </c>
      <c r="Q774" s="96"/>
      <c r="T774" s="110"/>
    </row>
    <row r="775" spans="3:20" x14ac:dyDescent="0.2">
      <c r="C775" s="96" t="str">
        <f t="shared" si="48"/>
        <v>HDF14</v>
      </c>
      <c r="D775" s="73" t="s">
        <v>142</v>
      </c>
      <c r="E775" s="100">
        <v>41085</v>
      </c>
      <c r="F775" s="101">
        <v>7.9199999999999993E-2</v>
      </c>
      <c r="G775" s="96">
        <f t="shared" si="49"/>
        <v>14</v>
      </c>
      <c r="I775" s="96"/>
      <c r="K775" t="str">
        <f t="shared" si="50"/>
        <v>HDF14</v>
      </c>
      <c r="L775" s="73" t="s">
        <v>142</v>
      </c>
      <c r="M775" s="72">
        <v>41085</v>
      </c>
      <c r="N775" s="84">
        <v>7.9199999999999993E-2</v>
      </c>
      <c r="O775" s="96">
        <f t="shared" si="51"/>
        <v>14</v>
      </c>
      <c r="Q775" s="96"/>
      <c r="T775" s="110"/>
    </row>
    <row r="776" spans="3:20" x14ac:dyDescent="0.2">
      <c r="C776" s="96" t="str">
        <f t="shared" si="48"/>
        <v>HDF15</v>
      </c>
      <c r="D776" s="73" t="s">
        <v>142</v>
      </c>
      <c r="E776" s="100">
        <v>41176</v>
      </c>
      <c r="F776" s="101">
        <v>7.9199999999999993E-2</v>
      </c>
      <c r="G776" s="96">
        <f t="shared" si="49"/>
        <v>15</v>
      </c>
      <c r="I776" s="96"/>
      <c r="K776" t="str">
        <f t="shared" si="50"/>
        <v>HDF15</v>
      </c>
      <c r="L776" s="73" t="s">
        <v>142</v>
      </c>
      <c r="M776" s="72">
        <v>41176</v>
      </c>
      <c r="N776" s="84">
        <v>7.9199999999999993E-2</v>
      </c>
      <c r="O776" s="96">
        <f t="shared" si="51"/>
        <v>15</v>
      </c>
      <c r="Q776" s="96"/>
      <c r="T776" s="110"/>
    </row>
    <row r="777" spans="3:20" x14ac:dyDescent="0.2">
      <c r="C777" s="96" t="str">
        <f t="shared" si="48"/>
        <v>HDF16</v>
      </c>
      <c r="D777" s="73" t="s">
        <v>142</v>
      </c>
      <c r="E777" s="100">
        <v>41264</v>
      </c>
      <c r="F777" s="101">
        <v>7.9399999999999998E-2</v>
      </c>
      <c r="G777" s="96">
        <f t="shared" si="49"/>
        <v>16</v>
      </c>
      <c r="I777" s="96"/>
      <c r="K777" t="str">
        <f t="shared" si="50"/>
        <v>HDF16</v>
      </c>
      <c r="L777" s="73" t="s">
        <v>142</v>
      </c>
      <c r="M777" s="72">
        <v>41264</v>
      </c>
      <c r="N777" s="84">
        <v>7.9399999999999998E-2</v>
      </c>
      <c r="O777" s="96">
        <f t="shared" si="51"/>
        <v>16</v>
      </c>
      <c r="Q777" s="96"/>
      <c r="T777" s="110"/>
    </row>
    <row r="778" spans="3:20" x14ac:dyDescent="0.2">
      <c r="C778" s="96" t="str">
        <f t="shared" si="48"/>
        <v>HFA1</v>
      </c>
      <c r="D778" s="73" t="s">
        <v>143</v>
      </c>
      <c r="E778" s="100">
        <v>39888</v>
      </c>
      <c r="F778" s="101">
        <v>2.6000000000000002E-2</v>
      </c>
      <c r="G778" s="96">
        <f t="shared" si="49"/>
        <v>1</v>
      </c>
      <c r="I778" s="96"/>
      <c r="K778" t="str">
        <f t="shared" si="50"/>
        <v>HFA1</v>
      </c>
      <c r="L778" s="73" t="s">
        <v>143</v>
      </c>
      <c r="M778" s="72">
        <v>39888</v>
      </c>
      <c r="N778" s="84">
        <v>2.6000000000000002E-2</v>
      </c>
      <c r="O778" s="96">
        <f t="shared" si="51"/>
        <v>1</v>
      </c>
      <c r="Q778" s="96"/>
      <c r="T778" s="110"/>
    </row>
    <row r="779" spans="3:20" x14ac:dyDescent="0.2">
      <c r="C779" s="96" t="str">
        <f t="shared" si="48"/>
        <v>HFA2</v>
      </c>
      <c r="D779" s="73" t="s">
        <v>143</v>
      </c>
      <c r="E779" s="100">
        <v>40064</v>
      </c>
      <c r="F779" s="101">
        <v>4.4999999999999998E-2</v>
      </c>
      <c r="G779" s="96">
        <f t="shared" si="49"/>
        <v>2</v>
      </c>
      <c r="I779" s="96"/>
      <c r="K779" t="str">
        <f t="shared" si="50"/>
        <v>HFA2</v>
      </c>
      <c r="L779" s="73" t="s">
        <v>143</v>
      </c>
      <c r="M779" s="72">
        <v>40064</v>
      </c>
      <c r="N779" s="84">
        <v>4.4999999999999998E-2</v>
      </c>
      <c r="O779" s="96">
        <f t="shared" si="51"/>
        <v>2</v>
      </c>
      <c r="Q779" s="96"/>
      <c r="T779" s="110"/>
    </row>
    <row r="780" spans="3:20" x14ac:dyDescent="0.2">
      <c r="C780" s="96" t="str">
        <f t="shared" si="48"/>
        <v>HFA3</v>
      </c>
      <c r="D780" s="73" t="s">
        <v>143</v>
      </c>
      <c r="E780" s="100">
        <v>40253</v>
      </c>
      <c r="F780" s="101">
        <v>3.2000000000000001E-2</v>
      </c>
      <c r="G780" s="96">
        <f t="shared" si="49"/>
        <v>3</v>
      </c>
      <c r="I780" s="96"/>
      <c r="K780" t="str">
        <f t="shared" si="50"/>
        <v>HFA3</v>
      </c>
      <c r="L780" s="73" t="s">
        <v>143</v>
      </c>
      <c r="M780" s="72">
        <v>40253</v>
      </c>
      <c r="N780" s="84">
        <v>3.2000000000000001E-2</v>
      </c>
      <c r="O780" s="96">
        <f t="shared" si="51"/>
        <v>3</v>
      </c>
      <c r="Q780" s="96"/>
      <c r="T780" s="110"/>
    </row>
    <row r="781" spans="3:20" x14ac:dyDescent="0.2">
      <c r="C781" s="96" t="str">
        <f t="shared" si="48"/>
        <v>HFA4</v>
      </c>
      <c r="D781" s="73" t="s">
        <v>143</v>
      </c>
      <c r="E781" s="100">
        <v>40429</v>
      </c>
      <c r="F781" s="101">
        <v>6.8000000000000005E-2</v>
      </c>
      <c r="G781" s="96">
        <f t="shared" si="49"/>
        <v>4</v>
      </c>
      <c r="I781" s="96"/>
      <c r="K781" t="str">
        <f t="shared" si="50"/>
        <v>HFA4</v>
      </c>
      <c r="L781" s="73" t="s">
        <v>143</v>
      </c>
      <c r="M781" s="72">
        <v>40429</v>
      </c>
      <c r="N781" s="84">
        <v>6.8000000000000005E-2</v>
      </c>
      <c r="O781" s="96">
        <f t="shared" si="51"/>
        <v>4</v>
      </c>
      <c r="Q781" s="96"/>
      <c r="T781" s="110"/>
    </row>
    <row r="782" spans="3:20" x14ac:dyDescent="0.2">
      <c r="C782" s="96" t="str">
        <f t="shared" si="48"/>
        <v>HFA5</v>
      </c>
      <c r="D782" s="73" t="s">
        <v>143</v>
      </c>
      <c r="E782" s="100">
        <v>40618</v>
      </c>
      <c r="F782" s="101">
        <v>3.3000000000000002E-2</v>
      </c>
      <c r="G782" s="96">
        <f t="shared" si="49"/>
        <v>5</v>
      </c>
      <c r="I782" s="96"/>
      <c r="K782" t="str">
        <f t="shared" si="50"/>
        <v>HFA5</v>
      </c>
      <c r="L782" s="73" t="s">
        <v>143</v>
      </c>
      <c r="M782" s="72">
        <v>40618</v>
      </c>
      <c r="N782" s="84">
        <v>3.3000000000000002E-2</v>
      </c>
      <c r="O782" s="96">
        <f t="shared" si="51"/>
        <v>5</v>
      </c>
      <c r="Q782" s="96"/>
      <c r="T782" s="110"/>
    </row>
    <row r="783" spans="3:20" x14ac:dyDescent="0.2">
      <c r="C783" s="96" t="str">
        <f t="shared" si="48"/>
        <v>HFA6</v>
      </c>
      <c r="D783" s="73" t="s">
        <v>143</v>
      </c>
      <c r="E783" s="100">
        <v>40794</v>
      </c>
      <c r="F783" s="101">
        <v>6.9000000000000006E-2</v>
      </c>
      <c r="G783" s="96">
        <f t="shared" si="49"/>
        <v>6</v>
      </c>
      <c r="I783" s="96"/>
      <c r="K783" t="str">
        <f t="shared" si="50"/>
        <v>HFA6</v>
      </c>
      <c r="L783" s="73" t="s">
        <v>143</v>
      </c>
      <c r="M783" s="72">
        <v>40794</v>
      </c>
      <c r="N783" s="84">
        <v>6.9000000000000006E-2</v>
      </c>
      <c r="O783" s="96">
        <f t="shared" si="51"/>
        <v>6</v>
      </c>
      <c r="Q783" s="96"/>
      <c r="T783" s="110"/>
    </row>
    <row r="784" spans="3:20" x14ac:dyDescent="0.2">
      <c r="C784" s="96" t="str">
        <f t="shared" si="48"/>
        <v>HFA7</v>
      </c>
      <c r="D784" s="73" t="s">
        <v>143</v>
      </c>
      <c r="E784" s="100">
        <v>40984</v>
      </c>
      <c r="F784" s="101">
        <v>3.5000000000000003E-2</v>
      </c>
      <c r="G784" s="96">
        <f t="shared" si="49"/>
        <v>7</v>
      </c>
      <c r="I784" s="96"/>
      <c r="K784" t="str">
        <f t="shared" si="50"/>
        <v>HFA7</v>
      </c>
      <c r="L784" s="73" t="s">
        <v>143</v>
      </c>
      <c r="M784" s="72">
        <v>40984</v>
      </c>
      <c r="N784" s="84">
        <v>3.5000000000000003E-2</v>
      </c>
      <c r="O784" s="96">
        <f t="shared" si="51"/>
        <v>7</v>
      </c>
      <c r="Q784" s="96"/>
      <c r="T784" s="110"/>
    </row>
    <row r="785" spans="3:20" x14ac:dyDescent="0.2">
      <c r="C785" s="96" t="str">
        <f t="shared" si="48"/>
        <v>HFA8</v>
      </c>
      <c r="D785" s="73" t="s">
        <v>143</v>
      </c>
      <c r="E785" s="100">
        <v>41162</v>
      </c>
      <c r="F785" s="101">
        <v>7.0000000000000007E-2</v>
      </c>
      <c r="G785" s="96">
        <f t="shared" si="49"/>
        <v>8</v>
      </c>
      <c r="I785" s="96"/>
      <c r="K785" t="str">
        <f t="shared" si="50"/>
        <v>HFA8</v>
      </c>
      <c r="L785" s="73" t="s">
        <v>143</v>
      </c>
      <c r="M785" s="72">
        <v>41162</v>
      </c>
      <c r="N785" s="84">
        <v>7.0000000000000007E-2</v>
      </c>
      <c r="O785" s="96">
        <f t="shared" si="51"/>
        <v>8</v>
      </c>
      <c r="Q785" s="96"/>
      <c r="T785" s="110"/>
    </row>
    <row r="786" spans="3:20" x14ac:dyDescent="0.2">
      <c r="C786" s="96" t="str">
        <f t="shared" si="48"/>
        <v>HFA9</v>
      </c>
      <c r="D786" s="73" t="s">
        <v>143</v>
      </c>
      <c r="E786" s="100">
        <v>41351</v>
      </c>
      <c r="F786" s="101">
        <v>3.7999999999999999E-2</v>
      </c>
      <c r="G786" s="96">
        <f t="shared" si="49"/>
        <v>9</v>
      </c>
      <c r="I786" s="96"/>
      <c r="K786" t="str">
        <f t="shared" si="50"/>
        <v>HFA9</v>
      </c>
      <c r="L786" s="73" t="s">
        <v>143</v>
      </c>
      <c r="M786" s="72">
        <v>41351</v>
      </c>
      <c r="N786" s="84">
        <v>3.7999999999999999E-2</v>
      </c>
      <c r="O786" s="96">
        <f t="shared" si="51"/>
        <v>9</v>
      </c>
      <c r="Q786" s="96"/>
      <c r="T786" s="110"/>
    </row>
    <row r="787" spans="3:20" x14ac:dyDescent="0.2">
      <c r="C787" s="96" t="str">
        <f t="shared" si="48"/>
        <v>HFA10</v>
      </c>
      <c r="D787" s="73" t="s">
        <v>143</v>
      </c>
      <c r="E787" s="100">
        <v>41527</v>
      </c>
      <c r="F787" s="101">
        <v>7.4999999999999997E-2</v>
      </c>
      <c r="G787" s="96">
        <f t="shared" si="49"/>
        <v>10</v>
      </c>
      <c r="I787" s="96"/>
      <c r="K787" t="str">
        <f t="shared" si="50"/>
        <v>HFA10</v>
      </c>
      <c r="L787" s="73" t="s">
        <v>143</v>
      </c>
      <c r="M787" s="72">
        <v>41527</v>
      </c>
      <c r="N787" s="84">
        <v>7.4999999999999997E-2</v>
      </c>
      <c r="O787" s="96">
        <f t="shared" si="51"/>
        <v>10</v>
      </c>
      <c r="Q787" s="96"/>
      <c r="T787" s="110"/>
    </row>
    <row r="788" spans="3:20" x14ac:dyDescent="0.2">
      <c r="C788" s="96" t="str">
        <f t="shared" si="48"/>
        <v>HGG1</v>
      </c>
      <c r="D788" s="73" t="s">
        <v>250</v>
      </c>
      <c r="E788" s="100">
        <v>39923</v>
      </c>
      <c r="F788" s="101">
        <v>3.85E-2</v>
      </c>
      <c r="G788" s="96">
        <f t="shared" si="49"/>
        <v>1</v>
      </c>
      <c r="I788" s="96"/>
      <c r="K788" t="str">
        <f t="shared" si="50"/>
        <v>HGG1</v>
      </c>
      <c r="L788" s="73" t="s">
        <v>250</v>
      </c>
      <c r="M788" s="72">
        <v>39923</v>
      </c>
      <c r="N788" s="84">
        <v>3.85E-2</v>
      </c>
      <c r="O788" s="96">
        <f t="shared" si="51"/>
        <v>1</v>
      </c>
      <c r="Q788" s="96"/>
      <c r="T788" s="110"/>
    </row>
    <row r="789" spans="3:20" x14ac:dyDescent="0.2">
      <c r="C789" s="96" t="str">
        <f t="shared" si="48"/>
        <v>HGG2</v>
      </c>
      <c r="D789" s="73" t="s">
        <v>250</v>
      </c>
      <c r="E789" s="100">
        <v>40098</v>
      </c>
      <c r="F789" s="101">
        <v>1.72E-2</v>
      </c>
      <c r="G789" s="96">
        <f t="shared" si="49"/>
        <v>2</v>
      </c>
      <c r="I789" s="96"/>
      <c r="K789" t="str">
        <f t="shared" si="50"/>
        <v>HGG2</v>
      </c>
      <c r="L789" s="73" t="s">
        <v>250</v>
      </c>
      <c r="M789" s="72">
        <v>40098</v>
      </c>
      <c r="N789" s="84">
        <v>1.72E-2</v>
      </c>
      <c r="O789" s="96">
        <f t="shared" si="51"/>
        <v>2</v>
      </c>
      <c r="Q789" s="96"/>
      <c r="T789" s="110"/>
    </row>
    <row r="790" spans="3:20" x14ac:dyDescent="0.2">
      <c r="C790" s="96" t="str">
        <f t="shared" si="48"/>
        <v>HGG3</v>
      </c>
      <c r="D790" s="73" t="s">
        <v>250</v>
      </c>
      <c r="E790" s="100">
        <v>40294</v>
      </c>
      <c r="F790" s="101">
        <v>3.5799999999999998E-2</v>
      </c>
      <c r="G790" s="96">
        <f t="shared" si="49"/>
        <v>3</v>
      </c>
      <c r="I790" s="96"/>
      <c r="K790" t="str">
        <f t="shared" si="50"/>
        <v>HGG3</v>
      </c>
      <c r="L790" s="73" t="s">
        <v>250</v>
      </c>
      <c r="M790" s="72">
        <v>40294</v>
      </c>
      <c r="N790" s="84">
        <v>3.5799999999999998E-2</v>
      </c>
      <c r="O790" s="96">
        <f t="shared" si="51"/>
        <v>3</v>
      </c>
      <c r="Q790" s="96"/>
      <c r="T790" s="110"/>
    </row>
    <row r="791" spans="3:20" x14ac:dyDescent="0.2">
      <c r="C791" s="96" t="str">
        <f t="shared" si="48"/>
        <v>HGG4</v>
      </c>
      <c r="D791" s="73" t="s">
        <v>250</v>
      </c>
      <c r="E791" s="100">
        <v>40462</v>
      </c>
      <c r="F791" s="101">
        <v>2.06E-2</v>
      </c>
      <c r="G791" s="96">
        <f t="shared" si="49"/>
        <v>4</v>
      </c>
      <c r="I791" s="96"/>
      <c r="K791" t="str">
        <f t="shared" si="50"/>
        <v>HGG4</v>
      </c>
      <c r="L791" s="73" t="s">
        <v>250</v>
      </c>
      <c r="M791" s="72">
        <v>40462</v>
      </c>
      <c r="N791" s="84">
        <v>2.06E-2</v>
      </c>
      <c r="O791" s="96">
        <f t="shared" si="51"/>
        <v>4</v>
      </c>
      <c r="Q791" s="96"/>
      <c r="T791" s="110"/>
    </row>
    <row r="792" spans="3:20" x14ac:dyDescent="0.2">
      <c r="C792" s="96" t="str">
        <f t="shared" si="48"/>
        <v>HGG5</v>
      </c>
      <c r="D792" s="73" t="s">
        <v>250</v>
      </c>
      <c r="E792" s="100">
        <v>40658</v>
      </c>
      <c r="F792" s="101">
        <v>4.2800000000000005E-2</v>
      </c>
      <c r="G792" s="96">
        <f t="shared" si="49"/>
        <v>5</v>
      </c>
      <c r="I792" s="96"/>
      <c r="K792" t="str">
        <f t="shared" si="50"/>
        <v>HGG5</v>
      </c>
      <c r="L792" s="73" t="s">
        <v>250</v>
      </c>
      <c r="M792" s="72">
        <v>40658</v>
      </c>
      <c r="N792" s="84">
        <v>4.2800000000000005E-2</v>
      </c>
      <c r="O792" s="96">
        <f t="shared" si="51"/>
        <v>5</v>
      </c>
      <c r="Q792" s="96"/>
      <c r="T792" s="110"/>
    </row>
    <row r="793" spans="3:20" x14ac:dyDescent="0.2">
      <c r="C793" s="96" t="str">
        <f t="shared" si="48"/>
        <v>HGG6</v>
      </c>
      <c r="D793" s="73" t="s">
        <v>250</v>
      </c>
      <c r="E793" s="100">
        <v>40826</v>
      </c>
      <c r="F793" s="101">
        <v>2.41E-2</v>
      </c>
      <c r="G793" s="96">
        <f t="shared" si="49"/>
        <v>6</v>
      </c>
      <c r="I793" s="96"/>
      <c r="K793" t="str">
        <f t="shared" si="50"/>
        <v>HGG6</v>
      </c>
      <c r="L793" s="73" t="s">
        <v>250</v>
      </c>
      <c r="M793" s="72">
        <v>40826</v>
      </c>
      <c r="N793" s="84">
        <v>2.41E-2</v>
      </c>
      <c r="O793" s="96">
        <f t="shared" si="51"/>
        <v>6</v>
      </c>
      <c r="Q793" s="96"/>
      <c r="T793" s="110"/>
    </row>
    <row r="794" spans="3:20" x14ac:dyDescent="0.2">
      <c r="C794" s="96" t="str">
        <f t="shared" si="48"/>
        <v>HGG7</v>
      </c>
      <c r="D794" s="73" t="s">
        <v>250</v>
      </c>
      <c r="E794" s="100">
        <v>41022</v>
      </c>
      <c r="F794" s="101">
        <v>5.0199999999999995E-2</v>
      </c>
      <c r="G794" s="96">
        <f t="shared" si="49"/>
        <v>7</v>
      </c>
      <c r="I794" s="96"/>
      <c r="K794" t="str">
        <f t="shared" si="50"/>
        <v>HGG7</v>
      </c>
      <c r="L794" s="73" t="s">
        <v>250</v>
      </c>
      <c r="M794" s="72">
        <v>41022</v>
      </c>
      <c r="N794" s="84">
        <v>5.0199999999999995E-2</v>
      </c>
      <c r="O794" s="96">
        <f t="shared" si="51"/>
        <v>7</v>
      </c>
      <c r="Q794" s="96"/>
      <c r="T794" s="110"/>
    </row>
    <row r="795" spans="3:20" x14ac:dyDescent="0.2">
      <c r="C795" s="96" t="str">
        <f t="shared" si="48"/>
        <v>HGG8</v>
      </c>
      <c r="D795" s="73" t="s">
        <v>250</v>
      </c>
      <c r="E795" s="100">
        <v>41191</v>
      </c>
      <c r="F795" s="101">
        <v>2.3900000000000001E-2</v>
      </c>
      <c r="G795" s="96">
        <f t="shared" si="49"/>
        <v>8</v>
      </c>
      <c r="I795" s="96"/>
      <c r="K795" t="str">
        <f t="shared" si="50"/>
        <v>HGG8</v>
      </c>
      <c r="L795" s="73" t="s">
        <v>250</v>
      </c>
      <c r="M795" s="72">
        <v>41191</v>
      </c>
      <c r="N795" s="84">
        <v>2.3900000000000001E-2</v>
      </c>
      <c r="O795" s="96">
        <f t="shared" si="51"/>
        <v>8</v>
      </c>
      <c r="Q795" s="96"/>
      <c r="T795" s="110"/>
    </row>
    <row r="796" spans="3:20" x14ac:dyDescent="0.2">
      <c r="C796" s="96" t="str">
        <f t="shared" si="48"/>
        <v>HGG9</v>
      </c>
      <c r="D796" s="73" t="s">
        <v>250</v>
      </c>
      <c r="E796" s="100">
        <v>41387</v>
      </c>
      <c r="F796" s="101">
        <v>4.99E-2</v>
      </c>
      <c r="G796" s="96">
        <f t="shared" si="49"/>
        <v>9</v>
      </c>
      <c r="I796" s="96"/>
      <c r="K796" t="str">
        <f t="shared" si="50"/>
        <v>HGG9</v>
      </c>
      <c r="L796" s="73" t="s">
        <v>250</v>
      </c>
      <c r="M796" s="72">
        <v>41387</v>
      </c>
      <c r="N796" s="84">
        <v>4.99E-2</v>
      </c>
      <c r="O796" s="96">
        <f t="shared" si="51"/>
        <v>9</v>
      </c>
      <c r="Q796" s="96"/>
      <c r="T796" s="110"/>
    </row>
    <row r="797" spans="3:20" x14ac:dyDescent="0.2">
      <c r="C797" s="96" t="str">
        <f t="shared" si="48"/>
        <v>HGI1</v>
      </c>
      <c r="D797" s="73" t="s">
        <v>144</v>
      </c>
      <c r="E797" s="100">
        <v>39923</v>
      </c>
      <c r="F797" s="101">
        <v>0.10060000000000001</v>
      </c>
      <c r="G797" s="96">
        <f t="shared" si="49"/>
        <v>1</v>
      </c>
      <c r="I797" s="96"/>
      <c r="K797" t="str">
        <f t="shared" si="50"/>
        <v>HGI1</v>
      </c>
      <c r="L797" s="73" t="s">
        <v>144</v>
      </c>
      <c r="M797" s="72">
        <v>39923</v>
      </c>
      <c r="N797" s="84">
        <v>0.10060000000000001</v>
      </c>
      <c r="O797" s="96">
        <f t="shared" si="51"/>
        <v>1</v>
      </c>
      <c r="Q797" s="96"/>
      <c r="T797" s="110"/>
    </row>
    <row r="798" spans="3:20" x14ac:dyDescent="0.2">
      <c r="C798" s="96" t="str">
        <f t="shared" si="48"/>
        <v>HGI2</v>
      </c>
      <c r="D798" s="73" t="s">
        <v>144</v>
      </c>
      <c r="E798" s="100">
        <v>40098</v>
      </c>
      <c r="F798" s="101">
        <v>4.2900000000000001E-2</v>
      </c>
      <c r="G798" s="96">
        <f t="shared" si="49"/>
        <v>2</v>
      </c>
      <c r="I798" s="96"/>
      <c r="K798" t="str">
        <f t="shared" si="50"/>
        <v>HGI2</v>
      </c>
      <c r="L798" s="73" t="s">
        <v>144</v>
      </c>
      <c r="M798" s="72">
        <v>40098</v>
      </c>
      <c r="N798" s="84">
        <v>4.2900000000000001E-2</v>
      </c>
      <c r="O798" s="96">
        <f t="shared" si="51"/>
        <v>2</v>
      </c>
      <c r="Q798" s="96"/>
      <c r="T798" s="110"/>
    </row>
    <row r="799" spans="3:20" x14ac:dyDescent="0.2">
      <c r="C799" s="96" t="str">
        <f t="shared" si="48"/>
        <v>HGI3</v>
      </c>
      <c r="D799" s="73" t="s">
        <v>144</v>
      </c>
      <c r="E799" s="100">
        <v>40294</v>
      </c>
      <c r="F799" s="101">
        <v>9.6000000000000002E-2</v>
      </c>
      <c r="G799" s="96">
        <f t="shared" si="49"/>
        <v>3</v>
      </c>
      <c r="I799" s="96"/>
      <c r="K799" t="str">
        <f t="shared" si="50"/>
        <v>HGI3</v>
      </c>
      <c r="L799" s="73" t="s">
        <v>144</v>
      </c>
      <c r="M799" s="72">
        <v>40294</v>
      </c>
      <c r="N799" s="84">
        <v>9.6000000000000002E-2</v>
      </c>
      <c r="O799" s="96">
        <f t="shared" si="51"/>
        <v>3</v>
      </c>
      <c r="Q799" s="96"/>
      <c r="T799" s="110"/>
    </row>
    <row r="800" spans="3:20" x14ac:dyDescent="0.2">
      <c r="C800" s="96" t="str">
        <f t="shared" si="48"/>
        <v>HGI4</v>
      </c>
      <c r="D800" s="73" t="s">
        <v>144</v>
      </c>
      <c r="E800" s="100">
        <v>40462</v>
      </c>
      <c r="F800" s="101">
        <v>5.28E-2</v>
      </c>
      <c r="G800" s="96">
        <f t="shared" si="49"/>
        <v>4</v>
      </c>
      <c r="I800" s="96"/>
      <c r="K800" t="str">
        <f t="shared" si="50"/>
        <v>HGI4</v>
      </c>
      <c r="L800" s="73" t="s">
        <v>144</v>
      </c>
      <c r="M800" s="72">
        <v>40462</v>
      </c>
      <c r="N800" s="84">
        <v>5.28E-2</v>
      </c>
      <c r="O800" s="96">
        <f t="shared" si="51"/>
        <v>4</v>
      </c>
      <c r="Q800" s="96"/>
      <c r="T800" s="110"/>
    </row>
    <row r="801" spans="3:20" x14ac:dyDescent="0.2">
      <c r="C801" s="96" t="str">
        <f t="shared" si="48"/>
        <v>HGI5</v>
      </c>
      <c r="D801" s="73" t="s">
        <v>144</v>
      </c>
      <c r="E801" s="100">
        <v>40658</v>
      </c>
      <c r="F801" s="101">
        <v>0.1183</v>
      </c>
      <c r="G801" s="96">
        <f t="shared" si="49"/>
        <v>5</v>
      </c>
      <c r="I801" s="96"/>
      <c r="K801" t="str">
        <f t="shared" si="50"/>
        <v>HGI5</v>
      </c>
      <c r="L801" s="73" t="s">
        <v>144</v>
      </c>
      <c r="M801" s="72">
        <v>40658</v>
      </c>
      <c r="N801" s="84">
        <v>0.1183</v>
      </c>
      <c r="O801" s="96">
        <f t="shared" si="51"/>
        <v>5</v>
      </c>
      <c r="Q801" s="96"/>
      <c r="T801" s="110"/>
    </row>
    <row r="802" spans="3:20" x14ac:dyDescent="0.2">
      <c r="C802" s="96" t="str">
        <f t="shared" si="48"/>
        <v>HGI6</v>
      </c>
      <c r="D802" s="73" t="s">
        <v>144</v>
      </c>
      <c r="E802" s="100">
        <v>40826</v>
      </c>
      <c r="F802" s="101">
        <v>6.1600000000000002E-2</v>
      </c>
      <c r="G802" s="96">
        <f t="shared" si="49"/>
        <v>6</v>
      </c>
      <c r="I802" s="96"/>
      <c r="K802" t="str">
        <f t="shared" si="50"/>
        <v>HGI6</v>
      </c>
      <c r="L802" s="73" t="s">
        <v>144</v>
      </c>
      <c r="M802" s="72">
        <v>40826</v>
      </c>
      <c r="N802" s="84">
        <v>6.1600000000000002E-2</v>
      </c>
      <c r="O802" s="96">
        <f t="shared" si="51"/>
        <v>6</v>
      </c>
      <c r="Q802" s="96"/>
      <c r="T802" s="110"/>
    </row>
    <row r="803" spans="3:20" x14ac:dyDescent="0.2">
      <c r="C803" s="96" t="str">
        <f t="shared" si="48"/>
        <v>HGI7</v>
      </c>
      <c r="D803" s="73" t="s">
        <v>144</v>
      </c>
      <c r="E803" s="100">
        <v>41022</v>
      </c>
      <c r="F803" s="101">
        <v>0.1384</v>
      </c>
      <c r="G803" s="96">
        <f t="shared" si="49"/>
        <v>7</v>
      </c>
      <c r="I803" s="96"/>
      <c r="K803" t="str">
        <f t="shared" si="50"/>
        <v>HGI7</v>
      </c>
      <c r="L803" s="73" t="s">
        <v>144</v>
      </c>
      <c r="M803" s="72">
        <v>41022</v>
      </c>
      <c r="N803" s="84">
        <v>0.1384</v>
      </c>
      <c r="O803" s="96">
        <f t="shared" si="51"/>
        <v>7</v>
      </c>
      <c r="Q803" s="96"/>
      <c r="T803" s="110"/>
    </row>
    <row r="804" spans="3:20" x14ac:dyDescent="0.2">
      <c r="C804" s="96" t="str">
        <f t="shared" si="48"/>
        <v>HGI8</v>
      </c>
      <c r="D804" s="73" t="s">
        <v>144</v>
      </c>
      <c r="E804" s="100">
        <v>41191</v>
      </c>
      <c r="F804" s="101">
        <v>6.6699999999999995E-2</v>
      </c>
      <c r="G804" s="96">
        <f t="shared" si="49"/>
        <v>8</v>
      </c>
      <c r="I804" s="96"/>
      <c r="K804" t="str">
        <f t="shared" si="50"/>
        <v>HGI8</v>
      </c>
      <c r="L804" s="73" t="s">
        <v>144</v>
      </c>
      <c r="M804" s="72">
        <v>41191</v>
      </c>
      <c r="N804" s="84">
        <v>6.6699999999999995E-2</v>
      </c>
      <c r="O804" s="96">
        <f t="shared" si="51"/>
        <v>8</v>
      </c>
      <c r="Q804" s="96"/>
      <c r="T804" s="110"/>
    </row>
    <row r="805" spans="3:20" x14ac:dyDescent="0.2">
      <c r="C805" s="96" t="str">
        <f t="shared" si="48"/>
        <v>HGI9</v>
      </c>
      <c r="D805" s="73" t="s">
        <v>144</v>
      </c>
      <c r="E805" s="100">
        <v>41387</v>
      </c>
      <c r="F805" s="101">
        <v>0.15</v>
      </c>
      <c r="G805" s="96">
        <f t="shared" si="49"/>
        <v>9</v>
      </c>
      <c r="I805" s="96"/>
      <c r="K805" t="str">
        <f t="shared" si="50"/>
        <v>HGI9</v>
      </c>
      <c r="L805" s="73" t="s">
        <v>144</v>
      </c>
      <c r="M805" s="72">
        <v>41387</v>
      </c>
      <c r="N805" s="84">
        <v>0.15</v>
      </c>
      <c r="O805" s="96">
        <f t="shared" si="51"/>
        <v>9</v>
      </c>
      <c r="Q805" s="96"/>
      <c r="T805" s="110"/>
    </row>
    <row r="806" spans="3:20" x14ac:dyDescent="0.2">
      <c r="C806" s="96" t="str">
        <f t="shared" si="48"/>
        <v>HIL1</v>
      </c>
      <c r="D806" s="73" t="s">
        <v>145</v>
      </c>
      <c r="E806" s="100">
        <v>39883</v>
      </c>
      <c r="F806" s="101">
        <v>0.12909999999999999</v>
      </c>
      <c r="G806" s="96">
        <f t="shared" si="49"/>
        <v>1</v>
      </c>
      <c r="I806" s="96"/>
      <c r="K806" t="str">
        <f t="shared" si="50"/>
        <v>HIL1</v>
      </c>
      <c r="L806" s="73" t="s">
        <v>145</v>
      </c>
      <c r="M806" s="72">
        <v>39883</v>
      </c>
      <c r="N806" s="84">
        <v>0.12909999999999999</v>
      </c>
      <c r="O806" s="96">
        <f t="shared" si="51"/>
        <v>1</v>
      </c>
      <c r="Q806" s="96"/>
      <c r="T806" s="110"/>
    </row>
    <row r="807" spans="3:20" x14ac:dyDescent="0.2">
      <c r="C807" s="96" t="str">
        <f t="shared" si="48"/>
        <v>HIL2</v>
      </c>
      <c r="D807" s="73" t="s">
        <v>145</v>
      </c>
      <c r="E807" s="100">
        <v>40065</v>
      </c>
      <c r="F807" s="101">
        <v>0.13390000000000002</v>
      </c>
      <c r="G807" s="96">
        <f t="shared" si="49"/>
        <v>2</v>
      </c>
      <c r="I807" s="96"/>
      <c r="K807" t="str">
        <f t="shared" si="50"/>
        <v>HIL2</v>
      </c>
      <c r="L807" s="73" t="s">
        <v>145</v>
      </c>
      <c r="M807" s="72">
        <v>40065</v>
      </c>
      <c r="N807" s="84">
        <v>0.13390000000000002</v>
      </c>
      <c r="O807" s="96">
        <f t="shared" si="51"/>
        <v>2</v>
      </c>
      <c r="Q807" s="96"/>
      <c r="T807" s="110"/>
    </row>
    <row r="808" spans="3:20" x14ac:dyDescent="0.2">
      <c r="C808" s="96" t="str">
        <f t="shared" si="48"/>
        <v>HIL3</v>
      </c>
      <c r="D808" s="73" t="s">
        <v>145</v>
      </c>
      <c r="E808" s="100">
        <v>40248</v>
      </c>
      <c r="F808" s="101">
        <v>0.13200000000000001</v>
      </c>
      <c r="G808" s="96">
        <f t="shared" si="49"/>
        <v>3</v>
      </c>
      <c r="I808" s="96"/>
      <c r="K808" t="str">
        <f t="shared" si="50"/>
        <v>HIL3</v>
      </c>
      <c r="L808" s="73" t="s">
        <v>145</v>
      </c>
      <c r="M808" s="72">
        <v>40248</v>
      </c>
      <c r="N808" s="84">
        <v>0.13200000000000001</v>
      </c>
      <c r="O808" s="96">
        <f t="shared" si="51"/>
        <v>3</v>
      </c>
      <c r="Q808" s="96"/>
      <c r="T808" s="110"/>
    </row>
    <row r="809" spans="3:20" x14ac:dyDescent="0.2">
      <c r="C809" s="96" t="str">
        <f t="shared" si="48"/>
        <v>HIL4</v>
      </c>
      <c r="D809" s="73" t="s">
        <v>145</v>
      </c>
      <c r="E809" s="100">
        <v>40430</v>
      </c>
      <c r="F809" s="101">
        <v>0.13699999999999998</v>
      </c>
      <c r="G809" s="96">
        <f t="shared" si="49"/>
        <v>4</v>
      </c>
      <c r="I809" s="96"/>
      <c r="K809" t="str">
        <f t="shared" si="50"/>
        <v>HIL4</v>
      </c>
      <c r="L809" s="73" t="s">
        <v>145</v>
      </c>
      <c r="M809" s="72">
        <v>40430</v>
      </c>
      <c r="N809" s="84">
        <v>0.13699999999999998</v>
      </c>
      <c r="O809" s="96">
        <f t="shared" si="51"/>
        <v>4</v>
      </c>
      <c r="Q809" s="96"/>
      <c r="T809" s="110"/>
    </row>
    <row r="810" spans="3:20" x14ac:dyDescent="0.2">
      <c r="C810" s="96" t="str">
        <f t="shared" si="48"/>
        <v>HIL5</v>
      </c>
      <c r="D810" s="73" t="s">
        <v>145</v>
      </c>
      <c r="E810" s="100">
        <v>40613</v>
      </c>
      <c r="F810" s="101">
        <v>0.1389</v>
      </c>
      <c r="G810" s="96">
        <f t="shared" si="49"/>
        <v>5</v>
      </c>
      <c r="I810" s="96"/>
      <c r="K810" t="str">
        <f t="shared" si="50"/>
        <v>HIL5</v>
      </c>
      <c r="L810" s="73" t="s">
        <v>145</v>
      </c>
      <c r="M810" s="72">
        <v>40613</v>
      </c>
      <c r="N810" s="84">
        <v>0.1389</v>
      </c>
      <c r="O810" s="96">
        <f t="shared" si="51"/>
        <v>5</v>
      </c>
      <c r="Q810" s="96"/>
      <c r="T810" s="110"/>
    </row>
    <row r="811" spans="3:20" x14ac:dyDescent="0.2">
      <c r="C811" s="96" t="str">
        <f t="shared" si="48"/>
        <v>HIL6</v>
      </c>
      <c r="D811" s="73" t="s">
        <v>145</v>
      </c>
      <c r="E811" s="100">
        <v>40795</v>
      </c>
      <c r="F811" s="101">
        <v>0.14410000000000001</v>
      </c>
      <c r="G811" s="96">
        <f t="shared" si="49"/>
        <v>6</v>
      </c>
      <c r="I811" s="96"/>
      <c r="K811" t="str">
        <f t="shared" si="50"/>
        <v>HIL6</v>
      </c>
      <c r="L811" s="73" t="s">
        <v>145</v>
      </c>
      <c r="M811" s="72">
        <v>40795</v>
      </c>
      <c r="N811" s="84">
        <v>0.14410000000000001</v>
      </c>
      <c r="O811" s="96">
        <f t="shared" si="51"/>
        <v>6</v>
      </c>
      <c r="Q811" s="96"/>
      <c r="T811" s="110"/>
    </row>
    <row r="812" spans="3:20" x14ac:dyDescent="0.2">
      <c r="C812" s="96" t="str">
        <f t="shared" si="48"/>
        <v>HIL7</v>
      </c>
      <c r="D812" s="73" t="s">
        <v>145</v>
      </c>
      <c r="E812" s="100">
        <v>40981</v>
      </c>
      <c r="F812" s="101">
        <v>0.1497</v>
      </c>
      <c r="G812" s="96">
        <f t="shared" si="49"/>
        <v>7</v>
      </c>
      <c r="I812" s="96"/>
      <c r="K812" t="str">
        <f t="shared" si="50"/>
        <v>HIL7</v>
      </c>
      <c r="L812" s="73" t="s">
        <v>145</v>
      </c>
      <c r="M812" s="72">
        <v>40981</v>
      </c>
      <c r="N812" s="84">
        <v>0.1497</v>
      </c>
      <c r="O812" s="96">
        <f t="shared" si="51"/>
        <v>7</v>
      </c>
      <c r="Q812" s="96"/>
      <c r="T812" s="110"/>
    </row>
    <row r="813" spans="3:20" x14ac:dyDescent="0.2">
      <c r="C813" s="96" t="str">
        <f t="shared" si="48"/>
        <v>HIL8</v>
      </c>
      <c r="D813" s="73" t="s">
        <v>145</v>
      </c>
      <c r="E813" s="100">
        <v>41163</v>
      </c>
      <c r="F813" s="101">
        <v>0.15529999999999999</v>
      </c>
      <c r="G813" s="96">
        <f t="shared" si="49"/>
        <v>8</v>
      </c>
      <c r="I813" s="96"/>
      <c r="K813" t="str">
        <f t="shared" si="50"/>
        <v>HIL8</v>
      </c>
      <c r="L813" s="73" t="s">
        <v>145</v>
      </c>
      <c r="M813" s="72">
        <v>41163</v>
      </c>
      <c r="N813" s="84">
        <v>0.15529999999999999</v>
      </c>
      <c r="O813" s="96">
        <f t="shared" si="51"/>
        <v>8</v>
      </c>
      <c r="Q813" s="96"/>
      <c r="T813" s="110"/>
    </row>
    <row r="814" spans="3:20" x14ac:dyDescent="0.2">
      <c r="C814" s="96" t="str">
        <f t="shared" si="48"/>
        <v>HIL9</v>
      </c>
      <c r="D814" s="73" t="s">
        <v>145</v>
      </c>
      <c r="E814" s="100">
        <v>41346</v>
      </c>
      <c r="F814" s="101">
        <v>0.15460000000000002</v>
      </c>
      <c r="G814" s="96">
        <f t="shared" si="49"/>
        <v>9</v>
      </c>
      <c r="I814" s="96"/>
      <c r="K814" t="str">
        <f t="shared" si="50"/>
        <v>HIL9</v>
      </c>
      <c r="L814" s="73" t="s">
        <v>145</v>
      </c>
      <c r="M814" s="72">
        <v>41346</v>
      </c>
      <c r="N814" s="84">
        <v>0.15460000000000002</v>
      </c>
      <c r="O814" s="96">
        <f t="shared" si="51"/>
        <v>9</v>
      </c>
      <c r="Q814" s="96"/>
      <c r="T814" s="110"/>
    </row>
    <row r="815" spans="3:20" x14ac:dyDescent="0.2">
      <c r="C815" s="96" t="str">
        <f t="shared" si="48"/>
        <v>HIL10</v>
      </c>
      <c r="D815" s="73" t="s">
        <v>145</v>
      </c>
      <c r="E815" s="100">
        <v>41528</v>
      </c>
      <c r="F815" s="101">
        <v>0.16039999999999999</v>
      </c>
      <c r="G815" s="96">
        <f t="shared" si="49"/>
        <v>10</v>
      </c>
      <c r="I815" s="96"/>
      <c r="K815" t="str">
        <f t="shared" si="50"/>
        <v>HIL10</v>
      </c>
      <c r="L815" s="73" t="s">
        <v>145</v>
      </c>
      <c r="M815" s="72">
        <v>41528</v>
      </c>
      <c r="N815" s="84">
        <v>0.16039999999999999</v>
      </c>
      <c r="O815" s="96">
        <f t="shared" si="51"/>
        <v>10</v>
      </c>
      <c r="Q815" s="96"/>
      <c r="T815" s="110"/>
    </row>
    <row r="816" spans="3:20" x14ac:dyDescent="0.2">
      <c r="C816" s="96" t="str">
        <f t="shared" si="48"/>
        <v>HSP1</v>
      </c>
      <c r="D816" s="73" t="s">
        <v>146</v>
      </c>
      <c r="E816" s="100">
        <v>39869</v>
      </c>
      <c r="F816" s="101">
        <v>0.1</v>
      </c>
      <c r="G816" s="96">
        <f t="shared" si="49"/>
        <v>1</v>
      </c>
      <c r="I816" s="96"/>
      <c r="K816" t="str">
        <f t="shared" si="50"/>
        <v>HSP1</v>
      </c>
      <c r="L816" s="73" t="s">
        <v>146</v>
      </c>
      <c r="M816" s="72">
        <v>39869</v>
      </c>
      <c r="N816" s="84">
        <v>0.1</v>
      </c>
      <c r="O816" s="96">
        <f t="shared" si="51"/>
        <v>1</v>
      </c>
      <c r="Q816" s="96"/>
      <c r="T816" s="110"/>
    </row>
    <row r="817" spans="3:20" x14ac:dyDescent="0.2">
      <c r="C817" s="96" t="str">
        <f t="shared" si="48"/>
        <v>HSP2</v>
      </c>
      <c r="D817" s="73" t="s">
        <v>146</v>
      </c>
      <c r="E817" s="100">
        <v>40051</v>
      </c>
      <c r="F817" s="101">
        <v>0.10300000000000001</v>
      </c>
      <c r="G817" s="96">
        <f t="shared" si="49"/>
        <v>2</v>
      </c>
      <c r="I817" s="96"/>
      <c r="K817" t="str">
        <f t="shared" si="50"/>
        <v>HSP2</v>
      </c>
      <c r="L817" s="73" t="s">
        <v>146</v>
      </c>
      <c r="M817" s="72">
        <v>40051</v>
      </c>
      <c r="N817" s="84">
        <v>0.10300000000000001</v>
      </c>
      <c r="O817" s="96">
        <f t="shared" si="51"/>
        <v>2</v>
      </c>
      <c r="Q817" s="96"/>
      <c r="T817" s="110"/>
    </row>
    <row r="818" spans="3:20" x14ac:dyDescent="0.2">
      <c r="C818" s="96" t="str">
        <f t="shared" si="48"/>
        <v>HSP3</v>
      </c>
      <c r="D818" s="73" t="s">
        <v>146</v>
      </c>
      <c r="E818" s="100">
        <v>40234</v>
      </c>
      <c r="F818" s="101">
        <v>0.10830000000000001</v>
      </c>
      <c r="G818" s="96">
        <f t="shared" si="49"/>
        <v>3</v>
      </c>
      <c r="I818" s="96"/>
      <c r="K818" t="str">
        <f t="shared" si="50"/>
        <v>HSP3</v>
      </c>
      <c r="L818" s="73" t="s">
        <v>146</v>
      </c>
      <c r="M818" s="72">
        <v>40234</v>
      </c>
      <c r="N818" s="84">
        <v>0.10830000000000001</v>
      </c>
      <c r="O818" s="96">
        <f t="shared" si="51"/>
        <v>3</v>
      </c>
      <c r="Q818" s="96"/>
      <c r="T818" s="110"/>
    </row>
    <row r="819" spans="3:20" x14ac:dyDescent="0.2">
      <c r="C819" s="96" t="str">
        <f t="shared" si="48"/>
        <v>HSP4</v>
      </c>
      <c r="D819" s="73" t="s">
        <v>146</v>
      </c>
      <c r="E819" s="100">
        <v>40416</v>
      </c>
      <c r="F819" s="101">
        <v>0.1137</v>
      </c>
      <c r="G819" s="96">
        <f t="shared" si="49"/>
        <v>4</v>
      </c>
      <c r="I819" s="96"/>
      <c r="K819" t="str">
        <f t="shared" si="50"/>
        <v>HSP4</v>
      </c>
      <c r="L819" s="73" t="s">
        <v>146</v>
      </c>
      <c r="M819" s="72">
        <v>40416</v>
      </c>
      <c r="N819" s="84">
        <v>0.1137</v>
      </c>
      <c r="O819" s="96">
        <f t="shared" si="51"/>
        <v>4</v>
      </c>
      <c r="Q819" s="96"/>
      <c r="T819" s="110"/>
    </row>
    <row r="820" spans="3:20" x14ac:dyDescent="0.2">
      <c r="C820" s="96" t="str">
        <f t="shared" si="48"/>
        <v>HSP5</v>
      </c>
      <c r="D820" s="73" t="s">
        <v>146</v>
      </c>
      <c r="E820" s="100">
        <v>40599</v>
      </c>
      <c r="F820" s="101">
        <v>0.1217</v>
      </c>
      <c r="G820" s="96">
        <f t="shared" si="49"/>
        <v>5</v>
      </c>
      <c r="I820" s="96"/>
      <c r="K820" t="str">
        <f t="shared" si="50"/>
        <v>HSP5</v>
      </c>
      <c r="L820" s="73" t="s">
        <v>146</v>
      </c>
      <c r="M820" s="72">
        <v>40599</v>
      </c>
      <c r="N820" s="84">
        <v>0.1217</v>
      </c>
      <c r="O820" s="96">
        <f t="shared" si="51"/>
        <v>5</v>
      </c>
      <c r="Q820" s="96"/>
      <c r="T820" s="110"/>
    </row>
    <row r="821" spans="3:20" x14ac:dyDescent="0.2">
      <c r="C821" s="96" t="str">
        <f t="shared" si="48"/>
        <v>HSP6</v>
      </c>
      <c r="D821" s="73" t="s">
        <v>146</v>
      </c>
      <c r="E821" s="100">
        <v>40781</v>
      </c>
      <c r="F821" s="101">
        <v>0.1303</v>
      </c>
      <c r="G821" s="96">
        <f t="shared" si="49"/>
        <v>6</v>
      </c>
      <c r="I821" s="96"/>
      <c r="K821" t="str">
        <f t="shared" si="50"/>
        <v>HSP6</v>
      </c>
      <c r="L821" s="73" t="s">
        <v>146</v>
      </c>
      <c r="M821" s="72">
        <v>40781</v>
      </c>
      <c r="N821" s="84">
        <v>0.1303</v>
      </c>
      <c r="O821" s="96">
        <f t="shared" si="51"/>
        <v>6</v>
      </c>
      <c r="Q821" s="96"/>
      <c r="T821" s="110"/>
    </row>
    <row r="822" spans="3:20" x14ac:dyDescent="0.2">
      <c r="C822" s="96" t="str">
        <f t="shared" si="48"/>
        <v>HSP7</v>
      </c>
      <c r="D822" s="73" t="s">
        <v>146</v>
      </c>
      <c r="E822" s="100">
        <v>40967</v>
      </c>
      <c r="F822" s="101">
        <v>0.13669999999999999</v>
      </c>
      <c r="G822" s="96">
        <f t="shared" si="49"/>
        <v>7</v>
      </c>
      <c r="I822" s="96"/>
      <c r="K822" t="str">
        <f t="shared" si="50"/>
        <v>HSP7</v>
      </c>
      <c r="L822" s="73" t="s">
        <v>146</v>
      </c>
      <c r="M822" s="72">
        <v>40967</v>
      </c>
      <c r="N822" s="84">
        <v>0.13669999999999999</v>
      </c>
      <c r="O822" s="96">
        <f t="shared" si="51"/>
        <v>7</v>
      </c>
      <c r="Q822" s="96"/>
      <c r="T822" s="110"/>
    </row>
    <row r="823" spans="3:20" x14ac:dyDescent="0.2">
      <c r="C823" s="96" t="str">
        <f t="shared" si="48"/>
        <v>HSP8</v>
      </c>
      <c r="D823" s="73" t="s">
        <v>146</v>
      </c>
      <c r="E823" s="100">
        <v>41149</v>
      </c>
      <c r="F823" s="101">
        <v>0.14630000000000001</v>
      </c>
      <c r="G823" s="96">
        <f t="shared" si="49"/>
        <v>8</v>
      </c>
      <c r="I823" s="96"/>
      <c r="K823" t="str">
        <f t="shared" si="50"/>
        <v>HSP8</v>
      </c>
      <c r="L823" s="73" t="s">
        <v>146</v>
      </c>
      <c r="M823" s="72">
        <v>41149</v>
      </c>
      <c r="N823" s="84">
        <v>0.14630000000000001</v>
      </c>
      <c r="O823" s="96">
        <f t="shared" si="51"/>
        <v>8</v>
      </c>
      <c r="Q823" s="96"/>
      <c r="T823" s="110"/>
    </row>
    <row r="824" spans="3:20" x14ac:dyDescent="0.2">
      <c r="C824" s="96" t="str">
        <f t="shared" si="48"/>
        <v>HSP9</v>
      </c>
      <c r="D824" s="73" t="s">
        <v>146</v>
      </c>
      <c r="E824" s="100">
        <v>41332</v>
      </c>
      <c r="F824" s="101">
        <v>0.15259999999999999</v>
      </c>
      <c r="G824" s="96">
        <f t="shared" si="49"/>
        <v>9</v>
      </c>
      <c r="I824" s="96"/>
      <c r="K824" t="str">
        <f t="shared" si="50"/>
        <v>HSP9</v>
      </c>
      <c r="L824" s="73" t="s">
        <v>146</v>
      </c>
      <c r="M824" s="72">
        <v>41332</v>
      </c>
      <c r="N824" s="84">
        <v>0.15259999999999999</v>
      </c>
      <c r="O824" s="96">
        <f t="shared" si="51"/>
        <v>9</v>
      </c>
      <c r="Q824" s="96"/>
      <c r="T824" s="110"/>
    </row>
    <row r="825" spans="3:20" x14ac:dyDescent="0.2">
      <c r="C825" s="96" t="str">
        <f t="shared" si="48"/>
        <v>HSP10</v>
      </c>
      <c r="D825" s="73" t="s">
        <v>146</v>
      </c>
      <c r="E825" s="100">
        <v>41514</v>
      </c>
      <c r="F825" s="101">
        <v>0.16339999999999999</v>
      </c>
      <c r="G825" s="96">
        <f t="shared" si="49"/>
        <v>10</v>
      </c>
      <c r="I825" s="96"/>
      <c r="K825" t="str">
        <f t="shared" si="50"/>
        <v>HSP10</v>
      </c>
      <c r="L825" s="73" t="s">
        <v>146</v>
      </c>
      <c r="M825" s="72">
        <v>41514</v>
      </c>
      <c r="N825" s="84">
        <v>0.16339999999999999</v>
      </c>
      <c r="O825" s="96">
        <f t="shared" si="51"/>
        <v>10</v>
      </c>
      <c r="Q825" s="96"/>
      <c r="T825" s="110"/>
    </row>
    <row r="826" spans="3:20" x14ac:dyDescent="0.2">
      <c r="C826" s="96" t="str">
        <f t="shared" si="48"/>
        <v>HVN1</v>
      </c>
      <c r="D826" s="73" t="s">
        <v>147</v>
      </c>
      <c r="E826" s="100">
        <v>39912</v>
      </c>
      <c r="F826" s="101">
        <v>7.0000000000000007E-2</v>
      </c>
      <c r="G826" s="96">
        <f t="shared" si="49"/>
        <v>1</v>
      </c>
      <c r="I826" s="96"/>
      <c r="K826" t="str">
        <f t="shared" si="50"/>
        <v>HVN1</v>
      </c>
      <c r="L826" s="73" t="s">
        <v>147</v>
      </c>
      <c r="M826" s="72">
        <v>39912</v>
      </c>
      <c r="N826" s="84">
        <v>7.0000000000000007E-2</v>
      </c>
      <c r="O826" s="96">
        <f t="shared" si="51"/>
        <v>1</v>
      </c>
      <c r="Q826" s="96"/>
      <c r="T826" s="110"/>
    </row>
    <row r="827" spans="3:20" x14ac:dyDescent="0.2">
      <c r="C827" s="96" t="str">
        <f t="shared" si="48"/>
        <v>HVN2</v>
      </c>
      <c r="D827" s="73" t="s">
        <v>147</v>
      </c>
      <c r="E827" s="100">
        <v>40119</v>
      </c>
      <c r="F827" s="101">
        <v>7.0000000000000007E-2</v>
      </c>
      <c r="G827" s="96">
        <f t="shared" si="49"/>
        <v>2</v>
      </c>
      <c r="I827" s="96"/>
      <c r="K827" t="str">
        <f t="shared" si="50"/>
        <v>HVN2</v>
      </c>
      <c r="L827" s="73" t="s">
        <v>147</v>
      </c>
      <c r="M827" s="72">
        <v>40119</v>
      </c>
      <c r="N827" s="84">
        <v>7.0000000000000007E-2</v>
      </c>
      <c r="O827" s="96">
        <f t="shared" si="51"/>
        <v>2</v>
      </c>
      <c r="Q827" s="96"/>
      <c r="T827" s="110"/>
    </row>
    <row r="828" spans="3:20" x14ac:dyDescent="0.2">
      <c r="C828" s="96" t="str">
        <f t="shared" si="48"/>
        <v>HVN3</v>
      </c>
      <c r="D828" s="73" t="s">
        <v>147</v>
      </c>
      <c r="E828" s="100">
        <v>40281</v>
      </c>
      <c r="F828" s="101">
        <v>7.0000000000000007E-2</v>
      </c>
      <c r="G828" s="96">
        <f t="shared" si="49"/>
        <v>3</v>
      </c>
      <c r="I828" s="96"/>
      <c r="K828" t="str">
        <f t="shared" si="50"/>
        <v>HVN3</v>
      </c>
      <c r="L828" s="73" t="s">
        <v>147</v>
      </c>
      <c r="M828" s="72">
        <v>40281</v>
      </c>
      <c r="N828" s="84">
        <v>7.0000000000000007E-2</v>
      </c>
      <c r="O828" s="96">
        <f t="shared" si="51"/>
        <v>3</v>
      </c>
      <c r="Q828" s="96"/>
      <c r="T828" s="110"/>
    </row>
    <row r="829" spans="3:20" x14ac:dyDescent="0.2">
      <c r="C829" s="96" t="str">
        <f t="shared" si="48"/>
        <v>HVN4</v>
      </c>
      <c r="D829" s="73" t="s">
        <v>147</v>
      </c>
      <c r="E829" s="100">
        <v>40485</v>
      </c>
      <c r="F829" s="101">
        <v>0.05</v>
      </c>
      <c r="G829" s="96">
        <f t="shared" si="49"/>
        <v>4</v>
      </c>
      <c r="I829" s="96"/>
      <c r="K829" t="str">
        <f t="shared" si="50"/>
        <v>HVN4</v>
      </c>
      <c r="L829" s="73" t="s">
        <v>147</v>
      </c>
      <c r="M829" s="72">
        <v>40485</v>
      </c>
      <c r="N829" s="84">
        <v>0.05</v>
      </c>
      <c r="O829" s="96">
        <f t="shared" si="51"/>
        <v>4</v>
      </c>
      <c r="Q829" s="96"/>
      <c r="T829" s="110"/>
    </row>
    <row r="830" spans="3:20" x14ac:dyDescent="0.2">
      <c r="C830" s="96" t="str">
        <f t="shared" si="48"/>
        <v>HVN5</v>
      </c>
      <c r="D830" s="73" t="s">
        <v>147</v>
      </c>
      <c r="E830" s="100">
        <v>40646</v>
      </c>
      <c r="F830" s="101">
        <v>8.0500000000000002E-2</v>
      </c>
      <c r="G830" s="96">
        <f t="shared" si="49"/>
        <v>5</v>
      </c>
      <c r="I830" s="96"/>
      <c r="K830" t="str">
        <f t="shared" si="50"/>
        <v>HVN5</v>
      </c>
      <c r="L830" s="73" t="s">
        <v>147</v>
      </c>
      <c r="M830" s="72">
        <v>40646</v>
      </c>
      <c r="N830" s="84">
        <v>8.0500000000000002E-2</v>
      </c>
      <c r="O830" s="96">
        <f t="shared" si="51"/>
        <v>5</v>
      </c>
      <c r="Q830" s="96"/>
      <c r="T830" s="110"/>
    </row>
    <row r="831" spans="3:20" x14ac:dyDescent="0.2">
      <c r="C831" s="96" t="str">
        <f t="shared" si="48"/>
        <v>HVN6</v>
      </c>
      <c r="D831" s="73" t="s">
        <v>147</v>
      </c>
      <c r="E831" s="100">
        <v>40850</v>
      </c>
      <c r="F831" s="101">
        <v>5.7500000000000002E-2</v>
      </c>
      <c r="G831" s="96">
        <f t="shared" si="49"/>
        <v>6</v>
      </c>
      <c r="I831" s="96"/>
      <c r="K831" t="str">
        <f t="shared" si="50"/>
        <v>HVN6</v>
      </c>
      <c r="L831" s="73" t="s">
        <v>147</v>
      </c>
      <c r="M831" s="72">
        <v>40850</v>
      </c>
      <c r="N831" s="84">
        <v>5.7500000000000002E-2</v>
      </c>
      <c r="O831" s="96">
        <f t="shared" si="51"/>
        <v>6</v>
      </c>
      <c r="Q831" s="96"/>
      <c r="T831" s="110"/>
    </row>
    <row r="832" spans="3:20" x14ac:dyDescent="0.2">
      <c r="C832" s="96" t="str">
        <f t="shared" si="48"/>
        <v>HVN7</v>
      </c>
      <c r="D832" s="73" t="s">
        <v>147</v>
      </c>
      <c r="E832" s="100">
        <v>41012</v>
      </c>
      <c r="F832" s="101">
        <v>8.6899999999999991E-2</v>
      </c>
      <c r="G832" s="96">
        <f t="shared" si="49"/>
        <v>7</v>
      </c>
      <c r="I832" s="96"/>
      <c r="K832" t="str">
        <f t="shared" si="50"/>
        <v>HVN7</v>
      </c>
      <c r="L832" s="73" t="s">
        <v>147</v>
      </c>
      <c r="M832" s="72">
        <v>41012</v>
      </c>
      <c r="N832" s="84">
        <v>8.6899999999999991E-2</v>
      </c>
      <c r="O832" s="96">
        <f t="shared" si="51"/>
        <v>7</v>
      </c>
      <c r="Q832" s="96"/>
      <c r="T832" s="110"/>
    </row>
    <row r="833" spans="3:20" x14ac:dyDescent="0.2">
      <c r="C833" s="96" t="str">
        <f t="shared" si="48"/>
        <v>HVN8</v>
      </c>
      <c r="D833" s="73" t="s">
        <v>147</v>
      </c>
      <c r="E833" s="100">
        <v>41218</v>
      </c>
      <c r="F833" s="101">
        <v>6.2100000000000002E-2</v>
      </c>
      <c r="G833" s="96">
        <f t="shared" si="49"/>
        <v>8</v>
      </c>
      <c r="I833" s="96"/>
      <c r="K833" t="str">
        <f t="shared" si="50"/>
        <v>HVN8</v>
      </c>
      <c r="L833" s="73" t="s">
        <v>147</v>
      </c>
      <c r="M833" s="72">
        <v>41218</v>
      </c>
      <c r="N833" s="84">
        <v>6.2100000000000002E-2</v>
      </c>
      <c r="O833" s="96">
        <f t="shared" si="51"/>
        <v>8</v>
      </c>
      <c r="Q833" s="96"/>
      <c r="T833" s="110"/>
    </row>
    <row r="834" spans="3:20" x14ac:dyDescent="0.2">
      <c r="C834" s="96" t="str">
        <f t="shared" si="48"/>
        <v>HVN9</v>
      </c>
      <c r="D834" s="73" t="s">
        <v>147</v>
      </c>
      <c r="E834" s="100">
        <v>41379</v>
      </c>
      <c r="F834" s="101">
        <v>0.1079</v>
      </c>
      <c r="G834" s="96">
        <f t="shared" si="49"/>
        <v>9</v>
      </c>
      <c r="I834" s="96"/>
      <c r="K834" t="str">
        <f t="shared" si="50"/>
        <v>HVN9</v>
      </c>
      <c r="L834" s="73" t="s">
        <v>147</v>
      </c>
      <c r="M834" s="72">
        <v>41379</v>
      </c>
      <c r="N834" s="84">
        <v>0.1079</v>
      </c>
      <c r="O834" s="96">
        <f t="shared" si="51"/>
        <v>9</v>
      </c>
      <c r="Q834" s="96"/>
      <c r="T834" s="110"/>
    </row>
    <row r="835" spans="3:20" x14ac:dyDescent="0.2">
      <c r="C835" s="96" t="str">
        <f t="shared" ref="C835:C898" si="52">D835&amp;G835</f>
        <v>HVN10</v>
      </c>
      <c r="D835" s="73" t="s">
        <v>147</v>
      </c>
      <c r="E835" s="100">
        <v>41583</v>
      </c>
      <c r="F835" s="101">
        <v>7.7100000000000002E-2</v>
      </c>
      <c r="G835" s="96">
        <f t="shared" ref="G835:G898" si="53">IF(D835&lt;&gt;D834,1,G834+1)</f>
        <v>10</v>
      </c>
      <c r="I835" s="96"/>
      <c r="K835" t="str">
        <f t="shared" ref="K835:K898" si="54">L835&amp;O835</f>
        <v>HVN10</v>
      </c>
      <c r="L835" s="73" t="s">
        <v>147</v>
      </c>
      <c r="M835" s="72">
        <v>41583</v>
      </c>
      <c r="N835" s="84">
        <v>7.7100000000000002E-2</v>
      </c>
      <c r="O835" s="96">
        <f t="shared" ref="O835:O898" si="55">IF(L835&lt;&gt;L834,1,O834+1)</f>
        <v>10</v>
      </c>
      <c r="Q835" s="96"/>
      <c r="T835" s="110"/>
    </row>
    <row r="836" spans="3:20" x14ac:dyDescent="0.2">
      <c r="C836" s="96" t="str">
        <f t="shared" si="52"/>
        <v>IAG1</v>
      </c>
      <c r="D836" s="73" t="s">
        <v>148</v>
      </c>
      <c r="E836" s="100">
        <v>39876</v>
      </c>
      <c r="F836" s="101">
        <v>0.08</v>
      </c>
      <c r="G836" s="96">
        <f t="shared" si="53"/>
        <v>1</v>
      </c>
      <c r="I836" s="96"/>
      <c r="K836" t="str">
        <f t="shared" si="54"/>
        <v>IAG1</v>
      </c>
      <c r="L836" s="73" t="s">
        <v>148</v>
      </c>
      <c r="M836" s="72">
        <v>39876</v>
      </c>
      <c r="N836" s="84">
        <v>0.08</v>
      </c>
      <c r="O836" s="96">
        <f t="shared" si="55"/>
        <v>1</v>
      </c>
      <c r="Q836" s="96"/>
      <c r="T836" s="110"/>
    </row>
    <row r="837" spans="3:20" x14ac:dyDescent="0.2">
      <c r="C837" s="96" t="str">
        <f t="shared" si="52"/>
        <v>IAG2</v>
      </c>
      <c r="D837" s="73" t="s">
        <v>148</v>
      </c>
      <c r="E837" s="100">
        <v>40053</v>
      </c>
      <c r="F837" s="101">
        <v>9.5000000000000001E-2</v>
      </c>
      <c r="G837" s="96">
        <f t="shared" si="53"/>
        <v>2</v>
      </c>
      <c r="I837" s="96"/>
      <c r="K837" t="str">
        <f t="shared" si="54"/>
        <v>IAG2</v>
      </c>
      <c r="L837" s="73" t="s">
        <v>148</v>
      </c>
      <c r="M837" s="72">
        <v>40053</v>
      </c>
      <c r="N837" s="84">
        <v>9.5000000000000001E-2</v>
      </c>
      <c r="O837" s="96">
        <f t="shared" si="55"/>
        <v>2</v>
      </c>
      <c r="Q837" s="96"/>
      <c r="T837" s="110"/>
    </row>
    <row r="838" spans="3:20" x14ac:dyDescent="0.2">
      <c r="C838" s="96" t="str">
        <f t="shared" si="52"/>
        <v>IAG3</v>
      </c>
      <c r="D838" s="73" t="s">
        <v>148</v>
      </c>
      <c r="E838" s="100">
        <v>40242</v>
      </c>
      <c r="F838" s="101">
        <v>0.1</v>
      </c>
      <c r="G838" s="96">
        <f t="shared" si="53"/>
        <v>3</v>
      </c>
      <c r="I838" s="96"/>
      <c r="K838" t="str">
        <f t="shared" si="54"/>
        <v>IAG3</v>
      </c>
      <c r="L838" s="73" t="s">
        <v>148</v>
      </c>
      <c r="M838" s="72">
        <v>40242</v>
      </c>
      <c r="N838" s="84">
        <v>0.1</v>
      </c>
      <c r="O838" s="96">
        <f t="shared" si="55"/>
        <v>3</v>
      </c>
      <c r="Q838" s="96"/>
      <c r="T838" s="110"/>
    </row>
    <row r="839" spans="3:20" x14ac:dyDescent="0.2">
      <c r="C839" s="96" t="str">
        <f t="shared" si="52"/>
        <v>IAG4</v>
      </c>
      <c r="D839" s="73" t="s">
        <v>148</v>
      </c>
      <c r="E839" s="100">
        <v>40420</v>
      </c>
      <c r="F839" s="101">
        <v>0.12</v>
      </c>
      <c r="G839" s="96">
        <f t="shared" si="53"/>
        <v>4</v>
      </c>
      <c r="I839" s="96"/>
      <c r="K839" t="str">
        <f t="shared" si="54"/>
        <v>IAG4</v>
      </c>
      <c r="L839" s="73" t="s">
        <v>148</v>
      </c>
      <c r="M839" s="72">
        <v>40420</v>
      </c>
      <c r="N839" s="84">
        <v>0.12</v>
      </c>
      <c r="O839" s="96">
        <f t="shared" si="55"/>
        <v>4</v>
      </c>
      <c r="Q839" s="96"/>
      <c r="T839" s="110"/>
    </row>
    <row r="840" spans="3:20" x14ac:dyDescent="0.2">
      <c r="C840" s="96" t="str">
        <f t="shared" si="52"/>
        <v>IAG5</v>
      </c>
      <c r="D840" s="73" t="s">
        <v>148</v>
      </c>
      <c r="E840" s="100">
        <v>40609</v>
      </c>
      <c r="F840" s="101">
        <v>0.1</v>
      </c>
      <c r="G840" s="96">
        <f t="shared" si="53"/>
        <v>5</v>
      </c>
      <c r="I840" s="96"/>
      <c r="K840" t="str">
        <f t="shared" si="54"/>
        <v>IAG5</v>
      </c>
      <c r="L840" s="73" t="s">
        <v>148</v>
      </c>
      <c r="M840" s="72">
        <v>40609</v>
      </c>
      <c r="N840" s="84">
        <v>0.1</v>
      </c>
      <c r="O840" s="96">
        <f t="shared" si="55"/>
        <v>5</v>
      </c>
      <c r="Q840" s="96"/>
      <c r="T840" s="83"/>
    </row>
    <row r="841" spans="3:20" x14ac:dyDescent="0.2">
      <c r="C841" s="96" t="str">
        <f t="shared" si="52"/>
        <v>IAG6</v>
      </c>
      <c r="D841" s="73" t="s">
        <v>148</v>
      </c>
      <c r="E841" s="100">
        <v>40785</v>
      </c>
      <c r="F841" s="101">
        <v>0.13500000000000001</v>
      </c>
      <c r="G841" s="96">
        <f t="shared" si="53"/>
        <v>6</v>
      </c>
      <c r="I841" s="96"/>
      <c r="K841" t="str">
        <f t="shared" si="54"/>
        <v>IAG6</v>
      </c>
      <c r="L841" s="73" t="s">
        <v>148</v>
      </c>
      <c r="M841" s="72">
        <v>40785</v>
      </c>
      <c r="N841" s="84">
        <v>0.13500000000000001</v>
      </c>
      <c r="O841" s="96">
        <f t="shared" si="55"/>
        <v>6</v>
      </c>
      <c r="Q841" s="96"/>
      <c r="T841" s="83"/>
    </row>
    <row r="842" spans="3:20" x14ac:dyDescent="0.2">
      <c r="C842" s="96" t="str">
        <f t="shared" si="52"/>
        <v>IAG7</v>
      </c>
      <c r="D842" s="73" t="s">
        <v>148</v>
      </c>
      <c r="E842" s="100">
        <v>40974</v>
      </c>
      <c r="F842" s="101">
        <v>0.11</v>
      </c>
      <c r="G842" s="96">
        <f t="shared" si="53"/>
        <v>7</v>
      </c>
      <c r="I842" s="96"/>
      <c r="K842" t="str">
        <f t="shared" si="54"/>
        <v>IAG7</v>
      </c>
      <c r="L842" s="73" t="s">
        <v>148</v>
      </c>
      <c r="M842" s="72">
        <v>40974</v>
      </c>
      <c r="N842" s="84">
        <v>0.11</v>
      </c>
      <c r="O842" s="96">
        <f t="shared" si="55"/>
        <v>7</v>
      </c>
      <c r="Q842" s="96"/>
      <c r="T842" s="83"/>
    </row>
    <row r="843" spans="3:20" x14ac:dyDescent="0.2">
      <c r="C843" s="96" t="str">
        <f t="shared" si="52"/>
        <v>IAG8</v>
      </c>
      <c r="D843" s="73" t="s">
        <v>148</v>
      </c>
      <c r="E843" s="100">
        <v>41151</v>
      </c>
      <c r="F843" s="101">
        <v>0.14499999999999999</v>
      </c>
      <c r="G843" s="96">
        <f t="shared" si="53"/>
        <v>8</v>
      </c>
      <c r="I843" s="96"/>
      <c r="K843" t="str">
        <f t="shared" si="54"/>
        <v>IAG8</v>
      </c>
      <c r="L843" s="73" t="s">
        <v>148</v>
      </c>
      <c r="M843" s="72">
        <v>41151</v>
      </c>
      <c r="N843" s="84">
        <v>0.14499999999999999</v>
      </c>
      <c r="O843" s="96">
        <f t="shared" si="55"/>
        <v>8</v>
      </c>
      <c r="Q843" s="96"/>
      <c r="T843" s="83"/>
    </row>
    <row r="844" spans="3:20" x14ac:dyDescent="0.2">
      <c r="C844" s="96" t="str">
        <f t="shared" si="52"/>
        <v>IAG9</v>
      </c>
      <c r="D844" s="73" t="s">
        <v>148</v>
      </c>
      <c r="E844" s="100">
        <v>41339</v>
      </c>
      <c r="F844" s="101">
        <v>0.12</v>
      </c>
      <c r="G844" s="96">
        <f t="shared" si="53"/>
        <v>9</v>
      </c>
      <c r="I844" s="96"/>
      <c r="K844" t="str">
        <f t="shared" si="54"/>
        <v>IAG9</v>
      </c>
      <c r="L844" s="73" t="s">
        <v>148</v>
      </c>
      <c r="M844" s="72">
        <v>41339</v>
      </c>
      <c r="N844" s="84">
        <v>0.12</v>
      </c>
      <c r="O844" s="96">
        <f t="shared" si="55"/>
        <v>9</v>
      </c>
      <c r="Q844" s="96"/>
      <c r="T844" s="83"/>
    </row>
    <row r="845" spans="3:20" x14ac:dyDescent="0.2">
      <c r="C845" s="96" t="str">
        <f t="shared" si="52"/>
        <v>IAG10</v>
      </c>
      <c r="D845" s="73" t="s">
        <v>148</v>
      </c>
      <c r="E845" s="100">
        <v>41516</v>
      </c>
      <c r="F845" s="101">
        <v>0.15</v>
      </c>
      <c r="G845" s="96">
        <f t="shared" si="53"/>
        <v>10</v>
      </c>
      <c r="I845" s="96"/>
      <c r="K845" t="str">
        <f t="shared" si="54"/>
        <v>IAG10</v>
      </c>
      <c r="L845" s="73" t="s">
        <v>148</v>
      </c>
      <c r="M845" s="72">
        <v>41516</v>
      </c>
      <c r="N845" s="84">
        <v>0.15</v>
      </c>
      <c r="O845" s="96">
        <f t="shared" si="55"/>
        <v>10</v>
      </c>
      <c r="Q845" s="96"/>
      <c r="T845" s="83"/>
    </row>
    <row r="846" spans="3:20" x14ac:dyDescent="0.2">
      <c r="C846" s="96" t="str">
        <f t="shared" si="52"/>
        <v>IFL1</v>
      </c>
      <c r="D846" s="73" t="s">
        <v>149</v>
      </c>
      <c r="E846" s="100">
        <v>39885</v>
      </c>
      <c r="F846" s="101">
        <v>0.14000000000000001</v>
      </c>
      <c r="G846" s="96">
        <f t="shared" si="53"/>
        <v>1</v>
      </c>
      <c r="I846" s="96"/>
      <c r="K846" t="str">
        <f t="shared" si="54"/>
        <v>IFL1</v>
      </c>
      <c r="L846" s="73" t="s">
        <v>149</v>
      </c>
      <c r="M846" s="72">
        <v>39885</v>
      </c>
      <c r="N846" s="84">
        <v>0.14000000000000001</v>
      </c>
      <c r="O846" s="96">
        <f t="shared" si="55"/>
        <v>1</v>
      </c>
      <c r="Q846" s="96"/>
      <c r="T846" s="83"/>
    </row>
    <row r="847" spans="3:20" x14ac:dyDescent="0.2">
      <c r="C847" s="96" t="str">
        <f t="shared" si="52"/>
        <v>IFL2</v>
      </c>
      <c r="D847" s="73" t="s">
        <v>149</v>
      </c>
      <c r="E847" s="100">
        <v>40074</v>
      </c>
      <c r="F847" s="101">
        <v>0.14000000000000001</v>
      </c>
      <c r="G847" s="96">
        <f t="shared" si="53"/>
        <v>2</v>
      </c>
      <c r="I847" s="96"/>
      <c r="K847" t="str">
        <f t="shared" si="54"/>
        <v>IFL2</v>
      </c>
      <c r="L847" s="73" t="s">
        <v>149</v>
      </c>
      <c r="M847" s="72">
        <v>40074</v>
      </c>
      <c r="N847" s="84">
        <v>0.14000000000000001</v>
      </c>
      <c r="O847" s="96">
        <f t="shared" si="55"/>
        <v>2</v>
      </c>
      <c r="Q847" s="96"/>
      <c r="T847" s="110"/>
    </row>
    <row r="848" spans="3:20" x14ac:dyDescent="0.2">
      <c r="C848" s="96" t="str">
        <f t="shared" si="52"/>
        <v>IFL3</v>
      </c>
      <c r="D848" s="73" t="s">
        <v>149</v>
      </c>
      <c r="E848" s="100">
        <v>40252</v>
      </c>
      <c r="F848" s="101">
        <v>0.14000000000000001</v>
      </c>
      <c r="G848" s="96">
        <f t="shared" si="53"/>
        <v>3</v>
      </c>
      <c r="I848" s="96"/>
      <c r="K848" t="str">
        <f t="shared" si="54"/>
        <v>IFL3</v>
      </c>
      <c r="L848" s="73" t="s">
        <v>149</v>
      </c>
      <c r="M848" s="72">
        <v>40252</v>
      </c>
      <c r="N848" s="84">
        <v>0.14000000000000001</v>
      </c>
      <c r="O848" s="96">
        <f t="shared" si="55"/>
        <v>3</v>
      </c>
      <c r="Q848" s="96"/>
      <c r="T848" s="110"/>
    </row>
    <row r="849" spans="3:20" x14ac:dyDescent="0.2">
      <c r="C849" s="96" t="str">
        <f t="shared" si="52"/>
        <v>IFL4</v>
      </c>
      <c r="D849" s="73" t="s">
        <v>149</v>
      </c>
      <c r="E849" s="100">
        <v>40441</v>
      </c>
      <c r="F849" s="101">
        <v>0.15</v>
      </c>
      <c r="G849" s="96">
        <f t="shared" si="53"/>
        <v>4</v>
      </c>
      <c r="I849" s="96"/>
      <c r="K849" t="str">
        <f t="shared" si="54"/>
        <v>IFL4</v>
      </c>
      <c r="L849" s="73" t="s">
        <v>149</v>
      </c>
      <c r="M849" s="72">
        <v>40441</v>
      </c>
      <c r="N849" s="84">
        <v>0.15</v>
      </c>
      <c r="O849" s="96">
        <f t="shared" si="55"/>
        <v>4</v>
      </c>
      <c r="Q849" s="96"/>
      <c r="T849" s="110"/>
    </row>
    <row r="850" spans="3:20" x14ac:dyDescent="0.2">
      <c r="C850" s="96" t="str">
        <f t="shared" si="52"/>
        <v>IFL5</v>
      </c>
      <c r="D850" s="73" t="s">
        <v>149</v>
      </c>
      <c r="E850" s="100">
        <v>40617</v>
      </c>
      <c r="F850" s="101">
        <v>0.15</v>
      </c>
      <c r="G850" s="96">
        <f t="shared" si="53"/>
        <v>5</v>
      </c>
      <c r="I850" s="96"/>
      <c r="K850" t="str">
        <f t="shared" si="54"/>
        <v>IFL5</v>
      </c>
      <c r="L850" s="73" t="s">
        <v>149</v>
      </c>
      <c r="M850" s="72">
        <v>40617</v>
      </c>
      <c r="N850" s="84">
        <v>0.15</v>
      </c>
      <c r="O850" s="96">
        <f t="shared" si="55"/>
        <v>5</v>
      </c>
      <c r="Q850" s="96"/>
      <c r="T850" s="110"/>
    </row>
    <row r="851" spans="3:20" x14ac:dyDescent="0.2">
      <c r="C851" s="96" t="str">
        <f t="shared" si="52"/>
        <v>IFL6</v>
      </c>
      <c r="D851" s="73" t="s">
        <v>149</v>
      </c>
      <c r="E851" s="100">
        <v>40806</v>
      </c>
      <c r="F851" s="101">
        <v>0.15</v>
      </c>
      <c r="G851" s="96">
        <f t="shared" si="53"/>
        <v>6</v>
      </c>
      <c r="I851" s="96"/>
      <c r="K851" t="str">
        <f t="shared" si="54"/>
        <v>IFL6</v>
      </c>
      <c r="L851" s="73" t="s">
        <v>149</v>
      </c>
      <c r="M851" s="72">
        <v>40806</v>
      </c>
      <c r="N851" s="84">
        <v>0.15</v>
      </c>
      <c r="O851" s="96">
        <f t="shared" si="55"/>
        <v>6</v>
      </c>
      <c r="Q851" s="96"/>
      <c r="T851" s="110"/>
    </row>
    <row r="852" spans="3:20" x14ac:dyDescent="0.2">
      <c r="C852" s="96" t="str">
        <f t="shared" si="52"/>
        <v>IFL7</v>
      </c>
      <c r="D852" s="73" t="s">
        <v>149</v>
      </c>
      <c r="E852" s="100">
        <v>40983</v>
      </c>
      <c r="F852" s="101">
        <v>0.15</v>
      </c>
      <c r="G852" s="96">
        <f t="shared" si="53"/>
        <v>7</v>
      </c>
      <c r="I852" s="96"/>
      <c r="K852" t="str">
        <f t="shared" si="54"/>
        <v>IFL7</v>
      </c>
      <c r="L852" s="73" t="s">
        <v>149</v>
      </c>
      <c r="M852" s="72">
        <v>40983</v>
      </c>
      <c r="N852" s="84">
        <v>0.15</v>
      </c>
      <c r="O852" s="96">
        <f t="shared" si="55"/>
        <v>7</v>
      </c>
      <c r="Q852" s="96"/>
      <c r="T852" s="110"/>
    </row>
    <row r="853" spans="3:20" x14ac:dyDescent="0.2">
      <c r="C853" s="96" t="str">
        <f t="shared" si="52"/>
        <v>IFL8</v>
      </c>
      <c r="D853" s="73" t="s">
        <v>149</v>
      </c>
      <c r="E853" s="100">
        <v>41172</v>
      </c>
      <c r="F853" s="101">
        <v>0.16</v>
      </c>
      <c r="G853" s="96">
        <f t="shared" si="53"/>
        <v>8</v>
      </c>
      <c r="I853" s="96"/>
      <c r="K853" t="str">
        <f t="shared" si="54"/>
        <v>IFL8</v>
      </c>
      <c r="L853" s="73" t="s">
        <v>149</v>
      </c>
      <c r="M853" s="72">
        <v>41172</v>
      </c>
      <c r="N853" s="84">
        <v>0.16</v>
      </c>
      <c r="O853" s="96">
        <f t="shared" si="55"/>
        <v>8</v>
      </c>
      <c r="Q853" s="96"/>
      <c r="T853" s="110"/>
    </row>
    <row r="854" spans="3:20" x14ac:dyDescent="0.2">
      <c r="C854" s="96" t="str">
        <f t="shared" si="52"/>
        <v>IFL9</v>
      </c>
      <c r="D854" s="73" t="s">
        <v>149</v>
      </c>
      <c r="E854" s="100">
        <v>41348</v>
      </c>
      <c r="F854" s="101">
        <v>0.15</v>
      </c>
      <c r="G854" s="96">
        <f t="shared" si="53"/>
        <v>9</v>
      </c>
      <c r="I854" s="96"/>
      <c r="K854" t="str">
        <f t="shared" si="54"/>
        <v>IFL9</v>
      </c>
      <c r="L854" s="73" t="s">
        <v>149</v>
      </c>
      <c r="M854" s="72">
        <v>41348</v>
      </c>
      <c r="N854" s="84">
        <v>0.15</v>
      </c>
      <c r="O854" s="96">
        <f t="shared" si="55"/>
        <v>9</v>
      </c>
      <c r="Q854" s="96"/>
      <c r="T854" s="110"/>
    </row>
    <row r="855" spans="3:20" x14ac:dyDescent="0.2">
      <c r="C855" s="96" t="str">
        <f t="shared" si="52"/>
        <v>IFL10</v>
      </c>
      <c r="D855" s="73" t="s">
        <v>149</v>
      </c>
      <c r="E855" s="100">
        <v>41537</v>
      </c>
      <c r="F855" s="101">
        <v>0.18</v>
      </c>
      <c r="G855" s="96">
        <f t="shared" si="53"/>
        <v>10</v>
      </c>
      <c r="I855" s="96"/>
      <c r="K855" t="str">
        <f t="shared" si="54"/>
        <v>IFL10</v>
      </c>
      <c r="L855" s="73" t="s">
        <v>149</v>
      </c>
      <c r="M855" s="72">
        <v>41537</v>
      </c>
      <c r="N855" s="84">
        <v>0.18</v>
      </c>
      <c r="O855" s="96">
        <f t="shared" si="55"/>
        <v>10</v>
      </c>
      <c r="Q855" s="96"/>
      <c r="T855" s="110"/>
    </row>
    <row r="856" spans="3:20" x14ac:dyDescent="0.2">
      <c r="C856" s="96" t="str">
        <f t="shared" si="52"/>
        <v>IGO1</v>
      </c>
      <c r="D856" s="73" t="s">
        <v>150</v>
      </c>
      <c r="E856" s="100">
        <v>39875</v>
      </c>
      <c r="F856" s="101">
        <v>0.01</v>
      </c>
      <c r="G856" s="96">
        <f t="shared" si="53"/>
        <v>1</v>
      </c>
      <c r="I856" s="96"/>
      <c r="K856" t="str">
        <f t="shared" si="54"/>
        <v>IGO1</v>
      </c>
      <c r="L856" s="73" t="s">
        <v>150</v>
      </c>
      <c r="M856" s="72">
        <v>39875</v>
      </c>
      <c r="N856" s="84">
        <v>0.01</v>
      </c>
      <c r="O856" s="96">
        <f t="shared" si="55"/>
        <v>1</v>
      </c>
      <c r="Q856" s="96"/>
      <c r="T856" s="110"/>
    </row>
    <row r="857" spans="3:20" x14ac:dyDescent="0.2">
      <c r="C857" s="96" t="str">
        <f t="shared" si="52"/>
        <v>IGO2</v>
      </c>
      <c r="D857" s="73" t="s">
        <v>150</v>
      </c>
      <c r="E857" s="100">
        <v>40058</v>
      </c>
      <c r="F857" s="101">
        <v>0.01</v>
      </c>
      <c r="G857" s="96">
        <f t="shared" si="53"/>
        <v>2</v>
      </c>
      <c r="I857" s="96"/>
      <c r="K857" t="str">
        <f t="shared" si="54"/>
        <v>IGO2</v>
      </c>
      <c r="L857" s="73" t="s">
        <v>150</v>
      </c>
      <c r="M857" s="72">
        <v>40058</v>
      </c>
      <c r="N857" s="84">
        <v>0.01</v>
      </c>
      <c r="O857" s="96">
        <f t="shared" si="55"/>
        <v>2</v>
      </c>
      <c r="Q857" s="96"/>
      <c r="T857" s="110"/>
    </row>
    <row r="858" spans="3:20" x14ac:dyDescent="0.2">
      <c r="C858" s="96" t="str">
        <f t="shared" si="52"/>
        <v>IGO3</v>
      </c>
      <c r="D858" s="73" t="s">
        <v>150</v>
      </c>
      <c r="E858" s="100">
        <v>40241</v>
      </c>
      <c r="F858" s="101">
        <v>0.01</v>
      </c>
      <c r="G858" s="96">
        <f t="shared" si="53"/>
        <v>3</v>
      </c>
      <c r="I858" s="96"/>
      <c r="K858" t="str">
        <f t="shared" si="54"/>
        <v>IGO3</v>
      </c>
      <c r="L858" s="73" t="s">
        <v>150</v>
      </c>
      <c r="M858" s="72">
        <v>40241</v>
      </c>
      <c r="N858" s="84">
        <v>0.01</v>
      </c>
      <c r="O858" s="96">
        <f t="shared" si="55"/>
        <v>3</v>
      </c>
      <c r="Q858" s="96"/>
      <c r="T858" s="110"/>
    </row>
    <row r="859" spans="3:20" x14ac:dyDescent="0.2">
      <c r="C859" s="96" t="str">
        <f t="shared" si="52"/>
        <v>IGO4</v>
      </c>
      <c r="D859" s="73" t="s">
        <v>150</v>
      </c>
      <c r="E859" s="100">
        <v>40423</v>
      </c>
      <c r="F859" s="101">
        <v>0.01</v>
      </c>
      <c r="G859" s="96">
        <f t="shared" si="53"/>
        <v>4</v>
      </c>
      <c r="I859" s="96"/>
      <c r="K859" t="str">
        <f t="shared" si="54"/>
        <v>IGO4</v>
      </c>
      <c r="L859" s="73" t="s">
        <v>150</v>
      </c>
      <c r="M859" s="72">
        <v>40423</v>
      </c>
      <c r="N859" s="84">
        <v>0.01</v>
      </c>
      <c r="O859" s="96">
        <f t="shared" si="55"/>
        <v>4</v>
      </c>
      <c r="Q859" s="96"/>
      <c r="T859" s="110"/>
    </row>
    <row r="860" spans="3:20" x14ac:dyDescent="0.2">
      <c r="C860" s="96" t="str">
        <f t="shared" si="52"/>
        <v>IGO5</v>
      </c>
      <c r="D860" s="73" t="s">
        <v>150</v>
      </c>
      <c r="E860" s="100">
        <v>40606</v>
      </c>
      <c r="F860" s="101">
        <v>1.2E-2</v>
      </c>
      <c r="G860" s="96">
        <f t="shared" si="53"/>
        <v>5</v>
      </c>
      <c r="I860" s="96"/>
      <c r="K860" t="str">
        <f t="shared" si="54"/>
        <v>IGO5</v>
      </c>
      <c r="L860" s="73" t="s">
        <v>150</v>
      </c>
      <c r="M860" s="72">
        <v>40606</v>
      </c>
      <c r="N860" s="84">
        <v>1.2E-2</v>
      </c>
      <c r="O860" s="96">
        <f t="shared" si="55"/>
        <v>5</v>
      </c>
      <c r="Q860" s="96"/>
      <c r="T860" s="110"/>
    </row>
    <row r="861" spans="3:20" x14ac:dyDescent="0.2">
      <c r="C861" s="96" t="str">
        <f t="shared" si="52"/>
        <v>IGO6</v>
      </c>
      <c r="D861" s="73" t="s">
        <v>150</v>
      </c>
      <c r="E861" s="100">
        <v>40788</v>
      </c>
      <c r="F861" s="101">
        <v>1.2E-2</v>
      </c>
      <c r="G861" s="96">
        <f t="shared" si="53"/>
        <v>6</v>
      </c>
      <c r="I861" s="96"/>
      <c r="K861" t="str">
        <f t="shared" si="54"/>
        <v>IGO6</v>
      </c>
      <c r="L861" s="73" t="s">
        <v>150</v>
      </c>
      <c r="M861" s="72">
        <v>40788</v>
      </c>
      <c r="N861" s="84">
        <v>1.2E-2</v>
      </c>
      <c r="O861" s="96">
        <f t="shared" si="55"/>
        <v>6</v>
      </c>
      <c r="Q861" s="96"/>
      <c r="T861" s="110"/>
    </row>
    <row r="862" spans="3:20" x14ac:dyDescent="0.2">
      <c r="C862" s="96" t="str">
        <f t="shared" si="52"/>
        <v>IGO7</v>
      </c>
      <c r="D862" s="73" t="s">
        <v>150</v>
      </c>
      <c r="E862" s="100">
        <v>40974</v>
      </c>
      <c r="F862" s="101">
        <v>1.2E-2</v>
      </c>
      <c r="G862" s="96">
        <f t="shared" si="53"/>
        <v>7</v>
      </c>
      <c r="I862" s="96"/>
      <c r="K862" t="str">
        <f t="shared" si="54"/>
        <v>IGO7</v>
      </c>
      <c r="L862" s="73" t="s">
        <v>150</v>
      </c>
      <c r="M862" s="72">
        <v>40974</v>
      </c>
      <c r="N862" s="84">
        <v>1.2E-2</v>
      </c>
      <c r="O862" s="96">
        <f t="shared" si="55"/>
        <v>7</v>
      </c>
      <c r="Q862" s="96"/>
      <c r="T862" s="110"/>
    </row>
    <row r="863" spans="3:20" x14ac:dyDescent="0.2">
      <c r="C863" s="96" t="str">
        <f t="shared" si="52"/>
        <v>IGO8</v>
      </c>
      <c r="D863" s="73" t="s">
        <v>150</v>
      </c>
      <c r="E863" s="100">
        <v>41156</v>
      </c>
      <c r="F863" s="101">
        <v>1.2E-2</v>
      </c>
      <c r="G863" s="96">
        <f t="shared" si="53"/>
        <v>8</v>
      </c>
      <c r="I863" s="96"/>
      <c r="K863" t="str">
        <f t="shared" si="54"/>
        <v>IGO8</v>
      </c>
      <c r="L863" s="73" t="s">
        <v>150</v>
      </c>
      <c r="M863" s="72">
        <v>41156</v>
      </c>
      <c r="N863" s="84">
        <v>1.2E-2</v>
      </c>
      <c r="O863" s="96">
        <f t="shared" si="55"/>
        <v>8</v>
      </c>
      <c r="Q863" s="96"/>
      <c r="T863" s="110"/>
    </row>
    <row r="864" spans="3:20" x14ac:dyDescent="0.2">
      <c r="C864" s="96" t="str">
        <f t="shared" si="52"/>
        <v>IGO9</v>
      </c>
      <c r="D864" s="73" t="s">
        <v>150</v>
      </c>
      <c r="E864" s="100">
        <v>41339</v>
      </c>
      <c r="F864" s="101">
        <v>1.4999999999999999E-2</v>
      </c>
      <c r="G864" s="96">
        <f t="shared" si="53"/>
        <v>9</v>
      </c>
      <c r="I864" s="96"/>
      <c r="K864" t="str">
        <f t="shared" si="54"/>
        <v>IGO9</v>
      </c>
      <c r="L864" s="73" t="s">
        <v>150</v>
      </c>
      <c r="M864" s="72">
        <v>41339</v>
      </c>
      <c r="N864" s="84">
        <v>1.4999999999999999E-2</v>
      </c>
      <c r="O864" s="96">
        <f t="shared" si="55"/>
        <v>9</v>
      </c>
      <c r="Q864" s="96"/>
      <c r="T864" s="110"/>
    </row>
    <row r="865" spans="3:20" x14ac:dyDescent="0.2">
      <c r="C865" s="96" t="str">
        <f t="shared" si="52"/>
        <v>IGO10</v>
      </c>
      <c r="D865" s="73" t="s">
        <v>150</v>
      </c>
      <c r="E865" s="100">
        <v>41521</v>
      </c>
      <c r="F865" s="101">
        <v>1.4999999999999999E-2</v>
      </c>
      <c r="G865" s="96">
        <f t="shared" si="53"/>
        <v>10</v>
      </c>
      <c r="I865" s="96"/>
      <c r="K865" t="str">
        <f t="shared" si="54"/>
        <v>IGO10</v>
      </c>
      <c r="L865" s="73" t="s">
        <v>150</v>
      </c>
      <c r="M865" s="72">
        <v>41521</v>
      </c>
      <c r="N865" s="84">
        <v>1.4999999999999999E-2</v>
      </c>
      <c r="O865" s="96">
        <f t="shared" si="55"/>
        <v>10</v>
      </c>
      <c r="Q865" s="96"/>
      <c r="T865" s="110"/>
    </row>
    <row r="866" spans="3:20" x14ac:dyDescent="0.2">
      <c r="C866" s="96" t="str">
        <f t="shared" si="52"/>
        <v>IIF1</v>
      </c>
      <c r="D866" s="73" t="s">
        <v>151</v>
      </c>
      <c r="E866" s="100">
        <v>39897</v>
      </c>
      <c r="F866" s="101">
        <v>0.01</v>
      </c>
      <c r="G866" s="96">
        <f t="shared" si="53"/>
        <v>1</v>
      </c>
      <c r="I866" s="96"/>
      <c r="K866" t="str">
        <f t="shared" si="54"/>
        <v>IIF1</v>
      </c>
      <c r="L866" s="73" t="s">
        <v>151</v>
      </c>
      <c r="M866" s="72">
        <v>39897</v>
      </c>
      <c r="N866" s="84">
        <v>0.01</v>
      </c>
      <c r="O866" s="96">
        <f t="shared" si="55"/>
        <v>1</v>
      </c>
      <c r="Q866" s="96"/>
      <c r="T866" s="110"/>
    </row>
    <row r="867" spans="3:20" x14ac:dyDescent="0.2">
      <c r="C867" s="96" t="str">
        <f t="shared" si="52"/>
        <v>IIF2</v>
      </c>
      <c r="D867" s="73" t="s">
        <v>151</v>
      </c>
      <c r="E867" s="100">
        <v>39988</v>
      </c>
      <c r="F867" s="101">
        <v>0.01</v>
      </c>
      <c r="G867" s="96">
        <f t="shared" si="53"/>
        <v>2</v>
      </c>
      <c r="I867" s="96"/>
      <c r="K867" t="str">
        <f t="shared" si="54"/>
        <v>IIF2</v>
      </c>
      <c r="L867" s="73" t="s">
        <v>151</v>
      </c>
      <c r="M867" s="72">
        <v>39988</v>
      </c>
      <c r="N867" s="84">
        <v>0.01</v>
      </c>
      <c r="O867" s="96">
        <f t="shared" si="55"/>
        <v>2</v>
      </c>
      <c r="Q867" s="96"/>
      <c r="T867" s="110"/>
    </row>
    <row r="868" spans="3:20" x14ac:dyDescent="0.2">
      <c r="C868" s="96" t="str">
        <f t="shared" si="52"/>
        <v>IIF3</v>
      </c>
      <c r="D868" s="73" t="s">
        <v>151</v>
      </c>
      <c r="E868" s="100">
        <v>40080</v>
      </c>
      <c r="F868" s="101">
        <v>0.01</v>
      </c>
      <c r="G868" s="96">
        <f t="shared" si="53"/>
        <v>3</v>
      </c>
      <c r="I868" s="96"/>
      <c r="K868" t="str">
        <f t="shared" si="54"/>
        <v>IIF3</v>
      </c>
      <c r="L868" s="73" t="s">
        <v>151</v>
      </c>
      <c r="M868" s="72">
        <v>40080</v>
      </c>
      <c r="N868" s="84">
        <v>0.01</v>
      </c>
      <c r="O868" s="96">
        <f t="shared" si="55"/>
        <v>3</v>
      </c>
      <c r="Q868" s="96"/>
      <c r="T868" s="110"/>
    </row>
    <row r="869" spans="3:20" x14ac:dyDescent="0.2">
      <c r="C869" s="96" t="str">
        <f t="shared" si="52"/>
        <v>IIF4</v>
      </c>
      <c r="D869" s="73" t="s">
        <v>151</v>
      </c>
      <c r="E869" s="100">
        <v>40170</v>
      </c>
      <c r="F869" s="101">
        <v>0.01</v>
      </c>
      <c r="G869" s="96">
        <f t="shared" si="53"/>
        <v>4</v>
      </c>
      <c r="I869" s="96"/>
      <c r="K869" t="str">
        <f t="shared" si="54"/>
        <v>IIF4</v>
      </c>
      <c r="L869" s="73" t="s">
        <v>151</v>
      </c>
      <c r="M869" s="72">
        <v>40170</v>
      </c>
      <c r="N869" s="84">
        <v>0.01</v>
      </c>
      <c r="O869" s="96">
        <f t="shared" si="55"/>
        <v>4</v>
      </c>
      <c r="Q869" s="96"/>
      <c r="T869" s="110"/>
    </row>
    <row r="870" spans="3:20" x14ac:dyDescent="0.2">
      <c r="C870" s="96" t="str">
        <f t="shared" si="52"/>
        <v>IIF5</v>
      </c>
      <c r="D870" s="73" t="s">
        <v>151</v>
      </c>
      <c r="E870" s="100">
        <v>40262</v>
      </c>
      <c r="F870" s="101">
        <v>1.4999999999999999E-2</v>
      </c>
      <c r="G870" s="96">
        <f t="shared" si="53"/>
        <v>5</v>
      </c>
      <c r="I870" s="96"/>
      <c r="K870" t="str">
        <f t="shared" si="54"/>
        <v>IIF5</v>
      </c>
      <c r="L870" s="73" t="s">
        <v>151</v>
      </c>
      <c r="M870" s="72">
        <v>40262</v>
      </c>
      <c r="N870" s="84">
        <v>1.4999999999999999E-2</v>
      </c>
      <c r="O870" s="96">
        <f t="shared" si="55"/>
        <v>5</v>
      </c>
      <c r="Q870" s="96"/>
      <c r="T870" s="110"/>
    </row>
    <row r="871" spans="3:20" x14ac:dyDescent="0.2">
      <c r="C871" s="96" t="str">
        <f t="shared" si="52"/>
        <v>IIF6</v>
      </c>
      <c r="D871" s="73" t="s">
        <v>151</v>
      </c>
      <c r="E871" s="100">
        <v>40353</v>
      </c>
      <c r="F871" s="101">
        <v>1.4999999999999999E-2</v>
      </c>
      <c r="G871" s="96">
        <f t="shared" si="53"/>
        <v>6</v>
      </c>
      <c r="I871" s="96"/>
      <c r="K871" t="str">
        <f t="shared" si="54"/>
        <v>IIF6</v>
      </c>
      <c r="L871" s="73" t="s">
        <v>151</v>
      </c>
      <c r="M871" s="72">
        <v>40353</v>
      </c>
      <c r="N871" s="84">
        <v>1.4999999999999999E-2</v>
      </c>
      <c r="O871" s="96">
        <f t="shared" si="55"/>
        <v>6</v>
      </c>
      <c r="Q871" s="96"/>
      <c r="T871" s="110"/>
    </row>
    <row r="872" spans="3:20" x14ac:dyDescent="0.2">
      <c r="C872" s="96" t="str">
        <f t="shared" si="52"/>
        <v>IIF7</v>
      </c>
      <c r="D872" s="73" t="s">
        <v>151</v>
      </c>
      <c r="E872" s="100">
        <v>40445</v>
      </c>
      <c r="F872" s="101">
        <v>1.4999999999999999E-2</v>
      </c>
      <c r="G872" s="96">
        <f t="shared" si="53"/>
        <v>7</v>
      </c>
      <c r="I872" s="96"/>
      <c r="K872" t="str">
        <f t="shared" si="54"/>
        <v>IIF7</v>
      </c>
      <c r="L872" s="73" t="s">
        <v>151</v>
      </c>
      <c r="M872" s="72">
        <v>40445</v>
      </c>
      <c r="N872" s="84">
        <v>1.4999999999999999E-2</v>
      </c>
      <c r="O872" s="96">
        <f t="shared" si="55"/>
        <v>7</v>
      </c>
      <c r="Q872" s="96"/>
      <c r="T872" s="110"/>
    </row>
    <row r="873" spans="3:20" x14ac:dyDescent="0.2">
      <c r="C873" s="96" t="str">
        <f t="shared" si="52"/>
        <v>IIF8</v>
      </c>
      <c r="D873" s="73" t="s">
        <v>151</v>
      </c>
      <c r="E873" s="100">
        <v>40535</v>
      </c>
      <c r="F873" s="101">
        <v>1.4999999999999999E-2</v>
      </c>
      <c r="G873" s="96">
        <f t="shared" si="53"/>
        <v>8</v>
      </c>
      <c r="I873" s="96"/>
      <c r="K873" t="str">
        <f t="shared" si="54"/>
        <v>IIF8</v>
      </c>
      <c r="L873" s="73" t="s">
        <v>151</v>
      </c>
      <c r="M873" s="72">
        <v>40535</v>
      </c>
      <c r="N873" s="84">
        <v>1.4999999999999999E-2</v>
      </c>
      <c r="O873" s="96">
        <f t="shared" si="55"/>
        <v>8</v>
      </c>
      <c r="Q873" s="96"/>
      <c r="T873" s="110"/>
    </row>
    <row r="874" spans="3:20" x14ac:dyDescent="0.2">
      <c r="C874" s="96" t="str">
        <f t="shared" si="52"/>
        <v>IIF9</v>
      </c>
      <c r="D874" s="73" t="s">
        <v>151</v>
      </c>
      <c r="E874" s="100">
        <v>40627</v>
      </c>
      <c r="F874" s="101">
        <v>0.02</v>
      </c>
      <c r="G874" s="96">
        <f t="shared" si="53"/>
        <v>9</v>
      </c>
      <c r="I874" s="96"/>
      <c r="K874" t="str">
        <f t="shared" si="54"/>
        <v>IIF9</v>
      </c>
      <c r="L874" s="73" t="s">
        <v>151</v>
      </c>
      <c r="M874" s="72">
        <v>40627</v>
      </c>
      <c r="N874" s="84">
        <v>0.02</v>
      </c>
      <c r="O874" s="96">
        <f t="shared" si="55"/>
        <v>9</v>
      </c>
      <c r="Q874" s="96"/>
    </row>
    <row r="875" spans="3:20" x14ac:dyDescent="0.2">
      <c r="C875" s="96" t="str">
        <f t="shared" si="52"/>
        <v>IIF10</v>
      </c>
      <c r="D875" s="73" t="s">
        <v>151</v>
      </c>
      <c r="E875" s="100">
        <v>40718</v>
      </c>
      <c r="F875" s="101">
        <v>0.02</v>
      </c>
      <c r="G875" s="96">
        <f t="shared" si="53"/>
        <v>10</v>
      </c>
      <c r="I875" s="96"/>
      <c r="K875" t="str">
        <f t="shared" si="54"/>
        <v>IIF10</v>
      </c>
      <c r="L875" s="73" t="s">
        <v>151</v>
      </c>
      <c r="M875" s="72">
        <v>40718</v>
      </c>
      <c r="N875" s="84">
        <v>0.02</v>
      </c>
      <c r="O875" s="96">
        <f t="shared" si="55"/>
        <v>10</v>
      </c>
      <c r="Q875" s="96"/>
      <c r="T875" s="110"/>
    </row>
    <row r="876" spans="3:20" x14ac:dyDescent="0.2">
      <c r="C876" s="96" t="str">
        <f t="shared" si="52"/>
        <v>IIF11</v>
      </c>
      <c r="D876" s="73" t="s">
        <v>151</v>
      </c>
      <c r="E876" s="100">
        <v>40812</v>
      </c>
      <c r="F876" s="101">
        <v>0.02</v>
      </c>
      <c r="G876" s="96">
        <f t="shared" si="53"/>
        <v>11</v>
      </c>
      <c r="I876" s="96"/>
      <c r="K876" t="str">
        <f t="shared" si="54"/>
        <v>IIF11</v>
      </c>
      <c r="L876" s="73" t="s">
        <v>151</v>
      </c>
      <c r="M876" s="72">
        <v>40812</v>
      </c>
      <c r="N876" s="84">
        <v>0.02</v>
      </c>
      <c r="O876" s="96">
        <f t="shared" si="55"/>
        <v>11</v>
      </c>
      <c r="Q876" s="96"/>
    </row>
    <row r="877" spans="3:20" x14ac:dyDescent="0.2">
      <c r="C877" s="96" t="str">
        <f t="shared" si="52"/>
        <v>IIF12</v>
      </c>
      <c r="D877" s="73" t="s">
        <v>151</v>
      </c>
      <c r="E877" s="100">
        <v>40899</v>
      </c>
      <c r="F877" s="101">
        <v>0.02</v>
      </c>
      <c r="G877" s="96">
        <f t="shared" si="53"/>
        <v>12</v>
      </c>
      <c r="I877" s="96"/>
      <c r="K877" t="str">
        <f t="shared" si="54"/>
        <v>IIF12</v>
      </c>
      <c r="L877" s="73" t="s">
        <v>151</v>
      </c>
      <c r="M877" s="72">
        <v>40899</v>
      </c>
      <c r="N877" s="84">
        <v>0.02</v>
      </c>
      <c r="O877" s="96">
        <f t="shared" si="55"/>
        <v>12</v>
      </c>
      <c r="Q877" s="96"/>
      <c r="T877" s="110"/>
    </row>
    <row r="878" spans="3:20" x14ac:dyDescent="0.2">
      <c r="C878" s="96" t="str">
        <f t="shared" si="52"/>
        <v>IIF13</v>
      </c>
      <c r="D878" s="73" t="s">
        <v>151</v>
      </c>
      <c r="E878" s="100">
        <v>40994</v>
      </c>
      <c r="F878" s="101">
        <v>0.03</v>
      </c>
      <c r="G878" s="96">
        <f t="shared" si="53"/>
        <v>13</v>
      </c>
      <c r="I878" s="96"/>
      <c r="K878" t="str">
        <f t="shared" si="54"/>
        <v>IIF13</v>
      </c>
      <c r="L878" s="73" t="s">
        <v>151</v>
      </c>
      <c r="M878" s="72">
        <v>40994</v>
      </c>
      <c r="N878" s="84">
        <v>0.03</v>
      </c>
      <c r="O878" s="96">
        <f t="shared" si="55"/>
        <v>13</v>
      </c>
      <c r="Q878" s="96"/>
      <c r="T878" s="110"/>
    </row>
    <row r="879" spans="3:20" x14ac:dyDescent="0.2">
      <c r="C879" s="96" t="str">
        <f t="shared" si="52"/>
        <v>IIF14</v>
      </c>
      <c r="D879" s="73" t="s">
        <v>151</v>
      </c>
      <c r="E879" s="100">
        <v>41085</v>
      </c>
      <c r="F879" s="101">
        <v>0.03</v>
      </c>
      <c r="G879" s="96">
        <f t="shared" si="53"/>
        <v>14</v>
      </c>
      <c r="I879" s="96"/>
      <c r="K879" t="str">
        <f t="shared" si="54"/>
        <v>IIF14</v>
      </c>
      <c r="L879" s="73" t="s">
        <v>151</v>
      </c>
      <c r="M879" s="72">
        <v>41085</v>
      </c>
      <c r="N879" s="84">
        <v>0.03</v>
      </c>
      <c r="O879" s="96">
        <f t="shared" si="55"/>
        <v>14</v>
      </c>
      <c r="Q879" s="96"/>
      <c r="T879" s="110"/>
    </row>
    <row r="880" spans="3:20" x14ac:dyDescent="0.2">
      <c r="C880" s="96" t="str">
        <f t="shared" si="52"/>
        <v>IIF15</v>
      </c>
      <c r="D880" s="73" t="s">
        <v>151</v>
      </c>
      <c r="E880" s="100">
        <v>41176</v>
      </c>
      <c r="F880" s="101">
        <v>0.04</v>
      </c>
      <c r="G880" s="96">
        <f t="shared" si="53"/>
        <v>15</v>
      </c>
      <c r="I880" s="96"/>
      <c r="K880" t="str">
        <f t="shared" si="54"/>
        <v>IIF15</v>
      </c>
      <c r="L880" s="73" t="s">
        <v>151</v>
      </c>
      <c r="M880" s="72">
        <v>41176</v>
      </c>
      <c r="N880" s="84">
        <v>0.04</v>
      </c>
      <c r="O880" s="96">
        <f t="shared" si="55"/>
        <v>15</v>
      </c>
      <c r="Q880" s="96"/>
      <c r="T880" s="110"/>
    </row>
    <row r="881" spans="3:20" x14ac:dyDescent="0.2">
      <c r="C881" s="96" t="str">
        <f t="shared" si="52"/>
        <v>IIF16</v>
      </c>
      <c r="D881" s="73" t="s">
        <v>151</v>
      </c>
      <c r="E881" s="100">
        <v>41264</v>
      </c>
      <c r="F881" s="101">
        <v>0.04</v>
      </c>
      <c r="G881" s="96">
        <f t="shared" si="53"/>
        <v>16</v>
      </c>
      <c r="I881" s="96"/>
      <c r="K881" t="str">
        <f t="shared" si="54"/>
        <v>IIF16</v>
      </c>
      <c r="L881" s="73" t="s">
        <v>151</v>
      </c>
      <c r="M881" s="72">
        <v>41264</v>
      </c>
      <c r="N881" s="84">
        <v>0.04</v>
      </c>
      <c r="O881" s="96">
        <f t="shared" si="55"/>
        <v>16</v>
      </c>
      <c r="Q881" s="96"/>
      <c r="T881" s="110"/>
    </row>
    <row r="882" spans="3:20" x14ac:dyDescent="0.2">
      <c r="C882" s="96" t="str">
        <f t="shared" si="52"/>
        <v>IIF17</v>
      </c>
      <c r="D882" s="73" t="s">
        <v>151</v>
      </c>
      <c r="E882" s="100">
        <v>41358</v>
      </c>
      <c r="F882" s="101">
        <v>0.05</v>
      </c>
      <c r="G882" s="96">
        <f t="shared" si="53"/>
        <v>17</v>
      </c>
      <c r="I882" s="96"/>
      <c r="K882" t="str">
        <f t="shared" si="54"/>
        <v>IIF17</v>
      </c>
      <c r="L882" s="73" t="s">
        <v>151</v>
      </c>
      <c r="M882" s="72">
        <v>41358</v>
      </c>
      <c r="N882" s="84">
        <v>0.05</v>
      </c>
      <c r="O882" s="96">
        <f t="shared" si="55"/>
        <v>17</v>
      </c>
      <c r="Q882" s="96"/>
      <c r="T882" s="110"/>
    </row>
    <row r="883" spans="3:20" x14ac:dyDescent="0.2">
      <c r="C883" s="96" t="str">
        <f t="shared" si="52"/>
        <v>IIF18</v>
      </c>
      <c r="D883" s="73" t="s">
        <v>151</v>
      </c>
      <c r="E883" s="100">
        <v>41449</v>
      </c>
      <c r="F883" s="101">
        <v>0.05</v>
      </c>
      <c r="G883" s="96">
        <f t="shared" si="53"/>
        <v>18</v>
      </c>
      <c r="I883" s="96"/>
      <c r="K883" t="str">
        <f t="shared" si="54"/>
        <v>IIF18</v>
      </c>
      <c r="L883" s="73" t="s">
        <v>151</v>
      </c>
      <c r="M883" s="72">
        <v>41449</v>
      </c>
      <c r="N883" s="84">
        <v>0.05</v>
      </c>
      <c r="O883" s="96">
        <f t="shared" si="55"/>
        <v>18</v>
      </c>
      <c r="Q883" s="96"/>
      <c r="T883" s="110"/>
    </row>
    <row r="884" spans="3:20" x14ac:dyDescent="0.2">
      <c r="C884" s="96" t="str">
        <f t="shared" si="52"/>
        <v>ILU1</v>
      </c>
      <c r="D884" s="73" t="s">
        <v>152</v>
      </c>
      <c r="E884" s="100">
        <v>40449</v>
      </c>
      <c r="F884" s="101">
        <v>4.9500000000000002E-2</v>
      </c>
      <c r="G884" s="96">
        <f t="shared" si="53"/>
        <v>1</v>
      </c>
      <c r="I884" s="96"/>
      <c r="K884" t="str">
        <f t="shared" si="54"/>
        <v>ILU1</v>
      </c>
      <c r="L884" s="73" t="s">
        <v>152</v>
      </c>
      <c r="M884" s="72">
        <v>40449</v>
      </c>
      <c r="N884" s="84">
        <v>4.9500000000000002E-2</v>
      </c>
      <c r="O884" s="96">
        <f t="shared" si="55"/>
        <v>1</v>
      </c>
      <c r="Q884" s="96"/>
      <c r="T884" s="110"/>
    </row>
    <row r="885" spans="3:20" x14ac:dyDescent="0.2">
      <c r="C885" s="96" t="str">
        <f t="shared" si="52"/>
        <v>ILU2</v>
      </c>
      <c r="D885" s="73" t="s">
        <v>152</v>
      </c>
      <c r="E885" s="100">
        <v>40645</v>
      </c>
      <c r="F885" s="101">
        <v>4.9500000000000002E-2</v>
      </c>
      <c r="G885" s="96">
        <f t="shared" si="53"/>
        <v>2</v>
      </c>
      <c r="I885" s="96"/>
      <c r="K885" t="str">
        <f t="shared" si="54"/>
        <v>ILU2</v>
      </c>
      <c r="L885" s="73" t="s">
        <v>152</v>
      </c>
      <c r="M885" s="72">
        <v>40645</v>
      </c>
      <c r="N885" s="84">
        <v>4.9500000000000002E-2</v>
      </c>
      <c r="O885" s="96">
        <f t="shared" si="55"/>
        <v>2</v>
      </c>
      <c r="Q885" s="96"/>
      <c r="T885" s="110"/>
    </row>
    <row r="886" spans="3:20" x14ac:dyDescent="0.2">
      <c r="C886" s="96" t="str">
        <f t="shared" si="52"/>
        <v>ILU3</v>
      </c>
      <c r="D886" s="73" t="s">
        <v>152</v>
      </c>
      <c r="E886" s="100">
        <v>40815</v>
      </c>
      <c r="F886" s="101">
        <v>7.7499999999999999E-2</v>
      </c>
      <c r="G886" s="96">
        <f t="shared" si="53"/>
        <v>3</v>
      </c>
      <c r="I886" s="96"/>
      <c r="K886" t="str">
        <f t="shared" si="54"/>
        <v>ILU3</v>
      </c>
      <c r="L886" s="73" t="s">
        <v>152</v>
      </c>
      <c r="M886" s="72">
        <v>40815</v>
      </c>
      <c r="N886" s="84">
        <v>7.7499999999999999E-2</v>
      </c>
      <c r="O886" s="96">
        <f t="shared" si="55"/>
        <v>3</v>
      </c>
      <c r="Q886" s="96"/>
      <c r="T886" s="110"/>
    </row>
    <row r="887" spans="3:20" x14ac:dyDescent="0.2">
      <c r="C887" s="96" t="str">
        <f t="shared" si="52"/>
        <v>ILU4</v>
      </c>
      <c r="D887" s="73" t="s">
        <v>152</v>
      </c>
      <c r="E887" s="100">
        <v>41011</v>
      </c>
      <c r="F887" s="101">
        <v>7.7499999999999999E-2</v>
      </c>
      <c r="G887" s="96">
        <f t="shared" si="53"/>
        <v>4</v>
      </c>
      <c r="I887" s="96"/>
      <c r="K887" t="str">
        <f t="shared" si="54"/>
        <v>ILU4</v>
      </c>
      <c r="L887" s="73" t="s">
        <v>152</v>
      </c>
      <c r="M887" s="72">
        <v>41011</v>
      </c>
      <c r="N887" s="84">
        <v>7.7499999999999999E-2</v>
      </c>
      <c r="O887" s="96">
        <f t="shared" si="55"/>
        <v>4</v>
      </c>
      <c r="Q887" s="96"/>
      <c r="T887" s="110"/>
    </row>
    <row r="888" spans="3:20" x14ac:dyDescent="0.2">
      <c r="C888" s="96" t="str">
        <f t="shared" si="52"/>
        <v>ILU5</v>
      </c>
      <c r="D888" s="73" t="s">
        <v>152</v>
      </c>
      <c r="E888" s="100">
        <v>41183</v>
      </c>
      <c r="F888" s="101">
        <v>7.8E-2</v>
      </c>
      <c r="G888" s="96">
        <f t="shared" si="53"/>
        <v>5</v>
      </c>
      <c r="I888" s="96"/>
      <c r="K888" t="str">
        <f t="shared" si="54"/>
        <v>ILU5</v>
      </c>
      <c r="L888" s="73" t="s">
        <v>152</v>
      </c>
      <c r="M888" s="72">
        <v>41183</v>
      </c>
      <c r="N888" s="84">
        <v>7.8E-2</v>
      </c>
      <c r="O888" s="96">
        <f t="shared" si="55"/>
        <v>5</v>
      </c>
      <c r="Q888" s="96"/>
      <c r="T888" s="110"/>
    </row>
    <row r="889" spans="3:20" x14ac:dyDescent="0.2">
      <c r="C889" s="96" t="str">
        <f t="shared" si="52"/>
        <v>ILU6</v>
      </c>
      <c r="D889" s="73" t="s">
        <v>152</v>
      </c>
      <c r="E889" s="100">
        <v>41376</v>
      </c>
      <c r="F889" s="101">
        <v>7.8E-2</v>
      </c>
      <c r="G889" s="96">
        <f t="shared" si="53"/>
        <v>6</v>
      </c>
      <c r="I889" s="96"/>
      <c r="K889" t="str">
        <f t="shared" si="54"/>
        <v>ILU6</v>
      </c>
      <c r="L889" s="73" t="s">
        <v>152</v>
      </c>
      <c r="M889" s="72">
        <v>41376</v>
      </c>
      <c r="N889" s="84">
        <v>7.8E-2</v>
      </c>
      <c r="O889" s="96">
        <f t="shared" si="55"/>
        <v>6</v>
      </c>
      <c r="Q889" s="96"/>
      <c r="T889" s="110"/>
    </row>
    <row r="890" spans="3:20" x14ac:dyDescent="0.2">
      <c r="C890" s="96" t="str">
        <f t="shared" si="52"/>
        <v>IOF1</v>
      </c>
      <c r="D890" s="73" t="s">
        <v>153</v>
      </c>
      <c r="E890" s="100">
        <v>39897</v>
      </c>
      <c r="F890" s="101">
        <v>2.12E-2</v>
      </c>
      <c r="G890" s="96">
        <f t="shared" si="53"/>
        <v>1</v>
      </c>
      <c r="I890" s="96"/>
      <c r="K890" t="str">
        <f t="shared" si="54"/>
        <v>IOF1</v>
      </c>
      <c r="L890" s="73" t="s">
        <v>153</v>
      </c>
      <c r="M890" s="72">
        <v>39897</v>
      </c>
      <c r="N890" s="84">
        <v>2.12E-2</v>
      </c>
      <c r="O890" s="96">
        <f t="shared" si="55"/>
        <v>1</v>
      </c>
      <c r="Q890" s="96"/>
      <c r="T890" s="110"/>
    </row>
    <row r="891" spans="3:20" x14ac:dyDescent="0.2">
      <c r="C891" s="96" t="str">
        <f t="shared" si="52"/>
        <v>IOF2</v>
      </c>
      <c r="D891" s="73" t="s">
        <v>153</v>
      </c>
      <c r="E891" s="100">
        <v>39988</v>
      </c>
      <c r="F891" s="101">
        <v>2.12E-2</v>
      </c>
      <c r="G891" s="96">
        <f t="shared" si="53"/>
        <v>2</v>
      </c>
      <c r="I891" s="96"/>
      <c r="K891" t="str">
        <f t="shared" si="54"/>
        <v>IOF2</v>
      </c>
      <c r="L891" s="73" t="s">
        <v>153</v>
      </c>
      <c r="M891" s="72">
        <v>39988</v>
      </c>
      <c r="N891" s="84">
        <v>2.12E-2</v>
      </c>
      <c r="O891" s="96">
        <f t="shared" si="55"/>
        <v>2</v>
      </c>
      <c r="Q891" s="96"/>
      <c r="T891" s="110"/>
    </row>
    <row r="892" spans="3:20" x14ac:dyDescent="0.2">
      <c r="C892" s="96" t="str">
        <f t="shared" si="52"/>
        <v>IOF3</v>
      </c>
      <c r="D892" s="73" t="s">
        <v>153</v>
      </c>
      <c r="E892" s="100">
        <v>40080</v>
      </c>
      <c r="F892" s="101">
        <v>2.1700000000000001E-2</v>
      </c>
      <c r="G892" s="96">
        <f t="shared" si="53"/>
        <v>3</v>
      </c>
      <c r="I892" s="96"/>
      <c r="K892" t="str">
        <f t="shared" si="54"/>
        <v>IOF3</v>
      </c>
      <c r="L892" s="73" t="s">
        <v>153</v>
      </c>
      <c r="M892" s="72">
        <v>40080</v>
      </c>
      <c r="N892" s="84">
        <v>2.1700000000000001E-2</v>
      </c>
      <c r="O892" s="96">
        <f t="shared" si="55"/>
        <v>3</v>
      </c>
      <c r="Q892" s="96"/>
      <c r="T892" s="110"/>
    </row>
    <row r="893" spans="3:20" x14ac:dyDescent="0.2">
      <c r="C893" s="96" t="str">
        <f t="shared" si="52"/>
        <v>IOF4</v>
      </c>
      <c r="D893" s="73" t="s">
        <v>153</v>
      </c>
      <c r="E893" s="100">
        <v>40170</v>
      </c>
      <c r="F893" s="101">
        <v>2.1700000000000001E-2</v>
      </c>
      <c r="G893" s="96">
        <f t="shared" si="53"/>
        <v>4</v>
      </c>
      <c r="I893" s="96"/>
      <c r="K893" t="str">
        <f t="shared" si="54"/>
        <v>IOF4</v>
      </c>
      <c r="L893" s="73" t="s">
        <v>153</v>
      </c>
      <c r="M893" s="72">
        <v>40170</v>
      </c>
      <c r="N893" s="84">
        <v>2.1700000000000001E-2</v>
      </c>
      <c r="O893" s="96">
        <f t="shared" si="55"/>
        <v>4</v>
      </c>
      <c r="Q893" s="96"/>
      <c r="T893" s="110"/>
    </row>
    <row r="894" spans="3:20" x14ac:dyDescent="0.2">
      <c r="C894" s="96" t="str">
        <f t="shared" si="52"/>
        <v>IOF5</v>
      </c>
      <c r="D894" s="73" t="s">
        <v>153</v>
      </c>
      <c r="E894" s="100">
        <v>40262</v>
      </c>
      <c r="F894" s="101">
        <v>2.1700000000000001E-2</v>
      </c>
      <c r="G894" s="96">
        <f t="shared" si="53"/>
        <v>5</v>
      </c>
      <c r="I894" s="96"/>
      <c r="K894" t="str">
        <f t="shared" si="54"/>
        <v>IOF5</v>
      </c>
      <c r="L894" s="73" t="s">
        <v>153</v>
      </c>
      <c r="M894" s="72">
        <v>40262</v>
      </c>
      <c r="N894" s="84">
        <v>2.1700000000000001E-2</v>
      </c>
      <c r="O894" s="96">
        <f t="shared" si="55"/>
        <v>5</v>
      </c>
      <c r="Q894" s="96"/>
      <c r="T894" s="110"/>
    </row>
    <row r="895" spans="3:20" x14ac:dyDescent="0.2">
      <c r="C895" s="96" t="str">
        <f t="shared" si="52"/>
        <v>IOF6</v>
      </c>
      <c r="D895" s="73" t="s">
        <v>153</v>
      </c>
      <c r="E895" s="100">
        <v>40353</v>
      </c>
      <c r="F895" s="101">
        <v>2.1899999999999999E-2</v>
      </c>
      <c r="G895" s="96">
        <f t="shared" si="53"/>
        <v>6</v>
      </c>
      <c r="I895" s="96"/>
      <c r="K895" t="str">
        <f t="shared" si="54"/>
        <v>IOF6</v>
      </c>
      <c r="L895" s="73" t="s">
        <v>153</v>
      </c>
      <c r="M895" s="72">
        <v>40353</v>
      </c>
      <c r="N895" s="84">
        <v>2.1899999999999999E-2</v>
      </c>
      <c r="O895" s="96">
        <f t="shared" si="55"/>
        <v>6</v>
      </c>
      <c r="Q895" s="96"/>
      <c r="T895" s="110"/>
    </row>
    <row r="896" spans="3:20" x14ac:dyDescent="0.2">
      <c r="C896" s="96" t="str">
        <f t="shared" si="52"/>
        <v>IOF7</v>
      </c>
      <c r="D896" s="73" t="s">
        <v>153</v>
      </c>
      <c r="E896" s="100">
        <v>40445</v>
      </c>
      <c r="F896" s="101">
        <v>2.1899999999999999E-2</v>
      </c>
      <c r="G896" s="96">
        <f t="shared" si="53"/>
        <v>7</v>
      </c>
      <c r="I896" s="96"/>
      <c r="K896" t="str">
        <f t="shared" si="54"/>
        <v>IOF7</v>
      </c>
      <c r="L896" s="73" t="s">
        <v>153</v>
      </c>
      <c r="M896" s="72">
        <v>40445</v>
      </c>
      <c r="N896" s="84">
        <v>2.1899999999999999E-2</v>
      </c>
      <c r="O896" s="96">
        <f t="shared" si="55"/>
        <v>7</v>
      </c>
      <c r="Q896" s="96"/>
      <c r="T896" s="110"/>
    </row>
    <row r="897" spans="3:20" x14ac:dyDescent="0.2">
      <c r="C897" s="96" t="str">
        <f t="shared" si="52"/>
        <v>IOF8</v>
      </c>
      <c r="D897" s="73" t="s">
        <v>153</v>
      </c>
      <c r="E897" s="100">
        <v>40535</v>
      </c>
      <c r="F897" s="101">
        <v>2.1899999999999999E-2</v>
      </c>
      <c r="G897" s="96">
        <f t="shared" si="53"/>
        <v>8</v>
      </c>
      <c r="I897" s="96"/>
      <c r="K897" t="str">
        <f t="shared" si="54"/>
        <v>IOF8</v>
      </c>
      <c r="L897" s="73" t="s">
        <v>153</v>
      </c>
      <c r="M897" s="72">
        <v>40535</v>
      </c>
      <c r="N897" s="84">
        <v>2.1899999999999999E-2</v>
      </c>
      <c r="O897" s="96">
        <f t="shared" si="55"/>
        <v>8</v>
      </c>
      <c r="Q897" s="96"/>
      <c r="T897" s="110"/>
    </row>
    <row r="898" spans="3:20" x14ac:dyDescent="0.2">
      <c r="C898" s="96" t="str">
        <f t="shared" si="52"/>
        <v>IOF9</v>
      </c>
      <c r="D898" s="73" t="s">
        <v>153</v>
      </c>
      <c r="E898" s="100">
        <v>40627</v>
      </c>
      <c r="F898" s="101">
        <v>2.1899999999999999E-2</v>
      </c>
      <c r="G898" s="96">
        <f t="shared" si="53"/>
        <v>9</v>
      </c>
      <c r="I898" s="96"/>
      <c r="K898" t="str">
        <f t="shared" si="54"/>
        <v>IOF9</v>
      </c>
      <c r="L898" s="73" t="s">
        <v>153</v>
      </c>
      <c r="M898" s="72">
        <v>40627</v>
      </c>
      <c r="N898" s="84">
        <v>2.1899999999999999E-2</v>
      </c>
      <c r="O898" s="96">
        <f t="shared" si="55"/>
        <v>9</v>
      </c>
      <c r="Q898" s="96"/>
      <c r="T898" s="110"/>
    </row>
    <row r="899" spans="3:20" x14ac:dyDescent="0.2">
      <c r="C899" s="96" t="str">
        <f t="shared" ref="C899:C962" si="56">D899&amp;G899</f>
        <v>IOF10</v>
      </c>
      <c r="D899" s="73" t="s">
        <v>153</v>
      </c>
      <c r="E899" s="100">
        <v>40718</v>
      </c>
      <c r="F899" s="101">
        <v>2.23E-2</v>
      </c>
      <c r="G899" s="96">
        <f t="shared" ref="G899:G962" si="57">IF(D899&lt;&gt;D898,1,G898+1)</f>
        <v>10</v>
      </c>
      <c r="I899" s="96"/>
      <c r="K899" t="str">
        <f t="shared" ref="K899:K962" si="58">L899&amp;O899</f>
        <v>IOF10</v>
      </c>
      <c r="L899" s="73" t="s">
        <v>153</v>
      </c>
      <c r="M899" s="72">
        <v>40718</v>
      </c>
      <c r="N899" s="84">
        <v>2.23E-2</v>
      </c>
      <c r="O899" s="96">
        <f t="shared" ref="O899:O962" si="59">IF(L899&lt;&gt;L898,1,O898+1)</f>
        <v>10</v>
      </c>
      <c r="Q899" s="96"/>
      <c r="T899" s="110"/>
    </row>
    <row r="900" spans="3:20" x14ac:dyDescent="0.2">
      <c r="C900" s="96" t="str">
        <f t="shared" si="56"/>
        <v>IOF11</v>
      </c>
      <c r="D900" s="73" t="s">
        <v>153</v>
      </c>
      <c r="E900" s="100">
        <v>40812</v>
      </c>
      <c r="F900" s="101">
        <v>2.1099999999999997E-2</v>
      </c>
      <c r="G900" s="96">
        <f t="shared" si="57"/>
        <v>11</v>
      </c>
      <c r="I900" s="96"/>
      <c r="K900" t="str">
        <f t="shared" si="58"/>
        <v>IOF11</v>
      </c>
      <c r="L900" s="73" t="s">
        <v>153</v>
      </c>
      <c r="M900" s="72">
        <v>40812</v>
      </c>
      <c r="N900" s="84">
        <v>2.1099999999999997E-2</v>
      </c>
      <c r="O900" s="96">
        <f t="shared" si="59"/>
        <v>11</v>
      </c>
      <c r="Q900" s="96"/>
      <c r="T900" s="110"/>
    </row>
    <row r="901" spans="3:20" x14ac:dyDescent="0.2">
      <c r="C901" s="96" t="str">
        <f t="shared" si="56"/>
        <v>IOF12</v>
      </c>
      <c r="D901" s="73" t="s">
        <v>153</v>
      </c>
      <c r="E901" s="100">
        <v>40899</v>
      </c>
      <c r="F901" s="101">
        <v>2.1099999999999997E-2</v>
      </c>
      <c r="G901" s="96">
        <f t="shared" si="57"/>
        <v>12</v>
      </c>
      <c r="I901" s="96"/>
      <c r="K901" t="str">
        <f t="shared" si="58"/>
        <v>IOF12</v>
      </c>
      <c r="L901" s="73" t="s">
        <v>153</v>
      </c>
      <c r="M901" s="72">
        <v>40899</v>
      </c>
      <c r="N901" s="84">
        <v>2.1099999999999997E-2</v>
      </c>
      <c r="O901" s="96">
        <f t="shared" si="59"/>
        <v>12</v>
      </c>
      <c r="Q901" s="96"/>
      <c r="T901" s="110"/>
    </row>
    <row r="902" spans="3:20" x14ac:dyDescent="0.2">
      <c r="C902" s="96" t="str">
        <f t="shared" si="56"/>
        <v>IOF13</v>
      </c>
      <c r="D902" s="73" t="s">
        <v>153</v>
      </c>
      <c r="E902" s="100">
        <v>40994</v>
      </c>
      <c r="F902" s="101">
        <v>2.1099999999999997E-2</v>
      </c>
      <c r="G902" s="96">
        <f t="shared" si="57"/>
        <v>13</v>
      </c>
      <c r="I902" s="96"/>
      <c r="K902" t="str">
        <f t="shared" si="58"/>
        <v>IOF13</v>
      </c>
      <c r="L902" s="73" t="s">
        <v>153</v>
      </c>
      <c r="M902" s="72">
        <v>40994</v>
      </c>
      <c r="N902" s="84">
        <v>2.1099999999999997E-2</v>
      </c>
      <c r="O902" s="96">
        <f t="shared" si="59"/>
        <v>13</v>
      </c>
      <c r="Q902" s="96"/>
      <c r="T902" s="110"/>
    </row>
    <row r="903" spans="3:20" x14ac:dyDescent="0.2">
      <c r="C903" s="96" t="str">
        <f t="shared" si="56"/>
        <v>IOF14</v>
      </c>
      <c r="D903" s="73" t="s">
        <v>153</v>
      </c>
      <c r="E903" s="100">
        <v>41085</v>
      </c>
      <c r="F903" s="101">
        <v>2.1700000000000001E-2</v>
      </c>
      <c r="G903" s="96">
        <f t="shared" si="57"/>
        <v>14</v>
      </c>
      <c r="I903" s="96"/>
      <c r="K903" t="str">
        <f t="shared" si="58"/>
        <v>IOF14</v>
      </c>
      <c r="L903" s="73" t="s">
        <v>153</v>
      </c>
      <c r="M903" s="72">
        <v>41085</v>
      </c>
      <c r="N903" s="84">
        <v>2.1700000000000001E-2</v>
      </c>
      <c r="O903" s="96">
        <f t="shared" si="59"/>
        <v>14</v>
      </c>
      <c r="Q903" s="96"/>
      <c r="T903" s="110"/>
    </row>
    <row r="904" spans="3:20" x14ac:dyDescent="0.2">
      <c r="C904" s="96" t="str">
        <f t="shared" si="56"/>
        <v>IOF15</v>
      </c>
      <c r="D904" s="73" t="s">
        <v>153</v>
      </c>
      <c r="E904" s="100">
        <v>41176</v>
      </c>
      <c r="F904" s="101">
        <v>1.9599999999999999E-2</v>
      </c>
      <c r="G904" s="96">
        <f t="shared" si="57"/>
        <v>15</v>
      </c>
      <c r="I904" s="96"/>
      <c r="K904" t="str">
        <f t="shared" si="58"/>
        <v>IOF15</v>
      </c>
      <c r="L904" s="73" t="s">
        <v>153</v>
      </c>
      <c r="M904" s="72">
        <v>41176</v>
      </c>
      <c r="N904" s="84">
        <v>1.9599999999999999E-2</v>
      </c>
      <c r="O904" s="96">
        <f t="shared" si="59"/>
        <v>15</v>
      </c>
      <c r="Q904" s="96"/>
      <c r="T904" s="110"/>
    </row>
    <row r="905" spans="3:20" x14ac:dyDescent="0.2">
      <c r="C905" s="96" t="str">
        <f t="shared" si="56"/>
        <v>IOF16</v>
      </c>
      <c r="D905" s="73" t="s">
        <v>153</v>
      </c>
      <c r="E905" s="100">
        <v>41264</v>
      </c>
      <c r="F905" s="101">
        <v>1.9599999999999999E-2</v>
      </c>
      <c r="G905" s="96">
        <f t="shared" si="57"/>
        <v>16</v>
      </c>
      <c r="I905" s="96"/>
      <c r="K905" t="str">
        <f t="shared" si="58"/>
        <v>IOF16</v>
      </c>
      <c r="L905" s="73" t="s">
        <v>153</v>
      </c>
      <c r="M905" s="72">
        <v>41264</v>
      </c>
      <c r="N905" s="84">
        <v>1.9599999999999999E-2</v>
      </c>
      <c r="O905" s="96">
        <f t="shared" si="59"/>
        <v>16</v>
      </c>
      <c r="Q905" s="96"/>
      <c r="T905" s="110"/>
    </row>
    <row r="906" spans="3:20" x14ac:dyDescent="0.2">
      <c r="C906" s="96" t="str">
        <f t="shared" si="56"/>
        <v>IOF17</v>
      </c>
      <c r="D906" s="73" t="s">
        <v>153</v>
      </c>
      <c r="E906" s="100">
        <v>41358</v>
      </c>
      <c r="F906" s="101">
        <v>1.9599999999999999E-2</v>
      </c>
      <c r="G906" s="96">
        <f t="shared" si="57"/>
        <v>17</v>
      </c>
      <c r="I906" s="96"/>
      <c r="K906" t="str">
        <f t="shared" si="58"/>
        <v>IOF17</v>
      </c>
      <c r="L906" s="73" t="s">
        <v>153</v>
      </c>
      <c r="M906" s="72">
        <v>41358</v>
      </c>
      <c r="N906" s="84">
        <v>1.9599999999999999E-2</v>
      </c>
      <c r="O906" s="96">
        <f t="shared" si="59"/>
        <v>17</v>
      </c>
      <c r="Q906" s="96"/>
      <c r="T906" s="110"/>
    </row>
    <row r="907" spans="3:20" x14ac:dyDescent="0.2">
      <c r="C907" s="96" t="str">
        <f t="shared" si="56"/>
        <v>IOF18</v>
      </c>
      <c r="D907" s="73" t="s">
        <v>153</v>
      </c>
      <c r="E907" s="100">
        <v>41449</v>
      </c>
      <c r="F907" s="101">
        <v>2.0199999999999999E-2</v>
      </c>
      <c r="G907" s="96">
        <f t="shared" si="57"/>
        <v>18</v>
      </c>
      <c r="I907" s="96"/>
      <c r="K907" t="str">
        <f t="shared" si="58"/>
        <v>IOF18</v>
      </c>
      <c r="L907" s="73" t="s">
        <v>153</v>
      </c>
      <c r="M907" s="72">
        <v>41449</v>
      </c>
      <c r="N907" s="84">
        <v>2.0199999999999999E-2</v>
      </c>
      <c r="O907" s="96">
        <f t="shared" si="59"/>
        <v>18</v>
      </c>
      <c r="Q907" s="96"/>
      <c r="T907" s="110"/>
    </row>
    <row r="908" spans="3:20" x14ac:dyDescent="0.2">
      <c r="C908" s="96" t="str">
        <f t="shared" si="56"/>
        <v>IPL1</v>
      </c>
      <c r="D908" s="73" t="s">
        <v>154</v>
      </c>
      <c r="E908" s="100">
        <v>39941</v>
      </c>
      <c r="F908" s="101">
        <v>7.0000000000000007E-2</v>
      </c>
      <c r="G908" s="96">
        <f t="shared" si="57"/>
        <v>1</v>
      </c>
      <c r="I908" s="96"/>
      <c r="K908" t="str">
        <f t="shared" si="58"/>
        <v>IPL1</v>
      </c>
      <c r="L908" s="73" t="s">
        <v>154</v>
      </c>
      <c r="M908" s="72">
        <v>39941</v>
      </c>
      <c r="N908" s="84">
        <v>7.0000000000000007E-2</v>
      </c>
      <c r="O908" s="96">
        <f t="shared" si="59"/>
        <v>1</v>
      </c>
      <c r="Q908" s="96"/>
      <c r="T908" s="110"/>
    </row>
    <row r="909" spans="3:20" x14ac:dyDescent="0.2">
      <c r="C909" s="96" t="str">
        <f t="shared" si="56"/>
        <v>IPL2</v>
      </c>
      <c r="D909" s="73" t="s">
        <v>154</v>
      </c>
      <c r="E909" s="100">
        <v>40135</v>
      </c>
      <c r="F909" s="101">
        <v>0.14000000000000001</v>
      </c>
      <c r="G909" s="96">
        <f t="shared" si="57"/>
        <v>2</v>
      </c>
      <c r="I909" s="96"/>
      <c r="K909" t="str">
        <f t="shared" si="58"/>
        <v>IPL2</v>
      </c>
      <c r="L909" s="73" t="s">
        <v>154</v>
      </c>
      <c r="M909" s="72">
        <v>40135</v>
      </c>
      <c r="N909" s="84">
        <v>0.14000000000000001</v>
      </c>
      <c r="O909" s="96">
        <f t="shared" si="59"/>
        <v>2</v>
      </c>
      <c r="Q909" s="96"/>
      <c r="T909" s="110"/>
    </row>
    <row r="910" spans="3:20" x14ac:dyDescent="0.2">
      <c r="C910" s="96" t="str">
        <f t="shared" si="56"/>
        <v>IPL3</v>
      </c>
      <c r="D910" s="73" t="s">
        <v>154</v>
      </c>
      <c r="E910" s="100">
        <v>40308</v>
      </c>
      <c r="F910" s="101">
        <v>0.08</v>
      </c>
      <c r="G910" s="96">
        <f t="shared" si="57"/>
        <v>3</v>
      </c>
      <c r="I910" s="96"/>
      <c r="K910" t="str">
        <f t="shared" si="58"/>
        <v>IPL3</v>
      </c>
      <c r="L910" s="73" t="s">
        <v>154</v>
      </c>
      <c r="M910" s="72">
        <v>40308</v>
      </c>
      <c r="N910" s="84">
        <v>0.08</v>
      </c>
      <c r="O910" s="96">
        <f t="shared" si="59"/>
        <v>3</v>
      </c>
      <c r="Q910" s="96"/>
      <c r="T910" s="110"/>
    </row>
    <row r="911" spans="3:20" x14ac:dyDescent="0.2">
      <c r="C911" s="96" t="str">
        <f t="shared" si="56"/>
        <v>IPL4</v>
      </c>
      <c r="D911" s="73" t="s">
        <v>154</v>
      </c>
      <c r="E911" s="100">
        <v>40500</v>
      </c>
      <c r="F911" s="101">
        <v>0.16</v>
      </c>
      <c r="G911" s="96">
        <f t="shared" si="57"/>
        <v>4</v>
      </c>
      <c r="I911" s="96"/>
      <c r="K911" t="str">
        <f t="shared" si="58"/>
        <v>IPL4</v>
      </c>
      <c r="L911" s="73" t="s">
        <v>154</v>
      </c>
      <c r="M911" s="72">
        <v>40500</v>
      </c>
      <c r="N911" s="84">
        <v>0.16</v>
      </c>
      <c r="O911" s="96">
        <f t="shared" si="59"/>
        <v>4</v>
      </c>
      <c r="Q911" s="96"/>
      <c r="T911" s="110"/>
    </row>
    <row r="912" spans="3:20" x14ac:dyDescent="0.2">
      <c r="C912" s="96" t="str">
        <f t="shared" si="56"/>
        <v>IPL5</v>
      </c>
      <c r="D912" s="73" t="s">
        <v>154</v>
      </c>
      <c r="E912" s="100">
        <v>40673</v>
      </c>
      <c r="F912" s="101">
        <v>0.09</v>
      </c>
      <c r="G912" s="96">
        <f t="shared" si="57"/>
        <v>5</v>
      </c>
      <c r="I912" s="96"/>
      <c r="K912" t="str">
        <f t="shared" si="58"/>
        <v>IPL5</v>
      </c>
      <c r="L912" s="73" t="s">
        <v>154</v>
      </c>
      <c r="M912" s="72">
        <v>40673</v>
      </c>
      <c r="N912" s="84">
        <v>0.09</v>
      </c>
      <c r="O912" s="96">
        <f t="shared" si="59"/>
        <v>5</v>
      </c>
      <c r="Q912" s="96"/>
      <c r="T912" s="110"/>
    </row>
    <row r="913" spans="3:20" x14ac:dyDescent="0.2">
      <c r="C913" s="96" t="str">
        <f t="shared" si="56"/>
        <v>IPL6</v>
      </c>
      <c r="D913" s="73" t="s">
        <v>154</v>
      </c>
      <c r="E913" s="100">
        <v>40865</v>
      </c>
      <c r="F913" s="101">
        <v>0.18</v>
      </c>
      <c r="G913" s="96">
        <f t="shared" si="57"/>
        <v>6</v>
      </c>
      <c r="I913" s="96"/>
      <c r="K913" t="str">
        <f t="shared" si="58"/>
        <v>IPL6</v>
      </c>
      <c r="L913" s="73" t="s">
        <v>154</v>
      </c>
      <c r="M913" s="72">
        <v>40865</v>
      </c>
      <c r="N913" s="84">
        <v>0.18</v>
      </c>
      <c r="O913" s="96">
        <f t="shared" si="59"/>
        <v>6</v>
      </c>
      <c r="Q913" s="96"/>
      <c r="T913" s="110"/>
    </row>
    <row r="914" spans="3:20" x14ac:dyDescent="0.2">
      <c r="C914" s="96" t="str">
        <f t="shared" si="56"/>
        <v>IPL7</v>
      </c>
      <c r="D914" s="73" t="s">
        <v>154</v>
      </c>
      <c r="E914" s="100">
        <v>41039</v>
      </c>
      <c r="F914" s="101">
        <v>0.09</v>
      </c>
      <c r="G914" s="96">
        <f t="shared" si="57"/>
        <v>7</v>
      </c>
      <c r="I914" s="96"/>
      <c r="K914" t="str">
        <f t="shared" si="58"/>
        <v>IPL7</v>
      </c>
      <c r="L914" s="73" t="s">
        <v>154</v>
      </c>
      <c r="M914" s="72">
        <v>41039</v>
      </c>
      <c r="N914" s="84">
        <v>0.09</v>
      </c>
      <c r="O914" s="96">
        <f t="shared" si="59"/>
        <v>7</v>
      </c>
      <c r="Q914" s="96"/>
    </row>
    <row r="915" spans="3:20" x14ac:dyDescent="0.2">
      <c r="C915" s="96" t="str">
        <f t="shared" si="56"/>
        <v>IPL8</v>
      </c>
      <c r="D915" s="73" t="s">
        <v>154</v>
      </c>
      <c r="E915" s="100">
        <v>41233</v>
      </c>
      <c r="F915" s="101">
        <v>0.2</v>
      </c>
      <c r="G915" s="96">
        <f t="shared" si="57"/>
        <v>8</v>
      </c>
      <c r="I915" s="96"/>
      <c r="K915" t="str">
        <f t="shared" si="58"/>
        <v>IPL8</v>
      </c>
      <c r="L915" s="73" t="s">
        <v>154</v>
      </c>
      <c r="M915" s="72">
        <v>41233</v>
      </c>
      <c r="N915" s="84">
        <v>0.2</v>
      </c>
      <c r="O915" s="96">
        <f t="shared" si="59"/>
        <v>8</v>
      </c>
      <c r="Q915" s="96"/>
      <c r="T915" s="110"/>
    </row>
    <row r="916" spans="3:20" x14ac:dyDescent="0.2">
      <c r="C916" s="96" t="str">
        <f t="shared" si="56"/>
        <v>IPL9</v>
      </c>
      <c r="D916" s="73" t="s">
        <v>154</v>
      </c>
      <c r="E916" s="100">
        <v>41404</v>
      </c>
      <c r="F916" s="101">
        <v>0.1</v>
      </c>
      <c r="G916" s="96">
        <f t="shared" si="57"/>
        <v>9</v>
      </c>
      <c r="I916" s="96"/>
      <c r="K916" t="str">
        <f t="shared" si="58"/>
        <v>IPL9</v>
      </c>
      <c r="L916" s="73" t="s">
        <v>154</v>
      </c>
      <c r="M916" s="72">
        <v>41404</v>
      </c>
      <c r="N916" s="84">
        <v>0.1</v>
      </c>
      <c r="O916" s="96">
        <f t="shared" si="59"/>
        <v>9</v>
      </c>
      <c r="Q916" s="96"/>
    </row>
    <row r="917" spans="3:20" x14ac:dyDescent="0.2">
      <c r="C917" s="96" t="str">
        <f t="shared" si="56"/>
        <v>IPL10</v>
      </c>
      <c r="D917" s="73" t="s">
        <v>154</v>
      </c>
      <c r="E917" s="100">
        <v>41598</v>
      </c>
      <c r="F917" s="101">
        <v>0.21</v>
      </c>
      <c r="G917" s="96">
        <f t="shared" si="57"/>
        <v>10</v>
      </c>
      <c r="I917" s="96"/>
      <c r="K917" t="str">
        <f t="shared" si="58"/>
        <v>IPL10</v>
      </c>
      <c r="L917" s="73" t="s">
        <v>154</v>
      </c>
      <c r="M917" s="72">
        <v>41598</v>
      </c>
      <c r="N917" s="84">
        <v>0.21</v>
      </c>
      <c r="O917" s="96">
        <f t="shared" si="59"/>
        <v>10</v>
      </c>
      <c r="Q917" s="96"/>
      <c r="T917" s="110"/>
    </row>
    <row r="918" spans="3:20" x14ac:dyDescent="0.2">
      <c r="C918" s="96" t="str">
        <f t="shared" si="56"/>
        <v>IRE1</v>
      </c>
      <c r="D918" s="73" t="s">
        <v>155</v>
      </c>
      <c r="E918" s="100">
        <v>39883</v>
      </c>
      <c r="F918" s="101">
        <v>0.17</v>
      </c>
      <c r="G918" s="96">
        <f t="shared" si="57"/>
        <v>1</v>
      </c>
      <c r="I918" s="96"/>
      <c r="K918" t="str">
        <f t="shared" si="58"/>
        <v>IRE1</v>
      </c>
      <c r="L918" s="73" t="s">
        <v>155</v>
      </c>
      <c r="M918" s="72">
        <v>39883</v>
      </c>
      <c r="N918" s="84">
        <v>0.17</v>
      </c>
      <c r="O918" s="96">
        <f t="shared" si="59"/>
        <v>1</v>
      </c>
      <c r="Q918" s="96"/>
      <c r="T918" s="110"/>
    </row>
    <row r="919" spans="3:20" x14ac:dyDescent="0.2">
      <c r="C919" s="96" t="str">
        <f t="shared" si="56"/>
        <v>IRE2</v>
      </c>
      <c r="D919" s="73" t="s">
        <v>155</v>
      </c>
      <c r="E919" s="100">
        <v>40065</v>
      </c>
      <c r="F919" s="101">
        <v>0.14000000000000001</v>
      </c>
      <c r="G919" s="96">
        <f t="shared" si="57"/>
        <v>2</v>
      </c>
      <c r="I919" s="96"/>
      <c r="K919" t="str">
        <f t="shared" si="58"/>
        <v>IRE2</v>
      </c>
      <c r="L919" s="73" t="s">
        <v>155</v>
      </c>
      <c r="M919" s="72">
        <v>40065</v>
      </c>
      <c r="N919" s="84">
        <v>0.14000000000000001</v>
      </c>
      <c r="O919" s="96">
        <f t="shared" si="59"/>
        <v>2</v>
      </c>
      <c r="Q919" s="96"/>
      <c r="T919" s="110"/>
    </row>
    <row r="920" spans="3:20" x14ac:dyDescent="0.2">
      <c r="C920" s="96" t="str">
        <f t="shared" si="56"/>
        <v>IRE3</v>
      </c>
      <c r="D920" s="73" t="s">
        <v>155</v>
      </c>
      <c r="E920" s="100">
        <v>40248</v>
      </c>
      <c r="F920" s="101">
        <v>0.16</v>
      </c>
      <c r="G920" s="96">
        <f t="shared" si="57"/>
        <v>3</v>
      </c>
      <c r="I920" s="96"/>
      <c r="K920" t="str">
        <f t="shared" si="58"/>
        <v>IRE3</v>
      </c>
      <c r="L920" s="73" t="s">
        <v>155</v>
      </c>
      <c r="M920" s="72">
        <v>40248</v>
      </c>
      <c r="N920" s="84">
        <v>0.16</v>
      </c>
      <c r="O920" s="96">
        <f t="shared" si="59"/>
        <v>3</v>
      </c>
      <c r="Q920" s="96"/>
      <c r="T920" s="110"/>
    </row>
    <row r="921" spans="3:20" x14ac:dyDescent="0.2">
      <c r="C921" s="96" t="str">
        <f t="shared" si="56"/>
        <v>IRE4</v>
      </c>
      <c r="D921" s="73" t="s">
        <v>155</v>
      </c>
      <c r="E921" s="100">
        <v>40430</v>
      </c>
      <c r="F921" s="101">
        <v>0.16010000000000002</v>
      </c>
      <c r="G921" s="96">
        <f t="shared" si="57"/>
        <v>4</v>
      </c>
      <c r="I921" s="96"/>
      <c r="K921" t="str">
        <f t="shared" si="58"/>
        <v>IRE4</v>
      </c>
      <c r="L921" s="73" t="s">
        <v>155</v>
      </c>
      <c r="M921" s="72">
        <v>40430</v>
      </c>
      <c r="N921" s="84">
        <v>0.16010000000000002</v>
      </c>
      <c r="O921" s="96">
        <f t="shared" si="59"/>
        <v>4</v>
      </c>
      <c r="Q921" s="96"/>
      <c r="T921" s="110"/>
    </row>
    <row r="922" spans="3:20" x14ac:dyDescent="0.2">
      <c r="C922" s="96" t="str">
        <f t="shared" si="56"/>
        <v>IRE5</v>
      </c>
      <c r="D922" s="73" t="s">
        <v>155</v>
      </c>
      <c r="E922" s="100">
        <v>40613</v>
      </c>
      <c r="F922" s="101">
        <v>0.18289999999999998</v>
      </c>
      <c r="G922" s="96">
        <f t="shared" si="57"/>
        <v>5</v>
      </c>
      <c r="I922" s="96"/>
      <c r="K922" t="str">
        <f t="shared" si="58"/>
        <v>IRE5</v>
      </c>
      <c r="L922" s="73" t="s">
        <v>155</v>
      </c>
      <c r="M922" s="72">
        <v>40613</v>
      </c>
      <c r="N922" s="84">
        <v>0.18289999999999998</v>
      </c>
      <c r="O922" s="96">
        <f t="shared" si="59"/>
        <v>5</v>
      </c>
      <c r="Q922" s="96"/>
      <c r="T922" s="110"/>
    </row>
    <row r="923" spans="3:20" x14ac:dyDescent="0.2">
      <c r="C923" s="96" t="str">
        <f t="shared" si="56"/>
        <v>IRE6</v>
      </c>
      <c r="D923" s="73" t="s">
        <v>155</v>
      </c>
      <c r="E923" s="100">
        <v>40795</v>
      </c>
      <c r="F923" s="101">
        <v>0.19</v>
      </c>
      <c r="G923" s="96">
        <f t="shared" si="57"/>
        <v>6</v>
      </c>
      <c r="I923" s="96"/>
      <c r="K923" t="str">
        <f t="shared" si="58"/>
        <v>IRE6</v>
      </c>
      <c r="L923" s="73" t="s">
        <v>155</v>
      </c>
      <c r="M923" s="72">
        <v>40795</v>
      </c>
      <c r="N923" s="84">
        <v>0.19</v>
      </c>
      <c r="O923" s="96">
        <f t="shared" si="59"/>
        <v>6</v>
      </c>
      <c r="Q923" s="96"/>
      <c r="T923" s="110"/>
    </row>
    <row r="924" spans="3:20" x14ac:dyDescent="0.2">
      <c r="C924" s="96" t="str">
        <f t="shared" si="56"/>
        <v>IRE7</v>
      </c>
      <c r="D924" s="73" t="s">
        <v>155</v>
      </c>
      <c r="E924" s="100">
        <v>40981</v>
      </c>
      <c r="F924" s="101">
        <v>0.217</v>
      </c>
      <c r="G924" s="96">
        <f t="shared" si="57"/>
        <v>7</v>
      </c>
      <c r="I924" s="96"/>
      <c r="K924" t="str">
        <f t="shared" si="58"/>
        <v>IRE7</v>
      </c>
      <c r="L924" s="73" t="s">
        <v>155</v>
      </c>
      <c r="M924" s="72">
        <v>40981</v>
      </c>
      <c r="N924" s="84">
        <v>0.217</v>
      </c>
      <c r="O924" s="96">
        <f t="shared" si="59"/>
        <v>7</v>
      </c>
      <c r="Q924" s="96"/>
      <c r="T924" s="110"/>
    </row>
    <row r="925" spans="3:20" x14ac:dyDescent="0.2">
      <c r="C925" s="96" t="str">
        <f t="shared" si="56"/>
        <v>IRE8</v>
      </c>
      <c r="D925" s="73" t="s">
        <v>155</v>
      </c>
      <c r="E925" s="100">
        <v>41163</v>
      </c>
      <c r="F925" s="101">
        <v>0.185</v>
      </c>
      <c r="G925" s="96">
        <f t="shared" si="57"/>
        <v>8</v>
      </c>
      <c r="I925" s="96"/>
      <c r="K925" t="str">
        <f t="shared" si="58"/>
        <v>IRE8</v>
      </c>
      <c r="L925" s="73" t="s">
        <v>155</v>
      </c>
      <c r="M925" s="72">
        <v>41163</v>
      </c>
      <c r="N925" s="84">
        <v>0.185</v>
      </c>
      <c r="O925" s="96">
        <f t="shared" si="59"/>
        <v>8</v>
      </c>
      <c r="Q925" s="96"/>
      <c r="T925" s="110"/>
    </row>
    <row r="926" spans="3:20" x14ac:dyDescent="0.2">
      <c r="C926" s="96" t="str">
        <f t="shared" si="56"/>
        <v>IRE9</v>
      </c>
      <c r="D926" s="73" t="s">
        <v>155</v>
      </c>
      <c r="E926" s="100">
        <v>41346</v>
      </c>
      <c r="F926" s="101">
        <v>0.3</v>
      </c>
      <c r="G926" s="96">
        <f t="shared" si="57"/>
        <v>9</v>
      </c>
      <c r="I926" s="96"/>
      <c r="K926" t="str">
        <f t="shared" si="58"/>
        <v>IRE9</v>
      </c>
      <c r="L926" s="73" t="s">
        <v>155</v>
      </c>
      <c r="M926" s="72">
        <v>41346</v>
      </c>
      <c r="N926" s="84">
        <v>0.3</v>
      </c>
      <c r="O926" s="96">
        <f t="shared" si="59"/>
        <v>9</v>
      </c>
      <c r="Q926" s="96"/>
      <c r="T926" s="110"/>
    </row>
    <row r="927" spans="3:20" x14ac:dyDescent="0.2">
      <c r="C927" s="96" t="str">
        <f t="shared" si="56"/>
        <v>IVC1</v>
      </c>
      <c r="D927" s="73" t="s">
        <v>156</v>
      </c>
      <c r="E927" s="100">
        <v>39888</v>
      </c>
      <c r="F927" s="101">
        <v>0.13500000000000001</v>
      </c>
      <c r="G927" s="96">
        <f t="shared" si="57"/>
        <v>1</v>
      </c>
      <c r="I927" s="96"/>
      <c r="K927" t="str">
        <f t="shared" si="58"/>
        <v>IVC1</v>
      </c>
      <c r="L927" s="73" t="s">
        <v>156</v>
      </c>
      <c r="M927" s="72">
        <v>39888</v>
      </c>
      <c r="N927" s="84">
        <v>0.13500000000000001</v>
      </c>
      <c r="O927" s="96">
        <f t="shared" si="59"/>
        <v>1</v>
      </c>
      <c r="Q927" s="96"/>
      <c r="T927" s="110"/>
    </row>
    <row r="928" spans="3:20" x14ac:dyDescent="0.2">
      <c r="C928" s="96" t="str">
        <f t="shared" si="56"/>
        <v>IVC2</v>
      </c>
      <c r="D928" s="73" t="s">
        <v>156</v>
      </c>
      <c r="E928" s="100">
        <v>40071</v>
      </c>
      <c r="F928" s="101">
        <v>0.10980000000000001</v>
      </c>
      <c r="G928" s="96">
        <f t="shared" si="57"/>
        <v>2</v>
      </c>
      <c r="I928" s="96"/>
      <c r="K928" t="str">
        <f t="shared" si="58"/>
        <v>IVC2</v>
      </c>
      <c r="L928" s="73" t="s">
        <v>156</v>
      </c>
      <c r="M928" s="72">
        <v>40071</v>
      </c>
      <c r="N928" s="84">
        <v>0.10980000000000001</v>
      </c>
      <c r="O928" s="96">
        <f t="shared" si="59"/>
        <v>2</v>
      </c>
      <c r="Q928" s="96"/>
      <c r="T928" s="110"/>
    </row>
    <row r="929" spans="3:20" x14ac:dyDescent="0.2">
      <c r="C929" s="96" t="str">
        <f t="shared" si="56"/>
        <v>IVC3</v>
      </c>
      <c r="D929" s="73" t="s">
        <v>156</v>
      </c>
      <c r="E929" s="100">
        <v>40253</v>
      </c>
      <c r="F929" s="101">
        <v>0.14119999999999999</v>
      </c>
      <c r="G929" s="96">
        <f t="shared" si="57"/>
        <v>3</v>
      </c>
      <c r="I929" s="96"/>
      <c r="K929" t="str">
        <f t="shared" si="58"/>
        <v>IVC3</v>
      </c>
      <c r="L929" s="73" t="s">
        <v>156</v>
      </c>
      <c r="M929" s="72">
        <v>40253</v>
      </c>
      <c r="N929" s="84">
        <v>0.14119999999999999</v>
      </c>
      <c r="O929" s="96">
        <f t="shared" si="59"/>
        <v>3</v>
      </c>
      <c r="Q929" s="96"/>
      <c r="T929" s="110"/>
    </row>
    <row r="930" spans="3:20" x14ac:dyDescent="0.2">
      <c r="C930" s="96" t="str">
        <f t="shared" si="56"/>
        <v>IVC4</v>
      </c>
      <c r="D930" s="73" t="s">
        <v>156</v>
      </c>
      <c r="E930" s="100">
        <v>40436</v>
      </c>
      <c r="F930" s="101">
        <v>0.11900000000000001</v>
      </c>
      <c r="G930" s="96">
        <f t="shared" si="57"/>
        <v>4</v>
      </c>
      <c r="I930" s="96"/>
      <c r="K930" t="str">
        <f t="shared" si="58"/>
        <v>IVC4</v>
      </c>
      <c r="L930" s="73" t="s">
        <v>156</v>
      </c>
      <c r="M930" s="72">
        <v>40436</v>
      </c>
      <c r="N930" s="84">
        <v>0.11900000000000001</v>
      </c>
      <c r="O930" s="96">
        <f t="shared" si="59"/>
        <v>4</v>
      </c>
      <c r="Q930" s="96"/>
      <c r="T930" s="110"/>
    </row>
    <row r="931" spans="3:20" x14ac:dyDescent="0.2">
      <c r="C931" s="96" t="str">
        <f t="shared" si="56"/>
        <v>IVC5</v>
      </c>
      <c r="D931" s="73" t="s">
        <v>156</v>
      </c>
      <c r="E931" s="100">
        <v>40618</v>
      </c>
      <c r="F931" s="101">
        <v>0.153</v>
      </c>
      <c r="G931" s="96">
        <f t="shared" si="57"/>
        <v>5</v>
      </c>
      <c r="I931" s="96"/>
      <c r="K931" t="str">
        <f t="shared" si="58"/>
        <v>IVC5</v>
      </c>
      <c r="L931" s="73" t="s">
        <v>156</v>
      </c>
      <c r="M931" s="72">
        <v>40618</v>
      </c>
      <c r="N931" s="84">
        <v>0.153</v>
      </c>
      <c r="O931" s="96">
        <f t="shared" si="59"/>
        <v>5</v>
      </c>
      <c r="Q931" s="96"/>
      <c r="T931" s="110"/>
    </row>
    <row r="932" spans="3:20" x14ac:dyDescent="0.2">
      <c r="C932" s="96" t="str">
        <f t="shared" si="56"/>
        <v>IVC6</v>
      </c>
      <c r="D932" s="73" t="s">
        <v>156</v>
      </c>
      <c r="E932" s="100">
        <v>40801</v>
      </c>
      <c r="F932" s="101">
        <v>0.12909999999999999</v>
      </c>
      <c r="G932" s="96">
        <f t="shared" si="57"/>
        <v>6</v>
      </c>
      <c r="I932" s="96"/>
      <c r="K932" t="str">
        <f t="shared" si="58"/>
        <v>IVC6</v>
      </c>
      <c r="L932" s="73" t="s">
        <v>156</v>
      </c>
      <c r="M932" s="72">
        <v>40801</v>
      </c>
      <c r="N932" s="84">
        <v>0.12909999999999999</v>
      </c>
      <c r="O932" s="96">
        <f t="shared" si="59"/>
        <v>6</v>
      </c>
      <c r="Q932" s="96"/>
      <c r="T932" s="110"/>
    </row>
    <row r="933" spans="3:20" x14ac:dyDescent="0.2">
      <c r="C933" s="96" t="str">
        <f t="shared" si="56"/>
        <v>IVC7</v>
      </c>
      <c r="D933" s="73" t="s">
        <v>156</v>
      </c>
      <c r="E933" s="100">
        <v>40984</v>
      </c>
      <c r="F933" s="101">
        <v>0.16589999999999999</v>
      </c>
      <c r="G933" s="96">
        <f t="shared" si="57"/>
        <v>7</v>
      </c>
      <c r="I933" s="96"/>
      <c r="K933" t="str">
        <f t="shared" si="58"/>
        <v>IVC7</v>
      </c>
      <c r="L933" s="73" t="s">
        <v>156</v>
      </c>
      <c r="M933" s="72">
        <v>40984</v>
      </c>
      <c r="N933" s="84">
        <v>0.16589999999999999</v>
      </c>
      <c r="O933" s="96">
        <f t="shared" si="59"/>
        <v>7</v>
      </c>
      <c r="Q933" s="96"/>
      <c r="T933" s="110"/>
    </row>
    <row r="934" spans="3:20" x14ac:dyDescent="0.2">
      <c r="C934" s="96" t="str">
        <f t="shared" si="56"/>
        <v>IVC8</v>
      </c>
      <c r="D934" s="73" t="s">
        <v>156</v>
      </c>
      <c r="E934" s="100">
        <v>41169</v>
      </c>
      <c r="F934" s="101">
        <v>0.13519999999999999</v>
      </c>
      <c r="G934" s="96">
        <f t="shared" si="57"/>
        <v>8</v>
      </c>
      <c r="I934" s="96"/>
      <c r="K934" t="str">
        <f t="shared" si="58"/>
        <v>IVC8</v>
      </c>
      <c r="L934" s="73" t="s">
        <v>156</v>
      </c>
      <c r="M934" s="72">
        <v>41169</v>
      </c>
      <c r="N934" s="84">
        <v>0.13519999999999999</v>
      </c>
      <c r="O934" s="96">
        <f t="shared" si="59"/>
        <v>8</v>
      </c>
      <c r="Q934" s="96"/>
      <c r="T934" s="110"/>
    </row>
    <row r="935" spans="3:20" x14ac:dyDescent="0.2">
      <c r="C935" s="96" t="str">
        <f t="shared" si="56"/>
        <v>IVC9</v>
      </c>
      <c r="D935" s="73" t="s">
        <v>156</v>
      </c>
      <c r="E935" s="100">
        <v>41351</v>
      </c>
      <c r="F935" s="101">
        <v>0.17379999999999998</v>
      </c>
      <c r="G935" s="96">
        <f t="shared" si="57"/>
        <v>9</v>
      </c>
      <c r="I935" s="96"/>
      <c r="K935" t="str">
        <f t="shared" si="58"/>
        <v>IVC9</v>
      </c>
      <c r="L935" s="73" t="s">
        <v>156</v>
      </c>
      <c r="M935" s="72">
        <v>41351</v>
      </c>
      <c r="N935" s="84">
        <v>0.17379999999999998</v>
      </c>
      <c r="O935" s="96">
        <f t="shared" si="59"/>
        <v>9</v>
      </c>
      <c r="Q935" s="96"/>
      <c r="T935" s="110"/>
    </row>
    <row r="936" spans="3:20" x14ac:dyDescent="0.2">
      <c r="C936" s="96" t="str">
        <f t="shared" si="56"/>
        <v>JBH1</v>
      </c>
      <c r="D936" s="73" t="s">
        <v>157</v>
      </c>
      <c r="E936" s="100">
        <v>39861</v>
      </c>
      <c r="F936" s="101">
        <v>0.1</v>
      </c>
      <c r="G936" s="96">
        <f t="shared" si="57"/>
        <v>1</v>
      </c>
      <c r="I936" s="96"/>
      <c r="K936" t="str">
        <f t="shared" si="58"/>
        <v>JBH1</v>
      </c>
      <c r="L936" s="73" t="s">
        <v>157</v>
      </c>
      <c r="M936" s="72">
        <v>39861</v>
      </c>
      <c r="N936" s="84">
        <v>0.1</v>
      </c>
      <c r="O936" s="96">
        <f t="shared" si="59"/>
        <v>1</v>
      </c>
      <c r="Q936" s="96"/>
      <c r="T936" s="110"/>
    </row>
    <row r="937" spans="3:20" x14ac:dyDescent="0.2">
      <c r="C937" s="96" t="str">
        <f t="shared" si="56"/>
        <v>JBH2</v>
      </c>
      <c r="D937" s="73" t="s">
        <v>157</v>
      </c>
      <c r="E937" s="100">
        <v>40049</v>
      </c>
      <c r="F937" s="101">
        <v>0.17</v>
      </c>
      <c r="G937" s="96">
        <f t="shared" si="57"/>
        <v>2</v>
      </c>
      <c r="I937" s="96"/>
      <c r="K937" t="str">
        <f t="shared" si="58"/>
        <v>JBH2</v>
      </c>
      <c r="L937" s="73" t="s">
        <v>157</v>
      </c>
      <c r="M937" s="72">
        <v>40049</v>
      </c>
      <c r="N937" s="84">
        <v>0.17</v>
      </c>
      <c r="O937" s="96">
        <f t="shared" si="59"/>
        <v>2</v>
      </c>
      <c r="Q937" s="96"/>
      <c r="T937" s="110"/>
    </row>
    <row r="938" spans="3:20" x14ac:dyDescent="0.2">
      <c r="C938" s="96" t="str">
        <f t="shared" si="56"/>
        <v>JBH3</v>
      </c>
      <c r="D938" s="73" t="s">
        <v>157</v>
      </c>
      <c r="E938" s="100">
        <v>40226</v>
      </c>
      <c r="F938" s="101">
        <v>0.1363</v>
      </c>
      <c r="G938" s="96">
        <f t="shared" si="57"/>
        <v>3</v>
      </c>
      <c r="I938" s="96"/>
      <c r="K938" t="str">
        <f t="shared" si="58"/>
        <v>JBH3</v>
      </c>
      <c r="L938" s="73" t="s">
        <v>157</v>
      </c>
      <c r="M938" s="72">
        <v>40226</v>
      </c>
      <c r="N938" s="84">
        <v>0.1363</v>
      </c>
      <c r="O938" s="96">
        <f t="shared" si="59"/>
        <v>3</v>
      </c>
      <c r="Q938" s="96"/>
      <c r="T938" s="110"/>
    </row>
    <row r="939" spans="3:20" x14ac:dyDescent="0.2">
      <c r="C939" s="96" t="str">
        <f t="shared" si="56"/>
        <v>JBH4</v>
      </c>
      <c r="D939" s="73" t="s">
        <v>157</v>
      </c>
      <c r="E939" s="100">
        <v>40414</v>
      </c>
      <c r="F939" s="101">
        <v>0.23170000000000002</v>
      </c>
      <c r="G939" s="96">
        <f t="shared" si="57"/>
        <v>4</v>
      </c>
      <c r="I939" s="96"/>
      <c r="K939" t="str">
        <f t="shared" si="58"/>
        <v>JBH4</v>
      </c>
      <c r="L939" s="73" t="s">
        <v>157</v>
      </c>
      <c r="M939" s="72">
        <v>40414</v>
      </c>
      <c r="N939" s="84">
        <v>0.23170000000000002</v>
      </c>
      <c r="O939" s="96">
        <f t="shared" si="59"/>
        <v>4</v>
      </c>
      <c r="Q939" s="96"/>
      <c r="T939" s="110"/>
    </row>
    <row r="940" spans="3:20" x14ac:dyDescent="0.2">
      <c r="C940" s="96" t="str">
        <f t="shared" si="56"/>
        <v>JBH5</v>
      </c>
      <c r="D940" s="73" t="s">
        <v>157</v>
      </c>
      <c r="E940" s="100">
        <v>40591</v>
      </c>
      <c r="F940" s="101">
        <v>0.15590000000000001</v>
      </c>
      <c r="G940" s="96">
        <f t="shared" si="57"/>
        <v>5</v>
      </c>
      <c r="I940" s="96"/>
      <c r="K940" t="str">
        <f t="shared" si="58"/>
        <v>JBH5</v>
      </c>
      <c r="L940" s="73" t="s">
        <v>157</v>
      </c>
      <c r="M940" s="72">
        <v>40591</v>
      </c>
      <c r="N940" s="84">
        <v>0.15590000000000001</v>
      </c>
      <c r="O940" s="96">
        <f t="shared" si="59"/>
        <v>5</v>
      </c>
      <c r="Q940" s="96"/>
      <c r="T940" s="110"/>
    </row>
    <row r="941" spans="3:20" x14ac:dyDescent="0.2">
      <c r="C941" s="96" t="str">
        <f t="shared" si="56"/>
        <v>JBH6</v>
      </c>
      <c r="D941" s="73" t="s">
        <v>157</v>
      </c>
      <c r="E941" s="100">
        <v>40779</v>
      </c>
      <c r="F941" s="101">
        <v>0.2651</v>
      </c>
      <c r="G941" s="96">
        <f t="shared" si="57"/>
        <v>6</v>
      </c>
      <c r="I941" s="96"/>
      <c r="K941" t="str">
        <f t="shared" si="58"/>
        <v>JBH6</v>
      </c>
      <c r="L941" s="73" t="s">
        <v>157</v>
      </c>
      <c r="M941" s="72">
        <v>40779</v>
      </c>
      <c r="N941" s="84">
        <v>0.2651</v>
      </c>
      <c r="O941" s="96">
        <f t="shared" si="59"/>
        <v>6</v>
      </c>
      <c r="Q941" s="96"/>
      <c r="T941" s="110"/>
    </row>
    <row r="942" spans="3:20" x14ac:dyDescent="0.2">
      <c r="C942" s="96" t="str">
        <f t="shared" si="56"/>
        <v>JBH7</v>
      </c>
      <c r="D942" s="73" t="s">
        <v>157</v>
      </c>
      <c r="E942" s="100">
        <v>40956</v>
      </c>
      <c r="F942" s="101">
        <v>0.16850000000000001</v>
      </c>
      <c r="G942" s="96">
        <f t="shared" si="57"/>
        <v>7</v>
      </c>
      <c r="I942" s="96"/>
      <c r="K942" t="str">
        <f t="shared" si="58"/>
        <v>JBH7</v>
      </c>
      <c r="L942" s="73" t="s">
        <v>157</v>
      </c>
      <c r="M942" s="72">
        <v>40956</v>
      </c>
      <c r="N942" s="84">
        <v>0.16850000000000001</v>
      </c>
      <c r="O942" s="96">
        <f t="shared" si="59"/>
        <v>7</v>
      </c>
      <c r="Q942" s="96"/>
      <c r="T942" s="110"/>
    </row>
    <row r="943" spans="3:20" x14ac:dyDescent="0.2">
      <c r="C943" s="96" t="str">
        <f t="shared" si="56"/>
        <v>JBH8</v>
      </c>
      <c r="D943" s="73" t="s">
        <v>157</v>
      </c>
      <c r="E943" s="100">
        <v>41145</v>
      </c>
      <c r="F943" s="101">
        <v>0.28649999999999998</v>
      </c>
      <c r="G943" s="96">
        <f t="shared" si="57"/>
        <v>8</v>
      </c>
      <c r="I943" s="96"/>
      <c r="K943" t="str">
        <f t="shared" si="58"/>
        <v>JBH8</v>
      </c>
      <c r="L943" s="73" t="s">
        <v>157</v>
      </c>
      <c r="M943" s="72">
        <v>41145</v>
      </c>
      <c r="N943" s="84">
        <v>0.28649999999999998</v>
      </c>
      <c r="O943" s="96">
        <f t="shared" si="59"/>
        <v>8</v>
      </c>
      <c r="Q943" s="96"/>
      <c r="T943" s="110"/>
    </row>
    <row r="944" spans="3:20" x14ac:dyDescent="0.2">
      <c r="C944" s="96" t="str">
        <f t="shared" si="56"/>
        <v>JBH9</v>
      </c>
      <c r="D944" s="73" t="s">
        <v>157</v>
      </c>
      <c r="E944" s="100">
        <v>41324</v>
      </c>
      <c r="F944" s="101">
        <v>0.22329999999999997</v>
      </c>
      <c r="G944" s="96">
        <f t="shared" si="57"/>
        <v>9</v>
      </c>
      <c r="I944" s="96"/>
      <c r="K944" t="str">
        <f t="shared" si="58"/>
        <v>JBH9</v>
      </c>
      <c r="L944" s="73" t="s">
        <v>157</v>
      </c>
      <c r="M944" s="72">
        <v>41324</v>
      </c>
      <c r="N944" s="84">
        <v>0.22329999999999997</v>
      </c>
      <c r="O944" s="96">
        <f t="shared" si="59"/>
        <v>9</v>
      </c>
      <c r="Q944" s="96"/>
      <c r="T944" s="110"/>
    </row>
    <row r="945" spans="3:20" x14ac:dyDescent="0.2">
      <c r="C945" s="96" t="str">
        <f t="shared" si="56"/>
        <v>JBH10</v>
      </c>
      <c r="D945" s="73" t="s">
        <v>157</v>
      </c>
      <c r="E945" s="100">
        <v>41512</v>
      </c>
      <c r="F945" s="101">
        <v>0.37969999999999998</v>
      </c>
      <c r="G945" s="96">
        <f t="shared" si="57"/>
        <v>10</v>
      </c>
      <c r="I945" s="96"/>
      <c r="K945" t="str">
        <f t="shared" si="58"/>
        <v>JBH10</v>
      </c>
      <c r="L945" s="73" t="s">
        <v>157</v>
      </c>
      <c r="M945" s="72">
        <v>41512</v>
      </c>
      <c r="N945" s="84">
        <v>0.37969999999999998</v>
      </c>
      <c r="O945" s="96">
        <f t="shared" si="59"/>
        <v>10</v>
      </c>
      <c r="Q945" s="96"/>
      <c r="T945" s="110"/>
    </row>
    <row r="946" spans="3:20" x14ac:dyDescent="0.2">
      <c r="C946" s="96" t="str">
        <f t="shared" si="56"/>
        <v>JHX1</v>
      </c>
      <c r="D946" s="73" t="s">
        <v>158</v>
      </c>
      <c r="E946" s="100">
        <v>40507</v>
      </c>
      <c r="F946" s="101">
        <v>0.08</v>
      </c>
      <c r="G946" s="96">
        <f t="shared" si="57"/>
        <v>1</v>
      </c>
      <c r="I946" s="96"/>
      <c r="K946" t="str">
        <f t="shared" si="58"/>
        <v>JHX1</v>
      </c>
      <c r="L946" s="73" t="s">
        <v>158</v>
      </c>
      <c r="M946" s="72">
        <v>40507</v>
      </c>
      <c r="N946" s="84">
        <v>0.08</v>
      </c>
      <c r="O946" s="96">
        <f t="shared" si="59"/>
        <v>1</v>
      </c>
      <c r="Q946" s="96"/>
      <c r="T946" s="110"/>
    </row>
    <row r="947" spans="3:20" x14ac:dyDescent="0.2">
      <c r="C947" s="96" t="str">
        <f t="shared" si="56"/>
        <v>JHX2</v>
      </c>
      <c r="D947" s="73" t="s">
        <v>158</v>
      </c>
      <c r="E947" s="100">
        <v>40694</v>
      </c>
      <c r="F947" s="101">
        <v>0.12</v>
      </c>
      <c r="G947" s="96">
        <f t="shared" si="57"/>
        <v>2</v>
      </c>
      <c r="I947" s="96"/>
      <c r="K947" t="str">
        <f t="shared" si="58"/>
        <v>JHX2</v>
      </c>
      <c r="L947" s="73" t="s">
        <v>158</v>
      </c>
      <c r="M947" s="72">
        <v>40694</v>
      </c>
      <c r="N947" s="84">
        <v>0.12</v>
      </c>
      <c r="O947" s="96">
        <f t="shared" si="59"/>
        <v>2</v>
      </c>
      <c r="Q947" s="96"/>
      <c r="T947" s="110"/>
    </row>
    <row r="948" spans="3:20" x14ac:dyDescent="0.2">
      <c r="C948" s="96" t="str">
        <f t="shared" si="56"/>
        <v>JHX3</v>
      </c>
      <c r="D948" s="73" t="s">
        <v>158</v>
      </c>
      <c r="E948" s="100">
        <v>40872</v>
      </c>
      <c r="F948" s="101">
        <v>0.09</v>
      </c>
      <c r="G948" s="96">
        <f t="shared" si="57"/>
        <v>3</v>
      </c>
      <c r="I948" s="96"/>
      <c r="K948" t="str">
        <f t="shared" si="58"/>
        <v>JHX3</v>
      </c>
      <c r="L948" s="73" t="s">
        <v>158</v>
      </c>
      <c r="M948" s="72">
        <v>40872</v>
      </c>
      <c r="N948" s="84">
        <v>0.09</v>
      </c>
      <c r="O948" s="96">
        <f t="shared" si="59"/>
        <v>3</v>
      </c>
      <c r="Q948" s="96"/>
      <c r="T948" s="110"/>
    </row>
    <row r="949" spans="3:20" x14ac:dyDescent="0.2">
      <c r="C949" s="96" t="str">
        <f t="shared" si="56"/>
        <v>JHX4</v>
      </c>
      <c r="D949" s="73" t="s">
        <v>158</v>
      </c>
      <c r="E949" s="100">
        <v>41060</v>
      </c>
      <c r="F949" s="101">
        <v>0.15</v>
      </c>
      <c r="G949" s="96">
        <f t="shared" si="57"/>
        <v>4</v>
      </c>
      <c r="I949" s="96"/>
      <c r="K949" t="str">
        <f t="shared" si="58"/>
        <v>JHX4</v>
      </c>
      <c r="L949" s="73" t="s">
        <v>158</v>
      </c>
      <c r="M949" s="72">
        <v>41060</v>
      </c>
      <c r="N949" s="84">
        <v>0.15</v>
      </c>
      <c r="O949" s="96">
        <f t="shared" si="59"/>
        <v>4</v>
      </c>
      <c r="Q949" s="96"/>
      <c r="T949" s="110"/>
    </row>
    <row r="950" spans="3:20" x14ac:dyDescent="0.2">
      <c r="C950" s="96" t="str">
        <f t="shared" si="56"/>
        <v>JHX5</v>
      </c>
      <c r="D950" s="73" t="s">
        <v>158</v>
      </c>
      <c r="E950" s="100">
        <v>41240</v>
      </c>
      <c r="F950" s="101">
        <v>0.13</v>
      </c>
      <c r="G950" s="96">
        <f t="shared" si="57"/>
        <v>5</v>
      </c>
      <c r="I950" s="96"/>
      <c r="K950" t="str">
        <f t="shared" si="58"/>
        <v>JHX5</v>
      </c>
      <c r="L950" s="73" t="s">
        <v>158</v>
      </c>
      <c r="M950" s="72">
        <v>41240</v>
      </c>
      <c r="N950" s="84">
        <v>0.13</v>
      </c>
      <c r="O950" s="96">
        <f t="shared" si="59"/>
        <v>5</v>
      </c>
      <c r="Q950" s="96"/>
      <c r="T950" s="110"/>
    </row>
    <row r="951" spans="3:20" x14ac:dyDescent="0.2">
      <c r="C951" s="96" t="str">
        <f t="shared" si="56"/>
        <v>JHX6</v>
      </c>
      <c r="D951" s="73" t="s">
        <v>158</v>
      </c>
      <c r="E951" s="100">
        <v>41425</v>
      </c>
      <c r="F951" s="101">
        <v>0.18</v>
      </c>
      <c r="G951" s="96">
        <f t="shared" si="57"/>
        <v>6</v>
      </c>
      <c r="I951" s="96"/>
      <c r="K951" t="str">
        <f t="shared" si="58"/>
        <v>JHX6</v>
      </c>
      <c r="L951" s="73" t="s">
        <v>158</v>
      </c>
      <c r="M951" s="72">
        <v>41425</v>
      </c>
      <c r="N951" s="84">
        <v>0.18</v>
      </c>
      <c r="O951" s="96">
        <f t="shared" si="59"/>
        <v>6</v>
      </c>
      <c r="Q951" s="96"/>
      <c r="T951" s="110"/>
    </row>
    <row r="952" spans="3:20" x14ac:dyDescent="0.2">
      <c r="C952" s="96" t="str">
        <f t="shared" si="56"/>
        <v>JST1</v>
      </c>
      <c r="D952" s="73" t="s">
        <v>159</v>
      </c>
      <c r="E952" s="100">
        <v>39925</v>
      </c>
      <c r="F952" s="101">
        <v>0.105</v>
      </c>
      <c r="G952" s="96">
        <f t="shared" si="57"/>
        <v>1</v>
      </c>
      <c r="I952" s="96"/>
      <c r="K952" t="str">
        <f t="shared" si="58"/>
        <v>JST1</v>
      </c>
      <c r="L952" s="73" t="s">
        <v>159</v>
      </c>
      <c r="M952" s="72">
        <v>39925</v>
      </c>
      <c r="N952" s="84">
        <v>0.105</v>
      </c>
      <c r="O952" s="96">
        <f t="shared" si="59"/>
        <v>1</v>
      </c>
      <c r="Q952" s="96"/>
      <c r="T952" s="110"/>
    </row>
    <row r="953" spans="3:20" x14ac:dyDescent="0.2">
      <c r="C953" s="96" t="str">
        <f t="shared" si="56"/>
        <v>JST2</v>
      </c>
      <c r="D953" s="73" t="s">
        <v>159</v>
      </c>
      <c r="E953" s="100">
        <v>40106</v>
      </c>
      <c r="F953" s="101">
        <v>0.105</v>
      </c>
      <c r="G953" s="96">
        <f t="shared" si="57"/>
        <v>2</v>
      </c>
      <c r="I953" s="96"/>
      <c r="K953" t="str">
        <f t="shared" si="58"/>
        <v>JST2</v>
      </c>
      <c r="L953" s="73" t="s">
        <v>159</v>
      </c>
      <c r="M953" s="72">
        <v>40106</v>
      </c>
      <c r="N953" s="84">
        <v>0.105</v>
      </c>
      <c r="O953" s="96">
        <f t="shared" si="59"/>
        <v>2</v>
      </c>
      <c r="Q953" s="96"/>
      <c r="T953" s="110"/>
    </row>
    <row r="954" spans="3:20" x14ac:dyDescent="0.2">
      <c r="C954" s="96" t="str">
        <f t="shared" si="56"/>
        <v>JST3</v>
      </c>
      <c r="D954" s="73" t="s">
        <v>159</v>
      </c>
      <c r="E954" s="100">
        <v>40290</v>
      </c>
      <c r="F954" s="101">
        <v>0.12</v>
      </c>
      <c r="G954" s="96">
        <f t="shared" si="57"/>
        <v>3</v>
      </c>
      <c r="I954" s="96"/>
      <c r="K954" t="str">
        <f t="shared" si="58"/>
        <v>JST3</v>
      </c>
      <c r="L954" s="73" t="s">
        <v>159</v>
      </c>
      <c r="M954" s="72">
        <v>40290</v>
      </c>
      <c r="N954" s="84">
        <v>0.12</v>
      </c>
      <c r="O954" s="96">
        <f t="shared" si="59"/>
        <v>3</v>
      </c>
      <c r="Q954" s="96"/>
      <c r="T954" s="110"/>
    </row>
    <row r="955" spans="3:20" x14ac:dyDescent="0.2">
      <c r="C955" s="96" t="str">
        <f t="shared" si="56"/>
        <v>JST4</v>
      </c>
      <c r="D955" s="73" t="s">
        <v>159</v>
      </c>
      <c r="E955" s="100">
        <v>40471</v>
      </c>
      <c r="F955" s="101">
        <v>0.12</v>
      </c>
      <c r="G955" s="96">
        <f t="shared" si="57"/>
        <v>4</v>
      </c>
      <c r="I955" s="96"/>
      <c r="K955" t="str">
        <f t="shared" si="58"/>
        <v>JST4</v>
      </c>
      <c r="L955" s="73" t="s">
        <v>159</v>
      </c>
      <c r="M955" s="72">
        <v>40471</v>
      </c>
      <c r="N955" s="84">
        <v>0.12</v>
      </c>
      <c r="O955" s="96">
        <f t="shared" si="59"/>
        <v>4</v>
      </c>
      <c r="Q955" s="96"/>
      <c r="T955" s="110"/>
    </row>
    <row r="956" spans="3:20" x14ac:dyDescent="0.2">
      <c r="C956" s="96" t="str">
        <f t="shared" si="56"/>
        <v>JST5</v>
      </c>
      <c r="D956" s="73" t="s">
        <v>159</v>
      </c>
      <c r="E956" s="100">
        <v>40655</v>
      </c>
      <c r="F956" s="101">
        <v>0.121</v>
      </c>
      <c r="G956" s="96">
        <f t="shared" si="57"/>
        <v>5</v>
      </c>
      <c r="I956" s="96"/>
      <c r="K956" t="str">
        <f t="shared" si="58"/>
        <v>JST5</v>
      </c>
      <c r="L956" s="73" t="s">
        <v>159</v>
      </c>
      <c r="M956" s="72">
        <v>40655</v>
      </c>
      <c r="N956" s="84">
        <v>0.121</v>
      </c>
      <c r="O956" s="96">
        <f t="shared" si="59"/>
        <v>5</v>
      </c>
      <c r="Q956" s="96"/>
      <c r="T956" s="110"/>
    </row>
    <row r="957" spans="3:20" x14ac:dyDescent="0.2">
      <c r="C957" s="96" t="str">
        <f t="shared" si="56"/>
        <v>JST6</v>
      </c>
      <c r="D957" s="73" t="s">
        <v>159</v>
      </c>
      <c r="E957" s="100">
        <v>40836</v>
      </c>
      <c r="F957" s="101">
        <v>0.121</v>
      </c>
      <c r="G957" s="96">
        <f t="shared" si="57"/>
        <v>6</v>
      </c>
      <c r="I957" s="96"/>
      <c r="K957" t="str">
        <f t="shared" si="58"/>
        <v>JST6</v>
      </c>
      <c r="L957" s="73" t="s">
        <v>159</v>
      </c>
      <c r="M957" s="72">
        <v>40836</v>
      </c>
      <c r="N957" s="84">
        <v>0.121</v>
      </c>
      <c r="O957" s="96">
        <f t="shared" si="59"/>
        <v>6</v>
      </c>
      <c r="Q957" s="96"/>
      <c r="T957" s="110"/>
    </row>
    <row r="958" spans="3:20" x14ac:dyDescent="0.2">
      <c r="C958" s="96" t="str">
        <f t="shared" si="56"/>
        <v>JST7</v>
      </c>
      <c r="D958" s="73" t="s">
        <v>159</v>
      </c>
      <c r="E958" s="100">
        <v>41023</v>
      </c>
      <c r="F958" s="101">
        <v>0.13350000000000001</v>
      </c>
      <c r="G958" s="96">
        <f t="shared" si="57"/>
        <v>7</v>
      </c>
      <c r="I958" s="96"/>
      <c r="K958" t="str">
        <f t="shared" si="58"/>
        <v>JST7</v>
      </c>
      <c r="L958" s="73" t="s">
        <v>159</v>
      </c>
      <c r="M958" s="72">
        <v>41023</v>
      </c>
      <c r="N958" s="84">
        <v>0.13350000000000001</v>
      </c>
      <c r="O958" s="96">
        <f t="shared" si="59"/>
        <v>7</v>
      </c>
      <c r="Q958" s="96"/>
      <c r="T958" s="110"/>
    </row>
    <row r="959" spans="3:20" x14ac:dyDescent="0.2">
      <c r="C959" s="96" t="str">
        <f t="shared" si="56"/>
        <v>JST8</v>
      </c>
      <c r="D959" s="73" t="s">
        <v>159</v>
      </c>
      <c r="E959" s="100">
        <v>41204</v>
      </c>
      <c r="F959" s="101">
        <v>0.13350000000000001</v>
      </c>
      <c r="G959" s="96">
        <f t="shared" si="57"/>
        <v>8</v>
      </c>
      <c r="I959" s="96"/>
      <c r="K959" t="str">
        <f t="shared" si="58"/>
        <v>JST8</v>
      </c>
      <c r="L959" s="73" t="s">
        <v>159</v>
      </c>
      <c r="M959" s="72">
        <v>41204</v>
      </c>
      <c r="N959" s="84">
        <v>0.13350000000000001</v>
      </c>
      <c r="O959" s="96">
        <f t="shared" si="59"/>
        <v>8</v>
      </c>
      <c r="Q959" s="96"/>
      <c r="T959" s="110"/>
    </row>
    <row r="960" spans="3:20" x14ac:dyDescent="0.2">
      <c r="C960" s="96" t="str">
        <f t="shared" si="56"/>
        <v>KCN1</v>
      </c>
      <c r="D960" s="73" t="s">
        <v>247</v>
      </c>
      <c r="E960" s="100">
        <v>39888</v>
      </c>
      <c r="F960" s="101">
        <v>0.05</v>
      </c>
      <c r="G960" s="96">
        <f t="shared" si="57"/>
        <v>1</v>
      </c>
      <c r="I960" s="96"/>
      <c r="K960" t="str">
        <f t="shared" si="58"/>
        <v>KCN1</v>
      </c>
      <c r="L960" s="73" t="s">
        <v>247</v>
      </c>
      <c r="M960" s="72">
        <v>39888</v>
      </c>
      <c r="N960" s="84">
        <v>0.05</v>
      </c>
      <c r="O960" s="96">
        <f t="shared" si="59"/>
        <v>1</v>
      </c>
      <c r="Q960" s="96"/>
      <c r="T960" s="110"/>
    </row>
    <row r="961" spans="3:20" x14ac:dyDescent="0.2">
      <c r="C961" s="96" t="str">
        <f t="shared" si="56"/>
        <v>KCN2</v>
      </c>
      <c r="D961" s="73" t="s">
        <v>247</v>
      </c>
      <c r="E961" s="100">
        <v>40070</v>
      </c>
      <c r="F961" s="101">
        <v>0.05</v>
      </c>
      <c r="G961" s="96">
        <f t="shared" si="57"/>
        <v>2</v>
      </c>
      <c r="I961" s="96"/>
      <c r="K961" t="str">
        <f t="shared" si="58"/>
        <v>KCN2</v>
      </c>
      <c r="L961" s="73" t="s">
        <v>247</v>
      </c>
      <c r="M961" s="72">
        <v>40070</v>
      </c>
      <c r="N961" s="84">
        <v>0.05</v>
      </c>
      <c r="O961" s="96">
        <f t="shared" si="59"/>
        <v>2</v>
      </c>
      <c r="Q961" s="96"/>
      <c r="T961" s="110"/>
    </row>
    <row r="962" spans="3:20" x14ac:dyDescent="0.2">
      <c r="C962" s="96" t="str">
        <f t="shared" si="56"/>
        <v>KCN3</v>
      </c>
      <c r="D962" s="73" t="s">
        <v>247</v>
      </c>
      <c r="E962" s="100">
        <v>40253</v>
      </c>
      <c r="F962" s="101">
        <v>0.05</v>
      </c>
      <c r="G962" s="96">
        <f t="shared" si="57"/>
        <v>3</v>
      </c>
      <c r="I962" s="96"/>
      <c r="K962" t="str">
        <f t="shared" si="58"/>
        <v>KCN3</v>
      </c>
      <c r="L962" s="73" t="s">
        <v>247</v>
      </c>
      <c r="M962" s="72">
        <v>40253</v>
      </c>
      <c r="N962" s="84">
        <v>0.05</v>
      </c>
      <c r="O962" s="96">
        <f t="shared" si="59"/>
        <v>3</v>
      </c>
      <c r="Q962" s="96"/>
      <c r="T962" s="110"/>
    </row>
    <row r="963" spans="3:20" x14ac:dyDescent="0.2">
      <c r="C963" s="96" t="str">
        <f t="shared" ref="C963:C1026" si="60">D963&amp;G963</f>
        <v>KCN4</v>
      </c>
      <c r="D963" s="73" t="s">
        <v>247</v>
      </c>
      <c r="E963" s="100">
        <v>40435</v>
      </c>
      <c r="F963" s="101">
        <v>0.05</v>
      </c>
      <c r="G963" s="96">
        <f t="shared" ref="G963:G1026" si="61">IF(D963&lt;&gt;D962,1,G962+1)</f>
        <v>4</v>
      </c>
      <c r="I963" s="96"/>
      <c r="K963" t="str">
        <f t="shared" ref="K963:K1026" si="62">L963&amp;O963</f>
        <v>KCN4</v>
      </c>
      <c r="L963" s="73" t="s">
        <v>247</v>
      </c>
      <c r="M963" s="72">
        <v>40435</v>
      </c>
      <c r="N963" s="84">
        <v>0.05</v>
      </c>
      <c r="O963" s="96">
        <f t="shared" ref="O963:O1026" si="63">IF(L963&lt;&gt;L962,1,O962+1)</f>
        <v>4</v>
      </c>
      <c r="Q963" s="96"/>
      <c r="T963" s="110"/>
    </row>
    <row r="964" spans="3:20" x14ac:dyDescent="0.2">
      <c r="C964" s="96" t="str">
        <f t="shared" si="60"/>
        <v>KCN5</v>
      </c>
      <c r="D964" s="73" t="s">
        <v>247</v>
      </c>
      <c r="E964" s="100">
        <v>40618</v>
      </c>
      <c r="F964" s="101">
        <v>0.05</v>
      </c>
      <c r="G964" s="96">
        <f t="shared" si="61"/>
        <v>5</v>
      </c>
      <c r="I964" s="96"/>
      <c r="K964" t="str">
        <f t="shared" si="62"/>
        <v>KCN5</v>
      </c>
      <c r="L964" s="73" t="s">
        <v>247</v>
      </c>
      <c r="M964" s="72">
        <v>40618</v>
      </c>
      <c r="N964" s="84">
        <v>0.05</v>
      </c>
      <c r="O964" s="96">
        <f t="shared" si="63"/>
        <v>5</v>
      </c>
      <c r="Q964" s="96"/>
      <c r="T964" s="110"/>
    </row>
    <row r="965" spans="3:20" x14ac:dyDescent="0.2">
      <c r="C965" s="96" t="str">
        <f t="shared" si="60"/>
        <v>KCN6</v>
      </c>
      <c r="D965" s="73" t="s">
        <v>247</v>
      </c>
      <c r="E965" s="100">
        <v>40800</v>
      </c>
      <c r="F965" s="101">
        <v>0.05</v>
      </c>
      <c r="G965" s="96">
        <f t="shared" si="61"/>
        <v>6</v>
      </c>
      <c r="I965" s="96"/>
      <c r="K965" t="str">
        <f t="shared" si="62"/>
        <v>KCN6</v>
      </c>
      <c r="L965" s="73" t="s">
        <v>247</v>
      </c>
      <c r="M965" s="72">
        <v>40800</v>
      </c>
      <c r="N965" s="84">
        <v>0.05</v>
      </c>
      <c r="O965" s="96">
        <f t="shared" si="63"/>
        <v>6</v>
      </c>
      <c r="Q965" s="96"/>
      <c r="T965" s="110"/>
    </row>
    <row r="966" spans="3:20" x14ac:dyDescent="0.2">
      <c r="C966" s="96" t="str">
        <f t="shared" si="60"/>
        <v>KCN7</v>
      </c>
      <c r="D966" s="73" t="s">
        <v>247</v>
      </c>
      <c r="E966" s="100">
        <v>40984</v>
      </c>
      <c r="F966" s="101">
        <v>7.4999999999999997E-2</v>
      </c>
      <c r="G966" s="96">
        <f t="shared" si="61"/>
        <v>7</v>
      </c>
      <c r="I966" s="96"/>
      <c r="K966" t="str">
        <f t="shared" si="62"/>
        <v>KCN7</v>
      </c>
      <c r="L966" s="73" t="s">
        <v>247</v>
      </c>
      <c r="M966" s="72">
        <v>40984</v>
      </c>
      <c r="N966" s="84">
        <v>7.4999999999999997E-2</v>
      </c>
      <c r="O966" s="96">
        <f t="shared" si="63"/>
        <v>7</v>
      </c>
      <c r="Q966" s="96"/>
      <c r="T966" s="110"/>
    </row>
    <row r="967" spans="3:20" x14ac:dyDescent="0.2">
      <c r="C967" s="96" t="str">
        <f t="shared" si="60"/>
        <v>KCN8</v>
      </c>
      <c r="D967" s="73" t="s">
        <v>247</v>
      </c>
      <c r="E967" s="100">
        <v>41166</v>
      </c>
      <c r="F967" s="101">
        <v>7.4999999999999997E-2</v>
      </c>
      <c r="G967" s="96">
        <f t="shared" si="61"/>
        <v>8</v>
      </c>
      <c r="I967" s="96"/>
      <c r="K967" t="str">
        <f t="shared" si="62"/>
        <v>KCN8</v>
      </c>
      <c r="L967" s="73" t="s">
        <v>247</v>
      </c>
      <c r="M967" s="72">
        <v>41166</v>
      </c>
      <c r="N967" s="84">
        <v>7.4999999999999997E-2</v>
      </c>
      <c r="O967" s="96">
        <f t="shared" si="63"/>
        <v>8</v>
      </c>
      <c r="Q967" s="96"/>
      <c r="T967" s="110"/>
    </row>
    <row r="968" spans="3:20" x14ac:dyDescent="0.2">
      <c r="C968" s="96" t="str">
        <f t="shared" si="60"/>
        <v>KCN9</v>
      </c>
      <c r="D968" s="73" t="s">
        <v>247</v>
      </c>
      <c r="E968" s="100">
        <v>41351</v>
      </c>
      <c r="F968" s="101">
        <v>0.1</v>
      </c>
      <c r="G968" s="96">
        <f t="shared" si="61"/>
        <v>9</v>
      </c>
      <c r="I968" s="96"/>
      <c r="K968" t="str">
        <f t="shared" si="62"/>
        <v>KCN9</v>
      </c>
      <c r="L968" s="73" t="s">
        <v>247</v>
      </c>
      <c r="M968" s="72">
        <v>41351</v>
      </c>
      <c r="N968" s="84">
        <v>0.1</v>
      </c>
      <c r="O968" s="96">
        <f t="shared" si="63"/>
        <v>9</v>
      </c>
      <c r="Q968" s="96"/>
      <c r="T968" s="110"/>
    </row>
    <row r="969" spans="3:20" x14ac:dyDescent="0.2">
      <c r="C969" s="96" t="str">
        <f t="shared" si="60"/>
        <v>KCN10</v>
      </c>
      <c r="D969" s="73" t="s">
        <v>247</v>
      </c>
      <c r="E969" s="100">
        <v>41533</v>
      </c>
      <c r="F969" s="101">
        <v>0.1</v>
      </c>
      <c r="G969" s="96">
        <f t="shared" si="61"/>
        <v>10</v>
      </c>
      <c r="I969" s="96"/>
      <c r="K969" t="str">
        <f t="shared" si="62"/>
        <v>KCN10</v>
      </c>
      <c r="L969" s="73" t="s">
        <v>247</v>
      </c>
      <c r="M969" s="72">
        <v>41533</v>
      </c>
      <c r="N969" s="84">
        <v>0.1</v>
      </c>
      <c r="O969" s="96">
        <f t="shared" si="63"/>
        <v>10</v>
      </c>
      <c r="Q969" s="96"/>
      <c r="T969" s="110"/>
    </row>
    <row r="970" spans="3:20" x14ac:dyDescent="0.2">
      <c r="C970" s="96" t="str">
        <f t="shared" si="60"/>
        <v>KZL1</v>
      </c>
      <c r="D970" s="73" t="s">
        <v>160</v>
      </c>
      <c r="E970" s="100">
        <v>40093</v>
      </c>
      <c r="F970" s="101">
        <v>0.12</v>
      </c>
      <c r="G970" s="96">
        <f t="shared" si="61"/>
        <v>1</v>
      </c>
      <c r="I970" s="96"/>
      <c r="K970" t="str">
        <f t="shared" si="62"/>
        <v>KZL1</v>
      </c>
      <c r="L970" s="73" t="s">
        <v>160</v>
      </c>
      <c r="M970" s="72">
        <v>40093</v>
      </c>
      <c r="N970" s="84">
        <v>0.12</v>
      </c>
      <c r="O970" s="96">
        <f t="shared" si="63"/>
        <v>1</v>
      </c>
      <c r="Q970" s="96"/>
      <c r="T970" s="110"/>
    </row>
    <row r="971" spans="3:20" x14ac:dyDescent="0.2">
      <c r="C971" s="96" t="str">
        <f t="shared" si="60"/>
        <v>KZL2</v>
      </c>
      <c r="D971" s="73" t="s">
        <v>160</v>
      </c>
      <c r="E971" s="100">
        <v>40458</v>
      </c>
      <c r="F971" s="101">
        <v>8.0000000000000002E-3</v>
      </c>
      <c r="G971" s="96">
        <f t="shared" si="61"/>
        <v>2</v>
      </c>
      <c r="I971" s="96"/>
      <c r="K971" t="str">
        <f t="shared" si="62"/>
        <v>KZL2</v>
      </c>
      <c r="L971" s="73" t="s">
        <v>160</v>
      </c>
      <c r="M971" s="72">
        <v>40458</v>
      </c>
      <c r="N971" s="84">
        <v>8.0000000000000002E-3</v>
      </c>
      <c r="O971" s="96">
        <f t="shared" si="63"/>
        <v>2</v>
      </c>
      <c r="Q971" s="96"/>
      <c r="T971" s="110"/>
    </row>
    <row r="972" spans="3:20" x14ac:dyDescent="0.2">
      <c r="C972" s="96" t="str">
        <f t="shared" si="60"/>
        <v>KZL3</v>
      </c>
      <c r="D972" s="73" t="s">
        <v>160</v>
      </c>
      <c r="E972" s="100">
        <v>40823</v>
      </c>
      <c r="F972" s="101">
        <v>5.7000000000000002E-2</v>
      </c>
      <c r="G972" s="96">
        <f t="shared" si="61"/>
        <v>3</v>
      </c>
      <c r="I972" s="96"/>
      <c r="K972" t="str">
        <f t="shared" si="62"/>
        <v>KZL3</v>
      </c>
      <c r="L972" s="73" t="s">
        <v>160</v>
      </c>
      <c r="M972" s="72">
        <v>40823</v>
      </c>
      <c r="N972" s="84">
        <v>5.7000000000000002E-2</v>
      </c>
      <c r="O972" s="96">
        <f t="shared" si="63"/>
        <v>3</v>
      </c>
      <c r="Q972" s="96"/>
      <c r="T972" s="110"/>
    </row>
    <row r="973" spans="3:20" x14ac:dyDescent="0.2">
      <c r="C973" s="96" t="str">
        <f t="shared" si="60"/>
        <v>KZL4</v>
      </c>
      <c r="D973" s="73" t="s">
        <v>160</v>
      </c>
      <c r="E973" s="100">
        <v>41191</v>
      </c>
      <c r="F973" s="101">
        <v>0.14000000000000001</v>
      </c>
      <c r="G973" s="96">
        <f t="shared" si="61"/>
        <v>4</v>
      </c>
      <c r="I973" s="96"/>
      <c r="K973" t="str">
        <f t="shared" si="62"/>
        <v>KZL4</v>
      </c>
      <c r="L973" s="73" t="s">
        <v>160</v>
      </c>
      <c r="M973" s="72">
        <v>41191</v>
      </c>
      <c r="N973" s="84">
        <v>0.14000000000000001</v>
      </c>
      <c r="O973" s="96">
        <f t="shared" si="63"/>
        <v>4</v>
      </c>
      <c r="Q973" s="96"/>
      <c r="T973" s="110"/>
    </row>
    <row r="974" spans="3:20" x14ac:dyDescent="0.2">
      <c r="C974" s="96" t="str">
        <f t="shared" si="60"/>
        <v>KZL5</v>
      </c>
      <c r="D974" s="73" t="s">
        <v>160</v>
      </c>
      <c r="E974" s="100">
        <v>41556</v>
      </c>
      <c r="F974" s="101">
        <v>0.15</v>
      </c>
      <c r="G974" s="96">
        <f t="shared" si="61"/>
        <v>5</v>
      </c>
      <c r="I974" s="96"/>
      <c r="K974" t="str">
        <f t="shared" si="62"/>
        <v>KZL5</v>
      </c>
      <c r="L974" s="73" t="s">
        <v>160</v>
      </c>
      <c r="M974" s="72">
        <v>41556</v>
      </c>
      <c r="N974" s="84">
        <v>0.15</v>
      </c>
      <c r="O974" s="96">
        <f t="shared" si="63"/>
        <v>5</v>
      </c>
      <c r="Q974" s="96"/>
      <c r="T974" s="110"/>
    </row>
    <row r="975" spans="3:20" x14ac:dyDescent="0.2">
      <c r="C975" s="96" t="str">
        <f t="shared" si="60"/>
        <v>LEI1</v>
      </c>
      <c r="D975" s="73" t="s">
        <v>161</v>
      </c>
      <c r="E975" s="100">
        <v>39878</v>
      </c>
      <c r="F975" s="101">
        <v>0.6</v>
      </c>
      <c r="G975" s="96">
        <f t="shared" si="61"/>
        <v>1</v>
      </c>
      <c r="I975" s="96"/>
      <c r="K975" t="str">
        <f t="shared" si="62"/>
        <v>LEI1</v>
      </c>
      <c r="L975" s="73" t="s">
        <v>161</v>
      </c>
      <c r="M975" s="72">
        <v>39878</v>
      </c>
      <c r="N975" s="84">
        <v>0.6</v>
      </c>
      <c r="O975" s="96">
        <f t="shared" si="63"/>
        <v>1</v>
      </c>
      <c r="Q975" s="96"/>
      <c r="T975" s="110"/>
    </row>
    <row r="976" spans="3:20" x14ac:dyDescent="0.2">
      <c r="C976" s="96" t="str">
        <f t="shared" si="60"/>
        <v>LEI2</v>
      </c>
      <c r="D976" s="73" t="s">
        <v>161</v>
      </c>
      <c r="E976" s="100">
        <v>40063</v>
      </c>
      <c r="F976" s="101">
        <v>0.85</v>
      </c>
      <c r="G976" s="96">
        <f t="shared" si="61"/>
        <v>2</v>
      </c>
      <c r="I976" s="96"/>
      <c r="K976" t="str">
        <f t="shared" si="62"/>
        <v>LEI2</v>
      </c>
      <c r="L976" s="73" t="s">
        <v>161</v>
      </c>
      <c r="M976" s="72">
        <v>40063</v>
      </c>
      <c r="N976" s="84">
        <v>0.85</v>
      </c>
      <c r="O976" s="96">
        <f t="shared" si="63"/>
        <v>2</v>
      </c>
      <c r="Q976" s="96"/>
      <c r="T976" s="110"/>
    </row>
    <row r="977" spans="3:20" x14ac:dyDescent="0.2">
      <c r="C977" s="96" t="str">
        <f t="shared" si="60"/>
        <v>LEI3</v>
      </c>
      <c r="D977" s="73" t="s">
        <v>161</v>
      </c>
      <c r="E977" s="100">
        <v>40246</v>
      </c>
      <c r="F977" s="101">
        <v>0.6</v>
      </c>
      <c r="G977" s="96">
        <f t="shared" si="61"/>
        <v>3</v>
      </c>
      <c r="I977" s="96"/>
      <c r="K977" t="str">
        <f t="shared" si="62"/>
        <v>LEI3</v>
      </c>
      <c r="L977" s="73" t="s">
        <v>161</v>
      </c>
      <c r="M977" s="72">
        <v>40246</v>
      </c>
      <c r="N977" s="84">
        <v>0.6</v>
      </c>
      <c r="O977" s="96">
        <f t="shared" si="63"/>
        <v>3</v>
      </c>
      <c r="Q977" s="96"/>
      <c r="T977" s="110"/>
    </row>
    <row r="978" spans="3:20" x14ac:dyDescent="0.2">
      <c r="C978" s="96" t="str">
        <f t="shared" si="60"/>
        <v>LEI4</v>
      </c>
      <c r="D978" s="73" t="s">
        <v>161</v>
      </c>
      <c r="E978" s="100">
        <v>40428</v>
      </c>
      <c r="F978" s="101">
        <v>0.85</v>
      </c>
      <c r="G978" s="96">
        <f t="shared" si="61"/>
        <v>4</v>
      </c>
      <c r="I978" s="96"/>
      <c r="K978" t="str">
        <f t="shared" si="62"/>
        <v>LEI4</v>
      </c>
      <c r="L978" s="73" t="s">
        <v>161</v>
      </c>
      <c r="M978" s="72">
        <v>40428</v>
      </c>
      <c r="N978" s="84">
        <v>0.85</v>
      </c>
      <c r="O978" s="96">
        <f t="shared" si="63"/>
        <v>4</v>
      </c>
      <c r="Q978" s="96"/>
      <c r="T978" s="110"/>
    </row>
    <row r="979" spans="3:20" x14ac:dyDescent="0.2">
      <c r="C979" s="96" t="str">
        <f t="shared" si="60"/>
        <v>LEI5</v>
      </c>
      <c r="D979" s="73" t="s">
        <v>161</v>
      </c>
      <c r="E979" s="100">
        <v>40611</v>
      </c>
      <c r="F979" s="101">
        <v>0.63350000000000006</v>
      </c>
      <c r="G979" s="96">
        <f t="shared" si="61"/>
        <v>5</v>
      </c>
      <c r="I979" s="96"/>
      <c r="K979" t="str">
        <f t="shared" si="62"/>
        <v>LEI5</v>
      </c>
      <c r="L979" s="73" t="s">
        <v>161</v>
      </c>
      <c r="M979" s="72">
        <v>40611</v>
      </c>
      <c r="N979" s="84">
        <v>0.63350000000000006</v>
      </c>
      <c r="O979" s="96">
        <f t="shared" si="63"/>
        <v>5</v>
      </c>
      <c r="Q979" s="96"/>
      <c r="T979" s="110"/>
    </row>
    <row r="980" spans="3:20" x14ac:dyDescent="0.2">
      <c r="C980" s="96" t="str">
        <f t="shared" si="60"/>
        <v>LEI6</v>
      </c>
      <c r="D980" s="73" t="s">
        <v>161</v>
      </c>
      <c r="E980" s="100">
        <v>40793</v>
      </c>
      <c r="F980" s="101">
        <v>0.89749999999999996</v>
      </c>
      <c r="G980" s="96">
        <f t="shared" si="61"/>
        <v>6</v>
      </c>
      <c r="I980" s="96"/>
      <c r="K980" t="str">
        <f t="shared" si="62"/>
        <v>LEI6</v>
      </c>
      <c r="L980" s="73" t="s">
        <v>161</v>
      </c>
      <c r="M980" s="72">
        <v>40793</v>
      </c>
      <c r="N980" s="84">
        <v>0.89749999999999996</v>
      </c>
      <c r="O980" s="96">
        <f t="shared" si="63"/>
        <v>6</v>
      </c>
      <c r="Q980" s="96"/>
      <c r="T980" s="110"/>
    </row>
    <row r="981" spans="3:20" x14ac:dyDescent="0.2">
      <c r="C981" s="96" t="str">
        <f t="shared" si="60"/>
        <v>LEI7</v>
      </c>
      <c r="D981" s="73" t="s">
        <v>161</v>
      </c>
      <c r="E981" s="100">
        <v>40977</v>
      </c>
      <c r="F981" s="101">
        <v>0.71909999999999996</v>
      </c>
      <c r="G981" s="96">
        <f t="shared" si="61"/>
        <v>7</v>
      </c>
      <c r="I981" s="96"/>
      <c r="K981" t="str">
        <f t="shared" si="62"/>
        <v>LEI7</v>
      </c>
      <c r="L981" s="73" t="s">
        <v>161</v>
      </c>
      <c r="M981" s="72">
        <v>40977</v>
      </c>
      <c r="N981" s="84">
        <v>0.71909999999999996</v>
      </c>
      <c r="O981" s="96">
        <f t="shared" si="63"/>
        <v>7</v>
      </c>
      <c r="Q981" s="96"/>
      <c r="T981" s="110"/>
    </row>
    <row r="982" spans="3:20" x14ac:dyDescent="0.2">
      <c r="C982" s="96" t="str">
        <f t="shared" si="60"/>
        <v>LEI8</v>
      </c>
      <c r="D982" s="73" t="s">
        <v>161</v>
      </c>
      <c r="E982" s="100">
        <v>41159</v>
      </c>
      <c r="F982" s="101">
        <v>1.0188999999999999</v>
      </c>
      <c r="G982" s="96">
        <f t="shared" si="61"/>
        <v>8</v>
      </c>
      <c r="I982" s="96"/>
      <c r="K982" t="str">
        <f t="shared" si="62"/>
        <v>LEI8</v>
      </c>
      <c r="L982" s="73" t="s">
        <v>161</v>
      </c>
      <c r="M982" s="72">
        <v>41159</v>
      </c>
      <c r="N982" s="84">
        <v>1.0188999999999999</v>
      </c>
      <c r="O982" s="96">
        <f t="shared" si="63"/>
        <v>8</v>
      </c>
      <c r="Q982" s="96"/>
      <c r="T982" s="110"/>
    </row>
    <row r="983" spans="3:20" x14ac:dyDescent="0.2">
      <c r="C983" s="96" t="str">
        <f t="shared" si="60"/>
        <v>LEI9</v>
      </c>
      <c r="D983" s="73" t="s">
        <v>161</v>
      </c>
      <c r="E983" s="100">
        <v>41344</v>
      </c>
      <c r="F983" s="101">
        <v>0.72730000000000006</v>
      </c>
      <c r="G983" s="96">
        <f t="shared" si="61"/>
        <v>9</v>
      </c>
      <c r="I983" s="96"/>
      <c r="K983" t="str">
        <f t="shared" si="62"/>
        <v>LEI9</v>
      </c>
      <c r="L983" s="73" t="s">
        <v>161</v>
      </c>
      <c r="M983" s="72">
        <v>41344</v>
      </c>
      <c r="N983" s="84">
        <v>0.72730000000000006</v>
      </c>
      <c r="O983" s="96">
        <f t="shared" si="63"/>
        <v>9</v>
      </c>
      <c r="Q983" s="96"/>
      <c r="T983" s="110"/>
    </row>
    <row r="984" spans="3:20" x14ac:dyDescent="0.2">
      <c r="C984" s="96" t="str">
        <f t="shared" si="60"/>
        <v>LEI10</v>
      </c>
      <c r="D984" s="73" t="s">
        <v>161</v>
      </c>
      <c r="E984" s="100">
        <v>41526</v>
      </c>
      <c r="F984" s="101">
        <v>1.0306999999999999</v>
      </c>
      <c r="G984" s="96">
        <f t="shared" si="61"/>
        <v>10</v>
      </c>
      <c r="I984" s="96"/>
      <c r="K984" t="str">
        <f t="shared" si="62"/>
        <v>LEI10</v>
      </c>
      <c r="L984" s="73" t="s">
        <v>161</v>
      </c>
      <c r="M984" s="72">
        <v>41526</v>
      </c>
      <c r="N984" s="84">
        <v>1.0306999999999999</v>
      </c>
      <c r="O984" s="96">
        <f t="shared" si="63"/>
        <v>10</v>
      </c>
      <c r="Q984" s="96"/>
      <c r="T984" s="110"/>
    </row>
    <row r="985" spans="3:20" x14ac:dyDescent="0.2">
      <c r="C985" s="96" t="str">
        <f t="shared" si="60"/>
        <v>LLC1</v>
      </c>
      <c r="D985" s="73" t="s">
        <v>162</v>
      </c>
      <c r="E985" s="100">
        <v>39877</v>
      </c>
      <c r="F985" s="101">
        <v>0.3</v>
      </c>
      <c r="G985" s="96">
        <f t="shared" si="61"/>
        <v>1</v>
      </c>
      <c r="I985" s="96"/>
      <c r="K985" t="str">
        <f t="shared" si="62"/>
        <v>LLC1</v>
      </c>
      <c r="L985" s="73" t="s">
        <v>162</v>
      </c>
      <c r="M985" s="72">
        <v>39877</v>
      </c>
      <c r="N985" s="84">
        <v>0.3</v>
      </c>
      <c r="O985" s="96">
        <f t="shared" si="63"/>
        <v>1</v>
      </c>
      <c r="Q985" s="96"/>
      <c r="T985" s="110"/>
    </row>
    <row r="986" spans="3:20" x14ac:dyDescent="0.2">
      <c r="C986" s="96" t="str">
        <f t="shared" si="60"/>
        <v>LLC2</v>
      </c>
      <c r="D986" s="73" t="s">
        <v>162</v>
      </c>
      <c r="E986" s="100">
        <v>40063</v>
      </c>
      <c r="F986" s="101">
        <v>0.34</v>
      </c>
      <c r="G986" s="96">
        <f t="shared" si="61"/>
        <v>2</v>
      </c>
      <c r="I986" s="96"/>
      <c r="K986" t="str">
        <f t="shared" si="62"/>
        <v>LLC2</v>
      </c>
      <c r="L986" s="73" t="s">
        <v>162</v>
      </c>
      <c r="M986" s="72">
        <v>40063</v>
      </c>
      <c r="N986" s="84">
        <v>0.34</v>
      </c>
      <c r="O986" s="96">
        <f t="shared" si="63"/>
        <v>2</v>
      </c>
      <c r="Q986" s="96"/>
      <c r="T986" s="110"/>
    </row>
    <row r="987" spans="3:20" x14ac:dyDescent="0.2">
      <c r="C987" s="96" t="str">
        <f t="shared" si="60"/>
        <v>LLC3</v>
      </c>
      <c r="D987" s="73" t="s">
        <v>162</v>
      </c>
      <c r="E987" s="100">
        <v>40245</v>
      </c>
      <c r="F987" s="101">
        <v>0.3</v>
      </c>
      <c r="G987" s="96">
        <f t="shared" si="61"/>
        <v>3</v>
      </c>
      <c r="I987" s="96"/>
      <c r="K987" t="str">
        <f t="shared" si="62"/>
        <v>LLC3</v>
      </c>
      <c r="L987" s="73" t="s">
        <v>162</v>
      </c>
      <c r="M987" s="72">
        <v>40245</v>
      </c>
      <c r="N987" s="84">
        <v>0.3</v>
      </c>
      <c r="O987" s="96">
        <f t="shared" si="63"/>
        <v>3</v>
      </c>
      <c r="Q987" s="96"/>
      <c r="T987" s="110"/>
    </row>
    <row r="988" spans="3:20" x14ac:dyDescent="0.2">
      <c r="C988" s="96" t="str">
        <f t="shared" si="60"/>
        <v>LLC4</v>
      </c>
      <c r="D988" s="73" t="s">
        <v>162</v>
      </c>
      <c r="E988" s="100">
        <v>40428</v>
      </c>
      <c r="F988" s="101">
        <v>0.3</v>
      </c>
      <c r="G988" s="96">
        <f t="shared" si="61"/>
        <v>4</v>
      </c>
      <c r="I988" s="96"/>
      <c r="K988" t="str">
        <f t="shared" si="62"/>
        <v>LLC4</v>
      </c>
      <c r="L988" s="73" t="s">
        <v>162</v>
      </c>
      <c r="M988" s="72">
        <v>40428</v>
      </c>
      <c r="N988" s="84">
        <v>0.3</v>
      </c>
      <c r="O988" s="96">
        <f t="shared" si="63"/>
        <v>4</v>
      </c>
      <c r="Q988" s="96"/>
      <c r="T988" s="110"/>
    </row>
    <row r="989" spans="3:20" x14ac:dyDescent="0.2">
      <c r="C989" s="96" t="str">
        <f t="shared" si="60"/>
        <v>LLC5</v>
      </c>
      <c r="D989" s="73" t="s">
        <v>162</v>
      </c>
      <c r="E989" s="100">
        <v>40610</v>
      </c>
      <c r="F989" s="101">
        <v>0.3</v>
      </c>
      <c r="G989" s="96">
        <f t="shared" si="61"/>
        <v>5</v>
      </c>
      <c r="I989" s="96"/>
      <c r="K989" t="str">
        <f t="shared" si="62"/>
        <v>LLC5</v>
      </c>
      <c r="L989" s="73" t="s">
        <v>162</v>
      </c>
      <c r="M989" s="72">
        <v>40610</v>
      </c>
      <c r="N989" s="84">
        <v>0.3</v>
      </c>
      <c r="O989" s="96">
        <f t="shared" si="63"/>
        <v>5</v>
      </c>
      <c r="Q989" s="96"/>
      <c r="T989" s="110"/>
    </row>
    <row r="990" spans="3:20" x14ac:dyDescent="0.2">
      <c r="C990" s="96" t="str">
        <f t="shared" si="60"/>
        <v>LLC6</v>
      </c>
      <c r="D990" s="73" t="s">
        <v>162</v>
      </c>
      <c r="E990" s="100">
        <v>40793</v>
      </c>
      <c r="F990" s="101">
        <v>0.32</v>
      </c>
      <c r="G990" s="96">
        <f t="shared" si="61"/>
        <v>6</v>
      </c>
      <c r="I990" s="96"/>
      <c r="K990" t="str">
        <f t="shared" si="62"/>
        <v>LLC6</v>
      </c>
      <c r="L990" s="73" t="s">
        <v>162</v>
      </c>
      <c r="M990" s="72">
        <v>40793</v>
      </c>
      <c r="N990" s="84">
        <v>0.32</v>
      </c>
      <c r="O990" s="96">
        <f t="shared" si="63"/>
        <v>6</v>
      </c>
      <c r="Q990" s="96"/>
      <c r="T990" s="110"/>
    </row>
    <row r="991" spans="3:20" x14ac:dyDescent="0.2">
      <c r="C991" s="96" t="str">
        <f t="shared" si="60"/>
        <v>LLC7</v>
      </c>
      <c r="D991" s="73" t="s">
        <v>162</v>
      </c>
      <c r="E991" s="100">
        <v>40976</v>
      </c>
      <c r="F991" s="101">
        <v>0.3</v>
      </c>
      <c r="G991" s="96">
        <f t="shared" si="61"/>
        <v>7</v>
      </c>
      <c r="I991" s="96"/>
      <c r="K991" t="str">
        <f t="shared" si="62"/>
        <v>LLC7</v>
      </c>
      <c r="L991" s="73" t="s">
        <v>162</v>
      </c>
      <c r="M991" s="72">
        <v>40976</v>
      </c>
      <c r="N991" s="84">
        <v>0.3</v>
      </c>
      <c r="O991" s="96">
        <f t="shared" si="63"/>
        <v>7</v>
      </c>
      <c r="Q991" s="96"/>
      <c r="T991" s="110"/>
    </row>
    <row r="992" spans="3:20" x14ac:dyDescent="0.2">
      <c r="C992" s="96" t="str">
        <f t="shared" si="60"/>
        <v>LLC8</v>
      </c>
      <c r="D992" s="73" t="s">
        <v>162</v>
      </c>
      <c r="E992" s="100">
        <v>41159</v>
      </c>
      <c r="F992" s="101">
        <v>0.34</v>
      </c>
      <c r="G992" s="96">
        <f t="shared" si="61"/>
        <v>8</v>
      </c>
      <c r="I992" s="96"/>
      <c r="K992" t="str">
        <f t="shared" si="62"/>
        <v>LLC8</v>
      </c>
      <c r="L992" s="73" t="s">
        <v>162</v>
      </c>
      <c r="M992" s="72">
        <v>41159</v>
      </c>
      <c r="N992" s="84">
        <v>0.34</v>
      </c>
      <c r="O992" s="96">
        <f t="shared" si="63"/>
        <v>8</v>
      </c>
      <c r="Q992" s="96"/>
      <c r="T992" s="110"/>
    </row>
    <row r="993" spans="3:20" x14ac:dyDescent="0.2">
      <c r="C993" s="96" t="str">
        <f t="shared" si="60"/>
        <v>LLC9</v>
      </c>
      <c r="D993" s="73" t="s">
        <v>162</v>
      </c>
      <c r="E993" s="100">
        <v>41341</v>
      </c>
      <c r="F993" s="101">
        <v>0.31</v>
      </c>
      <c r="G993" s="96">
        <f t="shared" si="61"/>
        <v>9</v>
      </c>
      <c r="I993" s="96"/>
      <c r="K993" t="str">
        <f t="shared" si="62"/>
        <v>LLC9</v>
      </c>
      <c r="L993" s="73" t="s">
        <v>162</v>
      </c>
      <c r="M993" s="72">
        <v>41341</v>
      </c>
      <c r="N993" s="84">
        <v>0.31</v>
      </c>
      <c r="O993" s="96">
        <f t="shared" si="63"/>
        <v>9</v>
      </c>
      <c r="Q993" s="96"/>
      <c r="T993" s="110"/>
    </row>
    <row r="994" spans="3:20" x14ac:dyDescent="0.2">
      <c r="C994" s="96" t="str">
        <f t="shared" si="60"/>
        <v>LLC10</v>
      </c>
      <c r="D994" s="73" t="s">
        <v>162</v>
      </c>
      <c r="E994" s="100">
        <v>41526</v>
      </c>
      <c r="F994" s="101">
        <v>0.35</v>
      </c>
      <c r="G994" s="96">
        <f t="shared" si="61"/>
        <v>10</v>
      </c>
      <c r="I994" s="96"/>
      <c r="K994" t="str">
        <f t="shared" si="62"/>
        <v>LLC10</v>
      </c>
      <c r="L994" s="73" t="s">
        <v>162</v>
      </c>
      <c r="M994" s="72">
        <v>41526</v>
      </c>
      <c r="N994" s="84">
        <v>0.35</v>
      </c>
      <c r="O994" s="96">
        <f t="shared" si="63"/>
        <v>10</v>
      </c>
      <c r="Q994" s="96"/>
      <c r="T994" s="110"/>
    </row>
    <row r="995" spans="3:20" x14ac:dyDescent="0.2">
      <c r="C995" s="96" t="str">
        <f t="shared" si="60"/>
        <v>LNN1</v>
      </c>
      <c r="D995" s="73" t="s">
        <v>163</v>
      </c>
      <c r="E995" s="100">
        <v>39966</v>
      </c>
      <c r="F995" s="101">
        <v>0.22</v>
      </c>
      <c r="G995" s="96">
        <f t="shared" si="61"/>
        <v>1</v>
      </c>
      <c r="I995" s="96"/>
      <c r="K995" t="str">
        <f t="shared" si="62"/>
        <v>LNN1</v>
      </c>
      <c r="L995" s="73" t="s">
        <v>163</v>
      </c>
      <c r="M995" s="72">
        <v>39966</v>
      </c>
      <c r="N995" s="84">
        <v>0.22</v>
      </c>
      <c r="O995" s="96">
        <f t="shared" si="63"/>
        <v>1</v>
      </c>
      <c r="Q995" s="96"/>
      <c r="T995" s="110"/>
    </row>
    <row r="996" spans="3:20" x14ac:dyDescent="0.2">
      <c r="C996" s="96" t="str">
        <f t="shared" si="60"/>
        <v>LNN2</v>
      </c>
      <c r="D996" s="73" t="s">
        <v>163</v>
      </c>
      <c r="E996" s="100">
        <v>40162</v>
      </c>
      <c r="F996" s="101">
        <v>0.24</v>
      </c>
      <c r="G996" s="96">
        <f t="shared" si="61"/>
        <v>2</v>
      </c>
      <c r="I996" s="96"/>
      <c r="K996" t="str">
        <f t="shared" si="62"/>
        <v>LNN2</v>
      </c>
      <c r="L996" s="73" t="s">
        <v>163</v>
      </c>
      <c r="M996" s="72">
        <v>40162</v>
      </c>
      <c r="N996" s="84">
        <v>0.24</v>
      </c>
      <c r="O996" s="96">
        <f t="shared" si="63"/>
        <v>2</v>
      </c>
      <c r="Q996" s="96"/>
      <c r="T996" s="110"/>
    </row>
    <row r="997" spans="3:20" x14ac:dyDescent="0.2">
      <c r="C997" s="96" t="str">
        <f t="shared" si="60"/>
        <v>LNN3</v>
      </c>
      <c r="D997" s="73" t="s">
        <v>163</v>
      </c>
      <c r="E997" s="100">
        <v>40332</v>
      </c>
      <c r="F997" s="101">
        <v>0.23719999999999999</v>
      </c>
      <c r="G997" s="96">
        <f t="shared" si="61"/>
        <v>3</v>
      </c>
      <c r="I997" s="96"/>
      <c r="K997" t="str">
        <f t="shared" si="62"/>
        <v>LNN3</v>
      </c>
      <c r="L997" s="73" t="s">
        <v>163</v>
      </c>
      <c r="M997" s="72">
        <v>40332</v>
      </c>
      <c r="N997" s="84">
        <v>0.23719999999999999</v>
      </c>
      <c r="O997" s="96">
        <f t="shared" si="63"/>
        <v>3</v>
      </c>
      <c r="Q997" s="96"/>
      <c r="T997" s="110"/>
    </row>
    <row r="998" spans="3:20" x14ac:dyDescent="0.2">
      <c r="C998" s="96" t="str">
        <f t="shared" si="60"/>
        <v>LNN4</v>
      </c>
      <c r="D998" s="73" t="s">
        <v>163</v>
      </c>
      <c r="E998" s="100">
        <v>40527</v>
      </c>
      <c r="F998" s="101">
        <v>0.25879999999999997</v>
      </c>
      <c r="G998" s="96">
        <f t="shared" si="61"/>
        <v>4</v>
      </c>
      <c r="I998" s="96"/>
      <c r="K998" t="str">
        <f t="shared" si="62"/>
        <v>LNN4</v>
      </c>
      <c r="L998" s="73" t="s">
        <v>163</v>
      </c>
      <c r="M998" s="72">
        <v>40527</v>
      </c>
      <c r="N998" s="84">
        <v>0.25879999999999997</v>
      </c>
      <c r="O998" s="96">
        <f t="shared" si="63"/>
        <v>4</v>
      </c>
      <c r="Q998" s="96"/>
      <c r="T998" s="110"/>
    </row>
    <row r="999" spans="3:20" x14ac:dyDescent="0.2">
      <c r="C999" s="96" t="str">
        <f t="shared" si="60"/>
        <v>LNN5</v>
      </c>
      <c r="D999" s="73" t="s">
        <v>163</v>
      </c>
      <c r="E999" s="100">
        <v>40697</v>
      </c>
      <c r="F999" s="101">
        <v>0.25629999999999997</v>
      </c>
      <c r="G999" s="96">
        <f t="shared" si="61"/>
        <v>5</v>
      </c>
      <c r="I999" s="96"/>
      <c r="K999" t="str">
        <f t="shared" si="62"/>
        <v>LNN5</v>
      </c>
      <c r="L999" s="73" t="s">
        <v>163</v>
      </c>
      <c r="M999" s="72">
        <v>40697</v>
      </c>
      <c r="N999" s="84">
        <v>0.25629999999999997</v>
      </c>
      <c r="O999" s="96">
        <f t="shared" si="63"/>
        <v>5</v>
      </c>
      <c r="Q999" s="96"/>
      <c r="T999" s="110"/>
    </row>
    <row r="1000" spans="3:20" x14ac:dyDescent="0.2">
      <c r="C1000" s="96" t="str">
        <f t="shared" si="60"/>
        <v>LNN6</v>
      </c>
      <c r="D1000" s="73" t="s">
        <v>163</v>
      </c>
      <c r="E1000" s="100">
        <v>40892</v>
      </c>
      <c r="F1000" s="101">
        <v>0.2797</v>
      </c>
      <c r="G1000" s="96">
        <f t="shared" si="61"/>
        <v>6</v>
      </c>
      <c r="I1000" s="96"/>
      <c r="K1000" t="str">
        <f t="shared" si="62"/>
        <v>LNN6</v>
      </c>
      <c r="L1000" s="73" t="s">
        <v>163</v>
      </c>
      <c r="M1000" s="72">
        <v>40892</v>
      </c>
      <c r="N1000" s="84">
        <v>0.2797</v>
      </c>
      <c r="O1000" s="96">
        <f t="shared" si="63"/>
        <v>6</v>
      </c>
      <c r="Q1000" s="96"/>
      <c r="T1000" s="110"/>
    </row>
    <row r="1001" spans="3:20" x14ac:dyDescent="0.2">
      <c r="C1001" s="96" t="str">
        <f t="shared" si="60"/>
        <v>LNN7</v>
      </c>
      <c r="D1001" s="73" t="s">
        <v>163</v>
      </c>
      <c r="E1001" s="100">
        <v>41065</v>
      </c>
      <c r="F1001" s="101">
        <v>0.27729999999999999</v>
      </c>
      <c r="G1001" s="96">
        <f t="shared" si="61"/>
        <v>7</v>
      </c>
      <c r="I1001" s="96"/>
      <c r="K1001" t="str">
        <f t="shared" si="62"/>
        <v>LNN7</v>
      </c>
      <c r="L1001" s="73" t="s">
        <v>163</v>
      </c>
      <c r="M1001" s="72">
        <v>41065</v>
      </c>
      <c r="N1001" s="84">
        <v>0.27729999999999999</v>
      </c>
      <c r="O1001" s="96">
        <f t="shared" si="63"/>
        <v>7</v>
      </c>
      <c r="Q1001" s="96"/>
      <c r="T1001" s="110"/>
    </row>
    <row r="1002" spans="3:20" x14ac:dyDescent="0.2">
      <c r="C1002" s="96" t="str">
        <f t="shared" si="60"/>
        <v>LNN8</v>
      </c>
      <c r="D1002" s="73" t="s">
        <v>163</v>
      </c>
      <c r="E1002" s="100">
        <v>41260</v>
      </c>
      <c r="F1002" s="101">
        <v>0.30269999999999997</v>
      </c>
      <c r="G1002" s="96">
        <f t="shared" si="61"/>
        <v>8</v>
      </c>
      <c r="I1002" s="96"/>
      <c r="K1002" t="str">
        <f t="shared" si="62"/>
        <v>LNN8</v>
      </c>
      <c r="L1002" s="73" t="s">
        <v>163</v>
      </c>
      <c r="M1002" s="72">
        <v>41260</v>
      </c>
      <c r="N1002" s="84">
        <v>0.30269999999999997</v>
      </c>
      <c r="O1002" s="96">
        <f t="shared" si="63"/>
        <v>8</v>
      </c>
      <c r="Q1002" s="96"/>
      <c r="T1002" s="110"/>
    </row>
    <row r="1003" spans="3:20" x14ac:dyDescent="0.2">
      <c r="C1003" s="96" t="str">
        <f t="shared" si="60"/>
        <v>LNN9</v>
      </c>
      <c r="D1003" s="73" t="s">
        <v>163</v>
      </c>
      <c r="E1003" s="100">
        <v>41430</v>
      </c>
      <c r="F1003" s="101">
        <v>0.29260000000000003</v>
      </c>
      <c r="G1003" s="96">
        <f t="shared" si="61"/>
        <v>9</v>
      </c>
      <c r="I1003" s="96"/>
      <c r="K1003" t="str">
        <f t="shared" si="62"/>
        <v>LNN9</v>
      </c>
      <c r="L1003" s="73" t="s">
        <v>163</v>
      </c>
      <c r="M1003" s="72">
        <v>41430</v>
      </c>
      <c r="N1003" s="84">
        <v>0.29260000000000003</v>
      </c>
      <c r="O1003" s="96">
        <f t="shared" si="63"/>
        <v>9</v>
      </c>
      <c r="Q1003" s="96"/>
      <c r="T1003" s="110"/>
    </row>
    <row r="1004" spans="3:20" x14ac:dyDescent="0.2">
      <c r="C1004" s="96" t="str">
        <f t="shared" si="60"/>
        <v>LNN10</v>
      </c>
      <c r="D1004" s="73" t="s">
        <v>163</v>
      </c>
      <c r="E1004" s="100">
        <v>41625</v>
      </c>
      <c r="F1004" s="101">
        <v>0.31940000000000002</v>
      </c>
      <c r="G1004" s="96">
        <f t="shared" si="61"/>
        <v>10</v>
      </c>
      <c r="I1004" s="96"/>
      <c r="K1004" t="str">
        <f t="shared" si="62"/>
        <v>LNN10</v>
      </c>
      <c r="L1004" s="73" t="s">
        <v>163</v>
      </c>
      <c r="M1004" s="72">
        <v>41625</v>
      </c>
      <c r="N1004" s="84">
        <v>0.31940000000000002</v>
      </c>
      <c r="O1004" s="96">
        <f t="shared" si="63"/>
        <v>10</v>
      </c>
      <c r="Q1004" s="96"/>
      <c r="T1004" s="110"/>
    </row>
    <row r="1005" spans="3:20" x14ac:dyDescent="0.2">
      <c r="C1005" s="96" t="str">
        <f t="shared" si="60"/>
        <v>MAH1</v>
      </c>
      <c r="D1005" s="73" t="s">
        <v>164</v>
      </c>
      <c r="E1005" s="100">
        <v>39888</v>
      </c>
      <c r="F1005" s="101">
        <v>0.02</v>
      </c>
      <c r="G1005" s="96">
        <f t="shared" si="61"/>
        <v>1</v>
      </c>
      <c r="I1005" s="96"/>
      <c r="K1005" t="str">
        <f t="shared" si="62"/>
        <v>MAH1</v>
      </c>
      <c r="L1005" s="73" t="s">
        <v>164</v>
      </c>
      <c r="M1005" s="72">
        <v>39888</v>
      </c>
      <c r="N1005" s="84">
        <v>0.02</v>
      </c>
      <c r="O1005" s="96">
        <f t="shared" si="63"/>
        <v>1</v>
      </c>
      <c r="Q1005" s="96"/>
      <c r="T1005" s="110"/>
    </row>
    <row r="1006" spans="3:20" x14ac:dyDescent="0.2">
      <c r="C1006" s="96" t="str">
        <f t="shared" si="60"/>
        <v>MAH2</v>
      </c>
      <c r="D1006" s="73" t="s">
        <v>164</v>
      </c>
      <c r="E1006" s="100">
        <v>40064</v>
      </c>
      <c r="F1006" s="101">
        <v>3.5000000000000003E-2</v>
      </c>
      <c r="G1006" s="96">
        <f t="shared" si="61"/>
        <v>2</v>
      </c>
      <c r="I1006" s="96"/>
      <c r="K1006" t="str">
        <f t="shared" si="62"/>
        <v>MAH2</v>
      </c>
      <c r="L1006" s="73" t="s">
        <v>164</v>
      </c>
      <c r="M1006" s="72">
        <v>40064</v>
      </c>
      <c r="N1006" s="84">
        <v>3.5000000000000003E-2</v>
      </c>
      <c r="O1006" s="96">
        <f t="shared" si="63"/>
        <v>2</v>
      </c>
      <c r="Q1006" s="96"/>
      <c r="T1006" s="110"/>
    </row>
    <row r="1007" spans="3:20" x14ac:dyDescent="0.2">
      <c r="C1007" s="96" t="str">
        <f t="shared" si="60"/>
        <v>MAH3</v>
      </c>
      <c r="D1007" s="73" t="s">
        <v>164</v>
      </c>
      <c r="E1007" s="100">
        <v>40253</v>
      </c>
      <c r="F1007" s="101">
        <v>1.6E-2</v>
      </c>
      <c r="G1007" s="96">
        <f t="shared" si="61"/>
        <v>3</v>
      </c>
      <c r="I1007" s="96"/>
      <c r="K1007" t="str">
        <f t="shared" si="62"/>
        <v>MAH3</v>
      </c>
      <c r="L1007" s="73" t="s">
        <v>164</v>
      </c>
      <c r="M1007" s="72">
        <v>40253</v>
      </c>
      <c r="N1007" s="84">
        <v>1.6E-2</v>
      </c>
      <c r="O1007" s="96">
        <f t="shared" si="63"/>
        <v>3</v>
      </c>
      <c r="Q1007" s="96"/>
      <c r="T1007" s="110"/>
    </row>
    <row r="1008" spans="3:20" x14ac:dyDescent="0.2">
      <c r="C1008" s="96" t="str">
        <f t="shared" si="60"/>
        <v>MAH4</v>
      </c>
      <c r="D1008" s="73" t="s">
        <v>164</v>
      </c>
      <c r="E1008" s="100">
        <v>40429</v>
      </c>
      <c r="F1008" s="101">
        <v>2.7999999999999997E-2</v>
      </c>
      <c r="G1008" s="96">
        <f t="shared" si="61"/>
        <v>4</v>
      </c>
      <c r="I1008" s="96"/>
      <c r="K1008" t="str">
        <f t="shared" si="62"/>
        <v>MAH4</v>
      </c>
      <c r="L1008" s="73" t="s">
        <v>164</v>
      </c>
      <c r="M1008" s="72">
        <v>40429</v>
      </c>
      <c r="N1008" s="84">
        <v>2.7999999999999997E-2</v>
      </c>
      <c r="O1008" s="96">
        <f t="shared" si="63"/>
        <v>4</v>
      </c>
      <c r="Q1008" s="96"/>
      <c r="T1008" s="110"/>
    </row>
    <row r="1009" spans="3:20" x14ac:dyDescent="0.2">
      <c r="C1009" s="96" t="str">
        <f t="shared" si="60"/>
        <v>MAH5</v>
      </c>
      <c r="D1009" s="73" t="s">
        <v>164</v>
      </c>
      <c r="E1009" s="100">
        <v>40618</v>
      </c>
      <c r="F1009" s="101">
        <v>1.7399999999999999E-2</v>
      </c>
      <c r="G1009" s="96">
        <f t="shared" si="61"/>
        <v>5</v>
      </c>
      <c r="I1009" s="96"/>
      <c r="K1009" t="str">
        <f t="shared" si="62"/>
        <v>MAH5</v>
      </c>
      <c r="L1009" s="73" t="s">
        <v>164</v>
      </c>
      <c r="M1009" s="72">
        <v>40618</v>
      </c>
      <c r="N1009" s="84">
        <v>1.7399999999999999E-2</v>
      </c>
      <c r="O1009" s="96">
        <f t="shared" si="63"/>
        <v>5</v>
      </c>
      <c r="Q1009" s="96"/>
      <c r="T1009" s="110"/>
    </row>
    <row r="1010" spans="3:20" x14ac:dyDescent="0.2">
      <c r="C1010" s="96" t="str">
        <f t="shared" si="60"/>
        <v>MAH6</v>
      </c>
      <c r="D1010" s="73" t="s">
        <v>164</v>
      </c>
      <c r="E1010" s="100">
        <v>40794</v>
      </c>
      <c r="F1010" s="101">
        <v>3.0600000000000002E-2</v>
      </c>
      <c r="G1010" s="96">
        <f t="shared" si="61"/>
        <v>6</v>
      </c>
      <c r="I1010" s="96"/>
      <c r="K1010" t="str">
        <f t="shared" si="62"/>
        <v>MAH6</v>
      </c>
      <c r="L1010" s="73" t="s">
        <v>164</v>
      </c>
      <c r="M1010" s="72">
        <v>40794</v>
      </c>
      <c r="N1010" s="84">
        <v>3.0600000000000002E-2</v>
      </c>
      <c r="O1010" s="96">
        <f t="shared" si="63"/>
        <v>6</v>
      </c>
      <c r="Q1010" s="96"/>
      <c r="T1010" s="110"/>
    </row>
    <row r="1011" spans="3:20" x14ac:dyDescent="0.2">
      <c r="C1011" s="96" t="str">
        <f t="shared" si="60"/>
        <v>MAH7</v>
      </c>
      <c r="D1011" s="73" t="s">
        <v>164</v>
      </c>
      <c r="E1011" s="100">
        <v>40984</v>
      </c>
      <c r="F1011" s="101">
        <v>2.3599999999999999E-2</v>
      </c>
      <c r="G1011" s="96">
        <f t="shared" si="61"/>
        <v>7</v>
      </c>
      <c r="I1011" s="96"/>
      <c r="K1011" t="str">
        <f t="shared" si="62"/>
        <v>MAH7</v>
      </c>
      <c r="L1011" s="73" t="s">
        <v>164</v>
      </c>
      <c r="M1011" s="72">
        <v>40984</v>
      </c>
      <c r="N1011" s="84">
        <v>2.3599999999999999E-2</v>
      </c>
      <c r="O1011" s="96">
        <f t="shared" si="63"/>
        <v>7</v>
      </c>
      <c r="Q1011" s="96"/>
      <c r="T1011" s="110"/>
    </row>
    <row r="1012" spans="3:20" x14ac:dyDescent="0.2">
      <c r="C1012" s="96" t="str">
        <f t="shared" si="60"/>
        <v>MAH8</v>
      </c>
      <c r="D1012" s="73" t="s">
        <v>164</v>
      </c>
      <c r="E1012" s="100">
        <v>41162</v>
      </c>
      <c r="F1012" s="101">
        <v>4.1399999999999999E-2</v>
      </c>
      <c r="G1012" s="96">
        <f t="shared" si="61"/>
        <v>8</v>
      </c>
      <c r="I1012" s="96"/>
      <c r="K1012" t="str">
        <f t="shared" si="62"/>
        <v>MAH8</v>
      </c>
      <c r="L1012" s="73" t="s">
        <v>164</v>
      </c>
      <c r="M1012" s="72">
        <v>41162</v>
      </c>
      <c r="N1012" s="84">
        <v>4.1399999999999999E-2</v>
      </c>
      <c r="O1012" s="96">
        <f t="shared" si="63"/>
        <v>8</v>
      </c>
      <c r="Q1012" s="96"/>
      <c r="T1012" s="110"/>
    </row>
    <row r="1013" spans="3:20" x14ac:dyDescent="0.2">
      <c r="C1013" s="96" t="str">
        <f t="shared" si="60"/>
        <v>MAH9</v>
      </c>
      <c r="D1013" s="73" t="s">
        <v>164</v>
      </c>
      <c r="E1013" s="100">
        <v>41351</v>
      </c>
      <c r="F1013" s="101">
        <v>2.4700000000000003E-2</v>
      </c>
      <c r="G1013" s="96">
        <f t="shared" si="61"/>
        <v>9</v>
      </c>
      <c r="I1013" s="96"/>
      <c r="K1013" t="str">
        <f t="shared" si="62"/>
        <v>MAH9</v>
      </c>
      <c r="L1013" s="73" t="s">
        <v>164</v>
      </c>
      <c r="M1013" s="72">
        <v>41351</v>
      </c>
      <c r="N1013" s="84">
        <v>2.4700000000000003E-2</v>
      </c>
      <c r="O1013" s="96">
        <f t="shared" si="63"/>
        <v>9</v>
      </c>
      <c r="Q1013" s="96"/>
      <c r="T1013" s="110"/>
    </row>
    <row r="1014" spans="3:20" x14ac:dyDescent="0.2">
      <c r="C1014" s="96" t="str">
        <f t="shared" si="60"/>
        <v>MAH10</v>
      </c>
      <c r="D1014" s="73" t="s">
        <v>164</v>
      </c>
      <c r="E1014" s="100">
        <v>41527</v>
      </c>
      <c r="F1014" s="101">
        <v>4.3299999999999998E-2</v>
      </c>
      <c r="G1014" s="96">
        <f t="shared" si="61"/>
        <v>10</v>
      </c>
      <c r="I1014" s="96"/>
      <c r="K1014" t="str">
        <f t="shared" si="62"/>
        <v>MAH10</v>
      </c>
      <c r="L1014" s="73" t="s">
        <v>164</v>
      </c>
      <c r="M1014" s="72">
        <v>41527</v>
      </c>
      <c r="N1014" s="84">
        <v>4.3299999999999998E-2</v>
      </c>
      <c r="O1014" s="96">
        <f t="shared" si="63"/>
        <v>10</v>
      </c>
      <c r="Q1014" s="96"/>
      <c r="T1014" s="110"/>
    </row>
    <row r="1015" spans="3:20" x14ac:dyDescent="0.2">
      <c r="C1015" s="96" t="str">
        <f t="shared" si="60"/>
        <v>MAP1</v>
      </c>
      <c r="D1015" s="73" t="s">
        <v>165</v>
      </c>
      <c r="E1015" s="100">
        <v>39988</v>
      </c>
      <c r="F1015" s="101">
        <v>0.13</v>
      </c>
      <c r="G1015" s="96">
        <f t="shared" si="61"/>
        <v>1</v>
      </c>
      <c r="I1015" s="96"/>
      <c r="K1015" t="str">
        <f t="shared" si="62"/>
        <v>MAP1</v>
      </c>
      <c r="L1015" s="73" t="s">
        <v>165</v>
      </c>
      <c r="M1015" s="72">
        <v>39988</v>
      </c>
      <c r="N1015" s="84">
        <v>0.13</v>
      </c>
      <c r="O1015" s="96">
        <f t="shared" si="63"/>
        <v>1</v>
      </c>
      <c r="Q1015" s="96"/>
      <c r="T1015" s="110"/>
    </row>
    <row r="1016" spans="3:20" x14ac:dyDescent="0.2">
      <c r="C1016" s="96" t="str">
        <f t="shared" si="60"/>
        <v>MAP2</v>
      </c>
      <c r="D1016" s="73" t="s">
        <v>165</v>
      </c>
      <c r="E1016" s="100">
        <v>40171</v>
      </c>
      <c r="F1016" s="101">
        <v>0.14000000000000001</v>
      </c>
      <c r="G1016" s="96">
        <f t="shared" si="61"/>
        <v>2</v>
      </c>
      <c r="I1016" s="96"/>
      <c r="K1016" t="str">
        <f t="shared" si="62"/>
        <v>MAP2</v>
      </c>
      <c r="L1016" s="73" t="s">
        <v>165</v>
      </c>
      <c r="M1016" s="72">
        <v>40171</v>
      </c>
      <c r="N1016" s="84">
        <v>0.14000000000000001</v>
      </c>
      <c r="O1016" s="96">
        <f t="shared" si="63"/>
        <v>2</v>
      </c>
      <c r="Q1016" s="96"/>
      <c r="T1016" s="110"/>
    </row>
    <row r="1017" spans="3:20" x14ac:dyDescent="0.2">
      <c r="C1017" s="96" t="str">
        <f t="shared" si="60"/>
        <v>MAP3</v>
      </c>
      <c r="D1017" s="73" t="s">
        <v>165</v>
      </c>
      <c r="E1017" s="100">
        <v>40353</v>
      </c>
      <c r="F1017" s="101">
        <v>0.13</v>
      </c>
      <c r="G1017" s="96">
        <f t="shared" si="61"/>
        <v>3</v>
      </c>
      <c r="I1017" s="96"/>
      <c r="K1017" t="str">
        <f t="shared" si="62"/>
        <v>MAP3</v>
      </c>
      <c r="L1017" s="73" t="s">
        <v>165</v>
      </c>
      <c r="M1017" s="72">
        <v>40353</v>
      </c>
      <c r="N1017" s="84">
        <v>0.13</v>
      </c>
      <c r="O1017" s="96">
        <f t="shared" si="63"/>
        <v>3</v>
      </c>
      <c r="Q1017" s="96"/>
      <c r="T1017" s="110"/>
    </row>
    <row r="1018" spans="3:20" x14ac:dyDescent="0.2">
      <c r="C1018" s="96" t="str">
        <f t="shared" si="60"/>
        <v>MAP4</v>
      </c>
      <c r="D1018" s="73" t="s">
        <v>165</v>
      </c>
      <c r="E1018" s="100">
        <v>40535</v>
      </c>
      <c r="F1018" s="101">
        <v>0.14000000000000001</v>
      </c>
      <c r="G1018" s="96">
        <f t="shared" si="61"/>
        <v>4</v>
      </c>
      <c r="I1018" s="96"/>
      <c r="K1018" t="str">
        <f t="shared" si="62"/>
        <v>MAP4</v>
      </c>
      <c r="L1018" s="73" t="s">
        <v>165</v>
      </c>
      <c r="M1018" s="72">
        <v>40535</v>
      </c>
      <c r="N1018" s="84">
        <v>0.14000000000000001</v>
      </c>
      <c r="O1018" s="96">
        <f t="shared" si="63"/>
        <v>4</v>
      </c>
      <c r="Q1018" s="96"/>
      <c r="T1018" s="110"/>
    </row>
    <row r="1019" spans="3:20" x14ac:dyDescent="0.2">
      <c r="C1019" s="96" t="str">
        <f t="shared" si="60"/>
        <v>MAP5</v>
      </c>
      <c r="D1019" s="73" t="s">
        <v>165</v>
      </c>
      <c r="E1019" s="100">
        <v>40718</v>
      </c>
      <c r="F1019" s="101">
        <v>0.14000000000000001</v>
      </c>
      <c r="G1019" s="96">
        <f t="shared" si="61"/>
        <v>5</v>
      </c>
      <c r="I1019" s="96"/>
      <c r="K1019" t="str">
        <f t="shared" si="62"/>
        <v>MAP5</v>
      </c>
      <c r="L1019" s="73" t="s">
        <v>165</v>
      </c>
      <c r="M1019" s="72">
        <v>40718</v>
      </c>
      <c r="N1019" s="84">
        <v>0.14000000000000001</v>
      </c>
      <c r="O1019" s="96">
        <f t="shared" si="63"/>
        <v>5</v>
      </c>
      <c r="Q1019" s="96"/>
      <c r="T1019" s="110"/>
    </row>
    <row r="1020" spans="3:20" x14ac:dyDescent="0.2">
      <c r="C1020" s="96" t="str">
        <f t="shared" si="60"/>
        <v>MAP6</v>
      </c>
      <c r="D1020" s="73" t="s">
        <v>165</v>
      </c>
      <c r="E1020" s="100">
        <v>40899</v>
      </c>
      <c r="F1020" s="101">
        <v>0.15</v>
      </c>
      <c r="G1020" s="96">
        <f t="shared" si="61"/>
        <v>6</v>
      </c>
      <c r="I1020" s="96"/>
      <c r="K1020" t="str">
        <f t="shared" si="62"/>
        <v>MAP6</v>
      </c>
      <c r="L1020" s="73" t="s">
        <v>165</v>
      </c>
      <c r="M1020" s="72">
        <v>40899</v>
      </c>
      <c r="N1020" s="84">
        <v>0.15</v>
      </c>
      <c r="O1020" s="96">
        <f t="shared" si="63"/>
        <v>6</v>
      </c>
      <c r="Q1020" s="96"/>
      <c r="T1020" s="110"/>
    </row>
    <row r="1021" spans="3:20" x14ac:dyDescent="0.2">
      <c r="C1021" s="96" t="str">
        <f t="shared" si="60"/>
        <v>MAP7</v>
      </c>
      <c r="D1021" s="73" t="s">
        <v>165</v>
      </c>
      <c r="E1021" s="100">
        <v>41085</v>
      </c>
      <c r="F1021" s="101">
        <v>0.15</v>
      </c>
      <c r="G1021" s="96">
        <f t="shared" si="61"/>
        <v>7</v>
      </c>
      <c r="I1021" s="96"/>
      <c r="K1021" t="str">
        <f t="shared" si="62"/>
        <v>MAP7</v>
      </c>
      <c r="L1021" s="73" t="s">
        <v>165</v>
      </c>
      <c r="M1021" s="72">
        <v>41085</v>
      </c>
      <c r="N1021" s="84">
        <v>0.15</v>
      </c>
      <c r="O1021" s="96">
        <f t="shared" si="63"/>
        <v>7</v>
      </c>
      <c r="Q1021" s="96"/>
      <c r="T1021" s="110"/>
    </row>
    <row r="1022" spans="3:20" x14ac:dyDescent="0.2">
      <c r="C1022" s="96" t="str">
        <f t="shared" si="60"/>
        <v>MAP8</v>
      </c>
      <c r="D1022" s="73" t="s">
        <v>165</v>
      </c>
      <c r="E1022" s="100">
        <v>41264</v>
      </c>
      <c r="F1022" s="101">
        <v>0.16</v>
      </c>
      <c r="G1022" s="96">
        <f t="shared" si="61"/>
        <v>8</v>
      </c>
      <c r="I1022" s="96"/>
      <c r="K1022" t="str">
        <f t="shared" si="62"/>
        <v>MAP8</v>
      </c>
      <c r="L1022" s="73" t="s">
        <v>165</v>
      </c>
      <c r="M1022" s="72">
        <v>41264</v>
      </c>
      <c r="N1022" s="84">
        <v>0.16</v>
      </c>
      <c r="O1022" s="96">
        <f t="shared" si="63"/>
        <v>8</v>
      </c>
      <c r="Q1022" s="96"/>
      <c r="T1022" s="110"/>
    </row>
    <row r="1023" spans="3:20" x14ac:dyDescent="0.2">
      <c r="C1023" s="96" t="str">
        <f t="shared" si="60"/>
        <v>MCC1</v>
      </c>
      <c r="D1023" s="73" t="s">
        <v>166</v>
      </c>
      <c r="E1023" s="100">
        <v>39883</v>
      </c>
      <c r="F1023" s="101">
        <v>0.1</v>
      </c>
      <c r="G1023" s="96">
        <f t="shared" si="61"/>
        <v>1</v>
      </c>
      <c r="I1023" s="96"/>
      <c r="K1023" t="str">
        <f t="shared" si="62"/>
        <v>MCC1</v>
      </c>
      <c r="L1023" s="73" t="s">
        <v>166</v>
      </c>
      <c r="M1023" s="72">
        <v>39883</v>
      </c>
      <c r="N1023" s="84">
        <v>0.1</v>
      </c>
      <c r="O1023" s="96">
        <f t="shared" si="63"/>
        <v>1</v>
      </c>
      <c r="Q1023" s="96"/>
      <c r="T1023" s="110"/>
    </row>
    <row r="1024" spans="3:20" x14ac:dyDescent="0.2">
      <c r="C1024" s="96" t="str">
        <f t="shared" si="60"/>
        <v>MCC2</v>
      </c>
      <c r="D1024" s="73" t="s">
        <v>166</v>
      </c>
      <c r="E1024" s="100">
        <v>40066</v>
      </c>
      <c r="F1024" s="101">
        <v>0.1</v>
      </c>
      <c r="G1024" s="96">
        <f t="shared" si="61"/>
        <v>2</v>
      </c>
      <c r="I1024" s="96"/>
      <c r="K1024" t="str">
        <f t="shared" si="62"/>
        <v>MCC2</v>
      </c>
      <c r="L1024" s="73" t="s">
        <v>166</v>
      </c>
      <c r="M1024" s="72">
        <v>40066</v>
      </c>
      <c r="N1024" s="84">
        <v>0.1</v>
      </c>
      <c r="O1024" s="96">
        <f t="shared" si="63"/>
        <v>2</v>
      </c>
      <c r="Q1024" s="96"/>
      <c r="T1024" s="110"/>
    </row>
    <row r="1025" spans="3:20" x14ac:dyDescent="0.2">
      <c r="C1025" s="96" t="str">
        <f t="shared" si="60"/>
        <v>MCC3</v>
      </c>
      <c r="D1025" s="73" t="s">
        <v>166</v>
      </c>
      <c r="E1025" s="100">
        <v>40248</v>
      </c>
      <c r="F1025" s="101">
        <v>0.12</v>
      </c>
      <c r="G1025" s="96">
        <f t="shared" si="61"/>
        <v>3</v>
      </c>
      <c r="I1025" s="96"/>
      <c r="K1025" t="str">
        <f t="shared" si="62"/>
        <v>MCC3</v>
      </c>
      <c r="L1025" s="73" t="s">
        <v>166</v>
      </c>
      <c r="M1025" s="72">
        <v>40248</v>
      </c>
      <c r="N1025" s="84">
        <v>0.12</v>
      </c>
      <c r="O1025" s="96">
        <f t="shared" si="63"/>
        <v>3</v>
      </c>
      <c r="Q1025" s="96"/>
      <c r="T1025" s="110"/>
    </row>
    <row r="1026" spans="3:20" x14ac:dyDescent="0.2">
      <c r="C1026" s="96" t="str">
        <f t="shared" si="60"/>
        <v>MCC4</v>
      </c>
      <c r="D1026" s="73" t="s">
        <v>166</v>
      </c>
      <c r="E1026" s="100">
        <v>40431</v>
      </c>
      <c r="F1026" s="101">
        <v>0.12</v>
      </c>
      <c r="G1026" s="96">
        <f t="shared" si="61"/>
        <v>4</v>
      </c>
      <c r="I1026" s="96"/>
      <c r="K1026" t="str">
        <f t="shared" si="62"/>
        <v>MCC4</v>
      </c>
      <c r="L1026" s="73" t="s">
        <v>166</v>
      </c>
      <c r="M1026" s="72">
        <v>40431</v>
      </c>
      <c r="N1026" s="84">
        <v>0.12</v>
      </c>
      <c r="O1026" s="96">
        <f t="shared" si="63"/>
        <v>4</v>
      </c>
      <c r="Q1026" s="96"/>
      <c r="T1026" s="110"/>
    </row>
    <row r="1027" spans="3:20" x14ac:dyDescent="0.2">
      <c r="C1027" s="96" t="str">
        <f t="shared" ref="C1027:C1090" si="64">D1027&amp;G1027</f>
        <v>MCC5</v>
      </c>
      <c r="D1027" s="73" t="s">
        <v>166</v>
      </c>
      <c r="E1027" s="100">
        <v>40613</v>
      </c>
      <c r="F1027" s="101">
        <v>0.15</v>
      </c>
      <c r="G1027" s="96">
        <f t="shared" ref="G1027:G1090" si="65">IF(D1027&lt;&gt;D1026,1,G1026+1)</f>
        <v>5</v>
      </c>
      <c r="I1027" s="96"/>
      <c r="K1027" t="str">
        <f t="shared" ref="K1027:K1090" si="66">L1027&amp;O1027</f>
        <v>MCC5</v>
      </c>
      <c r="L1027" s="73" t="s">
        <v>166</v>
      </c>
      <c r="M1027" s="72">
        <v>40613</v>
      </c>
      <c r="N1027" s="84">
        <v>0.15</v>
      </c>
      <c r="O1027" s="96">
        <f t="shared" ref="O1027:O1090" si="67">IF(L1027&lt;&gt;L1026,1,O1026+1)</f>
        <v>5</v>
      </c>
      <c r="Q1027" s="96"/>
      <c r="T1027" s="110"/>
    </row>
    <row r="1028" spans="3:20" x14ac:dyDescent="0.2">
      <c r="C1028" s="96" t="str">
        <f t="shared" si="64"/>
        <v>MCC6</v>
      </c>
      <c r="D1028" s="73" t="s">
        <v>166</v>
      </c>
      <c r="E1028" s="100">
        <v>40798</v>
      </c>
      <c r="F1028" s="101">
        <v>0.15</v>
      </c>
      <c r="G1028" s="96">
        <f t="shared" si="65"/>
        <v>6</v>
      </c>
      <c r="I1028" s="96"/>
      <c r="K1028" t="str">
        <f t="shared" si="66"/>
        <v>MCC6</v>
      </c>
      <c r="L1028" s="73" t="s">
        <v>166</v>
      </c>
      <c r="M1028" s="72">
        <v>40798</v>
      </c>
      <c r="N1028" s="84">
        <v>0.15</v>
      </c>
      <c r="O1028" s="96">
        <f t="shared" si="67"/>
        <v>6</v>
      </c>
      <c r="Q1028" s="96"/>
      <c r="T1028" s="110"/>
    </row>
    <row r="1029" spans="3:20" x14ac:dyDescent="0.2">
      <c r="C1029" s="96" t="str">
        <f t="shared" si="64"/>
        <v>MCC7</v>
      </c>
      <c r="D1029" s="73" t="s">
        <v>166</v>
      </c>
      <c r="E1029" s="100">
        <v>40981</v>
      </c>
      <c r="F1029" s="101">
        <v>0.2</v>
      </c>
      <c r="G1029" s="96">
        <f t="shared" si="65"/>
        <v>7</v>
      </c>
      <c r="I1029" s="96"/>
      <c r="K1029" t="str">
        <f t="shared" si="66"/>
        <v>MCC7</v>
      </c>
      <c r="L1029" s="73" t="s">
        <v>166</v>
      </c>
      <c r="M1029" s="72">
        <v>40981</v>
      </c>
      <c r="N1029" s="84">
        <v>0.2</v>
      </c>
      <c r="O1029" s="96">
        <f t="shared" si="67"/>
        <v>7</v>
      </c>
      <c r="Q1029" s="96"/>
      <c r="T1029" s="110"/>
    </row>
    <row r="1030" spans="3:20" x14ac:dyDescent="0.2">
      <c r="C1030" s="96" t="str">
        <f t="shared" si="64"/>
        <v>MCC8</v>
      </c>
      <c r="D1030" s="73" t="s">
        <v>166</v>
      </c>
      <c r="E1030" s="100">
        <v>41163</v>
      </c>
      <c r="F1030" s="101">
        <v>0.2</v>
      </c>
      <c r="G1030" s="96">
        <f t="shared" si="65"/>
        <v>8</v>
      </c>
      <c r="I1030" s="96"/>
      <c r="K1030" t="str">
        <f t="shared" si="66"/>
        <v>MCC8</v>
      </c>
      <c r="L1030" s="73" t="s">
        <v>166</v>
      </c>
      <c r="M1030" s="72">
        <v>41163</v>
      </c>
      <c r="N1030" s="84">
        <v>0.2</v>
      </c>
      <c r="O1030" s="96">
        <f t="shared" si="67"/>
        <v>8</v>
      </c>
      <c r="Q1030" s="96"/>
      <c r="T1030" s="110"/>
    </row>
    <row r="1031" spans="3:20" x14ac:dyDescent="0.2">
      <c r="C1031" s="96" t="str">
        <f t="shared" si="64"/>
        <v>MCC9</v>
      </c>
      <c r="D1031" s="73" t="s">
        <v>166</v>
      </c>
      <c r="E1031" s="100">
        <v>41346</v>
      </c>
      <c r="F1031" s="101">
        <v>0.35950000000000004</v>
      </c>
      <c r="G1031" s="96">
        <f t="shared" si="65"/>
        <v>9</v>
      </c>
      <c r="I1031" s="96"/>
      <c r="K1031" t="str">
        <f t="shared" si="66"/>
        <v>MCC9</v>
      </c>
      <c r="L1031" s="73" t="s">
        <v>166</v>
      </c>
      <c r="M1031" s="72">
        <v>41346</v>
      </c>
      <c r="N1031" s="84">
        <v>0.35950000000000004</v>
      </c>
      <c r="O1031" s="96">
        <f t="shared" si="67"/>
        <v>9</v>
      </c>
      <c r="Q1031" s="96"/>
      <c r="T1031" s="110"/>
    </row>
    <row r="1032" spans="3:20" x14ac:dyDescent="0.2">
      <c r="C1032" s="96" t="str">
        <f t="shared" si="64"/>
        <v>MCC10</v>
      </c>
      <c r="D1032" s="73" t="s">
        <v>166</v>
      </c>
      <c r="E1032" s="100">
        <v>41528</v>
      </c>
      <c r="F1032" s="101">
        <v>0.35950000000000004</v>
      </c>
      <c r="G1032" s="96">
        <f t="shared" si="65"/>
        <v>10</v>
      </c>
      <c r="I1032" s="96"/>
      <c r="K1032" t="str">
        <f t="shared" si="66"/>
        <v>MCC10</v>
      </c>
      <c r="L1032" s="73" t="s">
        <v>166</v>
      </c>
      <c r="M1032" s="72">
        <v>41528</v>
      </c>
      <c r="N1032" s="84">
        <v>0.35950000000000004</v>
      </c>
      <c r="O1032" s="96">
        <f t="shared" si="67"/>
        <v>10</v>
      </c>
      <c r="Q1032" s="96"/>
      <c r="T1032" s="110"/>
    </row>
    <row r="1033" spans="3:20" x14ac:dyDescent="0.2">
      <c r="C1033" s="96" t="str">
        <f t="shared" si="64"/>
        <v>MCG1</v>
      </c>
      <c r="D1033" s="73" t="s">
        <v>167</v>
      </c>
      <c r="E1033" s="100">
        <v>39988</v>
      </c>
      <c r="F1033" s="101">
        <v>0.05</v>
      </c>
      <c r="G1033" s="96">
        <f t="shared" si="65"/>
        <v>1</v>
      </c>
      <c r="I1033" s="96"/>
      <c r="K1033" t="str">
        <f t="shared" si="66"/>
        <v>MCG1</v>
      </c>
      <c r="L1033" s="73" t="s">
        <v>167</v>
      </c>
      <c r="M1033" s="72">
        <v>39988</v>
      </c>
      <c r="N1033" s="84">
        <v>0.05</v>
      </c>
      <c r="O1033" s="96">
        <f t="shared" si="67"/>
        <v>1</v>
      </c>
      <c r="Q1033" s="96"/>
      <c r="T1033" s="110"/>
    </row>
    <row r="1034" spans="3:20" x14ac:dyDescent="0.2">
      <c r="C1034" s="96" t="str">
        <f t="shared" si="64"/>
        <v>MCG2</v>
      </c>
      <c r="D1034" s="73" t="s">
        <v>167</v>
      </c>
      <c r="E1034" s="100">
        <v>40353</v>
      </c>
      <c r="F1034" s="101">
        <v>0.12</v>
      </c>
      <c r="G1034" s="96">
        <f t="shared" si="65"/>
        <v>2</v>
      </c>
      <c r="I1034" s="96"/>
      <c r="K1034" t="str">
        <f t="shared" si="66"/>
        <v>MCG2</v>
      </c>
      <c r="L1034" s="73" t="s">
        <v>167</v>
      </c>
      <c r="M1034" s="72">
        <v>40353</v>
      </c>
      <c r="N1034" s="84">
        <v>0.12</v>
      </c>
      <c r="O1034" s="96">
        <f t="shared" si="67"/>
        <v>2</v>
      </c>
      <c r="Q1034" s="96"/>
      <c r="T1034" s="110"/>
    </row>
    <row r="1035" spans="3:20" x14ac:dyDescent="0.2">
      <c r="C1035" s="96" t="str">
        <f t="shared" si="64"/>
        <v>MCG3</v>
      </c>
      <c r="D1035" s="73" t="s">
        <v>167</v>
      </c>
      <c r="E1035" s="100">
        <v>40718</v>
      </c>
      <c r="F1035" s="101">
        <v>0.15</v>
      </c>
      <c r="G1035" s="96">
        <f t="shared" si="65"/>
        <v>3</v>
      </c>
      <c r="I1035" s="96"/>
      <c r="K1035" t="str">
        <f t="shared" si="66"/>
        <v>MCG3</v>
      </c>
      <c r="L1035" s="73" t="s">
        <v>167</v>
      </c>
      <c r="M1035" s="72">
        <v>40718</v>
      </c>
      <c r="N1035" s="84">
        <v>0.15</v>
      </c>
      <c r="O1035" s="96">
        <f t="shared" si="67"/>
        <v>3</v>
      </c>
      <c r="Q1035" s="96"/>
      <c r="T1035" s="110"/>
    </row>
    <row r="1036" spans="3:20" x14ac:dyDescent="0.2">
      <c r="C1036" s="96" t="str">
        <f t="shared" si="64"/>
        <v>MCG4</v>
      </c>
      <c r="D1036" s="73" t="s">
        <v>167</v>
      </c>
      <c r="E1036" s="100">
        <v>41085</v>
      </c>
      <c r="F1036" s="101">
        <v>0.2</v>
      </c>
      <c r="G1036" s="96">
        <f t="shared" si="65"/>
        <v>4</v>
      </c>
      <c r="I1036" s="96"/>
      <c r="K1036" t="str">
        <f t="shared" si="66"/>
        <v>MCG4</v>
      </c>
      <c r="L1036" s="73" t="s">
        <v>167</v>
      </c>
      <c r="M1036" s="72">
        <v>41085</v>
      </c>
      <c r="N1036" s="84">
        <v>0.2</v>
      </c>
      <c r="O1036" s="96">
        <f t="shared" si="67"/>
        <v>4</v>
      </c>
      <c r="Q1036" s="96"/>
      <c r="T1036" s="110"/>
    </row>
    <row r="1037" spans="3:20" x14ac:dyDescent="0.2">
      <c r="C1037" s="96" t="str">
        <f t="shared" si="64"/>
        <v>MCG5</v>
      </c>
      <c r="D1037" s="73" t="s">
        <v>167</v>
      </c>
      <c r="E1037" s="100">
        <v>41450</v>
      </c>
      <c r="F1037" s="101">
        <v>0.27</v>
      </c>
      <c r="G1037" s="96">
        <f t="shared" si="65"/>
        <v>5</v>
      </c>
      <c r="I1037" s="96"/>
      <c r="K1037" t="str">
        <f t="shared" si="66"/>
        <v>MCG5</v>
      </c>
      <c r="L1037" s="73" t="s">
        <v>167</v>
      </c>
      <c r="M1037" s="72">
        <v>41450</v>
      </c>
      <c r="N1037" s="84">
        <v>0.27</v>
      </c>
      <c r="O1037" s="96">
        <f t="shared" si="67"/>
        <v>5</v>
      </c>
      <c r="Q1037" s="96"/>
      <c r="T1037" s="110"/>
    </row>
    <row r="1038" spans="3:20" x14ac:dyDescent="0.2">
      <c r="C1038" s="96" t="str">
        <f t="shared" si="64"/>
        <v>MCR1</v>
      </c>
      <c r="D1038" s="73" t="s">
        <v>168</v>
      </c>
      <c r="E1038" s="100">
        <v>39868</v>
      </c>
      <c r="F1038" s="101">
        <v>0.06</v>
      </c>
      <c r="G1038" s="96">
        <f t="shared" si="65"/>
        <v>1</v>
      </c>
      <c r="I1038" s="96"/>
      <c r="K1038" t="str">
        <f t="shared" si="66"/>
        <v>MCR1</v>
      </c>
      <c r="L1038" s="73" t="s">
        <v>168</v>
      </c>
      <c r="M1038" s="72">
        <v>39868</v>
      </c>
      <c r="N1038" s="84">
        <v>0.06</v>
      </c>
      <c r="O1038" s="96">
        <f t="shared" si="67"/>
        <v>1</v>
      </c>
      <c r="Q1038" s="96"/>
      <c r="T1038" s="110"/>
    </row>
    <row r="1039" spans="3:20" x14ac:dyDescent="0.2">
      <c r="C1039" s="96" t="str">
        <f t="shared" si="64"/>
        <v>MCR2</v>
      </c>
      <c r="D1039" s="73" t="s">
        <v>168</v>
      </c>
      <c r="E1039" s="100">
        <v>40051</v>
      </c>
      <c r="F1039" s="101">
        <v>0.06</v>
      </c>
      <c r="G1039" s="96">
        <f t="shared" si="65"/>
        <v>2</v>
      </c>
      <c r="I1039" s="96"/>
      <c r="K1039" t="str">
        <f t="shared" si="66"/>
        <v>MCR2</v>
      </c>
      <c r="L1039" s="73" t="s">
        <v>168</v>
      </c>
      <c r="M1039" s="72">
        <v>40051</v>
      </c>
      <c r="N1039" s="84">
        <v>0.06</v>
      </c>
      <c r="O1039" s="96">
        <f t="shared" si="67"/>
        <v>2</v>
      </c>
      <c r="Q1039" s="96"/>
      <c r="T1039" s="110"/>
    </row>
    <row r="1040" spans="3:20" x14ac:dyDescent="0.2">
      <c r="C1040" s="96" t="str">
        <f t="shared" si="64"/>
        <v>MCR3</v>
      </c>
      <c r="D1040" s="73" t="s">
        <v>168</v>
      </c>
      <c r="E1040" s="100">
        <v>40233</v>
      </c>
      <c r="F1040" s="101">
        <v>0.01</v>
      </c>
      <c r="G1040" s="96">
        <f t="shared" si="65"/>
        <v>3</v>
      </c>
      <c r="I1040" s="96"/>
      <c r="K1040" t="str">
        <f t="shared" si="66"/>
        <v>MCR3</v>
      </c>
      <c r="L1040" s="73" t="s">
        <v>168</v>
      </c>
      <c r="M1040" s="72">
        <v>40233</v>
      </c>
      <c r="N1040" s="84">
        <v>0.01</v>
      </c>
      <c r="O1040" s="96">
        <f t="shared" si="67"/>
        <v>3</v>
      </c>
      <c r="Q1040" s="96"/>
      <c r="T1040" s="110"/>
    </row>
    <row r="1041" spans="3:20" x14ac:dyDescent="0.2">
      <c r="C1041" s="96" t="str">
        <f t="shared" si="64"/>
        <v>MCR4</v>
      </c>
      <c r="D1041" s="73" t="s">
        <v>168</v>
      </c>
      <c r="E1041" s="100">
        <v>40416</v>
      </c>
      <c r="F1041" s="101">
        <v>0.01</v>
      </c>
      <c r="G1041" s="96">
        <f t="shared" si="65"/>
        <v>4</v>
      </c>
      <c r="I1041" s="96"/>
      <c r="K1041" t="str">
        <f t="shared" si="66"/>
        <v>MCR4</v>
      </c>
      <c r="L1041" s="73" t="s">
        <v>168</v>
      </c>
      <c r="M1041" s="72">
        <v>40416</v>
      </c>
      <c r="N1041" s="84">
        <v>0.01</v>
      </c>
      <c r="O1041" s="96">
        <f t="shared" si="67"/>
        <v>4</v>
      </c>
      <c r="Q1041" s="96"/>
      <c r="T1041" s="110"/>
    </row>
    <row r="1042" spans="3:20" x14ac:dyDescent="0.2">
      <c r="C1042" s="96" t="str">
        <f t="shared" si="64"/>
        <v>MCR5</v>
      </c>
      <c r="D1042" s="73" t="s">
        <v>168</v>
      </c>
      <c r="E1042" s="100">
        <v>40598</v>
      </c>
      <c r="F1042" s="101">
        <v>6.6000000000000003E-2</v>
      </c>
      <c r="G1042" s="96">
        <f t="shared" si="65"/>
        <v>5</v>
      </c>
      <c r="I1042" s="96"/>
      <c r="K1042" t="str">
        <f t="shared" si="66"/>
        <v>MCR5</v>
      </c>
      <c r="L1042" s="73" t="s">
        <v>168</v>
      </c>
      <c r="M1042" s="72">
        <v>40598</v>
      </c>
      <c r="N1042" s="84">
        <v>6.6000000000000003E-2</v>
      </c>
      <c r="O1042" s="96">
        <f t="shared" si="67"/>
        <v>5</v>
      </c>
      <c r="Q1042" s="96"/>
      <c r="T1042" s="110"/>
    </row>
    <row r="1043" spans="3:20" x14ac:dyDescent="0.2">
      <c r="C1043" s="96" t="str">
        <f t="shared" si="64"/>
        <v>MCR6</v>
      </c>
      <c r="D1043" s="73" t="s">
        <v>168</v>
      </c>
      <c r="E1043" s="100">
        <v>40781</v>
      </c>
      <c r="F1043" s="101">
        <v>6.6000000000000003E-2</v>
      </c>
      <c r="G1043" s="96">
        <f t="shared" si="65"/>
        <v>6</v>
      </c>
      <c r="I1043" s="96"/>
      <c r="K1043" t="str">
        <f t="shared" si="66"/>
        <v>MCR6</v>
      </c>
      <c r="L1043" s="73" t="s">
        <v>168</v>
      </c>
      <c r="M1043" s="72">
        <v>40781</v>
      </c>
      <c r="N1043" s="84">
        <v>6.6000000000000003E-2</v>
      </c>
      <c r="O1043" s="96">
        <f t="shared" si="67"/>
        <v>6</v>
      </c>
      <c r="Q1043" s="96"/>
      <c r="T1043" s="110"/>
    </row>
    <row r="1044" spans="3:20" x14ac:dyDescent="0.2">
      <c r="C1044" s="96" t="str">
        <f t="shared" si="64"/>
        <v>MCR7</v>
      </c>
      <c r="D1044" s="73" t="s">
        <v>168</v>
      </c>
      <c r="E1044" s="100">
        <v>40966</v>
      </c>
      <c r="F1044" s="101">
        <v>6.8000000000000005E-2</v>
      </c>
      <c r="G1044" s="96">
        <f t="shared" si="65"/>
        <v>7</v>
      </c>
      <c r="I1044" s="96"/>
      <c r="K1044" t="str">
        <f t="shared" si="66"/>
        <v>MCR7</v>
      </c>
      <c r="L1044" s="73" t="s">
        <v>168</v>
      </c>
      <c r="M1044" s="72">
        <v>40966</v>
      </c>
      <c r="N1044" s="84">
        <v>6.8000000000000005E-2</v>
      </c>
      <c r="O1044" s="96">
        <f t="shared" si="67"/>
        <v>7</v>
      </c>
      <c r="Q1044" s="96"/>
      <c r="T1044" s="110"/>
    </row>
    <row r="1045" spans="3:20" x14ac:dyDescent="0.2">
      <c r="C1045" s="96" t="str">
        <f t="shared" si="64"/>
        <v>MCR8</v>
      </c>
      <c r="D1045" s="73" t="s">
        <v>168</v>
      </c>
      <c r="E1045" s="100">
        <v>41149</v>
      </c>
      <c r="F1045" s="101">
        <v>6.8000000000000005E-2</v>
      </c>
      <c r="G1045" s="96">
        <f t="shared" si="65"/>
        <v>8</v>
      </c>
      <c r="I1045" s="96"/>
      <c r="K1045" t="str">
        <f t="shared" si="66"/>
        <v>MCR8</v>
      </c>
      <c r="L1045" s="73" t="s">
        <v>168</v>
      </c>
      <c r="M1045" s="72">
        <v>41149</v>
      </c>
      <c r="N1045" s="84">
        <v>6.8000000000000005E-2</v>
      </c>
      <c r="O1045" s="96">
        <f t="shared" si="67"/>
        <v>8</v>
      </c>
      <c r="Q1045" s="96"/>
      <c r="T1045" s="110"/>
    </row>
    <row r="1046" spans="3:20" x14ac:dyDescent="0.2">
      <c r="C1046" s="96" t="str">
        <f t="shared" si="64"/>
        <v>MCR9</v>
      </c>
      <c r="D1046" s="73" t="s">
        <v>168</v>
      </c>
      <c r="E1046" s="100">
        <v>41331</v>
      </c>
      <c r="F1046" s="101">
        <v>0.02</v>
      </c>
      <c r="G1046" s="96">
        <f t="shared" si="65"/>
        <v>9</v>
      </c>
      <c r="I1046" s="96"/>
      <c r="K1046" t="str">
        <f t="shared" si="66"/>
        <v>MCR9</v>
      </c>
      <c r="L1046" s="73" t="s">
        <v>168</v>
      </c>
      <c r="M1046" s="72">
        <v>41331</v>
      </c>
      <c r="N1046" s="84">
        <v>0.02</v>
      </c>
      <c r="O1046" s="96">
        <f t="shared" si="67"/>
        <v>9</v>
      </c>
      <c r="Q1046" s="96"/>
      <c r="T1046" s="110"/>
    </row>
    <row r="1047" spans="3:20" x14ac:dyDescent="0.2">
      <c r="C1047" s="96" t="str">
        <f t="shared" si="64"/>
        <v>MCR10</v>
      </c>
      <c r="D1047" s="73" t="s">
        <v>168</v>
      </c>
      <c r="E1047" s="100">
        <v>41514</v>
      </c>
      <c r="F1047" s="101">
        <v>0.02</v>
      </c>
      <c r="G1047" s="96">
        <f t="shared" si="65"/>
        <v>10</v>
      </c>
      <c r="I1047" s="96"/>
      <c r="K1047" t="str">
        <f t="shared" si="66"/>
        <v>MCR10</v>
      </c>
      <c r="L1047" s="73" t="s">
        <v>168</v>
      </c>
      <c r="M1047" s="72">
        <v>41514</v>
      </c>
      <c r="N1047" s="84">
        <v>0.02</v>
      </c>
      <c r="O1047" s="96">
        <f t="shared" si="67"/>
        <v>10</v>
      </c>
      <c r="Q1047" s="96"/>
      <c r="T1047" s="110"/>
    </row>
    <row r="1048" spans="3:20" x14ac:dyDescent="0.2">
      <c r="C1048" s="96" t="str">
        <f t="shared" si="64"/>
        <v>MCW1</v>
      </c>
      <c r="D1048" s="73" t="s">
        <v>169</v>
      </c>
      <c r="E1048" s="100">
        <v>39988</v>
      </c>
      <c r="F1048" s="101">
        <v>0.04</v>
      </c>
      <c r="G1048" s="96">
        <f t="shared" si="65"/>
        <v>1</v>
      </c>
      <c r="I1048" s="96"/>
      <c r="K1048" t="str">
        <f t="shared" si="66"/>
        <v>MCW1</v>
      </c>
      <c r="L1048" s="73" t="s">
        <v>169</v>
      </c>
      <c r="M1048" s="72">
        <v>39988</v>
      </c>
      <c r="N1048" s="84">
        <v>0.04</v>
      </c>
      <c r="O1048" s="96">
        <f t="shared" si="67"/>
        <v>1</v>
      </c>
      <c r="Q1048" s="96"/>
      <c r="T1048" s="110"/>
    </row>
    <row r="1049" spans="3:20" x14ac:dyDescent="0.2">
      <c r="C1049" s="96" t="str">
        <f t="shared" si="64"/>
        <v>MCW2</v>
      </c>
      <c r="D1049" s="73" t="s">
        <v>169</v>
      </c>
      <c r="E1049" s="100">
        <v>40170</v>
      </c>
      <c r="F1049" s="101">
        <v>4.2500000000000003E-2</v>
      </c>
      <c r="G1049" s="96">
        <f t="shared" si="65"/>
        <v>2</v>
      </c>
      <c r="I1049" s="96"/>
      <c r="K1049" t="str">
        <f t="shared" si="66"/>
        <v>MCW2</v>
      </c>
      <c r="L1049" s="73" t="s">
        <v>169</v>
      </c>
      <c r="M1049" s="72">
        <v>40170</v>
      </c>
      <c r="N1049" s="84">
        <v>4.2500000000000003E-2</v>
      </c>
      <c r="O1049" s="96">
        <f t="shared" si="67"/>
        <v>2</v>
      </c>
      <c r="Q1049" s="96"/>
      <c r="T1049" s="110"/>
    </row>
    <row r="1050" spans="3:20" x14ac:dyDescent="0.2">
      <c r="C1050" s="96" t="str">
        <f t="shared" si="64"/>
        <v>MCW3</v>
      </c>
      <c r="D1050" s="73" t="s">
        <v>169</v>
      </c>
      <c r="E1050" s="100">
        <v>40353</v>
      </c>
      <c r="F1050" s="101">
        <v>4.2500000000000003E-2</v>
      </c>
      <c r="G1050" s="96">
        <f t="shared" si="65"/>
        <v>3</v>
      </c>
      <c r="I1050" s="96"/>
      <c r="K1050" t="str">
        <f t="shared" si="66"/>
        <v>MCW3</v>
      </c>
      <c r="L1050" s="73" t="s">
        <v>169</v>
      </c>
      <c r="M1050" s="72">
        <v>40353</v>
      </c>
      <c r="N1050" s="84">
        <v>4.2500000000000003E-2</v>
      </c>
      <c r="O1050" s="96">
        <f t="shared" si="67"/>
        <v>3</v>
      </c>
      <c r="Q1050" s="96"/>
      <c r="T1050" s="110"/>
    </row>
    <row r="1051" spans="3:20" x14ac:dyDescent="0.2">
      <c r="C1051" s="96" t="str">
        <f t="shared" si="64"/>
        <v>MCW4</v>
      </c>
      <c r="D1051" s="73" t="s">
        <v>169</v>
      </c>
      <c r="E1051" s="100">
        <v>40535</v>
      </c>
      <c r="F1051" s="101">
        <v>4.4999999999999998E-2</v>
      </c>
      <c r="G1051" s="96">
        <f t="shared" si="65"/>
        <v>4</v>
      </c>
      <c r="I1051" s="96"/>
      <c r="K1051" t="str">
        <f t="shared" si="66"/>
        <v>MCW4</v>
      </c>
      <c r="L1051" s="73" t="s">
        <v>169</v>
      </c>
      <c r="M1051" s="72">
        <v>40535</v>
      </c>
      <c r="N1051" s="84">
        <v>4.4999999999999998E-2</v>
      </c>
      <c r="O1051" s="96">
        <f t="shared" si="67"/>
        <v>4</v>
      </c>
      <c r="Q1051" s="96"/>
      <c r="T1051" s="110"/>
    </row>
    <row r="1052" spans="3:20" x14ac:dyDescent="0.2">
      <c r="C1052" s="96" t="str">
        <f t="shared" si="64"/>
        <v>MCW5</v>
      </c>
      <c r="D1052" s="73" t="s">
        <v>169</v>
      </c>
      <c r="E1052" s="100">
        <v>40718</v>
      </c>
      <c r="F1052" s="101">
        <v>4.4999999999999998E-2</v>
      </c>
      <c r="G1052" s="96">
        <f t="shared" si="65"/>
        <v>5</v>
      </c>
      <c r="I1052" s="96"/>
      <c r="K1052" t="str">
        <f t="shared" si="66"/>
        <v>MCW5</v>
      </c>
      <c r="L1052" s="73" t="s">
        <v>169</v>
      </c>
      <c r="M1052" s="72">
        <v>40718</v>
      </c>
      <c r="N1052" s="84">
        <v>4.4999999999999998E-2</v>
      </c>
      <c r="O1052" s="96">
        <f t="shared" si="67"/>
        <v>5</v>
      </c>
      <c r="Q1052" s="96"/>
      <c r="T1052" s="110"/>
    </row>
    <row r="1053" spans="3:20" x14ac:dyDescent="0.2">
      <c r="C1053" s="96" t="str">
        <f t="shared" si="64"/>
        <v>MCW6</v>
      </c>
      <c r="D1053" s="73" t="s">
        <v>169</v>
      </c>
      <c r="E1053" s="100">
        <v>40899</v>
      </c>
      <c r="F1053" s="101">
        <v>0.05</v>
      </c>
      <c r="G1053" s="96">
        <f t="shared" si="65"/>
        <v>6</v>
      </c>
      <c r="I1053" s="96"/>
      <c r="K1053" t="str">
        <f t="shared" si="66"/>
        <v>MCW6</v>
      </c>
      <c r="L1053" s="73" t="s">
        <v>169</v>
      </c>
      <c r="M1053" s="72">
        <v>40899</v>
      </c>
      <c r="N1053" s="84">
        <v>0.05</v>
      </c>
      <c r="O1053" s="96">
        <f t="shared" si="67"/>
        <v>6</v>
      </c>
      <c r="Q1053" s="96"/>
      <c r="T1053" s="110"/>
    </row>
    <row r="1054" spans="3:20" x14ac:dyDescent="0.2">
      <c r="C1054" s="96" t="str">
        <f t="shared" si="64"/>
        <v>MCW7</v>
      </c>
      <c r="D1054" s="73" t="s">
        <v>169</v>
      </c>
      <c r="E1054" s="100">
        <v>41085</v>
      </c>
      <c r="F1054" s="101">
        <v>0.05</v>
      </c>
      <c r="G1054" s="96">
        <f t="shared" si="65"/>
        <v>7</v>
      </c>
      <c r="I1054" s="96"/>
      <c r="K1054" t="str">
        <f t="shared" si="66"/>
        <v>MCW7</v>
      </c>
      <c r="L1054" s="73" t="s">
        <v>169</v>
      </c>
      <c r="M1054" s="72">
        <v>41085</v>
      </c>
      <c r="N1054" s="84">
        <v>0.05</v>
      </c>
      <c r="O1054" s="96">
        <f t="shared" si="67"/>
        <v>7</v>
      </c>
      <c r="Q1054" s="96"/>
      <c r="T1054" s="110"/>
    </row>
    <row r="1055" spans="3:20" x14ac:dyDescent="0.2">
      <c r="C1055" s="96" t="str">
        <f t="shared" si="64"/>
        <v>MCW8</v>
      </c>
      <c r="D1055" s="73" t="s">
        <v>169</v>
      </c>
      <c r="E1055" s="100">
        <v>41268</v>
      </c>
      <c r="F1055" s="101">
        <v>5.5E-2</v>
      </c>
      <c r="G1055" s="96">
        <f t="shared" si="65"/>
        <v>8</v>
      </c>
      <c r="I1055" s="96"/>
      <c r="K1055" t="str">
        <f t="shared" si="66"/>
        <v>MCW8</v>
      </c>
      <c r="L1055" s="73" t="s">
        <v>169</v>
      </c>
      <c r="M1055" s="72">
        <v>41268</v>
      </c>
      <c r="N1055" s="84">
        <v>5.5E-2</v>
      </c>
      <c r="O1055" s="96">
        <f t="shared" si="67"/>
        <v>8</v>
      </c>
      <c r="Q1055" s="96"/>
      <c r="T1055" s="110"/>
    </row>
    <row r="1056" spans="3:20" x14ac:dyDescent="0.2">
      <c r="C1056" s="96" t="str">
        <f t="shared" si="64"/>
        <v>MCW9</v>
      </c>
      <c r="D1056" s="73" t="s">
        <v>169</v>
      </c>
      <c r="E1056" s="100">
        <v>41450</v>
      </c>
      <c r="F1056" s="101">
        <v>5.5E-2</v>
      </c>
      <c r="G1056" s="96">
        <f t="shared" si="65"/>
        <v>9</v>
      </c>
      <c r="I1056" s="96"/>
      <c r="K1056" t="str">
        <f t="shared" si="66"/>
        <v>MCW9</v>
      </c>
      <c r="L1056" s="73" t="s">
        <v>169</v>
      </c>
      <c r="M1056" s="72">
        <v>41450</v>
      </c>
      <c r="N1056" s="84">
        <v>5.5E-2</v>
      </c>
      <c r="O1056" s="96">
        <f t="shared" si="67"/>
        <v>9</v>
      </c>
      <c r="Q1056" s="96"/>
      <c r="T1056" s="110"/>
    </row>
    <row r="1057" spans="3:20" x14ac:dyDescent="0.2">
      <c r="C1057" s="96" t="str">
        <f t="shared" si="64"/>
        <v>MDT1</v>
      </c>
      <c r="D1057" s="73" t="s">
        <v>170</v>
      </c>
      <c r="E1057" s="100">
        <v>39988</v>
      </c>
      <c r="F1057" s="101">
        <v>0.03</v>
      </c>
      <c r="G1057" s="96">
        <f t="shared" si="65"/>
        <v>1</v>
      </c>
      <c r="I1057" s="96"/>
      <c r="K1057" t="str">
        <f t="shared" si="66"/>
        <v>MDT1</v>
      </c>
      <c r="L1057" s="73" t="s">
        <v>170</v>
      </c>
      <c r="M1057" s="72">
        <v>39988</v>
      </c>
      <c r="N1057" s="84">
        <v>0.03</v>
      </c>
      <c r="O1057" s="96">
        <f t="shared" si="67"/>
        <v>1</v>
      </c>
      <c r="Q1057" s="96"/>
      <c r="T1057" s="110"/>
    </row>
    <row r="1058" spans="3:20" x14ac:dyDescent="0.2">
      <c r="C1058" s="96" t="str">
        <f t="shared" si="64"/>
        <v>MDT2</v>
      </c>
      <c r="D1058" s="73" t="s">
        <v>170</v>
      </c>
      <c r="E1058" s="100">
        <v>40170</v>
      </c>
      <c r="F1058" s="101">
        <v>3.2000000000000001E-2</v>
      </c>
      <c r="G1058" s="96">
        <f t="shared" si="65"/>
        <v>2</v>
      </c>
      <c r="I1058" s="96"/>
      <c r="K1058" t="str">
        <f t="shared" si="66"/>
        <v>MDT2</v>
      </c>
      <c r="L1058" s="73" t="s">
        <v>170</v>
      </c>
      <c r="M1058" s="72">
        <v>40170</v>
      </c>
      <c r="N1058" s="84">
        <v>3.2000000000000001E-2</v>
      </c>
      <c r="O1058" s="96">
        <f t="shared" si="67"/>
        <v>2</v>
      </c>
      <c r="Q1058" s="96"/>
      <c r="T1058" s="110"/>
    </row>
    <row r="1059" spans="3:20" x14ac:dyDescent="0.2">
      <c r="C1059" s="96" t="str">
        <f t="shared" si="64"/>
        <v>MDT3</v>
      </c>
      <c r="D1059" s="73" t="s">
        <v>170</v>
      </c>
      <c r="E1059" s="100">
        <v>40353</v>
      </c>
      <c r="F1059" s="101">
        <v>3.2000000000000001E-2</v>
      </c>
      <c r="G1059" s="96">
        <f t="shared" si="65"/>
        <v>3</v>
      </c>
      <c r="I1059" s="96"/>
      <c r="K1059" t="str">
        <f t="shared" si="66"/>
        <v>MDT3</v>
      </c>
      <c r="L1059" s="73" t="s">
        <v>170</v>
      </c>
      <c r="M1059" s="72">
        <v>40353</v>
      </c>
      <c r="N1059" s="84">
        <v>3.2000000000000001E-2</v>
      </c>
      <c r="O1059" s="96">
        <f t="shared" si="67"/>
        <v>3</v>
      </c>
      <c r="Q1059" s="96"/>
      <c r="T1059" s="110"/>
    </row>
    <row r="1060" spans="3:20" x14ac:dyDescent="0.2">
      <c r="C1060" s="96" t="str">
        <f t="shared" si="64"/>
        <v>MDT4</v>
      </c>
      <c r="D1060" s="73" t="s">
        <v>170</v>
      </c>
      <c r="E1060" s="100">
        <v>40536</v>
      </c>
      <c r="F1060" s="101">
        <v>3.4000000000000002E-2</v>
      </c>
      <c r="G1060" s="96">
        <f t="shared" si="65"/>
        <v>4</v>
      </c>
      <c r="I1060" s="96"/>
      <c r="K1060" t="str">
        <f t="shared" si="66"/>
        <v>MDT4</v>
      </c>
      <c r="L1060" s="73" t="s">
        <v>170</v>
      </c>
      <c r="M1060" s="72">
        <v>40536</v>
      </c>
      <c r="N1060" s="84">
        <v>3.4000000000000002E-2</v>
      </c>
      <c r="O1060" s="96">
        <f t="shared" si="67"/>
        <v>4</v>
      </c>
      <c r="Q1060" s="96"/>
      <c r="T1060" s="110"/>
    </row>
    <row r="1061" spans="3:20" x14ac:dyDescent="0.2">
      <c r="C1061" s="96" t="str">
        <f t="shared" si="64"/>
        <v>MDT5</v>
      </c>
      <c r="D1061" s="73" t="s">
        <v>170</v>
      </c>
      <c r="E1061" s="100">
        <v>40718</v>
      </c>
      <c r="F1061" s="101">
        <v>3.4000000000000002E-2</v>
      </c>
      <c r="G1061" s="96">
        <f t="shared" si="65"/>
        <v>5</v>
      </c>
      <c r="I1061" s="96"/>
      <c r="K1061" t="str">
        <f t="shared" si="66"/>
        <v>MDT5</v>
      </c>
      <c r="L1061" s="73" t="s">
        <v>170</v>
      </c>
      <c r="M1061" s="72">
        <v>40718</v>
      </c>
      <c r="N1061" s="84">
        <v>3.4000000000000002E-2</v>
      </c>
      <c r="O1061" s="96">
        <f t="shared" si="67"/>
        <v>5</v>
      </c>
      <c r="Q1061" s="96"/>
      <c r="T1061" s="110"/>
    </row>
    <row r="1062" spans="3:20" x14ac:dyDescent="0.2">
      <c r="C1062" s="96" t="str">
        <f t="shared" si="64"/>
        <v>MDT6</v>
      </c>
      <c r="D1062" s="73" t="s">
        <v>170</v>
      </c>
      <c r="E1062" s="100">
        <v>40899</v>
      </c>
      <c r="F1062" s="101">
        <v>3.6000000000000004E-2</v>
      </c>
      <c r="G1062" s="96">
        <f t="shared" si="65"/>
        <v>6</v>
      </c>
      <c r="I1062" s="96"/>
      <c r="K1062" t="str">
        <f t="shared" si="66"/>
        <v>MDT6</v>
      </c>
      <c r="L1062" s="73" t="s">
        <v>170</v>
      </c>
      <c r="M1062" s="72">
        <v>40899</v>
      </c>
      <c r="N1062" s="84">
        <v>3.6000000000000004E-2</v>
      </c>
      <c r="O1062" s="96">
        <f t="shared" si="67"/>
        <v>6</v>
      </c>
      <c r="Q1062" s="96"/>
      <c r="T1062" s="110"/>
    </row>
    <row r="1063" spans="3:20" x14ac:dyDescent="0.2">
      <c r="C1063" s="96" t="str">
        <f t="shared" si="64"/>
        <v>MDT7</v>
      </c>
      <c r="D1063" s="73" t="s">
        <v>170</v>
      </c>
      <c r="E1063" s="100">
        <v>41085</v>
      </c>
      <c r="F1063" s="101">
        <v>3.6000000000000004E-2</v>
      </c>
      <c r="G1063" s="96">
        <f t="shared" si="65"/>
        <v>7</v>
      </c>
      <c r="I1063" s="96"/>
      <c r="K1063" t="str">
        <f t="shared" si="66"/>
        <v>MDT7</v>
      </c>
      <c r="L1063" s="73" t="s">
        <v>170</v>
      </c>
      <c r="M1063" s="72">
        <v>41085</v>
      </c>
      <c r="N1063" s="84">
        <v>3.6000000000000004E-2</v>
      </c>
      <c r="O1063" s="96">
        <f t="shared" si="67"/>
        <v>7</v>
      </c>
      <c r="Q1063" s="96"/>
      <c r="T1063" s="110"/>
    </row>
    <row r="1064" spans="3:20" x14ac:dyDescent="0.2">
      <c r="C1064" s="96" t="str">
        <f t="shared" si="64"/>
        <v>MDT8</v>
      </c>
      <c r="D1064" s="73" t="s">
        <v>170</v>
      </c>
      <c r="E1064" s="100">
        <v>41264</v>
      </c>
      <c r="F1064" s="101">
        <v>3.6000000000000004E-2</v>
      </c>
      <c r="G1064" s="96">
        <f t="shared" si="65"/>
        <v>8</v>
      </c>
      <c r="I1064" s="96"/>
      <c r="K1064" t="str">
        <f t="shared" si="66"/>
        <v>MDT8</v>
      </c>
      <c r="L1064" s="73" t="s">
        <v>170</v>
      </c>
      <c r="M1064" s="72">
        <v>41264</v>
      </c>
      <c r="N1064" s="84">
        <v>3.6000000000000004E-2</v>
      </c>
      <c r="O1064" s="96">
        <f t="shared" si="67"/>
        <v>8</v>
      </c>
      <c r="Q1064" s="96"/>
      <c r="T1064" s="110"/>
    </row>
    <row r="1065" spans="3:20" x14ac:dyDescent="0.2">
      <c r="C1065" s="96" t="str">
        <f t="shared" si="64"/>
        <v>MDT9</v>
      </c>
      <c r="D1065" s="73" t="s">
        <v>170</v>
      </c>
      <c r="E1065" s="100">
        <v>41449</v>
      </c>
      <c r="F1065" s="101">
        <v>3.6000000000000004E-2</v>
      </c>
      <c r="G1065" s="96">
        <f t="shared" si="65"/>
        <v>9</v>
      </c>
      <c r="I1065" s="96"/>
      <c r="K1065" t="str">
        <f t="shared" si="66"/>
        <v>MDT9</v>
      </c>
      <c r="L1065" s="73" t="s">
        <v>170</v>
      </c>
      <c r="M1065" s="72">
        <v>41449</v>
      </c>
      <c r="N1065" s="84">
        <v>3.6000000000000004E-2</v>
      </c>
      <c r="O1065" s="96">
        <f t="shared" si="67"/>
        <v>9</v>
      </c>
      <c r="Q1065" s="96"/>
      <c r="T1065" s="110"/>
    </row>
    <row r="1066" spans="3:20" x14ac:dyDescent="0.2">
      <c r="C1066" s="96" t="str">
        <f t="shared" si="64"/>
        <v>MGR1</v>
      </c>
      <c r="D1066" s="73" t="s">
        <v>171</v>
      </c>
      <c r="E1066" s="100">
        <v>39897</v>
      </c>
      <c r="F1066" s="101">
        <v>2.7999999999999997E-2</v>
      </c>
      <c r="G1066" s="96">
        <f t="shared" si="65"/>
        <v>1</v>
      </c>
      <c r="I1066" s="96"/>
      <c r="K1066" t="str">
        <f t="shared" si="66"/>
        <v>MGR1</v>
      </c>
      <c r="L1066" s="73" t="s">
        <v>171</v>
      </c>
      <c r="M1066" s="72">
        <v>39897</v>
      </c>
      <c r="N1066" s="84">
        <v>2.7999999999999997E-2</v>
      </c>
      <c r="O1066" s="96">
        <f t="shared" si="67"/>
        <v>1</v>
      </c>
      <c r="Q1066" s="96"/>
      <c r="T1066" s="110"/>
    </row>
    <row r="1067" spans="3:20" x14ac:dyDescent="0.2">
      <c r="C1067" s="96" t="str">
        <f t="shared" si="64"/>
        <v>MGR2</v>
      </c>
      <c r="D1067" s="73" t="s">
        <v>171</v>
      </c>
      <c r="E1067" s="100">
        <v>39988</v>
      </c>
      <c r="F1067" s="101">
        <v>2.7999999999999997E-2</v>
      </c>
      <c r="G1067" s="96">
        <f t="shared" si="65"/>
        <v>2</v>
      </c>
      <c r="I1067" s="96"/>
      <c r="K1067" t="str">
        <f t="shared" si="66"/>
        <v>MGR2</v>
      </c>
      <c r="L1067" s="73" t="s">
        <v>171</v>
      </c>
      <c r="M1067" s="72">
        <v>39988</v>
      </c>
      <c r="N1067" s="84">
        <v>2.7999999999999997E-2</v>
      </c>
      <c r="O1067" s="96">
        <f t="shared" si="67"/>
        <v>2</v>
      </c>
      <c r="Q1067" s="96"/>
      <c r="T1067" s="110"/>
    </row>
    <row r="1068" spans="3:20" x14ac:dyDescent="0.2">
      <c r="C1068" s="96" t="str">
        <f t="shared" si="64"/>
        <v>MGR3</v>
      </c>
      <c r="D1068" s="73" t="s">
        <v>171</v>
      </c>
      <c r="E1068" s="100">
        <v>40080</v>
      </c>
      <c r="F1068" s="101">
        <v>3.4000000000000002E-2</v>
      </c>
      <c r="G1068" s="96">
        <f t="shared" si="65"/>
        <v>3</v>
      </c>
      <c r="I1068" s="96"/>
      <c r="K1068" t="str">
        <f t="shared" si="66"/>
        <v>MGR3</v>
      </c>
      <c r="L1068" s="73" t="s">
        <v>171</v>
      </c>
      <c r="M1068" s="72">
        <v>40080</v>
      </c>
      <c r="N1068" s="84">
        <v>3.4000000000000002E-2</v>
      </c>
      <c r="O1068" s="96">
        <f t="shared" si="67"/>
        <v>3</v>
      </c>
      <c r="Q1068" s="96"/>
      <c r="T1068" s="110"/>
    </row>
    <row r="1069" spans="3:20" x14ac:dyDescent="0.2">
      <c r="C1069" s="96" t="str">
        <f t="shared" si="64"/>
        <v>MGR4</v>
      </c>
      <c r="D1069" s="73" t="s">
        <v>171</v>
      </c>
      <c r="E1069" s="100">
        <v>40170</v>
      </c>
      <c r="F1069" s="101">
        <v>3.4000000000000002E-2</v>
      </c>
      <c r="G1069" s="96">
        <f t="shared" si="65"/>
        <v>4</v>
      </c>
      <c r="I1069" s="96"/>
      <c r="K1069" t="str">
        <f t="shared" si="66"/>
        <v>MGR4</v>
      </c>
      <c r="L1069" s="73" t="s">
        <v>171</v>
      </c>
      <c r="M1069" s="72">
        <v>40170</v>
      </c>
      <c r="N1069" s="84">
        <v>3.4000000000000002E-2</v>
      </c>
      <c r="O1069" s="96">
        <f t="shared" si="67"/>
        <v>4</v>
      </c>
      <c r="Q1069" s="96"/>
      <c r="T1069" s="110"/>
    </row>
    <row r="1070" spans="3:20" x14ac:dyDescent="0.2">
      <c r="C1070" s="96" t="str">
        <f t="shared" si="64"/>
        <v>MGR5</v>
      </c>
      <c r="D1070" s="73" t="s">
        <v>171</v>
      </c>
      <c r="E1070" s="100">
        <v>40262</v>
      </c>
      <c r="F1070" s="101">
        <v>3.5000000000000003E-2</v>
      </c>
      <c r="G1070" s="96">
        <f t="shared" si="65"/>
        <v>5</v>
      </c>
      <c r="I1070" s="96"/>
      <c r="K1070" t="str">
        <f t="shared" si="66"/>
        <v>MGR5</v>
      </c>
      <c r="L1070" s="73" t="s">
        <v>171</v>
      </c>
      <c r="M1070" s="72">
        <v>40262</v>
      </c>
      <c r="N1070" s="84">
        <v>3.5000000000000003E-2</v>
      </c>
      <c r="O1070" s="96">
        <f t="shared" si="67"/>
        <v>5</v>
      </c>
      <c r="Q1070" s="96"/>
      <c r="T1070" s="110"/>
    </row>
    <row r="1071" spans="3:20" x14ac:dyDescent="0.2">
      <c r="C1071" s="96" t="str">
        <f t="shared" si="64"/>
        <v>MGR6</v>
      </c>
      <c r="D1071" s="73" t="s">
        <v>171</v>
      </c>
      <c r="E1071" s="100">
        <v>40353</v>
      </c>
      <c r="F1071" s="101">
        <v>3.5000000000000003E-2</v>
      </c>
      <c r="G1071" s="96">
        <f t="shared" si="65"/>
        <v>6</v>
      </c>
      <c r="I1071" s="96"/>
      <c r="K1071" t="str">
        <f t="shared" si="66"/>
        <v>MGR6</v>
      </c>
      <c r="L1071" s="73" t="s">
        <v>171</v>
      </c>
      <c r="M1071" s="72">
        <v>40353</v>
      </c>
      <c r="N1071" s="84">
        <v>3.5000000000000003E-2</v>
      </c>
      <c r="O1071" s="96">
        <f t="shared" si="67"/>
        <v>6</v>
      </c>
      <c r="Q1071" s="96"/>
      <c r="T1071" s="110"/>
    </row>
    <row r="1072" spans="3:20" x14ac:dyDescent="0.2">
      <c r="C1072" s="96" t="str">
        <f t="shared" si="64"/>
        <v>MGR7</v>
      </c>
      <c r="D1072" s="73" t="s">
        <v>171</v>
      </c>
      <c r="E1072" s="100">
        <v>40445</v>
      </c>
      <c r="F1072" s="101">
        <v>3.5000000000000003E-2</v>
      </c>
      <c r="G1072" s="96">
        <f t="shared" si="65"/>
        <v>7</v>
      </c>
      <c r="I1072" s="96"/>
      <c r="K1072" t="str">
        <f t="shared" si="66"/>
        <v>MGR7</v>
      </c>
      <c r="L1072" s="73" t="s">
        <v>171</v>
      </c>
      <c r="M1072" s="72">
        <v>40445</v>
      </c>
      <c r="N1072" s="84">
        <v>3.5000000000000003E-2</v>
      </c>
      <c r="O1072" s="96">
        <f t="shared" si="67"/>
        <v>7</v>
      </c>
      <c r="Q1072" s="96"/>
      <c r="T1072" s="110"/>
    </row>
    <row r="1073" spans="3:20" x14ac:dyDescent="0.2">
      <c r="C1073" s="96" t="str">
        <f t="shared" si="64"/>
        <v>MGR8</v>
      </c>
      <c r="D1073" s="73" t="s">
        <v>171</v>
      </c>
      <c r="E1073" s="100">
        <v>40535</v>
      </c>
      <c r="F1073" s="101">
        <v>3.5000000000000003E-2</v>
      </c>
      <c r="G1073" s="96">
        <f t="shared" si="65"/>
        <v>8</v>
      </c>
      <c r="I1073" s="96"/>
      <c r="K1073" t="str">
        <f t="shared" si="66"/>
        <v>MGR8</v>
      </c>
      <c r="L1073" s="73" t="s">
        <v>171</v>
      </c>
      <c r="M1073" s="72">
        <v>40535</v>
      </c>
      <c r="N1073" s="84">
        <v>3.5000000000000003E-2</v>
      </c>
      <c r="O1073" s="96">
        <f t="shared" si="67"/>
        <v>8</v>
      </c>
      <c r="Q1073" s="96"/>
      <c r="T1073" s="110"/>
    </row>
    <row r="1074" spans="3:20" x14ac:dyDescent="0.2">
      <c r="C1074" s="96" t="str">
        <f t="shared" si="64"/>
        <v>MGR9</v>
      </c>
      <c r="D1074" s="73" t="s">
        <v>171</v>
      </c>
      <c r="E1074" s="100">
        <v>40627</v>
      </c>
      <c r="F1074" s="101">
        <v>3.5000000000000003E-2</v>
      </c>
      <c r="G1074" s="96">
        <f t="shared" si="65"/>
        <v>9</v>
      </c>
      <c r="I1074" s="96"/>
      <c r="K1074" t="str">
        <f t="shared" si="66"/>
        <v>MGR9</v>
      </c>
      <c r="L1074" s="73" t="s">
        <v>171</v>
      </c>
      <c r="M1074" s="72">
        <v>40627</v>
      </c>
      <c r="N1074" s="84">
        <v>3.5000000000000003E-2</v>
      </c>
      <c r="O1074" s="96">
        <f t="shared" si="67"/>
        <v>9</v>
      </c>
      <c r="Q1074" s="96"/>
      <c r="T1074" s="110"/>
    </row>
    <row r="1075" spans="3:20" x14ac:dyDescent="0.2">
      <c r="C1075" s="96" t="str">
        <f t="shared" si="64"/>
        <v>MGR10</v>
      </c>
      <c r="D1075" s="73" t="s">
        <v>171</v>
      </c>
      <c r="E1075" s="100">
        <v>40718</v>
      </c>
      <c r="F1075" s="101">
        <v>3.5000000000000003E-2</v>
      </c>
      <c r="G1075" s="96">
        <f t="shared" si="65"/>
        <v>10</v>
      </c>
      <c r="I1075" s="96"/>
      <c r="K1075" t="str">
        <f t="shared" si="66"/>
        <v>MGR10</v>
      </c>
      <c r="L1075" s="73" t="s">
        <v>171</v>
      </c>
      <c r="M1075" s="72">
        <v>40718</v>
      </c>
      <c r="N1075" s="84">
        <v>3.5000000000000003E-2</v>
      </c>
      <c r="O1075" s="96">
        <f t="shared" si="67"/>
        <v>10</v>
      </c>
      <c r="Q1075" s="96"/>
      <c r="T1075" s="110"/>
    </row>
    <row r="1076" spans="3:20" x14ac:dyDescent="0.2">
      <c r="C1076" s="96" t="str">
        <f t="shared" si="64"/>
        <v>MGR11</v>
      </c>
      <c r="D1076" s="73" t="s">
        <v>171</v>
      </c>
      <c r="E1076" s="100">
        <v>40812</v>
      </c>
      <c r="F1076" s="101">
        <v>3.7000000000000005E-2</v>
      </c>
      <c r="G1076" s="96">
        <f t="shared" si="65"/>
        <v>11</v>
      </c>
      <c r="I1076" s="96"/>
      <c r="K1076" t="str">
        <f t="shared" si="66"/>
        <v>MGR11</v>
      </c>
      <c r="L1076" s="73" t="s">
        <v>171</v>
      </c>
      <c r="M1076" s="72">
        <v>40812</v>
      </c>
      <c r="N1076" s="84">
        <v>3.7000000000000005E-2</v>
      </c>
      <c r="O1076" s="96">
        <f t="shared" si="67"/>
        <v>11</v>
      </c>
      <c r="Q1076" s="96"/>
      <c r="T1076" s="110"/>
    </row>
    <row r="1077" spans="3:20" x14ac:dyDescent="0.2">
      <c r="C1077" s="96" t="str">
        <f t="shared" si="64"/>
        <v>MGR12</v>
      </c>
      <c r="D1077" s="73" t="s">
        <v>171</v>
      </c>
      <c r="E1077" s="100">
        <v>40899</v>
      </c>
      <c r="F1077" s="101">
        <v>3.7000000000000005E-2</v>
      </c>
      <c r="G1077" s="96">
        <f t="shared" si="65"/>
        <v>12</v>
      </c>
      <c r="I1077" s="96"/>
      <c r="K1077" t="str">
        <f t="shared" si="66"/>
        <v>MGR12</v>
      </c>
      <c r="L1077" s="73" t="s">
        <v>171</v>
      </c>
      <c r="M1077" s="72">
        <v>40899</v>
      </c>
      <c r="N1077" s="84">
        <v>3.7000000000000005E-2</v>
      </c>
      <c r="O1077" s="96">
        <f t="shared" si="67"/>
        <v>12</v>
      </c>
      <c r="Q1077" s="96"/>
      <c r="T1077" s="110"/>
    </row>
    <row r="1078" spans="3:20" x14ac:dyDescent="0.2">
      <c r="C1078" s="96" t="str">
        <f t="shared" si="64"/>
        <v>MGR13</v>
      </c>
      <c r="D1078" s="73" t="s">
        <v>171</v>
      </c>
      <c r="E1078" s="100">
        <v>40994</v>
      </c>
      <c r="F1078" s="101">
        <v>3.7000000000000005E-2</v>
      </c>
      <c r="G1078" s="96">
        <f t="shared" si="65"/>
        <v>13</v>
      </c>
      <c r="I1078" s="96"/>
      <c r="K1078" t="str">
        <f t="shared" si="66"/>
        <v>MGR13</v>
      </c>
      <c r="L1078" s="73" t="s">
        <v>171</v>
      </c>
      <c r="M1078" s="72">
        <v>40994</v>
      </c>
      <c r="N1078" s="84">
        <v>3.7000000000000005E-2</v>
      </c>
      <c r="O1078" s="96">
        <f t="shared" si="67"/>
        <v>13</v>
      </c>
      <c r="Q1078" s="96"/>
      <c r="T1078" s="110"/>
    </row>
    <row r="1079" spans="3:20" x14ac:dyDescent="0.2">
      <c r="C1079" s="96" t="str">
        <f t="shared" si="64"/>
        <v>MGR14</v>
      </c>
      <c r="D1079" s="73" t="s">
        <v>171</v>
      </c>
      <c r="E1079" s="100">
        <v>41085</v>
      </c>
      <c r="F1079" s="101">
        <v>3.7000000000000005E-2</v>
      </c>
      <c r="G1079" s="96">
        <f t="shared" si="65"/>
        <v>14</v>
      </c>
      <c r="I1079" s="96"/>
      <c r="K1079" t="str">
        <f t="shared" si="66"/>
        <v>MGR14</v>
      </c>
      <c r="L1079" s="73" t="s">
        <v>171</v>
      </c>
      <c r="M1079" s="72">
        <v>41085</v>
      </c>
      <c r="N1079" s="84">
        <v>3.7000000000000005E-2</v>
      </c>
      <c r="O1079" s="96">
        <f t="shared" si="67"/>
        <v>14</v>
      </c>
      <c r="Q1079" s="96"/>
      <c r="T1079" s="110"/>
    </row>
    <row r="1080" spans="3:20" x14ac:dyDescent="0.2">
      <c r="C1080" s="96" t="str">
        <f t="shared" si="64"/>
        <v>MGR15</v>
      </c>
      <c r="D1080" s="73" t="s">
        <v>171</v>
      </c>
      <c r="E1080" s="100">
        <v>41176</v>
      </c>
      <c r="F1080" s="101">
        <v>0.04</v>
      </c>
      <c r="G1080" s="96">
        <f t="shared" si="65"/>
        <v>15</v>
      </c>
      <c r="I1080" s="96"/>
      <c r="K1080" t="str">
        <f t="shared" si="66"/>
        <v>MGR15</v>
      </c>
      <c r="L1080" s="73" t="s">
        <v>171</v>
      </c>
      <c r="M1080" s="72">
        <v>41176</v>
      </c>
      <c r="N1080" s="84">
        <v>0.04</v>
      </c>
      <c r="O1080" s="96">
        <f t="shared" si="67"/>
        <v>15</v>
      </c>
      <c r="Q1080" s="96"/>
      <c r="T1080" s="110"/>
    </row>
    <row r="1081" spans="3:20" x14ac:dyDescent="0.2">
      <c r="C1081" s="96" t="str">
        <f t="shared" si="64"/>
        <v>MGR16</v>
      </c>
      <c r="D1081" s="73" t="s">
        <v>171</v>
      </c>
      <c r="E1081" s="100">
        <v>41264</v>
      </c>
      <c r="F1081" s="101">
        <v>0.04</v>
      </c>
      <c r="G1081" s="96">
        <f t="shared" si="65"/>
        <v>16</v>
      </c>
      <c r="I1081" s="96"/>
      <c r="K1081" t="str">
        <f t="shared" si="66"/>
        <v>MGR16</v>
      </c>
      <c r="L1081" s="73" t="s">
        <v>171</v>
      </c>
      <c r="M1081" s="72">
        <v>41264</v>
      </c>
      <c r="N1081" s="84">
        <v>0.04</v>
      </c>
      <c r="O1081" s="96">
        <f t="shared" si="67"/>
        <v>16</v>
      </c>
      <c r="Q1081" s="96"/>
      <c r="T1081" s="110"/>
    </row>
    <row r="1082" spans="3:20" x14ac:dyDescent="0.2">
      <c r="C1082" s="96" t="str">
        <f t="shared" si="64"/>
        <v>MGR17</v>
      </c>
      <c r="D1082" s="73" t="s">
        <v>171</v>
      </c>
      <c r="E1082" s="100">
        <v>41358</v>
      </c>
      <c r="F1082" s="101">
        <v>0.04</v>
      </c>
      <c r="G1082" s="96">
        <f t="shared" si="65"/>
        <v>17</v>
      </c>
      <c r="I1082" s="96"/>
      <c r="K1082" t="str">
        <f t="shared" si="66"/>
        <v>MGR17</v>
      </c>
      <c r="L1082" s="73" t="s">
        <v>171</v>
      </c>
      <c r="M1082" s="72">
        <v>41358</v>
      </c>
      <c r="N1082" s="84">
        <v>0.04</v>
      </c>
      <c r="O1082" s="96">
        <f t="shared" si="67"/>
        <v>17</v>
      </c>
      <c r="Q1082" s="96"/>
      <c r="T1082" s="110"/>
    </row>
    <row r="1083" spans="3:20" x14ac:dyDescent="0.2">
      <c r="C1083" s="96" t="str">
        <f t="shared" si="64"/>
        <v>MGR18</v>
      </c>
      <c r="D1083" s="73" t="s">
        <v>171</v>
      </c>
      <c r="E1083" s="100">
        <v>41449</v>
      </c>
      <c r="F1083" s="101">
        <v>0.04</v>
      </c>
      <c r="G1083" s="96">
        <f t="shared" si="65"/>
        <v>18</v>
      </c>
      <c r="I1083" s="96"/>
      <c r="K1083" t="str">
        <f t="shared" si="66"/>
        <v>MGR18</v>
      </c>
      <c r="L1083" s="73" t="s">
        <v>171</v>
      </c>
      <c r="M1083" s="72">
        <v>41449</v>
      </c>
      <c r="N1083" s="84">
        <v>0.04</v>
      </c>
      <c r="O1083" s="96">
        <f t="shared" si="67"/>
        <v>18</v>
      </c>
      <c r="Q1083" s="96"/>
      <c r="T1083" s="110"/>
    </row>
    <row r="1084" spans="3:20" x14ac:dyDescent="0.2">
      <c r="C1084" s="96" t="str">
        <f t="shared" si="64"/>
        <v>MIG1</v>
      </c>
      <c r="D1084" s="73" t="s">
        <v>172</v>
      </c>
      <c r="E1084" s="100">
        <v>39988</v>
      </c>
      <c r="F1084" s="101">
        <v>0.1</v>
      </c>
      <c r="G1084" s="96">
        <f t="shared" si="65"/>
        <v>1</v>
      </c>
      <c r="I1084" s="96"/>
      <c r="K1084" t="str">
        <f t="shared" si="66"/>
        <v>MIG1</v>
      </c>
      <c r="L1084" s="73" t="s">
        <v>172</v>
      </c>
      <c r="M1084" s="72">
        <v>39988</v>
      </c>
      <c r="N1084" s="84">
        <v>0.1</v>
      </c>
      <c r="O1084" s="96">
        <f t="shared" si="67"/>
        <v>1</v>
      </c>
      <c r="Q1084" s="96"/>
      <c r="T1084" s="110"/>
    </row>
    <row r="1085" spans="3:20" x14ac:dyDescent="0.2">
      <c r="C1085" s="96" t="str">
        <f t="shared" si="64"/>
        <v>MIG2</v>
      </c>
      <c r="D1085" s="73" t="s">
        <v>172</v>
      </c>
      <c r="E1085" s="100">
        <v>40170</v>
      </c>
      <c r="F1085" s="101">
        <v>0.1</v>
      </c>
      <c r="G1085" s="96">
        <f t="shared" si="65"/>
        <v>2</v>
      </c>
      <c r="I1085" s="96"/>
      <c r="K1085" t="str">
        <f t="shared" si="66"/>
        <v>MIG2</v>
      </c>
      <c r="L1085" s="73" t="s">
        <v>172</v>
      </c>
      <c r="M1085" s="72">
        <v>40170</v>
      </c>
      <c r="N1085" s="84">
        <v>0.1</v>
      </c>
      <c r="O1085" s="96">
        <f t="shared" si="67"/>
        <v>2</v>
      </c>
      <c r="Q1085" s="96"/>
      <c r="T1085" s="110"/>
    </row>
    <row r="1086" spans="3:20" x14ac:dyDescent="0.2">
      <c r="C1086" s="96" t="str">
        <f t="shared" si="64"/>
        <v>MIG3</v>
      </c>
      <c r="D1086" s="73" t="s">
        <v>172</v>
      </c>
      <c r="E1086" s="100">
        <v>40353</v>
      </c>
      <c r="F1086" s="101">
        <v>0.1</v>
      </c>
      <c r="G1086" s="96">
        <f t="shared" si="65"/>
        <v>3</v>
      </c>
      <c r="I1086" s="96"/>
      <c r="K1086" t="str">
        <f t="shared" si="66"/>
        <v>MIG3</v>
      </c>
      <c r="L1086" s="73" t="s">
        <v>172</v>
      </c>
      <c r="M1086" s="72">
        <v>40353</v>
      </c>
      <c r="N1086" s="84">
        <v>0.1</v>
      </c>
      <c r="O1086" s="96">
        <f t="shared" si="67"/>
        <v>3</v>
      </c>
      <c r="Q1086" s="96"/>
      <c r="T1086" s="110"/>
    </row>
    <row r="1087" spans="3:20" x14ac:dyDescent="0.2">
      <c r="C1087" s="96" t="str">
        <f t="shared" si="64"/>
        <v>MIG4</v>
      </c>
      <c r="D1087" s="73" t="s">
        <v>172</v>
      </c>
      <c r="E1087" s="100">
        <v>40535</v>
      </c>
      <c r="F1087" s="101">
        <v>0.1</v>
      </c>
      <c r="G1087" s="96">
        <f t="shared" si="65"/>
        <v>4</v>
      </c>
      <c r="I1087" s="96"/>
      <c r="K1087" t="str">
        <f t="shared" si="66"/>
        <v>MIG4</v>
      </c>
      <c r="L1087" s="73" t="s">
        <v>172</v>
      </c>
      <c r="M1087" s="72">
        <v>40535</v>
      </c>
      <c r="N1087" s="84">
        <v>0.1</v>
      </c>
      <c r="O1087" s="96">
        <f t="shared" si="67"/>
        <v>4</v>
      </c>
      <c r="Q1087" s="96"/>
      <c r="T1087" s="110"/>
    </row>
    <row r="1088" spans="3:20" x14ac:dyDescent="0.2">
      <c r="C1088" s="96" t="str">
        <f t="shared" si="64"/>
        <v>MIG5</v>
      </c>
      <c r="D1088" s="73" t="s">
        <v>172</v>
      </c>
      <c r="E1088" s="100">
        <v>40718</v>
      </c>
      <c r="F1088" s="101">
        <v>0.1</v>
      </c>
      <c r="G1088" s="96">
        <f t="shared" si="65"/>
        <v>5</v>
      </c>
      <c r="I1088" s="96"/>
      <c r="K1088" t="str">
        <f t="shared" si="66"/>
        <v>MIG5</v>
      </c>
      <c r="L1088" s="73" t="s">
        <v>172</v>
      </c>
      <c r="M1088" s="72">
        <v>40718</v>
      </c>
      <c r="N1088" s="84">
        <v>0.1</v>
      </c>
      <c r="O1088" s="96">
        <f t="shared" si="67"/>
        <v>5</v>
      </c>
      <c r="Q1088" s="96"/>
      <c r="T1088" s="110"/>
    </row>
    <row r="1089" spans="3:20" x14ac:dyDescent="0.2">
      <c r="C1089" s="96" t="str">
        <f t="shared" si="64"/>
        <v>MIG6</v>
      </c>
      <c r="D1089" s="73" t="s">
        <v>172</v>
      </c>
      <c r="E1089" s="100">
        <v>40899</v>
      </c>
      <c r="F1089" s="101">
        <v>0.1</v>
      </c>
      <c r="G1089" s="96">
        <f t="shared" si="65"/>
        <v>6</v>
      </c>
      <c r="I1089" s="96"/>
      <c r="K1089" t="str">
        <f t="shared" si="66"/>
        <v>MIG6</v>
      </c>
      <c r="L1089" s="73" t="s">
        <v>172</v>
      </c>
      <c r="M1089" s="72">
        <v>40899</v>
      </c>
      <c r="N1089" s="84">
        <v>0.1</v>
      </c>
      <c r="O1089" s="96">
        <f t="shared" si="67"/>
        <v>6</v>
      </c>
      <c r="Q1089" s="96"/>
      <c r="T1089" s="110"/>
    </row>
    <row r="1090" spans="3:20" x14ac:dyDescent="0.2">
      <c r="C1090" s="96" t="str">
        <f t="shared" si="64"/>
        <v>MIG7</v>
      </c>
      <c r="D1090" s="73" t="s">
        <v>172</v>
      </c>
      <c r="E1090" s="100">
        <v>41085</v>
      </c>
      <c r="F1090" s="101">
        <v>0.1</v>
      </c>
      <c r="G1090" s="96">
        <f t="shared" si="65"/>
        <v>7</v>
      </c>
      <c r="I1090" s="96"/>
      <c r="K1090" t="str">
        <f t="shared" si="66"/>
        <v>MIG7</v>
      </c>
      <c r="L1090" s="73" t="s">
        <v>172</v>
      </c>
      <c r="M1090" s="72">
        <v>41085</v>
      </c>
      <c r="N1090" s="84">
        <v>0.1</v>
      </c>
      <c r="O1090" s="96">
        <f t="shared" si="67"/>
        <v>7</v>
      </c>
      <c r="Q1090" s="96"/>
      <c r="T1090" s="110"/>
    </row>
    <row r="1091" spans="3:20" x14ac:dyDescent="0.2">
      <c r="C1091" s="96" t="str">
        <f t="shared" ref="C1091:C1154" si="68">D1091&amp;G1091</f>
        <v>MIG8</v>
      </c>
      <c r="D1091" s="73" t="s">
        <v>172</v>
      </c>
      <c r="E1091" s="100">
        <v>41267</v>
      </c>
      <c r="F1091" s="101">
        <v>0.1</v>
      </c>
      <c r="G1091" s="96">
        <f t="shared" ref="G1091:G1154" si="69">IF(D1091&lt;&gt;D1090,1,G1090+1)</f>
        <v>8</v>
      </c>
      <c r="I1091" s="96"/>
      <c r="K1091" t="str">
        <f t="shared" ref="K1091:K1154" si="70">L1091&amp;O1091</f>
        <v>MIG8</v>
      </c>
      <c r="L1091" s="73" t="s">
        <v>172</v>
      </c>
      <c r="M1091" s="72">
        <v>41267</v>
      </c>
      <c r="N1091" s="84">
        <v>0.1</v>
      </c>
      <c r="O1091" s="96">
        <f t="shared" ref="O1091:O1154" si="71">IF(L1091&lt;&gt;L1090,1,O1090+1)</f>
        <v>8</v>
      </c>
      <c r="Q1091" s="96"/>
      <c r="T1091" s="110"/>
    </row>
    <row r="1092" spans="3:20" x14ac:dyDescent="0.2">
      <c r="C1092" s="96" t="str">
        <f t="shared" si="68"/>
        <v>MIG9</v>
      </c>
      <c r="D1092" s="73" t="s">
        <v>172</v>
      </c>
      <c r="E1092" s="100">
        <v>41449</v>
      </c>
      <c r="F1092" s="101">
        <v>0.1</v>
      </c>
      <c r="G1092" s="96">
        <f t="shared" si="69"/>
        <v>9</v>
      </c>
      <c r="I1092" s="96"/>
      <c r="K1092" t="str">
        <f t="shared" si="70"/>
        <v>MIG9</v>
      </c>
      <c r="L1092" s="73" t="s">
        <v>172</v>
      </c>
      <c r="M1092" s="72">
        <v>41449</v>
      </c>
      <c r="N1092" s="84">
        <v>0.1</v>
      </c>
      <c r="O1092" s="96">
        <f t="shared" si="71"/>
        <v>9</v>
      </c>
      <c r="Q1092" s="96"/>
      <c r="T1092" s="110"/>
    </row>
    <row r="1093" spans="3:20" x14ac:dyDescent="0.2">
      <c r="C1093" s="96" t="str">
        <f t="shared" si="68"/>
        <v>MMG1</v>
      </c>
      <c r="D1093" s="73" t="s">
        <v>173</v>
      </c>
      <c r="E1093" s="100">
        <v>39988</v>
      </c>
      <c r="F1093" s="101">
        <v>4.4999999999999998E-2</v>
      </c>
      <c r="G1093" s="96">
        <f t="shared" si="69"/>
        <v>1</v>
      </c>
      <c r="I1093" s="96"/>
      <c r="K1093" t="str">
        <f t="shared" si="70"/>
        <v>MMG1</v>
      </c>
      <c r="L1093" s="73" t="s">
        <v>173</v>
      </c>
      <c r="M1093" s="72">
        <v>39988</v>
      </c>
      <c r="N1093" s="84">
        <v>4.4999999999999998E-2</v>
      </c>
      <c r="O1093" s="96">
        <f t="shared" si="71"/>
        <v>1</v>
      </c>
      <c r="Q1093" s="96"/>
      <c r="T1093" s="110"/>
    </row>
    <row r="1094" spans="3:20" x14ac:dyDescent="0.2">
      <c r="C1094" s="96" t="str">
        <f t="shared" si="68"/>
        <v>MMG2</v>
      </c>
      <c r="D1094" s="73" t="s">
        <v>173</v>
      </c>
      <c r="E1094" s="100">
        <v>40170</v>
      </c>
      <c r="F1094" s="101">
        <v>4.4999999999999998E-2</v>
      </c>
      <c r="G1094" s="96">
        <f t="shared" si="69"/>
        <v>2</v>
      </c>
      <c r="I1094" s="96"/>
      <c r="K1094" t="str">
        <f t="shared" si="70"/>
        <v>MMG2</v>
      </c>
      <c r="L1094" s="73" t="s">
        <v>173</v>
      </c>
      <c r="M1094" s="72">
        <v>40170</v>
      </c>
      <c r="N1094" s="84">
        <v>4.4999999999999998E-2</v>
      </c>
      <c r="O1094" s="96">
        <f t="shared" si="71"/>
        <v>2</v>
      </c>
      <c r="Q1094" s="96"/>
      <c r="T1094" s="110"/>
    </row>
    <row r="1095" spans="3:20" x14ac:dyDescent="0.2">
      <c r="C1095" s="96" t="str">
        <f t="shared" si="68"/>
        <v>MMG3</v>
      </c>
      <c r="D1095" s="73" t="s">
        <v>173</v>
      </c>
      <c r="E1095" s="100">
        <v>40353</v>
      </c>
      <c r="F1095" s="101">
        <v>4.4999999999999998E-2</v>
      </c>
      <c r="G1095" s="96">
        <f t="shared" si="69"/>
        <v>3</v>
      </c>
      <c r="I1095" s="96"/>
      <c r="K1095" t="str">
        <f t="shared" si="70"/>
        <v>MMG3</v>
      </c>
      <c r="L1095" s="73" t="s">
        <v>173</v>
      </c>
      <c r="M1095" s="72">
        <v>40353</v>
      </c>
      <c r="N1095" s="84">
        <v>4.4999999999999998E-2</v>
      </c>
      <c r="O1095" s="96">
        <f t="shared" si="71"/>
        <v>3</v>
      </c>
      <c r="Q1095" s="96"/>
      <c r="T1095" s="110"/>
    </row>
    <row r="1096" spans="3:20" x14ac:dyDescent="0.2">
      <c r="C1096" s="96" t="str">
        <f t="shared" si="68"/>
        <v>MMG4</v>
      </c>
      <c r="D1096" s="73" t="s">
        <v>173</v>
      </c>
      <c r="E1096" s="100">
        <v>40535</v>
      </c>
      <c r="F1096" s="101">
        <v>3.7999999999999999E-2</v>
      </c>
      <c r="G1096" s="96">
        <f t="shared" si="69"/>
        <v>4</v>
      </c>
      <c r="I1096" s="96"/>
      <c r="K1096" t="str">
        <f t="shared" si="70"/>
        <v>MMG4</v>
      </c>
      <c r="L1096" s="73" t="s">
        <v>173</v>
      </c>
      <c r="M1096" s="72">
        <v>40535</v>
      </c>
      <c r="N1096" s="84">
        <v>3.7999999999999999E-2</v>
      </c>
      <c r="O1096" s="96">
        <f t="shared" si="71"/>
        <v>4</v>
      </c>
      <c r="Q1096" s="96"/>
      <c r="T1096" s="110"/>
    </row>
    <row r="1097" spans="3:20" x14ac:dyDescent="0.2">
      <c r="C1097" s="96" t="str">
        <f t="shared" si="68"/>
        <v>MMG5</v>
      </c>
      <c r="D1097" s="73" t="s">
        <v>173</v>
      </c>
      <c r="E1097" s="100">
        <v>40718</v>
      </c>
      <c r="F1097" s="101">
        <v>3.7999999999999999E-2</v>
      </c>
      <c r="G1097" s="96">
        <f t="shared" si="69"/>
        <v>5</v>
      </c>
      <c r="I1097" s="96"/>
      <c r="K1097" t="str">
        <f t="shared" si="70"/>
        <v>MMG5</v>
      </c>
      <c r="L1097" s="73" t="s">
        <v>173</v>
      </c>
      <c r="M1097" s="72">
        <v>40718</v>
      </c>
      <c r="N1097" s="84">
        <v>3.7999999999999999E-2</v>
      </c>
      <c r="O1097" s="96">
        <f t="shared" si="71"/>
        <v>5</v>
      </c>
      <c r="Q1097" s="96"/>
      <c r="T1097" s="110"/>
    </row>
    <row r="1098" spans="3:20" x14ac:dyDescent="0.2">
      <c r="C1098" s="96" t="str">
        <f t="shared" si="68"/>
        <v>MMG6</v>
      </c>
      <c r="D1098" s="73" t="s">
        <v>173</v>
      </c>
      <c r="E1098" s="100">
        <v>40899</v>
      </c>
      <c r="F1098" s="101">
        <v>3.7999999999999999E-2</v>
      </c>
      <c r="G1098" s="96">
        <f t="shared" si="69"/>
        <v>6</v>
      </c>
      <c r="I1098" s="96"/>
      <c r="K1098" t="str">
        <f t="shared" si="70"/>
        <v>MMG6</v>
      </c>
      <c r="L1098" s="73" t="s">
        <v>173</v>
      </c>
      <c r="M1098" s="72">
        <v>40899</v>
      </c>
      <c r="N1098" s="84">
        <v>3.7999999999999999E-2</v>
      </c>
      <c r="O1098" s="96">
        <f t="shared" si="71"/>
        <v>6</v>
      </c>
      <c r="Q1098" s="96"/>
      <c r="T1098" s="110"/>
    </row>
    <row r="1099" spans="3:20" x14ac:dyDescent="0.2">
      <c r="C1099" s="96" t="str">
        <f t="shared" si="68"/>
        <v>MMG7</v>
      </c>
      <c r="D1099" s="73" t="s">
        <v>173</v>
      </c>
      <c r="E1099" s="100">
        <v>41085</v>
      </c>
      <c r="F1099" s="101">
        <v>3.7999999999999999E-2</v>
      </c>
      <c r="G1099" s="96">
        <f t="shared" si="69"/>
        <v>7</v>
      </c>
      <c r="I1099" s="96"/>
      <c r="K1099" t="str">
        <f t="shared" si="70"/>
        <v>MMG7</v>
      </c>
      <c r="L1099" s="73" t="s">
        <v>173</v>
      </c>
      <c r="M1099" s="72">
        <v>41085</v>
      </c>
      <c r="N1099" s="84">
        <v>3.7999999999999999E-2</v>
      </c>
      <c r="O1099" s="96">
        <f t="shared" si="71"/>
        <v>7</v>
      </c>
      <c r="Q1099" s="96"/>
      <c r="T1099" s="83"/>
    </row>
    <row r="1100" spans="3:20" x14ac:dyDescent="0.2">
      <c r="C1100" s="96" t="str">
        <f t="shared" si="68"/>
        <v>MMG8</v>
      </c>
      <c r="D1100" s="73" t="s">
        <v>173</v>
      </c>
      <c r="E1100" s="100">
        <v>41264</v>
      </c>
      <c r="F1100" s="101">
        <v>0.25</v>
      </c>
      <c r="G1100" s="96">
        <f t="shared" si="69"/>
        <v>8</v>
      </c>
      <c r="I1100" s="96"/>
      <c r="K1100" t="str">
        <f t="shared" si="70"/>
        <v>MMG8</v>
      </c>
      <c r="L1100" s="73" t="s">
        <v>173</v>
      </c>
      <c r="M1100" s="72">
        <v>41264</v>
      </c>
      <c r="N1100" s="84">
        <v>0.25</v>
      </c>
      <c r="O1100" s="96">
        <f t="shared" si="71"/>
        <v>8</v>
      </c>
      <c r="Q1100" s="96"/>
      <c r="T1100" s="110"/>
    </row>
    <row r="1101" spans="3:20" x14ac:dyDescent="0.2">
      <c r="C1101" s="96" t="str">
        <f t="shared" si="68"/>
        <v>MMG9</v>
      </c>
      <c r="D1101" s="73" t="s">
        <v>173</v>
      </c>
      <c r="E1101" s="100">
        <v>41449</v>
      </c>
      <c r="F1101" s="101">
        <v>0.25</v>
      </c>
      <c r="G1101" s="96">
        <f t="shared" si="69"/>
        <v>9</v>
      </c>
      <c r="I1101" s="96"/>
      <c r="K1101" t="str">
        <f t="shared" si="70"/>
        <v>MMG9</v>
      </c>
      <c r="L1101" s="73" t="s">
        <v>173</v>
      </c>
      <c r="M1101" s="72">
        <v>41449</v>
      </c>
      <c r="N1101" s="84">
        <v>0.25</v>
      </c>
      <c r="O1101" s="96">
        <f t="shared" si="71"/>
        <v>9</v>
      </c>
      <c r="Q1101" s="96"/>
      <c r="T1101" s="110"/>
    </row>
    <row r="1102" spans="3:20" x14ac:dyDescent="0.2">
      <c r="C1102" s="96" t="str">
        <f t="shared" si="68"/>
        <v>MND1</v>
      </c>
      <c r="D1102" s="73" t="s">
        <v>174</v>
      </c>
      <c r="E1102" s="100">
        <v>39875</v>
      </c>
      <c r="F1102" s="101">
        <v>0.30649999999999999</v>
      </c>
      <c r="G1102" s="96">
        <f t="shared" si="69"/>
        <v>1</v>
      </c>
      <c r="I1102" s="96"/>
      <c r="K1102" t="str">
        <f t="shared" si="70"/>
        <v>MND1</v>
      </c>
      <c r="L1102" s="73" t="s">
        <v>174</v>
      </c>
      <c r="M1102" s="72">
        <v>39875</v>
      </c>
      <c r="N1102" s="84">
        <v>0.30649999999999999</v>
      </c>
      <c r="O1102" s="96">
        <f t="shared" si="71"/>
        <v>1</v>
      </c>
      <c r="Q1102" s="96"/>
      <c r="T1102" s="110"/>
    </row>
    <row r="1103" spans="3:20" x14ac:dyDescent="0.2">
      <c r="C1103" s="96" t="str">
        <f t="shared" si="68"/>
        <v>MND2</v>
      </c>
      <c r="D1103" s="73" t="s">
        <v>174</v>
      </c>
      <c r="E1103" s="100">
        <v>40057</v>
      </c>
      <c r="F1103" s="101">
        <v>0.45450000000000002</v>
      </c>
      <c r="G1103" s="96">
        <f t="shared" si="69"/>
        <v>2</v>
      </c>
      <c r="I1103" s="96"/>
      <c r="K1103" t="str">
        <f t="shared" si="70"/>
        <v>MND2</v>
      </c>
      <c r="L1103" s="73" t="s">
        <v>174</v>
      </c>
      <c r="M1103" s="72">
        <v>40057</v>
      </c>
      <c r="N1103" s="84">
        <v>0.45450000000000002</v>
      </c>
      <c r="O1103" s="96">
        <f t="shared" si="71"/>
        <v>2</v>
      </c>
      <c r="Q1103" s="96"/>
      <c r="T1103" s="110"/>
    </row>
    <row r="1104" spans="3:20" x14ac:dyDescent="0.2">
      <c r="C1104" s="96" t="str">
        <f t="shared" si="68"/>
        <v>MND3</v>
      </c>
      <c r="D1104" s="73" t="s">
        <v>174</v>
      </c>
      <c r="E1104" s="100">
        <v>40241</v>
      </c>
      <c r="F1104" s="101">
        <v>0.28749999999999998</v>
      </c>
      <c r="G1104" s="96">
        <f t="shared" si="69"/>
        <v>3</v>
      </c>
      <c r="I1104" s="96"/>
      <c r="K1104" t="str">
        <f t="shared" si="70"/>
        <v>MND3</v>
      </c>
      <c r="L1104" s="73" t="s">
        <v>174</v>
      </c>
      <c r="M1104" s="72">
        <v>40241</v>
      </c>
      <c r="N1104" s="84">
        <v>0.28749999999999998</v>
      </c>
      <c r="O1104" s="96">
        <f t="shared" si="71"/>
        <v>3</v>
      </c>
      <c r="Q1104" s="96"/>
      <c r="T1104" s="110"/>
    </row>
    <row r="1105" spans="3:20" x14ac:dyDescent="0.2">
      <c r="C1105" s="96" t="str">
        <f t="shared" si="68"/>
        <v>MND4</v>
      </c>
      <c r="D1105" s="73" t="s">
        <v>174</v>
      </c>
      <c r="E1105" s="100">
        <v>40422</v>
      </c>
      <c r="F1105" s="101">
        <v>0.42649999999999999</v>
      </c>
      <c r="G1105" s="96">
        <f t="shared" si="69"/>
        <v>4</v>
      </c>
      <c r="I1105" s="96"/>
      <c r="K1105" t="str">
        <f t="shared" si="70"/>
        <v>MND4</v>
      </c>
      <c r="L1105" s="73" t="s">
        <v>174</v>
      </c>
      <c r="M1105" s="72">
        <v>40422</v>
      </c>
      <c r="N1105" s="84">
        <v>0.42649999999999999</v>
      </c>
      <c r="O1105" s="96">
        <f t="shared" si="71"/>
        <v>4</v>
      </c>
      <c r="Q1105" s="96"/>
      <c r="T1105" s="110"/>
    </row>
    <row r="1106" spans="3:20" x14ac:dyDescent="0.2">
      <c r="C1106" s="96" t="str">
        <f t="shared" si="68"/>
        <v>MND5</v>
      </c>
      <c r="D1106" s="73" t="s">
        <v>174</v>
      </c>
      <c r="E1106" s="100">
        <v>40606</v>
      </c>
      <c r="F1106" s="101">
        <v>0.26940000000000003</v>
      </c>
      <c r="G1106" s="96">
        <f t="shared" si="69"/>
        <v>5</v>
      </c>
      <c r="I1106" s="96"/>
      <c r="K1106" t="str">
        <f t="shared" si="70"/>
        <v>MND5</v>
      </c>
      <c r="L1106" s="73" t="s">
        <v>174</v>
      </c>
      <c r="M1106" s="72">
        <v>40606</v>
      </c>
      <c r="N1106" s="84">
        <v>0.26940000000000003</v>
      </c>
      <c r="O1106" s="96">
        <f t="shared" si="71"/>
        <v>5</v>
      </c>
      <c r="Q1106" s="96"/>
      <c r="T1106" s="110"/>
    </row>
    <row r="1107" spans="3:20" x14ac:dyDescent="0.2">
      <c r="C1107" s="96" t="str">
        <f t="shared" si="68"/>
        <v>MND6</v>
      </c>
      <c r="D1107" s="73" t="s">
        <v>174</v>
      </c>
      <c r="E1107" s="100">
        <v>40787</v>
      </c>
      <c r="F1107" s="101">
        <v>0.39960000000000001</v>
      </c>
      <c r="G1107" s="96">
        <f t="shared" si="69"/>
        <v>6</v>
      </c>
      <c r="I1107" s="96"/>
      <c r="K1107" t="str">
        <f t="shared" si="70"/>
        <v>MND6</v>
      </c>
      <c r="L1107" s="73" t="s">
        <v>174</v>
      </c>
      <c r="M1107" s="72">
        <v>40787</v>
      </c>
      <c r="N1107" s="84">
        <v>0.39960000000000001</v>
      </c>
      <c r="O1107" s="96">
        <f t="shared" si="71"/>
        <v>6</v>
      </c>
      <c r="Q1107" s="96"/>
      <c r="T1107" s="110"/>
    </row>
    <row r="1108" spans="3:20" x14ac:dyDescent="0.2">
      <c r="C1108" s="96" t="str">
        <f t="shared" si="68"/>
        <v>MND7</v>
      </c>
      <c r="D1108" s="73" t="s">
        <v>174</v>
      </c>
      <c r="E1108" s="100">
        <v>40974</v>
      </c>
      <c r="F1108" s="101">
        <v>0.19450000000000001</v>
      </c>
      <c r="G1108" s="96">
        <f t="shared" si="69"/>
        <v>7</v>
      </c>
      <c r="I1108" s="96"/>
      <c r="K1108" t="str">
        <f t="shared" si="70"/>
        <v>MND7</v>
      </c>
      <c r="L1108" s="73" t="s">
        <v>174</v>
      </c>
      <c r="M1108" s="72">
        <v>40974</v>
      </c>
      <c r="N1108" s="84">
        <v>0.19450000000000001</v>
      </c>
      <c r="O1108" s="96">
        <f t="shared" si="71"/>
        <v>7</v>
      </c>
      <c r="Q1108" s="96"/>
      <c r="T1108" s="110"/>
    </row>
    <row r="1109" spans="3:20" x14ac:dyDescent="0.2">
      <c r="C1109" s="96" t="str">
        <f t="shared" si="68"/>
        <v>MND8</v>
      </c>
      <c r="D1109" s="73" t="s">
        <v>174</v>
      </c>
      <c r="E1109" s="100">
        <v>41155</v>
      </c>
      <c r="F1109" s="101">
        <v>0.28850000000000003</v>
      </c>
      <c r="G1109" s="96">
        <f t="shared" si="69"/>
        <v>8</v>
      </c>
      <c r="I1109" s="96"/>
      <c r="K1109" t="str">
        <f t="shared" si="70"/>
        <v>MND8</v>
      </c>
      <c r="L1109" s="73" t="s">
        <v>174</v>
      </c>
      <c r="M1109" s="72">
        <v>41155</v>
      </c>
      <c r="N1109" s="84">
        <v>0.28850000000000003</v>
      </c>
      <c r="O1109" s="96">
        <f t="shared" si="71"/>
        <v>8</v>
      </c>
      <c r="Q1109" s="96"/>
      <c r="T1109" s="110"/>
    </row>
    <row r="1110" spans="3:20" x14ac:dyDescent="0.2">
      <c r="C1110" s="96" t="str">
        <f t="shared" si="68"/>
        <v>MND9</v>
      </c>
      <c r="D1110" s="73" t="s">
        <v>174</v>
      </c>
      <c r="E1110" s="100">
        <v>41339</v>
      </c>
      <c r="F1110" s="101">
        <v>0.20660000000000001</v>
      </c>
      <c r="G1110" s="96">
        <f t="shared" si="69"/>
        <v>9</v>
      </c>
      <c r="I1110" s="96"/>
      <c r="K1110" t="str">
        <f t="shared" si="70"/>
        <v>MND9</v>
      </c>
      <c r="L1110" s="73" t="s">
        <v>174</v>
      </c>
      <c r="M1110" s="72">
        <v>41339</v>
      </c>
      <c r="N1110" s="84">
        <v>0.20660000000000001</v>
      </c>
      <c r="O1110" s="96">
        <f t="shared" si="71"/>
        <v>9</v>
      </c>
      <c r="Q1110" s="96"/>
      <c r="T1110" s="110"/>
    </row>
    <row r="1111" spans="3:20" x14ac:dyDescent="0.2">
      <c r="C1111" s="96" t="str">
        <f t="shared" si="68"/>
        <v>MND10</v>
      </c>
      <c r="D1111" s="73" t="s">
        <v>174</v>
      </c>
      <c r="E1111" s="100">
        <v>41520</v>
      </c>
      <c r="F1111" s="101">
        <v>0.30640000000000001</v>
      </c>
      <c r="G1111" s="96">
        <f t="shared" si="69"/>
        <v>10</v>
      </c>
      <c r="I1111" s="96"/>
      <c r="K1111" t="str">
        <f t="shared" si="70"/>
        <v>MND10</v>
      </c>
      <c r="L1111" s="73" t="s">
        <v>174</v>
      </c>
      <c r="M1111" s="72">
        <v>41520</v>
      </c>
      <c r="N1111" s="84">
        <v>0.30640000000000001</v>
      </c>
      <c r="O1111" s="96">
        <f t="shared" si="71"/>
        <v>10</v>
      </c>
      <c r="Q1111" s="96"/>
      <c r="T1111" s="110"/>
    </row>
    <row r="1112" spans="3:20" x14ac:dyDescent="0.2">
      <c r="C1112" s="96" t="str">
        <f t="shared" si="68"/>
        <v>MOF1</v>
      </c>
      <c r="D1112" s="73" t="s">
        <v>175</v>
      </c>
      <c r="E1112" s="100">
        <v>39897</v>
      </c>
      <c r="F1112" s="101">
        <v>7.4999999999999997E-3</v>
      </c>
      <c r="G1112" s="96">
        <f t="shared" si="69"/>
        <v>1</v>
      </c>
      <c r="I1112" s="96"/>
      <c r="K1112" t="str">
        <f t="shared" si="70"/>
        <v>MOF1</v>
      </c>
      <c r="L1112" s="73" t="s">
        <v>175</v>
      </c>
      <c r="M1112" s="72">
        <v>39897</v>
      </c>
      <c r="N1112" s="84">
        <v>7.4999999999999997E-3</v>
      </c>
      <c r="O1112" s="96">
        <f t="shared" si="71"/>
        <v>1</v>
      </c>
      <c r="Q1112" s="96"/>
      <c r="T1112" s="110"/>
    </row>
    <row r="1113" spans="3:20" x14ac:dyDescent="0.2">
      <c r="C1113" s="96" t="str">
        <f t="shared" si="68"/>
        <v>MOF2</v>
      </c>
      <c r="D1113" s="73" t="s">
        <v>175</v>
      </c>
      <c r="E1113" s="100">
        <v>39988</v>
      </c>
      <c r="F1113" s="101">
        <v>8.0000000000000002E-3</v>
      </c>
      <c r="G1113" s="96">
        <f t="shared" si="69"/>
        <v>2</v>
      </c>
      <c r="I1113" s="96"/>
      <c r="K1113" t="str">
        <f t="shared" si="70"/>
        <v>MOF2</v>
      </c>
      <c r="L1113" s="73" t="s">
        <v>175</v>
      </c>
      <c r="M1113" s="72">
        <v>39988</v>
      </c>
      <c r="N1113" s="84">
        <v>8.0000000000000002E-3</v>
      </c>
      <c r="O1113" s="96">
        <f t="shared" si="71"/>
        <v>2</v>
      </c>
      <c r="Q1113" s="96"/>
      <c r="T1113" s="110"/>
    </row>
    <row r="1114" spans="3:20" x14ac:dyDescent="0.2">
      <c r="C1114" s="96" t="str">
        <f t="shared" si="68"/>
        <v>MOF3</v>
      </c>
      <c r="D1114" s="73" t="s">
        <v>175</v>
      </c>
      <c r="E1114" s="100">
        <v>40080</v>
      </c>
      <c r="F1114" s="101">
        <v>7.4999999999999997E-3</v>
      </c>
      <c r="G1114" s="96">
        <f t="shared" si="69"/>
        <v>3</v>
      </c>
      <c r="I1114" s="96"/>
      <c r="K1114" t="str">
        <f t="shared" si="70"/>
        <v>MOF3</v>
      </c>
      <c r="L1114" s="73" t="s">
        <v>175</v>
      </c>
      <c r="M1114" s="72">
        <v>40080</v>
      </c>
      <c r="N1114" s="84">
        <v>7.4999999999999997E-3</v>
      </c>
      <c r="O1114" s="96">
        <f t="shared" si="71"/>
        <v>3</v>
      </c>
      <c r="Q1114" s="96"/>
      <c r="T1114" s="110"/>
    </row>
    <row r="1115" spans="3:20" x14ac:dyDescent="0.2">
      <c r="C1115" s="96" t="str">
        <f t="shared" si="68"/>
        <v>MOF4</v>
      </c>
      <c r="D1115" s="73" t="s">
        <v>175</v>
      </c>
      <c r="E1115" s="100">
        <v>40170</v>
      </c>
      <c r="F1115" s="101">
        <v>7.4999999999999997E-3</v>
      </c>
      <c r="G1115" s="96">
        <f t="shared" si="69"/>
        <v>4</v>
      </c>
      <c r="I1115" s="96"/>
      <c r="K1115" t="str">
        <f t="shared" si="70"/>
        <v>MOF4</v>
      </c>
      <c r="L1115" s="73" t="s">
        <v>175</v>
      </c>
      <c r="M1115" s="72">
        <v>40170</v>
      </c>
      <c r="N1115" s="84">
        <v>7.4999999999999997E-3</v>
      </c>
      <c r="O1115" s="96">
        <f t="shared" si="71"/>
        <v>4</v>
      </c>
      <c r="Q1115" s="96"/>
      <c r="T1115" s="110"/>
    </row>
    <row r="1116" spans="3:20" x14ac:dyDescent="0.2">
      <c r="C1116" s="96" t="str">
        <f t="shared" si="68"/>
        <v>MOF5</v>
      </c>
      <c r="D1116" s="73" t="s">
        <v>175</v>
      </c>
      <c r="E1116" s="100">
        <v>40262</v>
      </c>
      <c r="F1116" s="101">
        <v>7.4999999999999997E-3</v>
      </c>
      <c r="G1116" s="96">
        <f t="shared" si="69"/>
        <v>5</v>
      </c>
      <c r="I1116" s="96"/>
      <c r="K1116" t="str">
        <f t="shared" si="70"/>
        <v>MOF5</v>
      </c>
      <c r="L1116" s="73" t="s">
        <v>175</v>
      </c>
      <c r="M1116" s="72">
        <v>40262</v>
      </c>
      <c r="N1116" s="84">
        <v>7.4999999999999997E-3</v>
      </c>
      <c r="O1116" s="96">
        <f t="shared" si="71"/>
        <v>5</v>
      </c>
      <c r="Q1116" s="96"/>
      <c r="T1116" s="110"/>
    </row>
    <row r="1117" spans="3:20" x14ac:dyDescent="0.2">
      <c r="C1117" s="96" t="str">
        <f t="shared" si="68"/>
        <v>MOF6</v>
      </c>
      <c r="D1117" s="73" t="s">
        <v>175</v>
      </c>
      <c r="E1117" s="100">
        <v>40353</v>
      </c>
      <c r="F1117" s="101">
        <v>7.4999999999999997E-3</v>
      </c>
      <c r="G1117" s="96">
        <f t="shared" si="69"/>
        <v>6</v>
      </c>
      <c r="I1117" s="96"/>
      <c r="K1117" t="str">
        <f t="shared" si="70"/>
        <v>MOF6</v>
      </c>
      <c r="L1117" s="73" t="s">
        <v>175</v>
      </c>
      <c r="M1117" s="72">
        <v>40353</v>
      </c>
      <c r="N1117" s="84">
        <v>7.4999999999999997E-3</v>
      </c>
      <c r="O1117" s="96">
        <f t="shared" si="71"/>
        <v>6</v>
      </c>
      <c r="Q1117" s="96"/>
      <c r="T1117" s="110"/>
    </row>
    <row r="1118" spans="3:20" x14ac:dyDescent="0.2">
      <c r="C1118" s="96" t="str">
        <f t="shared" si="68"/>
        <v>MOF7</v>
      </c>
      <c r="D1118" s="73" t="s">
        <v>175</v>
      </c>
      <c r="E1118" s="100">
        <v>40445</v>
      </c>
      <c r="F1118" s="101">
        <v>7.4999999999999997E-3</v>
      </c>
      <c r="G1118" s="96">
        <f t="shared" si="69"/>
        <v>7</v>
      </c>
      <c r="I1118" s="96"/>
      <c r="K1118" t="str">
        <f t="shared" si="70"/>
        <v>MOF7</v>
      </c>
      <c r="L1118" s="73" t="s">
        <v>175</v>
      </c>
      <c r="M1118" s="72">
        <v>40445</v>
      </c>
      <c r="N1118" s="84">
        <v>7.4999999999999997E-3</v>
      </c>
      <c r="O1118" s="96">
        <f t="shared" si="71"/>
        <v>7</v>
      </c>
      <c r="Q1118" s="96"/>
      <c r="T1118" s="110"/>
    </row>
    <row r="1119" spans="3:20" x14ac:dyDescent="0.2">
      <c r="C1119" s="96" t="str">
        <f t="shared" si="68"/>
        <v>MOF8</v>
      </c>
      <c r="D1119" s="73" t="s">
        <v>175</v>
      </c>
      <c r="E1119" s="100">
        <v>40535</v>
      </c>
      <c r="F1119" s="101">
        <v>7.4999999999999997E-3</v>
      </c>
      <c r="G1119" s="96">
        <f t="shared" si="69"/>
        <v>8</v>
      </c>
      <c r="I1119" s="96"/>
      <c r="K1119" t="str">
        <f t="shared" si="70"/>
        <v>MOF8</v>
      </c>
      <c r="L1119" s="73" t="s">
        <v>175</v>
      </c>
      <c r="M1119" s="72">
        <v>40535</v>
      </c>
      <c r="N1119" s="84">
        <v>7.4999999999999997E-3</v>
      </c>
      <c r="O1119" s="96">
        <f t="shared" si="71"/>
        <v>8</v>
      </c>
      <c r="Q1119" s="96"/>
      <c r="T1119" s="110"/>
    </row>
    <row r="1120" spans="3:20" x14ac:dyDescent="0.2">
      <c r="C1120" s="96" t="str">
        <f t="shared" si="68"/>
        <v>MOF9</v>
      </c>
      <c r="D1120" s="73" t="s">
        <v>175</v>
      </c>
      <c r="E1120" s="100">
        <v>40627</v>
      </c>
      <c r="F1120" s="101">
        <v>7.4999999999999997E-3</v>
      </c>
      <c r="G1120" s="96">
        <f t="shared" si="69"/>
        <v>9</v>
      </c>
      <c r="I1120" s="96"/>
      <c r="K1120" t="str">
        <f t="shared" si="70"/>
        <v>MOF9</v>
      </c>
      <c r="L1120" s="73" t="s">
        <v>175</v>
      </c>
      <c r="M1120" s="72">
        <v>40627</v>
      </c>
      <c r="N1120" s="84">
        <v>7.4999999999999997E-3</v>
      </c>
      <c r="O1120" s="96">
        <f t="shared" si="71"/>
        <v>9</v>
      </c>
      <c r="Q1120" s="96"/>
      <c r="T1120" s="110"/>
    </row>
    <row r="1121" spans="3:20" x14ac:dyDescent="0.2">
      <c r="C1121" s="96" t="str">
        <f t="shared" si="68"/>
        <v>MOF10</v>
      </c>
      <c r="D1121" s="73" t="s">
        <v>175</v>
      </c>
      <c r="E1121" s="100">
        <v>40718</v>
      </c>
      <c r="F1121" s="101">
        <v>7.4999999999999997E-3</v>
      </c>
      <c r="G1121" s="96">
        <f t="shared" si="69"/>
        <v>10</v>
      </c>
      <c r="I1121" s="96"/>
      <c r="K1121" t="str">
        <f t="shared" si="70"/>
        <v>MOF10</v>
      </c>
      <c r="L1121" s="73" t="s">
        <v>175</v>
      </c>
      <c r="M1121" s="72">
        <v>40718</v>
      </c>
      <c r="N1121" s="84">
        <v>7.4999999999999997E-3</v>
      </c>
      <c r="O1121" s="96">
        <f t="shared" si="71"/>
        <v>10</v>
      </c>
      <c r="Q1121" s="96"/>
      <c r="T1121" s="110"/>
    </row>
    <row r="1122" spans="3:20" x14ac:dyDescent="0.2">
      <c r="C1122" s="96" t="str">
        <f t="shared" si="68"/>
        <v>MOF11</v>
      </c>
      <c r="D1122" s="73" t="s">
        <v>175</v>
      </c>
      <c r="E1122" s="100">
        <v>40812</v>
      </c>
      <c r="F1122" s="101">
        <v>7.4999999999999997E-3</v>
      </c>
      <c r="G1122" s="96">
        <f t="shared" si="69"/>
        <v>11</v>
      </c>
      <c r="I1122" s="96"/>
      <c r="K1122" t="str">
        <f t="shared" si="70"/>
        <v>MOF11</v>
      </c>
      <c r="L1122" s="73" t="s">
        <v>175</v>
      </c>
      <c r="M1122" s="72">
        <v>40812</v>
      </c>
      <c r="N1122" s="84">
        <v>7.4999999999999997E-3</v>
      </c>
      <c r="O1122" s="96">
        <f t="shared" si="71"/>
        <v>11</v>
      </c>
      <c r="Q1122" s="96"/>
      <c r="T1122" s="110"/>
    </row>
    <row r="1123" spans="3:20" x14ac:dyDescent="0.2">
      <c r="C1123" s="96" t="str">
        <f t="shared" si="68"/>
        <v>MOF12</v>
      </c>
      <c r="D1123" s="73" t="s">
        <v>175</v>
      </c>
      <c r="E1123" s="100">
        <v>40899</v>
      </c>
      <c r="F1123" s="101">
        <v>7.4999999999999997E-3</v>
      </c>
      <c r="G1123" s="96">
        <f t="shared" si="69"/>
        <v>12</v>
      </c>
      <c r="I1123" s="96"/>
      <c r="K1123" t="str">
        <f t="shared" si="70"/>
        <v>MOF12</v>
      </c>
      <c r="L1123" s="73" t="s">
        <v>175</v>
      </c>
      <c r="M1123" s="72">
        <v>40899</v>
      </c>
      <c r="N1123" s="84">
        <v>7.4999999999999997E-3</v>
      </c>
      <c r="O1123" s="96">
        <f t="shared" si="71"/>
        <v>12</v>
      </c>
      <c r="Q1123" s="96"/>
      <c r="T1123" s="110"/>
    </row>
    <row r="1124" spans="3:20" x14ac:dyDescent="0.2">
      <c r="C1124" s="96" t="str">
        <f t="shared" si="68"/>
        <v>MOF13</v>
      </c>
      <c r="D1124" s="73" t="s">
        <v>175</v>
      </c>
      <c r="E1124" s="100">
        <v>40994</v>
      </c>
      <c r="F1124" s="101">
        <v>7.4999999999999997E-3</v>
      </c>
      <c r="G1124" s="96">
        <f t="shared" si="69"/>
        <v>13</v>
      </c>
      <c r="I1124" s="96"/>
      <c r="K1124" t="str">
        <f t="shared" si="70"/>
        <v>MOF13</v>
      </c>
      <c r="L1124" s="73" t="s">
        <v>175</v>
      </c>
      <c r="M1124" s="72">
        <v>40994</v>
      </c>
      <c r="N1124" s="84">
        <v>7.4999999999999997E-3</v>
      </c>
      <c r="O1124" s="96">
        <f t="shared" si="71"/>
        <v>13</v>
      </c>
      <c r="Q1124" s="96"/>
      <c r="T1124" s="110"/>
    </row>
    <row r="1125" spans="3:20" x14ac:dyDescent="0.2">
      <c r="C1125" s="96" t="str">
        <f t="shared" si="68"/>
        <v>MOF14</v>
      </c>
      <c r="D1125" s="73" t="s">
        <v>175</v>
      </c>
      <c r="E1125" s="100">
        <v>41085</v>
      </c>
      <c r="F1125" s="101">
        <v>7.4999999999999997E-3</v>
      </c>
      <c r="G1125" s="96">
        <f t="shared" si="69"/>
        <v>14</v>
      </c>
      <c r="I1125" s="96"/>
      <c r="K1125" t="str">
        <f t="shared" si="70"/>
        <v>MOF14</v>
      </c>
      <c r="L1125" s="73" t="s">
        <v>175</v>
      </c>
      <c r="M1125" s="72">
        <v>41085</v>
      </c>
      <c r="N1125" s="84">
        <v>7.4999999999999997E-3</v>
      </c>
      <c r="O1125" s="96">
        <f t="shared" si="71"/>
        <v>14</v>
      </c>
      <c r="Q1125" s="96"/>
      <c r="T1125" s="110"/>
    </row>
    <row r="1126" spans="3:20" x14ac:dyDescent="0.2">
      <c r="C1126" s="96" t="str">
        <f t="shared" si="68"/>
        <v>MOF15</v>
      </c>
      <c r="D1126" s="73" t="s">
        <v>175</v>
      </c>
      <c r="E1126" s="100">
        <v>41177</v>
      </c>
      <c r="F1126" s="101">
        <v>7.4999999999999997E-3</v>
      </c>
      <c r="G1126" s="96">
        <f t="shared" si="69"/>
        <v>15</v>
      </c>
      <c r="I1126" s="96"/>
      <c r="K1126" t="str">
        <f t="shared" si="70"/>
        <v>MOF15</v>
      </c>
      <c r="L1126" s="73" t="s">
        <v>175</v>
      </c>
      <c r="M1126" s="72">
        <v>41177</v>
      </c>
      <c r="N1126" s="84">
        <v>7.4999999999999997E-3</v>
      </c>
      <c r="O1126" s="96">
        <f t="shared" si="71"/>
        <v>15</v>
      </c>
      <c r="Q1126" s="96"/>
      <c r="T1126" s="110"/>
    </row>
    <row r="1127" spans="3:20" x14ac:dyDescent="0.2">
      <c r="C1127" s="96" t="str">
        <f t="shared" si="68"/>
        <v>MOF16</v>
      </c>
      <c r="D1127" s="73" t="s">
        <v>175</v>
      </c>
      <c r="E1127" s="100">
        <v>41268</v>
      </c>
      <c r="F1127" s="101">
        <v>7.4999999999999997E-3</v>
      </c>
      <c r="G1127" s="96">
        <f t="shared" si="69"/>
        <v>16</v>
      </c>
      <c r="I1127" s="96"/>
      <c r="K1127" t="str">
        <f t="shared" si="70"/>
        <v>MOF16</v>
      </c>
      <c r="L1127" s="73" t="s">
        <v>175</v>
      </c>
      <c r="M1127" s="72">
        <v>41268</v>
      </c>
      <c r="N1127" s="84">
        <v>7.4999999999999997E-3</v>
      </c>
      <c r="O1127" s="96">
        <f t="shared" si="71"/>
        <v>16</v>
      </c>
      <c r="Q1127" s="96"/>
      <c r="T1127" s="110"/>
    </row>
    <row r="1128" spans="3:20" x14ac:dyDescent="0.2">
      <c r="C1128" s="96" t="str">
        <f t="shared" si="68"/>
        <v>MOF17</v>
      </c>
      <c r="D1128" s="73" t="s">
        <v>175</v>
      </c>
      <c r="E1128" s="100">
        <v>41359</v>
      </c>
      <c r="F1128" s="101">
        <v>7.4999999999999997E-3</v>
      </c>
      <c r="G1128" s="96">
        <f t="shared" si="69"/>
        <v>17</v>
      </c>
      <c r="I1128" s="96"/>
      <c r="K1128" t="str">
        <f t="shared" si="70"/>
        <v>MOF17</v>
      </c>
      <c r="L1128" s="73" t="s">
        <v>175</v>
      </c>
      <c r="M1128" s="72">
        <v>41359</v>
      </c>
      <c r="N1128" s="84">
        <v>7.4999999999999997E-3</v>
      </c>
      <c r="O1128" s="96">
        <f t="shared" si="71"/>
        <v>17</v>
      </c>
      <c r="Q1128" s="96"/>
      <c r="T1128" s="110"/>
    </row>
    <row r="1129" spans="3:20" x14ac:dyDescent="0.2">
      <c r="C1129" s="96" t="str">
        <f t="shared" si="68"/>
        <v>MOF18</v>
      </c>
      <c r="D1129" s="73" t="s">
        <v>175</v>
      </c>
      <c r="E1129" s="100">
        <v>41450</v>
      </c>
      <c r="F1129" s="101">
        <v>7.4999999999999997E-3</v>
      </c>
      <c r="G1129" s="96">
        <f t="shared" si="69"/>
        <v>18</v>
      </c>
      <c r="I1129" s="96"/>
      <c r="K1129" t="str">
        <f t="shared" si="70"/>
        <v>MOF18</v>
      </c>
      <c r="L1129" s="73" t="s">
        <v>175</v>
      </c>
      <c r="M1129" s="72">
        <v>41450</v>
      </c>
      <c r="N1129" s="84">
        <v>7.4999999999999997E-3</v>
      </c>
      <c r="O1129" s="96">
        <f t="shared" si="71"/>
        <v>18</v>
      </c>
      <c r="Q1129" s="96"/>
      <c r="T1129" s="110"/>
    </row>
    <row r="1130" spans="3:20" x14ac:dyDescent="0.2">
      <c r="C1130" s="96" t="str">
        <f t="shared" si="68"/>
        <v>MQG1</v>
      </c>
      <c r="D1130" s="73" t="s">
        <v>176</v>
      </c>
      <c r="E1130" s="100">
        <v>39944</v>
      </c>
      <c r="F1130" s="101">
        <v>1.05</v>
      </c>
      <c r="G1130" s="96">
        <f t="shared" si="69"/>
        <v>1</v>
      </c>
      <c r="I1130" s="96"/>
      <c r="K1130" t="str">
        <f t="shared" si="70"/>
        <v>MQG1</v>
      </c>
      <c r="L1130" s="73" t="s">
        <v>176</v>
      </c>
      <c r="M1130" s="72">
        <v>39944</v>
      </c>
      <c r="N1130" s="84">
        <v>1.05</v>
      </c>
      <c r="O1130" s="96">
        <f t="shared" si="71"/>
        <v>1</v>
      </c>
      <c r="Q1130" s="96"/>
      <c r="T1130" s="110"/>
    </row>
    <row r="1131" spans="3:20" x14ac:dyDescent="0.2">
      <c r="C1131" s="96" t="str">
        <f t="shared" si="68"/>
        <v>MQG2</v>
      </c>
      <c r="D1131" s="73" t="s">
        <v>176</v>
      </c>
      <c r="E1131" s="100">
        <v>40126</v>
      </c>
      <c r="F1131" s="101">
        <v>1.05</v>
      </c>
      <c r="G1131" s="96">
        <f t="shared" si="69"/>
        <v>2</v>
      </c>
      <c r="I1131" s="96"/>
      <c r="K1131" t="str">
        <f t="shared" si="70"/>
        <v>MQG2</v>
      </c>
      <c r="L1131" s="73" t="s">
        <v>176</v>
      </c>
      <c r="M1131" s="72">
        <v>40126</v>
      </c>
      <c r="N1131" s="84">
        <v>1.05</v>
      </c>
      <c r="O1131" s="96">
        <f t="shared" si="71"/>
        <v>2</v>
      </c>
      <c r="Q1131" s="96"/>
      <c r="T1131" s="110"/>
    </row>
    <row r="1132" spans="3:20" x14ac:dyDescent="0.2">
      <c r="C1132" s="96" t="str">
        <f t="shared" si="68"/>
        <v>MQG3</v>
      </c>
      <c r="D1132" s="73" t="s">
        <v>176</v>
      </c>
      <c r="E1132" s="100">
        <v>40309</v>
      </c>
      <c r="F1132" s="101">
        <v>1.45</v>
      </c>
      <c r="G1132" s="96">
        <f t="shared" si="69"/>
        <v>3</v>
      </c>
      <c r="I1132" s="96"/>
      <c r="K1132" t="str">
        <f t="shared" si="70"/>
        <v>MQG3</v>
      </c>
      <c r="L1132" s="73" t="s">
        <v>176</v>
      </c>
      <c r="M1132" s="72">
        <v>40309</v>
      </c>
      <c r="N1132" s="84">
        <v>1.45</v>
      </c>
      <c r="O1132" s="96">
        <f t="shared" si="71"/>
        <v>3</v>
      </c>
      <c r="Q1132" s="96"/>
      <c r="T1132" s="110"/>
    </row>
    <row r="1133" spans="3:20" x14ac:dyDescent="0.2">
      <c r="C1133" s="96" t="str">
        <f t="shared" si="68"/>
        <v>MQG4</v>
      </c>
      <c r="D1133" s="73" t="s">
        <v>176</v>
      </c>
      <c r="E1133" s="100">
        <v>40491</v>
      </c>
      <c r="F1133" s="101">
        <v>1.25</v>
      </c>
      <c r="G1133" s="96">
        <f t="shared" si="69"/>
        <v>4</v>
      </c>
      <c r="I1133" s="96"/>
      <c r="K1133" t="str">
        <f t="shared" si="70"/>
        <v>MQG4</v>
      </c>
      <c r="L1133" s="73" t="s">
        <v>176</v>
      </c>
      <c r="M1133" s="72">
        <v>40491</v>
      </c>
      <c r="N1133" s="84">
        <v>1.25</v>
      </c>
      <c r="O1133" s="96">
        <f t="shared" si="71"/>
        <v>4</v>
      </c>
      <c r="Q1133" s="96"/>
      <c r="T1133" s="110"/>
    </row>
    <row r="1134" spans="3:20" x14ac:dyDescent="0.2">
      <c r="C1134" s="96" t="str">
        <f t="shared" si="68"/>
        <v>MQG5</v>
      </c>
      <c r="D1134" s="73" t="s">
        <v>176</v>
      </c>
      <c r="E1134" s="100">
        <v>40674</v>
      </c>
      <c r="F1134" s="101">
        <v>1.45</v>
      </c>
      <c r="G1134" s="96">
        <f t="shared" si="69"/>
        <v>5</v>
      </c>
      <c r="I1134" s="96"/>
      <c r="K1134" t="str">
        <f t="shared" si="70"/>
        <v>MQG5</v>
      </c>
      <c r="L1134" s="73" t="s">
        <v>176</v>
      </c>
      <c r="M1134" s="72">
        <v>40674</v>
      </c>
      <c r="N1134" s="84">
        <v>1.45</v>
      </c>
      <c r="O1134" s="96">
        <f t="shared" si="71"/>
        <v>5</v>
      </c>
      <c r="Q1134" s="96"/>
      <c r="T1134" s="110"/>
    </row>
    <row r="1135" spans="3:20" x14ac:dyDescent="0.2">
      <c r="C1135" s="96" t="str">
        <f t="shared" si="68"/>
        <v>MQG6</v>
      </c>
      <c r="D1135" s="73" t="s">
        <v>176</v>
      </c>
      <c r="E1135" s="100">
        <v>40856</v>
      </c>
      <c r="F1135" s="101">
        <v>1.45</v>
      </c>
      <c r="G1135" s="96">
        <f t="shared" si="69"/>
        <v>6</v>
      </c>
      <c r="I1135" s="96"/>
      <c r="K1135" t="str">
        <f t="shared" si="70"/>
        <v>MQG6</v>
      </c>
      <c r="L1135" s="73" t="s">
        <v>176</v>
      </c>
      <c r="M1135" s="72">
        <v>40856</v>
      </c>
      <c r="N1135" s="84">
        <v>1.45</v>
      </c>
      <c r="O1135" s="96">
        <f t="shared" si="71"/>
        <v>6</v>
      </c>
      <c r="Q1135" s="96"/>
      <c r="T1135" s="110"/>
    </row>
    <row r="1136" spans="3:20" x14ac:dyDescent="0.2">
      <c r="C1136" s="96" t="str">
        <f t="shared" si="68"/>
        <v>MQG7</v>
      </c>
      <c r="D1136" s="73" t="s">
        <v>176</v>
      </c>
      <c r="E1136" s="100">
        <v>41040</v>
      </c>
      <c r="F1136" s="101">
        <v>1.45</v>
      </c>
      <c r="G1136" s="96">
        <f t="shared" si="69"/>
        <v>7</v>
      </c>
      <c r="I1136" s="96"/>
      <c r="K1136" t="str">
        <f t="shared" si="70"/>
        <v>MQG7</v>
      </c>
      <c r="L1136" s="73" t="s">
        <v>176</v>
      </c>
      <c r="M1136" s="72">
        <v>41040</v>
      </c>
      <c r="N1136" s="84">
        <v>1.45</v>
      </c>
      <c r="O1136" s="96">
        <f t="shared" si="71"/>
        <v>7</v>
      </c>
      <c r="Q1136" s="96"/>
      <c r="T1136" s="110"/>
    </row>
    <row r="1137" spans="3:20" x14ac:dyDescent="0.2">
      <c r="C1137" s="96" t="str">
        <f t="shared" si="68"/>
        <v>MQG8</v>
      </c>
      <c r="D1137" s="73" t="s">
        <v>176</v>
      </c>
      <c r="E1137" s="100">
        <v>41222</v>
      </c>
      <c r="F1137" s="101">
        <v>1.45</v>
      </c>
      <c r="G1137" s="96">
        <f t="shared" si="69"/>
        <v>8</v>
      </c>
      <c r="I1137" s="96"/>
      <c r="K1137" t="str">
        <f t="shared" si="70"/>
        <v>MQG8</v>
      </c>
      <c r="L1137" s="73" t="s">
        <v>176</v>
      </c>
      <c r="M1137" s="72">
        <v>41222</v>
      </c>
      <c r="N1137" s="84">
        <v>1.45</v>
      </c>
      <c r="O1137" s="96">
        <f t="shared" si="71"/>
        <v>8</v>
      </c>
      <c r="Q1137" s="96"/>
      <c r="T1137" s="110"/>
    </row>
    <row r="1138" spans="3:20" x14ac:dyDescent="0.2">
      <c r="C1138" s="96" t="str">
        <f t="shared" si="68"/>
        <v>MQG9</v>
      </c>
      <c r="D1138" s="73" t="s">
        <v>176</v>
      </c>
      <c r="E1138" s="100">
        <v>41407</v>
      </c>
      <c r="F1138" s="101">
        <v>2</v>
      </c>
      <c r="G1138" s="96">
        <f t="shared" si="69"/>
        <v>9</v>
      </c>
      <c r="I1138" s="96"/>
      <c r="K1138" t="str">
        <f t="shared" si="70"/>
        <v>MQG9</v>
      </c>
      <c r="L1138" s="73" t="s">
        <v>176</v>
      </c>
      <c r="M1138" s="72">
        <v>41407</v>
      </c>
      <c r="N1138" s="84">
        <v>2</v>
      </c>
      <c r="O1138" s="96">
        <f t="shared" si="71"/>
        <v>9</v>
      </c>
      <c r="Q1138" s="96"/>
      <c r="T1138" s="110"/>
    </row>
    <row r="1139" spans="3:20" x14ac:dyDescent="0.2">
      <c r="C1139" s="96" t="str">
        <f t="shared" si="68"/>
        <v>MTS1</v>
      </c>
      <c r="D1139" s="73" t="s">
        <v>177</v>
      </c>
      <c r="E1139" s="100">
        <v>39987</v>
      </c>
      <c r="F1139" s="101">
        <v>0.125</v>
      </c>
      <c r="G1139" s="96">
        <f t="shared" si="69"/>
        <v>1</v>
      </c>
      <c r="I1139" s="96"/>
      <c r="K1139" t="str">
        <f t="shared" si="70"/>
        <v>MTS1</v>
      </c>
      <c r="L1139" s="73" t="s">
        <v>177</v>
      </c>
      <c r="M1139" s="72">
        <v>39987</v>
      </c>
      <c r="N1139" s="84">
        <v>0.125</v>
      </c>
      <c r="O1139" s="96">
        <f t="shared" si="71"/>
        <v>1</v>
      </c>
      <c r="Q1139" s="96"/>
      <c r="T1139" s="110"/>
    </row>
    <row r="1140" spans="3:20" x14ac:dyDescent="0.2">
      <c r="C1140" s="96" t="str">
        <f t="shared" si="68"/>
        <v>MTS2</v>
      </c>
      <c r="D1140" s="73" t="s">
        <v>177</v>
      </c>
      <c r="E1140" s="100">
        <v>40157</v>
      </c>
      <c r="F1140" s="101">
        <v>0.11</v>
      </c>
      <c r="G1140" s="96">
        <f t="shared" si="69"/>
        <v>2</v>
      </c>
      <c r="I1140" s="96"/>
      <c r="K1140" t="str">
        <f t="shared" si="70"/>
        <v>MTS2</v>
      </c>
      <c r="L1140" s="73" t="s">
        <v>177</v>
      </c>
      <c r="M1140" s="72">
        <v>40157</v>
      </c>
      <c r="N1140" s="84">
        <v>0.11</v>
      </c>
      <c r="O1140" s="96">
        <f t="shared" si="71"/>
        <v>2</v>
      </c>
      <c r="Q1140" s="96"/>
      <c r="T1140" s="110"/>
    </row>
    <row r="1141" spans="3:20" x14ac:dyDescent="0.2">
      <c r="C1141" s="96" t="str">
        <f t="shared" si="68"/>
        <v>MTS3</v>
      </c>
      <c r="D1141" s="73" t="s">
        <v>177</v>
      </c>
      <c r="E1141" s="100">
        <v>40352</v>
      </c>
      <c r="F1141" s="101">
        <v>0.13500000000000001</v>
      </c>
      <c r="G1141" s="96">
        <f t="shared" si="69"/>
        <v>3</v>
      </c>
      <c r="I1141" s="96"/>
      <c r="K1141" t="str">
        <f t="shared" si="70"/>
        <v>MTS3</v>
      </c>
      <c r="L1141" s="73" t="s">
        <v>177</v>
      </c>
      <c r="M1141" s="72">
        <v>40352</v>
      </c>
      <c r="N1141" s="84">
        <v>0.13500000000000001</v>
      </c>
      <c r="O1141" s="96">
        <f t="shared" si="71"/>
        <v>3</v>
      </c>
      <c r="Q1141" s="96"/>
      <c r="T1141" s="110"/>
    </row>
    <row r="1142" spans="3:20" x14ac:dyDescent="0.2">
      <c r="C1142" s="96" t="str">
        <f t="shared" si="68"/>
        <v>MTS4</v>
      </c>
      <c r="D1142" s="73" t="s">
        <v>177</v>
      </c>
      <c r="E1142" s="100">
        <v>40522</v>
      </c>
      <c r="F1142" s="101">
        <v>0.115</v>
      </c>
      <c r="G1142" s="96">
        <f t="shared" si="69"/>
        <v>4</v>
      </c>
      <c r="I1142" s="96"/>
      <c r="K1142" t="str">
        <f t="shared" si="70"/>
        <v>MTS4</v>
      </c>
      <c r="L1142" s="73" t="s">
        <v>177</v>
      </c>
      <c r="M1142" s="72">
        <v>40522</v>
      </c>
      <c r="N1142" s="84">
        <v>0.115</v>
      </c>
      <c r="O1142" s="96">
        <f t="shared" si="71"/>
        <v>4</v>
      </c>
      <c r="Q1142" s="96"/>
      <c r="T1142" s="110"/>
    </row>
    <row r="1143" spans="3:20" x14ac:dyDescent="0.2">
      <c r="C1143" s="96" t="str">
        <f t="shared" si="68"/>
        <v>MTS5</v>
      </c>
      <c r="D1143" s="73" t="s">
        <v>177</v>
      </c>
      <c r="E1143" s="100">
        <v>40717</v>
      </c>
      <c r="F1143" s="101">
        <v>0.14499999999999999</v>
      </c>
      <c r="G1143" s="96">
        <f t="shared" si="69"/>
        <v>5</v>
      </c>
      <c r="I1143" s="96"/>
      <c r="K1143" t="str">
        <f t="shared" si="70"/>
        <v>MTS5</v>
      </c>
      <c r="L1143" s="73" t="s">
        <v>177</v>
      </c>
      <c r="M1143" s="72">
        <v>40717</v>
      </c>
      <c r="N1143" s="84">
        <v>0.14499999999999999</v>
      </c>
      <c r="O1143" s="96">
        <f t="shared" si="71"/>
        <v>5</v>
      </c>
      <c r="Q1143" s="96"/>
      <c r="T1143" s="110"/>
    </row>
    <row r="1144" spans="3:20" x14ac:dyDescent="0.2">
      <c r="C1144" s="96" t="str">
        <f t="shared" si="68"/>
        <v>MTS6</v>
      </c>
      <c r="D1144" s="73" t="s">
        <v>177</v>
      </c>
      <c r="E1144" s="100">
        <v>40889</v>
      </c>
      <c r="F1144" s="101">
        <v>0.13500000000000001</v>
      </c>
      <c r="G1144" s="96">
        <f t="shared" si="69"/>
        <v>6</v>
      </c>
      <c r="I1144" s="96"/>
      <c r="K1144" t="str">
        <f t="shared" si="70"/>
        <v>MTS6</v>
      </c>
      <c r="L1144" s="73" t="s">
        <v>177</v>
      </c>
      <c r="M1144" s="72">
        <v>40889</v>
      </c>
      <c r="N1144" s="84">
        <v>0.13500000000000001</v>
      </c>
      <c r="O1144" s="96">
        <f t="shared" si="71"/>
        <v>6</v>
      </c>
      <c r="Q1144" s="96"/>
      <c r="T1144" s="110"/>
    </row>
    <row r="1145" spans="3:20" x14ac:dyDescent="0.2">
      <c r="C1145" s="96" t="str">
        <f t="shared" si="68"/>
        <v>MTS7</v>
      </c>
      <c r="D1145" s="73" t="s">
        <v>177</v>
      </c>
      <c r="E1145" s="100">
        <v>41085</v>
      </c>
      <c r="F1145" s="101">
        <v>0.155</v>
      </c>
      <c r="G1145" s="96">
        <f t="shared" si="69"/>
        <v>7</v>
      </c>
      <c r="I1145" s="96"/>
      <c r="K1145" t="str">
        <f t="shared" si="70"/>
        <v>MTS7</v>
      </c>
      <c r="L1145" s="73" t="s">
        <v>177</v>
      </c>
      <c r="M1145" s="72">
        <v>41085</v>
      </c>
      <c r="N1145" s="84">
        <v>0.155</v>
      </c>
      <c r="O1145" s="96">
        <f t="shared" si="71"/>
        <v>7</v>
      </c>
      <c r="Q1145" s="96"/>
      <c r="T1145" s="110"/>
    </row>
    <row r="1146" spans="3:20" x14ac:dyDescent="0.2">
      <c r="C1146" s="96" t="str">
        <f t="shared" si="68"/>
        <v>MTS8</v>
      </c>
      <c r="D1146" s="73" t="s">
        <v>177</v>
      </c>
      <c r="E1146" s="100">
        <v>41254</v>
      </c>
      <c r="F1146" s="101">
        <v>0.14000000000000001</v>
      </c>
      <c r="G1146" s="96">
        <f t="shared" si="69"/>
        <v>8</v>
      </c>
      <c r="I1146" s="96"/>
      <c r="K1146" t="str">
        <f t="shared" si="70"/>
        <v>MTS8</v>
      </c>
      <c r="L1146" s="73" t="s">
        <v>177</v>
      </c>
      <c r="M1146" s="72">
        <v>41254</v>
      </c>
      <c r="N1146" s="84">
        <v>0.14000000000000001</v>
      </c>
      <c r="O1146" s="96">
        <f t="shared" si="71"/>
        <v>8</v>
      </c>
      <c r="Q1146" s="96"/>
      <c r="T1146" s="110"/>
    </row>
    <row r="1147" spans="3:20" x14ac:dyDescent="0.2">
      <c r="C1147" s="96" t="str">
        <f t="shared" si="68"/>
        <v>MTS9</v>
      </c>
      <c r="D1147" s="73" t="s">
        <v>177</v>
      </c>
      <c r="E1147" s="100">
        <v>41450</v>
      </c>
      <c r="F1147" s="101">
        <v>0.16500000000000001</v>
      </c>
      <c r="G1147" s="96">
        <f t="shared" si="69"/>
        <v>9</v>
      </c>
      <c r="I1147" s="96"/>
      <c r="K1147" t="str">
        <f t="shared" si="70"/>
        <v>MTS9</v>
      </c>
      <c r="L1147" s="73" t="s">
        <v>177</v>
      </c>
      <c r="M1147" s="72">
        <v>41450</v>
      </c>
      <c r="N1147" s="84">
        <v>0.16500000000000001</v>
      </c>
      <c r="O1147" s="96">
        <f t="shared" si="71"/>
        <v>9</v>
      </c>
      <c r="Q1147" s="96"/>
      <c r="T1147" s="110"/>
    </row>
    <row r="1148" spans="3:20" x14ac:dyDescent="0.2">
      <c r="C1148" s="96" t="str">
        <f t="shared" si="68"/>
        <v>NAB1</v>
      </c>
      <c r="D1148" s="73" t="s">
        <v>178</v>
      </c>
      <c r="E1148" s="100">
        <v>39968</v>
      </c>
      <c r="F1148" s="101">
        <v>0.9</v>
      </c>
      <c r="G1148" s="96">
        <f t="shared" si="69"/>
        <v>1</v>
      </c>
      <c r="I1148" s="96"/>
      <c r="K1148" t="str">
        <f t="shared" si="70"/>
        <v>NAB1</v>
      </c>
      <c r="L1148" s="73" t="s">
        <v>178</v>
      </c>
      <c r="M1148" s="72">
        <v>39968</v>
      </c>
      <c r="N1148" s="84">
        <v>0.9</v>
      </c>
      <c r="O1148" s="96">
        <f t="shared" si="71"/>
        <v>1</v>
      </c>
      <c r="Q1148" s="96"/>
      <c r="T1148" s="110"/>
    </row>
    <row r="1149" spans="3:20" x14ac:dyDescent="0.2">
      <c r="C1149" s="96" t="str">
        <f t="shared" si="68"/>
        <v>NAB2</v>
      </c>
      <c r="D1149" s="73" t="s">
        <v>178</v>
      </c>
      <c r="E1149" s="100">
        <v>40130</v>
      </c>
      <c r="F1149" s="101">
        <v>0.93</v>
      </c>
      <c r="G1149" s="96">
        <f t="shared" si="69"/>
        <v>2</v>
      </c>
      <c r="I1149" s="96"/>
      <c r="K1149" t="str">
        <f t="shared" si="70"/>
        <v>NAB2</v>
      </c>
      <c r="L1149" s="73" t="s">
        <v>178</v>
      </c>
      <c r="M1149" s="72">
        <v>40130</v>
      </c>
      <c r="N1149" s="84">
        <v>0.93</v>
      </c>
      <c r="O1149" s="96">
        <f t="shared" si="71"/>
        <v>2</v>
      </c>
      <c r="Q1149" s="96"/>
      <c r="T1149" s="110"/>
    </row>
    <row r="1150" spans="3:20" x14ac:dyDescent="0.2">
      <c r="C1150" s="96" t="str">
        <f t="shared" si="68"/>
        <v>NAB3</v>
      </c>
      <c r="D1150" s="73" t="s">
        <v>178</v>
      </c>
      <c r="E1150" s="100">
        <v>40336</v>
      </c>
      <c r="F1150" s="101">
        <v>0.9</v>
      </c>
      <c r="G1150" s="96">
        <f t="shared" si="69"/>
        <v>3</v>
      </c>
      <c r="I1150" s="96"/>
      <c r="K1150" t="str">
        <f t="shared" si="70"/>
        <v>NAB3</v>
      </c>
      <c r="L1150" s="73" t="s">
        <v>178</v>
      </c>
      <c r="M1150" s="72">
        <v>40336</v>
      </c>
      <c r="N1150" s="84">
        <v>0.9</v>
      </c>
      <c r="O1150" s="96">
        <f t="shared" si="71"/>
        <v>3</v>
      </c>
      <c r="Q1150" s="96"/>
      <c r="T1150" s="110"/>
    </row>
    <row r="1151" spans="3:20" x14ac:dyDescent="0.2">
      <c r="C1151" s="96" t="str">
        <f t="shared" si="68"/>
        <v>NAB4</v>
      </c>
      <c r="D1151" s="73" t="s">
        <v>178</v>
      </c>
      <c r="E1151" s="100">
        <v>40497</v>
      </c>
      <c r="F1151" s="101">
        <v>0.93</v>
      </c>
      <c r="G1151" s="96">
        <f t="shared" si="69"/>
        <v>4</v>
      </c>
      <c r="I1151" s="96"/>
      <c r="K1151" t="str">
        <f t="shared" si="70"/>
        <v>NAB4</v>
      </c>
      <c r="L1151" s="73" t="s">
        <v>178</v>
      </c>
      <c r="M1151" s="72">
        <v>40497</v>
      </c>
      <c r="N1151" s="84">
        <v>0.93</v>
      </c>
      <c r="O1151" s="96">
        <f t="shared" si="71"/>
        <v>4</v>
      </c>
      <c r="Q1151" s="96"/>
      <c r="T1151" s="110"/>
    </row>
    <row r="1152" spans="3:20" x14ac:dyDescent="0.2">
      <c r="C1152" s="96" t="str">
        <f t="shared" si="68"/>
        <v>NAB5</v>
      </c>
      <c r="D1152" s="73" t="s">
        <v>178</v>
      </c>
      <c r="E1152" s="100">
        <v>40701</v>
      </c>
      <c r="F1152" s="101">
        <v>0.93</v>
      </c>
      <c r="G1152" s="96">
        <f t="shared" si="69"/>
        <v>5</v>
      </c>
      <c r="I1152" s="96"/>
      <c r="K1152" t="str">
        <f t="shared" si="70"/>
        <v>NAB5</v>
      </c>
      <c r="L1152" s="73" t="s">
        <v>178</v>
      </c>
      <c r="M1152" s="72">
        <v>40701</v>
      </c>
      <c r="N1152" s="84">
        <v>0.93</v>
      </c>
      <c r="O1152" s="96">
        <f t="shared" si="71"/>
        <v>5</v>
      </c>
      <c r="Q1152" s="96"/>
      <c r="T1152" s="110"/>
    </row>
    <row r="1153" spans="3:20" x14ac:dyDescent="0.2">
      <c r="C1153" s="96" t="str">
        <f t="shared" si="68"/>
        <v>NAB6</v>
      </c>
      <c r="D1153" s="73" t="s">
        <v>178</v>
      </c>
      <c r="E1153" s="100">
        <v>40862</v>
      </c>
      <c r="F1153" s="101">
        <v>0.96</v>
      </c>
      <c r="G1153" s="96">
        <f t="shared" si="69"/>
        <v>6</v>
      </c>
      <c r="I1153" s="96"/>
      <c r="K1153" t="str">
        <f t="shared" si="70"/>
        <v>NAB6</v>
      </c>
      <c r="L1153" s="73" t="s">
        <v>178</v>
      </c>
      <c r="M1153" s="72">
        <v>40862</v>
      </c>
      <c r="N1153" s="84">
        <v>0.96</v>
      </c>
      <c r="O1153" s="96">
        <f t="shared" si="71"/>
        <v>6</v>
      </c>
      <c r="Q1153" s="96"/>
      <c r="T1153" s="110"/>
    </row>
    <row r="1154" spans="3:20" x14ac:dyDescent="0.2">
      <c r="C1154" s="96" t="str">
        <f t="shared" si="68"/>
        <v>NAB7</v>
      </c>
      <c r="D1154" s="73" t="s">
        <v>178</v>
      </c>
      <c r="E1154" s="100">
        <v>41067</v>
      </c>
      <c r="F1154" s="101">
        <v>0.96</v>
      </c>
      <c r="G1154" s="96">
        <f t="shared" si="69"/>
        <v>7</v>
      </c>
      <c r="I1154" s="96"/>
      <c r="K1154" t="str">
        <f t="shared" si="70"/>
        <v>NAB7</v>
      </c>
      <c r="L1154" s="73" t="s">
        <v>178</v>
      </c>
      <c r="M1154" s="72">
        <v>41067</v>
      </c>
      <c r="N1154" s="84">
        <v>0.96</v>
      </c>
      <c r="O1154" s="96">
        <f t="shared" si="71"/>
        <v>7</v>
      </c>
      <c r="Q1154" s="96"/>
      <c r="T1154" s="110"/>
    </row>
    <row r="1155" spans="3:20" x14ac:dyDescent="0.2">
      <c r="C1155" s="96" t="str">
        <f t="shared" ref="C1155:C1218" si="72">D1155&amp;G1155</f>
        <v>NAB8</v>
      </c>
      <c r="D1155" s="73" t="s">
        <v>178</v>
      </c>
      <c r="E1155" s="100">
        <v>41228</v>
      </c>
      <c r="F1155" s="101">
        <v>1</v>
      </c>
      <c r="G1155" s="96">
        <f t="shared" ref="G1155:G1218" si="73">IF(D1155&lt;&gt;D1154,1,G1154+1)</f>
        <v>8</v>
      </c>
      <c r="I1155" s="96"/>
      <c r="K1155" t="str">
        <f t="shared" ref="K1155:K1218" si="74">L1155&amp;O1155</f>
        <v>NAB8</v>
      </c>
      <c r="L1155" s="73" t="s">
        <v>178</v>
      </c>
      <c r="M1155" s="72">
        <v>41228</v>
      </c>
      <c r="N1155" s="84">
        <v>1</v>
      </c>
      <c r="O1155" s="96">
        <f t="shared" ref="O1155:O1218" si="75">IF(L1155&lt;&gt;L1154,1,O1154+1)</f>
        <v>8</v>
      </c>
      <c r="Q1155" s="96"/>
      <c r="T1155" s="110"/>
    </row>
    <row r="1156" spans="3:20" x14ac:dyDescent="0.2">
      <c r="C1156" s="96" t="str">
        <f t="shared" si="72"/>
        <v>NAB9</v>
      </c>
      <c r="D1156" s="73" t="s">
        <v>178</v>
      </c>
      <c r="E1156" s="100">
        <v>41432</v>
      </c>
      <c r="F1156" s="101">
        <v>0.98</v>
      </c>
      <c r="G1156" s="96">
        <f t="shared" si="73"/>
        <v>9</v>
      </c>
      <c r="I1156" s="96"/>
      <c r="K1156" t="str">
        <f t="shared" si="74"/>
        <v>NAB9</v>
      </c>
      <c r="L1156" s="73" t="s">
        <v>178</v>
      </c>
      <c r="M1156" s="72">
        <v>41432</v>
      </c>
      <c r="N1156" s="84">
        <v>0.98</v>
      </c>
      <c r="O1156" s="96">
        <f t="shared" si="75"/>
        <v>9</v>
      </c>
      <c r="Q1156" s="96"/>
      <c r="T1156" s="110"/>
    </row>
    <row r="1157" spans="3:20" x14ac:dyDescent="0.2">
      <c r="C1157" s="96" t="str">
        <f t="shared" si="72"/>
        <v>NAB10</v>
      </c>
      <c r="D1157" s="73" t="s">
        <v>178</v>
      </c>
      <c r="E1157" s="100">
        <v>41593</v>
      </c>
      <c r="F1157" s="101">
        <v>1.05</v>
      </c>
      <c r="G1157" s="96">
        <f t="shared" si="73"/>
        <v>10</v>
      </c>
      <c r="I1157" s="96"/>
      <c r="K1157" t="str">
        <f t="shared" si="74"/>
        <v>NAB10</v>
      </c>
      <c r="L1157" s="73" t="s">
        <v>178</v>
      </c>
      <c r="M1157" s="72">
        <v>41593</v>
      </c>
      <c r="N1157" s="84">
        <v>1.05</v>
      </c>
      <c r="O1157" s="96">
        <f t="shared" si="75"/>
        <v>10</v>
      </c>
      <c r="Q1157" s="96"/>
      <c r="T1157" s="110"/>
    </row>
    <row r="1158" spans="3:20" x14ac:dyDescent="0.2">
      <c r="C1158" s="96" t="str">
        <f t="shared" si="72"/>
        <v>NCM1</v>
      </c>
      <c r="D1158" s="73" t="s">
        <v>179</v>
      </c>
      <c r="E1158" s="100">
        <v>40078</v>
      </c>
      <c r="F1158" s="101">
        <v>0.1</v>
      </c>
      <c r="G1158" s="96">
        <f t="shared" si="73"/>
        <v>1</v>
      </c>
      <c r="I1158" s="96"/>
      <c r="K1158" t="str">
        <f t="shared" si="74"/>
        <v>NCM1</v>
      </c>
      <c r="L1158" s="73" t="s">
        <v>179</v>
      </c>
      <c r="M1158" s="72">
        <v>40078</v>
      </c>
      <c r="N1158" s="84">
        <v>0.1</v>
      </c>
      <c r="O1158" s="96">
        <f t="shared" si="75"/>
        <v>1</v>
      </c>
      <c r="Q1158" s="96"/>
      <c r="T1158" s="110"/>
    </row>
    <row r="1159" spans="3:20" x14ac:dyDescent="0.2">
      <c r="C1159" s="96" t="str">
        <f t="shared" si="72"/>
        <v>NCM2</v>
      </c>
      <c r="D1159" s="73" t="s">
        <v>179</v>
      </c>
      <c r="E1159" s="100">
        <v>40443</v>
      </c>
      <c r="F1159" s="101">
        <v>0.1</v>
      </c>
      <c r="G1159" s="96">
        <f t="shared" si="73"/>
        <v>2</v>
      </c>
      <c r="I1159" s="96"/>
      <c r="K1159" t="str">
        <f t="shared" si="74"/>
        <v>NCM2</v>
      </c>
      <c r="L1159" s="73" t="s">
        <v>179</v>
      </c>
      <c r="M1159" s="72">
        <v>40443</v>
      </c>
      <c r="N1159" s="84">
        <v>0.1</v>
      </c>
      <c r="O1159" s="96">
        <f t="shared" si="75"/>
        <v>2</v>
      </c>
      <c r="Q1159" s="96"/>
      <c r="T1159" s="110"/>
    </row>
    <row r="1160" spans="3:20" x14ac:dyDescent="0.2">
      <c r="C1160" s="96" t="str">
        <f t="shared" si="72"/>
        <v>NCM3</v>
      </c>
      <c r="D1160" s="73" t="s">
        <v>179</v>
      </c>
      <c r="E1160" s="100">
        <v>40808</v>
      </c>
      <c r="F1160" s="101">
        <v>0.1</v>
      </c>
      <c r="G1160" s="96">
        <f t="shared" si="73"/>
        <v>3</v>
      </c>
      <c r="I1160" s="96"/>
      <c r="K1160" t="str">
        <f t="shared" si="74"/>
        <v>NCM3</v>
      </c>
      <c r="L1160" s="73" t="s">
        <v>179</v>
      </c>
      <c r="M1160" s="72">
        <v>40808</v>
      </c>
      <c r="N1160" s="84">
        <v>0.1</v>
      </c>
      <c r="O1160" s="96">
        <f t="shared" si="75"/>
        <v>3</v>
      </c>
      <c r="Q1160" s="96"/>
      <c r="T1160" s="110"/>
    </row>
    <row r="1161" spans="3:20" x14ac:dyDescent="0.2">
      <c r="C1161" s="96" t="str">
        <f t="shared" si="72"/>
        <v>NCM4</v>
      </c>
      <c r="D1161" s="73" t="s">
        <v>179</v>
      </c>
      <c r="E1161" s="100">
        <v>41176</v>
      </c>
      <c r="F1161" s="101">
        <v>0.1</v>
      </c>
      <c r="G1161" s="96">
        <f t="shared" si="73"/>
        <v>4</v>
      </c>
      <c r="I1161" s="96"/>
      <c r="K1161" t="str">
        <f t="shared" si="74"/>
        <v>NCM4</v>
      </c>
      <c r="L1161" s="73" t="s">
        <v>179</v>
      </c>
      <c r="M1161" s="72">
        <v>41176</v>
      </c>
      <c r="N1161" s="84">
        <v>0.1</v>
      </c>
      <c r="O1161" s="96">
        <f t="shared" si="75"/>
        <v>4</v>
      </c>
      <c r="Q1161" s="96"/>
      <c r="T1161" s="110"/>
    </row>
    <row r="1162" spans="3:20" x14ac:dyDescent="0.2">
      <c r="C1162" s="96" t="str">
        <f t="shared" si="72"/>
        <v>NCM5</v>
      </c>
      <c r="D1162" s="73" t="s">
        <v>179</v>
      </c>
      <c r="E1162" s="100">
        <v>41541</v>
      </c>
      <c r="F1162" s="101">
        <v>0.1</v>
      </c>
      <c r="G1162" s="96">
        <f t="shared" si="73"/>
        <v>5</v>
      </c>
      <c r="I1162" s="96"/>
      <c r="K1162" t="str">
        <f t="shared" si="74"/>
        <v>NCM5</v>
      </c>
      <c r="L1162" s="73" t="s">
        <v>179</v>
      </c>
      <c r="M1162" s="72">
        <v>41541</v>
      </c>
      <c r="N1162" s="84">
        <v>0.1</v>
      </c>
      <c r="O1162" s="96">
        <f t="shared" si="75"/>
        <v>5</v>
      </c>
      <c r="Q1162" s="96"/>
      <c r="T1162" s="110"/>
    </row>
    <row r="1163" spans="3:20" x14ac:dyDescent="0.2">
      <c r="C1163" s="96" t="str">
        <f t="shared" si="72"/>
        <v>NUF1</v>
      </c>
      <c r="D1163" s="73" t="s">
        <v>180</v>
      </c>
      <c r="E1163" s="100">
        <v>39904</v>
      </c>
      <c r="F1163" s="101">
        <v>0.14880000000000002</v>
      </c>
      <c r="G1163" s="96">
        <f t="shared" si="73"/>
        <v>1</v>
      </c>
      <c r="I1163" s="96"/>
      <c r="K1163" t="str">
        <f t="shared" si="74"/>
        <v>NUF1</v>
      </c>
      <c r="L1163" s="73" t="s">
        <v>180</v>
      </c>
      <c r="M1163" s="72">
        <v>39904</v>
      </c>
      <c r="N1163" s="84">
        <v>0.14880000000000002</v>
      </c>
      <c r="O1163" s="96">
        <f t="shared" si="75"/>
        <v>1</v>
      </c>
      <c r="Q1163" s="96"/>
      <c r="T1163" s="110"/>
    </row>
    <row r="1164" spans="3:20" x14ac:dyDescent="0.2">
      <c r="C1164" s="96" t="str">
        <f t="shared" si="72"/>
        <v>NUF2</v>
      </c>
      <c r="D1164" s="73" t="s">
        <v>180</v>
      </c>
      <c r="E1164" s="100">
        <v>40106</v>
      </c>
      <c r="F1164" s="101">
        <v>0.28520000000000001</v>
      </c>
      <c r="G1164" s="96">
        <f t="shared" si="73"/>
        <v>2</v>
      </c>
      <c r="I1164" s="96"/>
      <c r="K1164" t="str">
        <f t="shared" si="74"/>
        <v>NUF2</v>
      </c>
      <c r="L1164" s="73" t="s">
        <v>180</v>
      </c>
      <c r="M1164" s="72">
        <v>40106</v>
      </c>
      <c r="N1164" s="84">
        <v>0.28520000000000001</v>
      </c>
      <c r="O1164" s="96">
        <f t="shared" si="75"/>
        <v>2</v>
      </c>
      <c r="Q1164" s="96"/>
      <c r="T1164" s="110"/>
    </row>
    <row r="1165" spans="3:20" x14ac:dyDescent="0.2">
      <c r="C1165" s="96" t="str">
        <f t="shared" si="72"/>
        <v>NUF3</v>
      </c>
      <c r="D1165" s="73" t="s">
        <v>180</v>
      </c>
      <c r="E1165" s="100">
        <v>40269</v>
      </c>
      <c r="F1165" s="101">
        <v>0.16589999999999999</v>
      </c>
      <c r="G1165" s="96">
        <f t="shared" si="73"/>
        <v>3</v>
      </c>
      <c r="I1165" s="96"/>
      <c r="K1165" t="str">
        <f t="shared" si="74"/>
        <v>NUF3</v>
      </c>
      <c r="L1165" s="73" t="s">
        <v>180</v>
      </c>
      <c r="M1165" s="72">
        <v>40269</v>
      </c>
      <c r="N1165" s="84">
        <v>0.16589999999999999</v>
      </c>
      <c r="O1165" s="96">
        <f t="shared" si="75"/>
        <v>3</v>
      </c>
      <c r="Q1165" s="96"/>
      <c r="T1165" s="110"/>
    </row>
    <row r="1166" spans="3:20" x14ac:dyDescent="0.2">
      <c r="C1166" s="96" t="str">
        <f t="shared" si="72"/>
        <v>NUF4</v>
      </c>
      <c r="D1166" s="73" t="s">
        <v>180</v>
      </c>
      <c r="E1166" s="100">
        <v>40471</v>
      </c>
      <c r="F1166" s="101">
        <v>0.31809999999999999</v>
      </c>
      <c r="G1166" s="96">
        <f t="shared" si="73"/>
        <v>4</v>
      </c>
      <c r="I1166" s="96"/>
      <c r="K1166" t="str">
        <f t="shared" si="74"/>
        <v>NUF4</v>
      </c>
      <c r="L1166" s="73" t="s">
        <v>180</v>
      </c>
      <c r="M1166" s="72">
        <v>40471</v>
      </c>
      <c r="N1166" s="84">
        <v>0.31809999999999999</v>
      </c>
      <c r="O1166" s="96">
        <f t="shared" si="75"/>
        <v>4</v>
      </c>
      <c r="Q1166" s="96"/>
      <c r="T1166" s="110"/>
    </row>
    <row r="1167" spans="3:20" x14ac:dyDescent="0.2">
      <c r="C1167" s="96" t="str">
        <f t="shared" si="72"/>
        <v>NUF5</v>
      </c>
      <c r="D1167" s="73" t="s">
        <v>180</v>
      </c>
      <c r="E1167" s="100">
        <v>40638</v>
      </c>
      <c r="F1167" s="101">
        <v>0.182</v>
      </c>
      <c r="G1167" s="96">
        <f t="shared" si="73"/>
        <v>5</v>
      </c>
      <c r="I1167" s="96"/>
      <c r="K1167" t="str">
        <f t="shared" si="74"/>
        <v>NUF5</v>
      </c>
      <c r="L1167" s="73" t="s">
        <v>180</v>
      </c>
      <c r="M1167" s="72">
        <v>40638</v>
      </c>
      <c r="N1167" s="84">
        <v>0.182</v>
      </c>
      <c r="O1167" s="96">
        <f t="shared" si="75"/>
        <v>5</v>
      </c>
      <c r="Q1167" s="96"/>
      <c r="T1167" s="110"/>
    </row>
    <row r="1168" spans="3:20" x14ac:dyDescent="0.2">
      <c r="C1168" s="96" t="str">
        <f t="shared" si="72"/>
        <v>NUF6</v>
      </c>
      <c r="D1168" s="73" t="s">
        <v>180</v>
      </c>
      <c r="E1168" s="100">
        <v>40836</v>
      </c>
      <c r="F1168" s="101">
        <v>0.34899999999999998</v>
      </c>
      <c r="G1168" s="96">
        <f t="shared" si="73"/>
        <v>6</v>
      </c>
      <c r="I1168" s="96"/>
      <c r="K1168" t="str">
        <f t="shared" si="74"/>
        <v>NUF6</v>
      </c>
      <c r="L1168" s="73" t="s">
        <v>180</v>
      </c>
      <c r="M1168" s="72">
        <v>40836</v>
      </c>
      <c r="N1168" s="84">
        <v>0.34899999999999998</v>
      </c>
      <c r="O1168" s="96">
        <f t="shared" si="75"/>
        <v>6</v>
      </c>
      <c r="Q1168" s="96"/>
      <c r="T1168" s="110"/>
    </row>
    <row r="1169" spans="3:20" x14ac:dyDescent="0.2">
      <c r="C1169" s="96" t="str">
        <f t="shared" si="72"/>
        <v>NUF7</v>
      </c>
      <c r="D1169" s="73" t="s">
        <v>180</v>
      </c>
      <c r="E1169" s="100">
        <v>41004</v>
      </c>
      <c r="F1169" s="101">
        <v>0.15</v>
      </c>
      <c r="G1169" s="96">
        <f t="shared" si="73"/>
        <v>7</v>
      </c>
      <c r="I1169" s="96"/>
      <c r="K1169" t="str">
        <f t="shared" si="74"/>
        <v>NUF7</v>
      </c>
      <c r="L1169" s="73" t="s">
        <v>180</v>
      </c>
      <c r="M1169" s="72">
        <v>41004</v>
      </c>
      <c r="N1169" s="84">
        <v>0.15</v>
      </c>
      <c r="O1169" s="96">
        <f t="shared" si="75"/>
        <v>7</v>
      </c>
      <c r="Q1169" s="96"/>
      <c r="T1169" s="110"/>
    </row>
    <row r="1170" spans="3:20" x14ac:dyDescent="0.2">
      <c r="C1170" s="96" t="str">
        <f t="shared" si="72"/>
        <v>NUF8</v>
      </c>
      <c r="D1170" s="73" t="s">
        <v>180</v>
      </c>
      <c r="E1170" s="100">
        <v>41204</v>
      </c>
      <c r="F1170" s="101">
        <v>0.3</v>
      </c>
      <c r="G1170" s="96">
        <f t="shared" si="73"/>
        <v>8</v>
      </c>
      <c r="I1170" s="96"/>
      <c r="K1170" t="str">
        <f t="shared" si="74"/>
        <v>NUF8</v>
      </c>
      <c r="L1170" s="73" t="s">
        <v>180</v>
      </c>
      <c r="M1170" s="72">
        <v>41204</v>
      </c>
      <c r="N1170" s="84">
        <v>0.3</v>
      </c>
      <c r="O1170" s="96">
        <f t="shared" si="75"/>
        <v>8</v>
      </c>
      <c r="Q1170" s="96"/>
      <c r="T1170" s="110"/>
    </row>
    <row r="1171" spans="3:20" x14ac:dyDescent="0.2">
      <c r="C1171" s="96" t="str">
        <f t="shared" si="72"/>
        <v>NUF9</v>
      </c>
      <c r="D1171" s="73" t="s">
        <v>180</v>
      </c>
      <c r="E1171" s="100">
        <v>41369</v>
      </c>
      <c r="F1171" s="101">
        <v>0.19500000000000001</v>
      </c>
      <c r="G1171" s="96">
        <f t="shared" si="73"/>
        <v>9</v>
      </c>
      <c r="I1171" s="96"/>
      <c r="K1171" t="str">
        <f t="shared" si="74"/>
        <v>NUF9</v>
      </c>
      <c r="L1171" s="73" t="s">
        <v>180</v>
      </c>
      <c r="M1171" s="72">
        <v>41369</v>
      </c>
      <c r="N1171" s="84">
        <v>0.19500000000000001</v>
      </c>
      <c r="O1171" s="96">
        <f t="shared" si="75"/>
        <v>9</v>
      </c>
      <c r="Q1171" s="96"/>
      <c r="T1171" s="110"/>
    </row>
    <row r="1172" spans="3:20" x14ac:dyDescent="0.2">
      <c r="C1172" s="96" t="str">
        <f t="shared" si="72"/>
        <v>NUF10</v>
      </c>
      <c r="D1172" s="73" t="s">
        <v>180</v>
      </c>
      <c r="E1172" s="100">
        <v>41569</v>
      </c>
      <c r="F1172" s="101">
        <v>0.39</v>
      </c>
      <c r="G1172" s="96">
        <f t="shared" si="73"/>
        <v>10</v>
      </c>
      <c r="I1172" s="96"/>
      <c r="K1172" t="str">
        <f t="shared" si="74"/>
        <v>NUF10</v>
      </c>
      <c r="L1172" s="73" t="s">
        <v>180</v>
      </c>
      <c r="M1172" s="72">
        <v>41569</v>
      </c>
      <c r="N1172" s="84">
        <v>0.39</v>
      </c>
      <c r="O1172" s="96">
        <f t="shared" si="75"/>
        <v>10</v>
      </c>
      <c r="Q1172" s="96"/>
      <c r="T1172" s="110"/>
    </row>
    <row r="1173" spans="3:20" x14ac:dyDescent="0.2">
      <c r="C1173" s="96" t="str">
        <f t="shared" si="72"/>
        <v>NWH1</v>
      </c>
      <c r="D1173" s="73" t="s">
        <v>181</v>
      </c>
      <c r="E1173" s="100">
        <v>39869</v>
      </c>
      <c r="F1173" s="101">
        <v>4.4999999999999998E-2</v>
      </c>
      <c r="G1173" s="96">
        <f t="shared" si="73"/>
        <v>1</v>
      </c>
      <c r="I1173" s="96"/>
      <c r="K1173" t="str">
        <f t="shared" si="74"/>
        <v>NWH1</v>
      </c>
      <c r="L1173" s="73" t="s">
        <v>181</v>
      </c>
      <c r="M1173" s="72">
        <v>39869</v>
      </c>
      <c r="N1173" s="84">
        <v>4.4999999999999998E-2</v>
      </c>
      <c r="O1173" s="96">
        <f t="shared" si="75"/>
        <v>1</v>
      </c>
      <c r="Q1173" s="96"/>
      <c r="T1173" s="110"/>
    </row>
    <row r="1174" spans="3:20" x14ac:dyDescent="0.2">
      <c r="C1174" s="96" t="str">
        <f t="shared" si="72"/>
        <v>NWH2</v>
      </c>
      <c r="D1174" s="73" t="s">
        <v>181</v>
      </c>
      <c r="E1174" s="100">
        <v>40099</v>
      </c>
      <c r="F1174" s="101">
        <v>0.05</v>
      </c>
      <c r="G1174" s="96">
        <f t="shared" si="73"/>
        <v>2</v>
      </c>
      <c r="I1174" s="96"/>
      <c r="K1174" t="str">
        <f t="shared" si="74"/>
        <v>NWH2</v>
      </c>
      <c r="L1174" s="73" t="s">
        <v>181</v>
      </c>
      <c r="M1174" s="72">
        <v>40099</v>
      </c>
      <c r="N1174" s="84">
        <v>0.05</v>
      </c>
      <c r="O1174" s="96">
        <f t="shared" si="75"/>
        <v>2</v>
      </c>
      <c r="Q1174" s="96"/>
      <c r="T1174" s="110"/>
    </row>
    <row r="1175" spans="3:20" x14ac:dyDescent="0.2">
      <c r="C1175" s="96" t="str">
        <f t="shared" si="72"/>
        <v>NWH3</v>
      </c>
      <c r="D1175" s="73" t="s">
        <v>181</v>
      </c>
      <c r="E1175" s="100">
        <v>40234</v>
      </c>
      <c r="F1175" s="101">
        <v>0.05</v>
      </c>
      <c r="G1175" s="96">
        <f t="shared" si="73"/>
        <v>3</v>
      </c>
      <c r="I1175" s="96"/>
      <c r="K1175" t="str">
        <f t="shared" si="74"/>
        <v>NWH3</v>
      </c>
      <c r="L1175" s="73" t="s">
        <v>181</v>
      </c>
      <c r="M1175" s="72">
        <v>40234</v>
      </c>
      <c r="N1175" s="84">
        <v>0.05</v>
      </c>
      <c r="O1175" s="96">
        <f t="shared" si="75"/>
        <v>3</v>
      </c>
      <c r="Q1175" s="96"/>
      <c r="T1175" s="110"/>
    </row>
    <row r="1176" spans="3:20" x14ac:dyDescent="0.2">
      <c r="C1176" s="96" t="str">
        <f t="shared" si="72"/>
        <v>NWH4</v>
      </c>
      <c r="D1176" s="73" t="s">
        <v>181</v>
      </c>
      <c r="E1176" s="100">
        <v>40464</v>
      </c>
      <c r="F1176" s="101">
        <v>5.4000000000000006E-2</v>
      </c>
      <c r="G1176" s="96">
        <f t="shared" si="73"/>
        <v>4</v>
      </c>
      <c r="I1176" s="96"/>
      <c r="K1176" t="str">
        <f t="shared" si="74"/>
        <v>NWH4</v>
      </c>
      <c r="L1176" s="73" t="s">
        <v>181</v>
      </c>
      <c r="M1176" s="72">
        <v>40464</v>
      </c>
      <c r="N1176" s="84">
        <v>5.4000000000000006E-2</v>
      </c>
      <c r="O1176" s="96">
        <f t="shared" si="75"/>
        <v>4</v>
      </c>
      <c r="Q1176" s="96"/>
      <c r="T1176" s="110"/>
    </row>
    <row r="1177" spans="3:20" x14ac:dyDescent="0.2">
      <c r="C1177" s="96" t="str">
        <f t="shared" si="72"/>
        <v>NWH5</v>
      </c>
      <c r="D1177" s="73" t="s">
        <v>181</v>
      </c>
      <c r="E1177" s="100">
        <v>40599</v>
      </c>
      <c r="F1177" s="101">
        <v>5.2000000000000005E-2</v>
      </c>
      <c r="G1177" s="96">
        <f t="shared" si="73"/>
        <v>5</v>
      </c>
      <c r="I1177" s="96"/>
      <c r="K1177" t="str">
        <f t="shared" si="74"/>
        <v>NWH5</v>
      </c>
      <c r="L1177" s="73" t="s">
        <v>181</v>
      </c>
      <c r="M1177" s="72">
        <v>40599</v>
      </c>
      <c r="N1177" s="84">
        <v>5.2000000000000005E-2</v>
      </c>
      <c r="O1177" s="96">
        <f t="shared" si="75"/>
        <v>5</v>
      </c>
      <c r="Q1177" s="96"/>
      <c r="T1177" s="110"/>
    </row>
    <row r="1178" spans="3:20" x14ac:dyDescent="0.2">
      <c r="C1178" s="96" t="str">
        <f t="shared" si="72"/>
        <v>NWH6</v>
      </c>
      <c r="D1178" s="73" t="s">
        <v>181</v>
      </c>
      <c r="E1178" s="100">
        <v>40829</v>
      </c>
      <c r="F1178" s="101">
        <v>5.7999999999999996E-2</v>
      </c>
      <c r="G1178" s="96">
        <f t="shared" si="73"/>
        <v>6</v>
      </c>
      <c r="I1178" s="96"/>
      <c r="K1178" t="str">
        <f t="shared" si="74"/>
        <v>NWH6</v>
      </c>
      <c r="L1178" s="73" t="s">
        <v>181</v>
      </c>
      <c r="M1178" s="72">
        <v>40829</v>
      </c>
      <c r="N1178" s="84">
        <v>5.7999999999999996E-2</v>
      </c>
      <c r="O1178" s="96">
        <f t="shared" si="75"/>
        <v>6</v>
      </c>
      <c r="Q1178" s="96"/>
      <c r="T1178" s="110"/>
    </row>
    <row r="1179" spans="3:20" x14ac:dyDescent="0.2">
      <c r="C1179" s="96" t="str">
        <f t="shared" si="72"/>
        <v>NWH7</v>
      </c>
      <c r="D1179" s="73" t="s">
        <v>181</v>
      </c>
      <c r="E1179" s="100">
        <v>40967</v>
      </c>
      <c r="F1179" s="101">
        <v>5.5E-2</v>
      </c>
      <c r="G1179" s="96">
        <f t="shared" si="73"/>
        <v>7</v>
      </c>
      <c r="I1179" s="96"/>
      <c r="K1179" t="str">
        <f t="shared" si="74"/>
        <v>NWH7</v>
      </c>
      <c r="L1179" s="73" t="s">
        <v>181</v>
      </c>
      <c r="M1179" s="72">
        <v>40967</v>
      </c>
      <c r="N1179" s="84">
        <v>5.5E-2</v>
      </c>
      <c r="O1179" s="96">
        <f t="shared" si="75"/>
        <v>7</v>
      </c>
      <c r="Q1179" s="96"/>
      <c r="T1179" s="110"/>
    </row>
    <row r="1180" spans="3:20" x14ac:dyDescent="0.2">
      <c r="C1180" s="96" t="str">
        <f t="shared" si="72"/>
        <v>NWH8</v>
      </c>
      <c r="D1180" s="73" t="s">
        <v>181</v>
      </c>
      <c r="E1180" s="100">
        <v>41197</v>
      </c>
      <c r="F1180" s="101">
        <v>0.06</v>
      </c>
      <c r="G1180" s="96">
        <f t="shared" si="73"/>
        <v>8</v>
      </c>
      <c r="I1180" s="96"/>
      <c r="K1180" t="str">
        <f t="shared" si="74"/>
        <v>NWH8</v>
      </c>
      <c r="L1180" s="73" t="s">
        <v>181</v>
      </c>
      <c r="M1180" s="72">
        <v>41197</v>
      </c>
      <c r="N1180" s="84">
        <v>0.06</v>
      </c>
      <c r="O1180" s="96">
        <f t="shared" si="75"/>
        <v>8</v>
      </c>
      <c r="Q1180" s="96"/>
      <c r="T1180" s="110"/>
    </row>
    <row r="1181" spans="3:20" x14ac:dyDescent="0.2">
      <c r="C1181" s="96" t="str">
        <f t="shared" si="72"/>
        <v>NWH9</v>
      </c>
      <c r="D1181" s="73" t="s">
        <v>181</v>
      </c>
      <c r="E1181" s="100">
        <v>41332</v>
      </c>
      <c r="F1181" s="101">
        <v>0.06</v>
      </c>
      <c r="G1181" s="96">
        <f t="shared" si="73"/>
        <v>9</v>
      </c>
      <c r="I1181" s="96"/>
      <c r="K1181" t="str">
        <f t="shared" si="74"/>
        <v>NWH9</v>
      </c>
      <c r="L1181" s="73" t="s">
        <v>181</v>
      </c>
      <c r="M1181" s="72">
        <v>41332</v>
      </c>
      <c r="N1181" s="84">
        <v>0.06</v>
      </c>
      <c r="O1181" s="96">
        <f t="shared" si="75"/>
        <v>9</v>
      </c>
      <c r="Q1181" s="96"/>
      <c r="T1181" s="110"/>
    </row>
    <row r="1182" spans="3:20" x14ac:dyDescent="0.2">
      <c r="C1182" s="96" t="str">
        <f t="shared" si="72"/>
        <v>NWH10</v>
      </c>
      <c r="D1182" s="73" t="s">
        <v>181</v>
      </c>
      <c r="E1182" s="100">
        <v>41562</v>
      </c>
      <c r="F1182" s="101">
        <v>7.4999999999999997E-2</v>
      </c>
      <c r="G1182" s="96">
        <f t="shared" si="73"/>
        <v>10</v>
      </c>
      <c r="I1182" s="96"/>
      <c r="K1182" t="str">
        <f t="shared" si="74"/>
        <v>NWH10</v>
      </c>
      <c r="L1182" s="73" t="s">
        <v>181</v>
      </c>
      <c r="M1182" s="72">
        <v>41562</v>
      </c>
      <c r="N1182" s="84">
        <v>7.4999999999999997E-2</v>
      </c>
      <c r="O1182" s="96">
        <f t="shared" si="75"/>
        <v>10</v>
      </c>
      <c r="Q1182" s="96"/>
      <c r="T1182" s="110"/>
    </row>
    <row r="1183" spans="3:20" x14ac:dyDescent="0.2">
      <c r="C1183" s="96" t="str">
        <f t="shared" si="72"/>
        <v>NWS1</v>
      </c>
      <c r="D1183" s="73" t="s">
        <v>182</v>
      </c>
      <c r="E1183" s="100">
        <v>39877</v>
      </c>
      <c r="F1183" s="101">
        <v>0.06</v>
      </c>
      <c r="G1183" s="96">
        <f t="shared" si="73"/>
        <v>1</v>
      </c>
      <c r="I1183" s="96"/>
      <c r="K1183" t="str">
        <f t="shared" si="74"/>
        <v>NWS1</v>
      </c>
      <c r="L1183" s="73" t="s">
        <v>182</v>
      </c>
      <c r="M1183" s="72">
        <v>39877</v>
      </c>
      <c r="N1183" s="84">
        <v>0.06</v>
      </c>
      <c r="O1183" s="96">
        <f t="shared" si="75"/>
        <v>1</v>
      </c>
      <c r="Q1183" s="96"/>
      <c r="T1183" s="110"/>
    </row>
    <row r="1184" spans="3:20" x14ac:dyDescent="0.2">
      <c r="C1184" s="96" t="str">
        <f t="shared" si="72"/>
        <v>NWS2</v>
      </c>
      <c r="D1184" s="73" t="s">
        <v>182</v>
      </c>
      <c r="E1184" s="100">
        <v>40060</v>
      </c>
      <c r="F1184" s="101">
        <v>0.06</v>
      </c>
      <c r="G1184" s="96">
        <f t="shared" si="73"/>
        <v>2</v>
      </c>
      <c r="I1184" s="96"/>
      <c r="K1184" t="str">
        <f t="shared" si="74"/>
        <v>NWS2</v>
      </c>
      <c r="L1184" s="73" t="s">
        <v>182</v>
      </c>
      <c r="M1184" s="72">
        <v>40060</v>
      </c>
      <c r="N1184" s="84">
        <v>0.06</v>
      </c>
      <c r="O1184" s="96">
        <f t="shared" si="75"/>
        <v>2</v>
      </c>
      <c r="Q1184" s="96"/>
      <c r="T1184" s="110"/>
    </row>
    <row r="1185" spans="3:20" x14ac:dyDescent="0.2">
      <c r="C1185" s="96" t="str">
        <f t="shared" si="72"/>
        <v>NWS3</v>
      </c>
      <c r="D1185" s="73" t="s">
        <v>182</v>
      </c>
      <c r="E1185" s="100">
        <v>40245</v>
      </c>
      <c r="F1185" s="101">
        <v>0.06</v>
      </c>
      <c r="G1185" s="96">
        <f t="shared" si="73"/>
        <v>3</v>
      </c>
      <c r="I1185" s="96"/>
      <c r="K1185" t="str">
        <f t="shared" si="74"/>
        <v>NWS3</v>
      </c>
      <c r="L1185" s="73" t="s">
        <v>182</v>
      </c>
      <c r="M1185" s="72">
        <v>40245</v>
      </c>
      <c r="N1185" s="84">
        <v>0.06</v>
      </c>
      <c r="O1185" s="96">
        <f t="shared" si="75"/>
        <v>3</v>
      </c>
      <c r="Q1185" s="96"/>
      <c r="T1185" s="110"/>
    </row>
    <row r="1186" spans="3:20" x14ac:dyDescent="0.2">
      <c r="C1186" s="96" t="str">
        <f t="shared" si="72"/>
        <v>NWS4</v>
      </c>
      <c r="D1186" s="73" t="s">
        <v>182</v>
      </c>
      <c r="E1186" s="100">
        <v>40427</v>
      </c>
      <c r="F1186" s="101">
        <v>0.06</v>
      </c>
      <c r="G1186" s="96">
        <f t="shared" si="73"/>
        <v>4</v>
      </c>
      <c r="I1186" s="96"/>
      <c r="K1186" t="str">
        <f t="shared" si="74"/>
        <v>NWS4</v>
      </c>
      <c r="L1186" s="73" t="s">
        <v>182</v>
      </c>
      <c r="M1186" s="72">
        <v>40427</v>
      </c>
      <c r="N1186" s="84">
        <v>0.06</v>
      </c>
      <c r="O1186" s="96">
        <f t="shared" si="75"/>
        <v>4</v>
      </c>
      <c r="Q1186" s="96"/>
      <c r="T1186" s="110"/>
    </row>
    <row r="1187" spans="3:20" x14ac:dyDescent="0.2">
      <c r="C1187" s="96" t="str">
        <f t="shared" si="72"/>
        <v>NWS5</v>
      </c>
      <c r="D1187" s="73" t="s">
        <v>182</v>
      </c>
      <c r="E1187" s="100">
        <v>40610</v>
      </c>
      <c r="F1187" s="101">
        <v>0.06</v>
      </c>
      <c r="G1187" s="96">
        <f t="shared" si="73"/>
        <v>5</v>
      </c>
      <c r="I1187" s="96"/>
      <c r="K1187" t="str">
        <f t="shared" si="74"/>
        <v>NWS5</v>
      </c>
      <c r="L1187" s="73" t="s">
        <v>182</v>
      </c>
      <c r="M1187" s="72">
        <v>40610</v>
      </c>
      <c r="N1187" s="84">
        <v>0.06</v>
      </c>
      <c r="O1187" s="96">
        <f t="shared" si="75"/>
        <v>5</v>
      </c>
      <c r="Q1187" s="96"/>
      <c r="T1187" s="110"/>
    </row>
    <row r="1188" spans="3:20" x14ac:dyDescent="0.2">
      <c r="C1188" s="96" t="str">
        <f t="shared" si="72"/>
        <v>NWS6</v>
      </c>
      <c r="D1188" s="73" t="s">
        <v>182</v>
      </c>
      <c r="E1188" s="100">
        <v>40792</v>
      </c>
      <c r="F1188" s="101">
        <v>0.06</v>
      </c>
      <c r="G1188" s="96">
        <f t="shared" si="73"/>
        <v>6</v>
      </c>
      <c r="I1188" s="96"/>
      <c r="K1188" t="str">
        <f t="shared" si="74"/>
        <v>NWS6</v>
      </c>
      <c r="L1188" s="73" t="s">
        <v>182</v>
      </c>
      <c r="M1188" s="72">
        <v>40792</v>
      </c>
      <c r="N1188" s="84">
        <v>0.06</v>
      </c>
      <c r="O1188" s="96">
        <f t="shared" si="75"/>
        <v>6</v>
      </c>
      <c r="Q1188" s="96"/>
      <c r="T1188" s="110"/>
    </row>
    <row r="1189" spans="3:20" x14ac:dyDescent="0.2">
      <c r="C1189" s="96" t="str">
        <f t="shared" si="72"/>
        <v>NWS7</v>
      </c>
      <c r="D1189" s="73" t="s">
        <v>182</v>
      </c>
      <c r="E1189" s="100">
        <v>40976</v>
      </c>
      <c r="F1189" s="101">
        <v>7.0000000000000007E-2</v>
      </c>
      <c r="G1189" s="96">
        <f t="shared" si="73"/>
        <v>7</v>
      </c>
      <c r="I1189" s="96"/>
      <c r="K1189" t="str">
        <f t="shared" si="74"/>
        <v>NWS7</v>
      </c>
      <c r="L1189" s="73" t="s">
        <v>182</v>
      </c>
      <c r="M1189" s="72">
        <v>40976</v>
      </c>
      <c r="N1189" s="84">
        <v>7.0000000000000007E-2</v>
      </c>
      <c r="O1189" s="96">
        <f t="shared" si="75"/>
        <v>7</v>
      </c>
      <c r="Q1189" s="96"/>
      <c r="T1189" s="110"/>
    </row>
    <row r="1190" spans="3:20" x14ac:dyDescent="0.2">
      <c r="C1190" s="96" t="str">
        <f t="shared" si="72"/>
        <v>NWS8</v>
      </c>
      <c r="D1190" s="73" t="s">
        <v>182</v>
      </c>
      <c r="E1190" s="100">
        <v>41158</v>
      </c>
      <c r="F1190" s="101">
        <v>7.0000000000000007E-2</v>
      </c>
      <c r="G1190" s="96">
        <f t="shared" si="73"/>
        <v>8</v>
      </c>
      <c r="I1190" s="96"/>
      <c r="K1190" t="str">
        <f t="shared" si="74"/>
        <v>NWS8</v>
      </c>
      <c r="L1190" s="73" t="s">
        <v>182</v>
      </c>
      <c r="M1190" s="72">
        <v>41158</v>
      </c>
      <c r="N1190" s="84">
        <v>7.0000000000000007E-2</v>
      </c>
      <c r="O1190" s="96">
        <f t="shared" si="75"/>
        <v>8</v>
      </c>
      <c r="Q1190" s="96"/>
      <c r="T1190" s="110"/>
    </row>
    <row r="1191" spans="3:20" x14ac:dyDescent="0.2">
      <c r="C1191" s="96" t="str">
        <f t="shared" si="72"/>
        <v>NWS9</v>
      </c>
      <c r="D1191" s="73" t="s">
        <v>182</v>
      </c>
      <c r="E1191" s="100">
        <v>41341</v>
      </c>
      <c r="F1191" s="101">
        <v>7.0000000000000007E-2</v>
      </c>
      <c r="G1191" s="96">
        <f t="shared" si="73"/>
        <v>9</v>
      </c>
      <c r="I1191" s="96"/>
      <c r="K1191" t="str">
        <f t="shared" si="74"/>
        <v>NWS9</v>
      </c>
      <c r="L1191" s="73" t="s">
        <v>182</v>
      </c>
      <c r="M1191" s="72">
        <v>41341</v>
      </c>
      <c r="N1191" s="84">
        <v>7.0000000000000007E-2</v>
      </c>
      <c r="O1191" s="96">
        <f t="shared" si="75"/>
        <v>9</v>
      </c>
      <c r="Q1191" s="96"/>
      <c r="T1191" s="110"/>
    </row>
    <row r="1192" spans="3:20" x14ac:dyDescent="0.2">
      <c r="C1192" s="96" t="str">
        <f t="shared" si="72"/>
        <v>NWS10</v>
      </c>
      <c r="D1192" s="73" t="s">
        <v>182</v>
      </c>
      <c r="E1192" s="100">
        <v>41523</v>
      </c>
      <c r="F1192" s="101">
        <v>7.0000000000000007E-2</v>
      </c>
      <c r="G1192" s="96">
        <f t="shared" si="73"/>
        <v>10</v>
      </c>
      <c r="I1192" s="96"/>
      <c r="K1192" t="str">
        <f t="shared" si="74"/>
        <v>NWS10</v>
      </c>
      <c r="L1192" s="73" t="s">
        <v>182</v>
      </c>
      <c r="M1192" s="72">
        <v>41523</v>
      </c>
      <c r="N1192" s="84">
        <v>7.0000000000000007E-2</v>
      </c>
      <c r="O1192" s="96">
        <f t="shared" si="75"/>
        <v>10</v>
      </c>
      <c r="Q1192" s="96"/>
      <c r="T1192" s="110"/>
    </row>
    <row r="1193" spans="3:20" x14ac:dyDescent="0.2">
      <c r="C1193" s="96" t="str">
        <f t="shared" si="72"/>
        <v>OCV1</v>
      </c>
      <c r="D1193" s="73" t="s">
        <v>183</v>
      </c>
      <c r="E1193" s="100">
        <v>40242</v>
      </c>
      <c r="F1193" s="101">
        <v>0.03</v>
      </c>
      <c r="G1193" s="96">
        <f t="shared" si="73"/>
        <v>1</v>
      </c>
      <c r="I1193" s="96"/>
      <c r="K1193" t="str">
        <f t="shared" si="74"/>
        <v>OCV1</v>
      </c>
      <c r="L1193" s="73" t="s">
        <v>183</v>
      </c>
      <c r="M1193" s="72">
        <v>40242</v>
      </c>
      <c r="N1193" s="84">
        <v>0.03</v>
      </c>
      <c r="O1193" s="96">
        <f t="shared" si="75"/>
        <v>1</v>
      </c>
      <c r="Q1193" s="96"/>
      <c r="T1193" s="110"/>
    </row>
    <row r="1194" spans="3:20" x14ac:dyDescent="0.2">
      <c r="C1194" s="96" t="str">
        <f t="shared" si="72"/>
        <v>OCV2</v>
      </c>
      <c r="D1194" s="73" t="s">
        <v>183</v>
      </c>
      <c r="E1194" s="100">
        <v>40435</v>
      </c>
      <c r="F1194" s="101">
        <v>0.03</v>
      </c>
      <c r="G1194" s="96">
        <f t="shared" si="73"/>
        <v>2</v>
      </c>
      <c r="I1194" s="96"/>
      <c r="K1194" t="str">
        <f t="shared" si="74"/>
        <v>OCV2</v>
      </c>
      <c r="L1194" s="73" t="s">
        <v>183</v>
      </c>
      <c r="M1194" s="72">
        <v>40435</v>
      </c>
      <c r="N1194" s="84">
        <v>0.03</v>
      </c>
      <c r="O1194" s="96">
        <f t="shared" si="75"/>
        <v>2</v>
      </c>
      <c r="Q1194" s="96"/>
      <c r="T1194" s="110"/>
    </row>
    <row r="1195" spans="3:20" x14ac:dyDescent="0.2">
      <c r="C1195" s="96" t="str">
        <f t="shared" si="72"/>
        <v>OCV3</v>
      </c>
      <c r="D1195" s="73" t="s">
        <v>183</v>
      </c>
      <c r="E1195" s="100">
        <v>40609</v>
      </c>
      <c r="F1195" s="101">
        <v>0.05</v>
      </c>
      <c r="G1195" s="96">
        <f t="shared" si="73"/>
        <v>3</v>
      </c>
      <c r="I1195" s="96"/>
      <c r="K1195" t="str">
        <f t="shared" si="74"/>
        <v>OCV3</v>
      </c>
      <c r="L1195" s="73" t="s">
        <v>183</v>
      </c>
      <c r="M1195" s="72">
        <v>40609</v>
      </c>
      <c r="N1195" s="84">
        <v>0.05</v>
      </c>
      <c r="O1195" s="96">
        <f t="shared" si="75"/>
        <v>3</v>
      </c>
      <c r="Q1195" s="96"/>
      <c r="T1195" s="110"/>
    </row>
    <row r="1196" spans="3:20" x14ac:dyDescent="0.2">
      <c r="C1196" s="96" t="str">
        <f t="shared" si="72"/>
        <v>OCV4</v>
      </c>
      <c r="D1196" s="73" t="s">
        <v>183</v>
      </c>
      <c r="E1196" s="100">
        <v>40800</v>
      </c>
      <c r="F1196" s="101">
        <v>0.08</v>
      </c>
      <c r="G1196" s="96">
        <f t="shared" si="73"/>
        <v>4</v>
      </c>
      <c r="I1196" s="96"/>
      <c r="K1196" t="str">
        <f t="shared" si="74"/>
        <v>OCV4</v>
      </c>
      <c r="L1196" s="73" t="s">
        <v>183</v>
      </c>
      <c r="M1196" s="72">
        <v>40800</v>
      </c>
      <c r="N1196" s="84">
        <v>0.08</v>
      </c>
      <c r="O1196" s="96">
        <f t="shared" si="75"/>
        <v>4</v>
      </c>
      <c r="Q1196" s="96"/>
      <c r="T1196" s="110"/>
    </row>
    <row r="1197" spans="3:20" x14ac:dyDescent="0.2">
      <c r="C1197" s="96" t="str">
        <f t="shared" si="72"/>
        <v>OCV5</v>
      </c>
      <c r="D1197" s="73" t="s">
        <v>183</v>
      </c>
      <c r="E1197" s="100">
        <v>40974</v>
      </c>
      <c r="F1197" s="101">
        <v>0.08</v>
      </c>
      <c r="G1197" s="96">
        <f t="shared" si="73"/>
        <v>5</v>
      </c>
      <c r="I1197" s="96"/>
      <c r="K1197" t="str">
        <f t="shared" si="74"/>
        <v>OCV5</v>
      </c>
      <c r="L1197" s="73" t="s">
        <v>183</v>
      </c>
      <c r="M1197" s="72">
        <v>40974</v>
      </c>
      <c r="N1197" s="84">
        <v>0.08</v>
      </c>
      <c r="O1197" s="96">
        <f t="shared" si="75"/>
        <v>5</v>
      </c>
      <c r="Q1197" s="96"/>
      <c r="T1197" s="110"/>
    </row>
    <row r="1198" spans="3:20" x14ac:dyDescent="0.2">
      <c r="C1198" s="96" t="str">
        <f t="shared" si="72"/>
        <v>OCV6</v>
      </c>
      <c r="D1198" s="73" t="s">
        <v>183</v>
      </c>
      <c r="E1198" s="100">
        <v>41166</v>
      </c>
      <c r="F1198" s="101">
        <v>0.1</v>
      </c>
      <c r="G1198" s="96">
        <f t="shared" si="73"/>
        <v>6</v>
      </c>
      <c r="I1198" s="96"/>
      <c r="K1198" t="str">
        <f t="shared" si="74"/>
        <v>OCV6</v>
      </c>
      <c r="L1198" s="73" t="s">
        <v>183</v>
      </c>
      <c r="M1198" s="72">
        <v>41166</v>
      </c>
      <c r="N1198" s="84">
        <v>0.1</v>
      </c>
      <c r="O1198" s="96">
        <f t="shared" si="75"/>
        <v>6</v>
      </c>
      <c r="Q1198" s="96"/>
      <c r="T1198" s="110"/>
    </row>
    <row r="1199" spans="3:20" x14ac:dyDescent="0.2">
      <c r="C1199" s="96" t="str">
        <f t="shared" si="72"/>
        <v>OMH1</v>
      </c>
      <c r="D1199" s="73" t="s">
        <v>248</v>
      </c>
      <c r="E1199" s="100">
        <v>39923</v>
      </c>
      <c r="F1199" s="101">
        <v>0.02</v>
      </c>
      <c r="G1199" s="96">
        <f t="shared" si="73"/>
        <v>1</v>
      </c>
      <c r="I1199" s="96"/>
      <c r="K1199" t="str">
        <f t="shared" si="74"/>
        <v>OMH1</v>
      </c>
      <c r="L1199" s="73" t="s">
        <v>248</v>
      </c>
      <c r="M1199" s="72">
        <v>39923</v>
      </c>
      <c r="N1199" s="84">
        <v>0.02</v>
      </c>
      <c r="O1199" s="96">
        <f t="shared" si="75"/>
        <v>1</v>
      </c>
      <c r="Q1199" s="96"/>
      <c r="T1199" s="110"/>
    </row>
    <row r="1200" spans="3:20" x14ac:dyDescent="0.2">
      <c r="C1200" s="96" t="str">
        <f t="shared" si="72"/>
        <v>OMH2</v>
      </c>
      <c r="D1200" s="73" t="s">
        <v>248</v>
      </c>
      <c r="E1200" s="100">
        <v>40071</v>
      </c>
      <c r="F1200" s="101">
        <v>0.17120000000000002</v>
      </c>
      <c r="G1200" s="96">
        <f t="shared" si="73"/>
        <v>2</v>
      </c>
      <c r="I1200" s="96"/>
      <c r="K1200" t="str">
        <f t="shared" si="74"/>
        <v>OMH2</v>
      </c>
      <c r="L1200" s="73" t="s">
        <v>248</v>
      </c>
      <c r="M1200" s="72">
        <v>40071</v>
      </c>
      <c r="N1200" s="84">
        <v>0.17120000000000002</v>
      </c>
      <c r="O1200" s="96">
        <f t="shared" si="75"/>
        <v>2</v>
      </c>
      <c r="Q1200" s="96"/>
      <c r="T1200" s="110"/>
    </row>
    <row r="1201" spans="3:20" x14ac:dyDescent="0.2">
      <c r="C1201" s="96" t="str">
        <f t="shared" si="72"/>
        <v>OMH3</v>
      </c>
      <c r="D1201" s="73" t="s">
        <v>248</v>
      </c>
      <c r="E1201" s="100">
        <v>40288</v>
      </c>
      <c r="F1201" s="101">
        <v>9.7799999999999998E-2</v>
      </c>
      <c r="G1201" s="96">
        <f t="shared" si="73"/>
        <v>3</v>
      </c>
      <c r="I1201" s="96"/>
      <c r="K1201" t="str">
        <f t="shared" si="74"/>
        <v>OMH3</v>
      </c>
      <c r="L1201" s="73" t="s">
        <v>248</v>
      </c>
      <c r="M1201" s="72">
        <v>40288</v>
      </c>
      <c r="N1201" s="84">
        <v>9.7799999999999998E-2</v>
      </c>
      <c r="O1201" s="96">
        <f t="shared" si="75"/>
        <v>3</v>
      </c>
      <c r="Q1201" s="96"/>
      <c r="T1201" s="110"/>
    </row>
    <row r="1202" spans="3:20" x14ac:dyDescent="0.2">
      <c r="C1202" s="96" t="str">
        <f t="shared" si="72"/>
        <v>OMH4</v>
      </c>
      <c r="D1202" s="73" t="s">
        <v>248</v>
      </c>
      <c r="E1202" s="100">
        <v>40436</v>
      </c>
      <c r="F1202" s="101">
        <v>0.36149999999999999</v>
      </c>
      <c r="G1202" s="96">
        <f t="shared" si="73"/>
        <v>4</v>
      </c>
      <c r="I1202" s="96"/>
      <c r="K1202" t="str">
        <f t="shared" si="74"/>
        <v>OMH4</v>
      </c>
      <c r="L1202" s="73" t="s">
        <v>248</v>
      </c>
      <c r="M1202" s="72">
        <v>40436</v>
      </c>
      <c r="N1202" s="84">
        <v>0.36149999999999999</v>
      </c>
      <c r="O1202" s="96">
        <f t="shared" si="75"/>
        <v>4</v>
      </c>
      <c r="Q1202" s="96"/>
      <c r="T1202" s="110"/>
    </row>
    <row r="1203" spans="3:20" x14ac:dyDescent="0.2">
      <c r="C1203" s="96" t="str">
        <f t="shared" si="72"/>
        <v>OMH5</v>
      </c>
      <c r="D1203" s="73" t="s">
        <v>248</v>
      </c>
      <c r="E1203" s="100">
        <v>40653</v>
      </c>
      <c r="F1203" s="101">
        <v>0.20649999999999999</v>
      </c>
      <c r="G1203" s="96">
        <f t="shared" si="73"/>
        <v>5</v>
      </c>
      <c r="I1203" s="96"/>
      <c r="K1203" t="str">
        <f t="shared" si="74"/>
        <v>OMH5</v>
      </c>
      <c r="L1203" s="73" t="s">
        <v>248</v>
      </c>
      <c r="M1203" s="72">
        <v>40653</v>
      </c>
      <c r="N1203" s="84">
        <v>0.20649999999999999</v>
      </c>
      <c r="O1203" s="96">
        <f t="shared" si="75"/>
        <v>5</v>
      </c>
      <c r="Q1203" s="96"/>
      <c r="T1203" s="110"/>
    </row>
    <row r="1204" spans="3:20" x14ac:dyDescent="0.2">
      <c r="C1204" s="96" t="str">
        <f t="shared" si="72"/>
        <v>OMH6</v>
      </c>
      <c r="D1204" s="73" t="s">
        <v>248</v>
      </c>
      <c r="E1204" s="100">
        <v>40801</v>
      </c>
      <c r="F1204" s="101">
        <v>0.40350000000000003</v>
      </c>
      <c r="G1204" s="96">
        <f t="shared" si="73"/>
        <v>6</v>
      </c>
      <c r="I1204" s="96"/>
      <c r="K1204" t="str">
        <f t="shared" si="74"/>
        <v>OMH6</v>
      </c>
      <c r="L1204" s="73" t="s">
        <v>248</v>
      </c>
      <c r="M1204" s="72">
        <v>40801</v>
      </c>
      <c r="N1204" s="84">
        <v>0.40350000000000003</v>
      </c>
      <c r="O1204" s="96">
        <f t="shared" si="75"/>
        <v>6</v>
      </c>
      <c r="Q1204" s="96"/>
      <c r="T1204" s="110"/>
    </row>
    <row r="1205" spans="3:20" x14ac:dyDescent="0.2">
      <c r="C1205" s="96" t="str">
        <f t="shared" si="72"/>
        <v>OMH7</v>
      </c>
      <c r="D1205" s="73" t="s">
        <v>248</v>
      </c>
      <c r="E1205" s="100">
        <v>41019</v>
      </c>
      <c r="F1205" s="101">
        <v>0.23050000000000001</v>
      </c>
      <c r="G1205" s="96">
        <f t="shared" si="73"/>
        <v>7</v>
      </c>
      <c r="I1205" s="96"/>
      <c r="K1205" t="str">
        <f t="shared" si="74"/>
        <v>OMH7</v>
      </c>
      <c r="L1205" s="73" t="s">
        <v>248</v>
      </c>
      <c r="M1205" s="72">
        <v>41019</v>
      </c>
      <c r="N1205" s="84">
        <v>0.23050000000000001</v>
      </c>
      <c r="O1205" s="96">
        <f t="shared" si="75"/>
        <v>7</v>
      </c>
      <c r="Q1205" s="96"/>
      <c r="T1205" s="110"/>
    </row>
    <row r="1206" spans="3:20" x14ac:dyDescent="0.2">
      <c r="C1206" s="96" t="str">
        <f t="shared" si="72"/>
        <v>OMH8</v>
      </c>
      <c r="D1206" s="73" t="s">
        <v>248</v>
      </c>
      <c r="E1206" s="100">
        <v>41169</v>
      </c>
      <c r="F1206" s="101">
        <v>0.38689999999999997</v>
      </c>
      <c r="G1206" s="96">
        <f t="shared" si="73"/>
        <v>8</v>
      </c>
      <c r="I1206" s="96"/>
      <c r="K1206" t="str">
        <f t="shared" si="74"/>
        <v>OMH8</v>
      </c>
      <c r="L1206" s="73" t="s">
        <v>248</v>
      </c>
      <c r="M1206" s="72">
        <v>41169</v>
      </c>
      <c r="N1206" s="84">
        <v>0.38689999999999997</v>
      </c>
      <c r="O1206" s="96">
        <f t="shared" si="75"/>
        <v>8</v>
      </c>
      <c r="Q1206" s="96"/>
      <c r="T1206" s="110"/>
    </row>
    <row r="1207" spans="3:20" x14ac:dyDescent="0.2">
      <c r="C1207" s="96" t="str">
        <f t="shared" si="72"/>
        <v>OMH9</v>
      </c>
      <c r="D1207" s="73" t="s">
        <v>248</v>
      </c>
      <c r="E1207" s="100">
        <v>41386</v>
      </c>
      <c r="F1207" s="101">
        <v>0.22109999999999999</v>
      </c>
      <c r="G1207" s="96">
        <f t="shared" si="73"/>
        <v>9</v>
      </c>
      <c r="I1207" s="96"/>
      <c r="K1207" t="str">
        <f t="shared" si="74"/>
        <v>OMH9</v>
      </c>
      <c r="L1207" s="73" t="s">
        <v>248</v>
      </c>
      <c r="M1207" s="72">
        <v>41386</v>
      </c>
      <c r="N1207" s="84">
        <v>0.22109999999999999</v>
      </c>
      <c r="O1207" s="96">
        <f t="shared" si="75"/>
        <v>9</v>
      </c>
      <c r="Q1207" s="96"/>
      <c r="T1207" s="110"/>
    </row>
    <row r="1208" spans="3:20" x14ac:dyDescent="0.2">
      <c r="C1208" s="96" t="str">
        <f t="shared" si="72"/>
        <v>ORG1</v>
      </c>
      <c r="D1208" s="73" t="s">
        <v>184</v>
      </c>
      <c r="E1208" s="100">
        <v>39876</v>
      </c>
      <c r="F1208" s="101">
        <v>0.13</v>
      </c>
      <c r="G1208" s="96">
        <f t="shared" si="73"/>
        <v>1</v>
      </c>
      <c r="I1208" s="96"/>
      <c r="K1208" t="str">
        <f t="shared" si="74"/>
        <v>ORG1</v>
      </c>
      <c r="L1208" s="73" t="s">
        <v>184</v>
      </c>
      <c r="M1208" s="72">
        <v>39876</v>
      </c>
      <c r="N1208" s="84">
        <v>0.13</v>
      </c>
      <c r="O1208" s="96">
        <f t="shared" si="75"/>
        <v>1</v>
      </c>
      <c r="Q1208" s="96"/>
      <c r="T1208" s="110"/>
    </row>
    <row r="1209" spans="3:20" x14ac:dyDescent="0.2">
      <c r="C1209" s="96" t="str">
        <f t="shared" si="72"/>
        <v>ORG2</v>
      </c>
      <c r="D1209" s="73" t="s">
        <v>184</v>
      </c>
      <c r="E1209" s="100">
        <v>40059</v>
      </c>
      <c r="F1209" s="101">
        <v>0.14000000000000001</v>
      </c>
      <c r="G1209" s="96">
        <f t="shared" si="73"/>
        <v>2</v>
      </c>
      <c r="I1209" s="96"/>
      <c r="K1209" t="str">
        <f t="shared" si="74"/>
        <v>ORG2</v>
      </c>
      <c r="L1209" s="73" t="s">
        <v>184</v>
      </c>
      <c r="M1209" s="72">
        <v>40059</v>
      </c>
      <c r="N1209" s="84">
        <v>0.14000000000000001</v>
      </c>
      <c r="O1209" s="96">
        <f t="shared" si="75"/>
        <v>2</v>
      </c>
      <c r="Q1209" s="96"/>
      <c r="T1209" s="110"/>
    </row>
    <row r="1210" spans="3:20" x14ac:dyDescent="0.2">
      <c r="C1210" s="96" t="str">
        <f t="shared" si="72"/>
        <v>ORG3</v>
      </c>
      <c r="D1210" s="73" t="s">
        <v>184</v>
      </c>
      <c r="E1210" s="100">
        <v>40242</v>
      </c>
      <c r="F1210" s="101">
        <v>0.14000000000000001</v>
      </c>
      <c r="G1210" s="96">
        <f t="shared" si="73"/>
        <v>3</v>
      </c>
      <c r="I1210" s="96"/>
      <c r="K1210" t="str">
        <f t="shared" si="74"/>
        <v>ORG3</v>
      </c>
      <c r="L1210" s="73" t="s">
        <v>184</v>
      </c>
      <c r="M1210" s="72">
        <v>40242</v>
      </c>
      <c r="N1210" s="84">
        <v>0.14000000000000001</v>
      </c>
      <c r="O1210" s="96">
        <f t="shared" si="75"/>
        <v>3</v>
      </c>
      <c r="Q1210" s="96"/>
      <c r="T1210" s="110"/>
    </row>
    <row r="1211" spans="3:20" x14ac:dyDescent="0.2">
      <c r="C1211" s="96" t="str">
        <f t="shared" si="72"/>
        <v>ORG4</v>
      </c>
      <c r="D1211" s="73" t="s">
        <v>184</v>
      </c>
      <c r="E1211" s="100">
        <v>40424</v>
      </c>
      <c r="F1211" s="101">
        <v>0.15</v>
      </c>
      <c r="G1211" s="96">
        <f t="shared" si="73"/>
        <v>4</v>
      </c>
      <c r="I1211" s="96"/>
      <c r="K1211" t="str">
        <f t="shared" si="74"/>
        <v>ORG4</v>
      </c>
      <c r="L1211" s="73" t="s">
        <v>184</v>
      </c>
      <c r="M1211" s="72">
        <v>40424</v>
      </c>
      <c r="N1211" s="84">
        <v>0.15</v>
      </c>
      <c r="O1211" s="96">
        <f t="shared" si="75"/>
        <v>4</v>
      </c>
      <c r="Q1211" s="96"/>
      <c r="T1211" s="110"/>
    </row>
    <row r="1212" spans="3:20" x14ac:dyDescent="0.2">
      <c r="C1212" s="96" t="str">
        <f t="shared" si="72"/>
        <v>ORG5</v>
      </c>
      <c r="D1212" s="73" t="s">
        <v>184</v>
      </c>
      <c r="E1212" s="100">
        <v>40609</v>
      </c>
      <c r="F1212" s="101">
        <v>0.19</v>
      </c>
      <c r="G1212" s="96">
        <f t="shared" si="73"/>
        <v>5</v>
      </c>
      <c r="I1212" s="96"/>
      <c r="K1212" t="str">
        <f t="shared" si="74"/>
        <v>ORG5</v>
      </c>
      <c r="L1212" s="73" t="s">
        <v>184</v>
      </c>
      <c r="M1212" s="72">
        <v>40609</v>
      </c>
      <c r="N1212" s="84">
        <v>0.19</v>
      </c>
      <c r="O1212" s="96">
        <f t="shared" si="75"/>
        <v>5</v>
      </c>
      <c r="Q1212" s="96"/>
      <c r="T1212" s="110"/>
    </row>
    <row r="1213" spans="3:20" x14ac:dyDescent="0.2">
      <c r="C1213" s="96" t="str">
        <f t="shared" si="72"/>
        <v>ORG6</v>
      </c>
      <c r="D1213" s="73" t="s">
        <v>184</v>
      </c>
      <c r="E1213" s="100">
        <v>40791</v>
      </c>
      <c r="F1213" s="101">
        <v>0.2</v>
      </c>
      <c r="G1213" s="96">
        <f t="shared" si="73"/>
        <v>6</v>
      </c>
      <c r="I1213" s="96"/>
      <c r="K1213" t="str">
        <f t="shared" si="74"/>
        <v>ORG6</v>
      </c>
      <c r="L1213" s="73" t="s">
        <v>184</v>
      </c>
      <c r="M1213" s="72">
        <v>40791</v>
      </c>
      <c r="N1213" s="84">
        <v>0.2</v>
      </c>
      <c r="O1213" s="96">
        <f t="shared" si="75"/>
        <v>6</v>
      </c>
      <c r="Q1213" s="96"/>
      <c r="T1213" s="110"/>
    </row>
    <row r="1214" spans="3:20" x14ac:dyDescent="0.2">
      <c r="C1214" s="96" t="str">
        <f t="shared" si="72"/>
        <v>ORG7</v>
      </c>
      <c r="D1214" s="73" t="s">
        <v>184</v>
      </c>
      <c r="E1214" s="100">
        <v>40974</v>
      </c>
      <c r="F1214" s="101">
        <v>0.25</v>
      </c>
      <c r="G1214" s="96">
        <f t="shared" si="73"/>
        <v>7</v>
      </c>
      <c r="I1214" s="96"/>
      <c r="K1214" t="str">
        <f t="shared" si="74"/>
        <v>ORG7</v>
      </c>
      <c r="L1214" s="73" t="s">
        <v>184</v>
      </c>
      <c r="M1214" s="72">
        <v>40974</v>
      </c>
      <c r="N1214" s="84">
        <v>0.25</v>
      </c>
      <c r="O1214" s="96">
        <f t="shared" si="75"/>
        <v>7</v>
      </c>
      <c r="Q1214" s="96"/>
      <c r="T1214" s="110"/>
    </row>
    <row r="1215" spans="3:20" x14ac:dyDescent="0.2">
      <c r="C1215" s="96" t="str">
        <f t="shared" si="72"/>
        <v>ORG8</v>
      </c>
      <c r="D1215" s="73" t="s">
        <v>184</v>
      </c>
      <c r="E1215" s="100">
        <v>41156</v>
      </c>
      <c r="F1215" s="101">
        <v>0.26</v>
      </c>
      <c r="G1215" s="96">
        <f t="shared" si="73"/>
        <v>8</v>
      </c>
      <c r="I1215" s="96"/>
      <c r="K1215" t="str">
        <f t="shared" si="74"/>
        <v>ORG8</v>
      </c>
      <c r="L1215" s="73" t="s">
        <v>184</v>
      </c>
      <c r="M1215" s="72">
        <v>41156</v>
      </c>
      <c r="N1215" s="84">
        <v>0.26</v>
      </c>
      <c r="O1215" s="96">
        <f t="shared" si="75"/>
        <v>8</v>
      </c>
      <c r="Q1215" s="96"/>
      <c r="T1215" s="110"/>
    </row>
    <row r="1216" spans="3:20" x14ac:dyDescent="0.2">
      <c r="C1216" s="96" t="str">
        <f t="shared" si="72"/>
        <v>ORG9</v>
      </c>
      <c r="D1216" s="73" t="s">
        <v>184</v>
      </c>
      <c r="E1216" s="100">
        <v>41339</v>
      </c>
      <c r="F1216" s="101">
        <v>0.28999999999999998</v>
      </c>
      <c r="G1216" s="96">
        <f t="shared" si="73"/>
        <v>9</v>
      </c>
      <c r="I1216" s="96"/>
      <c r="K1216" t="str">
        <f t="shared" si="74"/>
        <v>ORG9</v>
      </c>
      <c r="L1216" s="73" t="s">
        <v>184</v>
      </c>
      <c r="M1216" s="72">
        <v>41339</v>
      </c>
      <c r="N1216" s="84">
        <v>0.28999999999999998</v>
      </c>
      <c r="O1216" s="96">
        <f t="shared" si="75"/>
        <v>9</v>
      </c>
      <c r="Q1216" s="96"/>
      <c r="T1216" s="110"/>
    </row>
    <row r="1217" spans="3:20" x14ac:dyDescent="0.2">
      <c r="C1217" s="96" t="str">
        <f t="shared" si="72"/>
        <v>ORG10</v>
      </c>
      <c r="D1217" s="73" t="s">
        <v>184</v>
      </c>
      <c r="E1217" s="100">
        <v>41521</v>
      </c>
      <c r="F1217" s="101">
        <v>0.3</v>
      </c>
      <c r="G1217" s="96">
        <f t="shared" si="73"/>
        <v>10</v>
      </c>
      <c r="I1217" s="96"/>
      <c r="K1217" t="str">
        <f t="shared" si="74"/>
        <v>ORG10</v>
      </c>
      <c r="L1217" s="73" t="s">
        <v>184</v>
      </c>
      <c r="M1217" s="72">
        <v>41521</v>
      </c>
      <c r="N1217" s="84">
        <v>0.3</v>
      </c>
      <c r="O1217" s="96">
        <f t="shared" si="75"/>
        <v>10</v>
      </c>
      <c r="Q1217" s="96"/>
      <c r="T1217" s="110"/>
    </row>
    <row r="1218" spans="3:20" x14ac:dyDescent="0.2">
      <c r="C1218" s="96" t="str">
        <f t="shared" si="72"/>
        <v>ORI1</v>
      </c>
      <c r="D1218" s="73" t="s">
        <v>185</v>
      </c>
      <c r="E1218" s="100">
        <v>39974</v>
      </c>
      <c r="F1218" s="101">
        <v>0.42</v>
      </c>
      <c r="G1218" s="96">
        <f t="shared" si="73"/>
        <v>1</v>
      </c>
      <c r="I1218" s="96"/>
      <c r="K1218" t="str">
        <f t="shared" si="74"/>
        <v>ORI1</v>
      </c>
      <c r="L1218" s="73" t="s">
        <v>185</v>
      </c>
      <c r="M1218" s="72">
        <v>39974</v>
      </c>
      <c r="N1218" s="84">
        <v>0.42</v>
      </c>
      <c r="O1218" s="96">
        <f t="shared" si="75"/>
        <v>1</v>
      </c>
      <c r="Q1218" s="96"/>
      <c r="T1218" s="110"/>
    </row>
    <row r="1219" spans="3:20" x14ac:dyDescent="0.2">
      <c r="C1219" s="96" t="str">
        <f t="shared" ref="C1219:C1282" si="76">D1219&amp;G1219</f>
        <v>ORI2</v>
      </c>
      <c r="D1219" s="73" t="s">
        <v>185</v>
      </c>
      <c r="E1219" s="100">
        <v>40128</v>
      </c>
      <c r="F1219" s="101">
        <v>0.57999999999999996</v>
      </c>
      <c r="G1219" s="96">
        <f t="shared" ref="G1219:G1282" si="77">IF(D1219&lt;&gt;D1218,1,G1218+1)</f>
        <v>2</v>
      </c>
      <c r="I1219" s="96"/>
      <c r="K1219" t="str">
        <f t="shared" ref="K1219:K1282" si="78">L1219&amp;O1219</f>
        <v>ORI2</v>
      </c>
      <c r="L1219" s="73" t="s">
        <v>185</v>
      </c>
      <c r="M1219" s="72">
        <v>40128</v>
      </c>
      <c r="N1219" s="84">
        <v>0.57999999999999996</v>
      </c>
      <c r="O1219" s="96">
        <f t="shared" ref="O1219:O1282" si="79">IF(L1219&lt;&gt;L1218,1,O1218+1)</f>
        <v>2</v>
      </c>
      <c r="Q1219" s="96"/>
      <c r="T1219" s="110"/>
    </row>
    <row r="1220" spans="3:20" x14ac:dyDescent="0.2">
      <c r="C1220" s="96" t="str">
        <f t="shared" si="76"/>
        <v>ORI3</v>
      </c>
      <c r="D1220" s="73" t="s">
        <v>185</v>
      </c>
      <c r="E1220" s="100">
        <v>40339</v>
      </c>
      <c r="F1220" s="101">
        <v>0.42380000000000001</v>
      </c>
      <c r="G1220" s="96">
        <f t="shared" si="77"/>
        <v>3</v>
      </c>
      <c r="I1220" s="96"/>
      <c r="K1220" t="str">
        <f t="shared" si="78"/>
        <v>ORI3</v>
      </c>
      <c r="L1220" s="73" t="s">
        <v>185</v>
      </c>
      <c r="M1220" s="72">
        <v>40339</v>
      </c>
      <c r="N1220" s="84">
        <v>0.42380000000000001</v>
      </c>
      <c r="O1220" s="96">
        <f t="shared" si="79"/>
        <v>3</v>
      </c>
      <c r="Q1220" s="96"/>
      <c r="T1220" s="110"/>
    </row>
    <row r="1221" spans="3:20" x14ac:dyDescent="0.2">
      <c r="C1221" s="96" t="str">
        <f t="shared" si="76"/>
        <v>ORI4</v>
      </c>
      <c r="D1221" s="73" t="s">
        <v>185</v>
      </c>
      <c r="E1221" s="100">
        <v>40493</v>
      </c>
      <c r="F1221" s="101">
        <v>0.58520000000000005</v>
      </c>
      <c r="G1221" s="96">
        <f t="shared" si="77"/>
        <v>4</v>
      </c>
      <c r="I1221" s="96"/>
      <c r="K1221" t="str">
        <f t="shared" si="78"/>
        <v>ORI4</v>
      </c>
      <c r="L1221" s="73" t="s">
        <v>185</v>
      </c>
      <c r="M1221" s="72">
        <v>40493</v>
      </c>
      <c r="N1221" s="84">
        <v>0.58520000000000005</v>
      </c>
      <c r="O1221" s="96">
        <f t="shared" si="79"/>
        <v>4</v>
      </c>
      <c r="Q1221" s="96"/>
      <c r="T1221" s="110"/>
    </row>
    <row r="1222" spans="3:20" x14ac:dyDescent="0.2">
      <c r="C1222" s="96" t="str">
        <f t="shared" si="76"/>
        <v>ORI5</v>
      </c>
      <c r="D1222" s="73" t="s">
        <v>185</v>
      </c>
      <c r="E1222" s="100">
        <v>40704</v>
      </c>
      <c r="F1222" s="101">
        <v>0.441</v>
      </c>
      <c r="G1222" s="96">
        <f t="shared" si="77"/>
        <v>5</v>
      </c>
      <c r="I1222" s="96"/>
      <c r="K1222" t="str">
        <f t="shared" si="78"/>
        <v>ORI5</v>
      </c>
      <c r="L1222" s="73" t="s">
        <v>185</v>
      </c>
      <c r="M1222" s="72">
        <v>40704</v>
      </c>
      <c r="N1222" s="84">
        <v>0.441</v>
      </c>
      <c r="O1222" s="96">
        <f t="shared" si="79"/>
        <v>5</v>
      </c>
      <c r="Q1222" s="96"/>
      <c r="T1222" s="110"/>
    </row>
    <row r="1223" spans="3:20" x14ac:dyDescent="0.2">
      <c r="C1223" s="96" t="str">
        <f t="shared" si="76"/>
        <v>ORI6</v>
      </c>
      <c r="D1223" s="73" t="s">
        <v>185</v>
      </c>
      <c r="E1223" s="100">
        <v>40858</v>
      </c>
      <c r="F1223" s="101">
        <v>0.60899999999999999</v>
      </c>
      <c r="G1223" s="96">
        <f t="shared" si="77"/>
        <v>6</v>
      </c>
      <c r="I1223" s="96"/>
      <c r="K1223" t="str">
        <f t="shared" si="78"/>
        <v>ORI6</v>
      </c>
      <c r="L1223" s="73" t="s">
        <v>185</v>
      </c>
      <c r="M1223" s="72">
        <v>40858</v>
      </c>
      <c r="N1223" s="84">
        <v>0.60899999999999999</v>
      </c>
      <c r="O1223" s="96">
        <f t="shared" si="79"/>
        <v>6</v>
      </c>
      <c r="Q1223" s="96"/>
      <c r="T1223" s="110"/>
    </row>
    <row r="1224" spans="3:20" x14ac:dyDescent="0.2">
      <c r="C1224" s="96" t="str">
        <f t="shared" si="76"/>
        <v>ORI7</v>
      </c>
      <c r="D1224" s="73" t="s">
        <v>185</v>
      </c>
      <c r="E1224" s="100">
        <v>41072</v>
      </c>
      <c r="F1224" s="101">
        <v>0.49520000000000003</v>
      </c>
      <c r="G1224" s="96">
        <f t="shared" si="77"/>
        <v>7</v>
      </c>
      <c r="I1224" s="96"/>
      <c r="K1224" t="str">
        <f t="shared" si="78"/>
        <v>ORI7</v>
      </c>
      <c r="L1224" s="73" t="s">
        <v>185</v>
      </c>
      <c r="M1224" s="72">
        <v>41072</v>
      </c>
      <c r="N1224" s="84">
        <v>0.49520000000000003</v>
      </c>
      <c r="O1224" s="96">
        <f t="shared" si="79"/>
        <v>7</v>
      </c>
      <c r="Q1224" s="96"/>
      <c r="T1224" s="110"/>
    </row>
    <row r="1225" spans="3:20" x14ac:dyDescent="0.2">
      <c r="C1225" s="96" t="str">
        <f t="shared" si="76"/>
        <v>ORI8</v>
      </c>
      <c r="D1225" s="73" t="s">
        <v>185</v>
      </c>
      <c r="E1225" s="100">
        <v>41226</v>
      </c>
      <c r="F1225" s="101">
        <v>0.68379999999999996</v>
      </c>
      <c r="G1225" s="96">
        <f t="shared" si="77"/>
        <v>8</v>
      </c>
      <c r="I1225" s="96"/>
      <c r="K1225" t="str">
        <f t="shared" si="78"/>
        <v>ORI8</v>
      </c>
      <c r="L1225" s="73" t="s">
        <v>185</v>
      </c>
      <c r="M1225" s="72">
        <v>41226</v>
      </c>
      <c r="N1225" s="84">
        <v>0.68379999999999996</v>
      </c>
      <c r="O1225" s="96">
        <f t="shared" si="79"/>
        <v>8</v>
      </c>
      <c r="Q1225" s="96"/>
      <c r="T1225" s="110"/>
    </row>
    <row r="1226" spans="3:20" x14ac:dyDescent="0.2">
      <c r="C1226" s="96" t="str">
        <f t="shared" si="76"/>
        <v>ORI9</v>
      </c>
      <c r="D1226" s="73" t="s">
        <v>185</v>
      </c>
      <c r="E1226" s="100">
        <v>41437</v>
      </c>
      <c r="F1226" s="101">
        <v>0.54179999999999995</v>
      </c>
      <c r="G1226" s="96">
        <f t="shared" si="77"/>
        <v>9</v>
      </c>
      <c r="I1226" s="96"/>
      <c r="K1226" t="str">
        <f t="shared" si="78"/>
        <v>ORI9</v>
      </c>
      <c r="L1226" s="73" t="s">
        <v>185</v>
      </c>
      <c r="M1226" s="72">
        <v>41437</v>
      </c>
      <c r="N1226" s="84">
        <v>0.54179999999999995</v>
      </c>
      <c r="O1226" s="96">
        <f t="shared" si="79"/>
        <v>9</v>
      </c>
      <c r="Q1226" s="96"/>
      <c r="T1226" s="110"/>
    </row>
    <row r="1227" spans="3:20" x14ac:dyDescent="0.2">
      <c r="C1227" s="96" t="str">
        <f t="shared" si="76"/>
        <v>ORI10</v>
      </c>
      <c r="D1227" s="73" t="s">
        <v>185</v>
      </c>
      <c r="E1227" s="100">
        <v>41591</v>
      </c>
      <c r="F1227" s="101">
        <v>0.74819999999999998</v>
      </c>
      <c r="G1227" s="96">
        <f t="shared" si="77"/>
        <v>10</v>
      </c>
      <c r="I1227" s="96"/>
      <c r="K1227" t="str">
        <f t="shared" si="78"/>
        <v>ORI10</v>
      </c>
      <c r="L1227" s="73" t="s">
        <v>185</v>
      </c>
      <c r="M1227" s="72">
        <v>41591</v>
      </c>
      <c r="N1227" s="84">
        <v>0.74819999999999998</v>
      </c>
      <c r="O1227" s="96">
        <f t="shared" si="79"/>
        <v>10</v>
      </c>
      <c r="Q1227" s="96"/>
      <c r="T1227" s="110"/>
    </row>
    <row r="1228" spans="3:20" x14ac:dyDescent="0.2">
      <c r="C1228" s="96" t="str">
        <f t="shared" si="76"/>
        <v>OSH1</v>
      </c>
      <c r="D1228" s="73" t="s">
        <v>186</v>
      </c>
      <c r="E1228" s="100">
        <v>39874</v>
      </c>
      <c r="F1228" s="101">
        <v>0.04</v>
      </c>
      <c r="G1228" s="96">
        <f t="shared" si="77"/>
        <v>1</v>
      </c>
      <c r="I1228" s="96"/>
      <c r="K1228" t="str">
        <f t="shared" si="78"/>
        <v>OSH1</v>
      </c>
      <c r="L1228" s="73" t="s">
        <v>186</v>
      </c>
      <c r="M1228" s="72">
        <v>39874</v>
      </c>
      <c r="N1228" s="84">
        <v>0.04</v>
      </c>
      <c r="O1228" s="96">
        <f t="shared" si="79"/>
        <v>1</v>
      </c>
      <c r="Q1228" s="96"/>
      <c r="T1228" s="110"/>
    </row>
    <row r="1229" spans="3:20" x14ac:dyDescent="0.2">
      <c r="C1229" s="96" t="str">
        <f t="shared" si="76"/>
        <v>OSH2</v>
      </c>
      <c r="D1229" s="73" t="s">
        <v>186</v>
      </c>
      <c r="E1229" s="100">
        <v>40077</v>
      </c>
      <c r="F1229" s="101">
        <v>0.04</v>
      </c>
      <c r="G1229" s="96">
        <f t="shared" si="77"/>
        <v>2</v>
      </c>
      <c r="I1229" s="96"/>
      <c r="K1229" t="str">
        <f t="shared" si="78"/>
        <v>OSH2</v>
      </c>
      <c r="L1229" s="73" t="s">
        <v>186</v>
      </c>
      <c r="M1229" s="72">
        <v>40077</v>
      </c>
      <c r="N1229" s="84">
        <v>0.04</v>
      </c>
      <c r="O1229" s="96">
        <f t="shared" si="79"/>
        <v>2</v>
      </c>
      <c r="Q1229" s="96"/>
      <c r="T1229" s="110"/>
    </row>
    <row r="1230" spans="3:20" x14ac:dyDescent="0.2">
      <c r="C1230" s="96" t="str">
        <f t="shared" si="76"/>
        <v>OSH3</v>
      </c>
      <c r="D1230" s="73" t="s">
        <v>186</v>
      </c>
      <c r="E1230" s="100">
        <v>40239</v>
      </c>
      <c r="F1230" s="101">
        <v>0.04</v>
      </c>
      <c r="G1230" s="96">
        <f t="shared" si="77"/>
        <v>3</v>
      </c>
      <c r="I1230" s="96"/>
      <c r="K1230" t="str">
        <f t="shared" si="78"/>
        <v>OSH3</v>
      </c>
      <c r="L1230" s="73" t="s">
        <v>186</v>
      </c>
      <c r="M1230" s="72">
        <v>40239</v>
      </c>
      <c r="N1230" s="84">
        <v>0.04</v>
      </c>
      <c r="O1230" s="96">
        <f t="shared" si="79"/>
        <v>3</v>
      </c>
      <c r="Q1230" s="96"/>
      <c r="T1230" s="110"/>
    </row>
    <row r="1231" spans="3:20" x14ac:dyDescent="0.2">
      <c r="C1231" s="96" t="str">
        <f t="shared" si="76"/>
        <v>OSH4</v>
      </c>
      <c r="D1231" s="73" t="s">
        <v>186</v>
      </c>
      <c r="E1231" s="100">
        <v>40442</v>
      </c>
      <c r="F1231" s="101">
        <v>0.04</v>
      </c>
      <c r="G1231" s="96">
        <f t="shared" si="77"/>
        <v>4</v>
      </c>
      <c r="I1231" s="96"/>
      <c r="K1231" t="str">
        <f t="shared" si="78"/>
        <v>OSH4</v>
      </c>
      <c r="L1231" s="73" t="s">
        <v>186</v>
      </c>
      <c r="M1231" s="72">
        <v>40442</v>
      </c>
      <c r="N1231" s="84">
        <v>0.04</v>
      </c>
      <c r="O1231" s="96">
        <f t="shared" si="79"/>
        <v>4</v>
      </c>
      <c r="Q1231" s="96"/>
      <c r="T1231" s="110"/>
    </row>
    <row r="1232" spans="3:20" x14ac:dyDescent="0.2">
      <c r="C1232" s="96" t="str">
        <f t="shared" si="76"/>
        <v>OSH5</v>
      </c>
      <c r="D1232" s="73" t="s">
        <v>186</v>
      </c>
      <c r="E1232" s="100">
        <v>40604</v>
      </c>
      <c r="F1232" s="101">
        <v>0.04</v>
      </c>
      <c r="G1232" s="96">
        <f t="shared" si="77"/>
        <v>5</v>
      </c>
      <c r="I1232" s="96"/>
      <c r="K1232" t="str">
        <f t="shared" si="78"/>
        <v>OSH5</v>
      </c>
      <c r="L1232" s="73" t="s">
        <v>186</v>
      </c>
      <c r="M1232" s="72">
        <v>40604</v>
      </c>
      <c r="N1232" s="84">
        <v>0.04</v>
      </c>
      <c r="O1232" s="96">
        <f t="shared" si="79"/>
        <v>5</v>
      </c>
      <c r="Q1232" s="96"/>
      <c r="T1232" s="110"/>
    </row>
    <row r="1233" spans="3:20" x14ac:dyDescent="0.2">
      <c r="C1233" s="96" t="str">
        <f t="shared" si="76"/>
        <v>OSH6</v>
      </c>
      <c r="D1233" s="73" t="s">
        <v>186</v>
      </c>
      <c r="E1233" s="100">
        <v>40807</v>
      </c>
      <c r="F1233" s="101">
        <v>4.4999999999999998E-2</v>
      </c>
      <c r="G1233" s="96">
        <f t="shared" si="77"/>
        <v>6</v>
      </c>
      <c r="I1233" s="96"/>
      <c r="K1233" t="str">
        <f t="shared" si="78"/>
        <v>OSH6</v>
      </c>
      <c r="L1233" s="73" t="s">
        <v>186</v>
      </c>
      <c r="M1233" s="72">
        <v>40807</v>
      </c>
      <c r="N1233" s="84">
        <v>4.4999999999999998E-2</v>
      </c>
      <c r="O1233" s="96">
        <f t="shared" si="79"/>
        <v>6</v>
      </c>
      <c r="Q1233" s="96"/>
      <c r="T1233" s="110"/>
    </row>
    <row r="1234" spans="3:20" x14ac:dyDescent="0.2">
      <c r="C1234" s="96" t="str">
        <f t="shared" si="76"/>
        <v>OSH7</v>
      </c>
      <c r="D1234" s="73" t="s">
        <v>186</v>
      </c>
      <c r="E1234" s="100">
        <v>40970</v>
      </c>
      <c r="F1234" s="101">
        <v>4.4999999999999998E-2</v>
      </c>
      <c r="G1234" s="96">
        <f t="shared" si="77"/>
        <v>7</v>
      </c>
      <c r="I1234" s="96"/>
      <c r="K1234" t="str">
        <f t="shared" si="78"/>
        <v>OSH7</v>
      </c>
      <c r="L1234" s="73" t="s">
        <v>186</v>
      </c>
      <c r="M1234" s="72">
        <v>40970</v>
      </c>
      <c r="N1234" s="84">
        <v>4.4999999999999998E-2</v>
      </c>
      <c r="O1234" s="96">
        <f t="shared" si="79"/>
        <v>7</v>
      </c>
      <c r="Q1234" s="96"/>
      <c r="T1234" s="110"/>
    </row>
    <row r="1235" spans="3:20" x14ac:dyDescent="0.2">
      <c r="C1235" s="96" t="str">
        <f t="shared" si="76"/>
        <v>OSH8</v>
      </c>
      <c r="D1235" s="73" t="s">
        <v>186</v>
      </c>
      <c r="E1235" s="100">
        <v>41173</v>
      </c>
      <c r="F1235" s="101">
        <v>4.4999999999999998E-2</v>
      </c>
      <c r="G1235" s="96">
        <f t="shared" si="77"/>
        <v>8</v>
      </c>
      <c r="I1235" s="96"/>
      <c r="K1235" t="str">
        <f t="shared" si="78"/>
        <v>OSH8</v>
      </c>
      <c r="L1235" s="73" t="s">
        <v>186</v>
      </c>
      <c r="M1235" s="72">
        <v>41173</v>
      </c>
      <c r="N1235" s="84">
        <v>4.4999999999999998E-2</v>
      </c>
      <c r="O1235" s="96">
        <f t="shared" si="79"/>
        <v>8</v>
      </c>
      <c r="Q1235" s="96"/>
      <c r="T1235" s="110"/>
    </row>
    <row r="1236" spans="3:20" x14ac:dyDescent="0.2">
      <c r="C1236" s="96" t="str">
        <f t="shared" si="76"/>
        <v>OSH9</v>
      </c>
      <c r="D1236" s="73" t="s">
        <v>186</v>
      </c>
      <c r="E1236" s="100">
        <v>41337</v>
      </c>
      <c r="F1236" s="101">
        <v>4.4999999999999998E-2</v>
      </c>
      <c r="G1236" s="96">
        <f t="shared" si="77"/>
        <v>9</v>
      </c>
      <c r="I1236" s="96"/>
      <c r="K1236" t="str">
        <f t="shared" si="78"/>
        <v>OSH9</v>
      </c>
      <c r="L1236" s="73" t="s">
        <v>186</v>
      </c>
      <c r="M1236" s="72">
        <v>41337</v>
      </c>
      <c r="N1236" s="84">
        <v>4.4999999999999998E-2</v>
      </c>
      <c r="O1236" s="96">
        <f t="shared" si="79"/>
        <v>9</v>
      </c>
      <c r="Q1236" s="96"/>
      <c r="T1236" s="110"/>
    </row>
    <row r="1237" spans="3:20" x14ac:dyDescent="0.2">
      <c r="C1237" s="96" t="str">
        <f t="shared" si="76"/>
        <v>OST1</v>
      </c>
      <c r="D1237" s="73" t="s">
        <v>187</v>
      </c>
      <c r="E1237" s="100">
        <v>39874</v>
      </c>
      <c r="F1237" s="101">
        <v>0.08</v>
      </c>
      <c r="G1237" s="96">
        <f t="shared" si="77"/>
        <v>1</v>
      </c>
      <c r="I1237" s="96"/>
      <c r="K1237" t="str">
        <f t="shared" si="78"/>
        <v>OST1</v>
      </c>
      <c r="L1237" s="73" t="s">
        <v>187</v>
      </c>
      <c r="M1237" s="72">
        <v>39874</v>
      </c>
      <c r="N1237" s="84">
        <v>0.08</v>
      </c>
      <c r="O1237" s="96">
        <f t="shared" si="79"/>
        <v>1</v>
      </c>
      <c r="Q1237" s="96"/>
      <c r="T1237" s="110"/>
    </row>
    <row r="1238" spans="3:20" x14ac:dyDescent="0.2">
      <c r="C1238" s="96" t="str">
        <f t="shared" si="76"/>
        <v>OST2</v>
      </c>
      <c r="D1238" s="73" t="s">
        <v>187</v>
      </c>
      <c r="E1238" s="100">
        <v>40063</v>
      </c>
      <c r="F1238" s="101">
        <v>0.13500000000000001</v>
      </c>
      <c r="G1238" s="96">
        <f t="shared" si="77"/>
        <v>2</v>
      </c>
      <c r="I1238" s="96"/>
      <c r="K1238" t="str">
        <f t="shared" si="78"/>
        <v>OST2</v>
      </c>
      <c r="L1238" s="73" t="s">
        <v>187</v>
      </c>
      <c r="M1238" s="72">
        <v>40063</v>
      </c>
      <c r="N1238" s="84">
        <v>0.13500000000000001</v>
      </c>
      <c r="O1238" s="96">
        <f t="shared" si="79"/>
        <v>2</v>
      </c>
      <c r="Q1238" s="96"/>
      <c r="T1238" s="110"/>
    </row>
    <row r="1239" spans="3:20" x14ac:dyDescent="0.2">
      <c r="C1239" s="96" t="str">
        <f t="shared" si="76"/>
        <v>OST3</v>
      </c>
      <c r="D1239" s="73" t="s">
        <v>187</v>
      </c>
      <c r="E1239" s="100">
        <v>40239</v>
      </c>
      <c r="F1239" s="101">
        <v>0.08</v>
      </c>
      <c r="G1239" s="96">
        <f t="shared" si="77"/>
        <v>3</v>
      </c>
      <c r="I1239" s="96"/>
      <c r="K1239" t="str">
        <f t="shared" si="78"/>
        <v>OST3</v>
      </c>
      <c r="L1239" s="73" t="s">
        <v>187</v>
      </c>
      <c r="M1239" s="72">
        <v>40239</v>
      </c>
      <c r="N1239" s="84">
        <v>0.08</v>
      </c>
      <c r="O1239" s="96">
        <f t="shared" si="79"/>
        <v>3</v>
      </c>
      <c r="Q1239" s="96"/>
      <c r="T1239" s="110"/>
    </row>
    <row r="1240" spans="3:20" x14ac:dyDescent="0.2">
      <c r="C1240" s="96" t="str">
        <f t="shared" si="76"/>
        <v>OST4</v>
      </c>
      <c r="D1240" s="73" t="s">
        <v>187</v>
      </c>
      <c r="E1240" s="100">
        <v>40428</v>
      </c>
      <c r="F1240" s="101">
        <v>0.13500000000000001</v>
      </c>
      <c r="G1240" s="96">
        <f t="shared" si="77"/>
        <v>4</v>
      </c>
      <c r="I1240" s="96"/>
      <c r="K1240" t="str">
        <f t="shared" si="78"/>
        <v>OST4</v>
      </c>
      <c r="L1240" s="73" t="s">
        <v>187</v>
      </c>
      <c r="M1240" s="72">
        <v>40428</v>
      </c>
      <c r="N1240" s="84">
        <v>0.13500000000000001</v>
      </c>
      <c r="O1240" s="96">
        <f t="shared" si="79"/>
        <v>4</v>
      </c>
      <c r="Q1240" s="96"/>
      <c r="T1240" s="110"/>
    </row>
    <row r="1241" spans="3:20" x14ac:dyDescent="0.2">
      <c r="C1241" s="96" t="str">
        <f t="shared" si="76"/>
        <v>OST5</v>
      </c>
      <c r="D1241" s="73" t="s">
        <v>187</v>
      </c>
      <c r="E1241" s="100">
        <v>40604</v>
      </c>
      <c r="F1241" s="101">
        <v>0.09</v>
      </c>
      <c r="G1241" s="96">
        <f t="shared" si="77"/>
        <v>5</v>
      </c>
      <c r="I1241" s="96"/>
      <c r="K1241" t="str">
        <f t="shared" si="78"/>
        <v>OST5</v>
      </c>
      <c r="L1241" s="73" t="s">
        <v>187</v>
      </c>
      <c r="M1241" s="72">
        <v>40604</v>
      </c>
      <c r="N1241" s="84">
        <v>0.09</v>
      </c>
      <c r="O1241" s="96">
        <f t="shared" si="79"/>
        <v>5</v>
      </c>
      <c r="Q1241" s="96"/>
      <c r="T1241" s="110"/>
    </row>
    <row r="1242" spans="3:20" x14ac:dyDescent="0.2">
      <c r="C1242" s="96" t="str">
        <f t="shared" si="76"/>
        <v>OST6</v>
      </c>
      <c r="D1242" s="73" t="s">
        <v>187</v>
      </c>
      <c r="E1242" s="100">
        <v>40793</v>
      </c>
      <c r="F1242" s="101">
        <v>0.15</v>
      </c>
      <c r="G1242" s="96">
        <f t="shared" si="77"/>
        <v>6</v>
      </c>
      <c r="I1242" s="96"/>
      <c r="K1242" t="str">
        <f t="shared" si="78"/>
        <v>OST6</v>
      </c>
      <c r="L1242" s="73" t="s">
        <v>187</v>
      </c>
      <c r="M1242" s="72">
        <v>40793</v>
      </c>
      <c r="N1242" s="84">
        <v>0.15</v>
      </c>
      <c r="O1242" s="96">
        <f t="shared" si="79"/>
        <v>6</v>
      </c>
      <c r="Q1242" s="96"/>
      <c r="T1242" s="110"/>
    </row>
    <row r="1243" spans="3:20" x14ac:dyDescent="0.2">
      <c r="C1243" s="96" t="str">
        <f t="shared" si="76"/>
        <v>OST7</v>
      </c>
      <c r="D1243" s="73" t="s">
        <v>187</v>
      </c>
      <c r="E1243" s="100">
        <v>40970</v>
      </c>
      <c r="F1243" s="101">
        <v>0.09</v>
      </c>
      <c r="G1243" s="96">
        <f t="shared" si="77"/>
        <v>7</v>
      </c>
      <c r="I1243" s="96"/>
      <c r="K1243" t="str">
        <f t="shared" si="78"/>
        <v>OST7</v>
      </c>
      <c r="L1243" s="73" t="s">
        <v>187</v>
      </c>
      <c r="M1243" s="72">
        <v>40970</v>
      </c>
      <c r="N1243" s="84">
        <v>0.09</v>
      </c>
      <c r="O1243" s="96">
        <f t="shared" si="79"/>
        <v>7</v>
      </c>
      <c r="Q1243" s="96"/>
      <c r="T1243" s="110"/>
    </row>
    <row r="1244" spans="3:20" x14ac:dyDescent="0.2">
      <c r="C1244" s="96" t="str">
        <f t="shared" si="76"/>
        <v>OST8</v>
      </c>
      <c r="D1244" s="73" t="s">
        <v>187</v>
      </c>
      <c r="E1244" s="100">
        <v>41159</v>
      </c>
      <c r="F1244" s="101">
        <v>0.17</v>
      </c>
      <c r="G1244" s="96">
        <f t="shared" si="77"/>
        <v>8</v>
      </c>
      <c r="I1244" s="96"/>
      <c r="K1244" t="str">
        <f t="shared" si="78"/>
        <v>OST8</v>
      </c>
      <c r="L1244" s="73" t="s">
        <v>187</v>
      </c>
      <c r="M1244" s="72">
        <v>41159</v>
      </c>
      <c r="N1244" s="84">
        <v>0.17</v>
      </c>
      <c r="O1244" s="96">
        <f t="shared" si="79"/>
        <v>8</v>
      </c>
      <c r="Q1244" s="96"/>
      <c r="T1244" s="110"/>
    </row>
    <row r="1245" spans="3:20" x14ac:dyDescent="0.2">
      <c r="C1245" s="96" t="str">
        <f t="shared" si="76"/>
        <v>OST9</v>
      </c>
      <c r="D1245" s="73" t="s">
        <v>187</v>
      </c>
      <c r="E1245" s="100">
        <v>41337</v>
      </c>
      <c r="F1245" s="101">
        <v>0.09</v>
      </c>
      <c r="G1245" s="96">
        <f t="shared" si="77"/>
        <v>9</v>
      </c>
      <c r="I1245" s="96"/>
      <c r="K1245" t="str">
        <f t="shared" si="78"/>
        <v>OST9</v>
      </c>
      <c r="L1245" s="73" t="s">
        <v>187</v>
      </c>
      <c r="M1245" s="72">
        <v>41337</v>
      </c>
      <c r="N1245" s="84">
        <v>0.09</v>
      </c>
      <c r="O1245" s="96">
        <f t="shared" si="79"/>
        <v>9</v>
      </c>
      <c r="Q1245" s="96"/>
      <c r="T1245" s="110"/>
    </row>
    <row r="1246" spans="3:20" x14ac:dyDescent="0.2">
      <c r="C1246" s="96" t="str">
        <f t="shared" si="76"/>
        <v>OST10</v>
      </c>
      <c r="D1246" s="73" t="s">
        <v>187</v>
      </c>
      <c r="E1246" s="100">
        <v>41526</v>
      </c>
      <c r="F1246" s="101">
        <v>0.18</v>
      </c>
      <c r="G1246" s="96">
        <f t="shared" si="77"/>
        <v>10</v>
      </c>
      <c r="I1246" s="96"/>
      <c r="K1246" t="str">
        <f t="shared" si="78"/>
        <v>OST10</v>
      </c>
      <c r="L1246" s="73" t="s">
        <v>187</v>
      </c>
      <c r="M1246" s="72">
        <v>41526</v>
      </c>
      <c r="N1246" s="84">
        <v>0.18</v>
      </c>
      <c r="O1246" s="96">
        <f t="shared" si="79"/>
        <v>10</v>
      </c>
      <c r="Q1246" s="96"/>
      <c r="T1246" s="110"/>
    </row>
    <row r="1247" spans="3:20" x14ac:dyDescent="0.2">
      <c r="C1247" s="96" t="str">
        <f t="shared" si="76"/>
        <v>OXR1</v>
      </c>
      <c r="D1247" s="73" t="s">
        <v>188</v>
      </c>
      <c r="E1247" s="100">
        <v>39885</v>
      </c>
      <c r="F1247" s="101">
        <v>0.04</v>
      </c>
      <c r="G1247" s="96">
        <f t="shared" si="77"/>
        <v>1</v>
      </c>
      <c r="I1247" s="96"/>
      <c r="K1247" t="str">
        <f t="shared" si="78"/>
        <v>OXR1</v>
      </c>
      <c r="L1247" s="73" t="s">
        <v>188</v>
      </c>
      <c r="M1247" s="72">
        <v>39885</v>
      </c>
      <c r="N1247" s="84">
        <v>0.04</v>
      </c>
      <c r="O1247" s="96">
        <f t="shared" si="79"/>
        <v>1</v>
      </c>
      <c r="Q1247" s="96"/>
      <c r="T1247" s="110"/>
    </row>
    <row r="1248" spans="3:20" x14ac:dyDescent="0.2">
      <c r="C1248" s="96" t="str">
        <f t="shared" si="76"/>
        <v>OXR2</v>
      </c>
      <c r="D1248" s="73" t="s">
        <v>188</v>
      </c>
      <c r="E1248" s="100">
        <v>40072</v>
      </c>
      <c r="F1248" s="101">
        <v>4.8000000000000001E-2</v>
      </c>
      <c r="G1248" s="96">
        <f t="shared" si="77"/>
        <v>2</v>
      </c>
      <c r="I1248" s="96"/>
      <c r="K1248" t="str">
        <f t="shared" si="78"/>
        <v>OXR2</v>
      </c>
      <c r="L1248" s="73" t="s">
        <v>188</v>
      </c>
      <c r="M1248" s="72">
        <v>40072</v>
      </c>
      <c r="N1248" s="84">
        <v>4.8000000000000001E-2</v>
      </c>
      <c r="O1248" s="96">
        <f t="shared" si="79"/>
        <v>2</v>
      </c>
      <c r="Q1248" s="96"/>
      <c r="T1248" s="110"/>
    </row>
    <row r="1249" spans="3:20" x14ac:dyDescent="0.2">
      <c r="C1249" s="96" t="str">
        <f t="shared" si="76"/>
        <v>OXR3</v>
      </c>
      <c r="D1249" s="73" t="s">
        <v>188</v>
      </c>
      <c r="E1249" s="100">
        <v>40283</v>
      </c>
      <c r="F1249" s="101">
        <v>4.8000000000000001E-2</v>
      </c>
      <c r="G1249" s="96">
        <f t="shared" si="77"/>
        <v>3</v>
      </c>
      <c r="I1249" s="96"/>
      <c r="K1249" t="str">
        <f t="shared" si="78"/>
        <v>OXR3</v>
      </c>
      <c r="L1249" s="73" t="s">
        <v>188</v>
      </c>
      <c r="M1249" s="72">
        <v>40283</v>
      </c>
      <c r="N1249" s="84">
        <v>4.8000000000000001E-2</v>
      </c>
      <c r="O1249" s="96">
        <f t="shared" si="79"/>
        <v>3</v>
      </c>
      <c r="Q1249" s="96"/>
      <c r="T1249" s="110"/>
    </row>
    <row r="1250" spans="3:20" x14ac:dyDescent="0.2">
      <c r="C1250" s="96" t="str">
        <f t="shared" si="76"/>
        <v>OXR4</v>
      </c>
      <c r="D1250" s="73" t="s">
        <v>188</v>
      </c>
      <c r="E1250" s="100">
        <v>40437</v>
      </c>
      <c r="F1250" s="101">
        <v>5.0499999999999996E-2</v>
      </c>
      <c r="G1250" s="96">
        <f t="shared" si="77"/>
        <v>4</v>
      </c>
      <c r="I1250" s="96"/>
      <c r="K1250" t="str">
        <f t="shared" si="78"/>
        <v>OXR4</v>
      </c>
      <c r="L1250" s="73" t="s">
        <v>188</v>
      </c>
      <c r="M1250" s="72">
        <v>40437</v>
      </c>
      <c r="N1250" s="84">
        <v>5.0499999999999996E-2</v>
      </c>
      <c r="O1250" s="96">
        <f t="shared" si="79"/>
        <v>4</v>
      </c>
      <c r="Q1250" s="96"/>
      <c r="T1250" s="110"/>
    </row>
    <row r="1251" spans="3:20" x14ac:dyDescent="0.2">
      <c r="C1251" s="96" t="str">
        <f t="shared" si="76"/>
        <v>OXR5</v>
      </c>
      <c r="D1251" s="73" t="s">
        <v>188</v>
      </c>
      <c r="E1251" s="100">
        <v>40648</v>
      </c>
      <c r="F1251" s="101">
        <v>5.0499999999999996E-2</v>
      </c>
      <c r="G1251" s="96">
        <f t="shared" si="77"/>
        <v>5</v>
      </c>
      <c r="I1251" s="96"/>
      <c r="K1251" t="str">
        <f t="shared" si="78"/>
        <v>OXR5</v>
      </c>
      <c r="L1251" s="73" t="s">
        <v>188</v>
      </c>
      <c r="M1251" s="72">
        <v>40648</v>
      </c>
      <c r="N1251" s="84">
        <v>5.0499999999999996E-2</v>
      </c>
      <c r="O1251" s="96">
        <f t="shared" si="79"/>
        <v>5</v>
      </c>
      <c r="Q1251" s="96"/>
      <c r="T1251" s="110"/>
    </row>
    <row r="1252" spans="3:20" x14ac:dyDescent="0.2">
      <c r="C1252" s="96" t="str">
        <f t="shared" si="76"/>
        <v>OXR6</v>
      </c>
      <c r="D1252" s="73" t="s">
        <v>188</v>
      </c>
      <c r="E1252" s="100">
        <v>40802</v>
      </c>
      <c r="F1252" s="101">
        <v>5.8499999999999996E-2</v>
      </c>
      <c r="G1252" s="96">
        <f t="shared" si="77"/>
        <v>6</v>
      </c>
      <c r="I1252" s="96"/>
      <c r="K1252" t="str">
        <f t="shared" si="78"/>
        <v>OXR6</v>
      </c>
      <c r="L1252" s="73" t="s">
        <v>188</v>
      </c>
      <c r="M1252" s="72">
        <v>40802</v>
      </c>
      <c r="N1252" s="84">
        <v>5.8499999999999996E-2</v>
      </c>
      <c r="O1252" s="96">
        <f t="shared" si="79"/>
        <v>6</v>
      </c>
      <c r="Q1252" s="96"/>
      <c r="T1252" s="110"/>
    </row>
    <row r="1253" spans="3:20" x14ac:dyDescent="0.2">
      <c r="C1253" s="96" t="str">
        <f t="shared" si="76"/>
        <v>OXR7</v>
      </c>
      <c r="D1253" s="73" t="s">
        <v>188</v>
      </c>
      <c r="E1253" s="100">
        <v>41016</v>
      </c>
      <c r="F1253" s="101">
        <v>5.8499999999999996E-2</v>
      </c>
      <c r="G1253" s="96">
        <f t="shared" si="77"/>
        <v>7</v>
      </c>
      <c r="I1253" s="96"/>
      <c r="K1253" t="str">
        <f t="shared" si="78"/>
        <v>OXR7</v>
      </c>
      <c r="L1253" s="73" t="s">
        <v>188</v>
      </c>
      <c r="M1253" s="72">
        <v>41016</v>
      </c>
      <c r="N1253" s="84">
        <v>5.8499999999999996E-2</v>
      </c>
      <c r="O1253" s="96">
        <f t="shared" si="79"/>
        <v>7</v>
      </c>
      <c r="Q1253" s="96"/>
      <c r="T1253" s="110"/>
    </row>
    <row r="1254" spans="3:20" x14ac:dyDescent="0.2">
      <c r="C1254" s="96" t="str">
        <f t="shared" si="76"/>
        <v>OXR8</v>
      </c>
      <c r="D1254" s="73" t="s">
        <v>188</v>
      </c>
      <c r="E1254" s="100">
        <v>41170</v>
      </c>
      <c r="F1254" s="101">
        <v>6.1500000000000006E-2</v>
      </c>
      <c r="G1254" s="96">
        <f t="shared" si="77"/>
        <v>8</v>
      </c>
      <c r="I1254" s="96"/>
      <c r="K1254" t="str">
        <f t="shared" si="78"/>
        <v>OXR8</v>
      </c>
      <c r="L1254" s="73" t="s">
        <v>188</v>
      </c>
      <c r="M1254" s="72">
        <v>41170</v>
      </c>
      <c r="N1254" s="84">
        <v>6.1500000000000006E-2</v>
      </c>
      <c r="O1254" s="96">
        <f t="shared" si="79"/>
        <v>8</v>
      </c>
      <c r="Q1254" s="96"/>
      <c r="T1254" s="110"/>
    </row>
    <row r="1255" spans="3:20" x14ac:dyDescent="0.2">
      <c r="C1255" s="96" t="str">
        <f t="shared" si="76"/>
        <v>OXR9</v>
      </c>
      <c r="D1255" s="73" t="s">
        <v>188</v>
      </c>
      <c r="E1255" s="100">
        <v>41381</v>
      </c>
      <c r="F1255" s="101">
        <v>6.1500000000000006E-2</v>
      </c>
      <c r="G1255" s="96">
        <f t="shared" si="77"/>
        <v>9</v>
      </c>
      <c r="I1255" s="96"/>
      <c r="K1255" t="str">
        <f t="shared" si="78"/>
        <v>OXR9</v>
      </c>
      <c r="L1255" s="73" t="s">
        <v>188</v>
      </c>
      <c r="M1255" s="72">
        <v>41381</v>
      </c>
      <c r="N1255" s="84">
        <v>6.1500000000000006E-2</v>
      </c>
      <c r="O1255" s="96">
        <f t="shared" si="79"/>
        <v>9</v>
      </c>
      <c r="Q1255" s="96"/>
      <c r="T1255" s="110"/>
    </row>
    <row r="1256" spans="3:20" x14ac:dyDescent="0.2">
      <c r="C1256" s="96" t="str">
        <f t="shared" si="76"/>
        <v>PAN1</v>
      </c>
      <c r="D1256" s="73" t="s">
        <v>189</v>
      </c>
      <c r="E1256" s="100">
        <v>39867</v>
      </c>
      <c r="F1256" s="101">
        <v>0.03</v>
      </c>
      <c r="G1256" s="96">
        <f t="shared" si="77"/>
        <v>1</v>
      </c>
      <c r="I1256" s="96"/>
      <c r="K1256" t="str">
        <f t="shared" si="78"/>
        <v>PAN1</v>
      </c>
      <c r="L1256" s="73" t="s">
        <v>189</v>
      </c>
      <c r="M1256" s="72">
        <v>39867</v>
      </c>
      <c r="N1256" s="84">
        <v>0.03</v>
      </c>
      <c r="O1256" s="96">
        <f t="shared" si="79"/>
        <v>1</v>
      </c>
      <c r="Q1256" s="96"/>
      <c r="T1256" s="110"/>
    </row>
    <row r="1257" spans="3:20" x14ac:dyDescent="0.2">
      <c r="C1257" s="96" t="str">
        <f t="shared" si="76"/>
        <v>PAN2</v>
      </c>
      <c r="D1257" s="73" t="s">
        <v>189</v>
      </c>
      <c r="E1257" s="100">
        <v>40060</v>
      </c>
      <c r="F1257" s="101">
        <v>0.02</v>
      </c>
      <c r="G1257" s="96">
        <f t="shared" si="77"/>
        <v>2</v>
      </c>
      <c r="I1257" s="96"/>
      <c r="K1257" t="str">
        <f t="shared" si="78"/>
        <v>PAN2</v>
      </c>
      <c r="L1257" s="73" t="s">
        <v>189</v>
      </c>
      <c r="M1257" s="72">
        <v>40060</v>
      </c>
      <c r="N1257" s="84">
        <v>0.02</v>
      </c>
      <c r="O1257" s="96">
        <f t="shared" si="79"/>
        <v>2</v>
      </c>
      <c r="Q1257" s="96"/>
      <c r="T1257" s="110"/>
    </row>
    <row r="1258" spans="3:20" x14ac:dyDescent="0.2">
      <c r="C1258" s="96" t="str">
        <f t="shared" si="76"/>
        <v>PAN3</v>
      </c>
      <c r="D1258" s="73" t="s">
        <v>189</v>
      </c>
      <c r="E1258" s="100">
        <v>40232</v>
      </c>
      <c r="F1258" s="101">
        <v>0.03</v>
      </c>
      <c r="G1258" s="96">
        <f t="shared" si="77"/>
        <v>3</v>
      </c>
      <c r="I1258" s="96"/>
      <c r="K1258" t="str">
        <f t="shared" si="78"/>
        <v>PAN3</v>
      </c>
      <c r="L1258" s="73" t="s">
        <v>189</v>
      </c>
      <c r="M1258" s="72">
        <v>40232</v>
      </c>
      <c r="N1258" s="84">
        <v>0.03</v>
      </c>
      <c r="O1258" s="96">
        <f t="shared" si="79"/>
        <v>3</v>
      </c>
      <c r="Q1258" s="96"/>
      <c r="T1258" s="110"/>
    </row>
    <row r="1259" spans="3:20" x14ac:dyDescent="0.2">
      <c r="C1259" s="96" t="str">
        <f t="shared" si="76"/>
        <v>PAN4</v>
      </c>
      <c r="D1259" s="73" t="s">
        <v>189</v>
      </c>
      <c r="E1259" s="100">
        <v>40427</v>
      </c>
      <c r="F1259" s="101">
        <v>0.02</v>
      </c>
      <c r="G1259" s="96">
        <f t="shared" si="77"/>
        <v>4</v>
      </c>
      <c r="I1259" s="96"/>
      <c r="K1259" t="str">
        <f t="shared" si="78"/>
        <v>PAN4</v>
      </c>
      <c r="L1259" s="73" t="s">
        <v>189</v>
      </c>
      <c r="M1259" s="72">
        <v>40427</v>
      </c>
      <c r="N1259" s="84">
        <v>0.02</v>
      </c>
      <c r="O1259" s="96">
        <f t="shared" si="79"/>
        <v>4</v>
      </c>
      <c r="Q1259" s="96"/>
      <c r="T1259" s="110"/>
    </row>
    <row r="1260" spans="3:20" x14ac:dyDescent="0.2">
      <c r="C1260" s="96" t="str">
        <f t="shared" si="76"/>
        <v>PAN5</v>
      </c>
      <c r="D1260" s="73" t="s">
        <v>189</v>
      </c>
      <c r="E1260" s="100">
        <v>40597</v>
      </c>
      <c r="F1260" s="101">
        <v>0.03</v>
      </c>
      <c r="G1260" s="96">
        <f t="shared" si="77"/>
        <v>5</v>
      </c>
      <c r="I1260" s="96"/>
      <c r="K1260" t="str">
        <f t="shared" si="78"/>
        <v>PAN5</v>
      </c>
      <c r="L1260" s="73" t="s">
        <v>189</v>
      </c>
      <c r="M1260" s="72">
        <v>40597</v>
      </c>
      <c r="N1260" s="84">
        <v>0.03</v>
      </c>
      <c r="O1260" s="96">
        <f t="shared" si="79"/>
        <v>5</v>
      </c>
      <c r="Q1260" s="96"/>
      <c r="T1260" s="110"/>
    </row>
    <row r="1261" spans="3:20" x14ac:dyDescent="0.2">
      <c r="C1261" s="96" t="str">
        <f t="shared" si="76"/>
        <v>PAN6</v>
      </c>
      <c r="D1261" s="73" t="s">
        <v>189</v>
      </c>
      <c r="E1261" s="100">
        <v>40792</v>
      </c>
      <c r="F1261" s="101">
        <v>0.02</v>
      </c>
      <c r="G1261" s="96">
        <f t="shared" si="77"/>
        <v>6</v>
      </c>
      <c r="I1261" s="96"/>
      <c r="K1261" t="str">
        <f t="shared" si="78"/>
        <v>PAN6</v>
      </c>
      <c r="L1261" s="73" t="s">
        <v>189</v>
      </c>
      <c r="M1261" s="72">
        <v>40792</v>
      </c>
      <c r="N1261" s="84">
        <v>0.02</v>
      </c>
      <c r="O1261" s="96">
        <f t="shared" si="79"/>
        <v>6</v>
      </c>
      <c r="Q1261" s="96"/>
      <c r="T1261" s="110"/>
    </row>
    <row r="1262" spans="3:20" x14ac:dyDescent="0.2">
      <c r="C1262" s="96" t="str">
        <f t="shared" si="76"/>
        <v>PAN7</v>
      </c>
      <c r="D1262" s="73" t="s">
        <v>189</v>
      </c>
      <c r="E1262" s="100">
        <v>40963</v>
      </c>
      <c r="F1262" s="101">
        <v>0.03</v>
      </c>
      <c r="G1262" s="96">
        <f t="shared" si="77"/>
        <v>7</v>
      </c>
      <c r="I1262" s="96"/>
      <c r="K1262" t="str">
        <f t="shared" si="78"/>
        <v>PAN7</v>
      </c>
      <c r="L1262" s="73" t="s">
        <v>189</v>
      </c>
      <c r="M1262" s="72">
        <v>40963</v>
      </c>
      <c r="N1262" s="84">
        <v>0.03</v>
      </c>
      <c r="O1262" s="96">
        <f t="shared" si="79"/>
        <v>7</v>
      </c>
      <c r="Q1262" s="96"/>
      <c r="T1262" s="110"/>
    </row>
    <row r="1263" spans="3:20" x14ac:dyDescent="0.2">
      <c r="C1263" s="96" t="str">
        <f t="shared" si="76"/>
        <v>PAN8</v>
      </c>
      <c r="D1263" s="73" t="s">
        <v>189</v>
      </c>
      <c r="E1263" s="100">
        <v>41158</v>
      </c>
      <c r="F1263" s="101">
        <v>0.02</v>
      </c>
      <c r="G1263" s="96">
        <f t="shared" si="77"/>
        <v>8</v>
      </c>
      <c r="I1263" s="96"/>
      <c r="K1263" t="str">
        <f t="shared" si="78"/>
        <v>PAN8</v>
      </c>
      <c r="L1263" s="73" t="s">
        <v>189</v>
      </c>
      <c r="M1263" s="72">
        <v>41158</v>
      </c>
      <c r="N1263" s="84">
        <v>0.02</v>
      </c>
      <c r="O1263" s="96">
        <f t="shared" si="79"/>
        <v>8</v>
      </c>
      <c r="Q1263" s="96"/>
      <c r="T1263" s="110"/>
    </row>
    <row r="1264" spans="3:20" x14ac:dyDescent="0.2">
      <c r="C1264" s="96" t="str">
        <f t="shared" si="76"/>
        <v>PAN9</v>
      </c>
      <c r="D1264" s="73" t="s">
        <v>189</v>
      </c>
      <c r="E1264" s="100">
        <v>41330</v>
      </c>
      <c r="F1264" s="101">
        <v>0.03</v>
      </c>
      <c r="G1264" s="96">
        <f t="shared" si="77"/>
        <v>9</v>
      </c>
      <c r="I1264" s="96"/>
      <c r="K1264" t="str">
        <f t="shared" si="78"/>
        <v>PAN9</v>
      </c>
      <c r="L1264" s="73" t="s">
        <v>189</v>
      </c>
      <c r="M1264" s="72">
        <v>41330</v>
      </c>
      <c r="N1264" s="84">
        <v>0.03</v>
      </c>
      <c r="O1264" s="96">
        <f t="shared" si="79"/>
        <v>9</v>
      </c>
      <c r="Q1264" s="96"/>
      <c r="T1264" s="110"/>
    </row>
    <row r="1265" spans="3:20" x14ac:dyDescent="0.2">
      <c r="C1265" s="96" t="str">
        <f t="shared" si="76"/>
        <v>PAN10</v>
      </c>
      <c r="D1265" s="73" t="s">
        <v>189</v>
      </c>
      <c r="E1265" s="100">
        <v>41523</v>
      </c>
      <c r="F1265" s="101">
        <v>0.02</v>
      </c>
      <c r="G1265" s="96">
        <f t="shared" si="77"/>
        <v>10</v>
      </c>
      <c r="I1265" s="96"/>
      <c r="K1265" t="str">
        <f t="shared" si="78"/>
        <v>PAN10</v>
      </c>
      <c r="L1265" s="73" t="s">
        <v>189</v>
      </c>
      <c r="M1265" s="72">
        <v>41523</v>
      </c>
      <c r="N1265" s="84">
        <v>0.02</v>
      </c>
      <c r="O1265" s="96">
        <f t="shared" si="79"/>
        <v>10</v>
      </c>
      <c r="Q1265" s="96"/>
      <c r="T1265" s="110"/>
    </row>
    <row r="1266" spans="3:20" x14ac:dyDescent="0.2">
      <c r="C1266" s="96" t="str">
        <f t="shared" si="76"/>
        <v>PBG1</v>
      </c>
      <c r="D1266" s="73" t="s">
        <v>190</v>
      </c>
      <c r="E1266" s="100">
        <v>39876</v>
      </c>
      <c r="F1266" s="101">
        <v>0.03</v>
      </c>
      <c r="G1266" s="96">
        <f t="shared" si="77"/>
        <v>1</v>
      </c>
      <c r="I1266" s="96"/>
      <c r="K1266" t="str">
        <f t="shared" si="78"/>
        <v>PBG1</v>
      </c>
      <c r="L1266" s="73" t="s">
        <v>190</v>
      </c>
      <c r="M1266" s="72">
        <v>39876</v>
      </c>
      <c r="N1266" s="84">
        <v>0.03</v>
      </c>
      <c r="O1266" s="96">
        <f t="shared" si="79"/>
        <v>1</v>
      </c>
      <c r="Q1266" s="96"/>
      <c r="T1266" s="110"/>
    </row>
    <row r="1267" spans="3:20" x14ac:dyDescent="0.2">
      <c r="C1267" s="96" t="str">
        <f t="shared" si="76"/>
        <v>PBG2</v>
      </c>
      <c r="D1267" s="73" t="s">
        <v>190</v>
      </c>
      <c r="E1267" s="100">
        <v>40050</v>
      </c>
      <c r="F1267" s="101">
        <v>0.03</v>
      </c>
      <c r="G1267" s="96">
        <f t="shared" si="77"/>
        <v>2</v>
      </c>
      <c r="I1267" s="96"/>
      <c r="K1267" t="str">
        <f t="shared" si="78"/>
        <v>PBG2</v>
      </c>
      <c r="L1267" s="73" t="s">
        <v>190</v>
      </c>
      <c r="M1267" s="72">
        <v>40050</v>
      </c>
      <c r="N1267" s="84">
        <v>0.03</v>
      </c>
      <c r="O1267" s="96">
        <f t="shared" si="79"/>
        <v>2</v>
      </c>
      <c r="Q1267" s="96"/>
      <c r="T1267" s="110"/>
    </row>
    <row r="1268" spans="3:20" x14ac:dyDescent="0.2">
      <c r="C1268" s="96" t="str">
        <f t="shared" si="76"/>
        <v>PBG3</v>
      </c>
      <c r="D1268" s="73" t="s">
        <v>190</v>
      </c>
      <c r="E1268" s="100">
        <v>40242</v>
      </c>
      <c r="F1268" s="101">
        <v>0.04</v>
      </c>
      <c r="G1268" s="96">
        <f t="shared" si="77"/>
        <v>3</v>
      </c>
      <c r="I1268" s="96"/>
      <c r="K1268" t="str">
        <f t="shared" si="78"/>
        <v>PBG3</v>
      </c>
      <c r="L1268" s="73" t="s">
        <v>190</v>
      </c>
      <c r="M1268" s="72">
        <v>40242</v>
      </c>
      <c r="N1268" s="84">
        <v>0.04</v>
      </c>
      <c r="O1268" s="96">
        <f t="shared" si="79"/>
        <v>3</v>
      </c>
      <c r="Q1268" s="96"/>
      <c r="T1268" s="110"/>
    </row>
    <row r="1269" spans="3:20" x14ac:dyDescent="0.2">
      <c r="C1269" s="96" t="str">
        <f t="shared" si="76"/>
        <v>PBG4</v>
      </c>
      <c r="D1269" s="73" t="s">
        <v>190</v>
      </c>
      <c r="E1269" s="100">
        <v>40415</v>
      </c>
      <c r="F1269" s="101">
        <v>0.04</v>
      </c>
      <c r="G1269" s="96">
        <f t="shared" si="77"/>
        <v>4</v>
      </c>
      <c r="I1269" s="96"/>
      <c r="K1269" t="str">
        <f t="shared" si="78"/>
        <v>PBG4</v>
      </c>
      <c r="L1269" s="73" t="s">
        <v>190</v>
      </c>
      <c r="M1269" s="72">
        <v>40415</v>
      </c>
      <c r="N1269" s="84">
        <v>0.04</v>
      </c>
      <c r="O1269" s="96">
        <f t="shared" si="79"/>
        <v>4</v>
      </c>
      <c r="Q1269" s="96"/>
      <c r="T1269" s="110"/>
    </row>
    <row r="1270" spans="3:20" x14ac:dyDescent="0.2">
      <c r="C1270" s="96" t="str">
        <f t="shared" si="76"/>
        <v>PBG5</v>
      </c>
      <c r="D1270" s="73" t="s">
        <v>190</v>
      </c>
      <c r="E1270" s="100">
        <v>40609</v>
      </c>
      <c r="F1270" s="101">
        <v>0.05</v>
      </c>
      <c r="G1270" s="96">
        <f t="shared" si="77"/>
        <v>5</v>
      </c>
      <c r="I1270" s="96"/>
      <c r="K1270" t="str">
        <f t="shared" si="78"/>
        <v>PBG5</v>
      </c>
      <c r="L1270" s="73" t="s">
        <v>190</v>
      </c>
      <c r="M1270" s="72">
        <v>40609</v>
      </c>
      <c r="N1270" s="84">
        <v>0.05</v>
      </c>
      <c r="O1270" s="96">
        <f t="shared" si="79"/>
        <v>5</v>
      </c>
      <c r="Q1270" s="96"/>
      <c r="T1270" s="110"/>
    </row>
    <row r="1271" spans="3:20" x14ac:dyDescent="0.2">
      <c r="C1271" s="96" t="str">
        <f t="shared" si="76"/>
        <v>PBG6</v>
      </c>
      <c r="D1271" s="73" t="s">
        <v>190</v>
      </c>
      <c r="E1271" s="100">
        <v>40780</v>
      </c>
      <c r="F1271" s="101">
        <v>0.05</v>
      </c>
      <c r="G1271" s="96">
        <f t="shared" si="77"/>
        <v>6</v>
      </c>
      <c r="I1271" s="96"/>
      <c r="K1271" t="str">
        <f t="shared" si="78"/>
        <v>PBG6</v>
      </c>
      <c r="L1271" s="73" t="s">
        <v>190</v>
      </c>
      <c r="M1271" s="72">
        <v>40780</v>
      </c>
      <c r="N1271" s="84">
        <v>0.05</v>
      </c>
      <c r="O1271" s="96">
        <f t="shared" si="79"/>
        <v>6</v>
      </c>
      <c r="Q1271" s="96"/>
      <c r="T1271" s="110"/>
    </row>
    <row r="1272" spans="3:20" x14ac:dyDescent="0.2">
      <c r="C1272" s="96" t="str">
        <f t="shared" si="76"/>
        <v>PBG7</v>
      </c>
      <c r="D1272" s="73" t="s">
        <v>190</v>
      </c>
      <c r="E1272" s="100">
        <v>40974</v>
      </c>
      <c r="F1272" s="101">
        <v>7.0000000000000007E-2</v>
      </c>
      <c r="G1272" s="96">
        <f t="shared" si="77"/>
        <v>7</v>
      </c>
      <c r="I1272" s="96"/>
      <c r="K1272" t="str">
        <f t="shared" si="78"/>
        <v>PBG7</v>
      </c>
      <c r="L1272" s="73" t="s">
        <v>190</v>
      </c>
      <c r="M1272" s="72">
        <v>40974</v>
      </c>
      <c r="N1272" s="84">
        <v>7.0000000000000007E-2</v>
      </c>
      <c r="O1272" s="96">
        <f t="shared" si="79"/>
        <v>7</v>
      </c>
      <c r="Q1272" s="96"/>
      <c r="T1272" s="110"/>
    </row>
    <row r="1273" spans="3:20" x14ac:dyDescent="0.2">
      <c r="C1273" s="96" t="str">
        <f t="shared" si="76"/>
        <v>PBG8</v>
      </c>
      <c r="D1273" s="73" t="s">
        <v>190</v>
      </c>
      <c r="E1273" s="100">
        <v>41148</v>
      </c>
      <c r="F1273" s="101">
        <v>7.0000000000000007E-2</v>
      </c>
      <c r="G1273" s="96">
        <f t="shared" si="77"/>
        <v>8</v>
      </c>
      <c r="I1273" s="96"/>
      <c r="K1273" t="str">
        <f t="shared" si="78"/>
        <v>PBG8</v>
      </c>
      <c r="L1273" s="73" t="s">
        <v>190</v>
      </c>
      <c r="M1273" s="72">
        <v>41148</v>
      </c>
      <c r="N1273" s="84">
        <v>7.0000000000000007E-2</v>
      </c>
      <c r="O1273" s="96">
        <f t="shared" si="79"/>
        <v>8</v>
      </c>
      <c r="Q1273" s="96"/>
      <c r="T1273" s="110"/>
    </row>
    <row r="1274" spans="3:20" x14ac:dyDescent="0.2">
      <c r="C1274" s="96" t="str">
        <f t="shared" si="76"/>
        <v>PBG9</v>
      </c>
      <c r="D1274" s="73" t="s">
        <v>190</v>
      </c>
      <c r="E1274" s="100">
        <v>41339</v>
      </c>
      <c r="F1274" s="101">
        <v>0.1</v>
      </c>
      <c r="G1274" s="96">
        <f t="shared" si="77"/>
        <v>9</v>
      </c>
      <c r="I1274" s="96"/>
      <c r="K1274" t="str">
        <f t="shared" si="78"/>
        <v>PBG9</v>
      </c>
      <c r="L1274" s="73" t="s">
        <v>190</v>
      </c>
      <c r="M1274" s="72">
        <v>41339</v>
      </c>
      <c r="N1274" s="84">
        <v>0.1</v>
      </c>
      <c r="O1274" s="96">
        <f t="shared" si="79"/>
        <v>9</v>
      </c>
      <c r="Q1274" s="96"/>
      <c r="T1274" s="110"/>
    </row>
    <row r="1275" spans="3:20" x14ac:dyDescent="0.2">
      <c r="C1275" s="96" t="str">
        <f t="shared" si="76"/>
        <v>PBG10</v>
      </c>
      <c r="D1275" s="73" t="s">
        <v>190</v>
      </c>
      <c r="E1275" s="100">
        <v>41513</v>
      </c>
      <c r="F1275" s="101">
        <v>0.1</v>
      </c>
      <c r="G1275" s="96">
        <f t="shared" si="77"/>
        <v>10</v>
      </c>
      <c r="I1275" s="96"/>
      <c r="K1275" t="str">
        <f t="shared" si="78"/>
        <v>PBG10</v>
      </c>
      <c r="L1275" s="73" t="s">
        <v>190</v>
      </c>
      <c r="M1275" s="72">
        <v>41513</v>
      </c>
      <c r="N1275" s="84">
        <v>0.1</v>
      </c>
      <c r="O1275" s="96">
        <f t="shared" si="79"/>
        <v>10</v>
      </c>
      <c r="Q1275" s="96"/>
      <c r="T1275" s="110"/>
    </row>
    <row r="1276" spans="3:20" x14ac:dyDescent="0.2">
      <c r="C1276" s="96" t="str">
        <f t="shared" si="76"/>
        <v>PEM1</v>
      </c>
      <c r="D1276" s="73" t="s">
        <v>191</v>
      </c>
      <c r="E1276" s="100">
        <v>40063</v>
      </c>
      <c r="F1276" s="101">
        <v>0.01</v>
      </c>
      <c r="G1276" s="96">
        <f t="shared" si="77"/>
        <v>1</v>
      </c>
      <c r="I1276" s="96"/>
      <c r="K1276" t="str">
        <f t="shared" si="78"/>
        <v>PEM1</v>
      </c>
      <c r="L1276" s="73" t="s">
        <v>191</v>
      </c>
      <c r="M1276" s="72">
        <v>40063</v>
      </c>
      <c r="N1276" s="84">
        <v>0.01</v>
      </c>
      <c r="O1276" s="96">
        <f t="shared" si="79"/>
        <v>1</v>
      </c>
      <c r="Q1276" s="96"/>
      <c r="T1276" s="110"/>
    </row>
    <row r="1277" spans="3:20" x14ac:dyDescent="0.2">
      <c r="C1277" s="96" t="str">
        <f t="shared" si="76"/>
        <v>PEM2</v>
      </c>
      <c r="D1277" s="73" t="s">
        <v>191</v>
      </c>
      <c r="E1277" s="100">
        <v>40245</v>
      </c>
      <c r="F1277" s="101">
        <v>0.01</v>
      </c>
      <c r="G1277" s="96">
        <f t="shared" si="77"/>
        <v>2</v>
      </c>
      <c r="I1277" s="96"/>
      <c r="K1277" t="str">
        <f t="shared" si="78"/>
        <v>PEM2</v>
      </c>
      <c r="L1277" s="73" t="s">
        <v>191</v>
      </c>
      <c r="M1277" s="72">
        <v>40245</v>
      </c>
      <c r="N1277" s="84">
        <v>0.01</v>
      </c>
      <c r="O1277" s="96">
        <f t="shared" si="79"/>
        <v>2</v>
      </c>
      <c r="Q1277" s="96"/>
      <c r="T1277" s="110"/>
    </row>
    <row r="1278" spans="3:20" x14ac:dyDescent="0.2">
      <c r="C1278" s="96" t="str">
        <f t="shared" si="76"/>
        <v>PEM3</v>
      </c>
      <c r="D1278" s="73" t="s">
        <v>191</v>
      </c>
      <c r="E1278" s="100">
        <v>40428</v>
      </c>
      <c r="F1278" s="101">
        <v>0.01</v>
      </c>
      <c r="G1278" s="96">
        <f t="shared" si="77"/>
        <v>3</v>
      </c>
      <c r="I1278" s="96"/>
      <c r="K1278" t="str">
        <f t="shared" si="78"/>
        <v>PEM3</v>
      </c>
      <c r="L1278" s="73" t="s">
        <v>191</v>
      </c>
      <c r="M1278" s="72">
        <v>40428</v>
      </c>
      <c r="N1278" s="84">
        <v>0.01</v>
      </c>
      <c r="O1278" s="96">
        <f t="shared" si="79"/>
        <v>3</v>
      </c>
      <c r="Q1278" s="96"/>
      <c r="T1278" s="110"/>
    </row>
    <row r="1279" spans="3:20" x14ac:dyDescent="0.2">
      <c r="C1279" s="96" t="str">
        <f t="shared" si="76"/>
        <v>PEM4</v>
      </c>
      <c r="D1279" s="73" t="s">
        <v>191</v>
      </c>
      <c r="E1279" s="100">
        <v>40610</v>
      </c>
      <c r="F1279" s="101">
        <v>0.01</v>
      </c>
      <c r="G1279" s="96">
        <f t="shared" si="77"/>
        <v>4</v>
      </c>
      <c r="I1279" s="96"/>
      <c r="K1279" t="str">
        <f t="shared" si="78"/>
        <v>PEM4</v>
      </c>
      <c r="L1279" s="73" t="s">
        <v>191</v>
      </c>
      <c r="M1279" s="72">
        <v>40610</v>
      </c>
      <c r="N1279" s="84">
        <v>0.01</v>
      </c>
      <c r="O1279" s="96">
        <f t="shared" si="79"/>
        <v>4</v>
      </c>
      <c r="Q1279" s="96"/>
      <c r="T1279" s="110"/>
    </row>
    <row r="1280" spans="3:20" x14ac:dyDescent="0.2">
      <c r="C1280" s="96" t="str">
        <f t="shared" si="76"/>
        <v>PEM5</v>
      </c>
      <c r="D1280" s="73" t="s">
        <v>191</v>
      </c>
      <c r="E1280" s="100">
        <v>40793</v>
      </c>
      <c r="F1280" s="101">
        <v>0.04</v>
      </c>
      <c r="G1280" s="96">
        <f t="shared" si="77"/>
        <v>5</v>
      </c>
      <c r="I1280" s="96"/>
      <c r="K1280" t="str">
        <f t="shared" si="78"/>
        <v>PEM5</v>
      </c>
      <c r="L1280" s="73" t="s">
        <v>191</v>
      </c>
      <c r="M1280" s="72">
        <v>40793</v>
      </c>
      <c r="N1280" s="84">
        <v>0.04</v>
      </c>
      <c r="O1280" s="96">
        <f t="shared" si="79"/>
        <v>5</v>
      </c>
      <c r="Q1280" s="96"/>
      <c r="T1280" s="110"/>
    </row>
    <row r="1281" spans="3:20" x14ac:dyDescent="0.2">
      <c r="C1281" s="96" t="str">
        <f t="shared" si="76"/>
        <v>PEM6</v>
      </c>
      <c r="D1281" s="73" t="s">
        <v>191</v>
      </c>
      <c r="E1281" s="100">
        <v>40976</v>
      </c>
      <c r="F1281" s="101">
        <v>0.01</v>
      </c>
      <c r="G1281" s="96">
        <f t="shared" si="77"/>
        <v>6</v>
      </c>
      <c r="I1281" s="96"/>
      <c r="K1281" t="str">
        <f t="shared" si="78"/>
        <v>PEM6</v>
      </c>
      <c r="L1281" s="73" t="s">
        <v>191</v>
      </c>
      <c r="M1281" s="72">
        <v>40976</v>
      </c>
      <c r="N1281" s="84">
        <v>0.01</v>
      </c>
      <c r="O1281" s="96">
        <f t="shared" si="79"/>
        <v>6</v>
      </c>
      <c r="Q1281" s="96"/>
      <c r="T1281" s="110"/>
    </row>
    <row r="1282" spans="3:20" x14ac:dyDescent="0.2">
      <c r="C1282" s="96" t="str">
        <f t="shared" si="76"/>
        <v>PEM7</v>
      </c>
      <c r="D1282" s="73" t="s">
        <v>191</v>
      </c>
      <c r="E1282" s="100">
        <v>41159</v>
      </c>
      <c r="F1282" s="101">
        <v>0.04</v>
      </c>
      <c r="G1282" s="96">
        <f t="shared" si="77"/>
        <v>7</v>
      </c>
      <c r="I1282" s="96"/>
      <c r="K1282" t="str">
        <f t="shared" si="78"/>
        <v>PEM7</v>
      </c>
      <c r="L1282" s="73" t="s">
        <v>191</v>
      </c>
      <c r="M1282" s="72">
        <v>41159</v>
      </c>
      <c r="N1282" s="84">
        <v>0.04</v>
      </c>
      <c r="O1282" s="96">
        <f t="shared" si="79"/>
        <v>7</v>
      </c>
      <c r="Q1282" s="96"/>
      <c r="T1282" s="110"/>
    </row>
    <row r="1283" spans="3:20" x14ac:dyDescent="0.2">
      <c r="C1283" s="96" t="str">
        <f t="shared" ref="C1283:C1346" si="80">D1283&amp;G1283</f>
        <v>PMP1</v>
      </c>
      <c r="D1283" s="73" t="s">
        <v>192</v>
      </c>
      <c r="E1283" s="100">
        <v>39868</v>
      </c>
      <c r="F1283" s="101">
        <v>1.4999999999999999E-2</v>
      </c>
      <c r="G1283" s="96">
        <f t="shared" ref="G1283:G1346" si="81">IF(D1283&lt;&gt;D1282,1,G1282+1)</f>
        <v>1</v>
      </c>
      <c r="I1283" s="96"/>
      <c r="K1283" t="str">
        <f t="shared" ref="K1283:K1346" si="82">L1283&amp;O1283</f>
        <v>PMP1</v>
      </c>
      <c r="L1283" s="73" t="s">
        <v>192</v>
      </c>
      <c r="M1283" s="72">
        <v>39868</v>
      </c>
      <c r="N1283" s="84">
        <v>1.4999999999999999E-2</v>
      </c>
      <c r="O1283" s="96">
        <f t="shared" ref="O1283:O1346" si="83">IF(L1283&lt;&gt;L1282,1,O1282+1)</f>
        <v>1</v>
      </c>
      <c r="Q1283" s="96"/>
      <c r="T1283" s="110"/>
    </row>
    <row r="1284" spans="3:20" x14ac:dyDescent="0.2">
      <c r="C1284" s="96" t="str">
        <f t="shared" si="80"/>
        <v>PMP2</v>
      </c>
      <c r="D1284" s="73" t="s">
        <v>192</v>
      </c>
      <c r="E1284" s="100">
        <v>40085</v>
      </c>
      <c r="F1284" s="101">
        <v>0.03</v>
      </c>
      <c r="G1284" s="96">
        <f t="shared" si="81"/>
        <v>2</v>
      </c>
      <c r="I1284" s="96"/>
      <c r="K1284" t="str">
        <f t="shared" si="82"/>
        <v>PMP2</v>
      </c>
      <c r="L1284" s="73" t="s">
        <v>192</v>
      </c>
      <c r="M1284" s="72">
        <v>40085</v>
      </c>
      <c r="N1284" s="84">
        <v>0.03</v>
      </c>
      <c r="O1284" s="96">
        <f t="shared" si="83"/>
        <v>2</v>
      </c>
      <c r="Q1284" s="96"/>
      <c r="T1284" s="110"/>
    </row>
    <row r="1285" spans="3:20" x14ac:dyDescent="0.2">
      <c r="C1285" s="96" t="str">
        <f t="shared" si="80"/>
        <v>PMP3</v>
      </c>
      <c r="D1285" s="73" t="s">
        <v>192</v>
      </c>
      <c r="E1285" s="100">
        <v>40233</v>
      </c>
      <c r="F1285" s="101">
        <v>1.2699999999999999E-2</v>
      </c>
      <c r="G1285" s="96">
        <f t="shared" si="81"/>
        <v>3</v>
      </c>
      <c r="I1285" s="96"/>
      <c r="K1285" t="str">
        <f t="shared" si="82"/>
        <v>PMP3</v>
      </c>
      <c r="L1285" s="73" t="s">
        <v>192</v>
      </c>
      <c r="M1285" s="72">
        <v>40233</v>
      </c>
      <c r="N1285" s="84">
        <v>1.2699999999999999E-2</v>
      </c>
      <c r="O1285" s="96">
        <f t="shared" si="83"/>
        <v>3</v>
      </c>
      <c r="Q1285" s="96"/>
      <c r="T1285" s="110"/>
    </row>
    <row r="1286" spans="3:20" x14ac:dyDescent="0.2">
      <c r="C1286" s="96" t="str">
        <f t="shared" si="80"/>
        <v>PMP4</v>
      </c>
      <c r="D1286" s="73" t="s">
        <v>192</v>
      </c>
      <c r="E1286" s="100">
        <v>40450</v>
      </c>
      <c r="F1286" s="101">
        <v>2.53E-2</v>
      </c>
      <c r="G1286" s="96">
        <f t="shared" si="81"/>
        <v>4</v>
      </c>
      <c r="I1286" s="96"/>
      <c r="K1286" t="str">
        <f t="shared" si="82"/>
        <v>PMP4</v>
      </c>
      <c r="L1286" s="73" t="s">
        <v>192</v>
      </c>
      <c r="M1286" s="72">
        <v>40450</v>
      </c>
      <c r="N1286" s="84">
        <v>2.53E-2</v>
      </c>
      <c r="O1286" s="96">
        <f t="shared" si="83"/>
        <v>4</v>
      </c>
      <c r="Q1286" s="96"/>
      <c r="T1286" s="110"/>
    </row>
    <row r="1287" spans="3:20" x14ac:dyDescent="0.2">
      <c r="C1287" s="96" t="str">
        <f t="shared" si="80"/>
        <v>PMP5</v>
      </c>
      <c r="D1287" s="73" t="s">
        <v>192</v>
      </c>
      <c r="E1287" s="100">
        <v>40598</v>
      </c>
      <c r="F1287" s="101">
        <v>1.3999999999999999E-2</v>
      </c>
      <c r="G1287" s="96">
        <f t="shared" si="81"/>
        <v>5</v>
      </c>
      <c r="I1287" s="96"/>
      <c r="K1287" t="str">
        <f t="shared" si="82"/>
        <v>PMP5</v>
      </c>
      <c r="L1287" s="73" t="s">
        <v>192</v>
      </c>
      <c r="M1287" s="72">
        <v>40598</v>
      </c>
      <c r="N1287" s="84">
        <v>1.3999999999999999E-2</v>
      </c>
      <c r="O1287" s="96">
        <f t="shared" si="83"/>
        <v>5</v>
      </c>
      <c r="Q1287" s="96"/>
      <c r="T1287" s="110"/>
    </row>
    <row r="1288" spans="3:20" x14ac:dyDescent="0.2">
      <c r="C1288" s="96" t="str">
        <f t="shared" si="80"/>
        <v>PMP6</v>
      </c>
      <c r="D1288" s="73" t="s">
        <v>192</v>
      </c>
      <c r="E1288" s="100">
        <v>40816</v>
      </c>
      <c r="F1288" s="101">
        <v>2.7999999999999997E-2</v>
      </c>
      <c r="G1288" s="96">
        <f t="shared" si="81"/>
        <v>6</v>
      </c>
      <c r="I1288" s="96"/>
      <c r="K1288" t="str">
        <f t="shared" si="82"/>
        <v>PMP6</v>
      </c>
      <c r="L1288" s="73" t="s">
        <v>192</v>
      </c>
      <c r="M1288" s="72">
        <v>40816</v>
      </c>
      <c r="N1288" s="84">
        <v>2.7999999999999997E-2</v>
      </c>
      <c r="O1288" s="96">
        <f t="shared" si="83"/>
        <v>6</v>
      </c>
      <c r="Q1288" s="96"/>
      <c r="T1288" s="110"/>
    </row>
    <row r="1289" spans="3:20" x14ac:dyDescent="0.2">
      <c r="C1289" s="96" t="str">
        <f t="shared" si="80"/>
        <v>PMP7</v>
      </c>
      <c r="D1289" s="73" t="s">
        <v>192</v>
      </c>
      <c r="E1289" s="100">
        <v>40966</v>
      </c>
      <c r="F1289" s="101">
        <v>1.67E-2</v>
      </c>
      <c r="G1289" s="96">
        <f t="shared" si="81"/>
        <v>7</v>
      </c>
      <c r="I1289" s="96"/>
      <c r="K1289" t="str">
        <f t="shared" si="82"/>
        <v>PMP7</v>
      </c>
      <c r="L1289" s="73" t="s">
        <v>192</v>
      </c>
      <c r="M1289" s="72">
        <v>40966</v>
      </c>
      <c r="N1289" s="84">
        <v>1.67E-2</v>
      </c>
      <c r="O1289" s="96">
        <f t="shared" si="83"/>
        <v>7</v>
      </c>
      <c r="Q1289" s="96"/>
      <c r="T1289" s="110"/>
    </row>
    <row r="1290" spans="3:20" x14ac:dyDescent="0.2">
      <c r="C1290" s="96" t="str">
        <f t="shared" si="80"/>
        <v>PMP8</v>
      </c>
      <c r="D1290" s="73" t="s">
        <v>192</v>
      </c>
      <c r="E1290" s="100">
        <v>41184</v>
      </c>
      <c r="F1290" s="101">
        <v>3.3300000000000003E-2</v>
      </c>
      <c r="G1290" s="96">
        <f t="shared" si="81"/>
        <v>8</v>
      </c>
      <c r="I1290" s="96"/>
      <c r="K1290" t="str">
        <f t="shared" si="82"/>
        <v>PMP8</v>
      </c>
      <c r="L1290" s="73" t="s">
        <v>192</v>
      </c>
      <c r="M1290" s="72">
        <v>41184</v>
      </c>
      <c r="N1290" s="84">
        <v>3.3300000000000003E-2</v>
      </c>
      <c r="O1290" s="96">
        <f t="shared" si="83"/>
        <v>8</v>
      </c>
      <c r="Q1290" s="96"/>
      <c r="T1290" s="110"/>
    </row>
    <row r="1291" spans="3:20" x14ac:dyDescent="0.2">
      <c r="C1291" s="96" t="str">
        <f t="shared" si="80"/>
        <v>PMP9</v>
      </c>
      <c r="D1291" s="73" t="s">
        <v>192</v>
      </c>
      <c r="E1291" s="100">
        <v>41331</v>
      </c>
      <c r="F1291" s="101">
        <v>1.84E-2</v>
      </c>
      <c r="G1291" s="96">
        <f t="shared" si="81"/>
        <v>9</v>
      </c>
      <c r="I1291" s="96"/>
      <c r="K1291" t="str">
        <f t="shared" si="82"/>
        <v>PMP9</v>
      </c>
      <c r="L1291" s="73" t="s">
        <v>192</v>
      </c>
      <c r="M1291" s="72">
        <v>41331</v>
      </c>
      <c r="N1291" s="84">
        <v>1.84E-2</v>
      </c>
      <c r="O1291" s="96">
        <f t="shared" si="83"/>
        <v>9</v>
      </c>
      <c r="Q1291" s="96"/>
      <c r="T1291" s="110"/>
    </row>
    <row r="1292" spans="3:20" x14ac:dyDescent="0.2">
      <c r="C1292" s="96" t="str">
        <f t="shared" si="80"/>
        <v>PMP10</v>
      </c>
      <c r="D1292" s="73" t="s">
        <v>192</v>
      </c>
      <c r="E1292" s="100">
        <v>41549</v>
      </c>
      <c r="F1292" s="101">
        <v>3.6600000000000001E-2</v>
      </c>
      <c r="G1292" s="96">
        <f t="shared" si="81"/>
        <v>10</v>
      </c>
      <c r="I1292" s="96"/>
      <c r="K1292" t="str">
        <f t="shared" si="82"/>
        <v>PMP10</v>
      </c>
      <c r="L1292" s="73" t="s">
        <v>192</v>
      </c>
      <c r="M1292" s="72">
        <v>41549</v>
      </c>
      <c r="N1292" s="84">
        <v>3.6600000000000001E-2</v>
      </c>
      <c r="O1292" s="96">
        <f t="shared" si="83"/>
        <v>10</v>
      </c>
      <c r="Q1292" s="96"/>
      <c r="T1292" s="110"/>
    </row>
    <row r="1293" spans="3:20" x14ac:dyDescent="0.2">
      <c r="C1293" s="96" t="str">
        <f t="shared" si="80"/>
        <v>PMV1</v>
      </c>
      <c r="D1293" s="73" t="s">
        <v>193</v>
      </c>
      <c r="E1293" s="100">
        <v>39897</v>
      </c>
      <c r="F1293" s="101">
        <v>0.11</v>
      </c>
      <c r="G1293" s="96">
        <f t="shared" si="81"/>
        <v>1</v>
      </c>
      <c r="I1293" s="96"/>
      <c r="K1293" t="str">
        <f t="shared" si="82"/>
        <v>PMV1</v>
      </c>
      <c r="L1293" s="73" t="s">
        <v>193</v>
      </c>
      <c r="M1293" s="72">
        <v>39897</v>
      </c>
      <c r="N1293" s="84">
        <v>0.11</v>
      </c>
      <c r="O1293" s="96">
        <f t="shared" si="83"/>
        <v>1</v>
      </c>
      <c r="Q1293" s="96"/>
      <c r="T1293" s="110"/>
    </row>
    <row r="1294" spans="3:20" x14ac:dyDescent="0.2">
      <c r="C1294" s="96" t="str">
        <f t="shared" si="80"/>
        <v>PMV2</v>
      </c>
      <c r="D1294" s="73" t="s">
        <v>193</v>
      </c>
      <c r="E1294" s="100">
        <v>40079</v>
      </c>
      <c r="F1294" s="101">
        <v>0.18</v>
      </c>
      <c r="G1294" s="96">
        <f t="shared" si="81"/>
        <v>2</v>
      </c>
      <c r="I1294" s="96"/>
      <c r="K1294" t="str">
        <f t="shared" si="82"/>
        <v>PMV2</v>
      </c>
      <c r="L1294" s="73" t="s">
        <v>193</v>
      </c>
      <c r="M1294" s="72">
        <v>40079</v>
      </c>
      <c r="N1294" s="84">
        <v>0.18</v>
      </c>
      <c r="O1294" s="96">
        <f t="shared" si="83"/>
        <v>2</v>
      </c>
      <c r="Q1294" s="96"/>
      <c r="T1294" s="110"/>
    </row>
    <row r="1295" spans="3:20" x14ac:dyDescent="0.2">
      <c r="C1295" s="96" t="str">
        <f t="shared" si="80"/>
        <v>PMV3</v>
      </c>
      <c r="D1295" s="73" t="s">
        <v>193</v>
      </c>
      <c r="E1295" s="100">
        <v>40262</v>
      </c>
      <c r="F1295" s="101">
        <v>0.11</v>
      </c>
      <c r="G1295" s="96">
        <f t="shared" si="81"/>
        <v>3</v>
      </c>
      <c r="I1295" s="96"/>
      <c r="K1295" t="str">
        <f t="shared" si="82"/>
        <v>PMV3</v>
      </c>
      <c r="L1295" s="73" t="s">
        <v>193</v>
      </c>
      <c r="M1295" s="72">
        <v>40262</v>
      </c>
      <c r="N1295" s="84">
        <v>0.11</v>
      </c>
      <c r="O1295" s="96">
        <f t="shared" si="83"/>
        <v>3</v>
      </c>
      <c r="Q1295" s="96"/>
      <c r="T1295" s="110"/>
    </row>
    <row r="1296" spans="3:20" x14ac:dyDescent="0.2">
      <c r="C1296" s="96" t="str">
        <f t="shared" si="80"/>
        <v>PMV4</v>
      </c>
      <c r="D1296" s="73" t="s">
        <v>193</v>
      </c>
      <c r="E1296" s="100">
        <v>40444</v>
      </c>
      <c r="F1296" s="101">
        <v>0.18</v>
      </c>
      <c r="G1296" s="96">
        <f t="shared" si="81"/>
        <v>4</v>
      </c>
      <c r="I1296" s="96"/>
      <c r="K1296" t="str">
        <f t="shared" si="82"/>
        <v>PMV4</v>
      </c>
      <c r="L1296" s="73" t="s">
        <v>193</v>
      </c>
      <c r="M1296" s="72">
        <v>40444</v>
      </c>
      <c r="N1296" s="84">
        <v>0.18</v>
      </c>
      <c r="O1296" s="96">
        <f t="shared" si="83"/>
        <v>4</v>
      </c>
      <c r="Q1296" s="96"/>
      <c r="T1296" s="110"/>
    </row>
    <row r="1297" spans="3:20" x14ac:dyDescent="0.2">
      <c r="C1297" s="96" t="str">
        <f t="shared" si="80"/>
        <v>PMV5</v>
      </c>
      <c r="D1297" s="73" t="s">
        <v>193</v>
      </c>
      <c r="E1297" s="100">
        <v>40627</v>
      </c>
      <c r="F1297" s="101">
        <v>0.18</v>
      </c>
      <c r="G1297" s="96">
        <f t="shared" si="81"/>
        <v>5</v>
      </c>
      <c r="I1297" s="96"/>
      <c r="K1297" t="str">
        <f t="shared" si="82"/>
        <v>PMV5</v>
      </c>
      <c r="L1297" s="73" t="s">
        <v>193</v>
      </c>
      <c r="M1297" s="72">
        <v>40627</v>
      </c>
      <c r="N1297" s="84">
        <v>0.18</v>
      </c>
      <c r="O1297" s="96">
        <f t="shared" si="83"/>
        <v>5</v>
      </c>
      <c r="Q1297" s="96"/>
      <c r="T1297" s="110"/>
    </row>
    <row r="1298" spans="3:20" x14ac:dyDescent="0.2">
      <c r="C1298" s="96" t="str">
        <f t="shared" si="80"/>
        <v>PMV6</v>
      </c>
      <c r="D1298" s="73" t="s">
        <v>193</v>
      </c>
      <c r="E1298" s="100">
        <v>40809</v>
      </c>
      <c r="F1298" s="101">
        <v>0.18</v>
      </c>
      <c r="G1298" s="96">
        <f t="shared" si="81"/>
        <v>6</v>
      </c>
      <c r="I1298" s="96"/>
      <c r="K1298" t="str">
        <f t="shared" si="82"/>
        <v>PMV6</v>
      </c>
      <c r="L1298" s="73" t="s">
        <v>193</v>
      </c>
      <c r="M1298" s="72">
        <v>40809</v>
      </c>
      <c r="N1298" s="84">
        <v>0.18</v>
      </c>
      <c r="O1298" s="96">
        <f t="shared" si="83"/>
        <v>6</v>
      </c>
      <c r="Q1298" s="96"/>
      <c r="T1298" s="110"/>
    </row>
    <row r="1299" spans="3:20" x14ac:dyDescent="0.2">
      <c r="C1299" s="96" t="str">
        <f t="shared" si="80"/>
        <v>PMV7</v>
      </c>
      <c r="D1299" s="73" t="s">
        <v>193</v>
      </c>
      <c r="E1299" s="100">
        <v>40995</v>
      </c>
      <c r="F1299" s="101">
        <v>0.18</v>
      </c>
      <c r="G1299" s="96">
        <f t="shared" si="81"/>
        <v>7</v>
      </c>
      <c r="I1299" s="96"/>
      <c r="K1299" t="str">
        <f t="shared" si="82"/>
        <v>PMV7</v>
      </c>
      <c r="L1299" s="73" t="s">
        <v>193</v>
      </c>
      <c r="M1299" s="72">
        <v>40995</v>
      </c>
      <c r="N1299" s="84">
        <v>0.18</v>
      </c>
      <c r="O1299" s="96">
        <f t="shared" si="83"/>
        <v>7</v>
      </c>
      <c r="Q1299" s="96"/>
      <c r="T1299" s="110"/>
    </row>
    <row r="1300" spans="3:20" x14ac:dyDescent="0.2">
      <c r="C1300" s="96" t="str">
        <f t="shared" si="80"/>
        <v>PMV8</v>
      </c>
      <c r="D1300" s="73" t="s">
        <v>193</v>
      </c>
      <c r="E1300" s="100">
        <v>41177</v>
      </c>
      <c r="F1300" s="101">
        <v>0.24</v>
      </c>
      <c r="G1300" s="96">
        <f t="shared" si="81"/>
        <v>8</v>
      </c>
      <c r="I1300" s="96"/>
      <c r="K1300" t="str">
        <f t="shared" si="82"/>
        <v>PMV8</v>
      </c>
      <c r="L1300" s="73" t="s">
        <v>193</v>
      </c>
      <c r="M1300" s="72">
        <v>41177</v>
      </c>
      <c r="N1300" s="84">
        <v>0.24</v>
      </c>
      <c r="O1300" s="96">
        <f t="shared" si="83"/>
        <v>8</v>
      </c>
      <c r="Q1300" s="96"/>
      <c r="T1300" s="110"/>
    </row>
    <row r="1301" spans="3:20" x14ac:dyDescent="0.2">
      <c r="C1301" s="96" t="str">
        <f t="shared" si="80"/>
        <v>PPT1</v>
      </c>
      <c r="D1301" s="73" t="s">
        <v>194</v>
      </c>
      <c r="E1301" s="100">
        <v>39868</v>
      </c>
      <c r="F1301" s="101">
        <v>1.2</v>
      </c>
      <c r="G1301" s="96">
        <f t="shared" si="81"/>
        <v>1</v>
      </c>
      <c r="I1301" s="96"/>
      <c r="K1301" t="str">
        <f t="shared" si="82"/>
        <v>PPT1</v>
      </c>
      <c r="L1301" s="73" t="s">
        <v>194</v>
      </c>
      <c r="M1301" s="72">
        <v>39868</v>
      </c>
      <c r="N1301" s="84">
        <v>1.2</v>
      </c>
      <c r="O1301" s="96">
        <f t="shared" si="83"/>
        <v>1</v>
      </c>
      <c r="Q1301" s="96"/>
      <c r="T1301" s="110"/>
    </row>
    <row r="1302" spans="3:20" x14ac:dyDescent="0.2">
      <c r="C1302" s="96" t="str">
        <f t="shared" si="80"/>
        <v>PPT2</v>
      </c>
      <c r="D1302" s="73" t="s">
        <v>194</v>
      </c>
      <c r="E1302" s="100">
        <v>40050</v>
      </c>
      <c r="F1302" s="101">
        <v>1.2</v>
      </c>
      <c r="G1302" s="96">
        <f t="shared" si="81"/>
        <v>2</v>
      </c>
      <c r="I1302" s="96"/>
      <c r="K1302" t="str">
        <f t="shared" si="82"/>
        <v>PPT2</v>
      </c>
      <c r="L1302" s="73" t="s">
        <v>194</v>
      </c>
      <c r="M1302" s="72">
        <v>40050</v>
      </c>
      <c r="N1302" s="84">
        <v>1.2</v>
      </c>
      <c r="O1302" s="96">
        <f t="shared" si="83"/>
        <v>2</v>
      </c>
      <c r="Q1302" s="96"/>
      <c r="T1302" s="110"/>
    </row>
    <row r="1303" spans="3:20" x14ac:dyDescent="0.2">
      <c r="C1303" s="96" t="str">
        <f t="shared" si="80"/>
        <v>PPT3</v>
      </c>
      <c r="D1303" s="73" t="s">
        <v>194</v>
      </c>
      <c r="E1303" s="100">
        <v>40233</v>
      </c>
      <c r="F1303" s="101">
        <v>1.47</v>
      </c>
      <c r="G1303" s="96">
        <f t="shared" si="81"/>
        <v>3</v>
      </c>
      <c r="I1303" s="96"/>
      <c r="K1303" t="str">
        <f t="shared" si="82"/>
        <v>PPT3</v>
      </c>
      <c r="L1303" s="73" t="s">
        <v>194</v>
      </c>
      <c r="M1303" s="72">
        <v>40233</v>
      </c>
      <c r="N1303" s="84">
        <v>1.47</v>
      </c>
      <c r="O1303" s="96">
        <f t="shared" si="83"/>
        <v>3</v>
      </c>
      <c r="Q1303" s="96"/>
      <c r="T1303" s="110"/>
    </row>
    <row r="1304" spans="3:20" x14ac:dyDescent="0.2">
      <c r="C1304" s="96" t="str">
        <f t="shared" si="80"/>
        <v>PPT4</v>
      </c>
      <c r="D1304" s="73" t="s">
        <v>194</v>
      </c>
      <c r="E1304" s="100">
        <v>40415</v>
      </c>
      <c r="F1304" s="101">
        <v>1.47</v>
      </c>
      <c r="G1304" s="96">
        <f t="shared" si="81"/>
        <v>4</v>
      </c>
      <c r="I1304" s="96"/>
      <c r="K1304" t="str">
        <f t="shared" si="82"/>
        <v>PPT4</v>
      </c>
      <c r="L1304" s="73" t="s">
        <v>194</v>
      </c>
      <c r="M1304" s="72">
        <v>40415</v>
      </c>
      <c r="N1304" s="84">
        <v>1.47</v>
      </c>
      <c r="O1304" s="96">
        <f t="shared" si="83"/>
        <v>4</v>
      </c>
      <c r="Q1304" s="96"/>
      <c r="T1304" s="110"/>
    </row>
    <row r="1305" spans="3:20" x14ac:dyDescent="0.2">
      <c r="C1305" s="96" t="str">
        <f t="shared" si="80"/>
        <v>PPT5</v>
      </c>
      <c r="D1305" s="73" t="s">
        <v>194</v>
      </c>
      <c r="E1305" s="100">
        <v>40598</v>
      </c>
      <c r="F1305" s="101">
        <v>1.3109999999999999</v>
      </c>
      <c r="G1305" s="96">
        <f t="shared" si="81"/>
        <v>5</v>
      </c>
      <c r="I1305" s="96"/>
      <c r="K1305" t="str">
        <f t="shared" si="82"/>
        <v>PPT5</v>
      </c>
      <c r="L1305" s="73" t="s">
        <v>194</v>
      </c>
      <c r="M1305" s="72">
        <v>40598</v>
      </c>
      <c r="N1305" s="84">
        <v>1.3109999999999999</v>
      </c>
      <c r="O1305" s="96">
        <f t="shared" si="83"/>
        <v>5</v>
      </c>
      <c r="Q1305" s="96"/>
      <c r="T1305" s="110"/>
    </row>
    <row r="1306" spans="3:20" x14ac:dyDescent="0.2">
      <c r="C1306" s="96" t="str">
        <f t="shared" si="80"/>
        <v>PPT6</v>
      </c>
      <c r="D1306" s="73" t="s">
        <v>194</v>
      </c>
      <c r="E1306" s="100">
        <v>40780</v>
      </c>
      <c r="F1306" s="101">
        <v>1.3109999999999999</v>
      </c>
      <c r="G1306" s="96">
        <f t="shared" si="81"/>
        <v>6</v>
      </c>
      <c r="I1306" s="96"/>
      <c r="K1306" t="str">
        <f t="shared" si="82"/>
        <v>PPT6</v>
      </c>
      <c r="L1306" s="73" t="s">
        <v>194</v>
      </c>
      <c r="M1306" s="72">
        <v>40780</v>
      </c>
      <c r="N1306" s="84">
        <v>1.3109999999999999</v>
      </c>
      <c r="O1306" s="96">
        <f t="shared" si="83"/>
        <v>6</v>
      </c>
      <c r="Q1306" s="96"/>
      <c r="T1306" s="110"/>
    </row>
    <row r="1307" spans="3:20" x14ac:dyDescent="0.2">
      <c r="C1307" s="96" t="str">
        <f t="shared" si="80"/>
        <v>PPT7</v>
      </c>
      <c r="D1307" s="73" t="s">
        <v>194</v>
      </c>
      <c r="E1307" s="100">
        <v>40966</v>
      </c>
      <c r="F1307" s="101">
        <v>1.4019999999999999</v>
      </c>
      <c r="G1307" s="96">
        <f t="shared" si="81"/>
        <v>7</v>
      </c>
      <c r="I1307" s="96"/>
      <c r="K1307" t="str">
        <f t="shared" si="82"/>
        <v>PPT7</v>
      </c>
      <c r="L1307" s="73" t="s">
        <v>194</v>
      </c>
      <c r="M1307" s="72">
        <v>40966</v>
      </c>
      <c r="N1307" s="84">
        <v>1.4019999999999999</v>
      </c>
      <c r="O1307" s="96">
        <f t="shared" si="83"/>
        <v>7</v>
      </c>
      <c r="Q1307" s="96"/>
      <c r="T1307" s="110"/>
    </row>
    <row r="1308" spans="3:20" x14ac:dyDescent="0.2">
      <c r="C1308" s="96" t="str">
        <f t="shared" si="80"/>
        <v>PPT8</v>
      </c>
      <c r="D1308" s="73" t="s">
        <v>194</v>
      </c>
      <c r="E1308" s="100">
        <v>41148</v>
      </c>
      <c r="F1308" s="101">
        <v>1.4019999999999999</v>
      </c>
      <c r="G1308" s="96">
        <f t="shared" si="81"/>
        <v>8</v>
      </c>
      <c r="I1308" s="96"/>
      <c r="K1308" t="str">
        <f t="shared" si="82"/>
        <v>PPT8</v>
      </c>
      <c r="L1308" s="73" t="s">
        <v>194</v>
      </c>
      <c r="M1308" s="72">
        <v>41148</v>
      </c>
      <c r="N1308" s="84">
        <v>1.4019999999999999</v>
      </c>
      <c r="O1308" s="96">
        <f t="shared" si="83"/>
        <v>8</v>
      </c>
      <c r="Q1308" s="96"/>
      <c r="T1308" s="110"/>
    </row>
    <row r="1309" spans="3:20" x14ac:dyDescent="0.2">
      <c r="C1309" s="96" t="str">
        <f t="shared" si="80"/>
        <v>PPT9</v>
      </c>
      <c r="D1309" s="73" t="s">
        <v>194</v>
      </c>
      <c r="E1309" s="100">
        <v>41331</v>
      </c>
      <c r="F1309" s="101">
        <v>1.4380000000000002</v>
      </c>
      <c r="G1309" s="96">
        <f t="shared" si="81"/>
        <v>9</v>
      </c>
      <c r="I1309" s="96"/>
      <c r="K1309" t="str">
        <f t="shared" si="82"/>
        <v>PPT9</v>
      </c>
      <c r="L1309" s="73" t="s">
        <v>194</v>
      </c>
      <c r="M1309" s="72">
        <v>41331</v>
      </c>
      <c r="N1309" s="84">
        <v>1.4380000000000002</v>
      </c>
      <c r="O1309" s="96">
        <f t="shared" si="83"/>
        <v>9</v>
      </c>
      <c r="Q1309" s="96"/>
      <c r="T1309" s="110"/>
    </row>
    <row r="1310" spans="3:20" x14ac:dyDescent="0.2">
      <c r="C1310" s="96" t="str">
        <f t="shared" si="80"/>
        <v>PPT10</v>
      </c>
      <c r="D1310" s="73" t="s">
        <v>194</v>
      </c>
      <c r="E1310" s="100">
        <v>41513</v>
      </c>
      <c r="F1310" s="101">
        <v>1.4380000000000002</v>
      </c>
      <c r="G1310" s="96">
        <f t="shared" si="81"/>
        <v>10</v>
      </c>
      <c r="I1310" s="96"/>
      <c r="K1310" t="str">
        <f t="shared" si="82"/>
        <v>PPT10</v>
      </c>
      <c r="L1310" s="73" t="s">
        <v>194</v>
      </c>
      <c r="M1310" s="72">
        <v>41513</v>
      </c>
      <c r="N1310" s="84">
        <v>1.4380000000000002</v>
      </c>
      <c r="O1310" s="96">
        <f t="shared" si="83"/>
        <v>10</v>
      </c>
      <c r="Q1310" s="96"/>
      <c r="T1310" s="83"/>
    </row>
    <row r="1311" spans="3:20" x14ac:dyDescent="0.2">
      <c r="C1311" s="96" t="str">
        <f t="shared" si="80"/>
        <v>PPX1</v>
      </c>
      <c r="D1311" s="73" t="s">
        <v>195</v>
      </c>
      <c r="E1311" s="100">
        <v>39871</v>
      </c>
      <c r="F1311" s="101">
        <v>0.03</v>
      </c>
      <c r="G1311" s="96">
        <f t="shared" si="81"/>
        <v>1</v>
      </c>
      <c r="I1311" s="96"/>
      <c r="K1311" t="str">
        <f t="shared" si="82"/>
        <v>PPX1</v>
      </c>
      <c r="L1311" s="73" t="s">
        <v>195</v>
      </c>
      <c r="M1311" s="72">
        <v>39871</v>
      </c>
      <c r="N1311" s="84">
        <v>0.03</v>
      </c>
      <c r="O1311" s="96">
        <f t="shared" si="83"/>
        <v>1</v>
      </c>
      <c r="Q1311" s="96"/>
      <c r="T1311" s="83"/>
    </row>
    <row r="1312" spans="3:20" x14ac:dyDescent="0.2">
      <c r="C1312" s="96" t="str">
        <f t="shared" si="80"/>
        <v>PPX2</v>
      </c>
      <c r="D1312" s="73" t="s">
        <v>195</v>
      </c>
      <c r="E1312" s="100">
        <v>40071</v>
      </c>
      <c r="F1312" s="101">
        <v>3.5000000000000003E-2</v>
      </c>
      <c r="G1312" s="96">
        <f t="shared" si="81"/>
        <v>2</v>
      </c>
      <c r="I1312" s="96"/>
      <c r="K1312" t="str">
        <f t="shared" si="82"/>
        <v>PPX2</v>
      </c>
      <c r="L1312" s="73" t="s">
        <v>195</v>
      </c>
      <c r="M1312" s="72">
        <v>40071</v>
      </c>
      <c r="N1312" s="84">
        <v>3.5000000000000003E-2</v>
      </c>
      <c r="O1312" s="96">
        <f t="shared" si="83"/>
        <v>2</v>
      </c>
      <c r="Q1312" s="96"/>
      <c r="T1312" s="83"/>
    </row>
    <row r="1313" spans="3:20" x14ac:dyDescent="0.2">
      <c r="C1313" s="96" t="str">
        <f t="shared" si="80"/>
        <v>PPX3</v>
      </c>
      <c r="D1313" s="73" t="s">
        <v>195</v>
      </c>
      <c r="E1313" s="100">
        <v>40238</v>
      </c>
      <c r="F1313" s="101">
        <v>3.78E-2</v>
      </c>
      <c r="G1313" s="96">
        <f t="shared" si="81"/>
        <v>3</v>
      </c>
      <c r="I1313" s="96"/>
      <c r="K1313" t="str">
        <f t="shared" si="82"/>
        <v>PPX3</v>
      </c>
      <c r="L1313" s="73" t="s">
        <v>195</v>
      </c>
      <c r="M1313" s="72">
        <v>40238</v>
      </c>
      <c r="N1313" s="84">
        <v>3.78E-2</v>
      </c>
      <c r="O1313" s="96">
        <f t="shared" si="83"/>
        <v>3</v>
      </c>
      <c r="Q1313" s="96"/>
      <c r="T1313" s="83"/>
    </row>
    <row r="1314" spans="3:20" x14ac:dyDescent="0.2">
      <c r="C1314" s="96" t="str">
        <f t="shared" si="80"/>
        <v>PPX4</v>
      </c>
      <c r="D1314" s="73" t="s">
        <v>195</v>
      </c>
      <c r="E1314" s="100">
        <v>40436</v>
      </c>
      <c r="F1314" s="101">
        <v>4.4199999999999996E-2</v>
      </c>
      <c r="G1314" s="96">
        <f t="shared" si="81"/>
        <v>4</v>
      </c>
      <c r="I1314" s="96"/>
      <c r="K1314" t="str">
        <f t="shared" si="82"/>
        <v>PPX4</v>
      </c>
      <c r="L1314" s="73" t="s">
        <v>195</v>
      </c>
      <c r="M1314" s="72">
        <v>40436</v>
      </c>
      <c r="N1314" s="84">
        <v>4.4199999999999996E-2</v>
      </c>
      <c r="O1314" s="96">
        <f t="shared" si="83"/>
        <v>4</v>
      </c>
      <c r="Q1314" s="96"/>
      <c r="T1314" s="83"/>
    </row>
    <row r="1315" spans="3:20" x14ac:dyDescent="0.2">
      <c r="C1315" s="96" t="str">
        <f t="shared" si="80"/>
        <v>PPX5</v>
      </c>
      <c r="D1315" s="73" t="s">
        <v>195</v>
      </c>
      <c r="E1315" s="100">
        <v>40603</v>
      </c>
      <c r="F1315" s="101">
        <v>4.24E-2</v>
      </c>
      <c r="G1315" s="96">
        <f t="shared" si="81"/>
        <v>5</v>
      </c>
      <c r="I1315" s="96"/>
      <c r="K1315" t="str">
        <f t="shared" si="82"/>
        <v>PPX5</v>
      </c>
      <c r="L1315" s="73" t="s">
        <v>195</v>
      </c>
      <c r="M1315" s="72">
        <v>40603</v>
      </c>
      <c r="N1315" s="84">
        <v>4.24E-2</v>
      </c>
      <c r="O1315" s="96">
        <f t="shared" si="83"/>
        <v>5</v>
      </c>
      <c r="Q1315" s="96"/>
      <c r="T1315" s="83"/>
    </row>
    <row r="1316" spans="3:20" x14ac:dyDescent="0.2">
      <c r="C1316" s="96" t="str">
        <f t="shared" si="80"/>
        <v>PPX6</v>
      </c>
      <c r="D1316" s="73" t="s">
        <v>195</v>
      </c>
      <c r="E1316" s="100">
        <v>40801</v>
      </c>
      <c r="F1316" s="101">
        <v>4.9599999999999998E-2</v>
      </c>
      <c r="G1316" s="96">
        <f t="shared" si="81"/>
        <v>6</v>
      </c>
      <c r="I1316" s="96"/>
      <c r="K1316" t="str">
        <f t="shared" si="82"/>
        <v>PPX6</v>
      </c>
      <c r="L1316" s="73" t="s">
        <v>195</v>
      </c>
      <c r="M1316" s="72">
        <v>40801</v>
      </c>
      <c r="N1316" s="84">
        <v>4.9599999999999998E-2</v>
      </c>
      <c r="O1316" s="96">
        <f t="shared" si="83"/>
        <v>6</v>
      </c>
      <c r="Q1316" s="96"/>
      <c r="T1316" s="110"/>
    </row>
    <row r="1317" spans="3:20" x14ac:dyDescent="0.2">
      <c r="C1317" s="96" t="str">
        <f t="shared" si="80"/>
        <v>PPX7</v>
      </c>
      <c r="D1317" s="73" t="s">
        <v>195</v>
      </c>
      <c r="E1317" s="100">
        <v>40969</v>
      </c>
      <c r="F1317" s="101">
        <v>5.1100000000000007E-2</v>
      </c>
      <c r="G1317" s="96">
        <f t="shared" si="81"/>
        <v>7</v>
      </c>
      <c r="I1317" s="96"/>
      <c r="K1317" t="str">
        <f t="shared" si="82"/>
        <v>PPX7</v>
      </c>
      <c r="L1317" s="73" t="s">
        <v>195</v>
      </c>
      <c r="M1317" s="72">
        <v>40969</v>
      </c>
      <c r="N1317" s="84">
        <v>5.1100000000000007E-2</v>
      </c>
      <c r="O1317" s="96">
        <f t="shared" si="83"/>
        <v>7</v>
      </c>
      <c r="Q1317" s="96"/>
      <c r="T1317" s="110"/>
    </row>
    <row r="1318" spans="3:20" x14ac:dyDescent="0.2">
      <c r="C1318" s="96" t="str">
        <f t="shared" si="80"/>
        <v>PPX8</v>
      </c>
      <c r="D1318" s="73" t="s">
        <v>195</v>
      </c>
      <c r="E1318" s="100">
        <v>41169</v>
      </c>
      <c r="F1318" s="101">
        <v>5.9900000000000002E-2</v>
      </c>
      <c r="G1318" s="96">
        <f t="shared" si="81"/>
        <v>8</v>
      </c>
      <c r="I1318" s="96"/>
      <c r="K1318" t="str">
        <f t="shared" si="82"/>
        <v>PPX8</v>
      </c>
      <c r="L1318" s="73" t="s">
        <v>195</v>
      </c>
      <c r="M1318" s="72">
        <v>41169</v>
      </c>
      <c r="N1318" s="84">
        <v>5.9900000000000002E-2</v>
      </c>
      <c r="O1318" s="96">
        <f t="shared" si="83"/>
        <v>8</v>
      </c>
      <c r="Q1318" s="96"/>
      <c r="T1318" s="110"/>
    </row>
    <row r="1319" spans="3:20" x14ac:dyDescent="0.2">
      <c r="C1319" s="96" t="str">
        <f t="shared" si="80"/>
        <v>PPX9</v>
      </c>
      <c r="D1319" s="73" t="s">
        <v>195</v>
      </c>
      <c r="E1319" s="100">
        <v>41334</v>
      </c>
      <c r="F1319" s="101">
        <v>5.5199999999999999E-2</v>
      </c>
      <c r="G1319" s="96">
        <f t="shared" si="81"/>
        <v>9</v>
      </c>
      <c r="I1319" s="96"/>
      <c r="K1319" t="str">
        <f t="shared" si="82"/>
        <v>PPX9</v>
      </c>
      <c r="L1319" s="73" t="s">
        <v>195</v>
      </c>
      <c r="M1319" s="72">
        <v>41334</v>
      </c>
      <c r="N1319" s="84">
        <v>5.5199999999999999E-2</v>
      </c>
      <c r="O1319" s="96">
        <f t="shared" si="83"/>
        <v>9</v>
      </c>
      <c r="Q1319" s="96"/>
      <c r="T1319" s="110"/>
    </row>
    <row r="1320" spans="3:20" x14ac:dyDescent="0.2">
      <c r="C1320" s="96" t="str">
        <f t="shared" si="80"/>
        <v>PPX10</v>
      </c>
      <c r="D1320" s="73" t="s">
        <v>195</v>
      </c>
      <c r="E1320" s="100">
        <v>41534</v>
      </c>
      <c r="F1320" s="101">
        <v>6.480000000000001E-2</v>
      </c>
      <c r="G1320" s="96">
        <f t="shared" si="81"/>
        <v>10</v>
      </c>
      <c r="I1320" s="96"/>
      <c r="K1320" t="str">
        <f t="shared" si="82"/>
        <v>PPX10</v>
      </c>
      <c r="L1320" s="73" t="s">
        <v>195</v>
      </c>
      <c r="M1320" s="72">
        <v>41534</v>
      </c>
      <c r="N1320" s="84">
        <v>6.480000000000001E-2</v>
      </c>
      <c r="O1320" s="96">
        <f t="shared" si="83"/>
        <v>10</v>
      </c>
      <c r="Q1320" s="96"/>
      <c r="T1320" s="110"/>
    </row>
    <row r="1321" spans="3:20" x14ac:dyDescent="0.2">
      <c r="C1321" s="96" t="str">
        <f t="shared" si="80"/>
        <v>PRY1</v>
      </c>
      <c r="D1321" s="73" t="s">
        <v>249</v>
      </c>
      <c r="E1321" s="100">
        <v>39868</v>
      </c>
      <c r="F1321" s="101">
        <v>0.1613</v>
      </c>
      <c r="G1321" s="96">
        <f t="shared" si="81"/>
        <v>1</v>
      </c>
      <c r="I1321" s="96"/>
      <c r="K1321" t="str">
        <f t="shared" si="82"/>
        <v>PRY1</v>
      </c>
      <c r="L1321" s="73" t="s">
        <v>249</v>
      </c>
      <c r="M1321" s="72">
        <v>39868</v>
      </c>
      <c r="N1321" s="84">
        <v>0.1613</v>
      </c>
      <c r="O1321" s="96">
        <f t="shared" si="83"/>
        <v>1</v>
      </c>
      <c r="Q1321" s="96"/>
      <c r="T1321" s="110"/>
    </row>
    <row r="1322" spans="3:20" x14ac:dyDescent="0.2">
      <c r="C1322" s="96" t="str">
        <f t="shared" si="80"/>
        <v>PRY2</v>
      </c>
      <c r="D1322" s="73" t="s">
        <v>249</v>
      </c>
      <c r="E1322" s="100">
        <v>40064</v>
      </c>
      <c r="F1322" s="101">
        <v>3.6699999999999997E-2</v>
      </c>
      <c r="G1322" s="96">
        <f t="shared" si="81"/>
        <v>2</v>
      </c>
      <c r="I1322" s="96"/>
      <c r="K1322" t="str">
        <f t="shared" si="82"/>
        <v>PRY2</v>
      </c>
      <c r="L1322" s="73" t="s">
        <v>249</v>
      </c>
      <c r="M1322" s="72">
        <v>40064</v>
      </c>
      <c r="N1322" s="84">
        <v>3.6699999999999997E-2</v>
      </c>
      <c r="O1322" s="96">
        <f t="shared" si="83"/>
        <v>2</v>
      </c>
      <c r="Q1322" s="96"/>
      <c r="T1322" s="110"/>
    </row>
    <row r="1323" spans="3:20" x14ac:dyDescent="0.2">
      <c r="C1323" s="96" t="str">
        <f t="shared" si="80"/>
        <v>PRY3</v>
      </c>
      <c r="D1323" s="73" t="s">
        <v>249</v>
      </c>
      <c r="E1323" s="100">
        <v>40233</v>
      </c>
      <c r="F1323" s="101">
        <v>0.2656</v>
      </c>
      <c r="G1323" s="96">
        <f t="shared" si="81"/>
        <v>3</v>
      </c>
      <c r="I1323" s="96"/>
      <c r="K1323" t="str">
        <f t="shared" si="82"/>
        <v>PRY3</v>
      </c>
      <c r="L1323" s="73" t="s">
        <v>249</v>
      </c>
      <c r="M1323" s="72">
        <v>40233</v>
      </c>
      <c r="N1323" s="84">
        <v>0.2656</v>
      </c>
      <c r="O1323" s="96">
        <f t="shared" si="83"/>
        <v>3</v>
      </c>
      <c r="Q1323" s="96"/>
      <c r="T1323" s="110"/>
    </row>
    <row r="1324" spans="3:20" x14ac:dyDescent="0.2">
      <c r="C1324" s="96" t="str">
        <f t="shared" si="80"/>
        <v>PRY4</v>
      </c>
      <c r="D1324" s="73" t="s">
        <v>249</v>
      </c>
      <c r="E1324" s="100">
        <v>40429</v>
      </c>
      <c r="F1324" s="101">
        <v>6.0400000000000002E-2</v>
      </c>
      <c r="G1324" s="96">
        <f t="shared" si="81"/>
        <v>4</v>
      </c>
      <c r="I1324" s="96"/>
      <c r="K1324" t="str">
        <f t="shared" si="82"/>
        <v>PRY4</v>
      </c>
      <c r="L1324" s="73" t="s">
        <v>249</v>
      </c>
      <c r="M1324" s="72">
        <v>40429</v>
      </c>
      <c r="N1324" s="84">
        <v>6.0400000000000002E-2</v>
      </c>
      <c r="O1324" s="96">
        <f t="shared" si="83"/>
        <v>4</v>
      </c>
      <c r="Q1324" s="96"/>
      <c r="T1324" s="110"/>
    </row>
    <row r="1325" spans="3:20" x14ac:dyDescent="0.2">
      <c r="C1325" s="96" t="str">
        <f t="shared" si="80"/>
        <v>PRY5</v>
      </c>
      <c r="D1325" s="73" t="s">
        <v>249</v>
      </c>
      <c r="E1325" s="100">
        <v>40598</v>
      </c>
      <c r="F1325" s="101">
        <v>0.30309999999999998</v>
      </c>
      <c r="G1325" s="96">
        <f t="shared" si="81"/>
        <v>5</v>
      </c>
      <c r="I1325" s="96"/>
      <c r="K1325" t="str">
        <f t="shared" si="82"/>
        <v>PRY5</v>
      </c>
      <c r="L1325" s="73" t="s">
        <v>249</v>
      </c>
      <c r="M1325" s="72">
        <v>40598</v>
      </c>
      <c r="N1325" s="84">
        <v>0.30309999999999998</v>
      </c>
      <c r="O1325" s="96">
        <f t="shared" si="83"/>
        <v>5</v>
      </c>
      <c r="Q1325" s="96"/>
      <c r="T1325" s="110"/>
    </row>
    <row r="1326" spans="3:20" x14ac:dyDescent="0.2">
      <c r="C1326" s="96" t="str">
        <f t="shared" si="80"/>
        <v>PRY6</v>
      </c>
      <c r="D1326" s="73" t="s">
        <v>249</v>
      </c>
      <c r="E1326" s="100">
        <v>40794</v>
      </c>
      <c r="F1326" s="101">
        <v>6.8900000000000003E-2</v>
      </c>
      <c r="G1326" s="96">
        <f t="shared" si="81"/>
        <v>6</v>
      </c>
      <c r="I1326" s="96"/>
      <c r="K1326" t="str">
        <f t="shared" si="82"/>
        <v>PRY6</v>
      </c>
      <c r="L1326" s="73" t="s">
        <v>249</v>
      </c>
      <c r="M1326" s="72">
        <v>40794</v>
      </c>
      <c r="N1326" s="84">
        <v>6.8900000000000003E-2</v>
      </c>
      <c r="O1326" s="96">
        <f t="shared" si="83"/>
        <v>6</v>
      </c>
      <c r="Q1326" s="96"/>
      <c r="T1326" s="110"/>
    </row>
    <row r="1327" spans="3:20" x14ac:dyDescent="0.2">
      <c r="C1327" s="96" t="str">
        <f t="shared" si="80"/>
        <v>PRY7</v>
      </c>
      <c r="D1327" s="73" t="s">
        <v>249</v>
      </c>
      <c r="E1327" s="100">
        <v>40966</v>
      </c>
      <c r="F1327" s="101">
        <v>0.33810000000000001</v>
      </c>
      <c r="G1327" s="96">
        <f t="shared" si="81"/>
        <v>7</v>
      </c>
      <c r="I1327" s="96"/>
      <c r="K1327" t="str">
        <f t="shared" si="82"/>
        <v>PRY7</v>
      </c>
      <c r="L1327" s="73" t="s">
        <v>249</v>
      </c>
      <c r="M1327" s="72">
        <v>40966</v>
      </c>
      <c r="N1327" s="84">
        <v>0.33810000000000001</v>
      </c>
      <c r="O1327" s="96">
        <f t="shared" si="83"/>
        <v>7</v>
      </c>
      <c r="Q1327" s="96"/>
      <c r="T1327" s="110"/>
    </row>
    <row r="1328" spans="3:20" x14ac:dyDescent="0.2">
      <c r="C1328" s="96" t="str">
        <f t="shared" si="80"/>
        <v>PRY8</v>
      </c>
      <c r="D1328" s="73" t="s">
        <v>249</v>
      </c>
      <c r="E1328" s="100">
        <v>41162</v>
      </c>
      <c r="F1328" s="101">
        <v>7.690000000000001E-2</v>
      </c>
      <c r="G1328" s="96">
        <f t="shared" si="81"/>
        <v>8</v>
      </c>
      <c r="I1328" s="96"/>
      <c r="K1328" t="str">
        <f t="shared" si="82"/>
        <v>PRY8</v>
      </c>
      <c r="L1328" s="73" t="s">
        <v>249</v>
      </c>
      <c r="M1328" s="72">
        <v>41162</v>
      </c>
      <c r="N1328" s="84">
        <v>7.690000000000001E-2</v>
      </c>
      <c r="O1328" s="96">
        <f t="shared" si="83"/>
        <v>8</v>
      </c>
      <c r="Q1328" s="96"/>
      <c r="T1328" s="110"/>
    </row>
    <row r="1329" spans="3:20" x14ac:dyDescent="0.2">
      <c r="C1329" s="96" t="str">
        <f t="shared" si="80"/>
        <v>PRY9</v>
      </c>
      <c r="D1329" s="73" t="s">
        <v>249</v>
      </c>
      <c r="E1329" s="100">
        <v>41331</v>
      </c>
      <c r="F1329" s="101">
        <v>0.39590000000000003</v>
      </c>
      <c r="G1329" s="96">
        <f t="shared" si="81"/>
        <v>9</v>
      </c>
      <c r="I1329" s="96"/>
      <c r="K1329" t="str">
        <f t="shared" si="82"/>
        <v>PRY9</v>
      </c>
      <c r="L1329" s="73" t="s">
        <v>249</v>
      </c>
      <c r="M1329" s="72">
        <v>41331</v>
      </c>
      <c r="N1329" s="84">
        <v>0.39590000000000003</v>
      </c>
      <c r="O1329" s="96">
        <f t="shared" si="83"/>
        <v>9</v>
      </c>
      <c r="Q1329" s="96"/>
      <c r="T1329" s="110"/>
    </row>
    <row r="1330" spans="3:20" x14ac:dyDescent="0.2">
      <c r="C1330" s="96" t="str">
        <f t="shared" si="80"/>
        <v>PRY10</v>
      </c>
      <c r="D1330" s="73" t="s">
        <v>249</v>
      </c>
      <c r="E1330" s="100">
        <v>41527</v>
      </c>
      <c r="F1330" s="101">
        <v>9.01E-2</v>
      </c>
      <c r="G1330" s="96">
        <f t="shared" si="81"/>
        <v>10</v>
      </c>
      <c r="I1330" s="96"/>
      <c r="K1330" t="str">
        <f t="shared" si="82"/>
        <v>PRY10</v>
      </c>
      <c r="L1330" s="73" t="s">
        <v>249</v>
      </c>
      <c r="M1330" s="72">
        <v>41527</v>
      </c>
      <c r="N1330" s="84">
        <v>9.01E-2</v>
      </c>
      <c r="O1330" s="96">
        <f t="shared" si="83"/>
        <v>10</v>
      </c>
      <c r="Q1330" s="96"/>
      <c r="T1330" s="110"/>
    </row>
    <row r="1331" spans="3:20" x14ac:dyDescent="0.2">
      <c r="C1331" s="96" t="str">
        <f t="shared" si="80"/>
        <v>PTM1</v>
      </c>
      <c r="D1331" s="73" t="s">
        <v>196</v>
      </c>
      <c r="E1331" s="100">
        <v>39868</v>
      </c>
      <c r="F1331" s="101">
        <v>0.12</v>
      </c>
      <c r="G1331" s="96">
        <f t="shared" si="81"/>
        <v>1</v>
      </c>
      <c r="I1331" s="96"/>
      <c r="K1331" t="str">
        <f t="shared" si="82"/>
        <v>PTM1</v>
      </c>
      <c r="L1331" s="73" t="s">
        <v>196</v>
      </c>
      <c r="M1331" s="72">
        <v>39868</v>
      </c>
      <c r="N1331" s="84">
        <v>0.12</v>
      </c>
      <c r="O1331" s="96">
        <f t="shared" si="83"/>
        <v>1</v>
      </c>
      <c r="Q1331" s="96"/>
      <c r="T1331" s="110"/>
    </row>
    <row r="1332" spans="3:20" x14ac:dyDescent="0.2">
      <c r="C1332" s="96" t="str">
        <f t="shared" si="80"/>
        <v>PTM2</v>
      </c>
      <c r="D1332" s="73" t="s">
        <v>196</v>
      </c>
      <c r="E1332" s="100">
        <v>40051</v>
      </c>
      <c r="F1332" s="101">
        <v>0.12</v>
      </c>
      <c r="G1332" s="96">
        <f t="shared" si="81"/>
        <v>2</v>
      </c>
      <c r="I1332" s="96"/>
      <c r="K1332" t="str">
        <f t="shared" si="82"/>
        <v>PTM2</v>
      </c>
      <c r="L1332" s="73" t="s">
        <v>196</v>
      </c>
      <c r="M1332" s="72">
        <v>40051</v>
      </c>
      <c r="N1332" s="84">
        <v>0.12</v>
      </c>
      <c r="O1332" s="96">
        <f t="shared" si="83"/>
        <v>2</v>
      </c>
      <c r="Q1332" s="96"/>
      <c r="T1332" s="110"/>
    </row>
    <row r="1333" spans="3:20" x14ac:dyDescent="0.2">
      <c r="C1333" s="96" t="str">
        <f t="shared" si="80"/>
        <v>PTM3</v>
      </c>
      <c r="D1333" s="73" t="s">
        <v>196</v>
      </c>
      <c r="E1333" s="100">
        <v>40233</v>
      </c>
      <c r="F1333" s="101">
        <v>0.12</v>
      </c>
      <c r="G1333" s="96">
        <f t="shared" si="81"/>
        <v>3</v>
      </c>
      <c r="I1333" s="96"/>
      <c r="K1333" t="str">
        <f t="shared" si="82"/>
        <v>PTM3</v>
      </c>
      <c r="L1333" s="73" t="s">
        <v>196</v>
      </c>
      <c r="M1333" s="72">
        <v>40233</v>
      </c>
      <c r="N1333" s="84">
        <v>0.12</v>
      </c>
      <c r="O1333" s="96">
        <f t="shared" si="83"/>
        <v>3</v>
      </c>
      <c r="Q1333" s="96"/>
      <c r="T1333" s="110"/>
    </row>
    <row r="1334" spans="3:20" x14ac:dyDescent="0.2">
      <c r="C1334" s="96" t="str">
        <f t="shared" si="80"/>
        <v>PTM4</v>
      </c>
      <c r="D1334" s="73" t="s">
        <v>196</v>
      </c>
      <c r="E1334" s="100">
        <v>40416</v>
      </c>
      <c r="F1334" s="101">
        <v>0.12</v>
      </c>
      <c r="G1334" s="96">
        <f t="shared" si="81"/>
        <v>4</v>
      </c>
      <c r="I1334" s="96"/>
      <c r="K1334" t="str">
        <f t="shared" si="82"/>
        <v>PTM4</v>
      </c>
      <c r="L1334" s="73" t="s">
        <v>196</v>
      </c>
      <c r="M1334" s="72">
        <v>40416</v>
      </c>
      <c r="N1334" s="84">
        <v>0.12</v>
      </c>
      <c r="O1334" s="96">
        <f t="shared" si="83"/>
        <v>4</v>
      </c>
      <c r="Q1334" s="96"/>
      <c r="T1334" s="110"/>
    </row>
    <row r="1335" spans="3:20" x14ac:dyDescent="0.2">
      <c r="C1335" s="96" t="str">
        <f t="shared" si="80"/>
        <v>PTM5</v>
      </c>
      <c r="D1335" s="73" t="s">
        <v>196</v>
      </c>
      <c r="E1335" s="100">
        <v>40598</v>
      </c>
      <c r="F1335" s="101">
        <v>0.12</v>
      </c>
      <c r="G1335" s="96">
        <f t="shared" si="81"/>
        <v>5</v>
      </c>
      <c r="I1335" s="96"/>
      <c r="K1335" t="str">
        <f t="shared" si="82"/>
        <v>PTM5</v>
      </c>
      <c r="L1335" s="73" t="s">
        <v>196</v>
      </c>
      <c r="M1335" s="72">
        <v>40598</v>
      </c>
      <c r="N1335" s="84">
        <v>0.12</v>
      </c>
      <c r="O1335" s="96">
        <f t="shared" si="83"/>
        <v>5</v>
      </c>
      <c r="Q1335" s="96"/>
      <c r="T1335" s="110"/>
    </row>
    <row r="1336" spans="3:20" x14ac:dyDescent="0.2">
      <c r="C1336" s="96" t="str">
        <f t="shared" si="80"/>
        <v>PTM6</v>
      </c>
      <c r="D1336" s="73" t="s">
        <v>196</v>
      </c>
      <c r="E1336" s="100">
        <v>40781</v>
      </c>
      <c r="F1336" s="101">
        <v>0.12</v>
      </c>
      <c r="G1336" s="96">
        <f t="shared" si="81"/>
        <v>6</v>
      </c>
      <c r="I1336" s="96"/>
      <c r="K1336" t="str">
        <f t="shared" si="82"/>
        <v>PTM6</v>
      </c>
      <c r="L1336" s="73" t="s">
        <v>196</v>
      </c>
      <c r="M1336" s="72">
        <v>40781</v>
      </c>
      <c r="N1336" s="84">
        <v>0.12</v>
      </c>
      <c r="O1336" s="96">
        <f t="shared" si="83"/>
        <v>6</v>
      </c>
      <c r="Q1336" s="96"/>
      <c r="T1336" s="110"/>
    </row>
    <row r="1337" spans="3:20" x14ac:dyDescent="0.2">
      <c r="C1337" s="96" t="str">
        <f t="shared" si="80"/>
        <v>PTM7</v>
      </c>
      <c r="D1337" s="73" t="s">
        <v>196</v>
      </c>
      <c r="E1337" s="100">
        <v>40966</v>
      </c>
      <c r="F1337" s="101">
        <v>0.12</v>
      </c>
      <c r="G1337" s="96">
        <f t="shared" si="81"/>
        <v>7</v>
      </c>
      <c r="I1337" s="96"/>
      <c r="K1337" t="str">
        <f t="shared" si="82"/>
        <v>PTM7</v>
      </c>
      <c r="L1337" s="73" t="s">
        <v>196</v>
      </c>
      <c r="M1337" s="72">
        <v>40966</v>
      </c>
      <c r="N1337" s="84">
        <v>0.12</v>
      </c>
      <c r="O1337" s="96">
        <f t="shared" si="83"/>
        <v>7</v>
      </c>
      <c r="Q1337" s="96"/>
      <c r="T1337" s="110"/>
    </row>
    <row r="1338" spans="3:20" x14ac:dyDescent="0.2">
      <c r="C1338" s="96" t="str">
        <f t="shared" si="80"/>
        <v>PTM8</v>
      </c>
      <c r="D1338" s="73" t="s">
        <v>196</v>
      </c>
      <c r="E1338" s="100">
        <v>41149</v>
      </c>
      <c r="F1338" s="101">
        <v>0.12</v>
      </c>
      <c r="G1338" s="96">
        <f t="shared" si="81"/>
        <v>8</v>
      </c>
      <c r="I1338" s="96"/>
      <c r="K1338" t="str">
        <f t="shared" si="82"/>
        <v>PTM8</v>
      </c>
      <c r="L1338" s="73" t="s">
        <v>196</v>
      </c>
      <c r="M1338" s="72">
        <v>41149</v>
      </c>
      <c r="N1338" s="84">
        <v>0.12</v>
      </c>
      <c r="O1338" s="96">
        <f t="shared" si="83"/>
        <v>8</v>
      </c>
      <c r="Q1338" s="96"/>
      <c r="T1338" s="110"/>
    </row>
    <row r="1339" spans="3:20" x14ac:dyDescent="0.2">
      <c r="C1339" s="96" t="str">
        <f t="shared" si="80"/>
        <v>PTM9</v>
      </c>
      <c r="D1339" s="73" t="s">
        <v>196</v>
      </c>
      <c r="E1339" s="100">
        <v>41331</v>
      </c>
      <c r="F1339" s="101">
        <v>0.12</v>
      </c>
      <c r="G1339" s="96">
        <f t="shared" si="81"/>
        <v>9</v>
      </c>
      <c r="I1339" s="96"/>
      <c r="K1339" t="str">
        <f t="shared" si="82"/>
        <v>PTM9</v>
      </c>
      <c r="L1339" s="73" t="s">
        <v>196</v>
      </c>
      <c r="M1339" s="72">
        <v>41331</v>
      </c>
      <c r="N1339" s="84">
        <v>0.12</v>
      </c>
      <c r="O1339" s="96">
        <f t="shared" si="83"/>
        <v>9</v>
      </c>
      <c r="Q1339" s="96"/>
      <c r="T1339" s="110"/>
    </row>
    <row r="1340" spans="3:20" x14ac:dyDescent="0.2">
      <c r="C1340" s="96" t="str">
        <f t="shared" si="80"/>
        <v>PTM10</v>
      </c>
      <c r="D1340" s="73" t="s">
        <v>196</v>
      </c>
      <c r="E1340" s="100">
        <v>41514</v>
      </c>
      <c r="F1340" s="101">
        <v>0.12</v>
      </c>
      <c r="G1340" s="96">
        <f t="shared" si="81"/>
        <v>10</v>
      </c>
      <c r="I1340" s="96"/>
      <c r="K1340" t="str">
        <f t="shared" si="82"/>
        <v>PTM10</v>
      </c>
      <c r="L1340" s="73" t="s">
        <v>196</v>
      </c>
      <c r="M1340" s="72">
        <v>41514</v>
      </c>
      <c r="N1340" s="84">
        <v>0.12</v>
      </c>
      <c r="O1340" s="96">
        <f t="shared" si="83"/>
        <v>10</v>
      </c>
      <c r="Q1340" s="96"/>
      <c r="T1340" s="110"/>
    </row>
    <row r="1341" spans="3:20" x14ac:dyDescent="0.2">
      <c r="C1341" s="96" t="str">
        <f t="shared" si="80"/>
        <v>QAN1</v>
      </c>
      <c r="D1341" s="73" t="s">
        <v>197</v>
      </c>
      <c r="E1341" s="100">
        <v>39882</v>
      </c>
      <c r="F1341" s="101">
        <v>0.1</v>
      </c>
      <c r="G1341" s="96">
        <f t="shared" si="81"/>
        <v>1</v>
      </c>
      <c r="I1341" s="96"/>
      <c r="K1341" t="str">
        <f t="shared" si="82"/>
        <v>QAN1</v>
      </c>
      <c r="L1341" s="73" t="s">
        <v>197</v>
      </c>
      <c r="M1341" s="72">
        <v>39882</v>
      </c>
      <c r="N1341" s="84">
        <v>0.1</v>
      </c>
      <c r="O1341" s="96">
        <f t="shared" si="83"/>
        <v>1</v>
      </c>
      <c r="Q1341" s="96"/>
      <c r="T1341" s="110"/>
    </row>
    <row r="1342" spans="3:20" x14ac:dyDescent="0.2">
      <c r="C1342" s="96" t="str">
        <f t="shared" si="80"/>
        <v>QAN2</v>
      </c>
      <c r="D1342" s="73" t="s">
        <v>197</v>
      </c>
      <c r="E1342" s="100">
        <v>40056</v>
      </c>
      <c r="F1342" s="101">
        <v>0.1</v>
      </c>
      <c r="G1342" s="96">
        <f t="shared" si="81"/>
        <v>2</v>
      </c>
      <c r="I1342" s="96"/>
      <c r="K1342" t="str">
        <f t="shared" si="82"/>
        <v>QAN2</v>
      </c>
      <c r="L1342" s="73" t="s">
        <v>197</v>
      </c>
      <c r="M1342" s="72">
        <v>40056</v>
      </c>
      <c r="N1342" s="84">
        <v>0.1</v>
      </c>
      <c r="O1342" s="96">
        <f t="shared" si="83"/>
        <v>2</v>
      </c>
      <c r="Q1342" s="96"/>
      <c r="T1342" s="110"/>
    </row>
    <row r="1343" spans="3:20" x14ac:dyDescent="0.2">
      <c r="C1343" s="96" t="str">
        <f t="shared" si="80"/>
        <v>QAN3</v>
      </c>
      <c r="D1343" s="73" t="s">
        <v>197</v>
      </c>
      <c r="E1343" s="100">
        <v>40247</v>
      </c>
      <c r="F1343" s="101">
        <v>0.1</v>
      </c>
      <c r="G1343" s="96">
        <f t="shared" si="81"/>
        <v>3</v>
      </c>
      <c r="I1343" s="96"/>
      <c r="K1343" t="str">
        <f t="shared" si="82"/>
        <v>QAN3</v>
      </c>
      <c r="L1343" s="73" t="s">
        <v>197</v>
      </c>
      <c r="M1343" s="72">
        <v>40247</v>
      </c>
      <c r="N1343" s="84">
        <v>0.1</v>
      </c>
      <c r="O1343" s="96">
        <f t="shared" si="83"/>
        <v>3</v>
      </c>
      <c r="Q1343" s="96"/>
      <c r="T1343" s="110"/>
    </row>
    <row r="1344" spans="3:20" x14ac:dyDescent="0.2">
      <c r="C1344" s="96" t="str">
        <f t="shared" si="80"/>
        <v>QAN4</v>
      </c>
      <c r="D1344" s="73" t="s">
        <v>197</v>
      </c>
      <c r="E1344" s="100">
        <v>40421</v>
      </c>
      <c r="F1344" s="101">
        <v>0.11</v>
      </c>
      <c r="G1344" s="96">
        <f t="shared" si="81"/>
        <v>4</v>
      </c>
      <c r="I1344" s="96"/>
      <c r="K1344" t="str">
        <f t="shared" si="82"/>
        <v>QAN4</v>
      </c>
      <c r="L1344" s="73" t="s">
        <v>197</v>
      </c>
      <c r="M1344" s="72">
        <v>40421</v>
      </c>
      <c r="N1344" s="84">
        <v>0.11</v>
      </c>
      <c r="O1344" s="96">
        <f t="shared" si="83"/>
        <v>4</v>
      </c>
      <c r="Q1344" s="96"/>
      <c r="T1344" s="110"/>
    </row>
    <row r="1345" spans="3:20" x14ac:dyDescent="0.2">
      <c r="C1345" s="96" t="str">
        <f t="shared" si="80"/>
        <v>QAN5</v>
      </c>
      <c r="D1345" s="73" t="s">
        <v>197</v>
      </c>
      <c r="E1345" s="100">
        <v>40612</v>
      </c>
      <c r="F1345" s="101">
        <v>0.11</v>
      </c>
      <c r="G1345" s="96">
        <f t="shared" si="81"/>
        <v>5</v>
      </c>
      <c r="I1345" s="96"/>
      <c r="K1345" t="str">
        <f t="shared" si="82"/>
        <v>QAN5</v>
      </c>
      <c r="L1345" s="73" t="s">
        <v>197</v>
      </c>
      <c r="M1345" s="72">
        <v>40612</v>
      </c>
      <c r="N1345" s="84">
        <v>0.11</v>
      </c>
      <c r="O1345" s="96">
        <f t="shared" si="83"/>
        <v>5</v>
      </c>
      <c r="Q1345" s="96"/>
      <c r="T1345" s="110"/>
    </row>
    <row r="1346" spans="3:20" x14ac:dyDescent="0.2">
      <c r="C1346" s="96" t="str">
        <f t="shared" si="80"/>
        <v>QAN6</v>
      </c>
      <c r="D1346" s="73" t="s">
        <v>197</v>
      </c>
      <c r="E1346" s="100">
        <v>40786</v>
      </c>
      <c r="F1346" s="101">
        <v>0.11</v>
      </c>
      <c r="G1346" s="96">
        <f t="shared" si="81"/>
        <v>6</v>
      </c>
      <c r="I1346" s="96"/>
      <c r="K1346" t="str">
        <f t="shared" si="82"/>
        <v>QAN6</v>
      </c>
      <c r="L1346" s="73" t="s">
        <v>197</v>
      </c>
      <c r="M1346" s="72">
        <v>40786</v>
      </c>
      <c r="N1346" s="84">
        <v>0.11</v>
      </c>
      <c r="O1346" s="96">
        <f t="shared" si="83"/>
        <v>6</v>
      </c>
      <c r="Q1346" s="96"/>
      <c r="T1346" s="110"/>
    </row>
    <row r="1347" spans="3:20" x14ac:dyDescent="0.2">
      <c r="C1347" s="96" t="str">
        <f t="shared" ref="C1347:C1410" si="84">D1347&amp;G1347</f>
        <v>QAN7</v>
      </c>
      <c r="D1347" s="73" t="s">
        <v>197</v>
      </c>
      <c r="E1347" s="100">
        <v>40980</v>
      </c>
      <c r="F1347" s="101">
        <v>0.12</v>
      </c>
      <c r="G1347" s="96">
        <f t="shared" ref="G1347:G1410" si="85">IF(D1347&lt;&gt;D1346,1,G1346+1)</f>
        <v>7</v>
      </c>
      <c r="I1347" s="96"/>
      <c r="K1347" t="str">
        <f t="shared" ref="K1347:K1410" si="86">L1347&amp;O1347</f>
        <v>QAN7</v>
      </c>
      <c r="L1347" s="73" t="s">
        <v>197</v>
      </c>
      <c r="M1347" s="72">
        <v>40980</v>
      </c>
      <c r="N1347" s="84">
        <v>0.12</v>
      </c>
      <c r="O1347" s="96">
        <f t="shared" ref="O1347:O1410" si="87">IF(L1347&lt;&gt;L1346,1,O1346+1)</f>
        <v>7</v>
      </c>
      <c r="Q1347" s="96"/>
      <c r="T1347" s="110"/>
    </row>
    <row r="1348" spans="3:20" x14ac:dyDescent="0.2">
      <c r="C1348" s="96" t="str">
        <f t="shared" si="84"/>
        <v>QAN8</v>
      </c>
      <c r="D1348" s="73" t="s">
        <v>197</v>
      </c>
      <c r="E1348" s="100">
        <v>41152</v>
      </c>
      <c r="F1348" s="101">
        <v>0.12</v>
      </c>
      <c r="G1348" s="96">
        <f t="shared" si="85"/>
        <v>8</v>
      </c>
      <c r="I1348" s="96"/>
      <c r="K1348" t="str">
        <f t="shared" si="86"/>
        <v>QAN8</v>
      </c>
      <c r="L1348" s="73" t="s">
        <v>197</v>
      </c>
      <c r="M1348" s="72">
        <v>41152</v>
      </c>
      <c r="N1348" s="84">
        <v>0.12</v>
      </c>
      <c r="O1348" s="96">
        <f t="shared" si="87"/>
        <v>8</v>
      </c>
      <c r="Q1348" s="96"/>
      <c r="T1348" s="83"/>
    </row>
    <row r="1349" spans="3:20" x14ac:dyDescent="0.2">
      <c r="C1349" s="96" t="str">
        <f t="shared" si="84"/>
        <v>QAN9</v>
      </c>
      <c r="D1349" s="73" t="s">
        <v>197</v>
      </c>
      <c r="E1349" s="100">
        <v>41345</v>
      </c>
      <c r="F1349" s="101">
        <v>0.13350000000000001</v>
      </c>
      <c r="G1349" s="96">
        <f t="shared" si="85"/>
        <v>9</v>
      </c>
      <c r="I1349" s="96"/>
      <c r="K1349" t="str">
        <f t="shared" si="86"/>
        <v>QAN9</v>
      </c>
      <c r="L1349" s="73" t="s">
        <v>197</v>
      </c>
      <c r="M1349" s="72">
        <v>41345</v>
      </c>
      <c r="N1349" s="84">
        <v>0.13350000000000001</v>
      </c>
      <c r="O1349" s="96">
        <f t="shared" si="87"/>
        <v>9</v>
      </c>
      <c r="Q1349" s="96"/>
      <c r="T1349" s="110"/>
    </row>
    <row r="1350" spans="3:20" x14ac:dyDescent="0.2">
      <c r="C1350" s="96" t="str">
        <f t="shared" si="84"/>
        <v>QAN10</v>
      </c>
      <c r="D1350" s="73" t="s">
        <v>197</v>
      </c>
      <c r="E1350" s="100">
        <v>41519</v>
      </c>
      <c r="F1350" s="101">
        <v>0.13350000000000001</v>
      </c>
      <c r="G1350" s="96">
        <f t="shared" si="85"/>
        <v>10</v>
      </c>
      <c r="I1350" s="96"/>
      <c r="K1350" t="str">
        <f t="shared" si="86"/>
        <v>QAN10</v>
      </c>
      <c r="L1350" s="73" t="s">
        <v>197</v>
      </c>
      <c r="M1350" s="72">
        <v>41519</v>
      </c>
      <c r="N1350" s="84">
        <v>0.13350000000000001</v>
      </c>
      <c r="O1350" s="96">
        <f t="shared" si="87"/>
        <v>10</v>
      </c>
      <c r="Q1350" s="96"/>
      <c r="T1350" s="110"/>
    </row>
    <row r="1351" spans="3:20" x14ac:dyDescent="0.2">
      <c r="C1351" s="96" t="str">
        <f t="shared" si="84"/>
        <v>QBE1</v>
      </c>
      <c r="D1351" s="73" t="s">
        <v>198</v>
      </c>
      <c r="E1351" s="100">
        <v>39876</v>
      </c>
      <c r="F1351" s="101">
        <v>0.61</v>
      </c>
      <c r="G1351" s="96">
        <f t="shared" si="85"/>
        <v>1</v>
      </c>
      <c r="I1351" s="96"/>
      <c r="K1351" t="str">
        <f t="shared" si="86"/>
        <v>QBE1</v>
      </c>
      <c r="L1351" s="73" t="s">
        <v>198</v>
      </c>
      <c r="M1351" s="72">
        <v>39876</v>
      </c>
      <c r="N1351" s="84">
        <v>0.61</v>
      </c>
      <c r="O1351" s="96">
        <f t="shared" si="87"/>
        <v>1</v>
      </c>
      <c r="Q1351" s="96"/>
      <c r="T1351" s="110"/>
    </row>
    <row r="1352" spans="3:20" x14ac:dyDescent="0.2">
      <c r="C1352" s="96" t="str">
        <f t="shared" si="84"/>
        <v>QBE2</v>
      </c>
      <c r="D1352" s="73" t="s">
        <v>198</v>
      </c>
      <c r="E1352" s="100">
        <v>40051</v>
      </c>
      <c r="F1352" s="101">
        <v>0.61</v>
      </c>
      <c r="G1352" s="96">
        <f t="shared" si="85"/>
        <v>2</v>
      </c>
      <c r="I1352" s="96"/>
      <c r="K1352" t="str">
        <f t="shared" si="86"/>
        <v>QBE2</v>
      </c>
      <c r="L1352" s="73" t="s">
        <v>198</v>
      </c>
      <c r="M1352" s="72">
        <v>40051</v>
      </c>
      <c r="N1352" s="84">
        <v>0.61</v>
      </c>
      <c r="O1352" s="96">
        <f t="shared" si="87"/>
        <v>2</v>
      </c>
      <c r="Q1352" s="96"/>
      <c r="T1352" s="110"/>
    </row>
    <row r="1353" spans="3:20" x14ac:dyDescent="0.2">
      <c r="C1353" s="96" t="str">
        <f t="shared" si="84"/>
        <v>QBE3</v>
      </c>
      <c r="D1353" s="73" t="s">
        <v>198</v>
      </c>
      <c r="E1353" s="100">
        <v>40242</v>
      </c>
      <c r="F1353" s="101">
        <v>0.61</v>
      </c>
      <c r="G1353" s="96">
        <f t="shared" si="85"/>
        <v>3</v>
      </c>
      <c r="I1353" s="96"/>
      <c r="K1353" t="str">
        <f t="shared" si="86"/>
        <v>QBE3</v>
      </c>
      <c r="L1353" s="73" t="s">
        <v>198</v>
      </c>
      <c r="M1353" s="72">
        <v>40242</v>
      </c>
      <c r="N1353" s="84">
        <v>0.61</v>
      </c>
      <c r="O1353" s="96">
        <f t="shared" si="87"/>
        <v>3</v>
      </c>
      <c r="Q1353" s="96"/>
      <c r="T1353" s="110"/>
    </row>
    <row r="1354" spans="3:20" x14ac:dyDescent="0.2">
      <c r="C1354" s="96" t="str">
        <f t="shared" si="84"/>
        <v>QBE4</v>
      </c>
      <c r="D1354" s="73" t="s">
        <v>198</v>
      </c>
      <c r="E1354" s="100">
        <v>40416</v>
      </c>
      <c r="F1354" s="101">
        <v>0.61</v>
      </c>
      <c r="G1354" s="96">
        <f t="shared" si="85"/>
        <v>4</v>
      </c>
      <c r="I1354" s="96"/>
      <c r="K1354" t="str">
        <f t="shared" si="86"/>
        <v>QBE4</v>
      </c>
      <c r="L1354" s="73" t="s">
        <v>198</v>
      </c>
      <c r="M1354" s="72">
        <v>40416</v>
      </c>
      <c r="N1354" s="84">
        <v>0.61</v>
      </c>
      <c r="O1354" s="96">
        <f t="shared" si="87"/>
        <v>4</v>
      </c>
      <c r="Q1354" s="96"/>
      <c r="T1354" s="110"/>
    </row>
    <row r="1355" spans="3:20" x14ac:dyDescent="0.2">
      <c r="C1355" s="96" t="str">
        <f t="shared" si="84"/>
        <v>QBE5</v>
      </c>
      <c r="D1355" s="73" t="s">
        <v>198</v>
      </c>
      <c r="E1355" s="100">
        <v>40609</v>
      </c>
      <c r="F1355" s="101">
        <v>0.64</v>
      </c>
      <c r="G1355" s="96">
        <f t="shared" si="85"/>
        <v>5</v>
      </c>
      <c r="I1355" s="96"/>
      <c r="K1355" t="str">
        <f t="shared" si="86"/>
        <v>QBE5</v>
      </c>
      <c r="L1355" s="73" t="s">
        <v>198</v>
      </c>
      <c r="M1355" s="72">
        <v>40609</v>
      </c>
      <c r="N1355" s="84">
        <v>0.64</v>
      </c>
      <c r="O1355" s="96">
        <f t="shared" si="87"/>
        <v>5</v>
      </c>
      <c r="Q1355" s="96"/>
      <c r="T1355" s="110"/>
    </row>
    <row r="1356" spans="3:20" x14ac:dyDescent="0.2">
      <c r="C1356" s="96" t="str">
        <f t="shared" si="84"/>
        <v>QBE6</v>
      </c>
      <c r="D1356" s="73" t="s">
        <v>198</v>
      </c>
      <c r="E1356" s="100">
        <v>40781</v>
      </c>
      <c r="F1356" s="101">
        <v>0.64</v>
      </c>
      <c r="G1356" s="96">
        <f t="shared" si="85"/>
        <v>6</v>
      </c>
      <c r="I1356" s="96"/>
      <c r="K1356" t="str">
        <f t="shared" si="86"/>
        <v>QBE6</v>
      </c>
      <c r="L1356" s="73" t="s">
        <v>198</v>
      </c>
      <c r="M1356" s="72">
        <v>40781</v>
      </c>
      <c r="N1356" s="84">
        <v>0.64</v>
      </c>
      <c r="O1356" s="96">
        <f t="shared" si="87"/>
        <v>6</v>
      </c>
      <c r="Q1356" s="96"/>
      <c r="T1356" s="110"/>
    </row>
    <row r="1357" spans="3:20" x14ac:dyDescent="0.2">
      <c r="C1357" s="96" t="str">
        <f t="shared" si="84"/>
        <v>QBE7</v>
      </c>
      <c r="D1357" s="73" t="s">
        <v>198</v>
      </c>
      <c r="E1357" s="100">
        <v>40974</v>
      </c>
      <c r="F1357" s="101">
        <v>0.67</v>
      </c>
      <c r="G1357" s="96">
        <f t="shared" si="85"/>
        <v>7</v>
      </c>
      <c r="I1357" s="96"/>
      <c r="K1357" t="str">
        <f t="shared" si="86"/>
        <v>QBE7</v>
      </c>
      <c r="L1357" s="73" t="s">
        <v>198</v>
      </c>
      <c r="M1357" s="72">
        <v>40974</v>
      </c>
      <c r="N1357" s="84">
        <v>0.67</v>
      </c>
      <c r="O1357" s="96">
        <f t="shared" si="87"/>
        <v>7</v>
      </c>
      <c r="Q1357" s="96"/>
      <c r="T1357" s="110"/>
    </row>
    <row r="1358" spans="3:20" x14ac:dyDescent="0.2">
      <c r="C1358" s="96" t="str">
        <f t="shared" si="84"/>
        <v>QBE8</v>
      </c>
      <c r="D1358" s="73" t="s">
        <v>198</v>
      </c>
      <c r="E1358" s="100">
        <v>41149</v>
      </c>
      <c r="F1358" s="101">
        <v>0.67</v>
      </c>
      <c r="G1358" s="96">
        <f t="shared" si="85"/>
        <v>8</v>
      </c>
      <c r="I1358" s="96"/>
      <c r="K1358" t="str">
        <f t="shared" si="86"/>
        <v>QBE8</v>
      </c>
      <c r="L1358" s="73" t="s">
        <v>198</v>
      </c>
      <c r="M1358" s="72">
        <v>41149</v>
      </c>
      <c r="N1358" s="84">
        <v>0.67</v>
      </c>
      <c r="O1358" s="96">
        <f t="shared" si="87"/>
        <v>8</v>
      </c>
      <c r="Q1358" s="96"/>
      <c r="T1358" s="110"/>
    </row>
    <row r="1359" spans="3:20" x14ac:dyDescent="0.2">
      <c r="C1359" s="96" t="str">
        <f t="shared" si="84"/>
        <v>QBE9</v>
      </c>
      <c r="D1359" s="73" t="s">
        <v>198</v>
      </c>
      <c r="E1359" s="100">
        <v>41339</v>
      </c>
      <c r="F1359" s="101">
        <v>0.71</v>
      </c>
      <c r="G1359" s="96">
        <f t="shared" si="85"/>
        <v>9</v>
      </c>
      <c r="I1359" s="96"/>
      <c r="K1359" t="str">
        <f t="shared" si="86"/>
        <v>QBE9</v>
      </c>
      <c r="L1359" s="73" t="s">
        <v>198</v>
      </c>
      <c r="M1359" s="72">
        <v>41339</v>
      </c>
      <c r="N1359" s="84">
        <v>0.71</v>
      </c>
      <c r="O1359" s="96">
        <f t="shared" si="87"/>
        <v>9</v>
      </c>
      <c r="Q1359" s="96"/>
      <c r="T1359" s="110"/>
    </row>
    <row r="1360" spans="3:20" x14ac:dyDescent="0.2">
      <c r="C1360" s="96" t="str">
        <f t="shared" si="84"/>
        <v>RHC1</v>
      </c>
      <c r="D1360" s="73" t="s">
        <v>199</v>
      </c>
      <c r="E1360" s="100">
        <v>39897</v>
      </c>
      <c r="F1360" s="101">
        <v>0.17499999999999999</v>
      </c>
      <c r="G1360" s="96">
        <f t="shared" si="85"/>
        <v>1</v>
      </c>
      <c r="I1360" s="96"/>
      <c r="K1360" t="str">
        <f t="shared" si="86"/>
        <v>RHC1</v>
      </c>
      <c r="L1360" s="73" t="s">
        <v>199</v>
      </c>
      <c r="M1360" s="72">
        <v>39897</v>
      </c>
      <c r="N1360" s="84">
        <v>0.17499999999999999</v>
      </c>
      <c r="O1360" s="96">
        <f t="shared" si="87"/>
        <v>1</v>
      </c>
      <c r="Q1360" s="96"/>
      <c r="T1360" s="110"/>
    </row>
    <row r="1361" spans="3:20" x14ac:dyDescent="0.2">
      <c r="C1361" s="96" t="str">
        <f t="shared" si="84"/>
        <v>RHC2</v>
      </c>
      <c r="D1361" s="73" t="s">
        <v>199</v>
      </c>
      <c r="E1361" s="100">
        <v>40081</v>
      </c>
      <c r="F1361" s="101">
        <v>0.19</v>
      </c>
      <c r="G1361" s="96">
        <f t="shared" si="85"/>
        <v>2</v>
      </c>
      <c r="I1361" s="96"/>
      <c r="K1361" t="str">
        <f t="shared" si="86"/>
        <v>RHC2</v>
      </c>
      <c r="L1361" s="73" t="s">
        <v>199</v>
      </c>
      <c r="M1361" s="72">
        <v>40081</v>
      </c>
      <c r="N1361" s="84">
        <v>0.19</v>
      </c>
      <c r="O1361" s="96">
        <f t="shared" si="87"/>
        <v>2</v>
      </c>
      <c r="Q1361" s="96"/>
      <c r="T1361" s="110"/>
    </row>
    <row r="1362" spans="3:20" x14ac:dyDescent="0.2">
      <c r="C1362" s="96" t="str">
        <f t="shared" si="84"/>
        <v>RHC3</v>
      </c>
      <c r="D1362" s="73" t="s">
        <v>199</v>
      </c>
      <c r="E1362" s="100">
        <v>40262</v>
      </c>
      <c r="F1362" s="101">
        <v>0.19899999999999998</v>
      </c>
      <c r="G1362" s="96">
        <f t="shared" si="85"/>
        <v>3</v>
      </c>
      <c r="I1362" s="96"/>
      <c r="K1362" t="str">
        <f t="shared" si="86"/>
        <v>RHC3</v>
      </c>
      <c r="L1362" s="73" t="s">
        <v>199</v>
      </c>
      <c r="M1362" s="72">
        <v>40262</v>
      </c>
      <c r="N1362" s="84">
        <v>0.19899999999999998</v>
      </c>
      <c r="O1362" s="96">
        <f t="shared" si="87"/>
        <v>3</v>
      </c>
      <c r="Q1362" s="96"/>
      <c r="T1362" s="110"/>
    </row>
    <row r="1363" spans="3:20" x14ac:dyDescent="0.2">
      <c r="C1363" s="96" t="str">
        <f t="shared" si="84"/>
        <v>RHC4</v>
      </c>
      <c r="D1363" s="73" t="s">
        <v>199</v>
      </c>
      <c r="E1363" s="100">
        <v>40448</v>
      </c>
      <c r="F1363" s="101">
        <v>0.21600000000000003</v>
      </c>
      <c r="G1363" s="96">
        <f t="shared" si="85"/>
        <v>4</v>
      </c>
      <c r="I1363" s="96"/>
      <c r="K1363" t="str">
        <f t="shared" si="86"/>
        <v>RHC4</v>
      </c>
      <c r="L1363" s="73" t="s">
        <v>199</v>
      </c>
      <c r="M1363" s="72">
        <v>40448</v>
      </c>
      <c r="N1363" s="84">
        <v>0.21600000000000003</v>
      </c>
      <c r="O1363" s="96">
        <f t="shared" si="87"/>
        <v>4</v>
      </c>
      <c r="Q1363" s="96"/>
      <c r="T1363" s="110"/>
    </row>
    <row r="1364" spans="3:20" x14ac:dyDescent="0.2">
      <c r="C1364" s="96" t="str">
        <f t="shared" si="84"/>
        <v>RHC5</v>
      </c>
      <c r="D1364" s="73" t="s">
        <v>199</v>
      </c>
      <c r="E1364" s="100">
        <v>40627</v>
      </c>
      <c r="F1364" s="101">
        <v>0.2354</v>
      </c>
      <c r="G1364" s="96">
        <f t="shared" si="85"/>
        <v>5</v>
      </c>
      <c r="I1364" s="96"/>
      <c r="K1364" t="str">
        <f t="shared" si="86"/>
        <v>RHC5</v>
      </c>
      <c r="L1364" s="73" t="s">
        <v>199</v>
      </c>
      <c r="M1364" s="72">
        <v>40627</v>
      </c>
      <c r="N1364" s="84">
        <v>0.2354</v>
      </c>
      <c r="O1364" s="96">
        <f t="shared" si="87"/>
        <v>5</v>
      </c>
      <c r="Q1364" s="96"/>
      <c r="T1364" s="110"/>
    </row>
    <row r="1365" spans="3:20" x14ac:dyDescent="0.2">
      <c r="C1365" s="96" t="str">
        <f t="shared" si="84"/>
        <v>RHC6</v>
      </c>
      <c r="D1365" s="73" t="s">
        <v>199</v>
      </c>
      <c r="E1365" s="100">
        <v>40813</v>
      </c>
      <c r="F1365" s="101">
        <v>0.25559999999999999</v>
      </c>
      <c r="G1365" s="96">
        <f t="shared" si="85"/>
        <v>6</v>
      </c>
      <c r="I1365" s="96"/>
      <c r="K1365" t="str">
        <f t="shared" si="86"/>
        <v>RHC6</v>
      </c>
      <c r="L1365" s="73" t="s">
        <v>199</v>
      </c>
      <c r="M1365" s="72">
        <v>40813</v>
      </c>
      <c r="N1365" s="84">
        <v>0.25559999999999999</v>
      </c>
      <c r="O1365" s="96">
        <f t="shared" si="87"/>
        <v>6</v>
      </c>
      <c r="Q1365" s="96"/>
      <c r="T1365" s="110"/>
    </row>
    <row r="1366" spans="3:20" x14ac:dyDescent="0.2">
      <c r="C1366" s="96" t="str">
        <f t="shared" si="84"/>
        <v>RHC7</v>
      </c>
      <c r="D1366" s="73" t="s">
        <v>199</v>
      </c>
      <c r="E1366" s="100">
        <v>40995</v>
      </c>
      <c r="F1366" s="101">
        <v>0.26750000000000002</v>
      </c>
      <c r="G1366" s="96">
        <f t="shared" si="85"/>
        <v>7</v>
      </c>
      <c r="I1366" s="96"/>
      <c r="K1366" t="str">
        <f t="shared" si="86"/>
        <v>RHC7</v>
      </c>
      <c r="L1366" s="73" t="s">
        <v>199</v>
      </c>
      <c r="M1366" s="72">
        <v>40995</v>
      </c>
      <c r="N1366" s="84">
        <v>0.26750000000000002</v>
      </c>
      <c r="O1366" s="96">
        <f t="shared" si="87"/>
        <v>7</v>
      </c>
      <c r="Q1366" s="96"/>
      <c r="T1366" s="110"/>
    </row>
    <row r="1367" spans="3:20" x14ac:dyDescent="0.2">
      <c r="C1367" s="96" t="str">
        <f t="shared" si="84"/>
        <v>RHC8</v>
      </c>
      <c r="D1367" s="73" t="s">
        <v>199</v>
      </c>
      <c r="E1367" s="100">
        <v>41179</v>
      </c>
      <c r="F1367" s="101">
        <v>0.29049999999999998</v>
      </c>
      <c r="G1367" s="96">
        <f t="shared" si="85"/>
        <v>8</v>
      </c>
      <c r="I1367" s="96"/>
      <c r="K1367" t="str">
        <f t="shared" si="86"/>
        <v>RHC8</v>
      </c>
      <c r="L1367" s="73" t="s">
        <v>199</v>
      </c>
      <c r="M1367" s="72">
        <v>41179</v>
      </c>
      <c r="N1367" s="84">
        <v>0.29049999999999998</v>
      </c>
      <c r="O1367" s="96">
        <f t="shared" si="87"/>
        <v>8</v>
      </c>
      <c r="Q1367" s="96"/>
      <c r="T1367" s="110"/>
    </row>
    <row r="1368" spans="3:20" x14ac:dyDescent="0.2">
      <c r="C1368" s="96" t="str">
        <f t="shared" si="84"/>
        <v>RHC9</v>
      </c>
      <c r="D1368" s="73" t="s">
        <v>199</v>
      </c>
      <c r="E1368" s="100">
        <v>41360</v>
      </c>
      <c r="F1368" s="101">
        <v>0.29820000000000002</v>
      </c>
      <c r="G1368" s="96">
        <f t="shared" si="85"/>
        <v>9</v>
      </c>
      <c r="I1368" s="96"/>
      <c r="K1368" t="str">
        <f t="shared" si="86"/>
        <v>RHC9</v>
      </c>
      <c r="L1368" s="73" t="s">
        <v>199</v>
      </c>
      <c r="M1368" s="72">
        <v>41360</v>
      </c>
      <c r="N1368" s="84">
        <v>0.29820000000000002</v>
      </c>
      <c r="O1368" s="96">
        <f t="shared" si="87"/>
        <v>9</v>
      </c>
      <c r="Q1368" s="96"/>
      <c r="T1368" s="110"/>
    </row>
    <row r="1369" spans="3:20" x14ac:dyDescent="0.2">
      <c r="C1369" s="96" t="str">
        <f t="shared" si="84"/>
        <v>RHC10</v>
      </c>
      <c r="D1369" s="73" t="s">
        <v>199</v>
      </c>
      <c r="E1369" s="100">
        <v>41544</v>
      </c>
      <c r="F1369" s="101">
        <v>0.32380000000000003</v>
      </c>
      <c r="G1369" s="96">
        <f t="shared" si="85"/>
        <v>10</v>
      </c>
      <c r="I1369" s="96"/>
      <c r="K1369" t="str">
        <f t="shared" si="86"/>
        <v>RHC10</v>
      </c>
      <c r="L1369" s="73" t="s">
        <v>199</v>
      </c>
      <c r="M1369" s="72">
        <v>41544</v>
      </c>
      <c r="N1369" s="84">
        <v>0.32380000000000003</v>
      </c>
      <c r="O1369" s="96">
        <f t="shared" si="87"/>
        <v>10</v>
      </c>
      <c r="Q1369" s="96"/>
      <c r="T1369" s="110"/>
    </row>
    <row r="1370" spans="3:20" x14ac:dyDescent="0.2">
      <c r="C1370" s="96" t="str">
        <f t="shared" si="84"/>
        <v>RIO1</v>
      </c>
      <c r="D1370" s="73" t="s">
        <v>200</v>
      </c>
      <c r="E1370" s="100">
        <v>40226</v>
      </c>
      <c r="F1370" s="101">
        <v>0.7</v>
      </c>
      <c r="G1370" s="96">
        <f t="shared" si="85"/>
        <v>1</v>
      </c>
      <c r="I1370" s="96"/>
      <c r="K1370" t="str">
        <f t="shared" si="86"/>
        <v>RIO1</v>
      </c>
      <c r="L1370" s="73" t="s">
        <v>200</v>
      </c>
      <c r="M1370" s="72">
        <v>40226</v>
      </c>
      <c r="N1370" s="84">
        <v>0.7</v>
      </c>
      <c r="O1370" s="96">
        <f t="shared" si="87"/>
        <v>1</v>
      </c>
      <c r="Q1370" s="96"/>
      <c r="T1370" s="110"/>
    </row>
    <row r="1371" spans="3:20" x14ac:dyDescent="0.2">
      <c r="C1371" s="96" t="str">
        <f t="shared" si="84"/>
        <v>RIO2</v>
      </c>
      <c r="D1371" s="73" t="s">
        <v>200</v>
      </c>
      <c r="E1371" s="100">
        <v>40429</v>
      </c>
      <c r="F1371" s="101">
        <v>0.26</v>
      </c>
      <c r="G1371" s="96">
        <f t="shared" si="85"/>
        <v>2</v>
      </c>
      <c r="I1371" s="96"/>
      <c r="K1371" t="str">
        <f t="shared" si="86"/>
        <v>RIO2</v>
      </c>
      <c r="L1371" s="73" t="s">
        <v>200</v>
      </c>
      <c r="M1371" s="72">
        <v>40429</v>
      </c>
      <c r="N1371" s="84">
        <v>0.26</v>
      </c>
      <c r="O1371" s="96">
        <f t="shared" si="87"/>
        <v>2</v>
      </c>
      <c r="Q1371" s="96"/>
      <c r="T1371" s="110"/>
    </row>
    <row r="1372" spans="3:20" x14ac:dyDescent="0.2">
      <c r="C1372" s="96" t="str">
        <f t="shared" si="84"/>
        <v>RIO3</v>
      </c>
      <c r="D1372" s="73" t="s">
        <v>200</v>
      </c>
      <c r="E1372" s="100">
        <v>40590</v>
      </c>
      <c r="F1372" s="101">
        <v>0.46</v>
      </c>
      <c r="G1372" s="96">
        <f t="shared" si="85"/>
        <v>3</v>
      </c>
      <c r="I1372" s="96"/>
      <c r="K1372" t="str">
        <f t="shared" si="86"/>
        <v>RIO3</v>
      </c>
      <c r="L1372" s="73" t="s">
        <v>200</v>
      </c>
      <c r="M1372" s="72">
        <v>40590</v>
      </c>
      <c r="N1372" s="84">
        <v>0.46</v>
      </c>
      <c r="O1372" s="96">
        <f t="shared" si="87"/>
        <v>3</v>
      </c>
      <c r="Q1372" s="96"/>
      <c r="T1372" s="110"/>
    </row>
    <row r="1373" spans="3:20" x14ac:dyDescent="0.2">
      <c r="C1373" s="96" t="str">
        <f t="shared" si="84"/>
        <v>RIO4</v>
      </c>
      <c r="D1373" s="73" t="s">
        <v>200</v>
      </c>
      <c r="E1373" s="100">
        <v>40793</v>
      </c>
      <c r="F1373" s="101">
        <v>0.28999999999999998</v>
      </c>
      <c r="G1373" s="96">
        <f t="shared" si="85"/>
        <v>4</v>
      </c>
      <c r="I1373" s="96"/>
      <c r="K1373" t="str">
        <f t="shared" si="86"/>
        <v>RIO4</v>
      </c>
      <c r="L1373" s="73" t="s">
        <v>200</v>
      </c>
      <c r="M1373" s="72">
        <v>40793</v>
      </c>
      <c r="N1373" s="84">
        <v>0.28999999999999998</v>
      </c>
      <c r="O1373" s="96">
        <f t="shared" si="87"/>
        <v>4</v>
      </c>
      <c r="Q1373" s="96"/>
      <c r="T1373" s="110"/>
    </row>
    <row r="1374" spans="3:20" x14ac:dyDescent="0.2">
      <c r="C1374" s="96" t="str">
        <f t="shared" si="84"/>
        <v>RIO5</v>
      </c>
      <c r="D1374" s="73" t="s">
        <v>200</v>
      </c>
      <c r="E1374" s="100">
        <v>40954</v>
      </c>
      <c r="F1374" s="101">
        <v>0.5</v>
      </c>
      <c r="G1374" s="96">
        <f t="shared" si="85"/>
        <v>5</v>
      </c>
      <c r="I1374" s="96"/>
      <c r="K1374" t="str">
        <f t="shared" si="86"/>
        <v>RIO5</v>
      </c>
      <c r="L1374" s="73" t="s">
        <v>200</v>
      </c>
      <c r="M1374" s="72">
        <v>40954</v>
      </c>
      <c r="N1374" s="84">
        <v>0.5</v>
      </c>
      <c r="O1374" s="96">
        <f t="shared" si="87"/>
        <v>5</v>
      </c>
      <c r="Q1374" s="96"/>
      <c r="T1374" s="110"/>
    </row>
    <row r="1375" spans="3:20" x14ac:dyDescent="0.2">
      <c r="C1375" s="96" t="str">
        <f t="shared" si="84"/>
        <v>RIO6</v>
      </c>
      <c r="D1375" s="73" t="s">
        <v>200</v>
      </c>
      <c r="E1375" s="100">
        <v>41157</v>
      </c>
      <c r="F1375" s="101">
        <v>0.35</v>
      </c>
      <c r="G1375" s="96">
        <f t="shared" si="85"/>
        <v>6</v>
      </c>
      <c r="I1375" s="96"/>
      <c r="K1375" t="str">
        <f t="shared" si="86"/>
        <v>RIO6</v>
      </c>
      <c r="L1375" s="73" t="s">
        <v>200</v>
      </c>
      <c r="M1375" s="72">
        <v>41157</v>
      </c>
      <c r="N1375" s="84">
        <v>0.35</v>
      </c>
      <c r="O1375" s="96">
        <f t="shared" si="87"/>
        <v>6</v>
      </c>
      <c r="Q1375" s="96"/>
      <c r="T1375" s="110"/>
    </row>
    <row r="1376" spans="3:20" x14ac:dyDescent="0.2">
      <c r="C1376" s="96" t="str">
        <f t="shared" si="84"/>
        <v>RIO7</v>
      </c>
      <c r="D1376" s="73" t="s">
        <v>200</v>
      </c>
      <c r="E1376" s="100">
        <v>41332</v>
      </c>
      <c r="F1376" s="101">
        <v>0.56000000000000005</v>
      </c>
      <c r="G1376" s="96">
        <f t="shared" si="85"/>
        <v>7</v>
      </c>
      <c r="I1376" s="96"/>
      <c r="K1376" t="str">
        <f t="shared" si="86"/>
        <v>RIO7</v>
      </c>
      <c r="L1376" s="73" t="s">
        <v>200</v>
      </c>
      <c r="M1376" s="72">
        <v>41332</v>
      </c>
      <c r="N1376" s="84">
        <v>0.56000000000000005</v>
      </c>
      <c r="O1376" s="96">
        <f t="shared" si="87"/>
        <v>7</v>
      </c>
      <c r="Q1376" s="96"/>
      <c r="T1376" s="110"/>
    </row>
    <row r="1377" spans="3:20" x14ac:dyDescent="0.2">
      <c r="C1377" s="96" t="str">
        <f t="shared" si="84"/>
        <v>SDG1</v>
      </c>
      <c r="D1377" s="73" t="s">
        <v>201</v>
      </c>
      <c r="E1377" s="100">
        <v>39882</v>
      </c>
      <c r="F1377" s="101">
        <v>0.03</v>
      </c>
      <c r="G1377" s="96">
        <f t="shared" si="85"/>
        <v>1</v>
      </c>
      <c r="I1377" s="96"/>
      <c r="K1377" t="str">
        <f t="shared" si="86"/>
        <v>SDG1</v>
      </c>
      <c r="L1377" s="73" t="s">
        <v>201</v>
      </c>
      <c r="M1377" s="72">
        <v>39882</v>
      </c>
      <c r="N1377" s="84">
        <v>0.03</v>
      </c>
      <c r="O1377" s="96">
        <f t="shared" si="87"/>
        <v>1</v>
      </c>
      <c r="Q1377" s="96"/>
      <c r="T1377" s="110"/>
    </row>
    <row r="1378" spans="3:20" x14ac:dyDescent="0.2">
      <c r="C1378" s="96" t="str">
        <f t="shared" si="84"/>
        <v>SDG2</v>
      </c>
      <c r="D1378" s="73" t="s">
        <v>201</v>
      </c>
      <c r="E1378" s="100">
        <v>40064</v>
      </c>
      <c r="F1378" s="101">
        <v>0.03</v>
      </c>
      <c r="G1378" s="96">
        <f t="shared" si="85"/>
        <v>2</v>
      </c>
      <c r="I1378" s="96"/>
      <c r="K1378" t="str">
        <f t="shared" si="86"/>
        <v>SDG2</v>
      </c>
      <c r="L1378" s="73" t="s">
        <v>201</v>
      </c>
      <c r="M1378" s="72">
        <v>40064</v>
      </c>
      <c r="N1378" s="84">
        <v>0.03</v>
      </c>
      <c r="O1378" s="96">
        <f t="shared" si="87"/>
        <v>2</v>
      </c>
      <c r="Q1378" s="96"/>
      <c r="T1378" s="110"/>
    </row>
    <row r="1379" spans="3:20" x14ac:dyDescent="0.2">
      <c r="C1379" s="96" t="str">
        <f t="shared" si="84"/>
        <v>SDG3</v>
      </c>
      <c r="D1379" s="73" t="s">
        <v>201</v>
      </c>
      <c r="E1379" s="100">
        <v>40247</v>
      </c>
      <c r="F1379" s="101">
        <v>3.3000000000000002E-2</v>
      </c>
      <c r="G1379" s="96">
        <f t="shared" si="85"/>
        <v>3</v>
      </c>
      <c r="I1379" s="96"/>
      <c r="K1379" t="str">
        <f t="shared" si="86"/>
        <v>SDG3</v>
      </c>
      <c r="L1379" s="73" t="s">
        <v>201</v>
      </c>
      <c r="M1379" s="72">
        <v>40247</v>
      </c>
      <c r="N1379" s="84">
        <v>3.3000000000000002E-2</v>
      </c>
      <c r="O1379" s="96">
        <f t="shared" si="87"/>
        <v>3</v>
      </c>
      <c r="Q1379" s="96"/>
      <c r="T1379" s="110"/>
    </row>
    <row r="1380" spans="3:20" x14ac:dyDescent="0.2">
      <c r="C1380" s="96" t="str">
        <f t="shared" si="84"/>
        <v>SDG4</v>
      </c>
      <c r="D1380" s="73" t="s">
        <v>201</v>
      </c>
      <c r="E1380" s="100">
        <v>40429</v>
      </c>
      <c r="F1380" s="101">
        <v>3.3000000000000002E-2</v>
      </c>
      <c r="G1380" s="96">
        <f t="shared" si="85"/>
        <v>4</v>
      </c>
      <c r="I1380" s="96"/>
      <c r="K1380" t="str">
        <f t="shared" si="86"/>
        <v>SDG4</v>
      </c>
      <c r="L1380" s="73" t="s">
        <v>201</v>
      </c>
      <c r="M1380" s="72">
        <v>40429</v>
      </c>
      <c r="N1380" s="84">
        <v>3.3000000000000002E-2</v>
      </c>
      <c r="O1380" s="96">
        <f t="shared" si="87"/>
        <v>4</v>
      </c>
      <c r="Q1380" s="96"/>
      <c r="T1380" s="110"/>
    </row>
    <row r="1381" spans="3:20" x14ac:dyDescent="0.2">
      <c r="C1381" s="96" t="str">
        <f t="shared" si="84"/>
        <v>SDG5</v>
      </c>
      <c r="D1381" s="73" t="s">
        <v>201</v>
      </c>
      <c r="E1381" s="100">
        <v>40612</v>
      </c>
      <c r="F1381" s="101">
        <v>0.04</v>
      </c>
      <c r="G1381" s="96">
        <f t="shared" si="85"/>
        <v>5</v>
      </c>
      <c r="I1381" s="96"/>
      <c r="K1381" t="str">
        <f t="shared" si="86"/>
        <v>SDG5</v>
      </c>
      <c r="L1381" s="73" t="s">
        <v>201</v>
      </c>
      <c r="M1381" s="72">
        <v>40612</v>
      </c>
      <c r="N1381" s="84">
        <v>0.04</v>
      </c>
      <c r="O1381" s="96">
        <f t="shared" si="87"/>
        <v>5</v>
      </c>
      <c r="Q1381" s="96"/>
      <c r="T1381" s="110"/>
    </row>
    <row r="1382" spans="3:20" x14ac:dyDescent="0.2">
      <c r="C1382" s="96" t="str">
        <f t="shared" si="84"/>
        <v>SDG6</v>
      </c>
      <c r="D1382" s="73" t="s">
        <v>201</v>
      </c>
      <c r="E1382" s="100">
        <v>40794</v>
      </c>
      <c r="F1382" s="101">
        <v>0.04</v>
      </c>
      <c r="G1382" s="96">
        <f t="shared" si="85"/>
        <v>6</v>
      </c>
      <c r="I1382" s="96"/>
      <c r="K1382" t="str">
        <f t="shared" si="86"/>
        <v>SDG6</v>
      </c>
      <c r="L1382" s="73" t="s">
        <v>201</v>
      </c>
      <c r="M1382" s="72">
        <v>40794</v>
      </c>
      <c r="N1382" s="84">
        <v>0.04</v>
      </c>
      <c r="O1382" s="96">
        <f t="shared" si="87"/>
        <v>6</v>
      </c>
      <c r="Q1382" s="96"/>
      <c r="T1382" s="110"/>
    </row>
    <row r="1383" spans="3:20" x14ac:dyDescent="0.2">
      <c r="C1383" s="96" t="str">
        <f t="shared" si="84"/>
        <v>SDG7</v>
      </c>
      <c r="D1383" s="73" t="s">
        <v>201</v>
      </c>
      <c r="E1383" s="100">
        <v>40980</v>
      </c>
      <c r="F1383" s="101">
        <v>4.4999999999999998E-2</v>
      </c>
      <c r="G1383" s="96">
        <f t="shared" si="85"/>
        <v>7</v>
      </c>
      <c r="I1383" s="96"/>
      <c r="K1383" t="str">
        <f t="shared" si="86"/>
        <v>SDG7</v>
      </c>
      <c r="L1383" s="73" t="s">
        <v>201</v>
      </c>
      <c r="M1383" s="72">
        <v>40980</v>
      </c>
      <c r="N1383" s="84">
        <v>4.4999999999999998E-2</v>
      </c>
      <c r="O1383" s="96">
        <f t="shared" si="87"/>
        <v>7</v>
      </c>
      <c r="Q1383" s="96"/>
      <c r="T1383" s="110"/>
    </row>
    <row r="1384" spans="3:20" x14ac:dyDescent="0.2">
      <c r="C1384" s="96" t="str">
        <f t="shared" si="84"/>
        <v>SDG8</v>
      </c>
      <c r="D1384" s="73" t="s">
        <v>201</v>
      </c>
      <c r="E1384" s="100">
        <v>41162</v>
      </c>
      <c r="F1384" s="101">
        <v>4.4999999999999998E-2</v>
      </c>
      <c r="G1384" s="96">
        <f t="shared" si="85"/>
        <v>8</v>
      </c>
      <c r="I1384" s="96"/>
      <c r="K1384" t="str">
        <f t="shared" si="86"/>
        <v>SDG8</v>
      </c>
      <c r="L1384" s="73" t="s">
        <v>201</v>
      </c>
      <c r="M1384" s="72">
        <v>41162</v>
      </c>
      <c r="N1384" s="84">
        <v>4.4999999999999998E-2</v>
      </c>
      <c r="O1384" s="96">
        <f t="shared" si="87"/>
        <v>8</v>
      </c>
      <c r="Q1384" s="96"/>
      <c r="T1384" s="110"/>
    </row>
    <row r="1385" spans="3:20" x14ac:dyDescent="0.2">
      <c r="C1385" s="96" t="str">
        <f t="shared" si="84"/>
        <v>SDG9</v>
      </c>
      <c r="D1385" s="73" t="s">
        <v>201</v>
      </c>
      <c r="E1385" s="100">
        <v>41345</v>
      </c>
      <c r="F1385" s="101">
        <v>4.7500000000000001E-2</v>
      </c>
      <c r="G1385" s="96">
        <f t="shared" si="85"/>
        <v>9</v>
      </c>
      <c r="I1385" s="96"/>
      <c r="K1385" t="str">
        <f t="shared" si="86"/>
        <v>SDG9</v>
      </c>
      <c r="L1385" s="73" t="s">
        <v>201</v>
      </c>
      <c r="M1385" s="72">
        <v>41345</v>
      </c>
      <c r="N1385" s="84">
        <v>4.7500000000000001E-2</v>
      </c>
      <c r="O1385" s="96">
        <f t="shared" si="87"/>
        <v>9</v>
      </c>
      <c r="Q1385" s="96"/>
      <c r="T1385" s="110"/>
    </row>
    <row r="1386" spans="3:20" x14ac:dyDescent="0.2">
      <c r="C1386" s="96" t="str">
        <f t="shared" si="84"/>
        <v>SDG10</v>
      </c>
      <c r="D1386" s="73" t="s">
        <v>201</v>
      </c>
      <c r="E1386" s="100">
        <v>41527</v>
      </c>
      <c r="F1386" s="101">
        <v>4.7500000000000001E-2</v>
      </c>
      <c r="G1386" s="96">
        <f t="shared" si="85"/>
        <v>10</v>
      </c>
      <c r="I1386" s="96"/>
      <c r="K1386" t="str">
        <f t="shared" si="86"/>
        <v>SDG10</v>
      </c>
      <c r="L1386" s="73" t="s">
        <v>201</v>
      </c>
      <c r="M1386" s="72">
        <v>41527</v>
      </c>
      <c r="N1386" s="84">
        <v>4.7500000000000001E-2</v>
      </c>
      <c r="O1386" s="96">
        <f t="shared" si="87"/>
        <v>10</v>
      </c>
      <c r="Q1386" s="96"/>
      <c r="T1386" s="110"/>
    </row>
    <row r="1387" spans="3:20" x14ac:dyDescent="0.2">
      <c r="C1387" s="96" t="str">
        <f t="shared" si="84"/>
        <v>SEK1</v>
      </c>
      <c r="D1387" s="73" t="s">
        <v>202</v>
      </c>
      <c r="E1387" s="100">
        <v>39868</v>
      </c>
      <c r="F1387" s="101">
        <v>7.3399999999999993E-2</v>
      </c>
      <c r="G1387" s="96">
        <f t="shared" si="85"/>
        <v>1</v>
      </c>
      <c r="I1387" s="96"/>
      <c r="K1387" t="str">
        <f t="shared" si="86"/>
        <v>SEK1</v>
      </c>
      <c r="L1387" s="73" t="s">
        <v>202</v>
      </c>
      <c r="M1387" s="72">
        <v>39868</v>
      </c>
      <c r="N1387" s="84">
        <v>7.3399999999999993E-2</v>
      </c>
      <c r="O1387" s="96">
        <f t="shared" si="87"/>
        <v>1</v>
      </c>
      <c r="Q1387" s="96"/>
      <c r="T1387" s="110"/>
    </row>
    <row r="1388" spans="3:20" x14ac:dyDescent="0.2">
      <c r="C1388" s="96" t="str">
        <f t="shared" si="84"/>
        <v>SEK2</v>
      </c>
      <c r="D1388" s="73" t="s">
        <v>202</v>
      </c>
      <c r="E1388" s="100">
        <v>40064</v>
      </c>
      <c r="F1388" s="101">
        <v>8.3599999999999994E-2</v>
      </c>
      <c r="G1388" s="96">
        <f t="shared" si="85"/>
        <v>2</v>
      </c>
      <c r="I1388" s="96"/>
      <c r="K1388" t="str">
        <f t="shared" si="86"/>
        <v>SEK2</v>
      </c>
      <c r="L1388" s="73" t="s">
        <v>202</v>
      </c>
      <c r="M1388" s="72">
        <v>40064</v>
      </c>
      <c r="N1388" s="84">
        <v>8.3599999999999994E-2</v>
      </c>
      <c r="O1388" s="96">
        <f t="shared" si="87"/>
        <v>2</v>
      </c>
      <c r="Q1388" s="96"/>
      <c r="T1388" s="110"/>
    </row>
    <row r="1389" spans="3:20" x14ac:dyDescent="0.2">
      <c r="C1389" s="96" t="str">
        <f t="shared" si="84"/>
        <v>SEK3</v>
      </c>
      <c r="D1389" s="73" t="s">
        <v>202</v>
      </c>
      <c r="E1389" s="100">
        <v>40233</v>
      </c>
      <c r="F1389" s="101">
        <v>7.4299999999999991E-2</v>
      </c>
      <c r="G1389" s="96">
        <f t="shared" si="85"/>
        <v>3</v>
      </c>
      <c r="I1389" s="96"/>
      <c r="K1389" t="str">
        <f t="shared" si="86"/>
        <v>SEK3</v>
      </c>
      <c r="L1389" s="73" t="s">
        <v>202</v>
      </c>
      <c r="M1389" s="72">
        <v>40233</v>
      </c>
      <c r="N1389" s="84">
        <v>7.4299999999999991E-2</v>
      </c>
      <c r="O1389" s="96">
        <f t="shared" si="87"/>
        <v>3</v>
      </c>
      <c r="Q1389" s="96"/>
      <c r="T1389" s="110"/>
    </row>
    <row r="1390" spans="3:20" x14ac:dyDescent="0.2">
      <c r="C1390" s="96" t="str">
        <f t="shared" si="84"/>
        <v>SEK4</v>
      </c>
      <c r="D1390" s="73" t="s">
        <v>202</v>
      </c>
      <c r="E1390" s="100">
        <v>40429</v>
      </c>
      <c r="F1390" s="101">
        <v>8.4700000000000011E-2</v>
      </c>
      <c r="G1390" s="96">
        <f t="shared" si="85"/>
        <v>4</v>
      </c>
      <c r="I1390" s="96"/>
      <c r="K1390" t="str">
        <f t="shared" si="86"/>
        <v>SEK4</v>
      </c>
      <c r="L1390" s="73" t="s">
        <v>202</v>
      </c>
      <c r="M1390" s="72">
        <v>40429</v>
      </c>
      <c r="N1390" s="84">
        <v>8.4700000000000011E-2</v>
      </c>
      <c r="O1390" s="96">
        <f t="shared" si="87"/>
        <v>4</v>
      </c>
      <c r="Q1390" s="96"/>
      <c r="T1390" s="110"/>
    </row>
    <row r="1391" spans="3:20" x14ac:dyDescent="0.2">
      <c r="C1391" s="96" t="str">
        <f t="shared" si="84"/>
        <v>SEK5</v>
      </c>
      <c r="D1391" s="73" t="s">
        <v>202</v>
      </c>
      <c r="E1391" s="100">
        <v>40598</v>
      </c>
      <c r="F1391" s="101">
        <v>9.0200000000000002E-2</v>
      </c>
      <c r="G1391" s="96">
        <f t="shared" si="85"/>
        <v>5</v>
      </c>
      <c r="I1391" s="96"/>
      <c r="K1391" t="str">
        <f t="shared" si="86"/>
        <v>SEK5</v>
      </c>
      <c r="L1391" s="73" t="s">
        <v>202</v>
      </c>
      <c r="M1391" s="72">
        <v>40598</v>
      </c>
      <c r="N1391" s="84">
        <v>9.0200000000000002E-2</v>
      </c>
      <c r="O1391" s="96">
        <f t="shared" si="87"/>
        <v>5</v>
      </c>
      <c r="Q1391" s="96"/>
      <c r="T1391" s="110"/>
    </row>
    <row r="1392" spans="3:20" x14ac:dyDescent="0.2">
      <c r="C1392" s="96" t="str">
        <f t="shared" si="84"/>
        <v>SEK6</v>
      </c>
      <c r="D1392" s="73" t="s">
        <v>202</v>
      </c>
      <c r="E1392" s="100">
        <v>40794</v>
      </c>
      <c r="F1392" s="101">
        <v>0.10279999999999999</v>
      </c>
      <c r="G1392" s="96">
        <f t="shared" si="85"/>
        <v>6</v>
      </c>
      <c r="I1392" s="96"/>
      <c r="K1392" t="str">
        <f t="shared" si="86"/>
        <v>SEK6</v>
      </c>
      <c r="L1392" s="73" t="s">
        <v>202</v>
      </c>
      <c r="M1392" s="72">
        <v>40794</v>
      </c>
      <c r="N1392" s="84">
        <v>0.10279999999999999</v>
      </c>
      <c r="O1392" s="96">
        <f t="shared" si="87"/>
        <v>6</v>
      </c>
      <c r="Q1392" s="96"/>
      <c r="T1392" s="110"/>
    </row>
    <row r="1393" spans="3:20" x14ac:dyDescent="0.2">
      <c r="C1393" s="96" t="str">
        <f t="shared" si="84"/>
        <v>SEK7</v>
      </c>
      <c r="D1393" s="73" t="s">
        <v>202</v>
      </c>
      <c r="E1393" s="100">
        <v>40966</v>
      </c>
      <c r="F1393" s="101">
        <v>0.1081</v>
      </c>
      <c r="G1393" s="96">
        <f t="shared" si="85"/>
        <v>7</v>
      </c>
      <c r="I1393" s="96"/>
      <c r="K1393" t="str">
        <f t="shared" si="86"/>
        <v>SEK7</v>
      </c>
      <c r="L1393" s="73" t="s">
        <v>202</v>
      </c>
      <c r="M1393" s="72">
        <v>40966</v>
      </c>
      <c r="N1393" s="84">
        <v>0.1081</v>
      </c>
      <c r="O1393" s="96">
        <f t="shared" si="87"/>
        <v>7</v>
      </c>
      <c r="Q1393" s="96"/>
      <c r="T1393" s="110"/>
    </row>
    <row r="1394" spans="3:20" x14ac:dyDescent="0.2">
      <c r="C1394" s="96" t="str">
        <f t="shared" si="84"/>
        <v>SEK8</v>
      </c>
      <c r="D1394" s="73" t="s">
        <v>202</v>
      </c>
      <c r="E1394" s="100">
        <v>41162</v>
      </c>
      <c r="F1394" s="101">
        <v>0.1229</v>
      </c>
      <c r="G1394" s="96">
        <f t="shared" si="85"/>
        <v>8</v>
      </c>
      <c r="I1394" s="96"/>
      <c r="K1394" t="str">
        <f t="shared" si="86"/>
        <v>SEK8</v>
      </c>
      <c r="L1394" s="73" t="s">
        <v>202</v>
      </c>
      <c r="M1394" s="72">
        <v>41162</v>
      </c>
      <c r="N1394" s="84">
        <v>0.1229</v>
      </c>
      <c r="O1394" s="96">
        <f t="shared" si="87"/>
        <v>8</v>
      </c>
      <c r="Q1394" s="96"/>
      <c r="T1394" s="110"/>
    </row>
    <row r="1395" spans="3:20" x14ac:dyDescent="0.2">
      <c r="C1395" s="96" t="str">
        <f t="shared" si="84"/>
        <v>SEK9</v>
      </c>
      <c r="D1395" s="73" t="s">
        <v>202</v>
      </c>
      <c r="E1395" s="100">
        <v>41331</v>
      </c>
      <c r="F1395" s="101">
        <v>0.1174</v>
      </c>
      <c r="G1395" s="96">
        <f t="shared" si="85"/>
        <v>9</v>
      </c>
      <c r="I1395" s="96"/>
      <c r="K1395" t="str">
        <f t="shared" si="86"/>
        <v>SEK9</v>
      </c>
      <c r="L1395" s="73" t="s">
        <v>202</v>
      </c>
      <c r="M1395" s="72">
        <v>41331</v>
      </c>
      <c r="N1395" s="84">
        <v>0.1174</v>
      </c>
      <c r="O1395" s="96">
        <f t="shared" si="87"/>
        <v>9</v>
      </c>
      <c r="Q1395" s="96"/>
      <c r="T1395" s="110"/>
    </row>
    <row r="1396" spans="3:20" x14ac:dyDescent="0.2">
      <c r="C1396" s="96" t="str">
        <f t="shared" si="84"/>
        <v>SEK10</v>
      </c>
      <c r="D1396" s="73" t="s">
        <v>202</v>
      </c>
      <c r="E1396" s="100">
        <v>41527</v>
      </c>
      <c r="F1396" s="101">
        <v>0.1336</v>
      </c>
      <c r="G1396" s="96">
        <f t="shared" si="85"/>
        <v>10</v>
      </c>
      <c r="I1396" s="96"/>
      <c r="K1396" t="str">
        <f t="shared" si="86"/>
        <v>SEK10</v>
      </c>
      <c r="L1396" s="73" t="s">
        <v>202</v>
      </c>
      <c r="M1396" s="72">
        <v>41527</v>
      </c>
      <c r="N1396" s="84">
        <v>0.1336</v>
      </c>
      <c r="O1396" s="96">
        <f t="shared" si="87"/>
        <v>10</v>
      </c>
      <c r="Q1396" s="96"/>
      <c r="T1396" s="110"/>
    </row>
    <row r="1397" spans="3:20" x14ac:dyDescent="0.2">
      <c r="C1397" s="96" t="str">
        <f t="shared" si="84"/>
        <v>SEV1</v>
      </c>
      <c r="D1397" s="73" t="s">
        <v>203</v>
      </c>
      <c r="E1397" s="100">
        <v>39899</v>
      </c>
      <c r="F1397" s="101">
        <v>0.157</v>
      </c>
      <c r="G1397" s="96">
        <f t="shared" si="85"/>
        <v>1</v>
      </c>
      <c r="I1397" s="96"/>
      <c r="K1397" t="str">
        <f t="shared" si="86"/>
        <v>SEV1</v>
      </c>
      <c r="L1397" s="73" t="s">
        <v>203</v>
      </c>
      <c r="M1397" s="72">
        <v>39899</v>
      </c>
      <c r="N1397" s="84">
        <v>0.157</v>
      </c>
      <c r="O1397" s="96">
        <f t="shared" si="87"/>
        <v>1</v>
      </c>
      <c r="Q1397" s="96"/>
      <c r="T1397" s="110"/>
    </row>
    <row r="1398" spans="3:20" x14ac:dyDescent="0.2">
      <c r="C1398" s="96" t="str">
        <f t="shared" si="84"/>
        <v>SEV2</v>
      </c>
      <c r="D1398" s="73" t="s">
        <v>203</v>
      </c>
      <c r="E1398" s="100">
        <v>40105</v>
      </c>
      <c r="F1398" s="101">
        <v>0.157</v>
      </c>
      <c r="G1398" s="96">
        <f t="shared" si="85"/>
        <v>2</v>
      </c>
      <c r="I1398" s="96"/>
      <c r="K1398" t="str">
        <f t="shared" si="86"/>
        <v>SEV2</v>
      </c>
      <c r="L1398" s="73" t="s">
        <v>203</v>
      </c>
      <c r="M1398" s="72">
        <v>40105</v>
      </c>
      <c r="N1398" s="84">
        <v>0.157</v>
      </c>
      <c r="O1398" s="96">
        <f t="shared" si="87"/>
        <v>2</v>
      </c>
      <c r="Q1398" s="96"/>
      <c r="T1398" s="110"/>
    </row>
    <row r="1399" spans="3:20" x14ac:dyDescent="0.2">
      <c r="C1399" s="96" t="str">
        <f t="shared" si="84"/>
        <v>SEV3</v>
      </c>
      <c r="D1399" s="73" t="s">
        <v>203</v>
      </c>
      <c r="E1399" s="100">
        <v>40266</v>
      </c>
      <c r="F1399" s="101">
        <v>0.152</v>
      </c>
      <c r="G1399" s="96">
        <f t="shared" si="85"/>
        <v>3</v>
      </c>
      <c r="I1399" s="96"/>
      <c r="K1399" t="str">
        <f t="shared" si="86"/>
        <v>SEV3</v>
      </c>
      <c r="L1399" s="73" t="s">
        <v>203</v>
      </c>
      <c r="M1399" s="72">
        <v>40266</v>
      </c>
      <c r="N1399" s="84">
        <v>0.152</v>
      </c>
      <c r="O1399" s="96">
        <f t="shared" si="87"/>
        <v>3</v>
      </c>
      <c r="Q1399" s="96"/>
      <c r="T1399" s="110"/>
    </row>
    <row r="1400" spans="3:20" x14ac:dyDescent="0.2">
      <c r="C1400" s="96" t="str">
        <f t="shared" si="84"/>
        <v>SEV4</v>
      </c>
      <c r="D1400" s="73" t="s">
        <v>203</v>
      </c>
      <c r="E1400" s="100">
        <v>40470</v>
      </c>
      <c r="F1400" s="101">
        <v>0.152</v>
      </c>
      <c r="G1400" s="96">
        <f t="shared" si="85"/>
        <v>4</v>
      </c>
      <c r="I1400" s="96"/>
      <c r="K1400" t="str">
        <f t="shared" si="86"/>
        <v>SEV4</v>
      </c>
      <c r="L1400" s="73" t="s">
        <v>203</v>
      </c>
      <c r="M1400" s="72">
        <v>40470</v>
      </c>
      <c r="N1400" s="84">
        <v>0.152</v>
      </c>
      <c r="O1400" s="96">
        <f t="shared" si="87"/>
        <v>4</v>
      </c>
      <c r="Q1400" s="96"/>
      <c r="T1400" s="110"/>
    </row>
    <row r="1401" spans="3:20" x14ac:dyDescent="0.2">
      <c r="C1401" s="96" t="str">
        <f t="shared" si="84"/>
        <v>SEV5</v>
      </c>
      <c r="D1401" s="73" t="s">
        <v>203</v>
      </c>
      <c r="E1401" s="100">
        <v>40633</v>
      </c>
      <c r="F1401" s="101">
        <v>0.1555</v>
      </c>
      <c r="G1401" s="96">
        <f t="shared" si="85"/>
        <v>5</v>
      </c>
      <c r="I1401" s="96"/>
      <c r="K1401" t="str">
        <f t="shared" si="86"/>
        <v>SEV5</v>
      </c>
      <c r="L1401" s="73" t="s">
        <v>203</v>
      </c>
      <c r="M1401" s="72">
        <v>40633</v>
      </c>
      <c r="N1401" s="84">
        <v>0.1555</v>
      </c>
      <c r="O1401" s="96">
        <f t="shared" si="87"/>
        <v>5</v>
      </c>
      <c r="Q1401" s="96"/>
      <c r="T1401" s="110"/>
    </row>
    <row r="1402" spans="3:20" x14ac:dyDescent="0.2">
      <c r="C1402" s="96" t="str">
        <f t="shared" si="84"/>
        <v>SEV6</v>
      </c>
      <c r="D1402" s="73" t="s">
        <v>203</v>
      </c>
      <c r="E1402" s="100">
        <v>40835</v>
      </c>
      <c r="F1402" s="101">
        <v>0.1555</v>
      </c>
      <c r="G1402" s="96">
        <f t="shared" si="85"/>
        <v>6</v>
      </c>
      <c r="I1402" s="96"/>
      <c r="K1402" t="str">
        <f t="shared" si="86"/>
        <v>SEV6</v>
      </c>
      <c r="L1402" s="73" t="s">
        <v>203</v>
      </c>
      <c r="M1402" s="72">
        <v>40835</v>
      </c>
      <c r="N1402" s="84">
        <v>0.1555</v>
      </c>
      <c r="O1402" s="96">
        <f t="shared" si="87"/>
        <v>6</v>
      </c>
      <c r="Q1402" s="96"/>
      <c r="T1402" s="110"/>
    </row>
    <row r="1403" spans="3:20" x14ac:dyDescent="0.2">
      <c r="C1403" s="96" t="str">
        <f t="shared" si="84"/>
        <v>SEV7</v>
      </c>
      <c r="D1403" s="73" t="s">
        <v>203</v>
      </c>
      <c r="E1403" s="100">
        <v>41001</v>
      </c>
      <c r="F1403" s="101">
        <v>0.1605</v>
      </c>
      <c r="G1403" s="96">
        <f t="shared" si="85"/>
        <v>7</v>
      </c>
      <c r="I1403" s="96"/>
      <c r="K1403" t="str">
        <f t="shared" si="86"/>
        <v>SEV7</v>
      </c>
      <c r="L1403" s="73" t="s">
        <v>203</v>
      </c>
      <c r="M1403" s="72">
        <v>41001</v>
      </c>
      <c r="N1403" s="84">
        <v>0.1605</v>
      </c>
      <c r="O1403" s="96">
        <f t="shared" si="87"/>
        <v>7</v>
      </c>
      <c r="Q1403" s="96"/>
      <c r="T1403" s="110"/>
    </row>
    <row r="1404" spans="3:20" x14ac:dyDescent="0.2">
      <c r="C1404" s="96" t="str">
        <f t="shared" si="84"/>
        <v>SEV8</v>
      </c>
      <c r="D1404" s="73" t="s">
        <v>203</v>
      </c>
      <c r="E1404" s="100">
        <v>41201</v>
      </c>
      <c r="F1404" s="101">
        <v>0.1605</v>
      </c>
      <c r="G1404" s="96">
        <f t="shared" si="85"/>
        <v>8</v>
      </c>
      <c r="I1404" s="96"/>
      <c r="K1404" t="str">
        <f t="shared" si="86"/>
        <v>SEV8</v>
      </c>
      <c r="L1404" s="73" t="s">
        <v>203</v>
      </c>
      <c r="M1404" s="72">
        <v>41201</v>
      </c>
      <c r="N1404" s="84">
        <v>0.1605</v>
      </c>
      <c r="O1404" s="96">
        <f t="shared" si="87"/>
        <v>8</v>
      </c>
      <c r="Q1404" s="96"/>
      <c r="T1404" s="110"/>
    </row>
    <row r="1405" spans="3:20" x14ac:dyDescent="0.2">
      <c r="C1405" s="96" t="str">
        <f t="shared" si="84"/>
        <v>SEV9</v>
      </c>
      <c r="D1405" s="73" t="s">
        <v>203</v>
      </c>
      <c r="E1405" s="100">
        <v>41366</v>
      </c>
      <c r="F1405" s="101">
        <v>0.17649999999999999</v>
      </c>
      <c r="G1405" s="96">
        <f t="shared" si="85"/>
        <v>9</v>
      </c>
      <c r="I1405" s="96"/>
      <c r="K1405" t="str">
        <f t="shared" si="86"/>
        <v>SEV9</v>
      </c>
      <c r="L1405" s="73" t="s">
        <v>203</v>
      </c>
      <c r="M1405" s="72">
        <v>41366</v>
      </c>
      <c r="N1405" s="84">
        <v>0.17649999999999999</v>
      </c>
      <c r="O1405" s="96">
        <f t="shared" si="87"/>
        <v>9</v>
      </c>
      <c r="Q1405" s="96"/>
      <c r="T1405" s="110"/>
    </row>
    <row r="1406" spans="3:20" x14ac:dyDescent="0.2">
      <c r="C1406" s="96" t="str">
        <f t="shared" si="84"/>
        <v>SEV10</v>
      </c>
      <c r="D1406" s="73" t="s">
        <v>203</v>
      </c>
      <c r="E1406" s="100">
        <v>41568</v>
      </c>
      <c r="F1406" s="101">
        <v>0.17649999999999999</v>
      </c>
      <c r="G1406" s="96">
        <f t="shared" si="85"/>
        <v>10</v>
      </c>
      <c r="I1406" s="96"/>
      <c r="K1406" t="str">
        <f t="shared" si="86"/>
        <v>SEV10</v>
      </c>
      <c r="L1406" s="73" t="s">
        <v>203</v>
      </c>
      <c r="M1406" s="72">
        <v>41568</v>
      </c>
      <c r="N1406" s="84">
        <v>0.17649999999999999</v>
      </c>
      <c r="O1406" s="96">
        <f t="shared" si="87"/>
        <v>10</v>
      </c>
      <c r="Q1406" s="96"/>
      <c r="T1406" s="110"/>
    </row>
    <row r="1407" spans="3:20" x14ac:dyDescent="0.2">
      <c r="C1407" s="96" t="str">
        <f t="shared" si="84"/>
        <v>SGB1</v>
      </c>
      <c r="D1407" s="73" t="s">
        <v>204</v>
      </c>
      <c r="E1407" s="100">
        <v>39965</v>
      </c>
      <c r="F1407" s="101">
        <v>0.8993000000000001</v>
      </c>
      <c r="G1407" s="96">
        <f t="shared" si="85"/>
        <v>1</v>
      </c>
      <c r="I1407" s="96"/>
      <c r="K1407" t="str">
        <f t="shared" si="86"/>
        <v>SGB1</v>
      </c>
      <c r="L1407" s="73" t="s">
        <v>204</v>
      </c>
      <c r="M1407" s="72">
        <v>39965</v>
      </c>
      <c r="N1407" s="84">
        <v>0.8993000000000001</v>
      </c>
      <c r="O1407" s="96">
        <f t="shared" si="87"/>
        <v>1</v>
      </c>
      <c r="Q1407" s="96"/>
      <c r="T1407" s="110"/>
    </row>
    <row r="1408" spans="3:20" x14ac:dyDescent="0.2">
      <c r="C1408" s="96" t="str">
        <f t="shared" si="84"/>
        <v>SGB2</v>
      </c>
      <c r="D1408" s="73" t="s">
        <v>204</v>
      </c>
      <c r="E1408" s="100">
        <v>40135</v>
      </c>
      <c r="F1408" s="101">
        <v>0.96069999999999989</v>
      </c>
      <c r="G1408" s="96">
        <f t="shared" si="85"/>
        <v>2</v>
      </c>
      <c r="I1408" s="96"/>
      <c r="K1408" t="str">
        <f t="shared" si="86"/>
        <v>SGB2</v>
      </c>
      <c r="L1408" s="73" t="s">
        <v>204</v>
      </c>
      <c r="M1408" s="72">
        <v>40135</v>
      </c>
      <c r="N1408" s="84">
        <v>0.96069999999999989</v>
      </c>
      <c r="O1408" s="96">
        <f t="shared" si="87"/>
        <v>2</v>
      </c>
      <c r="Q1408" s="96"/>
      <c r="T1408" s="110"/>
    </row>
    <row r="1409" spans="3:20" x14ac:dyDescent="0.2">
      <c r="C1409" s="96" t="str">
        <f t="shared" si="84"/>
        <v>SGB3</v>
      </c>
      <c r="D1409" s="73" t="s">
        <v>204</v>
      </c>
      <c r="E1409" s="100">
        <v>40330</v>
      </c>
      <c r="F1409" s="101">
        <v>0.92200000000000004</v>
      </c>
      <c r="G1409" s="96">
        <f t="shared" si="85"/>
        <v>3</v>
      </c>
      <c r="I1409" s="96"/>
      <c r="K1409" t="str">
        <f t="shared" si="86"/>
        <v>SGB3</v>
      </c>
      <c r="L1409" s="73" t="s">
        <v>204</v>
      </c>
      <c r="M1409" s="72">
        <v>40330</v>
      </c>
      <c r="N1409" s="84">
        <v>0.92200000000000004</v>
      </c>
      <c r="O1409" s="96">
        <f t="shared" si="87"/>
        <v>3</v>
      </c>
      <c r="Q1409" s="96"/>
      <c r="T1409" s="110"/>
    </row>
    <row r="1410" spans="3:20" x14ac:dyDescent="0.2">
      <c r="C1410" s="96" t="str">
        <f t="shared" si="84"/>
        <v>SGB4</v>
      </c>
      <c r="D1410" s="73" t="s">
        <v>204</v>
      </c>
      <c r="E1410" s="100">
        <v>40500</v>
      </c>
      <c r="F1410" s="101">
        <v>0.98499999999999999</v>
      </c>
      <c r="G1410" s="96">
        <f t="shared" si="85"/>
        <v>4</v>
      </c>
      <c r="I1410" s="96"/>
      <c r="K1410" t="str">
        <f t="shared" si="86"/>
        <v>SGB4</v>
      </c>
      <c r="L1410" s="73" t="s">
        <v>204</v>
      </c>
      <c r="M1410" s="72">
        <v>40500</v>
      </c>
      <c r="N1410" s="84">
        <v>0.98499999999999999</v>
      </c>
      <c r="O1410" s="96">
        <f t="shared" si="87"/>
        <v>4</v>
      </c>
      <c r="Q1410" s="96"/>
      <c r="T1410" s="110"/>
    </row>
    <row r="1411" spans="3:20" x14ac:dyDescent="0.2">
      <c r="C1411" s="96" t="str">
        <f t="shared" ref="C1411:C1474" si="88">D1411&amp;G1411</f>
        <v>SGB5</v>
      </c>
      <c r="D1411" s="73" t="s">
        <v>204</v>
      </c>
      <c r="E1411" s="100">
        <v>40695</v>
      </c>
      <c r="F1411" s="101">
        <v>0.95680000000000009</v>
      </c>
      <c r="G1411" s="96">
        <f t="shared" ref="G1411:G1474" si="89">IF(D1411&lt;&gt;D1410,1,G1410+1)</f>
        <v>5</v>
      </c>
      <c r="I1411" s="96"/>
      <c r="K1411" t="str">
        <f t="shared" ref="K1411:K1474" si="90">L1411&amp;O1411</f>
        <v>SGB5</v>
      </c>
      <c r="L1411" s="73" t="s">
        <v>204</v>
      </c>
      <c r="M1411" s="72">
        <v>40695</v>
      </c>
      <c r="N1411" s="84">
        <v>0.95680000000000009</v>
      </c>
      <c r="O1411" s="96">
        <f t="shared" ref="O1411:O1474" si="91">IF(L1411&lt;&gt;L1410,1,O1410+1)</f>
        <v>5</v>
      </c>
      <c r="Q1411" s="96"/>
      <c r="T1411" s="110"/>
    </row>
    <row r="1412" spans="3:20" x14ac:dyDescent="0.2">
      <c r="C1412" s="96" t="str">
        <f t="shared" si="88"/>
        <v>SGB6</v>
      </c>
      <c r="D1412" s="73" t="s">
        <v>204</v>
      </c>
      <c r="E1412" s="100">
        <v>40865</v>
      </c>
      <c r="F1412" s="101">
        <v>1.0222</v>
      </c>
      <c r="G1412" s="96">
        <f t="shared" si="89"/>
        <v>6</v>
      </c>
      <c r="I1412" s="96"/>
      <c r="K1412" t="str">
        <f t="shared" si="90"/>
        <v>SGB6</v>
      </c>
      <c r="L1412" s="73" t="s">
        <v>204</v>
      </c>
      <c r="M1412" s="72">
        <v>40865</v>
      </c>
      <c r="N1412" s="84">
        <v>1.0222</v>
      </c>
      <c r="O1412" s="96">
        <f t="shared" si="91"/>
        <v>6</v>
      </c>
      <c r="Q1412" s="96"/>
      <c r="T1412" s="110"/>
    </row>
    <row r="1413" spans="3:20" x14ac:dyDescent="0.2">
      <c r="C1413" s="96" t="str">
        <f t="shared" si="88"/>
        <v>SGB7</v>
      </c>
      <c r="D1413" s="73" t="s">
        <v>204</v>
      </c>
      <c r="E1413" s="100">
        <v>41061</v>
      </c>
      <c r="F1413" s="101">
        <v>0.97519999999999996</v>
      </c>
      <c r="G1413" s="96">
        <f t="shared" si="89"/>
        <v>7</v>
      </c>
      <c r="I1413" s="96"/>
      <c r="K1413" t="str">
        <f t="shared" si="90"/>
        <v>SGB7</v>
      </c>
      <c r="L1413" s="73" t="s">
        <v>204</v>
      </c>
      <c r="M1413" s="72">
        <v>41061</v>
      </c>
      <c r="N1413" s="84">
        <v>0.97519999999999996</v>
      </c>
      <c r="O1413" s="96">
        <f t="shared" si="91"/>
        <v>7</v>
      </c>
      <c r="Q1413" s="96"/>
      <c r="T1413" s="110"/>
    </row>
    <row r="1414" spans="3:20" x14ac:dyDescent="0.2">
      <c r="C1414" s="96" t="str">
        <f t="shared" si="88"/>
        <v>SGB8</v>
      </c>
      <c r="D1414" s="73" t="s">
        <v>204</v>
      </c>
      <c r="E1414" s="100">
        <v>41233</v>
      </c>
      <c r="F1414" s="101">
        <v>1.0418000000000001</v>
      </c>
      <c r="G1414" s="96">
        <f t="shared" si="89"/>
        <v>8</v>
      </c>
      <c r="I1414" s="96"/>
      <c r="K1414" t="str">
        <f t="shared" si="90"/>
        <v>SGB8</v>
      </c>
      <c r="L1414" s="73" t="s">
        <v>204</v>
      </c>
      <c r="M1414" s="72">
        <v>41233</v>
      </c>
      <c r="N1414" s="84">
        <v>1.0418000000000001</v>
      </c>
      <c r="O1414" s="96">
        <f t="shared" si="91"/>
        <v>8</v>
      </c>
      <c r="Q1414" s="96"/>
      <c r="T1414" s="110"/>
    </row>
    <row r="1415" spans="3:20" x14ac:dyDescent="0.2">
      <c r="C1415" s="96" t="str">
        <f t="shared" si="88"/>
        <v>SGB9</v>
      </c>
      <c r="D1415" s="73" t="s">
        <v>204</v>
      </c>
      <c r="E1415" s="100">
        <v>41428</v>
      </c>
      <c r="F1415" s="101">
        <v>0.97040000000000004</v>
      </c>
      <c r="G1415" s="96">
        <f t="shared" si="89"/>
        <v>9</v>
      </c>
      <c r="I1415" s="96"/>
      <c r="K1415" t="str">
        <f t="shared" si="90"/>
        <v>SGB9</v>
      </c>
      <c r="L1415" s="73" t="s">
        <v>204</v>
      </c>
      <c r="M1415" s="72">
        <v>41428</v>
      </c>
      <c r="N1415" s="84">
        <v>0.97040000000000004</v>
      </c>
      <c r="O1415" s="96">
        <f t="shared" si="91"/>
        <v>9</v>
      </c>
      <c r="Q1415" s="96"/>
      <c r="T1415" s="110"/>
    </row>
    <row r="1416" spans="3:20" x14ac:dyDescent="0.2">
      <c r="C1416" s="96" t="str">
        <f t="shared" si="88"/>
        <v>SGB10</v>
      </c>
      <c r="D1416" s="73" t="s">
        <v>204</v>
      </c>
      <c r="E1416" s="100">
        <v>41598</v>
      </c>
      <c r="F1416" s="101">
        <v>1.0366</v>
      </c>
      <c r="G1416" s="96">
        <f t="shared" si="89"/>
        <v>10</v>
      </c>
      <c r="I1416" s="96"/>
      <c r="K1416" t="str">
        <f t="shared" si="90"/>
        <v>SGB10</v>
      </c>
      <c r="L1416" s="73" t="s">
        <v>204</v>
      </c>
      <c r="M1416" s="72">
        <v>41598</v>
      </c>
      <c r="N1416" s="84">
        <v>1.0366</v>
      </c>
      <c r="O1416" s="96">
        <f t="shared" si="91"/>
        <v>10</v>
      </c>
      <c r="Q1416" s="96"/>
      <c r="T1416" s="110"/>
    </row>
    <row r="1417" spans="3:20" x14ac:dyDescent="0.2">
      <c r="C1417" s="96" t="str">
        <f t="shared" si="88"/>
        <v>SGM1</v>
      </c>
      <c r="D1417" s="73" t="s">
        <v>205</v>
      </c>
      <c r="E1417" s="100">
        <v>39888</v>
      </c>
      <c r="F1417" s="101">
        <v>0.3</v>
      </c>
      <c r="G1417" s="96">
        <f t="shared" si="89"/>
        <v>1</v>
      </c>
      <c r="I1417" s="96"/>
      <c r="K1417" t="str">
        <f t="shared" si="90"/>
        <v>SGM1</v>
      </c>
      <c r="L1417" s="73" t="s">
        <v>205</v>
      </c>
      <c r="M1417" s="72">
        <v>39888</v>
      </c>
      <c r="N1417" s="84">
        <v>0.3</v>
      </c>
      <c r="O1417" s="96">
        <f t="shared" si="91"/>
        <v>1</v>
      </c>
      <c r="Q1417" s="96"/>
      <c r="T1417" s="110"/>
    </row>
    <row r="1418" spans="3:20" x14ac:dyDescent="0.2">
      <c r="C1418" s="96" t="str">
        <f t="shared" si="88"/>
        <v>SGM2</v>
      </c>
      <c r="D1418" s="73" t="s">
        <v>205</v>
      </c>
      <c r="E1418" s="100">
        <v>40081</v>
      </c>
      <c r="F1418" s="101">
        <v>0.35</v>
      </c>
      <c r="G1418" s="96">
        <f t="shared" si="89"/>
        <v>2</v>
      </c>
      <c r="I1418" s="96"/>
      <c r="K1418" t="str">
        <f t="shared" si="90"/>
        <v>SGM2</v>
      </c>
      <c r="L1418" s="73" t="s">
        <v>205</v>
      </c>
      <c r="M1418" s="72">
        <v>40081</v>
      </c>
      <c r="N1418" s="84">
        <v>0.35</v>
      </c>
      <c r="O1418" s="96">
        <f t="shared" si="91"/>
        <v>2</v>
      </c>
      <c r="Q1418" s="96"/>
      <c r="T1418" s="110"/>
    </row>
    <row r="1419" spans="3:20" x14ac:dyDescent="0.2">
      <c r="C1419" s="96" t="str">
        <f t="shared" si="88"/>
        <v>SGM3</v>
      </c>
      <c r="D1419" s="73" t="s">
        <v>205</v>
      </c>
      <c r="E1419" s="100">
        <v>40253</v>
      </c>
      <c r="F1419" s="101">
        <v>0.35</v>
      </c>
      <c r="G1419" s="96">
        <f t="shared" si="89"/>
        <v>3</v>
      </c>
      <c r="I1419" s="96"/>
      <c r="K1419" t="str">
        <f t="shared" si="90"/>
        <v>SGM3</v>
      </c>
      <c r="L1419" s="73" t="s">
        <v>205</v>
      </c>
      <c r="M1419" s="72">
        <v>40253</v>
      </c>
      <c r="N1419" s="84">
        <v>0.35</v>
      </c>
      <c r="O1419" s="96">
        <f t="shared" si="91"/>
        <v>3</v>
      </c>
      <c r="Q1419" s="96"/>
      <c r="T1419" s="110"/>
    </row>
    <row r="1420" spans="3:20" x14ac:dyDescent="0.2">
      <c r="C1420" s="96" t="str">
        <f t="shared" si="88"/>
        <v>SGM4</v>
      </c>
      <c r="D1420" s="73" t="s">
        <v>205</v>
      </c>
      <c r="E1420" s="100">
        <v>40449</v>
      </c>
      <c r="F1420" s="101">
        <v>0.45</v>
      </c>
      <c r="G1420" s="96">
        <f t="shared" si="89"/>
        <v>4</v>
      </c>
      <c r="I1420" s="96"/>
      <c r="K1420" t="str">
        <f t="shared" si="90"/>
        <v>SGM4</v>
      </c>
      <c r="L1420" s="73" t="s">
        <v>205</v>
      </c>
      <c r="M1420" s="72">
        <v>40449</v>
      </c>
      <c r="N1420" s="84">
        <v>0.45</v>
      </c>
      <c r="O1420" s="96">
        <f t="shared" si="91"/>
        <v>4</v>
      </c>
      <c r="Q1420" s="96"/>
      <c r="T1420" s="110"/>
    </row>
    <row r="1421" spans="3:20" x14ac:dyDescent="0.2">
      <c r="C1421" s="96" t="str">
        <f t="shared" si="88"/>
        <v>SGM5</v>
      </c>
      <c r="D1421" s="73" t="s">
        <v>205</v>
      </c>
      <c r="E1421" s="100">
        <v>40618</v>
      </c>
      <c r="F1421" s="101">
        <v>0.45</v>
      </c>
      <c r="G1421" s="96">
        <f t="shared" si="89"/>
        <v>5</v>
      </c>
      <c r="I1421" s="96"/>
      <c r="K1421" t="str">
        <f t="shared" si="90"/>
        <v>SGM5</v>
      </c>
      <c r="L1421" s="73" t="s">
        <v>205</v>
      </c>
      <c r="M1421" s="72">
        <v>40618</v>
      </c>
      <c r="N1421" s="84">
        <v>0.45</v>
      </c>
      <c r="O1421" s="96">
        <f t="shared" si="91"/>
        <v>5</v>
      </c>
      <c r="Q1421" s="96"/>
      <c r="T1421" s="110"/>
    </row>
    <row r="1422" spans="3:20" x14ac:dyDescent="0.2">
      <c r="C1422" s="96" t="str">
        <f t="shared" si="88"/>
        <v>SGM6</v>
      </c>
      <c r="D1422" s="73" t="s">
        <v>205</v>
      </c>
      <c r="E1422" s="100">
        <v>40815</v>
      </c>
      <c r="F1422" s="101">
        <v>0.5</v>
      </c>
      <c r="G1422" s="96">
        <f t="shared" si="89"/>
        <v>6</v>
      </c>
      <c r="I1422" s="96"/>
      <c r="K1422" t="str">
        <f t="shared" si="90"/>
        <v>SGM6</v>
      </c>
      <c r="L1422" s="73" t="s">
        <v>205</v>
      </c>
      <c r="M1422" s="72">
        <v>40815</v>
      </c>
      <c r="N1422" s="84">
        <v>0.5</v>
      </c>
      <c r="O1422" s="96">
        <f t="shared" si="91"/>
        <v>6</v>
      </c>
      <c r="Q1422" s="96"/>
      <c r="T1422" s="110"/>
    </row>
    <row r="1423" spans="3:20" x14ac:dyDescent="0.2">
      <c r="C1423" s="96" t="str">
        <f t="shared" si="88"/>
        <v>SGM7</v>
      </c>
      <c r="D1423" s="73" t="s">
        <v>205</v>
      </c>
      <c r="E1423" s="100">
        <v>40984</v>
      </c>
      <c r="F1423" s="101">
        <v>0.5</v>
      </c>
      <c r="G1423" s="96">
        <f t="shared" si="89"/>
        <v>7</v>
      </c>
      <c r="I1423" s="96"/>
      <c r="K1423" t="str">
        <f t="shared" si="90"/>
        <v>SGM7</v>
      </c>
      <c r="L1423" s="73" t="s">
        <v>205</v>
      </c>
      <c r="M1423" s="72">
        <v>40984</v>
      </c>
      <c r="N1423" s="84">
        <v>0.5</v>
      </c>
      <c r="O1423" s="96">
        <f t="shared" si="91"/>
        <v>7</v>
      </c>
      <c r="Q1423" s="96"/>
      <c r="T1423" s="110"/>
    </row>
    <row r="1424" spans="3:20" x14ac:dyDescent="0.2">
      <c r="C1424" s="96" t="str">
        <f t="shared" si="88"/>
        <v>SGM8</v>
      </c>
      <c r="D1424" s="73" t="s">
        <v>205</v>
      </c>
      <c r="E1424" s="100">
        <v>41183</v>
      </c>
      <c r="F1424" s="101">
        <v>0.55000000000000004</v>
      </c>
      <c r="G1424" s="96">
        <f t="shared" si="89"/>
        <v>8</v>
      </c>
      <c r="I1424" s="96"/>
      <c r="K1424" t="str">
        <f t="shared" si="90"/>
        <v>SGM8</v>
      </c>
      <c r="L1424" s="73" t="s">
        <v>205</v>
      </c>
      <c r="M1424" s="72">
        <v>41183</v>
      </c>
      <c r="N1424" s="84">
        <v>0.55000000000000004</v>
      </c>
      <c r="O1424" s="96">
        <f t="shared" si="91"/>
        <v>8</v>
      </c>
      <c r="Q1424" s="96"/>
      <c r="T1424" s="110"/>
    </row>
    <row r="1425" spans="3:20" x14ac:dyDescent="0.2">
      <c r="C1425" s="96" t="str">
        <f t="shared" si="88"/>
        <v>SGM9</v>
      </c>
      <c r="D1425" s="73" t="s">
        <v>205</v>
      </c>
      <c r="E1425" s="100">
        <v>41351</v>
      </c>
      <c r="F1425" s="101">
        <v>0.5</v>
      </c>
      <c r="G1425" s="96">
        <f t="shared" si="89"/>
        <v>9</v>
      </c>
      <c r="I1425" s="96"/>
      <c r="K1425" t="str">
        <f t="shared" si="90"/>
        <v>SGM9</v>
      </c>
      <c r="L1425" s="73" t="s">
        <v>205</v>
      </c>
      <c r="M1425" s="72">
        <v>41351</v>
      </c>
      <c r="N1425" s="84">
        <v>0.5</v>
      </c>
      <c r="O1425" s="96">
        <f t="shared" si="91"/>
        <v>9</v>
      </c>
      <c r="Q1425" s="96"/>
      <c r="T1425" s="110"/>
    </row>
    <row r="1426" spans="3:20" x14ac:dyDescent="0.2">
      <c r="C1426" s="96" t="str">
        <f t="shared" si="88"/>
        <v>SGM10</v>
      </c>
      <c r="D1426" s="73" t="s">
        <v>205</v>
      </c>
      <c r="E1426" s="100">
        <v>41548</v>
      </c>
      <c r="F1426" s="101">
        <v>0.6</v>
      </c>
      <c r="G1426" s="96">
        <f t="shared" si="89"/>
        <v>10</v>
      </c>
      <c r="I1426" s="96"/>
      <c r="K1426" t="str">
        <f t="shared" si="90"/>
        <v>SGM10</v>
      </c>
      <c r="L1426" s="73" t="s">
        <v>205</v>
      </c>
      <c r="M1426" s="72">
        <v>41548</v>
      </c>
      <c r="N1426" s="84">
        <v>0.6</v>
      </c>
      <c r="O1426" s="96">
        <f t="shared" si="91"/>
        <v>10</v>
      </c>
      <c r="Q1426" s="96"/>
      <c r="T1426" s="110"/>
    </row>
    <row r="1427" spans="3:20" x14ac:dyDescent="0.2">
      <c r="C1427" s="96" t="str">
        <f t="shared" si="88"/>
        <v>SGP1</v>
      </c>
      <c r="D1427" s="73" t="s">
        <v>206</v>
      </c>
      <c r="E1427" s="100">
        <v>39988</v>
      </c>
      <c r="F1427" s="101">
        <v>0.17</v>
      </c>
      <c r="G1427" s="96">
        <f t="shared" si="89"/>
        <v>1</v>
      </c>
      <c r="I1427" s="96"/>
      <c r="K1427" t="str">
        <f t="shared" si="90"/>
        <v>SGP1</v>
      </c>
      <c r="L1427" s="73" t="s">
        <v>206</v>
      </c>
      <c r="M1427" s="72">
        <v>39988</v>
      </c>
      <c r="N1427" s="84">
        <v>0.17</v>
      </c>
      <c r="O1427" s="96">
        <f t="shared" si="91"/>
        <v>1</v>
      </c>
      <c r="Q1427" s="96"/>
      <c r="T1427" s="110"/>
    </row>
    <row r="1428" spans="3:20" x14ac:dyDescent="0.2">
      <c r="C1428" s="96" t="str">
        <f t="shared" si="88"/>
        <v>SGP2</v>
      </c>
      <c r="D1428" s="73" t="s">
        <v>206</v>
      </c>
      <c r="E1428" s="100">
        <v>40170</v>
      </c>
      <c r="F1428" s="101">
        <v>0.155</v>
      </c>
      <c r="G1428" s="96">
        <f t="shared" si="89"/>
        <v>2</v>
      </c>
      <c r="I1428" s="96"/>
      <c r="K1428" t="str">
        <f t="shared" si="90"/>
        <v>SGP2</v>
      </c>
      <c r="L1428" s="73" t="s">
        <v>206</v>
      </c>
      <c r="M1428" s="72">
        <v>40170</v>
      </c>
      <c r="N1428" s="84">
        <v>0.155</v>
      </c>
      <c r="O1428" s="96">
        <f t="shared" si="91"/>
        <v>2</v>
      </c>
      <c r="Q1428" s="96"/>
      <c r="T1428" s="110"/>
    </row>
    <row r="1429" spans="3:20" x14ac:dyDescent="0.2">
      <c r="C1429" s="96" t="str">
        <f t="shared" si="88"/>
        <v>SGP3</v>
      </c>
      <c r="D1429" s="73" t="s">
        <v>206</v>
      </c>
      <c r="E1429" s="100">
        <v>40353</v>
      </c>
      <c r="F1429" s="101">
        <v>0.155</v>
      </c>
      <c r="G1429" s="96">
        <f t="shared" si="89"/>
        <v>3</v>
      </c>
      <c r="I1429" s="96"/>
      <c r="K1429" t="str">
        <f t="shared" si="90"/>
        <v>SGP3</v>
      </c>
      <c r="L1429" s="73" t="s">
        <v>206</v>
      </c>
      <c r="M1429" s="72">
        <v>40353</v>
      </c>
      <c r="N1429" s="84">
        <v>0.155</v>
      </c>
      <c r="O1429" s="96">
        <f t="shared" si="91"/>
        <v>3</v>
      </c>
      <c r="Q1429" s="96"/>
      <c r="T1429" s="110"/>
    </row>
    <row r="1430" spans="3:20" x14ac:dyDescent="0.2">
      <c r="C1430" s="96" t="str">
        <f t="shared" si="88"/>
        <v>SGP4</v>
      </c>
      <c r="D1430" s="73" t="s">
        <v>206</v>
      </c>
      <c r="E1430" s="100">
        <v>40536</v>
      </c>
      <c r="F1430" s="101">
        <v>0.17</v>
      </c>
      <c r="G1430" s="96">
        <f t="shared" si="89"/>
        <v>4</v>
      </c>
      <c r="I1430" s="96"/>
      <c r="K1430" t="str">
        <f t="shared" si="90"/>
        <v>SGP4</v>
      </c>
      <c r="L1430" s="73" t="s">
        <v>206</v>
      </c>
      <c r="M1430" s="72">
        <v>40536</v>
      </c>
      <c r="N1430" s="84">
        <v>0.17</v>
      </c>
      <c r="O1430" s="96">
        <f t="shared" si="91"/>
        <v>4</v>
      </c>
      <c r="Q1430" s="96"/>
      <c r="T1430" s="110"/>
    </row>
    <row r="1431" spans="3:20" x14ac:dyDescent="0.2">
      <c r="C1431" s="96" t="str">
        <f t="shared" si="88"/>
        <v>SGP5</v>
      </c>
      <c r="D1431" s="73" t="s">
        <v>206</v>
      </c>
      <c r="E1431" s="100">
        <v>40718</v>
      </c>
      <c r="F1431" s="101">
        <v>0.17</v>
      </c>
      <c r="G1431" s="96">
        <f t="shared" si="89"/>
        <v>5</v>
      </c>
      <c r="I1431" s="96"/>
      <c r="K1431" t="str">
        <f t="shared" si="90"/>
        <v>SGP5</v>
      </c>
      <c r="L1431" s="73" t="s">
        <v>206</v>
      </c>
      <c r="M1431" s="72">
        <v>40718</v>
      </c>
      <c r="N1431" s="84">
        <v>0.17</v>
      </c>
      <c r="O1431" s="96">
        <f t="shared" si="91"/>
        <v>5</v>
      </c>
      <c r="Q1431" s="96"/>
      <c r="T1431" s="110"/>
    </row>
    <row r="1432" spans="3:20" x14ac:dyDescent="0.2">
      <c r="C1432" s="96" t="str">
        <f t="shared" si="88"/>
        <v>SGP6</v>
      </c>
      <c r="D1432" s="73" t="s">
        <v>206</v>
      </c>
      <c r="E1432" s="100">
        <v>40904</v>
      </c>
      <c r="F1432" s="101">
        <v>0.19</v>
      </c>
      <c r="G1432" s="96">
        <f t="shared" si="89"/>
        <v>6</v>
      </c>
      <c r="I1432" s="96"/>
      <c r="K1432" t="str">
        <f t="shared" si="90"/>
        <v>SGP6</v>
      </c>
      <c r="L1432" s="73" t="s">
        <v>206</v>
      </c>
      <c r="M1432" s="72">
        <v>40904</v>
      </c>
      <c r="N1432" s="84">
        <v>0.19</v>
      </c>
      <c r="O1432" s="96">
        <f t="shared" si="91"/>
        <v>6</v>
      </c>
      <c r="Q1432" s="96"/>
      <c r="T1432" s="110"/>
    </row>
    <row r="1433" spans="3:20" x14ac:dyDescent="0.2">
      <c r="C1433" s="96" t="str">
        <f t="shared" si="88"/>
        <v>SGP7</v>
      </c>
      <c r="D1433" s="73" t="s">
        <v>206</v>
      </c>
      <c r="E1433" s="100">
        <v>41086</v>
      </c>
      <c r="F1433" s="101">
        <v>0.19</v>
      </c>
      <c r="G1433" s="96">
        <f t="shared" si="89"/>
        <v>7</v>
      </c>
      <c r="I1433" s="96"/>
      <c r="K1433" t="str">
        <f t="shared" si="90"/>
        <v>SGP7</v>
      </c>
      <c r="L1433" s="73" t="s">
        <v>206</v>
      </c>
      <c r="M1433" s="72">
        <v>41086</v>
      </c>
      <c r="N1433" s="84">
        <v>0.19</v>
      </c>
      <c r="O1433" s="96">
        <f t="shared" si="91"/>
        <v>7</v>
      </c>
      <c r="Q1433" s="96"/>
      <c r="T1433" s="110"/>
    </row>
    <row r="1434" spans="3:20" x14ac:dyDescent="0.2">
      <c r="C1434" s="96" t="str">
        <f t="shared" si="88"/>
        <v>SGP8</v>
      </c>
      <c r="D1434" s="73" t="s">
        <v>206</v>
      </c>
      <c r="E1434" s="100">
        <v>41270</v>
      </c>
      <c r="F1434" s="101">
        <v>0.215</v>
      </c>
      <c r="G1434" s="96">
        <f t="shared" si="89"/>
        <v>8</v>
      </c>
      <c r="I1434" s="96"/>
      <c r="K1434" t="str">
        <f t="shared" si="90"/>
        <v>SGP8</v>
      </c>
      <c r="L1434" s="73" t="s">
        <v>206</v>
      </c>
      <c r="M1434" s="72">
        <v>41270</v>
      </c>
      <c r="N1434" s="84">
        <v>0.215</v>
      </c>
      <c r="O1434" s="96">
        <f t="shared" si="91"/>
        <v>8</v>
      </c>
      <c r="Q1434" s="96"/>
      <c r="T1434" s="110"/>
    </row>
    <row r="1435" spans="3:20" x14ac:dyDescent="0.2">
      <c r="C1435" s="96" t="str">
        <f t="shared" si="88"/>
        <v>SGP9</v>
      </c>
      <c r="D1435" s="73" t="s">
        <v>206</v>
      </c>
      <c r="E1435" s="100">
        <v>41451</v>
      </c>
      <c r="F1435" s="101">
        <v>0.215</v>
      </c>
      <c r="G1435" s="96">
        <f t="shared" si="89"/>
        <v>9</v>
      </c>
      <c r="I1435" s="96"/>
      <c r="K1435" t="str">
        <f t="shared" si="90"/>
        <v>SGP9</v>
      </c>
      <c r="L1435" s="73" t="s">
        <v>206</v>
      </c>
      <c r="M1435" s="72">
        <v>41451</v>
      </c>
      <c r="N1435" s="84">
        <v>0.215</v>
      </c>
      <c r="O1435" s="96">
        <f t="shared" si="91"/>
        <v>9</v>
      </c>
      <c r="Q1435" s="96"/>
      <c r="T1435" s="110"/>
    </row>
    <row r="1436" spans="3:20" x14ac:dyDescent="0.2">
      <c r="C1436" s="96" t="str">
        <f t="shared" si="88"/>
        <v>SGT1</v>
      </c>
      <c r="D1436" s="73" t="s">
        <v>207</v>
      </c>
      <c r="E1436" s="100">
        <v>40025</v>
      </c>
      <c r="F1436" s="101">
        <v>6.9000000000000006E-2</v>
      </c>
      <c r="G1436" s="96">
        <f t="shared" si="89"/>
        <v>1</v>
      </c>
      <c r="I1436" s="96"/>
      <c r="K1436" t="str">
        <f t="shared" si="90"/>
        <v>SGT1</v>
      </c>
      <c r="L1436" s="73" t="s">
        <v>207</v>
      </c>
      <c r="M1436" s="72">
        <v>40025</v>
      </c>
      <c r="N1436" s="84">
        <v>6.9000000000000006E-2</v>
      </c>
      <c r="O1436" s="96">
        <f t="shared" si="91"/>
        <v>1</v>
      </c>
      <c r="Q1436" s="96"/>
      <c r="T1436" s="110"/>
    </row>
    <row r="1437" spans="3:20" x14ac:dyDescent="0.2">
      <c r="C1437" s="96" t="str">
        <f t="shared" si="88"/>
        <v>SGT2</v>
      </c>
      <c r="D1437" s="73" t="s">
        <v>207</v>
      </c>
      <c r="E1437" s="100">
        <v>40157</v>
      </c>
      <c r="F1437" s="101">
        <v>5.5999999999999994E-2</v>
      </c>
      <c r="G1437" s="96">
        <f t="shared" si="89"/>
        <v>2</v>
      </c>
      <c r="I1437" s="96"/>
      <c r="K1437" t="str">
        <f t="shared" si="90"/>
        <v>SGT2</v>
      </c>
      <c r="L1437" s="73" t="s">
        <v>207</v>
      </c>
      <c r="M1437" s="72">
        <v>40157</v>
      </c>
      <c r="N1437" s="84">
        <v>5.5999999999999994E-2</v>
      </c>
      <c r="O1437" s="96">
        <f t="shared" si="91"/>
        <v>2</v>
      </c>
      <c r="Q1437" s="96"/>
      <c r="T1437" s="110"/>
    </row>
    <row r="1438" spans="3:20" x14ac:dyDescent="0.2">
      <c r="C1438" s="96" t="str">
        <f t="shared" si="88"/>
        <v>SGT3</v>
      </c>
      <c r="D1438" s="73" t="s">
        <v>207</v>
      </c>
      <c r="E1438" s="100">
        <v>40389</v>
      </c>
      <c r="F1438" s="101">
        <v>6.9000000000000006E-2</v>
      </c>
      <c r="G1438" s="96">
        <f t="shared" si="89"/>
        <v>3</v>
      </c>
      <c r="I1438" s="96"/>
      <c r="K1438" t="str">
        <f t="shared" si="90"/>
        <v>SGT3</v>
      </c>
      <c r="L1438" s="73" t="s">
        <v>207</v>
      </c>
      <c r="M1438" s="72">
        <v>40389</v>
      </c>
      <c r="N1438" s="84">
        <v>6.9000000000000006E-2</v>
      </c>
      <c r="O1438" s="96">
        <f t="shared" si="91"/>
        <v>3</v>
      </c>
      <c r="Q1438" s="96"/>
      <c r="T1438" s="110"/>
    </row>
    <row r="1439" spans="3:20" x14ac:dyDescent="0.2">
      <c r="C1439" s="96" t="str">
        <f t="shared" si="88"/>
        <v>SGT4</v>
      </c>
      <c r="D1439" s="73" t="s">
        <v>207</v>
      </c>
      <c r="E1439" s="100">
        <v>40521</v>
      </c>
      <c r="F1439" s="101">
        <v>0.06</v>
      </c>
      <c r="G1439" s="96">
        <f t="shared" si="89"/>
        <v>4</v>
      </c>
      <c r="I1439" s="96"/>
      <c r="K1439" t="str">
        <f t="shared" si="90"/>
        <v>SGT4</v>
      </c>
      <c r="L1439" s="73" t="s">
        <v>207</v>
      </c>
      <c r="M1439" s="72">
        <v>40521</v>
      </c>
      <c r="N1439" s="84">
        <v>0.06</v>
      </c>
      <c r="O1439" s="96">
        <f t="shared" si="91"/>
        <v>4</v>
      </c>
      <c r="Q1439" s="96"/>
      <c r="T1439" s="110"/>
    </row>
    <row r="1440" spans="3:20" x14ac:dyDescent="0.2">
      <c r="C1440" s="96" t="str">
        <f t="shared" si="88"/>
        <v>SGT5</v>
      </c>
      <c r="D1440" s="73" t="s">
        <v>207</v>
      </c>
      <c r="E1440" s="100">
        <v>40753</v>
      </c>
      <c r="F1440" s="101">
        <v>7.4999999999999997E-2</v>
      </c>
      <c r="G1440" s="96">
        <f t="shared" si="89"/>
        <v>5</v>
      </c>
      <c r="I1440" s="96"/>
      <c r="K1440" t="str">
        <f t="shared" si="90"/>
        <v>SGT5</v>
      </c>
      <c r="L1440" s="73" t="s">
        <v>207</v>
      </c>
      <c r="M1440" s="72">
        <v>40753</v>
      </c>
      <c r="N1440" s="84">
        <v>7.4999999999999997E-2</v>
      </c>
      <c r="O1440" s="96">
        <f t="shared" si="91"/>
        <v>5</v>
      </c>
      <c r="Q1440" s="96"/>
      <c r="T1440" s="110"/>
    </row>
    <row r="1441" spans="3:20" x14ac:dyDescent="0.2">
      <c r="C1441" s="96" t="str">
        <f t="shared" si="88"/>
        <v>SGT6</v>
      </c>
      <c r="D1441" s="73" t="s">
        <v>207</v>
      </c>
      <c r="E1441" s="100">
        <v>40885</v>
      </c>
      <c r="F1441" s="101">
        <v>6.5000000000000002E-2</v>
      </c>
      <c r="G1441" s="96">
        <f t="shared" si="89"/>
        <v>6</v>
      </c>
      <c r="I1441" s="96"/>
      <c r="K1441" t="str">
        <f t="shared" si="90"/>
        <v>SGT6</v>
      </c>
      <c r="L1441" s="73" t="s">
        <v>207</v>
      </c>
      <c r="M1441" s="72">
        <v>40885</v>
      </c>
      <c r="N1441" s="84">
        <v>6.5000000000000002E-2</v>
      </c>
      <c r="O1441" s="96">
        <f t="shared" si="91"/>
        <v>6</v>
      </c>
      <c r="Q1441" s="96"/>
      <c r="T1441" s="110"/>
    </row>
    <row r="1442" spans="3:20" x14ac:dyDescent="0.2">
      <c r="C1442" s="96" t="str">
        <f t="shared" si="88"/>
        <v>SGT7</v>
      </c>
      <c r="D1442" s="73" t="s">
        <v>207</v>
      </c>
      <c r="E1442" s="100">
        <v>41120</v>
      </c>
      <c r="F1442" s="101">
        <v>7.4999999999999997E-2</v>
      </c>
      <c r="G1442" s="96">
        <f t="shared" si="89"/>
        <v>7</v>
      </c>
      <c r="I1442" s="96"/>
      <c r="K1442" t="str">
        <f t="shared" si="90"/>
        <v>SGT7</v>
      </c>
      <c r="L1442" s="73" t="s">
        <v>207</v>
      </c>
      <c r="M1442" s="72">
        <v>41120</v>
      </c>
      <c r="N1442" s="84">
        <v>7.4999999999999997E-2</v>
      </c>
      <c r="O1442" s="96">
        <f t="shared" si="91"/>
        <v>7</v>
      </c>
      <c r="Q1442" s="96"/>
      <c r="T1442" s="110"/>
    </row>
    <row r="1443" spans="3:20" x14ac:dyDescent="0.2">
      <c r="C1443" s="96" t="str">
        <f t="shared" si="88"/>
        <v>SGT8</v>
      </c>
      <c r="D1443" s="73" t="s">
        <v>207</v>
      </c>
      <c r="E1443" s="100">
        <v>41253</v>
      </c>
      <c r="F1443" s="101">
        <v>6.5000000000000002E-2</v>
      </c>
      <c r="G1443" s="96">
        <f t="shared" si="89"/>
        <v>8</v>
      </c>
      <c r="I1443" s="96"/>
      <c r="K1443" t="str">
        <f t="shared" si="90"/>
        <v>SGT8</v>
      </c>
      <c r="L1443" s="73" t="s">
        <v>207</v>
      </c>
      <c r="M1443" s="72">
        <v>41253</v>
      </c>
      <c r="N1443" s="84">
        <v>6.5000000000000002E-2</v>
      </c>
      <c r="O1443" s="96">
        <f t="shared" si="91"/>
        <v>8</v>
      </c>
      <c r="Q1443" s="96"/>
      <c r="T1443" s="110"/>
    </row>
    <row r="1444" spans="3:20" x14ac:dyDescent="0.2">
      <c r="C1444" s="96" t="str">
        <f t="shared" si="88"/>
        <v>SGT9</v>
      </c>
      <c r="D1444" s="73" t="s">
        <v>207</v>
      </c>
      <c r="E1444" s="100">
        <v>41485</v>
      </c>
      <c r="F1444" s="101">
        <v>7.4999999999999997E-2</v>
      </c>
      <c r="G1444" s="96">
        <f t="shared" si="89"/>
        <v>9</v>
      </c>
      <c r="I1444" s="96"/>
      <c r="K1444" t="str">
        <f t="shared" si="90"/>
        <v>SGT9</v>
      </c>
      <c r="L1444" s="73" t="s">
        <v>207</v>
      </c>
      <c r="M1444" s="72">
        <v>41485</v>
      </c>
      <c r="N1444" s="84">
        <v>7.4999999999999997E-2</v>
      </c>
      <c r="O1444" s="96">
        <f t="shared" si="91"/>
        <v>9</v>
      </c>
      <c r="Q1444" s="96"/>
      <c r="T1444" s="110"/>
    </row>
    <row r="1445" spans="3:20" x14ac:dyDescent="0.2">
      <c r="C1445" s="96" t="str">
        <f t="shared" si="88"/>
        <v>SHL1</v>
      </c>
      <c r="D1445" s="73" t="s">
        <v>208</v>
      </c>
      <c r="E1445" s="100">
        <v>39876</v>
      </c>
      <c r="F1445" s="101">
        <v>0.23</v>
      </c>
      <c r="G1445" s="96">
        <f t="shared" si="89"/>
        <v>1</v>
      </c>
      <c r="I1445" s="96"/>
      <c r="K1445" t="str">
        <f t="shared" si="90"/>
        <v>SHL1</v>
      </c>
      <c r="L1445" s="73" t="s">
        <v>208</v>
      </c>
      <c r="M1445" s="72">
        <v>39876</v>
      </c>
      <c r="N1445" s="84">
        <v>0.23</v>
      </c>
      <c r="O1445" s="96">
        <f t="shared" si="91"/>
        <v>1</v>
      </c>
      <c r="Q1445" s="96"/>
      <c r="T1445" s="110"/>
    </row>
    <row r="1446" spans="3:20" x14ac:dyDescent="0.2">
      <c r="C1446" s="96" t="str">
        <f t="shared" si="88"/>
        <v>SHL2</v>
      </c>
      <c r="D1446" s="73" t="s">
        <v>208</v>
      </c>
      <c r="E1446" s="100">
        <v>40064</v>
      </c>
      <c r="F1446" s="101">
        <v>0.35</v>
      </c>
      <c r="G1446" s="96">
        <f t="shared" si="89"/>
        <v>2</v>
      </c>
      <c r="I1446" s="96"/>
      <c r="K1446" t="str">
        <f t="shared" si="90"/>
        <v>SHL2</v>
      </c>
      <c r="L1446" s="73" t="s">
        <v>208</v>
      </c>
      <c r="M1446" s="72">
        <v>40064</v>
      </c>
      <c r="N1446" s="84">
        <v>0.35</v>
      </c>
      <c r="O1446" s="96">
        <f t="shared" si="91"/>
        <v>2</v>
      </c>
      <c r="Q1446" s="96"/>
      <c r="T1446" s="110"/>
    </row>
    <row r="1447" spans="3:20" x14ac:dyDescent="0.2">
      <c r="C1447" s="96" t="str">
        <f t="shared" si="88"/>
        <v>SHL3</v>
      </c>
      <c r="D1447" s="73" t="s">
        <v>208</v>
      </c>
      <c r="E1447" s="100">
        <v>40242</v>
      </c>
      <c r="F1447" s="101">
        <v>0.25</v>
      </c>
      <c r="G1447" s="96">
        <f t="shared" si="89"/>
        <v>3</v>
      </c>
      <c r="I1447" s="96"/>
      <c r="K1447" t="str">
        <f t="shared" si="90"/>
        <v>SHL3</v>
      </c>
      <c r="L1447" s="73" t="s">
        <v>208</v>
      </c>
      <c r="M1447" s="72">
        <v>40242</v>
      </c>
      <c r="N1447" s="84">
        <v>0.25</v>
      </c>
      <c r="O1447" s="96">
        <f t="shared" si="91"/>
        <v>3</v>
      </c>
      <c r="Q1447" s="96"/>
      <c r="T1447" s="110"/>
    </row>
    <row r="1448" spans="3:20" x14ac:dyDescent="0.2">
      <c r="C1448" s="96" t="str">
        <f t="shared" si="88"/>
        <v>SHL4</v>
      </c>
      <c r="D1448" s="73" t="s">
        <v>208</v>
      </c>
      <c r="E1448" s="100">
        <v>40429</v>
      </c>
      <c r="F1448" s="101">
        <v>0.38</v>
      </c>
      <c r="G1448" s="96">
        <f t="shared" si="89"/>
        <v>4</v>
      </c>
      <c r="I1448" s="96"/>
      <c r="K1448" t="str">
        <f t="shared" si="90"/>
        <v>SHL4</v>
      </c>
      <c r="L1448" s="73" t="s">
        <v>208</v>
      </c>
      <c r="M1448" s="72">
        <v>40429</v>
      </c>
      <c r="N1448" s="84">
        <v>0.38</v>
      </c>
      <c r="O1448" s="96">
        <f t="shared" si="91"/>
        <v>4</v>
      </c>
      <c r="Q1448" s="96"/>
      <c r="T1448" s="110"/>
    </row>
    <row r="1449" spans="3:20" x14ac:dyDescent="0.2">
      <c r="C1449" s="96" t="str">
        <f t="shared" si="88"/>
        <v>SHL5</v>
      </c>
      <c r="D1449" s="73" t="s">
        <v>208</v>
      </c>
      <c r="E1449" s="100">
        <v>40609</v>
      </c>
      <c r="F1449" s="101">
        <v>0.28000000000000003</v>
      </c>
      <c r="G1449" s="96">
        <f t="shared" si="89"/>
        <v>5</v>
      </c>
      <c r="I1449" s="96"/>
      <c r="K1449" t="str">
        <f t="shared" si="90"/>
        <v>SHL5</v>
      </c>
      <c r="L1449" s="73" t="s">
        <v>208</v>
      </c>
      <c r="M1449" s="72">
        <v>40609</v>
      </c>
      <c r="N1449" s="84">
        <v>0.28000000000000003</v>
      </c>
      <c r="O1449" s="96">
        <f t="shared" si="91"/>
        <v>5</v>
      </c>
      <c r="Q1449" s="96"/>
      <c r="T1449" s="110"/>
    </row>
    <row r="1450" spans="3:20" x14ac:dyDescent="0.2">
      <c r="C1450" s="96" t="str">
        <f t="shared" si="88"/>
        <v>SHL6</v>
      </c>
      <c r="D1450" s="73" t="s">
        <v>208</v>
      </c>
      <c r="E1450" s="100">
        <v>40794</v>
      </c>
      <c r="F1450" s="101">
        <v>0.42</v>
      </c>
      <c r="G1450" s="96">
        <f t="shared" si="89"/>
        <v>6</v>
      </c>
      <c r="I1450" s="96"/>
      <c r="K1450" t="str">
        <f t="shared" si="90"/>
        <v>SHL6</v>
      </c>
      <c r="L1450" s="73" t="s">
        <v>208</v>
      </c>
      <c r="M1450" s="72">
        <v>40794</v>
      </c>
      <c r="N1450" s="84">
        <v>0.42</v>
      </c>
      <c r="O1450" s="96">
        <f t="shared" si="91"/>
        <v>6</v>
      </c>
      <c r="Q1450" s="96"/>
      <c r="T1450" s="110"/>
    </row>
    <row r="1451" spans="3:20" x14ac:dyDescent="0.2">
      <c r="C1451" s="96" t="str">
        <f t="shared" si="88"/>
        <v>SHL7</v>
      </c>
      <c r="D1451" s="73" t="s">
        <v>208</v>
      </c>
      <c r="E1451" s="100">
        <v>40974</v>
      </c>
      <c r="F1451" s="101">
        <v>0.3</v>
      </c>
      <c r="G1451" s="96">
        <f t="shared" si="89"/>
        <v>7</v>
      </c>
      <c r="I1451" s="96"/>
      <c r="K1451" t="str">
        <f t="shared" si="90"/>
        <v>SHL7</v>
      </c>
      <c r="L1451" s="73" t="s">
        <v>208</v>
      </c>
      <c r="M1451" s="72">
        <v>40974</v>
      </c>
      <c r="N1451" s="84">
        <v>0.3</v>
      </c>
      <c r="O1451" s="96">
        <f t="shared" si="91"/>
        <v>7</v>
      </c>
      <c r="Q1451" s="96"/>
      <c r="T1451" s="110"/>
    </row>
    <row r="1452" spans="3:20" ht="18" x14ac:dyDescent="0.25">
      <c r="C1452" s="96" t="str">
        <f t="shared" si="88"/>
        <v>SHL8</v>
      </c>
      <c r="D1452" s="73" t="s">
        <v>208</v>
      </c>
      <c r="E1452" s="111">
        <v>41162</v>
      </c>
      <c r="F1452" s="112">
        <v>0.45</v>
      </c>
      <c r="G1452" s="96">
        <f t="shared" si="89"/>
        <v>8</v>
      </c>
      <c r="I1452" s="96"/>
      <c r="K1452" t="str">
        <f t="shared" si="90"/>
        <v>SHL8</v>
      </c>
      <c r="L1452" s="73" t="s">
        <v>208</v>
      </c>
      <c r="M1452" s="72">
        <v>41162</v>
      </c>
      <c r="N1452" s="84">
        <v>0.45</v>
      </c>
      <c r="O1452" s="96">
        <f t="shared" si="91"/>
        <v>8</v>
      </c>
      <c r="Q1452" s="96"/>
      <c r="T1452" s="110"/>
    </row>
    <row r="1453" spans="3:20" x14ac:dyDescent="0.2">
      <c r="C1453" s="96" t="str">
        <f t="shared" si="88"/>
        <v>SHL9</v>
      </c>
      <c r="D1453" s="73" t="s">
        <v>208</v>
      </c>
      <c r="E1453" s="100">
        <v>41339</v>
      </c>
      <c r="F1453" s="101">
        <v>0.34</v>
      </c>
      <c r="G1453" s="96">
        <f t="shared" si="89"/>
        <v>9</v>
      </c>
      <c r="I1453" s="96"/>
      <c r="K1453" t="str">
        <f t="shared" si="90"/>
        <v>SHL9</v>
      </c>
      <c r="L1453" s="73" t="s">
        <v>208</v>
      </c>
      <c r="M1453" s="72">
        <v>41339</v>
      </c>
      <c r="N1453" s="84">
        <v>0.34</v>
      </c>
      <c r="O1453" s="96">
        <f t="shared" si="91"/>
        <v>9</v>
      </c>
      <c r="Q1453" s="96"/>
      <c r="T1453" s="110"/>
    </row>
    <row r="1454" spans="3:20" x14ac:dyDescent="0.2">
      <c r="C1454" s="96" t="str">
        <f t="shared" si="88"/>
        <v>SHL10</v>
      </c>
      <c r="D1454" s="73" t="s">
        <v>208</v>
      </c>
      <c r="E1454" s="100">
        <v>41527</v>
      </c>
      <c r="F1454" s="101">
        <v>0.5</v>
      </c>
      <c r="G1454" s="96">
        <f t="shared" si="89"/>
        <v>10</v>
      </c>
      <c r="I1454" s="96"/>
      <c r="K1454" t="str">
        <f t="shared" si="90"/>
        <v>SHL10</v>
      </c>
      <c r="L1454" s="73" t="s">
        <v>208</v>
      </c>
      <c r="M1454" s="72">
        <v>41527</v>
      </c>
      <c r="N1454" s="84">
        <v>0.5</v>
      </c>
      <c r="O1454" s="96">
        <f t="shared" si="91"/>
        <v>10</v>
      </c>
      <c r="Q1454" s="96"/>
      <c r="T1454" s="110"/>
    </row>
    <row r="1455" spans="3:20" x14ac:dyDescent="0.2">
      <c r="C1455" s="96" t="str">
        <f t="shared" si="88"/>
        <v>SIP1</v>
      </c>
      <c r="D1455" s="73" t="s">
        <v>209</v>
      </c>
      <c r="E1455" s="100">
        <v>39903</v>
      </c>
      <c r="F1455" s="101">
        <v>4.2000000000000003E-2</v>
      </c>
      <c r="G1455" s="96">
        <f t="shared" si="89"/>
        <v>1</v>
      </c>
      <c r="I1455" s="96"/>
      <c r="K1455" t="str">
        <f t="shared" si="90"/>
        <v>SIP1</v>
      </c>
      <c r="L1455" s="73" t="s">
        <v>209</v>
      </c>
      <c r="M1455" s="72">
        <v>39903</v>
      </c>
      <c r="N1455" s="84">
        <v>4.2000000000000003E-2</v>
      </c>
      <c r="O1455" s="96">
        <f t="shared" si="91"/>
        <v>1</v>
      </c>
      <c r="Q1455" s="96"/>
      <c r="T1455" s="110"/>
    </row>
    <row r="1456" spans="3:20" x14ac:dyDescent="0.2">
      <c r="C1456" s="96" t="str">
        <f t="shared" si="88"/>
        <v>SIP2</v>
      </c>
      <c r="D1456" s="73" t="s">
        <v>209</v>
      </c>
      <c r="E1456" s="100">
        <v>40086</v>
      </c>
      <c r="F1456" s="101">
        <v>3.2500000000000001E-2</v>
      </c>
      <c r="G1456" s="96">
        <f t="shared" si="89"/>
        <v>2</v>
      </c>
      <c r="I1456" s="96"/>
      <c r="K1456" t="str">
        <f t="shared" si="90"/>
        <v>SIP2</v>
      </c>
      <c r="L1456" s="73" t="s">
        <v>209</v>
      </c>
      <c r="M1456" s="72">
        <v>40086</v>
      </c>
      <c r="N1456" s="84">
        <v>3.2500000000000001E-2</v>
      </c>
      <c r="O1456" s="96">
        <f t="shared" si="91"/>
        <v>2</v>
      </c>
      <c r="Q1456" s="96"/>
      <c r="T1456" s="110"/>
    </row>
    <row r="1457" spans="3:20" x14ac:dyDescent="0.2">
      <c r="C1457" s="96" t="str">
        <f t="shared" si="88"/>
        <v>SIP3</v>
      </c>
      <c r="D1457" s="73" t="s">
        <v>209</v>
      </c>
      <c r="E1457" s="100">
        <v>40268</v>
      </c>
      <c r="F1457" s="101">
        <v>4.5499999999999999E-2</v>
      </c>
      <c r="G1457" s="96">
        <f t="shared" si="89"/>
        <v>3</v>
      </c>
      <c r="I1457" s="96"/>
      <c r="K1457" t="str">
        <f t="shared" si="90"/>
        <v>SIP3</v>
      </c>
      <c r="L1457" s="73" t="s">
        <v>209</v>
      </c>
      <c r="M1457" s="72">
        <v>40268</v>
      </c>
      <c r="N1457" s="84">
        <v>4.5499999999999999E-2</v>
      </c>
      <c r="O1457" s="96">
        <f t="shared" si="91"/>
        <v>3</v>
      </c>
      <c r="Q1457" s="96"/>
      <c r="T1457" s="110"/>
    </row>
    <row r="1458" spans="3:20" x14ac:dyDescent="0.2">
      <c r="C1458" s="96" t="str">
        <f t="shared" si="88"/>
        <v>SIP4</v>
      </c>
      <c r="D1458" s="73" t="s">
        <v>209</v>
      </c>
      <c r="E1458" s="100">
        <v>40451</v>
      </c>
      <c r="F1458" s="101">
        <v>3.6200000000000003E-2</v>
      </c>
      <c r="G1458" s="96">
        <f t="shared" si="89"/>
        <v>4</v>
      </c>
      <c r="I1458" s="96"/>
      <c r="K1458" t="str">
        <f t="shared" si="90"/>
        <v>SIP4</v>
      </c>
      <c r="L1458" s="73" t="s">
        <v>209</v>
      </c>
      <c r="M1458" s="72">
        <v>40451</v>
      </c>
      <c r="N1458" s="84">
        <v>3.6200000000000003E-2</v>
      </c>
      <c r="O1458" s="96">
        <f t="shared" si="91"/>
        <v>4</v>
      </c>
      <c r="Q1458" s="96"/>
      <c r="T1458" s="110"/>
    </row>
    <row r="1459" spans="3:20" x14ac:dyDescent="0.2">
      <c r="C1459" s="96" t="str">
        <f t="shared" si="88"/>
        <v>SIP5</v>
      </c>
      <c r="D1459" s="73" t="s">
        <v>209</v>
      </c>
      <c r="E1459" s="100">
        <v>40637</v>
      </c>
      <c r="F1459" s="101">
        <v>5.0799999999999998E-2</v>
      </c>
      <c r="G1459" s="96">
        <f t="shared" si="89"/>
        <v>5</v>
      </c>
      <c r="I1459" s="96"/>
      <c r="K1459" t="str">
        <f t="shared" si="90"/>
        <v>SIP5</v>
      </c>
      <c r="L1459" s="73" t="s">
        <v>209</v>
      </c>
      <c r="M1459" s="72">
        <v>40637</v>
      </c>
      <c r="N1459" s="84">
        <v>5.0799999999999998E-2</v>
      </c>
      <c r="O1459" s="96">
        <f t="shared" si="91"/>
        <v>5</v>
      </c>
      <c r="Q1459" s="96"/>
      <c r="T1459" s="110"/>
    </row>
    <row r="1460" spans="3:20" x14ac:dyDescent="0.2">
      <c r="C1460" s="96" t="str">
        <f t="shared" si="88"/>
        <v>SIP6</v>
      </c>
      <c r="D1460" s="73" t="s">
        <v>209</v>
      </c>
      <c r="E1460" s="100">
        <v>40819</v>
      </c>
      <c r="F1460" s="101">
        <v>3.85E-2</v>
      </c>
      <c r="G1460" s="96">
        <f t="shared" si="89"/>
        <v>6</v>
      </c>
      <c r="I1460" s="96"/>
      <c r="K1460" t="str">
        <f t="shared" si="90"/>
        <v>SIP6</v>
      </c>
      <c r="L1460" s="73" t="s">
        <v>209</v>
      </c>
      <c r="M1460" s="72">
        <v>40819</v>
      </c>
      <c r="N1460" s="84">
        <v>3.85E-2</v>
      </c>
      <c r="O1460" s="96">
        <f t="shared" si="91"/>
        <v>6</v>
      </c>
      <c r="Q1460" s="96"/>
      <c r="T1460" s="110"/>
    </row>
    <row r="1461" spans="3:20" x14ac:dyDescent="0.2">
      <c r="C1461" s="96" t="str">
        <f t="shared" si="88"/>
        <v>SIP7</v>
      </c>
      <c r="D1461" s="73" t="s">
        <v>209</v>
      </c>
      <c r="E1461" s="100">
        <v>41002</v>
      </c>
      <c r="F1461" s="101">
        <v>5.2000000000000005E-2</v>
      </c>
      <c r="G1461" s="96">
        <f t="shared" si="89"/>
        <v>7</v>
      </c>
      <c r="I1461" s="96"/>
      <c r="K1461" t="str">
        <f t="shared" si="90"/>
        <v>SIP7</v>
      </c>
      <c r="L1461" s="73" t="s">
        <v>209</v>
      </c>
      <c r="M1461" s="72">
        <v>41002</v>
      </c>
      <c r="N1461" s="84">
        <v>5.2000000000000005E-2</v>
      </c>
      <c r="O1461" s="96">
        <f t="shared" si="91"/>
        <v>7</v>
      </c>
      <c r="Q1461" s="96"/>
      <c r="T1461" s="110"/>
    </row>
    <row r="1462" spans="3:20" x14ac:dyDescent="0.2">
      <c r="C1462" s="96" t="str">
        <f t="shared" si="88"/>
        <v>SIP8</v>
      </c>
      <c r="D1462" s="73" t="s">
        <v>209</v>
      </c>
      <c r="E1462" s="100">
        <v>41184</v>
      </c>
      <c r="F1462" s="101">
        <v>3.9100000000000003E-2</v>
      </c>
      <c r="G1462" s="96">
        <f t="shared" si="89"/>
        <v>8</v>
      </c>
      <c r="I1462" s="96"/>
      <c r="K1462" t="str">
        <f t="shared" si="90"/>
        <v>SIP8</v>
      </c>
      <c r="L1462" s="73" t="s">
        <v>209</v>
      </c>
      <c r="M1462" s="72">
        <v>41184</v>
      </c>
      <c r="N1462" s="84">
        <v>3.9100000000000003E-2</v>
      </c>
      <c r="O1462" s="96">
        <f t="shared" si="91"/>
        <v>8</v>
      </c>
      <c r="Q1462" s="96"/>
      <c r="T1462" s="110"/>
    </row>
    <row r="1463" spans="3:20" x14ac:dyDescent="0.2">
      <c r="C1463" s="96" t="str">
        <f t="shared" si="88"/>
        <v>SIP9</v>
      </c>
      <c r="D1463" s="73" t="s">
        <v>209</v>
      </c>
      <c r="E1463" s="100">
        <v>41367</v>
      </c>
      <c r="F1463" s="101">
        <v>5.2900000000000003E-2</v>
      </c>
      <c r="G1463" s="96">
        <f t="shared" si="89"/>
        <v>9</v>
      </c>
      <c r="I1463" s="96"/>
      <c r="K1463" t="str">
        <f t="shared" si="90"/>
        <v>SIP9</v>
      </c>
      <c r="L1463" s="73" t="s">
        <v>209</v>
      </c>
      <c r="M1463" s="72">
        <v>41367</v>
      </c>
      <c r="N1463" s="84">
        <v>5.2900000000000003E-2</v>
      </c>
      <c r="O1463" s="96">
        <f t="shared" si="91"/>
        <v>9</v>
      </c>
      <c r="Q1463" s="96"/>
      <c r="T1463" s="110"/>
    </row>
    <row r="1464" spans="3:20" x14ac:dyDescent="0.2">
      <c r="C1464" s="96" t="str">
        <f t="shared" si="88"/>
        <v>SKI1</v>
      </c>
      <c r="D1464" s="73" t="s">
        <v>210</v>
      </c>
      <c r="E1464" s="100">
        <v>39871</v>
      </c>
      <c r="F1464" s="101">
        <v>9.2600000000000002E-2</v>
      </c>
      <c r="G1464" s="96">
        <f t="shared" si="89"/>
        <v>1</v>
      </c>
      <c r="I1464" s="96"/>
      <c r="K1464" t="str">
        <f t="shared" si="90"/>
        <v>SKI1</v>
      </c>
      <c r="L1464" s="73" t="s">
        <v>210</v>
      </c>
      <c r="M1464" s="72">
        <v>39871</v>
      </c>
      <c r="N1464" s="84">
        <v>9.2600000000000002E-2</v>
      </c>
      <c r="O1464" s="96">
        <f t="shared" si="91"/>
        <v>1</v>
      </c>
      <c r="Q1464" s="96"/>
      <c r="T1464" s="110"/>
    </row>
    <row r="1465" spans="3:20" x14ac:dyDescent="0.2">
      <c r="C1465" s="96" t="str">
        <f t="shared" si="88"/>
        <v>SKI2</v>
      </c>
      <c r="D1465" s="73" t="s">
        <v>210</v>
      </c>
      <c r="E1465" s="100">
        <v>40053</v>
      </c>
      <c r="F1465" s="101">
        <v>9.5399999999999985E-2</v>
      </c>
      <c r="G1465" s="96">
        <f t="shared" si="89"/>
        <v>2</v>
      </c>
      <c r="I1465" s="96"/>
      <c r="K1465" t="str">
        <f t="shared" si="90"/>
        <v>SKI2</v>
      </c>
      <c r="L1465" s="73" t="s">
        <v>210</v>
      </c>
      <c r="M1465" s="72">
        <v>40053</v>
      </c>
      <c r="N1465" s="84">
        <v>9.5399999999999985E-2</v>
      </c>
      <c r="O1465" s="96">
        <f t="shared" si="91"/>
        <v>2</v>
      </c>
      <c r="Q1465" s="96"/>
      <c r="T1465" s="83"/>
    </row>
    <row r="1466" spans="3:20" x14ac:dyDescent="0.2">
      <c r="C1466" s="96" t="str">
        <f t="shared" si="88"/>
        <v>SKI3</v>
      </c>
      <c r="D1466" s="73" t="s">
        <v>210</v>
      </c>
      <c r="E1466" s="100">
        <v>40238</v>
      </c>
      <c r="F1466" s="101">
        <v>9.5600000000000004E-2</v>
      </c>
      <c r="G1466" s="96">
        <f t="shared" si="89"/>
        <v>3</v>
      </c>
      <c r="I1466" s="96"/>
      <c r="K1466" t="str">
        <f t="shared" si="90"/>
        <v>SKI3</v>
      </c>
      <c r="L1466" s="73" t="s">
        <v>210</v>
      </c>
      <c r="M1466" s="72">
        <v>40238</v>
      </c>
      <c r="N1466" s="84">
        <v>9.5600000000000004E-2</v>
      </c>
      <c r="O1466" s="96">
        <f t="shared" si="91"/>
        <v>3</v>
      </c>
      <c r="Q1466" s="96"/>
      <c r="T1466" s="110"/>
    </row>
    <row r="1467" spans="3:20" x14ac:dyDescent="0.2">
      <c r="C1467" s="96" t="str">
        <f t="shared" si="88"/>
        <v>SKI4</v>
      </c>
      <c r="D1467" s="73" t="s">
        <v>210</v>
      </c>
      <c r="E1467" s="100">
        <v>40420</v>
      </c>
      <c r="F1467" s="101">
        <v>9.64E-2</v>
      </c>
      <c r="G1467" s="96">
        <f t="shared" si="89"/>
        <v>4</v>
      </c>
      <c r="I1467" s="96"/>
      <c r="K1467" t="str">
        <f t="shared" si="90"/>
        <v>SKI4</v>
      </c>
      <c r="L1467" s="73" t="s">
        <v>210</v>
      </c>
      <c r="M1467" s="72">
        <v>40420</v>
      </c>
      <c r="N1467" s="84">
        <v>9.64E-2</v>
      </c>
      <c r="O1467" s="96">
        <f t="shared" si="91"/>
        <v>4</v>
      </c>
      <c r="Q1467" s="96"/>
      <c r="T1467" s="110"/>
    </row>
    <row r="1468" spans="3:20" x14ac:dyDescent="0.2">
      <c r="C1468" s="96" t="str">
        <f t="shared" si="88"/>
        <v>SKI5</v>
      </c>
      <c r="D1468" s="73" t="s">
        <v>210</v>
      </c>
      <c r="E1468" s="100">
        <v>40603</v>
      </c>
      <c r="F1468" s="101">
        <v>9.6600000000000005E-2</v>
      </c>
      <c r="G1468" s="96">
        <f t="shared" si="89"/>
        <v>5</v>
      </c>
      <c r="I1468" s="96"/>
      <c r="K1468" t="str">
        <f t="shared" si="90"/>
        <v>SKI5</v>
      </c>
      <c r="L1468" s="73" t="s">
        <v>210</v>
      </c>
      <c r="M1468" s="72">
        <v>40603</v>
      </c>
      <c r="N1468" s="84">
        <v>9.6600000000000005E-2</v>
      </c>
      <c r="O1468" s="96">
        <f t="shared" si="91"/>
        <v>5</v>
      </c>
      <c r="Q1468" s="96"/>
      <c r="T1468" s="110"/>
    </row>
    <row r="1469" spans="3:20" x14ac:dyDescent="0.2">
      <c r="C1469" s="96" t="str">
        <f t="shared" si="88"/>
        <v>SKI6</v>
      </c>
      <c r="D1469" s="73" t="s">
        <v>210</v>
      </c>
      <c r="E1469" s="100">
        <v>40785</v>
      </c>
      <c r="F1469" s="101">
        <v>9.8900000000000002E-2</v>
      </c>
      <c r="G1469" s="96">
        <f t="shared" si="89"/>
        <v>6</v>
      </c>
      <c r="I1469" s="96"/>
      <c r="K1469" t="str">
        <f t="shared" si="90"/>
        <v>SKI6</v>
      </c>
      <c r="L1469" s="73" t="s">
        <v>210</v>
      </c>
      <c r="M1469" s="72">
        <v>40785</v>
      </c>
      <c r="N1469" s="84">
        <v>9.8900000000000002E-2</v>
      </c>
      <c r="O1469" s="96">
        <f t="shared" si="91"/>
        <v>6</v>
      </c>
      <c r="Q1469" s="96"/>
      <c r="T1469" s="110"/>
    </row>
    <row r="1470" spans="3:20" x14ac:dyDescent="0.2">
      <c r="C1470" s="96" t="str">
        <f t="shared" si="88"/>
        <v>SKI7</v>
      </c>
      <c r="D1470" s="73" t="s">
        <v>210</v>
      </c>
      <c r="E1470" s="100">
        <v>40969</v>
      </c>
      <c r="F1470" s="101">
        <v>9.9100000000000008E-2</v>
      </c>
      <c r="G1470" s="96">
        <f t="shared" si="89"/>
        <v>7</v>
      </c>
      <c r="I1470" s="96"/>
      <c r="K1470" t="str">
        <f t="shared" si="90"/>
        <v>SKI7</v>
      </c>
      <c r="L1470" s="73" t="s">
        <v>210</v>
      </c>
      <c r="M1470" s="72">
        <v>40969</v>
      </c>
      <c r="N1470" s="84">
        <v>9.9100000000000008E-2</v>
      </c>
      <c r="O1470" s="96">
        <f t="shared" si="91"/>
        <v>7</v>
      </c>
      <c r="Q1470" s="96"/>
    </row>
    <row r="1471" spans="3:20" x14ac:dyDescent="0.2">
      <c r="C1471" s="96" t="str">
        <f t="shared" si="88"/>
        <v>SKI8</v>
      </c>
      <c r="D1471" s="73" t="s">
        <v>210</v>
      </c>
      <c r="E1471" s="100">
        <v>41151</v>
      </c>
      <c r="F1471" s="101">
        <v>0.10189999999999999</v>
      </c>
      <c r="G1471" s="96">
        <f t="shared" si="89"/>
        <v>8</v>
      </c>
      <c r="I1471" s="96"/>
      <c r="K1471" t="str">
        <f t="shared" si="90"/>
        <v>SKI8</v>
      </c>
      <c r="L1471" s="73" t="s">
        <v>210</v>
      </c>
      <c r="M1471" s="72">
        <v>41151</v>
      </c>
      <c r="N1471" s="84">
        <v>0.10189999999999999</v>
      </c>
      <c r="O1471" s="96">
        <f t="shared" si="91"/>
        <v>8</v>
      </c>
      <c r="Q1471" s="96"/>
      <c r="T1471" s="110"/>
    </row>
    <row r="1472" spans="3:20" x14ac:dyDescent="0.2">
      <c r="C1472" s="96" t="str">
        <f t="shared" si="88"/>
        <v>SKI9</v>
      </c>
      <c r="D1472" s="73" t="s">
        <v>210</v>
      </c>
      <c r="E1472" s="100">
        <v>41334</v>
      </c>
      <c r="F1472" s="101">
        <v>0.10210000000000001</v>
      </c>
      <c r="G1472" s="96">
        <f t="shared" si="89"/>
        <v>9</v>
      </c>
      <c r="I1472" s="96"/>
      <c r="K1472" t="str">
        <f t="shared" si="90"/>
        <v>SKI9</v>
      </c>
      <c r="L1472" s="73" t="s">
        <v>210</v>
      </c>
      <c r="M1472" s="72">
        <v>41334</v>
      </c>
      <c r="N1472" s="84">
        <v>0.10210000000000001</v>
      </c>
      <c r="O1472" s="96">
        <f t="shared" si="91"/>
        <v>9</v>
      </c>
      <c r="Q1472" s="96"/>
      <c r="T1472" s="110"/>
    </row>
    <row r="1473" spans="3:20" x14ac:dyDescent="0.2">
      <c r="C1473" s="96" t="str">
        <f t="shared" si="88"/>
        <v>SMY1</v>
      </c>
      <c r="D1473" s="73" t="s">
        <v>211</v>
      </c>
      <c r="E1473" s="100">
        <v>39867</v>
      </c>
      <c r="F1473" s="101">
        <v>0.1085</v>
      </c>
      <c r="G1473" s="96">
        <f t="shared" si="89"/>
        <v>1</v>
      </c>
      <c r="I1473" s="96"/>
      <c r="K1473" t="str">
        <f t="shared" si="90"/>
        <v>SMY1</v>
      </c>
      <c r="L1473" s="73" t="s">
        <v>211</v>
      </c>
      <c r="M1473" s="72">
        <v>39867</v>
      </c>
      <c r="N1473" s="84">
        <v>0.1085</v>
      </c>
      <c r="O1473" s="96">
        <f t="shared" si="91"/>
        <v>1</v>
      </c>
      <c r="Q1473" s="96"/>
      <c r="T1473" s="110"/>
    </row>
    <row r="1474" spans="3:20" x14ac:dyDescent="0.2">
      <c r="C1474" s="96" t="str">
        <f t="shared" si="88"/>
        <v>SMY2</v>
      </c>
      <c r="D1474" s="73" t="s">
        <v>211</v>
      </c>
      <c r="E1474" s="100">
        <v>40085</v>
      </c>
      <c r="F1474" s="101">
        <v>0.1085</v>
      </c>
      <c r="G1474" s="96">
        <f t="shared" si="89"/>
        <v>2</v>
      </c>
      <c r="I1474" s="96"/>
      <c r="K1474" t="str">
        <f t="shared" si="90"/>
        <v>SMY2</v>
      </c>
      <c r="L1474" s="73" t="s">
        <v>211</v>
      </c>
      <c r="M1474" s="72">
        <v>40085</v>
      </c>
      <c r="N1474" s="84">
        <v>0.1085</v>
      </c>
      <c r="O1474" s="96">
        <f t="shared" si="91"/>
        <v>2</v>
      </c>
      <c r="Q1474" s="96"/>
      <c r="T1474" s="110"/>
    </row>
    <row r="1475" spans="3:20" x14ac:dyDescent="0.2">
      <c r="C1475" s="96" t="str">
        <f t="shared" ref="C1475:C1538" si="92">D1475&amp;G1475</f>
        <v>SMY3</v>
      </c>
      <c r="D1475" s="73" t="s">
        <v>211</v>
      </c>
      <c r="E1475" s="100">
        <v>40232</v>
      </c>
      <c r="F1475" s="101">
        <v>0.11349999999999999</v>
      </c>
      <c r="G1475" s="96">
        <f t="shared" ref="G1475:G1538" si="93">IF(D1475&lt;&gt;D1474,1,G1474+1)</f>
        <v>3</v>
      </c>
      <c r="I1475" s="96"/>
      <c r="K1475" t="str">
        <f t="shared" ref="K1475:K1538" si="94">L1475&amp;O1475</f>
        <v>SMY3</v>
      </c>
      <c r="L1475" s="73" t="s">
        <v>211</v>
      </c>
      <c r="M1475" s="72">
        <v>40232</v>
      </c>
      <c r="N1475" s="84">
        <v>0.11349999999999999</v>
      </c>
      <c r="O1475" s="96">
        <f t="shared" ref="O1475:O1538" si="95">IF(L1475&lt;&gt;L1474,1,O1474+1)</f>
        <v>3</v>
      </c>
      <c r="Q1475" s="96"/>
      <c r="T1475" s="110"/>
    </row>
    <row r="1476" spans="3:20" x14ac:dyDescent="0.2">
      <c r="C1476" s="96" t="str">
        <f t="shared" si="92"/>
        <v>SMY4</v>
      </c>
      <c r="D1476" s="73" t="s">
        <v>211</v>
      </c>
      <c r="E1476" s="100">
        <v>40450</v>
      </c>
      <c r="F1476" s="101">
        <v>0.11349999999999999</v>
      </c>
      <c r="G1476" s="96">
        <f t="shared" si="93"/>
        <v>4</v>
      </c>
      <c r="I1476" s="96"/>
      <c r="K1476" t="str">
        <f t="shared" si="94"/>
        <v>SMY4</v>
      </c>
      <c r="L1476" s="73" t="s">
        <v>211</v>
      </c>
      <c r="M1476" s="72">
        <v>40450</v>
      </c>
      <c r="N1476" s="84">
        <v>0.11349999999999999</v>
      </c>
      <c r="O1476" s="96">
        <f t="shared" si="95"/>
        <v>4</v>
      </c>
      <c r="Q1476" s="96"/>
      <c r="T1476" s="110"/>
    </row>
    <row r="1477" spans="3:20" x14ac:dyDescent="0.2">
      <c r="C1477" s="96" t="str">
        <f t="shared" si="92"/>
        <v>SMY5</v>
      </c>
      <c r="D1477" s="73" t="s">
        <v>211</v>
      </c>
      <c r="E1477" s="100">
        <v>40597</v>
      </c>
      <c r="F1477" s="101">
        <v>6.8499999999999991E-2</v>
      </c>
      <c r="G1477" s="96">
        <f t="shared" si="93"/>
        <v>5</v>
      </c>
      <c r="I1477" s="96"/>
      <c r="K1477" t="str">
        <f t="shared" si="94"/>
        <v>SMY5</v>
      </c>
      <c r="L1477" s="73" t="s">
        <v>211</v>
      </c>
      <c r="M1477" s="72">
        <v>40597</v>
      </c>
      <c r="N1477" s="84">
        <v>6.8499999999999991E-2</v>
      </c>
      <c r="O1477" s="96">
        <f t="shared" si="95"/>
        <v>5</v>
      </c>
      <c r="Q1477" s="96"/>
      <c r="T1477" s="110"/>
    </row>
    <row r="1478" spans="3:20" x14ac:dyDescent="0.2">
      <c r="C1478" s="96" t="str">
        <f t="shared" si="92"/>
        <v>SMY6</v>
      </c>
      <c r="D1478" s="73" t="s">
        <v>211</v>
      </c>
      <c r="E1478" s="100">
        <v>40816</v>
      </c>
      <c r="F1478" s="101">
        <v>6.8499999999999991E-2</v>
      </c>
      <c r="G1478" s="96">
        <f t="shared" si="93"/>
        <v>6</v>
      </c>
      <c r="I1478" s="96"/>
      <c r="K1478" t="str">
        <f t="shared" si="94"/>
        <v>SMY6</v>
      </c>
      <c r="L1478" s="73" t="s">
        <v>211</v>
      </c>
      <c r="M1478" s="72">
        <v>40816</v>
      </c>
      <c r="N1478" s="84">
        <v>6.8499999999999991E-2</v>
      </c>
      <c r="O1478" s="96">
        <f t="shared" si="95"/>
        <v>6</v>
      </c>
      <c r="Q1478" s="96"/>
      <c r="T1478" s="110"/>
    </row>
    <row r="1479" spans="3:20" x14ac:dyDescent="0.2">
      <c r="C1479" s="96" t="str">
        <f t="shared" si="92"/>
        <v>SMY7</v>
      </c>
      <c r="D1479" s="73" t="s">
        <v>211</v>
      </c>
      <c r="E1479" s="100">
        <v>40963</v>
      </c>
      <c r="F1479" s="101">
        <v>0.04</v>
      </c>
      <c r="G1479" s="96">
        <f t="shared" si="93"/>
        <v>7</v>
      </c>
      <c r="I1479" s="96"/>
      <c r="K1479" t="str">
        <f t="shared" si="94"/>
        <v>SMY7</v>
      </c>
      <c r="L1479" s="73" t="s">
        <v>211</v>
      </c>
      <c r="M1479" s="72">
        <v>40963</v>
      </c>
      <c r="N1479" s="84">
        <v>0.04</v>
      </c>
      <c r="O1479" s="96">
        <f t="shared" si="95"/>
        <v>7</v>
      </c>
      <c r="Q1479" s="96"/>
      <c r="T1479" s="110"/>
    </row>
    <row r="1480" spans="3:20" x14ac:dyDescent="0.2">
      <c r="C1480" s="96" t="str">
        <f t="shared" si="92"/>
        <v>SMY8</v>
      </c>
      <c r="D1480" s="73" t="s">
        <v>211</v>
      </c>
      <c r="E1480" s="100">
        <v>41184</v>
      </c>
      <c r="F1480" s="101">
        <v>0.04</v>
      </c>
      <c r="G1480" s="96">
        <f t="shared" si="93"/>
        <v>8</v>
      </c>
      <c r="I1480" s="96"/>
      <c r="K1480" t="str">
        <f t="shared" si="94"/>
        <v>SMY8</v>
      </c>
      <c r="L1480" s="73" t="s">
        <v>211</v>
      </c>
      <c r="M1480" s="72">
        <v>41184</v>
      </c>
      <c r="N1480" s="84">
        <v>0.04</v>
      </c>
      <c r="O1480" s="96">
        <f t="shared" si="95"/>
        <v>8</v>
      </c>
      <c r="Q1480" s="96"/>
      <c r="T1480" s="110"/>
    </row>
    <row r="1481" spans="3:20" x14ac:dyDescent="0.2">
      <c r="C1481" s="96" t="str">
        <f t="shared" si="92"/>
        <v>SPN1</v>
      </c>
      <c r="D1481" s="73" t="s">
        <v>212</v>
      </c>
      <c r="E1481" s="100">
        <v>39960</v>
      </c>
      <c r="F1481" s="101">
        <v>3.5499999999999997E-2</v>
      </c>
      <c r="G1481" s="96">
        <f t="shared" si="93"/>
        <v>1</v>
      </c>
      <c r="I1481" s="96"/>
      <c r="K1481" t="str">
        <f t="shared" si="94"/>
        <v>SPN1</v>
      </c>
      <c r="L1481" s="73" t="s">
        <v>212</v>
      </c>
      <c r="M1481" s="72">
        <v>39960</v>
      </c>
      <c r="N1481" s="84">
        <v>3.5499999999999997E-2</v>
      </c>
      <c r="O1481" s="96">
        <f t="shared" si="95"/>
        <v>1</v>
      </c>
      <c r="Q1481" s="96"/>
      <c r="T1481" s="110"/>
    </row>
    <row r="1482" spans="3:20" x14ac:dyDescent="0.2">
      <c r="C1482" s="96" t="str">
        <f t="shared" si="92"/>
        <v>SPN2</v>
      </c>
      <c r="D1482" s="73" t="s">
        <v>212</v>
      </c>
      <c r="E1482" s="100">
        <v>39960</v>
      </c>
      <c r="F1482" s="101">
        <v>2.3700000000000002E-2</v>
      </c>
      <c r="G1482" s="96">
        <f t="shared" si="93"/>
        <v>2</v>
      </c>
      <c r="I1482" s="96"/>
      <c r="K1482" t="str">
        <f t="shared" si="94"/>
        <v>SPN2</v>
      </c>
      <c r="L1482" s="73" t="s">
        <v>212</v>
      </c>
      <c r="M1482" s="72">
        <v>39960</v>
      </c>
      <c r="N1482" s="84">
        <v>2.3700000000000002E-2</v>
      </c>
      <c r="O1482" s="96">
        <f t="shared" si="95"/>
        <v>2</v>
      </c>
      <c r="Q1482" s="96"/>
      <c r="T1482" s="110"/>
    </row>
    <row r="1483" spans="3:20" x14ac:dyDescent="0.2">
      <c r="C1483" s="96" t="str">
        <f t="shared" si="92"/>
        <v>SPN3</v>
      </c>
      <c r="D1483" s="73" t="s">
        <v>212</v>
      </c>
      <c r="E1483" s="100">
        <v>40141</v>
      </c>
      <c r="F1483" s="101">
        <v>7.4099999999999999E-2</v>
      </c>
      <c r="G1483" s="96">
        <f t="shared" si="93"/>
        <v>3</v>
      </c>
      <c r="I1483" s="96"/>
      <c r="K1483" t="str">
        <f t="shared" si="94"/>
        <v>SPN3</v>
      </c>
      <c r="L1483" s="73" t="s">
        <v>212</v>
      </c>
      <c r="M1483" s="72">
        <v>40141</v>
      </c>
      <c r="N1483" s="84">
        <v>7.4099999999999999E-2</v>
      </c>
      <c r="O1483" s="96">
        <f t="shared" si="95"/>
        <v>3</v>
      </c>
      <c r="Q1483" s="96"/>
      <c r="T1483" s="110"/>
    </row>
    <row r="1484" spans="3:20" x14ac:dyDescent="0.2">
      <c r="C1484" s="96" t="str">
        <f t="shared" si="92"/>
        <v>SPN4</v>
      </c>
      <c r="D1484" s="73" t="s">
        <v>212</v>
      </c>
      <c r="E1484" s="100">
        <v>40325</v>
      </c>
      <c r="F1484" s="101">
        <v>4.6900000000000004E-2</v>
      </c>
      <c r="G1484" s="96">
        <f t="shared" si="93"/>
        <v>4</v>
      </c>
      <c r="I1484" s="96"/>
      <c r="K1484" t="str">
        <f t="shared" si="94"/>
        <v>SPN4</v>
      </c>
      <c r="L1484" s="73" t="s">
        <v>212</v>
      </c>
      <c r="M1484" s="72">
        <v>40325</v>
      </c>
      <c r="N1484" s="84">
        <v>4.6900000000000004E-2</v>
      </c>
      <c r="O1484" s="96">
        <f t="shared" si="95"/>
        <v>4</v>
      </c>
      <c r="Q1484" s="96"/>
      <c r="T1484" s="110"/>
    </row>
    <row r="1485" spans="3:20" x14ac:dyDescent="0.2">
      <c r="C1485" s="96" t="str">
        <f t="shared" si="92"/>
        <v>SPN5</v>
      </c>
      <c r="D1485" s="73" t="s">
        <v>212</v>
      </c>
      <c r="E1485" s="100">
        <v>40506</v>
      </c>
      <c r="F1485" s="101">
        <v>7.5300000000000006E-2</v>
      </c>
      <c r="G1485" s="96">
        <f t="shared" si="93"/>
        <v>5</v>
      </c>
      <c r="I1485" s="96"/>
      <c r="K1485" t="str">
        <f t="shared" si="94"/>
        <v>SPN5</v>
      </c>
      <c r="L1485" s="73" t="s">
        <v>212</v>
      </c>
      <c r="M1485" s="72">
        <v>40506</v>
      </c>
      <c r="N1485" s="84">
        <v>7.5300000000000006E-2</v>
      </c>
      <c r="O1485" s="96">
        <f t="shared" si="95"/>
        <v>5</v>
      </c>
      <c r="Q1485" s="96"/>
      <c r="T1485" s="110"/>
    </row>
    <row r="1486" spans="3:20" x14ac:dyDescent="0.2">
      <c r="C1486" s="96" t="str">
        <f t="shared" si="92"/>
        <v>SPN6</v>
      </c>
      <c r="D1486" s="73" t="s">
        <v>212</v>
      </c>
      <c r="E1486" s="100">
        <v>40690</v>
      </c>
      <c r="F1486" s="101">
        <v>4.7699999999999992E-2</v>
      </c>
      <c r="G1486" s="96">
        <f t="shared" si="93"/>
        <v>6</v>
      </c>
      <c r="I1486" s="96"/>
      <c r="K1486" t="str">
        <f t="shared" si="94"/>
        <v>SPN6</v>
      </c>
      <c r="L1486" s="73" t="s">
        <v>212</v>
      </c>
      <c r="M1486" s="72">
        <v>40690</v>
      </c>
      <c r="N1486" s="84">
        <v>4.7699999999999992E-2</v>
      </c>
      <c r="O1486" s="96">
        <f t="shared" si="95"/>
        <v>6</v>
      </c>
      <c r="Q1486" s="96"/>
      <c r="T1486" s="110"/>
    </row>
    <row r="1487" spans="3:20" x14ac:dyDescent="0.2">
      <c r="C1487" s="96" t="str">
        <f t="shared" si="92"/>
        <v>SPN7</v>
      </c>
      <c r="D1487" s="73" t="s">
        <v>212</v>
      </c>
      <c r="E1487" s="100">
        <v>40871</v>
      </c>
      <c r="F1487" s="101">
        <v>7.9000000000000001E-2</v>
      </c>
      <c r="G1487" s="96">
        <f t="shared" si="93"/>
        <v>7</v>
      </c>
      <c r="I1487" s="96"/>
      <c r="K1487" t="str">
        <f t="shared" si="94"/>
        <v>SPN7</v>
      </c>
      <c r="L1487" s="73" t="s">
        <v>212</v>
      </c>
      <c r="M1487" s="72">
        <v>40871</v>
      </c>
      <c r="N1487" s="84">
        <v>7.9000000000000001E-2</v>
      </c>
      <c r="O1487" s="96">
        <f t="shared" si="95"/>
        <v>7</v>
      </c>
      <c r="Q1487" s="96"/>
      <c r="T1487" s="110"/>
    </row>
    <row r="1488" spans="3:20" x14ac:dyDescent="0.2">
      <c r="C1488" s="96" t="str">
        <f t="shared" si="92"/>
        <v>SPN8</v>
      </c>
      <c r="D1488" s="73" t="s">
        <v>212</v>
      </c>
      <c r="E1488" s="100">
        <v>41058</v>
      </c>
      <c r="F1488" s="101">
        <v>0.05</v>
      </c>
      <c r="G1488" s="96">
        <f t="shared" si="93"/>
        <v>8</v>
      </c>
      <c r="I1488" s="96"/>
      <c r="K1488" t="str">
        <f t="shared" si="94"/>
        <v>SPN8</v>
      </c>
      <c r="L1488" s="73" t="s">
        <v>212</v>
      </c>
      <c r="M1488" s="72">
        <v>41058</v>
      </c>
      <c r="N1488" s="84">
        <v>0.05</v>
      </c>
      <c r="O1488" s="96">
        <f t="shared" si="95"/>
        <v>8</v>
      </c>
      <c r="Q1488" s="96"/>
      <c r="T1488" s="83"/>
    </row>
    <row r="1489" spans="3:20" x14ac:dyDescent="0.2">
      <c r="C1489" s="96" t="str">
        <f t="shared" si="92"/>
        <v>SPN9</v>
      </c>
      <c r="D1489" s="73" t="s">
        <v>212</v>
      </c>
      <c r="E1489" s="100">
        <v>41239</v>
      </c>
      <c r="F1489" s="101">
        <v>7.9000000000000001E-2</v>
      </c>
      <c r="G1489" s="96">
        <f t="shared" si="93"/>
        <v>9</v>
      </c>
      <c r="I1489" s="96"/>
      <c r="K1489" t="str">
        <f t="shared" si="94"/>
        <v>SPN9</v>
      </c>
      <c r="L1489" s="73" t="s">
        <v>212</v>
      </c>
      <c r="M1489" s="72">
        <v>41239</v>
      </c>
      <c r="N1489" s="84">
        <v>7.9000000000000001E-2</v>
      </c>
      <c r="O1489" s="96">
        <f t="shared" si="95"/>
        <v>9</v>
      </c>
      <c r="Q1489" s="96"/>
      <c r="T1489" s="110"/>
    </row>
    <row r="1490" spans="3:20" x14ac:dyDescent="0.2">
      <c r="C1490" s="96" t="str">
        <f t="shared" si="92"/>
        <v>SPN10</v>
      </c>
      <c r="D1490" s="73" t="s">
        <v>212</v>
      </c>
      <c r="E1490" s="100">
        <v>41423</v>
      </c>
      <c r="F1490" s="101">
        <v>0.05</v>
      </c>
      <c r="G1490" s="96">
        <f t="shared" si="93"/>
        <v>10</v>
      </c>
      <c r="I1490" s="96"/>
      <c r="K1490" t="str">
        <f t="shared" si="94"/>
        <v>SPN10</v>
      </c>
      <c r="L1490" s="73" t="s">
        <v>212</v>
      </c>
      <c r="M1490" s="72">
        <v>41423</v>
      </c>
      <c r="N1490" s="84">
        <v>0.05</v>
      </c>
      <c r="O1490" s="96">
        <f t="shared" si="95"/>
        <v>10</v>
      </c>
      <c r="Q1490" s="96"/>
      <c r="T1490" s="110"/>
    </row>
    <row r="1491" spans="3:20" x14ac:dyDescent="0.2">
      <c r="C1491" s="96" t="str">
        <f t="shared" si="92"/>
        <v>SPT1</v>
      </c>
      <c r="D1491" s="73" t="s">
        <v>213</v>
      </c>
      <c r="E1491" s="100">
        <v>39888</v>
      </c>
      <c r="F1491" s="101">
        <v>0.105</v>
      </c>
      <c r="G1491" s="96">
        <f t="shared" si="93"/>
        <v>1</v>
      </c>
      <c r="I1491" s="96"/>
      <c r="K1491" t="str">
        <f t="shared" si="94"/>
        <v>SPT1</v>
      </c>
      <c r="L1491" s="73" t="s">
        <v>213</v>
      </c>
      <c r="M1491" s="72">
        <v>39888</v>
      </c>
      <c r="N1491" s="84">
        <v>0.105</v>
      </c>
      <c r="O1491" s="96">
        <f t="shared" si="95"/>
        <v>1</v>
      </c>
      <c r="Q1491" s="96"/>
      <c r="T1491" s="110"/>
    </row>
    <row r="1492" spans="3:20" x14ac:dyDescent="0.2">
      <c r="C1492" s="96" t="str">
        <f t="shared" si="92"/>
        <v>SPT2</v>
      </c>
      <c r="D1492" s="73" t="s">
        <v>213</v>
      </c>
      <c r="E1492" s="100">
        <v>40071</v>
      </c>
      <c r="F1492" s="101">
        <v>0.105</v>
      </c>
      <c r="G1492" s="96">
        <f t="shared" si="93"/>
        <v>2</v>
      </c>
      <c r="I1492" s="96"/>
      <c r="K1492" t="str">
        <f t="shared" si="94"/>
        <v>SPT2</v>
      </c>
      <c r="L1492" s="73" t="s">
        <v>213</v>
      </c>
      <c r="M1492" s="72">
        <v>40071</v>
      </c>
      <c r="N1492" s="84">
        <v>0.105</v>
      </c>
      <c r="O1492" s="96">
        <f t="shared" si="95"/>
        <v>2</v>
      </c>
      <c r="Q1492" s="96"/>
      <c r="T1492" s="110"/>
    </row>
    <row r="1493" spans="3:20" x14ac:dyDescent="0.2">
      <c r="C1493" s="96" t="str">
        <f t="shared" si="92"/>
        <v>SPT3</v>
      </c>
      <c r="D1493" s="73" t="s">
        <v>213</v>
      </c>
      <c r="E1493" s="100">
        <v>40253</v>
      </c>
      <c r="F1493" s="101">
        <v>0.105</v>
      </c>
      <c r="G1493" s="96">
        <f t="shared" si="93"/>
        <v>3</v>
      </c>
      <c r="I1493" s="96"/>
      <c r="K1493" t="str">
        <f t="shared" si="94"/>
        <v>SPT3</v>
      </c>
      <c r="L1493" s="73" t="s">
        <v>213</v>
      </c>
      <c r="M1493" s="72">
        <v>40253</v>
      </c>
      <c r="N1493" s="84">
        <v>0.105</v>
      </c>
      <c r="O1493" s="96">
        <f t="shared" si="95"/>
        <v>3</v>
      </c>
      <c r="Q1493" s="96"/>
      <c r="T1493" s="110"/>
    </row>
    <row r="1494" spans="3:20" x14ac:dyDescent="0.2">
      <c r="C1494" s="96" t="str">
        <f t="shared" si="92"/>
        <v>SPT4</v>
      </c>
      <c r="D1494" s="73" t="s">
        <v>213</v>
      </c>
      <c r="E1494" s="100">
        <v>40436</v>
      </c>
      <c r="F1494" s="101">
        <v>0.105</v>
      </c>
      <c r="G1494" s="96">
        <f t="shared" si="93"/>
        <v>4</v>
      </c>
      <c r="I1494" s="96"/>
      <c r="K1494" t="str">
        <f t="shared" si="94"/>
        <v>SPT4</v>
      </c>
      <c r="L1494" s="73" t="s">
        <v>213</v>
      </c>
      <c r="M1494" s="72">
        <v>40436</v>
      </c>
      <c r="N1494" s="84">
        <v>0.105</v>
      </c>
      <c r="O1494" s="96">
        <f t="shared" si="95"/>
        <v>4</v>
      </c>
      <c r="Q1494" s="96"/>
      <c r="T1494" s="110"/>
    </row>
    <row r="1495" spans="3:20" x14ac:dyDescent="0.2">
      <c r="C1495" s="96" t="str">
        <f t="shared" si="92"/>
        <v>SPT5</v>
      </c>
      <c r="D1495" s="73" t="s">
        <v>213</v>
      </c>
      <c r="E1495" s="100">
        <v>40618</v>
      </c>
      <c r="F1495" s="101">
        <v>0.114</v>
      </c>
      <c r="G1495" s="96">
        <f t="shared" si="93"/>
        <v>5</v>
      </c>
      <c r="I1495" s="96"/>
      <c r="K1495" t="str">
        <f t="shared" si="94"/>
        <v>SPT5</v>
      </c>
      <c r="L1495" s="73" t="s">
        <v>213</v>
      </c>
      <c r="M1495" s="72">
        <v>40618</v>
      </c>
      <c r="N1495" s="84">
        <v>0.114</v>
      </c>
      <c r="O1495" s="96">
        <f t="shared" si="95"/>
        <v>5</v>
      </c>
      <c r="Q1495" s="96"/>
      <c r="T1495" s="110"/>
    </row>
    <row r="1496" spans="3:20" x14ac:dyDescent="0.2">
      <c r="C1496" s="96" t="str">
        <f t="shared" si="92"/>
        <v>SPT6</v>
      </c>
      <c r="D1496" s="73" t="s">
        <v>213</v>
      </c>
      <c r="E1496" s="100">
        <v>40801</v>
      </c>
      <c r="F1496" s="101">
        <v>0.114</v>
      </c>
      <c r="G1496" s="96">
        <f t="shared" si="93"/>
        <v>6</v>
      </c>
      <c r="I1496" s="96"/>
      <c r="K1496" t="str">
        <f t="shared" si="94"/>
        <v>SPT6</v>
      </c>
      <c r="L1496" s="73" t="s">
        <v>213</v>
      </c>
      <c r="M1496" s="72">
        <v>40801</v>
      </c>
      <c r="N1496" s="84">
        <v>0.114</v>
      </c>
      <c r="O1496" s="96">
        <f t="shared" si="95"/>
        <v>6</v>
      </c>
      <c r="Q1496" s="96"/>
      <c r="T1496" s="110"/>
    </row>
    <row r="1497" spans="3:20" x14ac:dyDescent="0.2">
      <c r="C1497" s="96" t="str">
        <f t="shared" si="92"/>
        <v>SPT7</v>
      </c>
      <c r="D1497" s="73" t="s">
        <v>213</v>
      </c>
      <c r="E1497" s="100">
        <v>40984</v>
      </c>
      <c r="F1497" s="101">
        <v>0.122</v>
      </c>
      <c r="G1497" s="96">
        <f t="shared" si="93"/>
        <v>7</v>
      </c>
      <c r="I1497" s="96"/>
      <c r="K1497" t="str">
        <f t="shared" si="94"/>
        <v>SPT7</v>
      </c>
      <c r="L1497" s="73" t="s">
        <v>213</v>
      </c>
      <c r="M1497" s="72">
        <v>40984</v>
      </c>
      <c r="N1497" s="84">
        <v>0.122</v>
      </c>
      <c r="O1497" s="96">
        <f t="shared" si="95"/>
        <v>7</v>
      </c>
      <c r="Q1497" s="96"/>
      <c r="T1497" s="110"/>
    </row>
    <row r="1498" spans="3:20" x14ac:dyDescent="0.2">
      <c r="C1498" s="96" t="str">
        <f t="shared" si="92"/>
        <v>SPT8</v>
      </c>
      <c r="D1498" s="73" t="s">
        <v>213</v>
      </c>
      <c r="E1498" s="100">
        <v>41169</v>
      </c>
      <c r="F1498" s="101">
        <v>0.122</v>
      </c>
      <c r="G1498" s="96">
        <f t="shared" si="93"/>
        <v>8</v>
      </c>
      <c r="I1498" s="96"/>
      <c r="K1498" t="str">
        <f t="shared" si="94"/>
        <v>SPT8</v>
      </c>
      <c r="L1498" s="73" t="s">
        <v>213</v>
      </c>
      <c r="M1498" s="72">
        <v>41169</v>
      </c>
      <c r="N1498" s="84">
        <v>0.122</v>
      </c>
      <c r="O1498" s="96">
        <f t="shared" si="95"/>
        <v>8</v>
      </c>
      <c r="Q1498" s="96"/>
      <c r="T1498" s="110"/>
    </row>
    <row r="1499" spans="3:20" x14ac:dyDescent="0.2">
      <c r="C1499" s="96" t="str">
        <f t="shared" si="92"/>
        <v>SPT9</v>
      </c>
      <c r="D1499" s="73" t="s">
        <v>213</v>
      </c>
      <c r="E1499" s="100">
        <v>41351</v>
      </c>
      <c r="F1499" s="101">
        <v>0.1265</v>
      </c>
      <c r="G1499" s="96">
        <f t="shared" si="93"/>
        <v>9</v>
      </c>
      <c r="I1499" s="96"/>
      <c r="K1499" t="str">
        <f t="shared" si="94"/>
        <v>SPT9</v>
      </c>
      <c r="L1499" s="73" t="s">
        <v>213</v>
      </c>
      <c r="M1499" s="72">
        <v>41351</v>
      </c>
      <c r="N1499" s="84">
        <v>0.1265</v>
      </c>
      <c r="O1499" s="96">
        <f t="shared" si="95"/>
        <v>9</v>
      </c>
      <c r="Q1499" s="96"/>
      <c r="T1499" s="110"/>
    </row>
    <row r="1500" spans="3:20" x14ac:dyDescent="0.2">
      <c r="C1500" s="96" t="str">
        <f t="shared" si="92"/>
        <v>SPT10</v>
      </c>
      <c r="D1500" s="73" t="s">
        <v>213</v>
      </c>
      <c r="E1500" s="100">
        <v>41534</v>
      </c>
      <c r="F1500" s="101">
        <v>0.1265</v>
      </c>
      <c r="G1500" s="96">
        <f t="shared" si="93"/>
        <v>10</v>
      </c>
      <c r="I1500" s="96"/>
      <c r="K1500" t="str">
        <f t="shared" si="94"/>
        <v>SPT10</v>
      </c>
      <c r="L1500" s="73" t="s">
        <v>213</v>
      </c>
      <c r="M1500" s="72">
        <v>41534</v>
      </c>
      <c r="N1500" s="84">
        <v>0.1265</v>
      </c>
      <c r="O1500" s="96">
        <f t="shared" si="95"/>
        <v>10</v>
      </c>
      <c r="Q1500" s="96"/>
      <c r="T1500" s="110"/>
    </row>
    <row r="1501" spans="3:20" x14ac:dyDescent="0.2">
      <c r="C1501" s="96" t="str">
        <f t="shared" si="92"/>
        <v>SRL1</v>
      </c>
      <c r="D1501" s="73" t="s">
        <v>214</v>
      </c>
      <c r="E1501" s="100">
        <v>39944</v>
      </c>
      <c r="F1501" s="101">
        <v>0.02</v>
      </c>
      <c r="G1501" s="96">
        <f t="shared" si="93"/>
        <v>1</v>
      </c>
      <c r="I1501" s="96"/>
      <c r="K1501" t="str">
        <f t="shared" si="94"/>
        <v>SRL1</v>
      </c>
      <c r="L1501" s="73" t="s">
        <v>214</v>
      </c>
      <c r="M1501" s="72">
        <v>39944</v>
      </c>
      <c r="N1501" s="84">
        <v>0.02</v>
      </c>
      <c r="O1501" s="96">
        <f t="shared" si="95"/>
        <v>1</v>
      </c>
      <c r="Q1501" s="96"/>
      <c r="T1501" s="110"/>
    </row>
    <row r="1502" spans="3:20" x14ac:dyDescent="0.2">
      <c r="C1502" s="96" t="str">
        <f t="shared" si="92"/>
        <v>SRL2</v>
      </c>
      <c r="D1502" s="73" t="s">
        <v>214</v>
      </c>
      <c r="E1502" s="100">
        <v>40085</v>
      </c>
      <c r="F1502" s="101">
        <v>0.02</v>
      </c>
      <c r="G1502" s="96">
        <f t="shared" si="93"/>
        <v>2</v>
      </c>
      <c r="I1502" s="96"/>
      <c r="K1502" t="str">
        <f t="shared" si="94"/>
        <v>SRL2</v>
      </c>
      <c r="L1502" s="73" t="s">
        <v>214</v>
      </c>
      <c r="M1502" s="72">
        <v>40085</v>
      </c>
      <c r="N1502" s="84">
        <v>0.02</v>
      </c>
      <c r="O1502" s="96">
        <f t="shared" si="95"/>
        <v>2</v>
      </c>
      <c r="Q1502" s="96"/>
      <c r="T1502" s="110"/>
    </row>
    <row r="1503" spans="3:20" x14ac:dyDescent="0.2">
      <c r="C1503" s="96" t="str">
        <f t="shared" si="92"/>
        <v>SRL3</v>
      </c>
      <c r="D1503" s="73" t="s">
        <v>214</v>
      </c>
      <c r="E1503" s="100">
        <v>40309</v>
      </c>
      <c r="F1503" s="101">
        <v>1.7000000000000001E-2</v>
      </c>
      <c r="G1503" s="96">
        <f t="shared" si="93"/>
        <v>3</v>
      </c>
      <c r="I1503" s="96"/>
      <c r="K1503" t="str">
        <f t="shared" si="94"/>
        <v>SRL3</v>
      </c>
      <c r="L1503" s="73" t="s">
        <v>214</v>
      </c>
      <c r="M1503" s="72">
        <v>40309</v>
      </c>
      <c r="N1503" s="84">
        <v>1.7000000000000001E-2</v>
      </c>
      <c r="O1503" s="96">
        <f t="shared" si="95"/>
        <v>3</v>
      </c>
      <c r="Q1503" s="96"/>
      <c r="T1503" s="110"/>
    </row>
    <row r="1504" spans="3:20" x14ac:dyDescent="0.2">
      <c r="C1504" s="96" t="str">
        <f t="shared" si="92"/>
        <v>SRL4</v>
      </c>
      <c r="D1504" s="73" t="s">
        <v>214</v>
      </c>
      <c r="E1504" s="100">
        <v>40450</v>
      </c>
      <c r="F1504" s="101">
        <v>1.7000000000000001E-2</v>
      </c>
      <c r="G1504" s="96">
        <f t="shared" si="93"/>
        <v>4</v>
      </c>
      <c r="I1504" s="96"/>
      <c r="K1504" t="str">
        <f t="shared" si="94"/>
        <v>SRL4</v>
      </c>
      <c r="L1504" s="73" t="s">
        <v>214</v>
      </c>
      <c r="M1504" s="72">
        <v>40450</v>
      </c>
      <c r="N1504" s="84">
        <v>1.7000000000000001E-2</v>
      </c>
      <c r="O1504" s="96">
        <f t="shared" si="95"/>
        <v>4</v>
      </c>
      <c r="Q1504" s="96"/>
      <c r="T1504" s="110"/>
    </row>
    <row r="1505" spans="3:20" x14ac:dyDescent="0.2">
      <c r="C1505" s="96" t="str">
        <f t="shared" si="92"/>
        <v>SRL5</v>
      </c>
      <c r="D1505" s="73" t="s">
        <v>214</v>
      </c>
      <c r="E1505" s="100">
        <v>40674</v>
      </c>
      <c r="F1505" s="101">
        <v>2.4E-2</v>
      </c>
      <c r="G1505" s="96">
        <f t="shared" si="93"/>
        <v>5</v>
      </c>
      <c r="I1505" s="96"/>
      <c r="K1505" t="str">
        <f t="shared" si="94"/>
        <v>SRL5</v>
      </c>
      <c r="L1505" s="73" t="s">
        <v>214</v>
      </c>
      <c r="M1505" s="72">
        <v>40674</v>
      </c>
      <c r="N1505" s="84">
        <v>2.4E-2</v>
      </c>
      <c r="O1505" s="96">
        <f t="shared" si="95"/>
        <v>5</v>
      </c>
      <c r="Q1505" s="96"/>
      <c r="T1505" s="110"/>
    </row>
    <row r="1506" spans="3:20" x14ac:dyDescent="0.2">
      <c r="C1506" s="96" t="str">
        <f t="shared" si="92"/>
        <v>SRL6</v>
      </c>
      <c r="D1506" s="73" t="s">
        <v>214</v>
      </c>
      <c r="E1506" s="100">
        <v>40816</v>
      </c>
      <c r="F1506" s="101">
        <v>2.4E-2</v>
      </c>
      <c r="G1506" s="96">
        <f t="shared" si="93"/>
        <v>6</v>
      </c>
      <c r="I1506" s="96"/>
      <c r="K1506" t="str">
        <f t="shared" si="94"/>
        <v>SRL6</v>
      </c>
      <c r="L1506" s="73" t="s">
        <v>214</v>
      </c>
      <c r="M1506" s="72">
        <v>40816</v>
      </c>
      <c r="N1506" s="84">
        <v>2.4E-2</v>
      </c>
      <c r="O1506" s="96">
        <f t="shared" si="95"/>
        <v>6</v>
      </c>
      <c r="Q1506" s="96"/>
      <c r="T1506" s="110"/>
    </row>
    <row r="1507" spans="3:20" x14ac:dyDescent="0.2">
      <c r="C1507" s="96" t="str">
        <f t="shared" si="92"/>
        <v>SRL7</v>
      </c>
      <c r="D1507" s="73" t="s">
        <v>214</v>
      </c>
      <c r="E1507" s="100">
        <v>41040</v>
      </c>
      <c r="F1507" s="101">
        <v>1.95E-2</v>
      </c>
      <c r="G1507" s="96">
        <f t="shared" si="93"/>
        <v>7</v>
      </c>
      <c r="I1507" s="96"/>
      <c r="K1507" t="str">
        <f t="shared" si="94"/>
        <v>SRL7</v>
      </c>
      <c r="L1507" s="73" t="s">
        <v>214</v>
      </c>
      <c r="M1507" s="72">
        <v>41040</v>
      </c>
      <c r="N1507" s="84">
        <v>1.95E-2</v>
      </c>
      <c r="O1507" s="96">
        <f t="shared" si="95"/>
        <v>7</v>
      </c>
      <c r="Q1507" s="96"/>
      <c r="T1507" s="110"/>
    </row>
    <row r="1508" spans="3:20" x14ac:dyDescent="0.2">
      <c r="C1508" s="96" t="str">
        <f t="shared" si="92"/>
        <v>SRL8</v>
      </c>
      <c r="D1508" s="73" t="s">
        <v>214</v>
      </c>
      <c r="E1508" s="100">
        <v>41184</v>
      </c>
      <c r="F1508" s="101">
        <v>1.95E-2</v>
      </c>
      <c r="G1508" s="96">
        <f t="shared" si="93"/>
        <v>8</v>
      </c>
      <c r="I1508" s="96"/>
      <c r="K1508" t="str">
        <f t="shared" si="94"/>
        <v>SRL8</v>
      </c>
      <c r="L1508" s="73" t="s">
        <v>214</v>
      </c>
      <c r="M1508" s="72">
        <v>41184</v>
      </c>
      <c r="N1508" s="84">
        <v>1.95E-2</v>
      </c>
      <c r="O1508" s="96">
        <f t="shared" si="95"/>
        <v>8</v>
      </c>
      <c r="Q1508" s="96"/>
      <c r="T1508" s="83"/>
    </row>
    <row r="1509" spans="3:20" x14ac:dyDescent="0.2">
      <c r="C1509" s="96" t="str">
        <f t="shared" si="92"/>
        <v>SRL9</v>
      </c>
      <c r="D1509" s="73" t="s">
        <v>214</v>
      </c>
      <c r="E1509" s="100">
        <v>41407</v>
      </c>
      <c r="F1509" s="101">
        <v>3.2500000000000001E-2</v>
      </c>
      <c r="G1509" s="96">
        <f t="shared" si="93"/>
        <v>9</v>
      </c>
      <c r="I1509" s="96"/>
      <c r="K1509" t="str">
        <f t="shared" si="94"/>
        <v>SRL9</v>
      </c>
      <c r="L1509" s="73" t="s">
        <v>214</v>
      </c>
      <c r="M1509" s="72">
        <v>41407</v>
      </c>
      <c r="N1509" s="84">
        <v>3.2500000000000001E-2</v>
      </c>
      <c r="O1509" s="96">
        <f t="shared" si="95"/>
        <v>9</v>
      </c>
      <c r="Q1509" s="96"/>
      <c r="T1509" s="110"/>
    </row>
    <row r="1510" spans="3:20" x14ac:dyDescent="0.2">
      <c r="C1510" s="96" t="str">
        <f t="shared" si="92"/>
        <v>SRL10</v>
      </c>
      <c r="D1510" s="73" t="s">
        <v>214</v>
      </c>
      <c r="E1510" s="100">
        <v>41549</v>
      </c>
      <c r="F1510" s="101">
        <v>3.2500000000000001E-2</v>
      </c>
      <c r="G1510" s="96">
        <f t="shared" si="93"/>
        <v>10</v>
      </c>
      <c r="I1510" s="96"/>
      <c r="K1510" t="str">
        <f t="shared" si="94"/>
        <v>SRL10</v>
      </c>
      <c r="L1510" s="73" t="s">
        <v>214</v>
      </c>
      <c r="M1510" s="72">
        <v>41549</v>
      </c>
      <c r="N1510" s="84">
        <v>3.2500000000000001E-2</v>
      </c>
      <c r="O1510" s="96">
        <f t="shared" si="95"/>
        <v>10</v>
      </c>
      <c r="Q1510" s="96"/>
      <c r="T1510" s="110"/>
    </row>
    <row r="1511" spans="3:20" x14ac:dyDescent="0.2">
      <c r="C1511" s="96" t="str">
        <f t="shared" si="92"/>
        <v>STO1</v>
      </c>
      <c r="D1511" s="73" t="s">
        <v>215</v>
      </c>
      <c r="E1511" s="100">
        <v>39869</v>
      </c>
      <c r="F1511" s="101">
        <v>0.22</v>
      </c>
      <c r="G1511" s="96">
        <f t="shared" si="93"/>
        <v>1</v>
      </c>
      <c r="I1511" s="96"/>
      <c r="K1511" t="str">
        <f t="shared" si="94"/>
        <v>STO1</v>
      </c>
      <c r="L1511" s="73" t="s">
        <v>215</v>
      </c>
      <c r="M1511" s="72">
        <v>39869</v>
      </c>
      <c r="N1511" s="84">
        <v>0.22</v>
      </c>
      <c r="O1511" s="96">
        <f t="shared" si="95"/>
        <v>1</v>
      </c>
      <c r="Q1511" s="96"/>
      <c r="T1511" s="110"/>
    </row>
    <row r="1512" spans="3:20" x14ac:dyDescent="0.2">
      <c r="C1512" s="96" t="str">
        <f t="shared" si="92"/>
        <v>STO2</v>
      </c>
      <c r="D1512" s="73" t="s">
        <v>215</v>
      </c>
      <c r="E1512" s="100">
        <v>40052</v>
      </c>
      <c r="F1512" s="101">
        <v>0.22</v>
      </c>
      <c r="G1512" s="96">
        <f t="shared" si="93"/>
        <v>2</v>
      </c>
      <c r="I1512" s="96"/>
      <c r="K1512" t="str">
        <f t="shared" si="94"/>
        <v>STO2</v>
      </c>
      <c r="L1512" s="73" t="s">
        <v>215</v>
      </c>
      <c r="M1512" s="72">
        <v>40052</v>
      </c>
      <c r="N1512" s="84">
        <v>0.22</v>
      </c>
      <c r="O1512" s="96">
        <f t="shared" si="95"/>
        <v>2</v>
      </c>
      <c r="Q1512" s="96"/>
      <c r="T1512" s="110"/>
    </row>
    <row r="1513" spans="3:20" x14ac:dyDescent="0.2">
      <c r="C1513" s="96" t="str">
        <f t="shared" si="92"/>
        <v>STO3</v>
      </c>
      <c r="D1513" s="73" t="s">
        <v>215</v>
      </c>
      <c r="E1513" s="100">
        <v>40234</v>
      </c>
      <c r="F1513" s="101">
        <v>0.22</v>
      </c>
      <c r="G1513" s="96">
        <f t="shared" si="93"/>
        <v>3</v>
      </c>
      <c r="I1513" s="96"/>
      <c r="K1513" t="str">
        <f t="shared" si="94"/>
        <v>STO3</v>
      </c>
      <c r="L1513" s="73" t="s">
        <v>215</v>
      </c>
      <c r="M1513" s="72">
        <v>40234</v>
      </c>
      <c r="N1513" s="84">
        <v>0.22</v>
      </c>
      <c r="O1513" s="96">
        <f t="shared" si="95"/>
        <v>3</v>
      </c>
      <c r="Q1513" s="96"/>
      <c r="T1513" s="110"/>
    </row>
    <row r="1514" spans="3:20" x14ac:dyDescent="0.2">
      <c r="C1514" s="96" t="str">
        <f t="shared" si="92"/>
        <v>STO4</v>
      </c>
      <c r="D1514" s="73" t="s">
        <v>215</v>
      </c>
      <c r="E1514" s="100">
        <v>40417</v>
      </c>
      <c r="F1514" s="101">
        <v>0.22</v>
      </c>
      <c r="G1514" s="96">
        <f t="shared" si="93"/>
        <v>4</v>
      </c>
      <c r="I1514" s="96"/>
      <c r="K1514" t="str">
        <f t="shared" si="94"/>
        <v>STO4</v>
      </c>
      <c r="L1514" s="73" t="s">
        <v>215</v>
      </c>
      <c r="M1514" s="72">
        <v>40417</v>
      </c>
      <c r="N1514" s="84">
        <v>0.22</v>
      </c>
      <c r="O1514" s="96">
        <f t="shared" si="95"/>
        <v>4</v>
      </c>
      <c r="Q1514" s="96"/>
      <c r="T1514" s="110"/>
    </row>
    <row r="1515" spans="3:20" x14ac:dyDescent="0.2">
      <c r="C1515" s="96" t="str">
        <f t="shared" si="92"/>
        <v>STO5</v>
      </c>
      <c r="D1515" s="73" t="s">
        <v>215</v>
      </c>
      <c r="E1515" s="100">
        <v>40599</v>
      </c>
      <c r="F1515" s="101">
        <v>0.22</v>
      </c>
      <c r="G1515" s="96">
        <f t="shared" si="93"/>
        <v>5</v>
      </c>
      <c r="I1515" s="96"/>
      <c r="K1515" t="str">
        <f t="shared" si="94"/>
        <v>STO5</v>
      </c>
      <c r="L1515" s="73" t="s">
        <v>215</v>
      </c>
      <c r="M1515" s="72">
        <v>40599</v>
      </c>
      <c r="N1515" s="84">
        <v>0.22</v>
      </c>
      <c r="O1515" s="96">
        <f t="shared" si="95"/>
        <v>5</v>
      </c>
      <c r="Q1515" s="96"/>
      <c r="T1515" s="110"/>
    </row>
    <row r="1516" spans="3:20" x14ac:dyDescent="0.2">
      <c r="C1516" s="96" t="str">
        <f t="shared" si="92"/>
        <v>STO6</v>
      </c>
      <c r="D1516" s="73" t="s">
        <v>215</v>
      </c>
      <c r="E1516" s="100">
        <v>40784</v>
      </c>
      <c r="F1516" s="101">
        <v>0.22</v>
      </c>
      <c r="G1516" s="96">
        <f t="shared" si="93"/>
        <v>6</v>
      </c>
      <c r="I1516" s="96"/>
      <c r="K1516" t="str">
        <f t="shared" si="94"/>
        <v>STO6</v>
      </c>
      <c r="L1516" s="73" t="s">
        <v>215</v>
      </c>
      <c r="M1516" s="72">
        <v>40784</v>
      </c>
      <c r="N1516" s="84">
        <v>0.22</v>
      </c>
      <c r="O1516" s="96">
        <f t="shared" si="95"/>
        <v>6</v>
      </c>
      <c r="Q1516" s="96"/>
      <c r="T1516" s="110"/>
    </row>
    <row r="1517" spans="3:20" x14ac:dyDescent="0.2">
      <c r="C1517" s="96" t="str">
        <f t="shared" si="92"/>
        <v>STO7</v>
      </c>
      <c r="D1517" s="73" t="s">
        <v>215</v>
      </c>
      <c r="E1517" s="100">
        <v>40967</v>
      </c>
      <c r="F1517" s="101">
        <v>0.22</v>
      </c>
      <c r="G1517" s="96">
        <f t="shared" si="93"/>
        <v>7</v>
      </c>
      <c r="I1517" s="96"/>
      <c r="K1517" t="str">
        <f t="shared" si="94"/>
        <v>STO7</v>
      </c>
      <c r="L1517" s="73" t="s">
        <v>215</v>
      </c>
      <c r="M1517" s="72">
        <v>40967</v>
      </c>
      <c r="N1517" s="84">
        <v>0.22</v>
      </c>
      <c r="O1517" s="96">
        <f t="shared" si="95"/>
        <v>7</v>
      </c>
      <c r="Q1517" s="96"/>
      <c r="T1517" s="110"/>
    </row>
    <row r="1518" spans="3:20" x14ac:dyDescent="0.2">
      <c r="C1518" s="96" t="str">
        <f t="shared" si="92"/>
        <v>STO8</v>
      </c>
      <c r="D1518" s="73" t="s">
        <v>215</v>
      </c>
      <c r="E1518" s="100">
        <v>41149</v>
      </c>
      <c r="F1518" s="101">
        <v>0.22</v>
      </c>
      <c r="G1518" s="96">
        <f t="shared" si="93"/>
        <v>8</v>
      </c>
      <c r="I1518" s="96"/>
      <c r="K1518" t="str">
        <f t="shared" si="94"/>
        <v>STO8</v>
      </c>
      <c r="L1518" s="73" t="s">
        <v>215</v>
      </c>
      <c r="M1518" s="72">
        <v>41149</v>
      </c>
      <c r="N1518" s="84">
        <v>0.22</v>
      </c>
      <c r="O1518" s="96">
        <f t="shared" si="95"/>
        <v>8</v>
      </c>
      <c r="Q1518" s="96"/>
      <c r="T1518" s="110"/>
    </row>
    <row r="1519" spans="3:20" x14ac:dyDescent="0.2">
      <c r="C1519" s="96" t="str">
        <f t="shared" si="92"/>
        <v>STO9</v>
      </c>
      <c r="D1519" s="73" t="s">
        <v>215</v>
      </c>
      <c r="E1519" s="100">
        <v>41332</v>
      </c>
      <c r="F1519" s="101">
        <v>0.22</v>
      </c>
      <c r="G1519" s="96">
        <f t="shared" si="93"/>
        <v>9</v>
      </c>
      <c r="I1519" s="96"/>
      <c r="K1519" t="str">
        <f t="shared" si="94"/>
        <v>STO9</v>
      </c>
      <c r="L1519" s="73" t="s">
        <v>215</v>
      </c>
      <c r="M1519" s="72">
        <v>41332</v>
      </c>
      <c r="N1519" s="84">
        <v>0.22</v>
      </c>
      <c r="O1519" s="96">
        <f t="shared" si="95"/>
        <v>9</v>
      </c>
      <c r="Q1519" s="96"/>
      <c r="T1519" s="110"/>
    </row>
    <row r="1520" spans="3:20" x14ac:dyDescent="0.2">
      <c r="C1520" s="96" t="str">
        <f t="shared" si="92"/>
        <v>SUN1</v>
      </c>
      <c r="D1520" s="73" t="s">
        <v>216</v>
      </c>
      <c r="E1520" s="100">
        <v>39871</v>
      </c>
      <c r="F1520" s="101">
        <v>0.36</v>
      </c>
      <c r="G1520" s="96">
        <f t="shared" si="93"/>
        <v>1</v>
      </c>
      <c r="I1520" s="96"/>
      <c r="K1520" t="str">
        <f t="shared" si="94"/>
        <v>SUN1</v>
      </c>
      <c r="L1520" s="73" t="s">
        <v>216</v>
      </c>
      <c r="M1520" s="72">
        <v>39871</v>
      </c>
      <c r="N1520" s="84">
        <v>0.36</v>
      </c>
      <c r="O1520" s="96">
        <f t="shared" si="95"/>
        <v>1</v>
      </c>
      <c r="Q1520" s="96"/>
      <c r="T1520" s="110"/>
    </row>
    <row r="1521" spans="3:20" x14ac:dyDescent="0.2">
      <c r="C1521" s="96" t="str">
        <f t="shared" si="92"/>
        <v>SUN2</v>
      </c>
      <c r="D1521" s="73" t="s">
        <v>216</v>
      </c>
      <c r="E1521" s="100">
        <v>40053</v>
      </c>
      <c r="F1521" s="101">
        <v>0.39</v>
      </c>
      <c r="G1521" s="96">
        <f t="shared" si="93"/>
        <v>2</v>
      </c>
      <c r="I1521" s="96"/>
      <c r="K1521" t="str">
        <f t="shared" si="94"/>
        <v>SUN2</v>
      </c>
      <c r="L1521" s="73" t="s">
        <v>216</v>
      </c>
      <c r="M1521" s="72">
        <v>40053</v>
      </c>
      <c r="N1521" s="84">
        <v>0.39</v>
      </c>
      <c r="O1521" s="96">
        <f t="shared" si="95"/>
        <v>2</v>
      </c>
      <c r="Q1521" s="96"/>
      <c r="T1521" s="110"/>
    </row>
    <row r="1522" spans="3:20" x14ac:dyDescent="0.2">
      <c r="C1522" s="96" t="str">
        <f t="shared" si="92"/>
        <v>SUN3</v>
      </c>
      <c r="D1522" s="73" t="s">
        <v>216</v>
      </c>
      <c r="E1522" s="100">
        <v>40238</v>
      </c>
      <c r="F1522" s="101">
        <v>0.36</v>
      </c>
      <c r="G1522" s="96">
        <f t="shared" si="93"/>
        <v>3</v>
      </c>
      <c r="I1522" s="96"/>
      <c r="K1522" t="str">
        <f t="shared" si="94"/>
        <v>SUN3</v>
      </c>
      <c r="L1522" s="73" t="s">
        <v>216</v>
      </c>
      <c r="M1522" s="72">
        <v>40238</v>
      </c>
      <c r="N1522" s="84">
        <v>0.36</v>
      </c>
      <c r="O1522" s="96">
        <f t="shared" si="95"/>
        <v>3</v>
      </c>
      <c r="Q1522" s="96"/>
      <c r="T1522" s="110"/>
    </row>
    <row r="1523" spans="3:20" x14ac:dyDescent="0.2">
      <c r="C1523" s="96" t="str">
        <f t="shared" si="92"/>
        <v>SUN4</v>
      </c>
      <c r="D1523" s="73" t="s">
        <v>216</v>
      </c>
      <c r="E1523" s="100">
        <v>40420</v>
      </c>
      <c r="F1523" s="101">
        <v>0.39</v>
      </c>
      <c r="G1523" s="96">
        <f t="shared" si="93"/>
        <v>4</v>
      </c>
      <c r="I1523" s="96"/>
      <c r="K1523" t="str">
        <f t="shared" si="94"/>
        <v>SUN4</v>
      </c>
      <c r="L1523" s="73" t="s">
        <v>216</v>
      </c>
      <c r="M1523" s="72">
        <v>40420</v>
      </c>
      <c r="N1523" s="113">
        <v>0.39</v>
      </c>
      <c r="O1523" s="96">
        <f t="shared" si="95"/>
        <v>4</v>
      </c>
      <c r="Q1523" s="96"/>
      <c r="T1523" s="110"/>
    </row>
    <row r="1524" spans="3:20" x14ac:dyDescent="0.2">
      <c r="C1524" s="96" t="str">
        <f t="shared" si="92"/>
        <v>SUN5</v>
      </c>
      <c r="D1524" s="73" t="s">
        <v>216</v>
      </c>
      <c r="E1524" s="100">
        <v>40603</v>
      </c>
      <c r="F1524" s="101">
        <v>0.38</v>
      </c>
      <c r="G1524" s="96">
        <f t="shared" si="93"/>
        <v>5</v>
      </c>
      <c r="I1524" s="96"/>
      <c r="K1524" t="str">
        <f t="shared" si="94"/>
        <v>SUN5</v>
      </c>
      <c r="L1524" s="73" t="s">
        <v>216</v>
      </c>
      <c r="M1524" s="72">
        <v>40603</v>
      </c>
      <c r="N1524" s="84">
        <v>0.38</v>
      </c>
      <c r="O1524" s="96">
        <f t="shared" si="95"/>
        <v>5</v>
      </c>
      <c r="Q1524" s="96"/>
      <c r="T1524" s="110"/>
    </row>
    <row r="1525" spans="3:20" x14ac:dyDescent="0.2">
      <c r="C1525" s="96" t="str">
        <f t="shared" si="92"/>
        <v>SUN6</v>
      </c>
      <c r="D1525" s="73" t="s">
        <v>216</v>
      </c>
      <c r="E1525" s="100">
        <v>40785</v>
      </c>
      <c r="F1525" s="101">
        <v>0.42</v>
      </c>
      <c r="G1525" s="96">
        <f t="shared" si="93"/>
        <v>6</v>
      </c>
      <c r="I1525" s="96"/>
      <c r="K1525" t="str">
        <f t="shared" si="94"/>
        <v>SUN6</v>
      </c>
      <c r="L1525" s="73" t="s">
        <v>216</v>
      </c>
      <c r="M1525" s="72">
        <v>40785</v>
      </c>
      <c r="N1525" s="84">
        <v>0.42</v>
      </c>
      <c r="O1525" s="96">
        <f t="shared" si="95"/>
        <v>6</v>
      </c>
      <c r="Q1525" s="96"/>
      <c r="T1525" s="110"/>
    </row>
    <row r="1526" spans="3:20" x14ac:dyDescent="0.2">
      <c r="C1526" s="96" t="str">
        <f t="shared" si="92"/>
        <v>SUN7</v>
      </c>
      <c r="D1526" s="73" t="s">
        <v>216</v>
      </c>
      <c r="E1526" s="100">
        <v>40969</v>
      </c>
      <c r="F1526" s="101">
        <v>0.4</v>
      </c>
      <c r="G1526" s="96">
        <f t="shared" si="93"/>
        <v>7</v>
      </c>
      <c r="I1526" s="96"/>
      <c r="K1526" t="str">
        <f t="shared" si="94"/>
        <v>SUN7</v>
      </c>
      <c r="L1526" s="73" t="s">
        <v>216</v>
      </c>
      <c r="M1526" s="72">
        <v>40969</v>
      </c>
      <c r="N1526" s="84">
        <v>0.4</v>
      </c>
      <c r="O1526" s="96">
        <f t="shared" si="95"/>
        <v>7</v>
      </c>
      <c r="Q1526" s="96"/>
      <c r="T1526" s="110"/>
    </row>
    <row r="1527" spans="3:20" x14ac:dyDescent="0.2">
      <c r="C1527" s="96" t="str">
        <f t="shared" si="92"/>
        <v>SUN8</v>
      </c>
      <c r="D1527" s="73" t="s">
        <v>216</v>
      </c>
      <c r="E1527" s="100">
        <v>41151</v>
      </c>
      <c r="F1527" s="101">
        <v>0.45</v>
      </c>
      <c r="G1527" s="96">
        <f t="shared" si="93"/>
        <v>8</v>
      </c>
      <c r="I1527" s="96"/>
      <c r="K1527" t="str">
        <f t="shared" si="94"/>
        <v>SUN8</v>
      </c>
      <c r="L1527" s="73" t="s">
        <v>216</v>
      </c>
      <c r="M1527" s="72">
        <v>41151</v>
      </c>
      <c r="N1527" s="84">
        <v>0.45</v>
      </c>
      <c r="O1527" s="96">
        <f t="shared" si="95"/>
        <v>8</v>
      </c>
      <c r="Q1527" s="96"/>
      <c r="T1527" s="110"/>
    </row>
    <row r="1528" spans="3:20" x14ac:dyDescent="0.2">
      <c r="C1528" s="96" t="str">
        <f t="shared" si="92"/>
        <v>SUN9</v>
      </c>
      <c r="D1528" s="73" t="s">
        <v>216</v>
      </c>
      <c r="E1528" s="100">
        <v>41334</v>
      </c>
      <c r="F1528" s="101">
        <v>0.42</v>
      </c>
      <c r="G1528" s="96">
        <f t="shared" si="93"/>
        <v>9</v>
      </c>
      <c r="I1528" s="96"/>
      <c r="K1528" t="str">
        <f t="shared" si="94"/>
        <v>SUN9</v>
      </c>
      <c r="L1528" s="73" t="s">
        <v>216</v>
      </c>
      <c r="M1528" s="72">
        <v>41334</v>
      </c>
      <c r="N1528" s="84">
        <v>0.42</v>
      </c>
      <c r="O1528" s="96">
        <f t="shared" si="95"/>
        <v>9</v>
      </c>
      <c r="Q1528" s="96"/>
      <c r="T1528" s="110"/>
    </row>
    <row r="1529" spans="3:20" x14ac:dyDescent="0.2">
      <c r="C1529" s="96" t="str">
        <f t="shared" si="92"/>
        <v>SUN10</v>
      </c>
      <c r="D1529" s="73" t="s">
        <v>216</v>
      </c>
      <c r="E1529" s="100">
        <v>41516</v>
      </c>
      <c r="F1529" s="101">
        <v>0.48</v>
      </c>
      <c r="G1529" s="96">
        <f t="shared" si="93"/>
        <v>10</v>
      </c>
      <c r="I1529" s="96"/>
      <c r="K1529" t="str">
        <f t="shared" si="94"/>
        <v>SUN10</v>
      </c>
      <c r="L1529" s="73" t="s">
        <v>216</v>
      </c>
      <c r="M1529" s="72">
        <v>41516</v>
      </c>
      <c r="N1529" s="84">
        <v>0.48</v>
      </c>
      <c r="O1529" s="96">
        <f t="shared" si="95"/>
        <v>10</v>
      </c>
      <c r="Q1529" s="96"/>
      <c r="T1529" s="110"/>
    </row>
    <row r="1530" spans="3:20" x14ac:dyDescent="0.2">
      <c r="C1530" s="96" t="str">
        <f t="shared" si="92"/>
        <v>TAH1</v>
      </c>
      <c r="D1530" s="73" t="s">
        <v>217</v>
      </c>
      <c r="E1530" s="100">
        <v>39854</v>
      </c>
      <c r="F1530" s="101">
        <v>0.35</v>
      </c>
      <c r="G1530" s="96">
        <f t="shared" si="93"/>
        <v>1</v>
      </c>
      <c r="I1530" s="96"/>
      <c r="K1530" t="str">
        <f t="shared" si="94"/>
        <v>TAH1</v>
      </c>
      <c r="L1530" s="73" t="s">
        <v>217</v>
      </c>
      <c r="M1530" s="72">
        <v>39854</v>
      </c>
      <c r="N1530" s="84">
        <v>0.35</v>
      </c>
      <c r="O1530" s="96">
        <f t="shared" si="95"/>
        <v>1</v>
      </c>
      <c r="Q1530" s="96"/>
      <c r="T1530" s="110"/>
    </row>
    <row r="1531" spans="3:20" x14ac:dyDescent="0.2">
      <c r="C1531" s="96" t="str">
        <f t="shared" si="92"/>
        <v>TAH2</v>
      </c>
      <c r="D1531" s="73" t="s">
        <v>217</v>
      </c>
      <c r="E1531" s="100">
        <v>40036</v>
      </c>
      <c r="F1531" s="101">
        <v>0.35</v>
      </c>
      <c r="G1531" s="96">
        <f t="shared" si="93"/>
        <v>2</v>
      </c>
      <c r="I1531" s="96"/>
      <c r="K1531" t="str">
        <f t="shared" si="94"/>
        <v>TAH2</v>
      </c>
      <c r="L1531" s="73" t="s">
        <v>217</v>
      </c>
      <c r="M1531" s="72">
        <v>40036</v>
      </c>
      <c r="N1531" s="84">
        <v>0.35</v>
      </c>
      <c r="O1531" s="96">
        <f t="shared" si="95"/>
        <v>2</v>
      </c>
      <c r="Q1531" s="96"/>
      <c r="T1531" s="110"/>
    </row>
    <row r="1532" spans="3:20" x14ac:dyDescent="0.2">
      <c r="C1532" s="96" t="str">
        <f t="shared" si="92"/>
        <v>TAH3</v>
      </c>
      <c r="D1532" s="73" t="s">
        <v>217</v>
      </c>
      <c r="E1532" s="100">
        <v>40219</v>
      </c>
      <c r="F1532" s="101">
        <v>0.35</v>
      </c>
      <c r="G1532" s="96">
        <f t="shared" si="93"/>
        <v>3</v>
      </c>
      <c r="I1532" s="96"/>
      <c r="K1532" t="str">
        <f t="shared" si="94"/>
        <v>TAH3</v>
      </c>
      <c r="L1532" s="73" t="s">
        <v>217</v>
      </c>
      <c r="M1532" s="72">
        <v>40219</v>
      </c>
      <c r="N1532" s="84">
        <v>0.35</v>
      </c>
      <c r="O1532" s="96">
        <f t="shared" si="95"/>
        <v>3</v>
      </c>
      <c r="Q1532" s="96"/>
      <c r="T1532" s="110"/>
    </row>
    <row r="1533" spans="3:20" x14ac:dyDescent="0.2">
      <c r="C1533" s="96" t="str">
        <f t="shared" si="92"/>
        <v>TAH4</v>
      </c>
      <c r="D1533" s="73" t="s">
        <v>217</v>
      </c>
      <c r="E1533" s="100">
        <v>40401</v>
      </c>
      <c r="F1533" s="101">
        <v>0.35</v>
      </c>
      <c r="G1533" s="96">
        <f t="shared" si="93"/>
        <v>4</v>
      </c>
      <c r="I1533" s="96"/>
      <c r="K1533" t="str">
        <f t="shared" si="94"/>
        <v>TAH4</v>
      </c>
      <c r="L1533" s="73" t="s">
        <v>217</v>
      </c>
      <c r="M1533" s="72">
        <v>40401</v>
      </c>
      <c r="N1533" s="84">
        <v>0.35</v>
      </c>
      <c r="O1533" s="96">
        <f t="shared" si="95"/>
        <v>4</v>
      </c>
      <c r="Q1533" s="96"/>
      <c r="T1533" s="110"/>
    </row>
    <row r="1534" spans="3:20" x14ac:dyDescent="0.2">
      <c r="C1534" s="96" t="str">
        <f t="shared" si="92"/>
        <v>TAH5</v>
      </c>
      <c r="D1534" s="73" t="s">
        <v>217</v>
      </c>
      <c r="E1534" s="100">
        <v>40584</v>
      </c>
      <c r="F1534" s="101">
        <v>0.36</v>
      </c>
      <c r="G1534" s="96">
        <f t="shared" si="93"/>
        <v>5</v>
      </c>
      <c r="I1534" s="96"/>
      <c r="K1534" t="str">
        <f t="shared" si="94"/>
        <v>TAH5</v>
      </c>
      <c r="L1534" s="73" t="s">
        <v>217</v>
      </c>
      <c r="M1534" s="72">
        <v>40584</v>
      </c>
      <c r="N1534" s="84">
        <v>0.36</v>
      </c>
      <c r="O1534" s="96">
        <f t="shared" si="95"/>
        <v>5</v>
      </c>
      <c r="Q1534" s="96"/>
      <c r="T1534" s="110"/>
    </row>
    <row r="1535" spans="3:20" x14ac:dyDescent="0.2">
      <c r="C1535" s="96" t="str">
        <f t="shared" si="92"/>
        <v>TAH6</v>
      </c>
      <c r="D1535" s="73" t="s">
        <v>217</v>
      </c>
      <c r="E1535" s="100">
        <v>40766</v>
      </c>
      <c r="F1535" s="101">
        <v>0.36</v>
      </c>
      <c r="G1535" s="96">
        <f t="shared" si="93"/>
        <v>6</v>
      </c>
      <c r="I1535" s="96"/>
      <c r="K1535" t="str">
        <f t="shared" si="94"/>
        <v>TAH6</v>
      </c>
      <c r="L1535" s="73" t="s">
        <v>217</v>
      </c>
      <c r="M1535" s="72">
        <v>40766</v>
      </c>
      <c r="N1535" s="84">
        <v>0.36</v>
      </c>
      <c r="O1535" s="96">
        <f t="shared" si="95"/>
        <v>6</v>
      </c>
      <c r="Q1535" s="96"/>
      <c r="T1535" s="110"/>
    </row>
    <row r="1536" spans="3:20" x14ac:dyDescent="0.2">
      <c r="C1536" s="96" t="str">
        <f t="shared" si="92"/>
        <v>TAH7</v>
      </c>
      <c r="D1536" s="73" t="s">
        <v>217</v>
      </c>
      <c r="E1536" s="100">
        <v>40949</v>
      </c>
      <c r="F1536" s="101">
        <v>0.38</v>
      </c>
      <c r="G1536" s="96">
        <f t="shared" si="93"/>
        <v>7</v>
      </c>
      <c r="I1536" s="96"/>
      <c r="K1536" t="str">
        <f t="shared" si="94"/>
        <v>TAH7</v>
      </c>
      <c r="L1536" s="73" t="s">
        <v>217</v>
      </c>
      <c r="M1536" s="72">
        <v>40949</v>
      </c>
      <c r="N1536" s="84">
        <v>0.38</v>
      </c>
      <c r="O1536" s="96">
        <f t="shared" si="95"/>
        <v>7</v>
      </c>
      <c r="Q1536" s="96"/>
      <c r="T1536" s="110"/>
    </row>
    <row r="1537" spans="3:20" x14ac:dyDescent="0.2">
      <c r="C1537" s="96" t="str">
        <f t="shared" si="92"/>
        <v>TAH8</v>
      </c>
      <c r="D1537" s="73" t="s">
        <v>217</v>
      </c>
      <c r="E1537" s="100">
        <v>41134</v>
      </c>
      <c r="F1537" s="101">
        <v>0.38</v>
      </c>
      <c r="G1537" s="96">
        <f t="shared" si="93"/>
        <v>8</v>
      </c>
      <c r="I1537" s="96"/>
      <c r="K1537" t="str">
        <f t="shared" si="94"/>
        <v>TAH8</v>
      </c>
      <c r="L1537" s="73" t="s">
        <v>217</v>
      </c>
      <c r="M1537" s="72">
        <v>41134</v>
      </c>
      <c r="N1537" s="84">
        <v>0.38</v>
      </c>
      <c r="O1537" s="96">
        <f t="shared" si="95"/>
        <v>8</v>
      </c>
      <c r="Q1537" s="96"/>
      <c r="T1537" s="110"/>
    </row>
    <row r="1538" spans="3:20" x14ac:dyDescent="0.2">
      <c r="C1538" s="96" t="str">
        <f t="shared" si="92"/>
        <v>TAH9</v>
      </c>
      <c r="D1538" s="73" t="s">
        <v>217</v>
      </c>
      <c r="E1538" s="100">
        <v>41317</v>
      </c>
      <c r="F1538" s="101">
        <v>0.4</v>
      </c>
      <c r="G1538" s="96">
        <f t="shared" si="93"/>
        <v>9</v>
      </c>
      <c r="I1538" s="96"/>
      <c r="K1538" t="str">
        <f t="shared" si="94"/>
        <v>TAH9</v>
      </c>
      <c r="L1538" s="73" t="s">
        <v>217</v>
      </c>
      <c r="M1538" s="72">
        <v>41317</v>
      </c>
      <c r="N1538" s="84">
        <v>0.4</v>
      </c>
      <c r="O1538" s="96">
        <f t="shared" si="95"/>
        <v>9</v>
      </c>
      <c r="Q1538" s="96"/>
      <c r="T1538" s="110"/>
    </row>
    <row r="1539" spans="3:20" x14ac:dyDescent="0.2">
      <c r="C1539" s="96" t="str">
        <f t="shared" ref="C1539:C1602" si="96">D1539&amp;G1539</f>
        <v>TAH10</v>
      </c>
      <c r="D1539" s="73" t="s">
        <v>217</v>
      </c>
      <c r="E1539" s="100">
        <v>41499</v>
      </c>
      <c r="F1539" s="101">
        <v>0.4</v>
      </c>
      <c r="G1539" s="96">
        <f t="shared" ref="G1539:G1602" si="97">IF(D1539&lt;&gt;D1538,1,G1538+1)</f>
        <v>10</v>
      </c>
      <c r="I1539" s="96"/>
      <c r="K1539" t="str">
        <f t="shared" ref="K1539:K1602" si="98">L1539&amp;O1539</f>
        <v>TAH10</v>
      </c>
      <c r="L1539" s="73" t="s">
        <v>217</v>
      </c>
      <c r="M1539" s="72">
        <v>41499</v>
      </c>
      <c r="N1539" s="84">
        <v>0.4</v>
      </c>
      <c r="O1539" s="96">
        <f t="shared" ref="O1539:O1602" si="99">IF(L1539&lt;&gt;L1538,1,O1538+1)</f>
        <v>10</v>
      </c>
      <c r="Q1539" s="96"/>
      <c r="T1539" s="110"/>
    </row>
    <row r="1540" spans="3:20" x14ac:dyDescent="0.2">
      <c r="C1540" s="96" t="str">
        <f t="shared" si="96"/>
        <v>TAL1</v>
      </c>
      <c r="D1540" s="73" t="s">
        <v>218</v>
      </c>
      <c r="E1540" s="100">
        <v>40171</v>
      </c>
      <c r="F1540" s="101">
        <v>0.06</v>
      </c>
      <c r="G1540" s="96">
        <f t="shared" si="97"/>
        <v>1</v>
      </c>
      <c r="I1540" s="96"/>
      <c r="K1540" t="str">
        <f t="shared" si="98"/>
        <v>TAL1</v>
      </c>
      <c r="L1540" s="73" t="s">
        <v>218</v>
      </c>
      <c r="M1540" s="72">
        <v>40171</v>
      </c>
      <c r="N1540" s="84">
        <v>0.06</v>
      </c>
      <c r="O1540" s="96">
        <f t="shared" si="99"/>
        <v>1</v>
      </c>
      <c r="Q1540" s="96"/>
      <c r="T1540" s="110"/>
    </row>
    <row r="1541" spans="3:20" x14ac:dyDescent="0.2">
      <c r="C1541" s="96" t="str">
        <f t="shared" si="96"/>
        <v>TAL2</v>
      </c>
      <c r="D1541" s="73" t="s">
        <v>218</v>
      </c>
      <c r="E1541" s="100">
        <v>40541</v>
      </c>
      <c r="F1541" s="101">
        <v>7.2000000000000008E-2</v>
      </c>
      <c r="G1541" s="96">
        <f t="shared" si="97"/>
        <v>2</v>
      </c>
      <c r="I1541" s="96"/>
      <c r="K1541" t="str">
        <f t="shared" si="98"/>
        <v>TAL2</v>
      </c>
      <c r="L1541" s="73" t="s">
        <v>218</v>
      </c>
      <c r="M1541" s="72">
        <v>40541</v>
      </c>
      <c r="N1541" s="84">
        <v>7.2000000000000008E-2</v>
      </c>
      <c r="O1541" s="96">
        <f t="shared" si="99"/>
        <v>2</v>
      </c>
      <c r="Q1541" s="96"/>
      <c r="T1541" s="110"/>
    </row>
    <row r="1542" spans="3:20" x14ac:dyDescent="0.2">
      <c r="C1542" s="96" t="str">
        <f t="shared" si="96"/>
        <v>TAL3</v>
      </c>
      <c r="D1542" s="73" t="s">
        <v>218</v>
      </c>
      <c r="E1542" s="100">
        <v>40906</v>
      </c>
      <c r="F1542" s="101">
        <v>8.4000000000000005E-2</v>
      </c>
      <c r="G1542" s="96">
        <f t="shared" si="97"/>
        <v>3</v>
      </c>
      <c r="I1542" s="96"/>
      <c r="K1542" t="str">
        <f t="shared" si="98"/>
        <v>TAL3</v>
      </c>
      <c r="L1542" s="73" t="s">
        <v>218</v>
      </c>
      <c r="M1542" s="72">
        <v>40906</v>
      </c>
      <c r="N1542" s="84">
        <v>8.4000000000000005E-2</v>
      </c>
      <c r="O1542" s="96">
        <f t="shared" si="99"/>
        <v>3</v>
      </c>
      <c r="Q1542" s="96"/>
      <c r="T1542" s="83"/>
    </row>
    <row r="1543" spans="3:20" x14ac:dyDescent="0.2">
      <c r="C1543" s="96" t="str">
        <f t="shared" si="96"/>
        <v>TAL4</v>
      </c>
      <c r="D1543" s="73" t="s">
        <v>218</v>
      </c>
      <c r="E1543" s="100">
        <v>41274</v>
      </c>
      <c r="F1543" s="101">
        <v>8.5999999999999993E-2</v>
      </c>
      <c r="G1543" s="96">
        <f t="shared" si="97"/>
        <v>4</v>
      </c>
      <c r="I1543" s="96"/>
      <c r="K1543" t="str">
        <f t="shared" si="98"/>
        <v>TAL4</v>
      </c>
      <c r="L1543" s="73" t="s">
        <v>218</v>
      </c>
      <c r="M1543" s="72">
        <v>41274</v>
      </c>
      <c r="N1543" s="84">
        <v>8.5999999999999993E-2</v>
      </c>
      <c r="O1543" s="96">
        <f t="shared" si="99"/>
        <v>4</v>
      </c>
      <c r="Q1543" s="96"/>
      <c r="T1543" s="110"/>
    </row>
    <row r="1544" spans="3:20" x14ac:dyDescent="0.2">
      <c r="C1544" s="96" t="str">
        <f t="shared" si="96"/>
        <v>TAL5</v>
      </c>
      <c r="D1544" s="73" t="s">
        <v>218</v>
      </c>
      <c r="E1544" s="100">
        <v>41639</v>
      </c>
      <c r="F1544" s="101">
        <v>9.4E-2</v>
      </c>
      <c r="G1544" s="96">
        <f t="shared" si="97"/>
        <v>5</v>
      </c>
      <c r="I1544" s="96"/>
      <c r="K1544" t="str">
        <f t="shared" si="98"/>
        <v>TAL5</v>
      </c>
      <c r="L1544" s="73" t="s">
        <v>218</v>
      </c>
      <c r="M1544" s="72">
        <v>41639</v>
      </c>
      <c r="N1544" s="84">
        <v>9.4E-2</v>
      </c>
      <c r="O1544" s="96">
        <f t="shared" si="99"/>
        <v>5</v>
      </c>
      <c r="Q1544" s="96"/>
      <c r="T1544" s="110"/>
    </row>
    <row r="1545" spans="3:20" x14ac:dyDescent="0.2">
      <c r="C1545" s="96" t="str">
        <f t="shared" si="96"/>
        <v>TCL1</v>
      </c>
      <c r="D1545" s="73" t="s">
        <v>219</v>
      </c>
      <c r="E1545" s="100">
        <v>39988</v>
      </c>
      <c r="F1545" s="101">
        <v>0.11</v>
      </c>
      <c r="G1545" s="96">
        <f t="shared" si="97"/>
        <v>1</v>
      </c>
      <c r="I1545" s="96"/>
      <c r="K1545" t="str">
        <f t="shared" si="98"/>
        <v>TCL1</v>
      </c>
      <c r="L1545" s="73" t="s">
        <v>219</v>
      </c>
      <c r="M1545" s="72">
        <v>39988</v>
      </c>
      <c r="N1545" s="84">
        <v>0.11</v>
      </c>
      <c r="O1545" s="96">
        <f t="shared" si="99"/>
        <v>1</v>
      </c>
      <c r="Q1545" s="96"/>
      <c r="T1545" s="110"/>
    </row>
    <row r="1546" spans="3:20" x14ac:dyDescent="0.2">
      <c r="C1546" s="96" t="str">
        <f t="shared" si="96"/>
        <v>TCL2</v>
      </c>
      <c r="D1546" s="73" t="s">
        <v>219</v>
      </c>
      <c r="E1546" s="100">
        <v>40170</v>
      </c>
      <c r="F1546" s="101">
        <v>0.11</v>
      </c>
      <c r="G1546" s="96">
        <f t="shared" si="97"/>
        <v>2</v>
      </c>
      <c r="I1546" s="96"/>
      <c r="K1546" t="str">
        <f t="shared" si="98"/>
        <v>TCL2</v>
      </c>
      <c r="L1546" s="73" t="s">
        <v>219</v>
      </c>
      <c r="M1546" s="72">
        <v>40170</v>
      </c>
      <c r="N1546" s="84">
        <v>0.11</v>
      </c>
      <c r="O1546" s="96">
        <f t="shared" si="99"/>
        <v>2</v>
      </c>
      <c r="Q1546" s="96"/>
      <c r="T1546" s="110"/>
    </row>
    <row r="1547" spans="3:20" x14ac:dyDescent="0.2">
      <c r="C1547" s="96" t="str">
        <f t="shared" si="96"/>
        <v>TCL3</v>
      </c>
      <c r="D1547" s="73" t="s">
        <v>219</v>
      </c>
      <c r="E1547" s="100">
        <v>40353</v>
      </c>
      <c r="F1547" s="101">
        <v>0.11</v>
      </c>
      <c r="G1547" s="96">
        <f t="shared" si="97"/>
        <v>3</v>
      </c>
      <c r="I1547" s="96"/>
      <c r="K1547" t="str">
        <f t="shared" si="98"/>
        <v>TCL3</v>
      </c>
      <c r="L1547" s="73" t="s">
        <v>219</v>
      </c>
      <c r="M1547" s="72">
        <v>40353</v>
      </c>
      <c r="N1547" s="84">
        <v>0.11</v>
      </c>
      <c r="O1547" s="96">
        <f t="shared" si="99"/>
        <v>3</v>
      </c>
      <c r="Q1547" s="96"/>
      <c r="T1547" s="110"/>
    </row>
    <row r="1548" spans="3:20" x14ac:dyDescent="0.2">
      <c r="C1548" s="96" t="str">
        <f t="shared" si="96"/>
        <v>TCL4</v>
      </c>
      <c r="D1548" s="73" t="s">
        <v>219</v>
      </c>
      <c r="E1548" s="100">
        <v>40535</v>
      </c>
      <c r="F1548" s="101">
        <v>0.11</v>
      </c>
      <c r="G1548" s="96">
        <f t="shared" si="97"/>
        <v>4</v>
      </c>
      <c r="I1548" s="96"/>
      <c r="K1548" t="str">
        <f t="shared" si="98"/>
        <v>TCL4</v>
      </c>
      <c r="L1548" s="73" t="s">
        <v>219</v>
      </c>
      <c r="M1548" s="72">
        <v>40535</v>
      </c>
      <c r="N1548" s="84">
        <v>0.11</v>
      </c>
      <c r="O1548" s="96">
        <f t="shared" si="99"/>
        <v>4</v>
      </c>
      <c r="Q1548" s="96"/>
      <c r="T1548" s="110"/>
    </row>
    <row r="1549" spans="3:20" x14ac:dyDescent="0.2">
      <c r="C1549" s="96" t="str">
        <f t="shared" si="96"/>
        <v>TCL5</v>
      </c>
      <c r="D1549" s="73" t="s">
        <v>219</v>
      </c>
      <c r="E1549" s="100">
        <v>40718</v>
      </c>
      <c r="F1549" s="101">
        <v>0.12</v>
      </c>
      <c r="G1549" s="96">
        <f t="shared" si="97"/>
        <v>5</v>
      </c>
      <c r="I1549" s="96"/>
      <c r="K1549" t="str">
        <f t="shared" si="98"/>
        <v>TCL5</v>
      </c>
      <c r="L1549" s="73" t="s">
        <v>219</v>
      </c>
      <c r="M1549" s="72">
        <v>40718</v>
      </c>
      <c r="N1549" s="84">
        <v>0.12</v>
      </c>
      <c r="O1549" s="96">
        <f t="shared" si="99"/>
        <v>5</v>
      </c>
      <c r="Q1549" s="96"/>
      <c r="T1549" s="110"/>
    </row>
    <row r="1550" spans="3:20" x14ac:dyDescent="0.2">
      <c r="C1550" s="96" t="str">
        <f t="shared" si="96"/>
        <v>TCL6</v>
      </c>
      <c r="D1550" s="73" t="s">
        <v>219</v>
      </c>
      <c r="E1550" s="100">
        <v>40899</v>
      </c>
      <c r="F1550" s="101">
        <v>0.12</v>
      </c>
      <c r="G1550" s="96">
        <f t="shared" si="97"/>
        <v>6</v>
      </c>
      <c r="I1550" s="96"/>
      <c r="K1550" t="str">
        <f t="shared" si="98"/>
        <v>TCL6</v>
      </c>
      <c r="L1550" s="73" t="s">
        <v>219</v>
      </c>
      <c r="M1550" s="72">
        <v>40899</v>
      </c>
      <c r="N1550" s="84">
        <v>0.12</v>
      </c>
      <c r="O1550" s="96">
        <f t="shared" si="99"/>
        <v>6</v>
      </c>
      <c r="Q1550" s="96"/>
      <c r="T1550" s="110"/>
    </row>
    <row r="1551" spans="3:20" x14ac:dyDescent="0.2">
      <c r="C1551" s="96" t="str">
        <f t="shared" si="96"/>
        <v>TCL7</v>
      </c>
      <c r="D1551" s="73" t="s">
        <v>219</v>
      </c>
      <c r="E1551" s="100">
        <v>41085</v>
      </c>
      <c r="F1551" s="101">
        <v>0.13</v>
      </c>
      <c r="G1551" s="96">
        <f t="shared" si="97"/>
        <v>7</v>
      </c>
      <c r="I1551" s="96"/>
      <c r="K1551" t="str">
        <f t="shared" si="98"/>
        <v>TCL7</v>
      </c>
      <c r="L1551" s="73" t="s">
        <v>219</v>
      </c>
      <c r="M1551" s="72">
        <v>41085</v>
      </c>
      <c r="N1551" s="84">
        <v>0.13</v>
      </c>
      <c r="O1551" s="96">
        <f t="shared" si="99"/>
        <v>7</v>
      </c>
      <c r="Q1551" s="96"/>
      <c r="T1551" s="110"/>
    </row>
    <row r="1552" spans="3:20" x14ac:dyDescent="0.2">
      <c r="C1552" s="96" t="str">
        <f t="shared" si="96"/>
        <v>TCL8</v>
      </c>
      <c r="D1552" s="73" t="s">
        <v>219</v>
      </c>
      <c r="E1552" s="100">
        <v>41268</v>
      </c>
      <c r="F1552" s="101">
        <v>0.13</v>
      </c>
      <c r="G1552" s="96">
        <f t="shared" si="97"/>
        <v>8</v>
      </c>
      <c r="I1552" s="96"/>
      <c r="K1552" t="str">
        <f t="shared" si="98"/>
        <v>TCL8</v>
      </c>
      <c r="L1552" s="73" t="s">
        <v>219</v>
      </c>
      <c r="M1552" s="72">
        <v>41268</v>
      </c>
      <c r="N1552" s="84">
        <v>0.13</v>
      </c>
      <c r="O1552" s="96">
        <f t="shared" si="99"/>
        <v>8</v>
      </c>
      <c r="Q1552" s="96"/>
      <c r="T1552" s="110"/>
    </row>
    <row r="1553" spans="3:20" x14ac:dyDescent="0.2">
      <c r="C1553" s="96" t="str">
        <f t="shared" si="96"/>
        <v>TCL9</v>
      </c>
      <c r="D1553" s="73" t="s">
        <v>219</v>
      </c>
      <c r="E1553" s="100">
        <v>41450</v>
      </c>
      <c r="F1553" s="101">
        <v>0.14000000000000001</v>
      </c>
      <c r="G1553" s="96">
        <f t="shared" si="97"/>
        <v>9</v>
      </c>
      <c r="I1553" s="96"/>
      <c r="K1553" t="str">
        <f t="shared" si="98"/>
        <v>TCL9</v>
      </c>
      <c r="L1553" s="73" t="s">
        <v>219</v>
      </c>
      <c r="M1553" s="72">
        <v>41450</v>
      </c>
      <c r="N1553" s="84">
        <v>0.14000000000000001</v>
      </c>
      <c r="O1553" s="96">
        <f t="shared" si="99"/>
        <v>9</v>
      </c>
      <c r="Q1553" s="96"/>
      <c r="T1553" s="110"/>
    </row>
    <row r="1554" spans="3:20" x14ac:dyDescent="0.2">
      <c r="C1554" s="96" t="str">
        <f t="shared" si="96"/>
        <v>TEL1</v>
      </c>
      <c r="D1554" s="73" t="s">
        <v>220</v>
      </c>
      <c r="E1554" s="100">
        <v>39861</v>
      </c>
      <c r="F1554" s="101">
        <v>0.06</v>
      </c>
      <c r="G1554" s="96">
        <f t="shared" si="97"/>
        <v>1</v>
      </c>
      <c r="I1554" s="96"/>
      <c r="K1554" t="str">
        <f t="shared" si="98"/>
        <v>TEL1</v>
      </c>
      <c r="L1554" s="73" t="s">
        <v>220</v>
      </c>
      <c r="M1554" s="72">
        <v>39861</v>
      </c>
      <c r="N1554" s="84">
        <v>0.06</v>
      </c>
      <c r="O1554" s="96">
        <f t="shared" si="99"/>
        <v>1</v>
      </c>
      <c r="Q1554" s="96"/>
      <c r="T1554" s="110"/>
    </row>
    <row r="1555" spans="3:20" x14ac:dyDescent="0.2">
      <c r="C1555" s="96" t="str">
        <f t="shared" si="96"/>
        <v>TEL2</v>
      </c>
      <c r="D1555" s="73" t="s">
        <v>220</v>
      </c>
      <c r="E1555" s="100">
        <v>39952</v>
      </c>
      <c r="F1555" s="101">
        <v>0.06</v>
      </c>
      <c r="G1555" s="96">
        <f t="shared" si="97"/>
        <v>2</v>
      </c>
      <c r="I1555" s="96"/>
      <c r="K1555" t="str">
        <f t="shared" si="98"/>
        <v>TEL2</v>
      </c>
      <c r="L1555" s="73" t="s">
        <v>220</v>
      </c>
      <c r="M1555" s="72">
        <v>39952</v>
      </c>
      <c r="N1555" s="84">
        <v>0.06</v>
      </c>
      <c r="O1555" s="96">
        <f t="shared" si="99"/>
        <v>2</v>
      </c>
      <c r="Q1555" s="96"/>
      <c r="T1555" s="110"/>
    </row>
    <row r="1556" spans="3:20" x14ac:dyDescent="0.2">
      <c r="C1556" s="96" t="str">
        <f t="shared" si="96"/>
        <v>TEL3</v>
      </c>
      <c r="D1556" s="73" t="s">
        <v>220</v>
      </c>
      <c r="E1556" s="100">
        <v>40050</v>
      </c>
      <c r="F1556" s="101">
        <v>0.06</v>
      </c>
      <c r="G1556" s="96">
        <f t="shared" si="97"/>
        <v>3</v>
      </c>
      <c r="I1556" s="96"/>
      <c r="K1556" t="str">
        <f t="shared" si="98"/>
        <v>TEL3</v>
      </c>
      <c r="L1556" s="73" t="s">
        <v>220</v>
      </c>
      <c r="M1556" s="72">
        <v>40050</v>
      </c>
      <c r="N1556" s="84">
        <v>0.06</v>
      </c>
      <c r="O1556" s="96">
        <f t="shared" si="99"/>
        <v>3</v>
      </c>
      <c r="Q1556" s="96"/>
      <c r="T1556" s="110"/>
    </row>
    <row r="1557" spans="3:20" x14ac:dyDescent="0.2">
      <c r="C1557" s="96" t="str">
        <f t="shared" si="96"/>
        <v>TEL4</v>
      </c>
      <c r="D1557" s="73" t="s">
        <v>220</v>
      </c>
      <c r="E1557" s="100">
        <v>40141</v>
      </c>
      <c r="F1557" s="101">
        <v>0.06</v>
      </c>
      <c r="G1557" s="96">
        <f t="shared" si="97"/>
        <v>4</v>
      </c>
      <c r="I1557" s="96"/>
      <c r="K1557" t="str">
        <f t="shared" si="98"/>
        <v>TEL4</v>
      </c>
      <c r="L1557" s="73" t="s">
        <v>220</v>
      </c>
      <c r="M1557" s="72">
        <v>40141</v>
      </c>
      <c r="N1557" s="84">
        <v>0.06</v>
      </c>
      <c r="O1557" s="96">
        <f t="shared" si="99"/>
        <v>4</v>
      </c>
      <c r="Q1557" s="96"/>
      <c r="T1557" s="110"/>
    </row>
    <row r="1558" spans="3:20" x14ac:dyDescent="0.2">
      <c r="C1558" s="96" t="str">
        <f t="shared" si="96"/>
        <v>TEL5</v>
      </c>
      <c r="D1558" s="73" t="s">
        <v>220</v>
      </c>
      <c r="E1558" s="100">
        <v>40226</v>
      </c>
      <c r="F1558" s="101">
        <v>0.06</v>
      </c>
      <c r="G1558" s="96">
        <f t="shared" si="97"/>
        <v>5</v>
      </c>
      <c r="I1558" s="96"/>
      <c r="K1558" t="str">
        <f t="shared" si="98"/>
        <v>TEL5</v>
      </c>
      <c r="L1558" s="73" t="s">
        <v>220</v>
      </c>
      <c r="M1558" s="72">
        <v>40226</v>
      </c>
      <c r="N1558" s="84">
        <v>0.06</v>
      </c>
      <c r="O1558" s="96">
        <f t="shared" si="99"/>
        <v>5</v>
      </c>
      <c r="Q1558" s="96"/>
      <c r="T1558" s="110"/>
    </row>
    <row r="1559" spans="3:20" x14ac:dyDescent="0.2">
      <c r="C1559" s="96" t="str">
        <f t="shared" si="96"/>
        <v>TEL6</v>
      </c>
      <c r="D1559" s="73" t="s">
        <v>220</v>
      </c>
      <c r="E1559" s="100">
        <v>40317</v>
      </c>
      <c r="F1559" s="101">
        <v>0.06</v>
      </c>
      <c r="G1559" s="96">
        <f t="shared" si="97"/>
        <v>6</v>
      </c>
      <c r="I1559" s="96"/>
      <c r="K1559" t="str">
        <f t="shared" si="98"/>
        <v>TEL6</v>
      </c>
      <c r="L1559" s="73" t="s">
        <v>220</v>
      </c>
      <c r="M1559" s="72">
        <v>40317</v>
      </c>
      <c r="N1559" s="84">
        <v>0.06</v>
      </c>
      <c r="O1559" s="96">
        <f t="shared" si="99"/>
        <v>6</v>
      </c>
      <c r="Q1559" s="96"/>
      <c r="T1559" s="110"/>
    </row>
    <row r="1560" spans="3:20" x14ac:dyDescent="0.2">
      <c r="C1560" s="96" t="str">
        <f t="shared" si="96"/>
        <v>TEL7</v>
      </c>
      <c r="D1560" s="73" t="s">
        <v>220</v>
      </c>
      <c r="E1560" s="100">
        <v>40415</v>
      </c>
      <c r="F1560" s="101">
        <v>0.06</v>
      </c>
      <c r="G1560" s="96">
        <f t="shared" si="97"/>
        <v>7</v>
      </c>
      <c r="I1560" s="96"/>
      <c r="K1560" t="str">
        <f t="shared" si="98"/>
        <v>TEL7</v>
      </c>
      <c r="L1560" s="73" t="s">
        <v>220</v>
      </c>
      <c r="M1560" s="72">
        <v>40415</v>
      </c>
      <c r="N1560" s="84">
        <v>0.06</v>
      </c>
      <c r="O1560" s="96">
        <f t="shared" si="99"/>
        <v>7</v>
      </c>
      <c r="Q1560" s="96"/>
      <c r="T1560" s="110"/>
    </row>
    <row r="1561" spans="3:20" x14ac:dyDescent="0.2">
      <c r="C1561" s="96" t="str">
        <f t="shared" si="96"/>
        <v>TEL8</v>
      </c>
      <c r="D1561" s="73" t="s">
        <v>220</v>
      </c>
      <c r="E1561" s="100">
        <v>40506</v>
      </c>
      <c r="F1561" s="101">
        <v>7.0000000000000007E-2</v>
      </c>
      <c r="G1561" s="96">
        <f t="shared" si="97"/>
        <v>8</v>
      </c>
      <c r="I1561" s="96"/>
      <c r="K1561" t="str">
        <f t="shared" si="98"/>
        <v>TEL8</v>
      </c>
      <c r="L1561" s="73" t="s">
        <v>220</v>
      </c>
      <c r="M1561" s="72">
        <v>40506</v>
      </c>
      <c r="N1561" s="84">
        <v>7.0000000000000007E-2</v>
      </c>
      <c r="O1561" s="96">
        <f t="shared" si="99"/>
        <v>8</v>
      </c>
      <c r="Q1561" s="96"/>
      <c r="T1561" s="110"/>
    </row>
    <row r="1562" spans="3:20" x14ac:dyDescent="0.2">
      <c r="C1562" s="96" t="str">
        <f t="shared" si="96"/>
        <v>TEL9</v>
      </c>
      <c r="D1562" s="73" t="s">
        <v>220</v>
      </c>
      <c r="E1562" s="100">
        <v>40591</v>
      </c>
      <c r="F1562" s="101">
        <v>7.0000000000000007E-2</v>
      </c>
      <c r="G1562" s="96">
        <f t="shared" si="97"/>
        <v>9</v>
      </c>
      <c r="I1562" s="96"/>
      <c r="K1562" t="str">
        <f t="shared" si="98"/>
        <v>TEL9</v>
      </c>
      <c r="L1562" s="73" t="s">
        <v>220</v>
      </c>
      <c r="M1562" s="72">
        <v>40591</v>
      </c>
      <c r="N1562" s="84">
        <v>7.0000000000000007E-2</v>
      </c>
      <c r="O1562" s="96">
        <f t="shared" si="99"/>
        <v>9</v>
      </c>
      <c r="Q1562" s="96"/>
      <c r="T1562" s="110"/>
    </row>
    <row r="1563" spans="3:20" x14ac:dyDescent="0.2">
      <c r="C1563" s="96" t="str">
        <f t="shared" si="96"/>
        <v>TEL10</v>
      </c>
      <c r="D1563" s="73" t="s">
        <v>220</v>
      </c>
      <c r="E1563" s="100">
        <v>40682</v>
      </c>
      <c r="F1563" s="101">
        <v>7.0000000000000007E-2</v>
      </c>
      <c r="G1563" s="96">
        <f t="shared" si="97"/>
        <v>10</v>
      </c>
      <c r="I1563" s="96"/>
      <c r="K1563" t="str">
        <f t="shared" si="98"/>
        <v>TEL10</v>
      </c>
      <c r="L1563" s="73" t="s">
        <v>220</v>
      </c>
      <c r="M1563" s="72">
        <v>40682</v>
      </c>
      <c r="N1563" s="84">
        <v>7.0000000000000007E-2</v>
      </c>
      <c r="O1563" s="96">
        <f t="shared" si="99"/>
        <v>10</v>
      </c>
      <c r="Q1563" s="96"/>
      <c r="T1563" s="110"/>
    </row>
    <row r="1564" spans="3:20" x14ac:dyDescent="0.2">
      <c r="C1564" s="96" t="str">
        <f t="shared" si="96"/>
        <v>TEL11</v>
      </c>
      <c r="D1564" s="73" t="s">
        <v>220</v>
      </c>
      <c r="E1564" s="100">
        <v>40780</v>
      </c>
      <c r="F1564" s="101">
        <v>7.0000000000000007E-2</v>
      </c>
      <c r="G1564" s="96">
        <f t="shared" si="97"/>
        <v>11</v>
      </c>
      <c r="I1564" s="96"/>
      <c r="K1564" t="str">
        <f t="shared" si="98"/>
        <v>TEL11</v>
      </c>
      <c r="L1564" s="73" t="s">
        <v>220</v>
      </c>
      <c r="M1564" s="72">
        <v>40780</v>
      </c>
      <c r="N1564" s="84">
        <v>7.0000000000000007E-2</v>
      </c>
      <c r="O1564" s="96">
        <f t="shared" si="99"/>
        <v>11</v>
      </c>
      <c r="Q1564" s="96"/>
      <c r="T1564" s="110"/>
    </row>
    <row r="1565" spans="3:20" x14ac:dyDescent="0.2">
      <c r="C1565" s="96" t="str">
        <f t="shared" si="96"/>
        <v>TEL12</v>
      </c>
      <c r="D1565" s="73" t="s">
        <v>220</v>
      </c>
      <c r="E1565" s="100">
        <v>40871</v>
      </c>
      <c r="F1565" s="101">
        <v>7.0000000000000007E-2</v>
      </c>
      <c r="G1565" s="96">
        <f t="shared" si="97"/>
        <v>12</v>
      </c>
      <c r="I1565" s="96"/>
      <c r="K1565" t="str">
        <f t="shared" si="98"/>
        <v>TEL12</v>
      </c>
      <c r="L1565" s="73" t="s">
        <v>220</v>
      </c>
      <c r="M1565" s="72">
        <v>40871</v>
      </c>
      <c r="N1565" s="84">
        <v>7.0000000000000007E-2</v>
      </c>
      <c r="O1565" s="96">
        <f t="shared" si="99"/>
        <v>12</v>
      </c>
      <c r="Q1565" s="96"/>
      <c r="T1565" s="110"/>
    </row>
    <row r="1566" spans="3:20" x14ac:dyDescent="0.2">
      <c r="C1566" s="96" t="str">
        <f t="shared" si="96"/>
        <v>TEL13</v>
      </c>
      <c r="D1566" s="73" t="s">
        <v>220</v>
      </c>
      <c r="E1566" s="100">
        <v>40956</v>
      </c>
      <c r="F1566" s="101">
        <v>7.0000000000000007E-2</v>
      </c>
      <c r="G1566" s="96">
        <f t="shared" si="97"/>
        <v>13</v>
      </c>
      <c r="I1566" s="96"/>
      <c r="K1566" t="str">
        <f t="shared" si="98"/>
        <v>TEL13</v>
      </c>
      <c r="L1566" s="73" t="s">
        <v>220</v>
      </c>
      <c r="M1566" s="72">
        <v>40956</v>
      </c>
      <c r="N1566" s="84">
        <v>7.0000000000000007E-2</v>
      </c>
      <c r="O1566" s="96">
        <f t="shared" si="99"/>
        <v>13</v>
      </c>
      <c r="Q1566" s="96"/>
      <c r="T1566" s="110"/>
    </row>
    <row r="1567" spans="3:20" x14ac:dyDescent="0.2">
      <c r="C1567" s="96" t="str">
        <f t="shared" si="96"/>
        <v>TEL14</v>
      </c>
      <c r="D1567" s="73" t="s">
        <v>220</v>
      </c>
      <c r="E1567" s="100">
        <v>41050</v>
      </c>
      <c r="F1567" s="101">
        <v>7.0000000000000007E-2</v>
      </c>
      <c r="G1567" s="96">
        <f t="shared" si="97"/>
        <v>14</v>
      </c>
      <c r="I1567" s="96"/>
      <c r="K1567" t="str">
        <f t="shared" si="98"/>
        <v>TEL14</v>
      </c>
      <c r="L1567" s="73" t="s">
        <v>220</v>
      </c>
      <c r="M1567" s="72">
        <v>41050</v>
      </c>
      <c r="N1567" s="84">
        <v>7.0000000000000007E-2</v>
      </c>
      <c r="O1567" s="96">
        <f t="shared" si="99"/>
        <v>14</v>
      </c>
      <c r="Q1567" s="96"/>
      <c r="T1567" s="110"/>
    </row>
    <row r="1568" spans="3:20" x14ac:dyDescent="0.2">
      <c r="C1568" s="96" t="str">
        <f t="shared" si="96"/>
        <v>TEL15</v>
      </c>
      <c r="D1568" s="73" t="s">
        <v>220</v>
      </c>
      <c r="E1568" s="100">
        <v>41148</v>
      </c>
      <c r="F1568" s="101">
        <v>7.0000000000000007E-2</v>
      </c>
      <c r="G1568" s="96">
        <f t="shared" si="97"/>
        <v>15</v>
      </c>
      <c r="I1568" s="96"/>
      <c r="K1568" t="str">
        <f t="shared" si="98"/>
        <v>TEL15</v>
      </c>
      <c r="L1568" s="73" t="s">
        <v>220</v>
      </c>
      <c r="M1568" s="72">
        <v>41148</v>
      </c>
      <c r="N1568" s="84">
        <v>7.0000000000000007E-2</v>
      </c>
      <c r="O1568" s="96">
        <f t="shared" si="99"/>
        <v>15</v>
      </c>
      <c r="Q1568" s="96"/>
      <c r="T1568" s="110"/>
    </row>
    <row r="1569" spans="3:20" x14ac:dyDescent="0.2">
      <c r="C1569" s="96" t="str">
        <f t="shared" si="96"/>
        <v>TEL16</v>
      </c>
      <c r="D1569" s="73" t="s">
        <v>220</v>
      </c>
      <c r="E1569" s="100">
        <v>41239</v>
      </c>
      <c r="F1569" s="101">
        <v>7.0000000000000007E-2</v>
      </c>
      <c r="G1569" s="96">
        <f t="shared" si="97"/>
        <v>16</v>
      </c>
      <c r="I1569" s="96"/>
      <c r="K1569" t="str">
        <f t="shared" si="98"/>
        <v>TEL16</v>
      </c>
      <c r="L1569" s="73" t="s">
        <v>220</v>
      </c>
      <c r="M1569" s="72">
        <v>41239</v>
      </c>
      <c r="N1569" s="84">
        <v>7.0000000000000007E-2</v>
      </c>
      <c r="O1569" s="96">
        <f t="shared" si="99"/>
        <v>16</v>
      </c>
      <c r="Q1569" s="96"/>
      <c r="T1569" s="110"/>
    </row>
    <row r="1570" spans="3:20" x14ac:dyDescent="0.2">
      <c r="C1570" s="96" t="str">
        <f t="shared" si="96"/>
        <v>TEL17</v>
      </c>
      <c r="D1570" s="73" t="s">
        <v>220</v>
      </c>
      <c r="E1570" s="100">
        <v>41324</v>
      </c>
      <c r="F1570" s="101">
        <v>7.0000000000000007E-2</v>
      </c>
      <c r="G1570" s="96">
        <f t="shared" si="97"/>
        <v>17</v>
      </c>
      <c r="I1570" s="96"/>
      <c r="K1570" t="str">
        <f t="shared" si="98"/>
        <v>TEL17</v>
      </c>
      <c r="L1570" s="73" t="s">
        <v>220</v>
      </c>
      <c r="M1570" s="72">
        <v>41324</v>
      </c>
      <c r="N1570" s="84">
        <v>7.0000000000000007E-2</v>
      </c>
      <c r="O1570" s="96">
        <f t="shared" si="99"/>
        <v>17</v>
      </c>
      <c r="Q1570" s="96"/>
      <c r="T1570" s="110"/>
    </row>
    <row r="1571" spans="3:20" x14ac:dyDescent="0.2">
      <c r="C1571" s="96" t="str">
        <f t="shared" si="96"/>
        <v>TEL18</v>
      </c>
      <c r="D1571" s="73" t="s">
        <v>220</v>
      </c>
      <c r="E1571" s="100">
        <v>41415</v>
      </c>
      <c r="F1571" s="101">
        <v>7.0000000000000007E-2</v>
      </c>
      <c r="G1571" s="96">
        <f t="shared" si="97"/>
        <v>18</v>
      </c>
      <c r="I1571" s="96"/>
      <c r="K1571" t="str">
        <f t="shared" si="98"/>
        <v>TEL18</v>
      </c>
      <c r="L1571" s="73" t="s">
        <v>220</v>
      </c>
      <c r="M1571" s="72">
        <v>41415</v>
      </c>
      <c r="N1571" s="84">
        <v>7.0000000000000007E-2</v>
      </c>
      <c r="O1571" s="96">
        <f t="shared" si="99"/>
        <v>18</v>
      </c>
      <c r="Q1571" s="96"/>
      <c r="T1571" s="110"/>
    </row>
    <row r="1572" spans="3:20" x14ac:dyDescent="0.2">
      <c r="C1572" s="96" t="str">
        <f t="shared" si="96"/>
        <v>TEL19</v>
      </c>
      <c r="D1572" s="73" t="s">
        <v>220</v>
      </c>
      <c r="E1572" s="100">
        <v>41513</v>
      </c>
      <c r="F1572" s="101">
        <v>7.0000000000000007E-2</v>
      </c>
      <c r="G1572" s="96">
        <f t="shared" si="97"/>
        <v>19</v>
      </c>
      <c r="I1572" s="96"/>
      <c r="K1572" t="str">
        <f t="shared" si="98"/>
        <v>TEL19</v>
      </c>
      <c r="L1572" s="73" t="s">
        <v>220</v>
      </c>
      <c r="M1572" s="72">
        <v>41513</v>
      </c>
      <c r="N1572" s="84">
        <v>7.0000000000000007E-2</v>
      </c>
      <c r="O1572" s="96">
        <f t="shared" si="99"/>
        <v>19</v>
      </c>
      <c r="Q1572" s="96"/>
      <c r="T1572" s="110"/>
    </row>
    <row r="1573" spans="3:20" x14ac:dyDescent="0.2">
      <c r="C1573" s="96" t="str">
        <f t="shared" si="96"/>
        <v>TEN1</v>
      </c>
      <c r="D1573" s="73" t="s">
        <v>221</v>
      </c>
      <c r="E1573" s="100">
        <v>39994</v>
      </c>
      <c r="F1573" s="101">
        <v>0.02</v>
      </c>
      <c r="G1573" s="96">
        <f t="shared" si="97"/>
        <v>1</v>
      </c>
      <c r="I1573" s="96"/>
      <c r="K1573" t="str">
        <f t="shared" si="98"/>
        <v>TEN1</v>
      </c>
      <c r="L1573" s="73" t="s">
        <v>221</v>
      </c>
      <c r="M1573" s="72">
        <v>39994</v>
      </c>
      <c r="N1573" s="84">
        <v>0.02</v>
      </c>
      <c r="O1573" s="96">
        <f t="shared" si="99"/>
        <v>1</v>
      </c>
      <c r="Q1573" s="96"/>
      <c r="T1573" s="110"/>
    </row>
    <row r="1574" spans="3:20" x14ac:dyDescent="0.2">
      <c r="C1574" s="96" t="str">
        <f t="shared" si="96"/>
        <v>TEN2</v>
      </c>
      <c r="D1574" s="73" t="s">
        <v>221</v>
      </c>
      <c r="E1574" s="100">
        <v>40170</v>
      </c>
      <c r="F1574" s="101">
        <v>2.5000000000000001E-2</v>
      </c>
      <c r="G1574" s="96">
        <f t="shared" si="97"/>
        <v>2</v>
      </c>
      <c r="I1574" s="96"/>
      <c r="K1574" t="str">
        <f t="shared" si="98"/>
        <v>TEN2</v>
      </c>
      <c r="L1574" s="73" t="s">
        <v>221</v>
      </c>
      <c r="M1574" s="72">
        <v>40170</v>
      </c>
      <c r="N1574" s="84">
        <v>2.5000000000000001E-2</v>
      </c>
      <c r="O1574" s="96">
        <f t="shared" si="99"/>
        <v>2</v>
      </c>
      <c r="Q1574" s="96"/>
      <c r="T1574" s="110"/>
    </row>
    <row r="1575" spans="3:20" x14ac:dyDescent="0.2">
      <c r="C1575" s="96" t="str">
        <f t="shared" si="96"/>
        <v>TEN3</v>
      </c>
      <c r="D1575" s="73" t="s">
        <v>221</v>
      </c>
      <c r="E1575" s="100">
        <v>40359</v>
      </c>
      <c r="F1575" s="101">
        <v>2.5000000000000001E-2</v>
      </c>
      <c r="G1575" s="96">
        <f t="shared" si="97"/>
        <v>3</v>
      </c>
      <c r="I1575" s="96"/>
      <c r="K1575" t="str">
        <f t="shared" si="98"/>
        <v>TEN3</v>
      </c>
      <c r="L1575" s="73" t="s">
        <v>221</v>
      </c>
      <c r="M1575" s="72">
        <v>40359</v>
      </c>
      <c r="N1575" s="84">
        <v>2.5000000000000001E-2</v>
      </c>
      <c r="O1575" s="96">
        <f t="shared" si="99"/>
        <v>3</v>
      </c>
      <c r="Q1575" s="96"/>
      <c r="T1575" s="110"/>
    </row>
    <row r="1576" spans="3:20" x14ac:dyDescent="0.2">
      <c r="C1576" s="96" t="str">
        <f t="shared" si="96"/>
        <v>TEN4</v>
      </c>
      <c r="D1576" s="73" t="s">
        <v>221</v>
      </c>
      <c r="E1576" s="100">
        <v>40536</v>
      </c>
      <c r="F1576" s="101">
        <v>3.6000000000000004E-2</v>
      </c>
      <c r="G1576" s="96">
        <f t="shared" si="97"/>
        <v>4</v>
      </c>
      <c r="I1576" s="96"/>
      <c r="K1576" t="str">
        <f t="shared" si="98"/>
        <v>TEN4</v>
      </c>
      <c r="L1576" s="73" t="s">
        <v>221</v>
      </c>
      <c r="M1576" s="72">
        <v>40536</v>
      </c>
      <c r="N1576" s="84">
        <v>3.6000000000000004E-2</v>
      </c>
      <c r="O1576" s="96">
        <f t="shared" si="99"/>
        <v>4</v>
      </c>
      <c r="Q1576" s="96"/>
      <c r="T1576" s="110"/>
    </row>
    <row r="1577" spans="3:20" x14ac:dyDescent="0.2">
      <c r="C1577" s="96" t="str">
        <f t="shared" si="96"/>
        <v>TEN5</v>
      </c>
      <c r="D1577" s="73" t="s">
        <v>221</v>
      </c>
      <c r="E1577" s="100">
        <v>40724</v>
      </c>
      <c r="F1577" s="101">
        <v>3.6000000000000004E-2</v>
      </c>
      <c r="G1577" s="96">
        <f t="shared" si="97"/>
        <v>5</v>
      </c>
      <c r="I1577" s="96"/>
      <c r="K1577" t="str">
        <f t="shared" si="98"/>
        <v>TEN5</v>
      </c>
      <c r="L1577" s="73" t="s">
        <v>221</v>
      </c>
      <c r="M1577" s="72">
        <v>40724</v>
      </c>
      <c r="N1577" s="84">
        <v>3.6000000000000004E-2</v>
      </c>
      <c r="O1577" s="96">
        <f t="shared" si="99"/>
        <v>5</v>
      </c>
      <c r="Q1577" s="96"/>
      <c r="T1577" s="110"/>
    </row>
    <row r="1578" spans="3:20" x14ac:dyDescent="0.2">
      <c r="C1578" s="96" t="str">
        <f t="shared" si="96"/>
        <v>TEN6</v>
      </c>
      <c r="D1578" s="73" t="s">
        <v>221</v>
      </c>
      <c r="E1578" s="100">
        <v>40904</v>
      </c>
      <c r="F1578" s="101">
        <v>0.02</v>
      </c>
      <c r="G1578" s="96">
        <f t="shared" si="97"/>
        <v>6</v>
      </c>
      <c r="I1578" s="96"/>
      <c r="K1578" t="str">
        <f t="shared" si="98"/>
        <v>TEN6</v>
      </c>
      <c r="L1578" s="73" t="s">
        <v>221</v>
      </c>
      <c r="M1578" s="72">
        <v>40904</v>
      </c>
      <c r="N1578" s="84">
        <v>0.02</v>
      </c>
      <c r="O1578" s="96">
        <f t="shared" si="99"/>
        <v>6</v>
      </c>
      <c r="Q1578" s="96"/>
      <c r="T1578" s="110"/>
    </row>
    <row r="1579" spans="3:20" x14ac:dyDescent="0.2">
      <c r="C1579" s="96" t="str">
        <f t="shared" si="96"/>
        <v>TEN7</v>
      </c>
      <c r="D1579" s="73" t="s">
        <v>221</v>
      </c>
      <c r="E1579" s="100">
        <v>41092</v>
      </c>
      <c r="F1579" s="101">
        <v>3.6000000000000004E-2</v>
      </c>
      <c r="G1579" s="96">
        <f t="shared" si="97"/>
        <v>7</v>
      </c>
      <c r="I1579" s="96"/>
      <c r="K1579" t="str">
        <f t="shared" si="98"/>
        <v>TEN7</v>
      </c>
      <c r="L1579" s="73" t="s">
        <v>221</v>
      </c>
      <c r="M1579" s="72">
        <v>41092</v>
      </c>
      <c r="N1579" s="84">
        <v>3.6000000000000004E-2</v>
      </c>
      <c r="O1579" s="96">
        <f t="shared" si="99"/>
        <v>7</v>
      </c>
      <c r="Q1579" s="96"/>
      <c r="T1579" s="110"/>
    </row>
    <row r="1580" spans="3:20" x14ac:dyDescent="0.2">
      <c r="C1580" s="96" t="str">
        <f t="shared" si="96"/>
        <v>TEN8</v>
      </c>
      <c r="D1580" s="73" t="s">
        <v>221</v>
      </c>
      <c r="E1580" s="100">
        <v>41270</v>
      </c>
      <c r="F1580" s="101">
        <v>3.5000000000000003E-2</v>
      </c>
      <c r="G1580" s="96">
        <f t="shared" si="97"/>
        <v>8</v>
      </c>
      <c r="I1580" s="96"/>
      <c r="K1580" t="str">
        <f t="shared" si="98"/>
        <v>TEN8</v>
      </c>
      <c r="L1580" s="73" t="s">
        <v>221</v>
      </c>
      <c r="M1580" s="72">
        <v>41270</v>
      </c>
      <c r="N1580" s="84">
        <v>3.5000000000000003E-2</v>
      </c>
      <c r="O1580" s="96">
        <f t="shared" si="99"/>
        <v>8</v>
      </c>
      <c r="Q1580" s="96"/>
      <c r="T1580" s="110"/>
    </row>
    <row r="1581" spans="3:20" x14ac:dyDescent="0.2">
      <c r="C1581" s="96" t="str">
        <f t="shared" si="96"/>
        <v>TEN9</v>
      </c>
      <c r="D1581" s="73" t="s">
        <v>221</v>
      </c>
      <c r="E1581" s="100">
        <v>41457</v>
      </c>
      <c r="F1581" s="101">
        <v>6.3E-2</v>
      </c>
      <c r="G1581" s="96">
        <f t="shared" si="97"/>
        <v>9</v>
      </c>
      <c r="I1581" s="96"/>
      <c r="K1581" t="str">
        <f t="shared" si="98"/>
        <v>TEN9</v>
      </c>
      <c r="L1581" s="73" t="s">
        <v>221</v>
      </c>
      <c r="M1581" s="72">
        <v>41457</v>
      </c>
      <c r="N1581" s="84">
        <v>6.3E-2</v>
      </c>
      <c r="O1581" s="96">
        <f t="shared" si="99"/>
        <v>9</v>
      </c>
      <c r="Q1581" s="96"/>
      <c r="T1581" s="110"/>
    </row>
    <row r="1582" spans="3:20" x14ac:dyDescent="0.2">
      <c r="C1582" s="96" t="str">
        <f t="shared" si="96"/>
        <v>TIM1</v>
      </c>
      <c r="D1582" s="73" t="s">
        <v>222</v>
      </c>
      <c r="E1582" s="100">
        <v>40158</v>
      </c>
      <c r="F1582" s="101">
        <v>1.4999999999999999E-2</v>
      </c>
      <c r="G1582" s="96">
        <f t="shared" si="97"/>
        <v>1</v>
      </c>
      <c r="I1582" s="96"/>
      <c r="K1582" t="str">
        <f t="shared" si="98"/>
        <v>TIM1</v>
      </c>
      <c r="L1582" s="73" t="s">
        <v>222</v>
      </c>
      <c r="M1582" s="72">
        <v>40158</v>
      </c>
      <c r="N1582" s="84">
        <v>1.4999999999999999E-2</v>
      </c>
      <c r="O1582" s="96">
        <f t="shared" si="99"/>
        <v>1</v>
      </c>
      <c r="Q1582" s="96"/>
      <c r="T1582" s="110"/>
    </row>
    <row r="1583" spans="3:20" x14ac:dyDescent="0.2">
      <c r="C1583" s="96" t="str">
        <f t="shared" si="96"/>
        <v>TIM2</v>
      </c>
      <c r="D1583" s="73" t="s">
        <v>222</v>
      </c>
      <c r="E1583" s="100">
        <v>40415</v>
      </c>
      <c r="F1583" s="101">
        <v>1.6E-2</v>
      </c>
      <c r="G1583" s="96">
        <f t="shared" si="97"/>
        <v>2</v>
      </c>
      <c r="I1583" s="96"/>
      <c r="K1583" t="str">
        <f t="shared" si="98"/>
        <v>TIM2</v>
      </c>
      <c r="L1583" s="73" t="s">
        <v>222</v>
      </c>
      <c r="M1583" s="72">
        <v>40415</v>
      </c>
      <c r="N1583" s="84">
        <v>1.6E-2</v>
      </c>
      <c r="O1583" s="96">
        <f t="shared" si="99"/>
        <v>2</v>
      </c>
      <c r="Q1583" s="96"/>
      <c r="T1583" s="110"/>
    </row>
    <row r="1584" spans="3:20" x14ac:dyDescent="0.2">
      <c r="C1584" s="96" t="str">
        <f t="shared" si="96"/>
        <v>TIM3</v>
      </c>
      <c r="D1584" s="73" t="s">
        <v>222</v>
      </c>
      <c r="E1584" s="100">
        <v>40525</v>
      </c>
      <c r="F1584" s="101">
        <v>1.8000000000000002E-2</v>
      </c>
      <c r="G1584" s="96">
        <f t="shared" si="97"/>
        <v>3</v>
      </c>
      <c r="I1584" s="96"/>
      <c r="K1584" t="str">
        <f t="shared" si="98"/>
        <v>TIM3</v>
      </c>
      <c r="L1584" s="73" t="s">
        <v>222</v>
      </c>
      <c r="M1584" s="72">
        <v>40525</v>
      </c>
      <c r="N1584" s="84">
        <v>1.8000000000000002E-2</v>
      </c>
      <c r="O1584" s="96">
        <f t="shared" si="99"/>
        <v>3</v>
      </c>
      <c r="Q1584" s="96"/>
      <c r="T1584" s="110"/>
    </row>
    <row r="1585" spans="3:20" x14ac:dyDescent="0.2">
      <c r="C1585" s="96" t="str">
        <f t="shared" si="96"/>
        <v>TIM4</v>
      </c>
      <c r="D1585" s="73" t="s">
        <v>222</v>
      </c>
      <c r="E1585" s="100">
        <v>40780</v>
      </c>
      <c r="F1585" s="101">
        <v>1.9E-2</v>
      </c>
      <c r="G1585" s="96">
        <f t="shared" si="97"/>
        <v>4</v>
      </c>
      <c r="I1585" s="96"/>
      <c r="K1585" t="str">
        <f t="shared" si="98"/>
        <v>TIM4</v>
      </c>
      <c r="L1585" s="73" t="s">
        <v>222</v>
      </c>
      <c r="M1585" s="72">
        <v>40780</v>
      </c>
      <c r="N1585" s="84">
        <v>1.9E-2</v>
      </c>
      <c r="O1585" s="96">
        <f t="shared" si="99"/>
        <v>4</v>
      </c>
      <c r="Q1585" s="96"/>
      <c r="T1585" s="110"/>
    </row>
    <row r="1586" spans="3:20" x14ac:dyDescent="0.2">
      <c r="C1586" s="96" t="str">
        <f t="shared" si="96"/>
        <v>TIM5</v>
      </c>
      <c r="D1586" s="73" t="s">
        <v>222</v>
      </c>
      <c r="E1586" s="100">
        <v>40890</v>
      </c>
      <c r="F1586" s="101">
        <v>0.02</v>
      </c>
      <c r="G1586" s="96">
        <f t="shared" si="97"/>
        <v>5</v>
      </c>
      <c r="I1586" s="96"/>
      <c r="K1586" t="str">
        <f t="shared" si="98"/>
        <v>TIM5</v>
      </c>
      <c r="L1586" s="73" t="s">
        <v>222</v>
      </c>
      <c r="M1586" s="72">
        <v>40890</v>
      </c>
      <c r="N1586" s="84">
        <v>0.02</v>
      </c>
      <c r="O1586" s="96">
        <f t="shared" si="99"/>
        <v>5</v>
      </c>
      <c r="Q1586" s="96"/>
      <c r="T1586" s="110"/>
    </row>
    <row r="1587" spans="3:20" x14ac:dyDescent="0.2">
      <c r="C1587" s="96" t="str">
        <f t="shared" si="96"/>
        <v>TIM6</v>
      </c>
      <c r="D1587" s="73" t="s">
        <v>222</v>
      </c>
      <c r="E1587" s="100">
        <v>41148</v>
      </c>
      <c r="F1587" s="101">
        <v>2.2000000000000002E-2</v>
      </c>
      <c r="G1587" s="96">
        <f t="shared" si="97"/>
        <v>6</v>
      </c>
      <c r="I1587" s="96"/>
      <c r="K1587" t="str">
        <f t="shared" si="98"/>
        <v>TIM6</v>
      </c>
      <c r="L1587" s="73" t="s">
        <v>222</v>
      </c>
      <c r="M1587" s="72">
        <v>41148</v>
      </c>
      <c r="N1587" s="84">
        <v>2.2000000000000002E-2</v>
      </c>
      <c r="O1587" s="96">
        <f t="shared" si="99"/>
        <v>6</v>
      </c>
      <c r="Q1587" s="96"/>
    </row>
    <row r="1588" spans="3:20" x14ac:dyDescent="0.2">
      <c r="C1588" s="96" t="str">
        <f t="shared" si="96"/>
        <v>TIM7</v>
      </c>
      <c r="D1588" s="73" t="s">
        <v>222</v>
      </c>
      <c r="E1588" s="100">
        <v>41256</v>
      </c>
      <c r="F1588" s="101">
        <v>2.5000000000000001E-2</v>
      </c>
      <c r="G1588" s="96">
        <f t="shared" si="97"/>
        <v>7</v>
      </c>
      <c r="I1588" s="96"/>
      <c r="K1588" t="str">
        <f t="shared" si="98"/>
        <v>TIM7</v>
      </c>
      <c r="L1588" s="73" t="s">
        <v>222</v>
      </c>
      <c r="M1588" s="72">
        <v>41256</v>
      </c>
      <c r="N1588" s="84">
        <v>2.5000000000000001E-2</v>
      </c>
      <c r="O1588" s="96">
        <f t="shared" si="99"/>
        <v>7</v>
      </c>
      <c r="Q1588" s="96"/>
      <c r="T1588" s="110"/>
    </row>
    <row r="1589" spans="3:20" x14ac:dyDescent="0.2">
      <c r="C1589" s="96" t="str">
        <f t="shared" si="96"/>
        <v>TIM8</v>
      </c>
      <c r="D1589" s="73" t="s">
        <v>222</v>
      </c>
      <c r="E1589" s="100">
        <v>41513</v>
      </c>
      <c r="F1589" s="101">
        <v>1.8700000000000001E-2</v>
      </c>
      <c r="G1589" s="96">
        <f t="shared" si="97"/>
        <v>8</v>
      </c>
      <c r="I1589" s="96"/>
      <c r="K1589" t="str">
        <f t="shared" si="98"/>
        <v>TIM8</v>
      </c>
      <c r="L1589" s="73" t="s">
        <v>222</v>
      </c>
      <c r="M1589" s="72">
        <v>41513</v>
      </c>
      <c r="N1589" s="84">
        <v>1.8700000000000001E-2</v>
      </c>
      <c r="O1589" s="96">
        <f t="shared" si="99"/>
        <v>8</v>
      </c>
      <c r="Q1589" s="96"/>
      <c r="T1589" s="110"/>
    </row>
    <row r="1590" spans="3:20" x14ac:dyDescent="0.2">
      <c r="C1590" s="96" t="str">
        <f t="shared" si="96"/>
        <v>TIM9</v>
      </c>
      <c r="D1590" s="73" t="s">
        <v>222</v>
      </c>
      <c r="E1590" s="100">
        <v>41621</v>
      </c>
      <c r="F1590" s="101">
        <v>2.1299999999999999E-2</v>
      </c>
      <c r="G1590" s="96">
        <f t="shared" si="97"/>
        <v>9</v>
      </c>
      <c r="I1590" s="96"/>
      <c r="K1590" t="str">
        <f t="shared" si="98"/>
        <v>TIM9</v>
      </c>
      <c r="L1590" s="73" t="s">
        <v>222</v>
      </c>
      <c r="M1590" s="72">
        <v>41621</v>
      </c>
      <c r="N1590" s="84">
        <v>2.1299999999999999E-2</v>
      </c>
      <c r="O1590" s="96">
        <f t="shared" si="99"/>
        <v>9</v>
      </c>
      <c r="Q1590" s="96"/>
      <c r="T1590" s="110"/>
    </row>
    <row r="1591" spans="3:20" x14ac:dyDescent="0.2">
      <c r="C1591" s="96" t="str">
        <f t="shared" si="96"/>
        <v>TLS1</v>
      </c>
      <c r="D1591" s="73" t="s">
        <v>223</v>
      </c>
      <c r="E1591" s="100">
        <v>39878</v>
      </c>
      <c r="F1591" s="101">
        <v>0.14000000000000001</v>
      </c>
      <c r="G1591" s="96">
        <f t="shared" si="97"/>
        <v>1</v>
      </c>
      <c r="I1591" s="96"/>
      <c r="K1591" t="str">
        <f t="shared" si="98"/>
        <v>TLS1</v>
      </c>
      <c r="L1591" s="73" t="s">
        <v>223</v>
      </c>
      <c r="M1591" s="72">
        <v>39878</v>
      </c>
      <c r="N1591" s="84">
        <v>0.14000000000000001</v>
      </c>
      <c r="O1591" s="96">
        <f t="shared" si="99"/>
        <v>1</v>
      </c>
      <c r="Q1591" s="96"/>
    </row>
    <row r="1592" spans="3:20" x14ac:dyDescent="0.2">
      <c r="C1592" s="96" t="str">
        <f t="shared" si="96"/>
        <v>TLS2</v>
      </c>
      <c r="D1592" s="73" t="s">
        <v>223</v>
      </c>
      <c r="E1592" s="100">
        <v>40049</v>
      </c>
      <c r="F1592" s="101">
        <v>0.14000000000000001</v>
      </c>
      <c r="G1592" s="96">
        <f t="shared" si="97"/>
        <v>2</v>
      </c>
      <c r="I1592" s="96"/>
      <c r="K1592" t="str">
        <f t="shared" si="98"/>
        <v>TLS2</v>
      </c>
      <c r="L1592" s="73" t="s">
        <v>223</v>
      </c>
      <c r="M1592" s="72">
        <v>40049</v>
      </c>
      <c r="N1592" s="84">
        <v>0.14000000000000001</v>
      </c>
      <c r="O1592" s="96">
        <f t="shared" si="99"/>
        <v>2</v>
      </c>
      <c r="Q1592" s="96"/>
    </row>
    <row r="1593" spans="3:20" x14ac:dyDescent="0.2">
      <c r="C1593" s="96" t="str">
        <f t="shared" si="96"/>
        <v>TLS3</v>
      </c>
      <c r="D1593" s="73" t="s">
        <v>223</v>
      </c>
      <c r="E1593" s="100">
        <v>40246</v>
      </c>
      <c r="F1593" s="101">
        <v>0.14000000000000001</v>
      </c>
      <c r="G1593" s="96">
        <f t="shared" si="97"/>
        <v>3</v>
      </c>
      <c r="I1593" s="96"/>
      <c r="K1593" t="str">
        <f t="shared" si="98"/>
        <v>TLS3</v>
      </c>
      <c r="L1593" s="73" t="s">
        <v>223</v>
      </c>
      <c r="M1593" s="72">
        <v>40246</v>
      </c>
      <c r="N1593" s="84">
        <v>0.14000000000000001</v>
      </c>
      <c r="O1593" s="96">
        <f t="shared" si="99"/>
        <v>3</v>
      </c>
      <c r="Q1593" s="96"/>
      <c r="T1593" s="110"/>
    </row>
    <row r="1594" spans="3:20" x14ac:dyDescent="0.2">
      <c r="C1594" s="96" t="str">
        <f t="shared" si="96"/>
        <v>TLS4</v>
      </c>
      <c r="D1594" s="73" t="s">
        <v>223</v>
      </c>
      <c r="E1594" s="100">
        <v>40414</v>
      </c>
      <c r="F1594" s="101">
        <v>0.14000000000000001</v>
      </c>
      <c r="G1594" s="96">
        <f t="shared" si="97"/>
        <v>4</v>
      </c>
      <c r="I1594" s="96"/>
      <c r="K1594" t="str">
        <f t="shared" si="98"/>
        <v>TLS4</v>
      </c>
      <c r="L1594" s="73" t="s">
        <v>223</v>
      </c>
      <c r="M1594" s="72">
        <v>40414</v>
      </c>
      <c r="N1594" s="84">
        <v>0.14000000000000001</v>
      </c>
      <c r="O1594" s="96">
        <f t="shared" si="99"/>
        <v>4</v>
      </c>
      <c r="Q1594" s="96"/>
      <c r="T1594" s="110"/>
    </row>
    <row r="1595" spans="3:20" x14ac:dyDescent="0.2">
      <c r="C1595" s="96" t="str">
        <f t="shared" si="96"/>
        <v>TLS5</v>
      </c>
      <c r="D1595" s="73" t="s">
        <v>223</v>
      </c>
      <c r="E1595" s="100">
        <v>40611</v>
      </c>
      <c r="F1595" s="101">
        <v>0.14000000000000001</v>
      </c>
      <c r="G1595" s="96">
        <f t="shared" si="97"/>
        <v>5</v>
      </c>
      <c r="I1595" s="96"/>
      <c r="K1595" t="str">
        <f t="shared" si="98"/>
        <v>TLS5</v>
      </c>
      <c r="L1595" s="73" t="s">
        <v>223</v>
      </c>
      <c r="M1595" s="72">
        <v>40611</v>
      </c>
      <c r="N1595" s="84">
        <v>0.14000000000000001</v>
      </c>
      <c r="O1595" s="96">
        <f t="shared" si="99"/>
        <v>5</v>
      </c>
      <c r="Q1595" s="96"/>
      <c r="T1595" s="110"/>
    </row>
    <row r="1596" spans="3:20" x14ac:dyDescent="0.2">
      <c r="C1596" s="96" t="str">
        <f t="shared" si="96"/>
        <v>TLS6</v>
      </c>
      <c r="D1596" s="73" t="s">
        <v>223</v>
      </c>
      <c r="E1596" s="100">
        <v>40779</v>
      </c>
      <c r="F1596" s="101">
        <v>0.15</v>
      </c>
      <c r="G1596" s="96">
        <f t="shared" si="97"/>
        <v>6</v>
      </c>
      <c r="I1596" s="96"/>
      <c r="K1596" t="str">
        <f t="shared" si="98"/>
        <v>TLS6</v>
      </c>
      <c r="L1596" s="73" t="s">
        <v>223</v>
      </c>
      <c r="M1596" s="72">
        <v>40779</v>
      </c>
      <c r="N1596" s="84">
        <v>0.15</v>
      </c>
      <c r="O1596" s="96">
        <f t="shared" si="99"/>
        <v>6</v>
      </c>
      <c r="Q1596" s="96"/>
      <c r="T1596" s="110"/>
    </row>
    <row r="1597" spans="3:20" x14ac:dyDescent="0.2">
      <c r="C1597" s="96" t="str">
        <f t="shared" si="96"/>
        <v>TLS7</v>
      </c>
      <c r="D1597" s="73" t="s">
        <v>223</v>
      </c>
      <c r="E1597" s="100">
        <v>40977</v>
      </c>
      <c r="F1597" s="101">
        <v>0.14000000000000001</v>
      </c>
      <c r="G1597" s="96">
        <f t="shared" si="97"/>
        <v>7</v>
      </c>
      <c r="I1597" s="96"/>
      <c r="K1597" t="str">
        <f t="shared" si="98"/>
        <v>TLS7</v>
      </c>
      <c r="L1597" s="73" t="s">
        <v>223</v>
      </c>
      <c r="M1597" s="72">
        <v>40977</v>
      </c>
      <c r="N1597" s="84">
        <v>0.14000000000000001</v>
      </c>
      <c r="O1597" s="96">
        <f t="shared" si="99"/>
        <v>7</v>
      </c>
      <c r="Q1597" s="96"/>
      <c r="T1597" s="110"/>
    </row>
    <row r="1598" spans="3:20" x14ac:dyDescent="0.2">
      <c r="C1598" s="96" t="str">
        <f t="shared" si="96"/>
        <v>TLS8</v>
      </c>
      <c r="D1598" s="73" t="s">
        <v>223</v>
      </c>
      <c r="E1598" s="100">
        <v>41145</v>
      </c>
      <c r="F1598" s="101">
        <v>0.15</v>
      </c>
      <c r="G1598" s="96">
        <f t="shared" si="97"/>
        <v>8</v>
      </c>
      <c r="I1598" s="96"/>
      <c r="K1598" t="str">
        <f t="shared" si="98"/>
        <v>TLS8</v>
      </c>
      <c r="L1598" s="73" t="s">
        <v>223</v>
      </c>
      <c r="M1598" s="72">
        <v>41145</v>
      </c>
      <c r="N1598" s="84">
        <v>0.15</v>
      </c>
      <c r="O1598" s="96">
        <f t="shared" si="99"/>
        <v>8</v>
      </c>
      <c r="Q1598" s="96"/>
      <c r="T1598" s="110"/>
    </row>
    <row r="1599" spans="3:20" x14ac:dyDescent="0.2">
      <c r="C1599" s="96" t="str">
        <f t="shared" si="96"/>
        <v>TLS9</v>
      </c>
      <c r="D1599" s="73" t="s">
        <v>223</v>
      </c>
      <c r="E1599" s="100">
        <v>41344</v>
      </c>
      <c r="F1599" s="101">
        <v>0.15</v>
      </c>
      <c r="G1599" s="96">
        <f t="shared" si="97"/>
        <v>9</v>
      </c>
      <c r="I1599" s="96"/>
      <c r="K1599" t="str">
        <f t="shared" si="98"/>
        <v>TLS9</v>
      </c>
      <c r="L1599" s="73" t="s">
        <v>223</v>
      </c>
      <c r="M1599" s="72">
        <v>41344</v>
      </c>
      <c r="N1599" s="84">
        <v>0.15</v>
      </c>
      <c r="O1599" s="96">
        <f t="shared" si="99"/>
        <v>9</v>
      </c>
      <c r="Q1599" s="96"/>
      <c r="T1599" s="110"/>
    </row>
    <row r="1600" spans="3:20" x14ac:dyDescent="0.2">
      <c r="C1600" s="96" t="str">
        <f t="shared" si="96"/>
        <v>TLS10</v>
      </c>
      <c r="D1600" s="73" t="s">
        <v>223</v>
      </c>
      <c r="E1600" s="100">
        <v>41512</v>
      </c>
      <c r="F1600" s="101">
        <v>0.15</v>
      </c>
      <c r="G1600" s="96">
        <f t="shared" si="97"/>
        <v>10</v>
      </c>
      <c r="I1600" s="96"/>
      <c r="K1600" t="str">
        <f t="shared" si="98"/>
        <v>TLS10</v>
      </c>
      <c r="L1600" s="73" t="s">
        <v>223</v>
      </c>
      <c r="M1600" s="72">
        <v>41512</v>
      </c>
      <c r="N1600" s="84">
        <v>0.15</v>
      </c>
      <c r="O1600" s="96">
        <f t="shared" si="99"/>
        <v>10</v>
      </c>
      <c r="Q1600" s="96"/>
      <c r="T1600" s="110"/>
    </row>
    <row r="1601" spans="3:20" x14ac:dyDescent="0.2">
      <c r="C1601" s="96" t="str">
        <f t="shared" si="96"/>
        <v>TLSCA1</v>
      </c>
      <c r="D1601" s="73" t="s">
        <v>224</v>
      </c>
      <c r="E1601" s="100">
        <v>39875</v>
      </c>
      <c r="F1601" s="101">
        <v>0.151</v>
      </c>
      <c r="G1601" s="96">
        <f t="shared" si="97"/>
        <v>1</v>
      </c>
      <c r="I1601" s="96"/>
      <c r="K1601" t="str">
        <f t="shared" si="98"/>
        <v>TLSCA1</v>
      </c>
      <c r="L1601" s="73" t="s">
        <v>224</v>
      </c>
      <c r="M1601" s="72">
        <v>39875</v>
      </c>
      <c r="N1601" s="84">
        <v>0.151</v>
      </c>
      <c r="O1601" s="96">
        <f t="shared" si="99"/>
        <v>1</v>
      </c>
      <c r="Q1601" s="96"/>
      <c r="T1601" s="110"/>
    </row>
    <row r="1602" spans="3:20" x14ac:dyDescent="0.2">
      <c r="C1602" s="96" t="str">
        <f t="shared" si="96"/>
        <v>TLSCA2</v>
      </c>
      <c r="D1602" s="73" t="s">
        <v>224</v>
      </c>
      <c r="E1602" s="100">
        <v>40050</v>
      </c>
      <c r="F1602" s="101">
        <v>0.14000000000000001</v>
      </c>
      <c r="G1602" s="96">
        <f t="shared" si="97"/>
        <v>2</v>
      </c>
      <c r="I1602" s="96"/>
      <c r="K1602" t="str">
        <f t="shared" si="98"/>
        <v>TLSCA2</v>
      </c>
      <c r="L1602" s="73" t="s">
        <v>224</v>
      </c>
      <c r="M1602" s="72">
        <v>40050</v>
      </c>
      <c r="N1602" s="84">
        <v>0.14000000000000001</v>
      </c>
      <c r="O1602" s="96">
        <f t="shared" si="99"/>
        <v>2</v>
      </c>
      <c r="Q1602" s="96"/>
      <c r="T1602" s="110"/>
    </row>
    <row r="1603" spans="3:20" x14ac:dyDescent="0.2">
      <c r="C1603" s="96" t="str">
        <f t="shared" ref="C1603:C1666" si="100">D1603&amp;G1603</f>
        <v>TLSCA3</v>
      </c>
      <c r="D1603" s="73" t="s">
        <v>224</v>
      </c>
      <c r="E1603" s="100">
        <v>40240</v>
      </c>
      <c r="F1603" s="101">
        <v>0.16699999999999998</v>
      </c>
      <c r="G1603" s="96">
        <f t="shared" ref="G1603:G1666" si="101">IF(D1603&lt;&gt;D1602,1,G1602+1)</f>
        <v>3</v>
      </c>
      <c r="I1603" s="96"/>
      <c r="K1603" t="str">
        <f t="shared" ref="K1603:K1666" si="102">L1603&amp;O1603</f>
        <v>TLSCA3</v>
      </c>
      <c r="L1603" s="73" t="s">
        <v>224</v>
      </c>
      <c r="M1603" s="72">
        <v>40240</v>
      </c>
      <c r="N1603" s="84">
        <v>0.16699999999999998</v>
      </c>
      <c r="O1603" s="96">
        <f t="shared" ref="O1603:O1666" si="103">IF(L1603&lt;&gt;L1602,1,O1602+1)</f>
        <v>3</v>
      </c>
      <c r="Q1603" s="96"/>
      <c r="T1603" s="110"/>
    </row>
    <row r="1604" spans="3:20" x14ac:dyDescent="0.2">
      <c r="C1604" s="96" t="str">
        <f t="shared" si="100"/>
        <v>TLSCA4</v>
      </c>
      <c r="D1604" s="73" t="s">
        <v>224</v>
      </c>
      <c r="E1604" s="100">
        <v>40415</v>
      </c>
      <c r="F1604" s="101">
        <v>0.14000000000000001</v>
      </c>
      <c r="G1604" s="96">
        <f t="shared" si="101"/>
        <v>4</v>
      </c>
      <c r="I1604" s="96"/>
      <c r="K1604" t="str">
        <f t="shared" si="102"/>
        <v>TLSCA4</v>
      </c>
      <c r="L1604" s="73" t="s">
        <v>224</v>
      </c>
      <c r="M1604" s="72">
        <v>40415</v>
      </c>
      <c r="N1604" s="84">
        <v>0.14000000000000001</v>
      </c>
      <c r="O1604" s="96">
        <f t="shared" si="103"/>
        <v>4</v>
      </c>
      <c r="Q1604" s="96"/>
      <c r="T1604" s="110"/>
    </row>
    <row r="1605" spans="3:20" x14ac:dyDescent="0.2">
      <c r="C1605" s="96" t="str">
        <f t="shared" si="100"/>
        <v>TLSCA5</v>
      </c>
      <c r="D1605" s="73" t="s">
        <v>224</v>
      </c>
      <c r="E1605" s="100">
        <v>40605</v>
      </c>
      <c r="F1605" s="101">
        <v>0.18600000000000003</v>
      </c>
      <c r="G1605" s="96">
        <f t="shared" si="101"/>
        <v>5</v>
      </c>
      <c r="I1605" s="96"/>
      <c r="K1605" t="str">
        <f t="shared" si="102"/>
        <v>TLSCA5</v>
      </c>
      <c r="L1605" s="73" t="s">
        <v>224</v>
      </c>
      <c r="M1605" s="72">
        <v>40605</v>
      </c>
      <c r="N1605" s="84">
        <v>0.18600000000000003</v>
      </c>
      <c r="O1605" s="96">
        <f t="shared" si="103"/>
        <v>5</v>
      </c>
      <c r="Q1605" s="96"/>
      <c r="T1605" s="110"/>
    </row>
    <row r="1606" spans="3:20" x14ac:dyDescent="0.2">
      <c r="C1606" s="96" t="str">
        <f t="shared" si="100"/>
        <v>TLSCA6</v>
      </c>
      <c r="D1606" s="73" t="s">
        <v>224</v>
      </c>
      <c r="E1606" s="100">
        <v>40780</v>
      </c>
      <c r="F1606" s="101">
        <v>0.14000000000000001</v>
      </c>
      <c r="G1606" s="96">
        <f t="shared" si="101"/>
        <v>6</v>
      </c>
      <c r="I1606" s="96"/>
      <c r="K1606" t="str">
        <f t="shared" si="102"/>
        <v>TLSCA6</v>
      </c>
      <c r="L1606" s="73" t="s">
        <v>224</v>
      </c>
      <c r="M1606" s="72">
        <v>40780</v>
      </c>
      <c r="N1606" s="84">
        <v>0.14000000000000001</v>
      </c>
      <c r="O1606" s="96">
        <f t="shared" si="103"/>
        <v>6</v>
      </c>
      <c r="Q1606" s="96"/>
      <c r="T1606" s="110"/>
    </row>
    <row r="1607" spans="3:20" x14ac:dyDescent="0.2">
      <c r="C1607" s="96" t="str">
        <f t="shared" si="100"/>
        <v>TLSCA7</v>
      </c>
      <c r="D1607" s="73" t="s">
        <v>224</v>
      </c>
      <c r="E1607" s="100">
        <v>40973</v>
      </c>
      <c r="F1607" s="101">
        <v>0.20800000000000002</v>
      </c>
      <c r="G1607" s="96">
        <f t="shared" si="101"/>
        <v>7</v>
      </c>
      <c r="I1607" s="96"/>
      <c r="K1607" t="str">
        <f t="shared" si="102"/>
        <v>TLSCA7</v>
      </c>
      <c r="L1607" s="73" t="s">
        <v>224</v>
      </c>
      <c r="M1607" s="72">
        <v>40973</v>
      </c>
      <c r="N1607" s="84">
        <v>0.20800000000000002</v>
      </c>
      <c r="O1607" s="96">
        <f t="shared" si="103"/>
        <v>7</v>
      </c>
      <c r="Q1607" s="96"/>
      <c r="T1607" s="110"/>
    </row>
    <row r="1608" spans="3:20" x14ac:dyDescent="0.2">
      <c r="C1608" s="96" t="str">
        <f t="shared" si="100"/>
        <v>TLSCA8</v>
      </c>
      <c r="D1608" s="73" t="s">
        <v>224</v>
      </c>
      <c r="E1608" s="100">
        <v>41148</v>
      </c>
      <c r="F1608" s="101">
        <v>0.14000000000000001</v>
      </c>
      <c r="G1608" s="96">
        <f t="shared" si="101"/>
        <v>8</v>
      </c>
      <c r="I1608" s="96"/>
      <c r="K1608" t="str">
        <f t="shared" si="102"/>
        <v>TLSCA8</v>
      </c>
      <c r="L1608" s="73" t="s">
        <v>224</v>
      </c>
      <c r="M1608" s="72">
        <v>41148</v>
      </c>
      <c r="N1608" s="84">
        <v>0.14000000000000001</v>
      </c>
      <c r="O1608" s="96">
        <f t="shared" si="103"/>
        <v>8</v>
      </c>
      <c r="Q1608" s="96"/>
      <c r="T1608" s="110"/>
    </row>
    <row r="1609" spans="3:20" x14ac:dyDescent="0.2">
      <c r="C1609" s="96" t="str">
        <f t="shared" si="100"/>
        <v>TOL1</v>
      </c>
      <c r="D1609" s="73" t="s">
        <v>225</v>
      </c>
      <c r="E1609" s="100">
        <v>39882</v>
      </c>
      <c r="F1609" s="101">
        <v>0.115</v>
      </c>
      <c r="G1609" s="96">
        <f t="shared" si="101"/>
        <v>1</v>
      </c>
      <c r="I1609" s="96"/>
      <c r="K1609" t="str">
        <f t="shared" si="102"/>
        <v>TOL1</v>
      </c>
      <c r="L1609" s="73" t="s">
        <v>225</v>
      </c>
      <c r="M1609" s="72">
        <v>39882</v>
      </c>
      <c r="N1609" s="84">
        <v>0.115</v>
      </c>
      <c r="O1609" s="96">
        <f t="shared" si="103"/>
        <v>1</v>
      </c>
      <c r="Q1609" s="96"/>
      <c r="T1609" s="110"/>
    </row>
    <row r="1610" spans="3:20" x14ac:dyDescent="0.2">
      <c r="C1610" s="96" t="str">
        <f t="shared" si="100"/>
        <v>TOL2</v>
      </c>
      <c r="D1610" s="73" t="s">
        <v>225</v>
      </c>
      <c r="E1610" s="100">
        <v>40092</v>
      </c>
      <c r="F1610" s="101">
        <v>0.13500000000000001</v>
      </c>
      <c r="G1610" s="96">
        <f t="shared" si="101"/>
        <v>2</v>
      </c>
      <c r="I1610" s="96"/>
      <c r="K1610" t="str">
        <f t="shared" si="102"/>
        <v>TOL2</v>
      </c>
      <c r="L1610" s="73" t="s">
        <v>225</v>
      </c>
      <c r="M1610" s="72">
        <v>40092</v>
      </c>
      <c r="N1610" s="84">
        <v>0.13500000000000001</v>
      </c>
      <c r="O1610" s="96">
        <f t="shared" si="103"/>
        <v>2</v>
      </c>
      <c r="Q1610" s="96"/>
      <c r="T1610" s="110"/>
    </row>
    <row r="1611" spans="3:20" x14ac:dyDescent="0.2">
      <c r="C1611" s="96" t="str">
        <f t="shared" si="100"/>
        <v>TOL3</v>
      </c>
      <c r="D1611" s="73" t="s">
        <v>225</v>
      </c>
      <c r="E1611" s="100">
        <v>40247</v>
      </c>
      <c r="F1611" s="101">
        <v>0.12</v>
      </c>
      <c r="G1611" s="96">
        <f t="shared" si="101"/>
        <v>3</v>
      </c>
      <c r="I1611" s="96"/>
      <c r="K1611" t="str">
        <f t="shared" si="102"/>
        <v>TOL3</v>
      </c>
      <c r="L1611" s="73" t="s">
        <v>225</v>
      </c>
      <c r="M1611" s="72">
        <v>40247</v>
      </c>
      <c r="N1611" s="84">
        <v>0.12</v>
      </c>
      <c r="O1611" s="96">
        <f t="shared" si="103"/>
        <v>3</v>
      </c>
      <c r="Q1611" s="96"/>
      <c r="T1611" s="110"/>
    </row>
    <row r="1612" spans="3:20" x14ac:dyDescent="0.2">
      <c r="C1612" s="96" t="str">
        <f t="shared" si="100"/>
        <v>TOL4</v>
      </c>
      <c r="D1612" s="73" t="s">
        <v>225</v>
      </c>
      <c r="E1612" s="100">
        <v>40457</v>
      </c>
      <c r="F1612" s="101">
        <v>0.14000000000000001</v>
      </c>
      <c r="G1612" s="96">
        <f t="shared" si="101"/>
        <v>4</v>
      </c>
      <c r="I1612" s="96"/>
      <c r="K1612" t="str">
        <f t="shared" si="102"/>
        <v>TOL4</v>
      </c>
      <c r="L1612" s="73" t="s">
        <v>225</v>
      </c>
      <c r="M1612" s="72">
        <v>40457</v>
      </c>
      <c r="N1612" s="84">
        <v>0.14000000000000001</v>
      </c>
      <c r="O1612" s="96">
        <f t="shared" si="103"/>
        <v>4</v>
      </c>
      <c r="Q1612" s="96"/>
    </row>
    <row r="1613" spans="3:20" x14ac:dyDescent="0.2">
      <c r="C1613" s="96" t="str">
        <f t="shared" si="100"/>
        <v>TOL5</v>
      </c>
      <c r="D1613" s="73" t="s">
        <v>225</v>
      </c>
      <c r="E1613" s="100">
        <v>40612</v>
      </c>
      <c r="F1613" s="101">
        <v>0.13</v>
      </c>
      <c r="G1613" s="96">
        <f t="shared" si="101"/>
        <v>5</v>
      </c>
      <c r="I1613" s="96"/>
      <c r="K1613" t="str">
        <f t="shared" si="102"/>
        <v>TOL5</v>
      </c>
      <c r="L1613" s="73" t="s">
        <v>225</v>
      </c>
      <c r="M1613" s="72">
        <v>40612</v>
      </c>
      <c r="N1613" s="84">
        <v>0.13</v>
      </c>
      <c r="O1613" s="96">
        <f t="shared" si="103"/>
        <v>5</v>
      </c>
      <c r="Q1613" s="96"/>
      <c r="T1613" s="110"/>
    </row>
    <row r="1614" spans="3:20" x14ac:dyDescent="0.2">
      <c r="C1614" s="96" t="str">
        <f t="shared" si="100"/>
        <v>TOL6</v>
      </c>
      <c r="D1614" s="73" t="s">
        <v>225</v>
      </c>
      <c r="E1614" s="100">
        <v>40822</v>
      </c>
      <c r="F1614" s="101">
        <v>0.15</v>
      </c>
      <c r="G1614" s="96">
        <f t="shared" si="101"/>
        <v>6</v>
      </c>
      <c r="I1614" s="96"/>
      <c r="K1614" t="str">
        <f t="shared" si="102"/>
        <v>TOL6</v>
      </c>
      <c r="L1614" s="73" t="s">
        <v>225</v>
      </c>
      <c r="M1614" s="72">
        <v>40822</v>
      </c>
      <c r="N1614" s="84">
        <v>0.15</v>
      </c>
      <c r="O1614" s="96">
        <f t="shared" si="103"/>
        <v>6</v>
      </c>
      <c r="Q1614" s="96"/>
      <c r="T1614" s="110"/>
    </row>
    <row r="1615" spans="3:20" x14ac:dyDescent="0.2">
      <c r="C1615" s="96" t="str">
        <f t="shared" si="100"/>
        <v>TOL7</v>
      </c>
      <c r="D1615" s="73" t="s">
        <v>225</v>
      </c>
      <c r="E1615" s="100">
        <v>40980</v>
      </c>
      <c r="F1615" s="101">
        <v>0.14000000000000001</v>
      </c>
      <c r="G1615" s="96">
        <f t="shared" si="101"/>
        <v>7</v>
      </c>
      <c r="I1615" s="96"/>
      <c r="K1615" t="str">
        <f t="shared" si="102"/>
        <v>TOL7</v>
      </c>
      <c r="L1615" s="73" t="s">
        <v>225</v>
      </c>
      <c r="M1615" s="72">
        <v>40980</v>
      </c>
      <c r="N1615" s="84">
        <v>0.14000000000000001</v>
      </c>
      <c r="O1615" s="96">
        <f t="shared" si="103"/>
        <v>7</v>
      </c>
      <c r="Q1615" s="96"/>
      <c r="T1615" s="110"/>
    </row>
    <row r="1616" spans="3:20" x14ac:dyDescent="0.2">
      <c r="C1616" s="96" t="str">
        <f t="shared" si="100"/>
        <v>TOL8</v>
      </c>
      <c r="D1616" s="73" t="s">
        <v>225</v>
      </c>
      <c r="E1616" s="100">
        <v>41190</v>
      </c>
      <c r="F1616" s="101">
        <v>0.16</v>
      </c>
      <c r="G1616" s="96">
        <f t="shared" si="101"/>
        <v>8</v>
      </c>
      <c r="I1616" s="96"/>
      <c r="K1616" t="str">
        <f t="shared" si="102"/>
        <v>TOL8</v>
      </c>
      <c r="L1616" s="73" t="s">
        <v>225</v>
      </c>
      <c r="M1616" s="72">
        <v>41190</v>
      </c>
      <c r="N1616" s="84">
        <v>0.16</v>
      </c>
      <c r="O1616" s="96">
        <f t="shared" si="103"/>
        <v>8</v>
      </c>
      <c r="Q1616" s="96"/>
      <c r="T1616" s="110"/>
    </row>
    <row r="1617" spans="3:20" x14ac:dyDescent="0.2">
      <c r="C1617" s="96" t="str">
        <f t="shared" si="100"/>
        <v>TOL9</v>
      </c>
      <c r="D1617" s="73" t="s">
        <v>225</v>
      </c>
      <c r="E1617" s="100">
        <v>41345</v>
      </c>
      <c r="F1617" s="101">
        <v>0.16</v>
      </c>
      <c r="G1617" s="96">
        <f t="shared" si="101"/>
        <v>9</v>
      </c>
      <c r="I1617" s="96"/>
      <c r="K1617" t="str">
        <f t="shared" si="102"/>
        <v>TOL9</v>
      </c>
      <c r="L1617" s="73" t="s">
        <v>225</v>
      </c>
      <c r="M1617" s="72">
        <v>41345</v>
      </c>
      <c r="N1617" s="84">
        <v>0.16</v>
      </c>
      <c r="O1617" s="96">
        <f t="shared" si="103"/>
        <v>9</v>
      </c>
      <c r="Q1617" s="96"/>
      <c r="T1617" s="110"/>
    </row>
    <row r="1618" spans="3:20" x14ac:dyDescent="0.2">
      <c r="C1618" s="96" t="str">
        <f t="shared" si="100"/>
        <v>TOL10</v>
      </c>
      <c r="D1618" s="73" t="s">
        <v>225</v>
      </c>
      <c r="E1618" s="100">
        <v>41555</v>
      </c>
      <c r="F1618" s="101">
        <v>0.19</v>
      </c>
      <c r="G1618" s="96">
        <f t="shared" si="101"/>
        <v>10</v>
      </c>
      <c r="I1618" s="96"/>
      <c r="K1618" t="str">
        <f t="shared" si="102"/>
        <v>TOL10</v>
      </c>
      <c r="L1618" s="73" t="s">
        <v>225</v>
      </c>
      <c r="M1618" s="72">
        <v>41555</v>
      </c>
      <c r="N1618" s="84">
        <v>0.19</v>
      </c>
      <c r="O1618" s="96">
        <f t="shared" si="103"/>
        <v>10</v>
      </c>
      <c r="Q1618" s="96"/>
      <c r="T1618" s="110"/>
    </row>
    <row r="1619" spans="3:20" x14ac:dyDescent="0.2">
      <c r="C1619" s="96" t="str">
        <f t="shared" si="100"/>
        <v>TPI1</v>
      </c>
      <c r="D1619" s="73" t="s">
        <v>226</v>
      </c>
      <c r="E1619" s="100">
        <v>39895</v>
      </c>
      <c r="F1619" s="101">
        <v>0.09</v>
      </c>
      <c r="G1619" s="96">
        <f t="shared" si="101"/>
        <v>1</v>
      </c>
      <c r="I1619" s="96"/>
      <c r="K1619" t="str">
        <f t="shared" si="102"/>
        <v>TPI1</v>
      </c>
      <c r="L1619" s="73" t="s">
        <v>226</v>
      </c>
      <c r="M1619" s="72">
        <v>39895</v>
      </c>
      <c r="N1619" s="84">
        <v>0.09</v>
      </c>
      <c r="O1619" s="96">
        <f t="shared" si="103"/>
        <v>1</v>
      </c>
      <c r="Q1619" s="96"/>
      <c r="T1619" s="110"/>
    </row>
    <row r="1620" spans="3:20" x14ac:dyDescent="0.2">
      <c r="C1620" s="96" t="str">
        <f t="shared" si="100"/>
        <v>TPI2</v>
      </c>
      <c r="D1620" s="73" t="s">
        <v>226</v>
      </c>
      <c r="E1620" s="100">
        <v>40077</v>
      </c>
      <c r="F1620" s="101">
        <v>0.10099999999999999</v>
      </c>
      <c r="G1620" s="96">
        <f t="shared" si="101"/>
        <v>2</v>
      </c>
      <c r="I1620" s="96"/>
      <c r="K1620" t="str">
        <f t="shared" si="102"/>
        <v>TPI2</v>
      </c>
      <c r="L1620" s="73" t="s">
        <v>226</v>
      </c>
      <c r="M1620" s="72">
        <v>40077</v>
      </c>
      <c r="N1620" s="84">
        <v>0.10099999999999999</v>
      </c>
      <c r="O1620" s="96">
        <f t="shared" si="103"/>
        <v>2</v>
      </c>
      <c r="Q1620" s="96"/>
      <c r="T1620" s="110"/>
    </row>
    <row r="1621" spans="3:20" x14ac:dyDescent="0.2">
      <c r="C1621" s="96" t="str">
        <f t="shared" si="100"/>
        <v>TPI3</v>
      </c>
      <c r="D1621" s="73" t="s">
        <v>226</v>
      </c>
      <c r="E1621" s="100">
        <v>40260</v>
      </c>
      <c r="F1621" s="101">
        <v>9.3800000000000008E-2</v>
      </c>
      <c r="G1621" s="96">
        <f t="shared" si="101"/>
        <v>3</v>
      </c>
      <c r="I1621" s="96"/>
      <c r="K1621" t="str">
        <f t="shared" si="102"/>
        <v>TPI3</v>
      </c>
      <c r="L1621" s="73" t="s">
        <v>226</v>
      </c>
      <c r="M1621" s="72">
        <v>40260</v>
      </c>
      <c r="N1621" s="84">
        <v>9.3800000000000008E-2</v>
      </c>
      <c r="O1621" s="96">
        <f t="shared" si="103"/>
        <v>3</v>
      </c>
      <c r="Q1621" s="96"/>
      <c r="T1621" s="110"/>
    </row>
    <row r="1622" spans="3:20" x14ac:dyDescent="0.2">
      <c r="C1622" s="96" t="str">
        <f t="shared" si="100"/>
        <v>TPI4</v>
      </c>
      <c r="D1622" s="73" t="s">
        <v>226</v>
      </c>
      <c r="E1622" s="100">
        <v>40442</v>
      </c>
      <c r="F1622" s="101">
        <v>0.1052</v>
      </c>
      <c r="G1622" s="96">
        <f t="shared" si="101"/>
        <v>4</v>
      </c>
      <c r="I1622" s="96"/>
      <c r="K1622" t="str">
        <f t="shared" si="102"/>
        <v>TPI4</v>
      </c>
      <c r="L1622" s="73" t="s">
        <v>226</v>
      </c>
      <c r="M1622" s="72">
        <v>40442</v>
      </c>
      <c r="N1622" s="84">
        <v>0.1052</v>
      </c>
      <c r="O1622" s="96">
        <f t="shared" si="103"/>
        <v>4</v>
      </c>
      <c r="Q1622" s="96"/>
      <c r="T1622" s="110"/>
    </row>
    <row r="1623" spans="3:20" x14ac:dyDescent="0.2">
      <c r="C1623" s="96" t="str">
        <f t="shared" si="100"/>
        <v>TPI5</v>
      </c>
      <c r="D1623" s="73" t="s">
        <v>226</v>
      </c>
      <c r="E1623" s="100">
        <v>40625</v>
      </c>
      <c r="F1623" s="101">
        <v>0.11119999999999999</v>
      </c>
      <c r="G1623" s="96">
        <f t="shared" si="101"/>
        <v>5</v>
      </c>
      <c r="I1623" s="96"/>
      <c r="K1623" t="str">
        <f t="shared" si="102"/>
        <v>TPI5</v>
      </c>
      <c r="L1623" s="73" t="s">
        <v>226</v>
      </c>
      <c r="M1623" s="72">
        <v>40625</v>
      </c>
      <c r="N1623" s="84">
        <v>0.11119999999999999</v>
      </c>
      <c r="O1623" s="96">
        <f t="shared" si="103"/>
        <v>5</v>
      </c>
      <c r="Q1623" s="96"/>
      <c r="T1623" s="110"/>
    </row>
    <row r="1624" spans="3:20" x14ac:dyDescent="0.2">
      <c r="C1624" s="96" t="str">
        <f t="shared" si="100"/>
        <v>TPI6</v>
      </c>
      <c r="D1624" s="73" t="s">
        <v>226</v>
      </c>
      <c r="E1624" s="100">
        <v>40807</v>
      </c>
      <c r="F1624" s="101">
        <v>0.12480000000000001</v>
      </c>
      <c r="G1624" s="96">
        <f t="shared" si="101"/>
        <v>6</v>
      </c>
      <c r="I1624" s="96"/>
      <c r="K1624" t="str">
        <f t="shared" si="102"/>
        <v>TPI6</v>
      </c>
      <c r="L1624" s="73" t="s">
        <v>226</v>
      </c>
      <c r="M1624" s="72">
        <v>40807</v>
      </c>
      <c r="N1624" s="84">
        <v>0.12480000000000001</v>
      </c>
      <c r="O1624" s="96">
        <f t="shared" si="103"/>
        <v>6</v>
      </c>
      <c r="Q1624" s="96"/>
      <c r="T1624" s="110"/>
    </row>
    <row r="1625" spans="3:20" x14ac:dyDescent="0.2">
      <c r="C1625" s="96" t="str">
        <f t="shared" si="100"/>
        <v>TPI7</v>
      </c>
      <c r="D1625" s="73" t="s">
        <v>226</v>
      </c>
      <c r="E1625" s="100">
        <v>40991</v>
      </c>
      <c r="F1625" s="101">
        <v>0.13470000000000001</v>
      </c>
      <c r="G1625" s="96">
        <f t="shared" si="101"/>
        <v>7</v>
      </c>
      <c r="I1625" s="96"/>
      <c r="K1625" t="str">
        <f t="shared" si="102"/>
        <v>TPI7</v>
      </c>
      <c r="L1625" s="73" t="s">
        <v>226</v>
      </c>
      <c r="M1625" s="72">
        <v>40991</v>
      </c>
      <c r="N1625" s="84">
        <v>0.13470000000000001</v>
      </c>
      <c r="O1625" s="96">
        <f t="shared" si="103"/>
        <v>7</v>
      </c>
      <c r="Q1625" s="96"/>
      <c r="T1625" s="110"/>
    </row>
    <row r="1626" spans="3:20" x14ac:dyDescent="0.2">
      <c r="C1626" s="96" t="str">
        <f t="shared" si="100"/>
        <v>TPI8</v>
      </c>
      <c r="D1626" s="73" t="s">
        <v>226</v>
      </c>
      <c r="E1626" s="100">
        <v>41173</v>
      </c>
      <c r="F1626" s="101">
        <v>0.15130000000000002</v>
      </c>
      <c r="G1626" s="96">
        <f t="shared" si="101"/>
        <v>8</v>
      </c>
      <c r="I1626" s="96"/>
      <c r="K1626" t="str">
        <f t="shared" si="102"/>
        <v>TPI8</v>
      </c>
      <c r="L1626" s="73" t="s">
        <v>226</v>
      </c>
      <c r="M1626" s="72">
        <v>41173</v>
      </c>
      <c r="N1626" s="84">
        <v>0.15130000000000002</v>
      </c>
      <c r="O1626" s="96">
        <f t="shared" si="103"/>
        <v>8</v>
      </c>
      <c r="Q1626" s="96"/>
      <c r="T1626" s="110"/>
    </row>
    <row r="1627" spans="3:20" x14ac:dyDescent="0.2">
      <c r="C1627" s="96" t="str">
        <f t="shared" si="100"/>
        <v>TPI9</v>
      </c>
      <c r="D1627" s="73" t="s">
        <v>226</v>
      </c>
      <c r="E1627" s="100">
        <v>41358</v>
      </c>
      <c r="F1627" s="101">
        <v>0.16620000000000001</v>
      </c>
      <c r="G1627" s="96">
        <f t="shared" si="101"/>
        <v>9</v>
      </c>
      <c r="I1627" s="96"/>
      <c r="K1627" t="str">
        <f t="shared" si="102"/>
        <v>TPI9</v>
      </c>
      <c r="L1627" s="73" t="s">
        <v>226</v>
      </c>
      <c r="M1627" s="72">
        <v>41358</v>
      </c>
      <c r="N1627" s="84">
        <v>0.16620000000000001</v>
      </c>
      <c r="O1627" s="96">
        <f t="shared" si="103"/>
        <v>9</v>
      </c>
      <c r="Q1627" s="96"/>
      <c r="T1627" s="110"/>
    </row>
    <row r="1628" spans="3:20" x14ac:dyDescent="0.2">
      <c r="C1628" s="96" t="str">
        <f t="shared" si="100"/>
        <v>TPI10</v>
      </c>
      <c r="D1628" s="73" t="s">
        <v>226</v>
      </c>
      <c r="E1628" s="100">
        <v>41540</v>
      </c>
      <c r="F1628" s="101">
        <v>0.18679999999999999</v>
      </c>
      <c r="G1628" s="96">
        <f t="shared" si="101"/>
        <v>10</v>
      </c>
      <c r="I1628" s="96"/>
      <c r="K1628" t="str">
        <f t="shared" si="102"/>
        <v>TPI10</v>
      </c>
      <c r="L1628" s="73" t="s">
        <v>226</v>
      </c>
      <c r="M1628" s="72">
        <v>41540</v>
      </c>
      <c r="N1628" s="84">
        <v>0.18679999999999999</v>
      </c>
      <c r="O1628" s="96">
        <f t="shared" si="103"/>
        <v>10</v>
      </c>
      <c r="Q1628" s="96"/>
      <c r="T1628" s="110"/>
    </row>
    <row r="1629" spans="3:20" x14ac:dyDescent="0.2">
      <c r="C1629" s="96" t="str">
        <f t="shared" si="100"/>
        <v>TSE1</v>
      </c>
      <c r="D1629" s="73" t="s">
        <v>227</v>
      </c>
      <c r="E1629" s="100">
        <v>39882</v>
      </c>
      <c r="F1629" s="101">
        <v>7.4999999999999997E-2</v>
      </c>
      <c r="G1629" s="96">
        <f t="shared" si="101"/>
        <v>1</v>
      </c>
      <c r="I1629" s="96"/>
      <c r="K1629" t="str">
        <f t="shared" si="102"/>
        <v>TSE1</v>
      </c>
      <c r="L1629" s="73" t="s">
        <v>227</v>
      </c>
      <c r="M1629" s="72">
        <v>39882</v>
      </c>
      <c r="N1629" s="84">
        <v>7.4999999999999997E-2</v>
      </c>
      <c r="O1629" s="96">
        <f t="shared" si="103"/>
        <v>1</v>
      </c>
      <c r="Q1629" s="96"/>
      <c r="T1629" s="110"/>
    </row>
    <row r="1630" spans="3:20" x14ac:dyDescent="0.2">
      <c r="C1630" s="96" t="str">
        <f t="shared" si="100"/>
        <v>TSE2</v>
      </c>
      <c r="D1630" s="73" t="s">
        <v>227</v>
      </c>
      <c r="E1630" s="100">
        <v>40058</v>
      </c>
      <c r="F1630" s="101">
        <v>7.4999999999999997E-2</v>
      </c>
      <c r="G1630" s="96">
        <f t="shared" si="101"/>
        <v>2</v>
      </c>
      <c r="I1630" s="96"/>
      <c r="K1630" t="str">
        <f t="shared" si="102"/>
        <v>TSE2</v>
      </c>
      <c r="L1630" s="73" t="s">
        <v>227</v>
      </c>
      <c r="M1630" s="72">
        <v>40058</v>
      </c>
      <c r="N1630" s="84">
        <v>7.4999999999999997E-2</v>
      </c>
      <c r="O1630" s="96">
        <f t="shared" si="103"/>
        <v>2</v>
      </c>
      <c r="Q1630" s="96"/>
      <c r="T1630" s="110"/>
    </row>
    <row r="1631" spans="3:20" x14ac:dyDescent="0.2">
      <c r="C1631" s="96" t="str">
        <f t="shared" si="100"/>
        <v>TSE3</v>
      </c>
      <c r="D1631" s="73" t="s">
        <v>227</v>
      </c>
      <c r="E1631" s="100">
        <v>40247</v>
      </c>
      <c r="F1631" s="101">
        <v>0.08</v>
      </c>
      <c r="G1631" s="96">
        <f t="shared" si="101"/>
        <v>3</v>
      </c>
      <c r="I1631" s="96"/>
      <c r="K1631" t="str">
        <f t="shared" si="102"/>
        <v>TSE3</v>
      </c>
      <c r="L1631" s="73" t="s">
        <v>227</v>
      </c>
      <c r="M1631" s="72">
        <v>40247</v>
      </c>
      <c r="N1631" s="84">
        <v>0.08</v>
      </c>
      <c r="O1631" s="96">
        <f t="shared" si="103"/>
        <v>3</v>
      </c>
      <c r="Q1631" s="96"/>
      <c r="T1631" s="110"/>
    </row>
    <row r="1632" spans="3:20" x14ac:dyDescent="0.2">
      <c r="C1632" s="96" t="str">
        <f t="shared" si="100"/>
        <v>TSE4</v>
      </c>
      <c r="D1632" s="73" t="s">
        <v>227</v>
      </c>
      <c r="E1632" s="100">
        <v>40423</v>
      </c>
      <c r="F1632" s="101">
        <v>0.08</v>
      </c>
      <c r="G1632" s="96">
        <f t="shared" si="101"/>
        <v>4</v>
      </c>
      <c r="I1632" s="96"/>
      <c r="K1632" t="str">
        <f t="shared" si="102"/>
        <v>TSE4</v>
      </c>
      <c r="L1632" s="73" t="s">
        <v>227</v>
      </c>
      <c r="M1632" s="72">
        <v>40423</v>
      </c>
      <c r="N1632" s="84">
        <v>0.08</v>
      </c>
      <c r="O1632" s="96">
        <f t="shared" si="103"/>
        <v>4</v>
      </c>
      <c r="Q1632" s="96"/>
      <c r="T1632" s="110"/>
    </row>
    <row r="1633" spans="3:20" x14ac:dyDescent="0.2">
      <c r="C1633" s="96" t="str">
        <f t="shared" si="100"/>
        <v>TSE5</v>
      </c>
      <c r="D1633" s="73" t="s">
        <v>227</v>
      </c>
      <c r="E1633" s="100">
        <v>40612</v>
      </c>
      <c r="F1633" s="101">
        <v>8.5000000000000006E-2</v>
      </c>
      <c r="G1633" s="96">
        <f t="shared" si="101"/>
        <v>5</v>
      </c>
      <c r="I1633" s="96"/>
      <c r="K1633" t="str">
        <f t="shared" si="102"/>
        <v>TSE5</v>
      </c>
      <c r="L1633" s="73" t="s">
        <v>227</v>
      </c>
      <c r="M1633" s="72">
        <v>40612</v>
      </c>
      <c r="N1633" s="84">
        <v>8.5000000000000006E-2</v>
      </c>
      <c r="O1633" s="96">
        <f t="shared" si="103"/>
        <v>5</v>
      </c>
      <c r="Q1633" s="96"/>
      <c r="T1633" s="110"/>
    </row>
    <row r="1634" spans="3:20" x14ac:dyDescent="0.2">
      <c r="C1634" s="96" t="str">
        <f t="shared" si="100"/>
        <v>TSE6</v>
      </c>
      <c r="D1634" s="73" t="s">
        <v>227</v>
      </c>
      <c r="E1634" s="100">
        <v>40788</v>
      </c>
      <c r="F1634" s="101">
        <v>8.5000000000000006E-2</v>
      </c>
      <c r="G1634" s="96">
        <f t="shared" si="101"/>
        <v>6</v>
      </c>
      <c r="I1634" s="96"/>
      <c r="K1634" t="str">
        <f t="shared" si="102"/>
        <v>TSE6</v>
      </c>
      <c r="L1634" s="73" t="s">
        <v>227</v>
      </c>
      <c r="M1634" s="72">
        <v>40788</v>
      </c>
      <c r="N1634" s="84">
        <v>8.5000000000000006E-2</v>
      </c>
      <c r="O1634" s="96">
        <f t="shared" si="103"/>
        <v>6</v>
      </c>
      <c r="Q1634" s="96"/>
      <c r="T1634" s="110"/>
    </row>
    <row r="1635" spans="3:20" x14ac:dyDescent="0.2">
      <c r="C1635" s="96" t="str">
        <f t="shared" si="100"/>
        <v>TSE7</v>
      </c>
      <c r="D1635" s="73" t="s">
        <v>227</v>
      </c>
      <c r="E1635" s="100">
        <v>40980</v>
      </c>
      <c r="F1635" s="101">
        <v>0.09</v>
      </c>
      <c r="G1635" s="96">
        <f t="shared" si="101"/>
        <v>7</v>
      </c>
      <c r="I1635" s="96"/>
      <c r="K1635" t="str">
        <f t="shared" si="102"/>
        <v>TSE7</v>
      </c>
      <c r="L1635" s="73" t="s">
        <v>227</v>
      </c>
      <c r="M1635" s="72">
        <v>40980</v>
      </c>
      <c r="N1635" s="84">
        <v>0.09</v>
      </c>
      <c r="O1635" s="96">
        <f t="shared" si="103"/>
        <v>7</v>
      </c>
      <c r="Q1635" s="96"/>
      <c r="T1635" s="110"/>
    </row>
    <row r="1636" spans="3:20" x14ac:dyDescent="0.2">
      <c r="C1636" s="96" t="str">
        <f t="shared" si="100"/>
        <v>TSE8</v>
      </c>
      <c r="D1636" s="73" t="s">
        <v>227</v>
      </c>
      <c r="E1636" s="100">
        <v>41156</v>
      </c>
      <c r="F1636" s="101">
        <v>0.09</v>
      </c>
      <c r="G1636" s="96">
        <f t="shared" si="101"/>
        <v>8</v>
      </c>
      <c r="I1636" s="96"/>
      <c r="K1636" t="str">
        <f t="shared" si="102"/>
        <v>TSE8</v>
      </c>
      <c r="L1636" s="73" t="s">
        <v>227</v>
      </c>
      <c r="M1636" s="72">
        <v>41156</v>
      </c>
      <c r="N1636" s="84">
        <v>0.09</v>
      </c>
      <c r="O1636" s="96">
        <f t="shared" si="103"/>
        <v>8</v>
      </c>
      <c r="Q1636" s="96"/>
      <c r="T1636" s="110"/>
    </row>
    <row r="1637" spans="3:20" x14ac:dyDescent="0.2">
      <c r="C1637" s="96" t="str">
        <f t="shared" si="100"/>
        <v>TSE9</v>
      </c>
      <c r="D1637" s="73" t="s">
        <v>227</v>
      </c>
      <c r="E1637" s="100">
        <v>41345</v>
      </c>
      <c r="F1637" s="101">
        <v>0.1</v>
      </c>
      <c r="G1637" s="96">
        <f t="shared" si="101"/>
        <v>9</v>
      </c>
      <c r="I1637" s="96"/>
      <c r="K1637" t="str">
        <f t="shared" si="102"/>
        <v>TSE9</v>
      </c>
      <c r="L1637" s="73" t="s">
        <v>227</v>
      </c>
      <c r="M1637" s="72">
        <v>41345</v>
      </c>
      <c r="N1637" s="84">
        <v>0.1</v>
      </c>
      <c r="O1637" s="96">
        <f t="shared" si="103"/>
        <v>9</v>
      </c>
      <c r="Q1637" s="96"/>
      <c r="T1637" s="110"/>
    </row>
    <row r="1638" spans="3:20" x14ac:dyDescent="0.2">
      <c r="C1638" s="96" t="str">
        <f t="shared" si="100"/>
        <v>TSE10</v>
      </c>
      <c r="D1638" s="73" t="s">
        <v>227</v>
      </c>
      <c r="E1638" s="100">
        <v>41521</v>
      </c>
      <c r="F1638" s="101">
        <v>0.1</v>
      </c>
      <c r="G1638" s="96">
        <f t="shared" si="101"/>
        <v>10</v>
      </c>
      <c r="I1638" s="96"/>
      <c r="K1638" t="str">
        <f t="shared" si="102"/>
        <v>TSE10</v>
      </c>
      <c r="L1638" s="73" t="s">
        <v>227</v>
      </c>
      <c r="M1638" s="72">
        <v>41521</v>
      </c>
      <c r="N1638" s="84">
        <v>0.1</v>
      </c>
      <c r="O1638" s="96">
        <f t="shared" si="103"/>
        <v>10</v>
      </c>
      <c r="Q1638" s="96"/>
      <c r="T1638" s="110"/>
    </row>
    <row r="1639" spans="3:20" x14ac:dyDescent="0.2">
      <c r="C1639" s="96" t="str">
        <f t="shared" si="100"/>
        <v>TSI1</v>
      </c>
      <c r="D1639" s="73" t="s">
        <v>228</v>
      </c>
      <c r="E1639" s="100">
        <v>39988</v>
      </c>
      <c r="F1639" s="101">
        <v>9.35E-2</v>
      </c>
      <c r="G1639" s="96">
        <f t="shared" si="101"/>
        <v>1</v>
      </c>
      <c r="I1639" s="96"/>
      <c r="K1639" t="str">
        <f t="shared" si="102"/>
        <v>TSI1</v>
      </c>
      <c r="L1639" s="73" t="s">
        <v>228</v>
      </c>
      <c r="M1639" s="72">
        <v>39988</v>
      </c>
      <c r="N1639" s="84">
        <v>9.35E-2</v>
      </c>
      <c r="O1639" s="96">
        <f t="shared" si="103"/>
        <v>1</v>
      </c>
      <c r="Q1639" s="96"/>
      <c r="T1639" s="110"/>
    </row>
    <row r="1640" spans="3:20" x14ac:dyDescent="0.2">
      <c r="C1640" s="96" t="str">
        <f t="shared" si="100"/>
        <v>TSI2</v>
      </c>
      <c r="D1640" s="73" t="s">
        <v>228</v>
      </c>
      <c r="E1640" s="100">
        <v>40170</v>
      </c>
      <c r="F1640" s="101">
        <v>9.7500000000000003E-2</v>
      </c>
      <c r="G1640" s="96">
        <f t="shared" si="101"/>
        <v>2</v>
      </c>
      <c r="I1640" s="96"/>
      <c r="K1640" t="str">
        <f t="shared" si="102"/>
        <v>TSI2</v>
      </c>
      <c r="L1640" s="73" t="s">
        <v>228</v>
      </c>
      <c r="M1640" s="72">
        <v>40170</v>
      </c>
      <c r="N1640" s="84">
        <v>9.7500000000000003E-2</v>
      </c>
      <c r="O1640" s="96">
        <f t="shared" si="103"/>
        <v>2</v>
      </c>
      <c r="Q1640" s="96"/>
      <c r="T1640" s="110"/>
    </row>
    <row r="1641" spans="3:20" x14ac:dyDescent="0.2">
      <c r="C1641" s="96" t="str">
        <f t="shared" si="100"/>
        <v>TSI3</v>
      </c>
      <c r="D1641" s="73" t="s">
        <v>228</v>
      </c>
      <c r="E1641" s="100">
        <v>40353</v>
      </c>
      <c r="F1641" s="101">
        <v>9.7500000000000003E-2</v>
      </c>
      <c r="G1641" s="96">
        <f t="shared" si="101"/>
        <v>3</v>
      </c>
      <c r="I1641" s="96"/>
      <c r="K1641" t="str">
        <f t="shared" si="102"/>
        <v>TSI3</v>
      </c>
      <c r="L1641" s="73" t="s">
        <v>228</v>
      </c>
      <c r="M1641" s="72">
        <v>40353</v>
      </c>
      <c r="N1641" s="84">
        <v>9.7500000000000003E-2</v>
      </c>
      <c r="O1641" s="96">
        <f t="shared" si="103"/>
        <v>3</v>
      </c>
      <c r="Q1641" s="96"/>
      <c r="T1641" s="110"/>
    </row>
    <row r="1642" spans="3:20" x14ac:dyDescent="0.2">
      <c r="C1642" s="96" t="str">
        <f t="shared" si="100"/>
        <v>TSI4</v>
      </c>
      <c r="D1642" s="73" t="s">
        <v>228</v>
      </c>
      <c r="E1642" s="100">
        <v>40536</v>
      </c>
      <c r="F1642" s="101">
        <v>0.10150000000000001</v>
      </c>
      <c r="G1642" s="96">
        <f t="shared" si="101"/>
        <v>4</v>
      </c>
      <c r="I1642" s="96"/>
      <c r="K1642" t="str">
        <f t="shared" si="102"/>
        <v>TSI4</v>
      </c>
      <c r="L1642" s="73" t="s">
        <v>228</v>
      </c>
      <c r="M1642" s="72">
        <v>40536</v>
      </c>
      <c r="N1642" s="84">
        <v>0.10150000000000001</v>
      </c>
      <c r="O1642" s="96">
        <f t="shared" si="103"/>
        <v>4</v>
      </c>
      <c r="Q1642" s="96"/>
      <c r="T1642" s="110"/>
    </row>
    <row r="1643" spans="3:20" x14ac:dyDescent="0.2">
      <c r="C1643" s="96" t="str">
        <f t="shared" si="100"/>
        <v>TSI5</v>
      </c>
      <c r="D1643" s="73" t="s">
        <v>228</v>
      </c>
      <c r="E1643" s="100">
        <v>40718</v>
      </c>
      <c r="F1643" s="101">
        <v>0.10150000000000001</v>
      </c>
      <c r="G1643" s="96">
        <f t="shared" si="101"/>
        <v>5</v>
      </c>
      <c r="I1643" s="96"/>
      <c r="K1643" t="str">
        <f t="shared" si="102"/>
        <v>TSI5</v>
      </c>
      <c r="L1643" s="73" t="s">
        <v>228</v>
      </c>
      <c r="M1643" s="72">
        <v>40718</v>
      </c>
      <c r="N1643" s="84">
        <v>0.10150000000000001</v>
      </c>
      <c r="O1643" s="96">
        <f t="shared" si="103"/>
        <v>5</v>
      </c>
      <c r="Q1643" s="96"/>
      <c r="T1643" s="110"/>
    </row>
    <row r="1644" spans="3:20" x14ac:dyDescent="0.2">
      <c r="C1644" s="96" t="str">
        <f t="shared" si="100"/>
        <v>TSI6</v>
      </c>
      <c r="D1644" s="73" t="s">
        <v>228</v>
      </c>
      <c r="E1644" s="100">
        <v>40900</v>
      </c>
      <c r="F1644" s="101">
        <v>0.10550000000000001</v>
      </c>
      <c r="G1644" s="96">
        <f t="shared" si="101"/>
        <v>6</v>
      </c>
      <c r="I1644" s="96"/>
      <c r="K1644" t="str">
        <f t="shared" si="102"/>
        <v>TSI6</v>
      </c>
      <c r="L1644" s="73" t="s">
        <v>228</v>
      </c>
      <c r="M1644" s="72">
        <v>40900</v>
      </c>
      <c r="N1644" s="84">
        <v>0.10550000000000001</v>
      </c>
      <c r="O1644" s="96">
        <f t="shared" si="103"/>
        <v>6</v>
      </c>
      <c r="Q1644" s="96"/>
      <c r="T1644" s="110"/>
    </row>
    <row r="1645" spans="3:20" x14ac:dyDescent="0.2">
      <c r="C1645" s="96" t="str">
        <f t="shared" si="100"/>
        <v>TSI7</v>
      </c>
      <c r="D1645" s="73" t="s">
        <v>228</v>
      </c>
      <c r="E1645" s="100">
        <v>41085</v>
      </c>
      <c r="F1645" s="101">
        <v>0.10550000000000001</v>
      </c>
      <c r="G1645" s="96">
        <f t="shared" si="101"/>
        <v>7</v>
      </c>
      <c r="I1645" s="96"/>
      <c r="K1645" t="str">
        <f t="shared" si="102"/>
        <v>TSI7</v>
      </c>
      <c r="L1645" s="73" t="s">
        <v>228</v>
      </c>
      <c r="M1645" s="72">
        <v>41085</v>
      </c>
      <c r="N1645" s="84">
        <v>0.10550000000000001</v>
      </c>
      <c r="O1645" s="96">
        <f t="shared" si="103"/>
        <v>7</v>
      </c>
      <c r="Q1645" s="96"/>
      <c r="T1645" s="110"/>
    </row>
    <row r="1646" spans="3:20" x14ac:dyDescent="0.2">
      <c r="C1646" s="96" t="str">
        <f t="shared" si="100"/>
        <v>TSO1</v>
      </c>
      <c r="D1646" s="73" t="s">
        <v>229</v>
      </c>
      <c r="E1646" s="100">
        <v>39988</v>
      </c>
      <c r="F1646" s="101">
        <v>0.03</v>
      </c>
      <c r="G1646" s="96">
        <f t="shared" si="101"/>
        <v>1</v>
      </c>
      <c r="I1646" s="96"/>
      <c r="K1646" t="str">
        <f t="shared" si="102"/>
        <v>TSO1</v>
      </c>
      <c r="L1646" s="73" t="s">
        <v>229</v>
      </c>
      <c r="M1646" s="72">
        <v>39988</v>
      </c>
      <c r="N1646" s="84">
        <v>0.03</v>
      </c>
      <c r="O1646" s="96">
        <f t="shared" si="103"/>
        <v>1</v>
      </c>
      <c r="Q1646" s="96"/>
      <c r="T1646" s="110"/>
    </row>
    <row r="1647" spans="3:20" x14ac:dyDescent="0.2">
      <c r="C1647" s="96" t="str">
        <f t="shared" si="100"/>
        <v>TSO2</v>
      </c>
      <c r="D1647" s="73" t="s">
        <v>229</v>
      </c>
      <c r="E1647" s="100">
        <v>40170</v>
      </c>
      <c r="F1647" s="101">
        <v>0.02</v>
      </c>
      <c r="G1647" s="96">
        <f t="shared" si="101"/>
        <v>2</v>
      </c>
      <c r="I1647" s="96"/>
      <c r="K1647" t="str">
        <f t="shared" si="102"/>
        <v>TSO2</v>
      </c>
      <c r="L1647" s="73" t="s">
        <v>229</v>
      </c>
      <c r="M1647" s="72">
        <v>40170</v>
      </c>
      <c r="N1647" s="84">
        <v>0.02</v>
      </c>
      <c r="O1647" s="96">
        <f t="shared" si="103"/>
        <v>2</v>
      </c>
      <c r="Q1647" s="96"/>
      <c r="T1647" s="110"/>
    </row>
    <row r="1648" spans="3:20" x14ac:dyDescent="0.2">
      <c r="C1648" s="96" t="str">
        <f t="shared" si="100"/>
        <v>TSO3</v>
      </c>
      <c r="D1648" s="73" t="s">
        <v>229</v>
      </c>
      <c r="E1648" s="100">
        <v>40353</v>
      </c>
      <c r="F1648" s="101">
        <v>0.03</v>
      </c>
      <c r="G1648" s="96">
        <f t="shared" si="101"/>
        <v>3</v>
      </c>
      <c r="I1648" s="96"/>
      <c r="K1648" t="str">
        <f t="shared" si="102"/>
        <v>TSO3</v>
      </c>
      <c r="L1648" s="73" t="s">
        <v>229</v>
      </c>
      <c r="M1648" s="72">
        <v>40353</v>
      </c>
      <c r="N1648" s="84">
        <v>0.03</v>
      </c>
      <c r="O1648" s="96">
        <f t="shared" si="103"/>
        <v>3</v>
      </c>
      <c r="Q1648" s="96"/>
      <c r="T1648" s="110"/>
    </row>
    <row r="1649" spans="3:20" x14ac:dyDescent="0.2">
      <c r="C1649" s="96" t="str">
        <f t="shared" si="100"/>
        <v>TSO4</v>
      </c>
      <c r="D1649" s="73" t="s">
        <v>229</v>
      </c>
      <c r="E1649" s="100">
        <v>40535</v>
      </c>
      <c r="F1649" s="101">
        <v>0.03</v>
      </c>
      <c r="G1649" s="96">
        <f t="shared" si="101"/>
        <v>4</v>
      </c>
      <c r="I1649" s="96"/>
      <c r="K1649" t="str">
        <f t="shared" si="102"/>
        <v>TSO4</v>
      </c>
      <c r="L1649" s="73" t="s">
        <v>229</v>
      </c>
      <c r="M1649" s="72">
        <v>40535</v>
      </c>
      <c r="N1649" s="84">
        <v>0.03</v>
      </c>
      <c r="O1649" s="96">
        <f t="shared" si="103"/>
        <v>4</v>
      </c>
      <c r="Q1649" s="96"/>
      <c r="T1649" s="110"/>
    </row>
    <row r="1650" spans="3:20" x14ac:dyDescent="0.2">
      <c r="C1650" s="96" t="str">
        <f t="shared" si="100"/>
        <v>TSO5</v>
      </c>
      <c r="D1650" s="73" t="s">
        <v>229</v>
      </c>
      <c r="E1650" s="100">
        <v>40718</v>
      </c>
      <c r="F1650" s="101">
        <v>0.03</v>
      </c>
      <c r="G1650" s="96">
        <f t="shared" si="101"/>
        <v>5</v>
      </c>
      <c r="I1650" s="96"/>
      <c r="K1650" t="str">
        <f t="shared" si="102"/>
        <v>TSO5</v>
      </c>
      <c r="L1650" s="73" t="s">
        <v>229</v>
      </c>
      <c r="M1650" s="72">
        <v>40718</v>
      </c>
      <c r="N1650" s="84">
        <v>0.03</v>
      </c>
      <c r="O1650" s="96">
        <f t="shared" si="103"/>
        <v>5</v>
      </c>
      <c r="Q1650" s="96"/>
      <c r="T1650" s="110"/>
    </row>
    <row r="1651" spans="3:20" x14ac:dyDescent="0.2">
      <c r="C1651" s="96" t="str">
        <f t="shared" si="100"/>
        <v>TSO6</v>
      </c>
      <c r="D1651" s="73" t="s">
        <v>229</v>
      </c>
      <c r="E1651" s="100">
        <v>40899</v>
      </c>
      <c r="F1651" s="101">
        <v>0.04</v>
      </c>
      <c r="G1651" s="96">
        <f t="shared" si="101"/>
        <v>6</v>
      </c>
      <c r="I1651" s="96"/>
      <c r="K1651" t="str">
        <f t="shared" si="102"/>
        <v>TSO6</v>
      </c>
      <c r="L1651" s="73" t="s">
        <v>229</v>
      </c>
      <c r="M1651" s="72">
        <v>40899</v>
      </c>
      <c r="N1651" s="84">
        <v>0.04</v>
      </c>
      <c r="O1651" s="96">
        <f t="shared" si="103"/>
        <v>6</v>
      </c>
      <c r="Q1651" s="96"/>
      <c r="T1651" s="110"/>
    </row>
    <row r="1652" spans="3:20" x14ac:dyDescent="0.2">
      <c r="C1652" s="96" t="str">
        <f t="shared" si="100"/>
        <v>TSO7</v>
      </c>
      <c r="D1652" s="73" t="s">
        <v>229</v>
      </c>
      <c r="E1652" s="100">
        <v>41085</v>
      </c>
      <c r="F1652" s="101">
        <v>0.04</v>
      </c>
      <c r="G1652" s="96">
        <f t="shared" si="101"/>
        <v>7</v>
      </c>
      <c r="I1652" s="96"/>
      <c r="K1652" t="str">
        <f t="shared" si="102"/>
        <v>TSO7</v>
      </c>
      <c r="L1652" s="73" t="s">
        <v>229</v>
      </c>
      <c r="M1652" s="72">
        <v>41085</v>
      </c>
      <c r="N1652" s="84">
        <v>0.04</v>
      </c>
      <c r="O1652" s="96">
        <f t="shared" si="103"/>
        <v>7</v>
      </c>
      <c r="Q1652" s="96"/>
      <c r="T1652" s="110"/>
    </row>
    <row r="1653" spans="3:20" x14ac:dyDescent="0.2">
      <c r="C1653" s="96" t="str">
        <f t="shared" si="100"/>
        <v>TSO8</v>
      </c>
      <c r="D1653" s="73" t="s">
        <v>229</v>
      </c>
      <c r="E1653" s="100">
        <v>41268</v>
      </c>
      <c r="F1653" s="101">
        <v>6.1500000000000006E-2</v>
      </c>
      <c r="G1653" s="96">
        <f t="shared" si="101"/>
        <v>8</v>
      </c>
      <c r="I1653" s="96"/>
      <c r="K1653" t="str">
        <f t="shared" si="102"/>
        <v>TSO8</v>
      </c>
      <c r="L1653" s="73" t="s">
        <v>229</v>
      </c>
      <c r="M1653" s="72">
        <v>41268</v>
      </c>
      <c r="N1653" s="84">
        <v>6.1500000000000006E-2</v>
      </c>
      <c r="O1653" s="96">
        <f t="shared" si="103"/>
        <v>8</v>
      </c>
      <c r="Q1653" s="96"/>
      <c r="T1653" s="110"/>
    </row>
    <row r="1654" spans="3:20" x14ac:dyDescent="0.2">
      <c r="C1654" s="96" t="str">
        <f t="shared" si="100"/>
        <v>TSO9</v>
      </c>
      <c r="D1654" s="73" t="s">
        <v>229</v>
      </c>
      <c r="E1654" s="100">
        <v>41450</v>
      </c>
      <c r="F1654" s="101">
        <v>6.1500000000000006E-2</v>
      </c>
      <c r="G1654" s="96">
        <f t="shared" si="101"/>
        <v>9</v>
      </c>
      <c r="I1654" s="96"/>
      <c r="K1654" t="str">
        <f t="shared" si="102"/>
        <v>TSO9</v>
      </c>
      <c r="L1654" s="73" t="s">
        <v>229</v>
      </c>
      <c r="M1654" s="72">
        <v>41450</v>
      </c>
      <c r="N1654" s="84">
        <v>6.1500000000000006E-2</v>
      </c>
      <c r="O1654" s="96">
        <f t="shared" si="103"/>
        <v>9</v>
      </c>
      <c r="Q1654" s="96"/>
      <c r="T1654" s="110"/>
    </row>
    <row r="1655" spans="3:20" x14ac:dyDescent="0.2">
      <c r="C1655" s="96" t="str">
        <f t="shared" si="100"/>
        <v>TTS1</v>
      </c>
      <c r="D1655" s="73" t="s">
        <v>230</v>
      </c>
      <c r="E1655" s="100">
        <v>39882</v>
      </c>
      <c r="F1655" s="101">
        <v>0.10400000000000001</v>
      </c>
      <c r="G1655" s="96">
        <f t="shared" si="101"/>
        <v>1</v>
      </c>
      <c r="I1655" s="96"/>
      <c r="K1655" t="str">
        <f t="shared" si="102"/>
        <v>TTS1</v>
      </c>
      <c r="L1655" s="73" t="s">
        <v>230</v>
      </c>
      <c r="M1655" s="72">
        <v>39882</v>
      </c>
      <c r="N1655" s="84">
        <v>0.10400000000000001</v>
      </c>
      <c r="O1655" s="96">
        <f t="shared" si="103"/>
        <v>1</v>
      </c>
      <c r="Q1655" s="96"/>
      <c r="T1655" s="110"/>
    </row>
    <row r="1656" spans="3:20" x14ac:dyDescent="0.2">
      <c r="C1656" s="96" t="str">
        <f t="shared" si="100"/>
        <v>TTS2</v>
      </c>
      <c r="D1656" s="73" t="s">
        <v>230</v>
      </c>
      <c r="E1656" s="100">
        <v>40063</v>
      </c>
      <c r="F1656" s="101">
        <v>0.10400000000000001</v>
      </c>
      <c r="G1656" s="96">
        <f t="shared" si="101"/>
        <v>2</v>
      </c>
      <c r="I1656" s="96"/>
      <c r="K1656" t="str">
        <f t="shared" si="102"/>
        <v>TTS2</v>
      </c>
      <c r="L1656" s="73" t="s">
        <v>230</v>
      </c>
      <c r="M1656" s="72">
        <v>40063</v>
      </c>
      <c r="N1656" s="84">
        <v>0.10400000000000001</v>
      </c>
      <c r="O1656" s="96">
        <f t="shared" si="103"/>
        <v>2</v>
      </c>
      <c r="Q1656" s="96"/>
      <c r="T1656" s="110"/>
    </row>
    <row r="1657" spans="3:20" x14ac:dyDescent="0.2">
      <c r="C1657" s="96" t="str">
        <f t="shared" si="100"/>
        <v>TTS3</v>
      </c>
      <c r="D1657" s="73" t="s">
        <v>230</v>
      </c>
      <c r="E1657" s="100">
        <v>40247</v>
      </c>
      <c r="F1657" s="101">
        <v>0.11349999999999999</v>
      </c>
      <c r="G1657" s="96">
        <f t="shared" si="101"/>
        <v>3</v>
      </c>
      <c r="I1657" s="96"/>
      <c r="K1657" t="str">
        <f t="shared" si="102"/>
        <v>TTS3</v>
      </c>
      <c r="L1657" s="73" t="s">
        <v>230</v>
      </c>
      <c r="M1657" s="72">
        <v>40247</v>
      </c>
      <c r="N1657" s="84">
        <v>0.11349999999999999</v>
      </c>
      <c r="O1657" s="96">
        <f t="shared" si="103"/>
        <v>3</v>
      </c>
      <c r="Q1657" s="96"/>
      <c r="T1657" s="110"/>
    </row>
    <row r="1658" spans="3:20" x14ac:dyDescent="0.2">
      <c r="C1658" s="96" t="str">
        <f t="shared" si="100"/>
        <v>TTS4</v>
      </c>
      <c r="D1658" s="73" t="s">
        <v>230</v>
      </c>
      <c r="E1658" s="100">
        <v>40428</v>
      </c>
      <c r="F1658" s="101">
        <v>0.11349999999999999</v>
      </c>
      <c r="G1658" s="96">
        <f t="shared" si="101"/>
        <v>4</v>
      </c>
      <c r="I1658" s="96"/>
      <c r="K1658" t="str">
        <f t="shared" si="102"/>
        <v>TTS4</v>
      </c>
      <c r="L1658" s="73" t="s">
        <v>230</v>
      </c>
      <c r="M1658" s="72">
        <v>40428</v>
      </c>
      <c r="N1658" s="84">
        <v>0.11349999999999999</v>
      </c>
      <c r="O1658" s="96">
        <f t="shared" si="103"/>
        <v>4</v>
      </c>
      <c r="Q1658" s="96"/>
      <c r="T1658" s="110"/>
    </row>
    <row r="1659" spans="3:20" x14ac:dyDescent="0.2">
      <c r="C1659" s="96" t="str">
        <f t="shared" si="100"/>
        <v>TTS5</v>
      </c>
      <c r="D1659" s="73" t="s">
        <v>230</v>
      </c>
      <c r="E1659" s="100">
        <v>40612</v>
      </c>
      <c r="F1659" s="101">
        <v>0.121</v>
      </c>
      <c r="G1659" s="96">
        <f t="shared" si="101"/>
        <v>5</v>
      </c>
      <c r="I1659" s="96"/>
      <c r="K1659" t="str">
        <f t="shared" si="102"/>
        <v>TTS5</v>
      </c>
      <c r="L1659" s="73" t="s">
        <v>230</v>
      </c>
      <c r="M1659" s="72">
        <v>40612</v>
      </c>
      <c r="N1659" s="84">
        <v>0.121</v>
      </c>
      <c r="O1659" s="96">
        <f t="shared" si="103"/>
        <v>5</v>
      </c>
      <c r="Q1659" s="96"/>
      <c r="T1659" s="110"/>
    </row>
    <row r="1660" spans="3:20" x14ac:dyDescent="0.2">
      <c r="C1660" s="96" t="str">
        <f t="shared" si="100"/>
        <v>TTS6</v>
      </c>
      <c r="D1660" s="73" t="s">
        <v>230</v>
      </c>
      <c r="E1660" s="100">
        <v>40793</v>
      </c>
      <c r="F1660" s="101">
        <v>0.121</v>
      </c>
      <c r="G1660" s="96">
        <f t="shared" si="101"/>
        <v>6</v>
      </c>
      <c r="I1660" s="96"/>
      <c r="K1660" t="str">
        <f t="shared" si="102"/>
        <v>TTS6</v>
      </c>
      <c r="L1660" s="73" t="s">
        <v>230</v>
      </c>
      <c r="M1660" s="72">
        <v>40793</v>
      </c>
      <c r="N1660" s="84">
        <v>0.121</v>
      </c>
      <c r="O1660" s="96">
        <f t="shared" si="103"/>
        <v>6</v>
      </c>
      <c r="Q1660" s="96"/>
      <c r="T1660" s="110"/>
    </row>
    <row r="1661" spans="3:20" x14ac:dyDescent="0.2">
      <c r="C1661" s="96" t="str">
        <f t="shared" si="100"/>
        <v>TTS7</v>
      </c>
      <c r="D1661" s="73" t="s">
        <v>230</v>
      </c>
      <c r="E1661" s="100">
        <v>40980</v>
      </c>
      <c r="F1661" s="101">
        <v>0.13</v>
      </c>
      <c r="G1661" s="96">
        <f t="shared" si="101"/>
        <v>7</v>
      </c>
      <c r="I1661" s="96"/>
      <c r="K1661" t="str">
        <f t="shared" si="102"/>
        <v>TTS7</v>
      </c>
      <c r="L1661" s="73" t="s">
        <v>230</v>
      </c>
      <c r="M1661" s="72">
        <v>40980</v>
      </c>
      <c r="N1661" s="84">
        <v>0.13</v>
      </c>
      <c r="O1661" s="96">
        <f t="shared" si="103"/>
        <v>7</v>
      </c>
      <c r="Q1661" s="96"/>
      <c r="T1661" s="110"/>
    </row>
    <row r="1662" spans="3:20" x14ac:dyDescent="0.2">
      <c r="C1662" s="96" t="str">
        <f t="shared" si="100"/>
        <v>TTS8</v>
      </c>
      <c r="D1662" s="73" t="s">
        <v>230</v>
      </c>
      <c r="E1662" s="100">
        <v>41159</v>
      </c>
      <c r="F1662" s="101">
        <v>0.13</v>
      </c>
      <c r="G1662" s="96">
        <f t="shared" si="101"/>
        <v>8</v>
      </c>
      <c r="I1662" s="96"/>
      <c r="K1662" t="str">
        <f t="shared" si="102"/>
        <v>TTS8</v>
      </c>
      <c r="L1662" s="73" t="s">
        <v>230</v>
      </c>
      <c r="M1662" s="72">
        <v>41159</v>
      </c>
      <c r="N1662" s="84">
        <v>0.13</v>
      </c>
      <c r="O1662" s="96">
        <f t="shared" si="103"/>
        <v>8</v>
      </c>
      <c r="Q1662" s="96"/>
      <c r="T1662" s="110"/>
    </row>
    <row r="1663" spans="3:20" x14ac:dyDescent="0.2">
      <c r="C1663" s="96" t="str">
        <f t="shared" si="100"/>
        <v>TTS9</v>
      </c>
      <c r="D1663" s="73" t="s">
        <v>230</v>
      </c>
      <c r="E1663" s="100">
        <v>41345</v>
      </c>
      <c r="F1663" s="101">
        <v>0.15</v>
      </c>
      <c r="G1663" s="96">
        <f t="shared" si="101"/>
        <v>9</v>
      </c>
      <c r="I1663" s="96"/>
      <c r="K1663" t="str">
        <f t="shared" si="102"/>
        <v>TTS9</v>
      </c>
      <c r="L1663" s="73" t="s">
        <v>230</v>
      </c>
      <c r="M1663" s="72">
        <v>41345</v>
      </c>
      <c r="N1663" s="84">
        <v>0.15</v>
      </c>
      <c r="O1663" s="96">
        <f t="shared" si="103"/>
        <v>9</v>
      </c>
      <c r="Q1663" s="96"/>
      <c r="T1663" s="110"/>
    </row>
    <row r="1664" spans="3:20" x14ac:dyDescent="0.2">
      <c r="C1664" s="96" t="str">
        <f t="shared" si="100"/>
        <v>TTS10</v>
      </c>
      <c r="D1664" s="73" t="s">
        <v>230</v>
      </c>
      <c r="E1664" s="100">
        <v>41526</v>
      </c>
      <c r="F1664" s="101">
        <v>0.15</v>
      </c>
      <c r="G1664" s="96">
        <f t="shared" si="101"/>
        <v>10</v>
      </c>
      <c r="I1664" s="96"/>
      <c r="K1664" t="str">
        <f t="shared" si="102"/>
        <v>TTS10</v>
      </c>
      <c r="L1664" s="73" t="s">
        <v>230</v>
      </c>
      <c r="M1664" s="72">
        <v>41526</v>
      </c>
      <c r="N1664" s="84">
        <v>0.15</v>
      </c>
      <c r="O1664" s="96">
        <f t="shared" si="103"/>
        <v>10</v>
      </c>
      <c r="Q1664" s="96"/>
      <c r="T1664" s="110"/>
    </row>
    <row r="1665" spans="3:20" x14ac:dyDescent="0.2">
      <c r="C1665" s="96" t="str">
        <f t="shared" si="100"/>
        <v>UGL1</v>
      </c>
      <c r="D1665" s="73" t="s">
        <v>231</v>
      </c>
      <c r="E1665" s="100">
        <v>39861</v>
      </c>
      <c r="F1665" s="101">
        <v>0.27</v>
      </c>
      <c r="G1665" s="96">
        <f t="shared" si="101"/>
        <v>1</v>
      </c>
      <c r="I1665" s="96"/>
      <c r="K1665" t="str">
        <f t="shared" si="102"/>
        <v>UGL1</v>
      </c>
      <c r="L1665" s="73" t="s">
        <v>231</v>
      </c>
      <c r="M1665" s="72">
        <v>39861</v>
      </c>
      <c r="N1665" s="84">
        <v>0.27</v>
      </c>
      <c r="O1665" s="96">
        <f t="shared" si="103"/>
        <v>1</v>
      </c>
      <c r="Q1665" s="96"/>
      <c r="T1665" s="110"/>
    </row>
    <row r="1666" spans="3:20" x14ac:dyDescent="0.2">
      <c r="C1666" s="96" t="str">
        <f t="shared" si="100"/>
        <v>UGL2</v>
      </c>
      <c r="D1666" s="73" t="s">
        <v>231</v>
      </c>
      <c r="E1666" s="100">
        <v>40042</v>
      </c>
      <c r="F1666" s="101">
        <v>0.37</v>
      </c>
      <c r="G1666" s="96">
        <f t="shared" si="101"/>
        <v>2</v>
      </c>
      <c r="I1666" s="96"/>
      <c r="K1666" t="str">
        <f t="shared" si="102"/>
        <v>UGL2</v>
      </c>
      <c r="L1666" s="73" t="s">
        <v>231</v>
      </c>
      <c r="M1666" s="72">
        <v>40042</v>
      </c>
      <c r="N1666" s="84">
        <v>0.37</v>
      </c>
      <c r="O1666" s="96">
        <f t="shared" si="103"/>
        <v>2</v>
      </c>
      <c r="Q1666" s="96"/>
      <c r="T1666" s="110"/>
    </row>
    <row r="1667" spans="3:20" x14ac:dyDescent="0.2">
      <c r="C1667" s="96" t="str">
        <f t="shared" ref="C1667:C1730" si="104">D1667&amp;G1667</f>
        <v>UGL3</v>
      </c>
      <c r="D1667" s="73" t="s">
        <v>231</v>
      </c>
      <c r="E1667" s="100">
        <v>40226</v>
      </c>
      <c r="F1667" s="101">
        <v>0.28000000000000003</v>
      </c>
      <c r="G1667" s="96">
        <f t="shared" ref="G1667:G1730" si="105">IF(D1667&lt;&gt;D1666,1,G1666+1)</f>
        <v>3</v>
      </c>
      <c r="I1667" s="96"/>
      <c r="K1667" t="str">
        <f t="shared" ref="K1667:K1730" si="106">L1667&amp;O1667</f>
        <v>UGL3</v>
      </c>
      <c r="L1667" s="73" t="s">
        <v>231</v>
      </c>
      <c r="M1667" s="72">
        <v>40226</v>
      </c>
      <c r="N1667" s="84">
        <v>0.28000000000000003</v>
      </c>
      <c r="O1667" s="96">
        <f t="shared" ref="O1667:O1730" si="107">IF(L1667&lt;&gt;L1666,1,O1666+1)</f>
        <v>3</v>
      </c>
      <c r="Q1667" s="96"/>
      <c r="T1667" s="110"/>
    </row>
    <row r="1668" spans="3:20" x14ac:dyDescent="0.2">
      <c r="C1668" s="96" t="str">
        <f t="shared" si="104"/>
        <v>UGL4</v>
      </c>
      <c r="D1668" s="73" t="s">
        <v>231</v>
      </c>
      <c r="E1668" s="100">
        <v>40407</v>
      </c>
      <c r="F1668" s="101">
        <v>0.38</v>
      </c>
      <c r="G1668" s="96">
        <f t="shared" si="105"/>
        <v>4</v>
      </c>
      <c r="I1668" s="96"/>
      <c r="K1668" t="str">
        <f t="shared" si="106"/>
        <v>UGL4</v>
      </c>
      <c r="L1668" s="73" t="s">
        <v>231</v>
      </c>
      <c r="M1668" s="72">
        <v>40407</v>
      </c>
      <c r="N1668" s="84">
        <v>0.38</v>
      </c>
      <c r="O1668" s="96">
        <f t="shared" si="107"/>
        <v>4</v>
      </c>
      <c r="Q1668" s="96"/>
      <c r="T1668" s="110"/>
    </row>
    <row r="1669" spans="3:20" x14ac:dyDescent="0.2">
      <c r="C1669" s="96" t="str">
        <f t="shared" si="104"/>
        <v>UGL5</v>
      </c>
      <c r="D1669" s="73" t="s">
        <v>231</v>
      </c>
      <c r="E1669" s="100">
        <v>40591</v>
      </c>
      <c r="F1669" s="101">
        <v>0.3</v>
      </c>
      <c r="G1669" s="96">
        <f t="shared" si="105"/>
        <v>5</v>
      </c>
      <c r="I1669" s="96"/>
      <c r="K1669" t="str">
        <f t="shared" si="106"/>
        <v>UGL5</v>
      </c>
      <c r="L1669" s="73" t="s">
        <v>231</v>
      </c>
      <c r="M1669" s="72">
        <v>40591</v>
      </c>
      <c r="N1669" s="84">
        <v>0.3</v>
      </c>
      <c r="O1669" s="96">
        <f t="shared" si="107"/>
        <v>5</v>
      </c>
      <c r="Q1669" s="96"/>
      <c r="T1669" s="110"/>
    </row>
    <row r="1670" spans="3:20" x14ac:dyDescent="0.2">
      <c r="C1670" s="96" t="str">
        <f t="shared" si="104"/>
        <v>UGL6</v>
      </c>
      <c r="D1670" s="73" t="s">
        <v>231</v>
      </c>
      <c r="E1670" s="100">
        <v>40772</v>
      </c>
      <c r="F1670" s="101">
        <v>0.4</v>
      </c>
      <c r="G1670" s="96">
        <f t="shared" si="105"/>
        <v>6</v>
      </c>
      <c r="I1670" s="96"/>
      <c r="K1670" t="str">
        <f t="shared" si="106"/>
        <v>UGL6</v>
      </c>
      <c r="L1670" s="73" t="s">
        <v>231</v>
      </c>
      <c r="M1670" s="72">
        <v>40772</v>
      </c>
      <c r="N1670" s="84">
        <v>0.4</v>
      </c>
      <c r="O1670" s="96">
        <f t="shared" si="107"/>
        <v>6</v>
      </c>
      <c r="Q1670" s="96"/>
      <c r="T1670" s="110"/>
    </row>
    <row r="1671" spans="3:20" x14ac:dyDescent="0.2">
      <c r="C1671" s="96" t="str">
        <f t="shared" si="104"/>
        <v>UGL7</v>
      </c>
      <c r="D1671" s="73" t="s">
        <v>231</v>
      </c>
      <c r="E1671" s="100">
        <v>40956</v>
      </c>
      <c r="F1671" s="101">
        <v>0.32</v>
      </c>
      <c r="G1671" s="96">
        <f t="shared" si="105"/>
        <v>7</v>
      </c>
      <c r="I1671" s="96"/>
      <c r="K1671" t="str">
        <f t="shared" si="106"/>
        <v>UGL7</v>
      </c>
      <c r="L1671" s="73" t="s">
        <v>231</v>
      </c>
      <c r="M1671" s="72">
        <v>40956</v>
      </c>
      <c r="N1671" s="84">
        <v>0.32</v>
      </c>
      <c r="O1671" s="96">
        <f t="shared" si="107"/>
        <v>7</v>
      </c>
      <c r="Q1671" s="96"/>
      <c r="T1671" s="110"/>
    </row>
    <row r="1672" spans="3:20" x14ac:dyDescent="0.2">
      <c r="C1672" s="96" t="str">
        <f t="shared" si="104"/>
        <v>UGL8</v>
      </c>
      <c r="D1672" s="73" t="s">
        <v>231</v>
      </c>
      <c r="E1672" s="100">
        <v>41138</v>
      </c>
      <c r="F1672" s="101">
        <v>0.42</v>
      </c>
      <c r="G1672" s="96">
        <f t="shared" si="105"/>
        <v>8</v>
      </c>
      <c r="I1672" s="96"/>
      <c r="K1672" t="str">
        <f t="shared" si="106"/>
        <v>UGL8</v>
      </c>
      <c r="L1672" s="73" t="s">
        <v>231</v>
      </c>
      <c r="M1672" s="72">
        <v>41138</v>
      </c>
      <c r="N1672" s="84">
        <v>0.42</v>
      </c>
      <c r="O1672" s="96">
        <f t="shared" si="107"/>
        <v>8</v>
      </c>
      <c r="Q1672" s="96"/>
      <c r="T1672" s="110"/>
    </row>
    <row r="1673" spans="3:20" x14ac:dyDescent="0.2">
      <c r="C1673" s="96" t="str">
        <f t="shared" si="104"/>
        <v>UGL9</v>
      </c>
      <c r="D1673" s="73" t="s">
        <v>231</v>
      </c>
      <c r="E1673" s="100">
        <v>41324</v>
      </c>
      <c r="F1673" s="101">
        <v>0.34</v>
      </c>
      <c r="G1673" s="96">
        <f t="shared" si="105"/>
        <v>9</v>
      </c>
      <c r="I1673" s="96"/>
      <c r="K1673" t="str">
        <f t="shared" si="106"/>
        <v>UGL9</v>
      </c>
      <c r="L1673" s="73" t="s">
        <v>231</v>
      </c>
      <c r="M1673" s="72">
        <v>41324</v>
      </c>
      <c r="N1673" s="84">
        <v>0.34</v>
      </c>
      <c r="O1673" s="96">
        <f t="shared" si="107"/>
        <v>9</v>
      </c>
      <c r="Q1673" s="96"/>
      <c r="T1673" s="110"/>
    </row>
    <row r="1674" spans="3:20" x14ac:dyDescent="0.2">
      <c r="C1674" s="96" t="str">
        <f t="shared" si="104"/>
        <v>UGL10</v>
      </c>
      <c r="D1674" s="73" t="s">
        <v>231</v>
      </c>
      <c r="E1674" s="100">
        <v>41505</v>
      </c>
      <c r="F1674" s="101">
        <v>0.44</v>
      </c>
      <c r="G1674" s="96">
        <f t="shared" si="105"/>
        <v>10</v>
      </c>
      <c r="I1674" s="96"/>
      <c r="K1674" t="str">
        <f t="shared" si="106"/>
        <v>UGL10</v>
      </c>
      <c r="L1674" s="73" t="s">
        <v>231</v>
      </c>
      <c r="M1674" s="72">
        <v>41505</v>
      </c>
      <c r="N1674" s="84">
        <v>0.44</v>
      </c>
      <c r="O1674" s="96">
        <f t="shared" si="107"/>
        <v>10</v>
      </c>
      <c r="Q1674" s="96"/>
      <c r="T1674" s="110"/>
    </row>
    <row r="1675" spans="3:20" x14ac:dyDescent="0.2">
      <c r="C1675" s="96" t="str">
        <f t="shared" si="104"/>
        <v>VBA1</v>
      </c>
      <c r="D1675" s="73" t="s">
        <v>232</v>
      </c>
      <c r="E1675" s="100">
        <v>39868</v>
      </c>
      <c r="F1675" s="101">
        <v>0.02</v>
      </c>
      <c r="G1675" s="96">
        <f t="shared" si="105"/>
        <v>1</v>
      </c>
      <c r="I1675" s="96"/>
      <c r="K1675" t="str">
        <f t="shared" si="106"/>
        <v>VBA1</v>
      </c>
      <c r="L1675" s="73" t="s">
        <v>232</v>
      </c>
      <c r="M1675" s="72">
        <v>39868</v>
      </c>
      <c r="N1675" s="84">
        <v>0.02</v>
      </c>
      <c r="O1675" s="96">
        <f t="shared" si="107"/>
        <v>1</v>
      </c>
      <c r="Q1675" s="96"/>
      <c r="T1675" s="110"/>
    </row>
    <row r="1676" spans="3:20" x14ac:dyDescent="0.2">
      <c r="C1676" s="96" t="str">
        <f t="shared" si="104"/>
        <v>VBA2</v>
      </c>
      <c r="D1676" s="73" t="s">
        <v>232</v>
      </c>
      <c r="E1676" s="100">
        <v>40057</v>
      </c>
      <c r="F1676" s="101">
        <v>0.02</v>
      </c>
      <c r="G1676" s="96">
        <f t="shared" si="105"/>
        <v>2</v>
      </c>
      <c r="I1676" s="96"/>
      <c r="K1676" t="str">
        <f t="shared" si="106"/>
        <v>VBA2</v>
      </c>
      <c r="L1676" s="73" t="s">
        <v>232</v>
      </c>
      <c r="M1676" s="72">
        <v>40057</v>
      </c>
      <c r="N1676" s="84">
        <v>0.02</v>
      </c>
      <c r="O1676" s="96">
        <f t="shared" si="107"/>
        <v>2</v>
      </c>
      <c r="Q1676" s="96"/>
      <c r="T1676" s="110"/>
    </row>
    <row r="1677" spans="3:20" x14ac:dyDescent="0.2">
      <c r="C1677" s="96" t="str">
        <f t="shared" si="104"/>
        <v>VPG1</v>
      </c>
      <c r="D1677" s="73" t="s">
        <v>233</v>
      </c>
      <c r="E1677" s="100">
        <v>40170</v>
      </c>
      <c r="F1677" s="101">
        <v>0.02</v>
      </c>
      <c r="G1677" s="96">
        <f t="shared" si="105"/>
        <v>1</v>
      </c>
      <c r="I1677" s="96"/>
      <c r="K1677" t="str">
        <f t="shared" si="106"/>
        <v>VPG1</v>
      </c>
      <c r="L1677" s="73" t="s">
        <v>233</v>
      </c>
      <c r="M1677" s="72">
        <v>40170</v>
      </c>
      <c r="N1677" s="84">
        <v>0.02</v>
      </c>
      <c r="O1677" s="96">
        <f t="shared" si="107"/>
        <v>1</v>
      </c>
      <c r="Q1677" s="96"/>
      <c r="T1677" s="110"/>
    </row>
    <row r="1678" spans="3:20" x14ac:dyDescent="0.2">
      <c r="C1678" s="96" t="str">
        <f t="shared" si="104"/>
        <v>VPG2</v>
      </c>
      <c r="D1678" s="73" t="s">
        <v>233</v>
      </c>
      <c r="E1678" s="100">
        <v>40353</v>
      </c>
      <c r="F1678" s="101">
        <v>0.02</v>
      </c>
      <c r="G1678" s="96">
        <f t="shared" si="105"/>
        <v>2</v>
      </c>
      <c r="I1678" s="96"/>
      <c r="K1678" t="str">
        <f t="shared" si="106"/>
        <v>VPG2</v>
      </c>
      <c r="L1678" s="73" t="s">
        <v>233</v>
      </c>
      <c r="M1678" s="72">
        <v>40353</v>
      </c>
      <c r="N1678" s="84">
        <v>0.02</v>
      </c>
      <c r="O1678" s="96">
        <f t="shared" si="107"/>
        <v>2</v>
      </c>
      <c r="Q1678" s="96"/>
      <c r="T1678" s="110"/>
    </row>
    <row r="1679" spans="3:20" x14ac:dyDescent="0.2">
      <c r="C1679" s="96" t="str">
        <f t="shared" si="104"/>
        <v>VPG3</v>
      </c>
      <c r="D1679" s="73" t="s">
        <v>233</v>
      </c>
      <c r="E1679" s="100">
        <v>40535</v>
      </c>
      <c r="F1679" s="101">
        <v>2.5000000000000001E-2</v>
      </c>
      <c r="G1679" s="96">
        <f t="shared" si="105"/>
        <v>3</v>
      </c>
      <c r="I1679" s="96"/>
      <c r="K1679" t="str">
        <f t="shared" si="106"/>
        <v>VPG3</v>
      </c>
      <c r="L1679" s="73" t="s">
        <v>233</v>
      </c>
      <c r="M1679" s="72">
        <v>40535</v>
      </c>
      <c r="N1679" s="84">
        <v>2.5000000000000001E-2</v>
      </c>
      <c r="O1679" s="96">
        <f t="shared" si="107"/>
        <v>3</v>
      </c>
      <c r="Q1679" s="96"/>
      <c r="T1679" s="110"/>
    </row>
    <row r="1680" spans="3:20" x14ac:dyDescent="0.2">
      <c r="C1680" s="96" t="str">
        <f t="shared" si="104"/>
        <v>VPG4</v>
      </c>
      <c r="D1680" s="73" t="s">
        <v>233</v>
      </c>
      <c r="E1680" s="100">
        <v>40718</v>
      </c>
      <c r="F1680" s="101">
        <v>2.5000000000000001E-2</v>
      </c>
      <c r="G1680" s="96">
        <f t="shared" si="105"/>
        <v>4</v>
      </c>
      <c r="I1680" s="96"/>
      <c r="K1680" t="str">
        <f t="shared" si="106"/>
        <v>VPG4</v>
      </c>
      <c r="L1680" s="73" t="s">
        <v>233</v>
      </c>
      <c r="M1680" s="72">
        <v>40718</v>
      </c>
      <c r="N1680" s="84">
        <v>2.5000000000000001E-2</v>
      </c>
      <c r="O1680" s="96">
        <f t="shared" si="107"/>
        <v>4</v>
      </c>
      <c r="Q1680" s="96"/>
      <c r="T1680" s="110"/>
    </row>
    <row r="1681" spans="3:20" x14ac:dyDescent="0.2">
      <c r="C1681" s="96" t="str">
        <f t="shared" si="104"/>
        <v>VPG5</v>
      </c>
      <c r="D1681" s="73" t="s">
        <v>233</v>
      </c>
      <c r="E1681" s="100">
        <v>40899</v>
      </c>
      <c r="F1681" s="101">
        <v>1.7000000000000001E-2</v>
      </c>
      <c r="G1681" s="96">
        <f t="shared" si="105"/>
        <v>5</v>
      </c>
      <c r="I1681" s="96"/>
      <c r="K1681" t="str">
        <f t="shared" si="106"/>
        <v>VPG5</v>
      </c>
      <c r="L1681" s="73" t="s">
        <v>233</v>
      </c>
      <c r="M1681" s="72">
        <v>40899</v>
      </c>
      <c r="N1681" s="84">
        <v>1.7000000000000001E-2</v>
      </c>
      <c r="O1681" s="96">
        <f t="shared" si="107"/>
        <v>5</v>
      </c>
      <c r="Q1681" s="96"/>
      <c r="T1681" s="110"/>
    </row>
    <row r="1682" spans="3:20" x14ac:dyDescent="0.2">
      <c r="C1682" s="96" t="str">
        <f t="shared" si="104"/>
        <v>VPG6</v>
      </c>
      <c r="D1682" s="73" t="s">
        <v>233</v>
      </c>
      <c r="E1682" s="100">
        <v>41085</v>
      </c>
      <c r="F1682" s="101">
        <v>1.7000000000000001E-2</v>
      </c>
      <c r="G1682" s="96">
        <f t="shared" si="105"/>
        <v>6</v>
      </c>
      <c r="I1682" s="96"/>
      <c r="K1682" t="str">
        <f t="shared" si="106"/>
        <v>VPG6</v>
      </c>
      <c r="L1682" s="73" t="s">
        <v>233</v>
      </c>
      <c r="M1682" s="72">
        <v>41085</v>
      </c>
      <c r="N1682" s="84">
        <v>1.7000000000000001E-2</v>
      </c>
      <c r="O1682" s="96">
        <f t="shared" si="107"/>
        <v>6</v>
      </c>
      <c r="Q1682" s="96"/>
      <c r="T1682" s="110"/>
    </row>
    <row r="1683" spans="3:20" x14ac:dyDescent="0.2">
      <c r="C1683" s="96" t="str">
        <f t="shared" si="104"/>
        <v>VPG7</v>
      </c>
      <c r="D1683" s="73" t="s">
        <v>233</v>
      </c>
      <c r="E1683" s="100">
        <v>41268</v>
      </c>
      <c r="F1683" s="101">
        <v>1.7500000000000002E-2</v>
      </c>
      <c r="G1683" s="96">
        <f t="shared" si="105"/>
        <v>7</v>
      </c>
      <c r="I1683" s="96"/>
      <c r="K1683" t="str">
        <f t="shared" si="106"/>
        <v>VPG7</v>
      </c>
      <c r="L1683" s="73" t="s">
        <v>233</v>
      </c>
      <c r="M1683" s="72">
        <v>41268</v>
      </c>
      <c r="N1683" s="84">
        <v>1.7500000000000002E-2</v>
      </c>
      <c r="O1683" s="96">
        <f t="shared" si="107"/>
        <v>7</v>
      </c>
      <c r="Q1683" s="96"/>
      <c r="T1683" s="110"/>
    </row>
    <row r="1684" spans="3:20" x14ac:dyDescent="0.2">
      <c r="C1684" s="96" t="str">
        <f t="shared" si="104"/>
        <v>VPG8</v>
      </c>
      <c r="D1684" s="73" t="s">
        <v>233</v>
      </c>
      <c r="E1684" s="100">
        <v>41450</v>
      </c>
      <c r="F1684" s="101">
        <v>1.7500000000000002E-2</v>
      </c>
      <c r="G1684" s="96">
        <f t="shared" si="105"/>
        <v>8</v>
      </c>
      <c r="I1684" s="96"/>
      <c r="K1684" t="str">
        <f t="shared" si="106"/>
        <v>VPG8</v>
      </c>
      <c r="L1684" s="73" t="s">
        <v>233</v>
      </c>
      <c r="M1684" s="72">
        <v>41450</v>
      </c>
      <c r="N1684" s="84">
        <v>1.7500000000000002E-2</v>
      </c>
      <c r="O1684" s="96">
        <f t="shared" si="107"/>
        <v>8</v>
      </c>
      <c r="Q1684" s="96"/>
      <c r="T1684" s="110"/>
    </row>
    <row r="1685" spans="3:20" x14ac:dyDescent="0.2">
      <c r="C1685" s="96" t="str">
        <f t="shared" si="104"/>
        <v>WAN1</v>
      </c>
      <c r="D1685" s="73" t="s">
        <v>234</v>
      </c>
      <c r="E1685" s="100">
        <v>39874</v>
      </c>
      <c r="F1685" s="101">
        <v>0.23</v>
      </c>
      <c r="G1685" s="96">
        <f t="shared" si="105"/>
        <v>1</v>
      </c>
      <c r="I1685" s="96"/>
      <c r="K1685" t="str">
        <f t="shared" si="106"/>
        <v>WAN1</v>
      </c>
      <c r="L1685" s="73" t="s">
        <v>234</v>
      </c>
      <c r="M1685" s="72">
        <v>39874</v>
      </c>
      <c r="N1685" s="84">
        <v>0.23</v>
      </c>
      <c r="O1685" s="96">
        <f t="shared" si="107"/>
        <v>1</v>
      </c>
      <c r="Q1685" s="96"/>
      <c r="T1685" s="110"/>
    </row>
    <row r="1686" spans="3:20" x14ac:dyDescent="0.2">
      <c r="C1686" s="96" t="str">
        <f t="shared" si="104"/>
        <v>WAN2</v>
      </c>
      <c r="D1686" s="73" t="s">
        <v>234</v>
      </c>
      <c r="E1686" s="100">
        <v>40066</v>
      </c>
      <c r="F1686" s="101">
        <v>0.32</v>
      </c>
      <c r="G1686" s="96">
        <f t="shared" si="105"/>
        <v>2</v>
      </c>
      <c r="I1686" s="96"/>
      <c r="K1686" t="str">
        <f t="shared" si="106"/>
        <v>WAN2</v>
      </c>
      <c r="L1686" s="73" t="s">
        <v>234</v>
      </c>
      <c r="M1686" s="72">
        <v>40066</v>
      </c>
      <c r="N1686" s="84">
        <v>0.32</v>
      </c>
      <c r="O1686" s="96">
        <f t="shared" si="107"/>
        <v>2</v>
      </c>
      <c r="Q1686" s="96"/>
      <c r="T1686" s="110"/>
    </row>
    <row r="1687" spans="3:20" x14ac:dyDescent="0.2">
      <c r="C1687" s="96" t="str">
        <f t="shared" si="104"/>
        <v>WAN3</v>
      </c>
      <c r="D1687" s="73" t="s">
        <v>234</v>
      </c>
      <c r="E1687" s="100">
        <v>40240</v>
      </c>
      <c r="F1687" s="101">
        <v>0.23</v>
      </c>
      <c r="G1687" s="96">
        <f t="shared" si="105"/>
        <v>3</v>
      </c>
      <c r="I1687" s="96"/>
      <c r="K1687" t="str">
        <f t="shared" si="106"/>
        <v>WAN3</v>
      </c>
      <c r="L1687" s="73" t="s">
        <v>234</v>
      </c>
      <c r="M1687" s="72">
        <v>40240</v>
      </c>
      <c r="N1687" s="84">
        <v>0.23</v>
      </c>
      <c r="O1687" s="96">
        <f t="shared" si="107"/>
        <v>3</v>
      </c>
      <c r="Q1687" s="96"/>
      <c r="T1687" s="110"/>
    </row>
    <row r="1688" spans="3:20" x14ac:dyDescent="0.2">
      <c r="C1688" s="96" t="str">
        <f t="shared" si="104"/>
        <v>WAN4</v>
      </c>
      <c r="D1688" s="73" t="s">
        <v>234</v>
      </c>
      <c r="E1688" s="100">
        <v>40431</v>
      </c>
      <c r="F1688" s="101">
        <v>0.32</v>
      </c>
      <c r="G1688" s="96">
        <f t="shared" si="105"/>
        <v>4</v>
      </c>
      <c r="I1688" s="96"/>
      <c r="K1688" t="str">
        <f t="shared" si="106"/>
        <v>WAN4</v>
      </c>
      <c r="L1688" s="73" t="s">
        <v>234</v>
      </c>
      <c r="M1688" s="72">
        <v>40431</v>
      </c>
      <c r="N1688" s="84">
        <v>0.32</v>
      </c>
      <c r="O1688" s="96">
        <f t="shared" si="107"/>
        <v>4</v>
      </c>
      <c r="Q1688" s="96"/>
      <c r="T1688" s="110"/>
    </row>
    <row r="1689" spans="3:20" x14ac:dyDescent="0.2">
      <c r="C1689" s="96" t="str">
        <f t="shared" si="104"/>
        <v>WAN5</v>
      </c>
      <c r="D1689" s="73" t="s">
        <v>234</v>
      </c>
      <c r="E1689" s="100">
        <v>40605</v>
      </c>
      <c r="F1689" s="101">
        <v>0.21789999999999998</v>
      </c>
      <c r="G1689" s="96">
        <f t="shared" si="105"/>
        <v>5</v>
      </c>
      <c r="I1689" s="96"/>
      <c r="K1689" t="str">
        <f t="shared" si="106"/>
        <v>WAN5</v>
      </c>
      <c r="L1689" s="73" t="s">
        <v>234</v>
      </c>
      <c r="M1689" s="72">
        <v>40605</v>
      </c>
      <c r="N1689" s="84">
        <v>0.21789999999999998</v>
      </c>
      <c r="O1689" s="96">
        <f t="shared" si="107"/>
        <v>5</v>
      </c>
      <c r="Q1689" s="96"/>
      <c r="T1689" s="110"/>
    </row>
    <row r="1690" spans="3:20" x14ac:dyDescent="0.2">
      <c r="C1690" s="96" t="str">
        <f t="shared" si="104"/>
        <v>WAN6</v>
      </c>
      <c r="D1690" s="73" t="s">
        <v>234</v>
      </c>
      <c r="E1690" s="100">
        <v>40798</v>
      </c>
      <c r="F1690" s="101">
        <v>0.30309999999999998</v>
      </c>
      <c r="G1690" s="96">
        <f t="shared" si="105"/>
        <v>6</v>
      </c>
      <c r="I1690" s="96"/>
      <c r="K1690" t="str">
        <f t="shared" si="106"/>
        <v>WAN6</v>
      </c>
      <c r="L1690" s="73" t="s">
        <v>234</v>
      </c>
      <c r="M1690" s="72">
        <v>40798</v>
      </c>
      <c r="N1690" s="84">
        <v>0.30309999999999998</v>
      </c>
      <c r="O1690" s="96">
        <f t="shared" si="107"/>
        <v>6</v>
      </c>
      <c r="Q1690" s="96"/>
      <c r="T1690" s="110"/>
    </row>
    <row r="1691" spans="3:20" x14ac:dyDescent="0.2">
      <c r="C1691" s="96" t="str">
        <f t="shared" si="104"/>
        <v>WAN7</v>
      </c>
      <c r="D1691" s="73" t="s">
        <v>234</v>
      </c>
      <c r="E1691" s="100">
        <v>40973</v>
      </c>
      <c r="F1691" s="101">
        <v>0.22289999999999999</v>
      </c>
      <c r="G1691" s="96">
        <f t="shared" si="105"/>
        <v>7</v>
      </c>
      <c r="I1691" s="96"/>
      <c r="K1691" t="str">
        <f t="shared" si="106"/>
        <v>WAN7</v>
      </c>
      <c r="L1691" s="73" t="s">
        <v>234</v>
      </c>
      <c r="M1691" s="72">
        <v>40973</v>
      </c>
      <c r="N1691" s="84">
        <v>0.22289999999999999</v>
      </c>
      <c r="O1691" s="96">
        <f t="shared" si="107"/>
        <v>7</v>
      </c>
      <c r="Q1691" s="96"/>
      <c r="T1691" s="110"/>
    </row>
    <row r="1692" spans="3:20" x14ac:dyDescent="0.2">
      <c r="C1692" s="96" t="str">
        <f t="shared" si="104"/>
        <v>WAN8</v>
      </c>
      <c r="D1692" s="73" t="s">
        <v>234</v>
      </c>
      <c r="E1692" s="100">
        <v>41163</v>
      </c>
      <c r="F1692" s="101">
        <v>0.31010000000000004</v>
      </c>
      <c r="G1692" s="96">
        <f t="shared" si="105"/>
        <v>8</v>
      </c>
      <c r="I1692" s="96"/>
      <c r="K1692" t="str">
        <f t="shared" si="106"/>
        <v>WAN8</v>
      </c>
      <c r="L1692" s="73" t="s">
        <v>234</v>
      </c>
      <c r="M1692" s="72">
        <v>41163</v>
      </c>
      <c r="N1692" s="84">
        <v>0.31010000000000004</v>
      </c>
      <c r="O1692" s="96">
        <f t="shared" si="107"/>
        <v>8</v>
      </c>
      <c r="Q1692" s="96"/>
      <c r="T1692" s="110"/>
    </row>
    <row r="1693" spans="3:20" x14ac:dyDescent="0.2">
      <c r="C1693" s="96" t="str">
        <f t="shared" si="104"/>
        <v>WAN9</v>
      </c>
      <c r="D1693" s="73" t="s">
        <v>234</v>
      </c>
      <c r="E1693" s="100">
        <v>41338</v>
      </c>
      <c r="F1693" s="101">
        <v>0.25170000000000003</v>
      </c>
      <c r="G1693" s="96">
        <f t="shared" si="105"/>
        <v>9</v>
      </c>
      <c r="I1693" s="96"/>
      <c r="K1693" t="str">
        <f t="shared" si="106"/>
        <v>WAN9</v>
      </c>
      <c r="L1693" s="73" t="s">
        <v>234</v>
      </c>
      <c r="M1693" s="72">
        <v>41338</v>
      </c>
      <c r="N1693" s="84">
        <v>0.25170000000000003</v>
      </c>
      <c r="O1693" s="96">
        <f t="shared" si="107"/>
        <v>9</v>
      </c>
      <c r="Q1693" s="96"/>
      <c r="T1693" s="110"/>
    </row>
    <row r="1694" spans="3:20" x14ac:dyDescent="0.2">
      <c r="C1694" s="96" t="str">
        <f t="shared" si="104"/>
        <v>WAN10</v>
      </c>
      <c r="D1694" s="73" t="s">
        <v>234</v>
      </c>
      <c r="E1694" s="100">
        <v>41528</v>
      </c>
      <c r="F1694" s="101">
        <v>0.3503</v>
      </c>
      <c r="G1694" s="96">
        <f t="shared" si="105"/>
        <v>10</v>
      </c>
      <c r="I1694" s="96"/>
      <c r="K1694" t="str">
        <f t="shared" si="106"/>
        <v>WAN10</v>
      </c>
      <c r="L1694" s="73" t="s">
        <v>234</v>
      </c>
      <c r="M1694" s="72">
        <v>41528</v>
      </c>
      <c r="N1694" s="84">
        <v>0.3503</v>
      </c>
      <c r="O1694" s="96">
        <f t="shared" si="107"/>
        <v>10</v>
      </c>
      <c r="Q1694" s="96"/>
      <c r="T1694" s="110"/>
    </row>
    <row r="1695" spans="3:20" x14ac:dyDescent="0.2">
      <c r="C1695" s="96" t="str">
        <f t="shared" si="104"/>
        <v>WBC1</v>
      </c>
      <c r="D1695" s="73" t="s">
        <v>235</v>
      </c>
      <c r="E1695" s="100">
        <v>39951</v>
      </c>
      <c r="F1695" s="101">
        <v>0.7</v>
      </c>
      <c r="G1695" s="96">
        <f t="shared" si="105"/>
        <v>1</v>
      </c>
      <c r="I1695" s="96"/>
      <c r="K1695" t="str">
        <f t="shared" si="106"/>
        <v>WBC1</v>
      </c>
      <c r="L1695" s="73" t="s">
        <v>235</v>
      </c>
      <c r="M1695" s="72">
        <v>39951</v>
      </c>
      <c r="N1695" s="84">
        <v>0.7</v>
      </c>
      <c r="O1695" s="96">
        <f t="shared" si="107"/>
        <v>1</v>
      </c>
      <c r="Q1695" s="96"/>
      <c r="T1695" s="110"/>
    </row>
    <row r="1696" spans="3:20" x14ac:dyDescent="0.2">
      <c r="C1696" s="96" t="str">
        <f t="shared" si="104"/>
        <v>WBC2</v>
      </c>
      <c r="D1696" s="73" t="s">
        <v>235</v>
      </c>
      <c r="E1696" s="100">
        <v>40126</v>
      </c>
      <c r="F1696" s="101">
        <v>0.74</v>
      </c>
      <c r="G1696" s="96">
        <f t="shared" si="105"/>
        <v>2</v>
      </c>
      <c r="I1696" s="96"/>
      <c r="K1696" t="str">
        <f t="shared" si="106"/>
        <v>WBC2</v>
      </c>
      <c r="L1696" s="73" t="s">
        <v>235</v>
      </c>
      <c r="M1696" s="72">
        <v>40126</v>
      </c>
      <c r="N1696" s="84">
        <v>0.74</v>
      </c>
      <c r="O1696" s="96">
        <f t="shared" si="107"/>
        <v>2</v>
      </c>
      <c r="Q1696" s="96"/>
      <c r="T1696" s="110"/>
    </row>
    <row r="1697" spans="3:20" x14ac:dyDescent="0.2">
      <c r="C1697" s="96" t="str">
        <f t="shared" si="104"/>
        <v>WBC3</v>
      </c>
      <c r="D1697" s="73" t="s">
        <v>235</v>
      </c>
      <c r="E1697" s="100">
        <v>40316</v>
      </c>
      <c r="F1697" s="101">
        <v>0.7</v>
      </c>
      <c r="G1697" s="96">
        <f t="shared" si="105"/>
        <v>3</v>
      </c>
      <c r="I1697" s="96"/>
      <c r="K1697" t="str">
        <f t="shared" si="106"/>
        <v>WBC3</v>
      </c>
      <c r="L1697" s="73" t="s">
        <v>235</v>
      </c>
      <c r="M1697" s="72">
        <v>40316</v>
      </c>
      <c r="N1697" s="84">
        <v>0.7</v>
      </c>
      <c r="O1697" s="96">
        <f t="shared" si="107"/>
        <v>3</v>
      </c>
      <c r="Q1697" s="96"/>
      <c r="T1697" s="110"/>
    </row>
    <row r="1698" spans="3:20" x14ac:dyDescent="0.2">
      <c r="C1698" s="96" t="str">
        <f t="shared" si="104"/>
        <v>WBC4</v>
      </c>
      <c r="D1698" s="73" t="s">
        <v>235</v>
      </c>
      <c r="E1698" s="100">
        <v>40491</v>
      </c>
      <c r="F1698" s="101">
        <v>0.74</v>
      </c>
      <c r="G1698" s="96">
        <f t="shared" si="105"/>
        <v>4</v>
      </c>
      <c r="I1698" s="96"/>
      <c r="K1698" t="str">
        <f t="shared" si="106"/>
        <v>WBC4</v>
      </c>
      <c r="L1698" s="73" t="s">
        <v>235</v>
      </c>
      <c r="M1698" s="72">
        <v>40491</v>
      </c>
      <c r="N1698" s="84">
        <v>0.74</v>
      </c>
      <c r="O1698" s="96">
        <f t="shared" si="107"/>
        <v>4</v>
      </c>
      <c r="Q1698" s="96"/>
      <c r="T1698" s="110"/>
    </row>
    <row r="1699" spans="3:20" x14ac:dyDescent="0.2">
      <c r="C1699" s="96" t="str">
        <f t="shared" si="104"/>
        <v>WBC5</v>
      </c>
      <c r="D1699" s="73" t="s">
        <v>235</v>
      </c>
      <c r="E1699" s="100">
        <v>40681</v>
      </c>
      <c r="F1699" s="101">
        <v>0.74</v>
      </c>
      <c r="G1699" s="96">
        <f t="shared" si="105"/>
        <v>5</v>
      </c>
      <c r="I1699" s="96"/>
      <c r="K1699" t="str">
        <f t="shared" si="106"/>
        <v>WBC5</v>
      </c>
      <c r="L1699" s="73" t="s">
        <v>235</v>
      </c>
      <c r="M1699" s="72">
        <v>40681</v>
      </c>
      <c r="N1699" s="84">
        <v>0.74</v>
      </c>
      <c r="O1699" s="96">
        <f t="shared" si="107"/>
        <v>5</v>
      </c>
      <c r="Q1699" s="96"/>
      <c r="T1699" s="110"/>
    </row>
    <row r="1700" spans="3:20" x14ac:dyDescent="0.2">
      <c r="C1700" s="96" t="str">
        <f t="shared" si="104"/>
        <v>WBC6</v>
      </c>
      <c r="D1700" s="73" t="s">
        <v>235</v>
      </c>
      <c r="E1700" s="100">
        <v>40856</v>
      </c>
      <c r="F1700" s="101">
        <v>0.79</v>
      </c>
      <c r="G1700" s="96">
        <f t="shared" si="105"/>
        <v>6</v>
      </c>
      <c r="I1700" s="96"/>
      <c r="K1700" t="str">
        <f t="shared" si="106"/>
        <v>WBC6</v>
      </c>
      <c r="L1700" s="73" t="s">
        <v>235</v>
      </c>
      <c r="M1700" s="72">
        <v>40856</v>
      </c>
      <c r="N1700" s="84">
        <v>0.79</v>
      </c>
      <c r="O1700" s="96">
        <f t="shared" si="107"/>
        <v>6</v>
      </c>
      <c r="Q1700" s="96"/>
      <c r="T1700" s="110"/>
    </row>
    <row r="1701" spans="3:20" x14ac:dyDescent="0.2">
      <c r="C1701" s="96" t="str">
        <f t="shared" si="104"/>
        <v>WBC7</v>
      </c>
      <c r="D1701" s="73" t="s">
        <v>235</v>
      </c>
      <c r="E1701" s="100">
        <v>41047</v>
      </c>
      <c r="F1701" s="101">
        <v>0.78</v>
      </c>
      <c r="G1701" s="96">
        <f t="shared" si="105"/>
        <v>7</v>
      </c>
      <c r="I1701" s="96"/>
      <c r="K1701" t="str">
        <f t="shared" si="106"/>
        <v>WBC7</v>
      </c>
      <c r="L1701" s="73" t="s">
        <v>235</v>
      </c>
      <c r="M1701" s="72">
        <v>41047</v>
      </c>
      <c r="N1701" s="84">
        <v>0.78</v>
      </c>
      <c r="O1701" s="96">
        <f t="shared" si="107"/>
        <v>7</v>
      </c>
      <c r="Q1701" s="96"/>
      <c r="T1701" s="110"/>
    </row>
    <row r="1702" spans="3:20" x14ac:dyDescent="0.2">
      <c r="C1702" s="96" t="str">
        <f t="shared" si="104"/>
        <v>WBC8</v>
      </c>
      <c r="D1702" s="73" t="s">
        <v>235</v>
      </c>
      <c r="E1702" s="100">
        <v>41222</v>
      </c>
      <c r="F1702" s="101">
        <v>0.84</v>
      </c>
      <c r="G1702" s="96">
        <f t="shared" si="105"/>
        <v>8</v>
      </c>
      <c r="I1702" s="96"/>
      <c r="K1702" t="str">
        <f t="shared" si="106"/>
        <v>WBC8</v>
      </c>
      <c r="L1702" s="73" t="s">
        <v>235</v>
      </c>
      <c r="M1702" s="72">
        <v>41222</v>
      </c>
      <c r="N1702" s="84">
        <v>0.84</v>
      </c>
      <c r="O1702" s="96">
        <f t="shared" si="107"/>
        <v>8</v>
      </c>
      <c r="Q1702" s="96"/>
      <c r="T1702" s="110"/>
    </row>
    <row r="1703" spans="3:20" x14ac:dyDescent="0.2">
      <c r="C1703" s="96" t="str">
        <f t="shared" si="104"/>
        <v>WBC9</v>
      </c>
      <c r="D1703" s="73" t="s">
        <v>235</v>
      </c>
      <c r="E1703" s="100">
        <v>41414</v>
      </c>
      <c r="F1703" s="101">
        <v>0.83</v>
      </c>
      <c r="G1703" s="96">
        <f t="shared" si="105"/>
        <v>9</v>
      </c>
      <c r="I1703" s="96"/>
      <c r="K1703" t="str">
        <f t="shared" si="106"/>
        <v>WBC9</v>
      </c>
      <c r="L1703" s="73" t="s">
        <v>235</v>
      </c>
      <c r="M1703" s="72">
        <v>41414</v>
      </c>
      <c r="N1703" s="84">
        <v>0.83</v>
      </c>
      <c r="O1703" s="96">
        <f t="shared" si="107"/>
        <v>9</v>
      </c>
      <c r="Q1703" s="96"/>
      <c r="T1703" s="110"/>
    </row>
    <row r="1704" spans="3:20" x14ac:dyDescent="0.2">
      <c r="C1704" s="96" t="str">
        <f t="shared" si="104"/>
        <v>WBC10</v>
      </c>
      <c r="D1704" s="73" t="s">
        <v>235</v>
      </c>
      <c r="E1704" s="100">
        <v>41589</v>
      </c>
      <c r="F1704" s="101">
        <v>0.9</v>
      </c>
      <c r="G1704" s="96">
        <f t="shared" si="105"/>
        <v>10</v>
      </c>
      <c r="I1704" s="96"/>
      <c r="K1704" t="str">
        <f t="shared" si="106"/>
        <v>WBC10</v>
      </c>
      <c r="L1704" s="73" t="s">
        <v>235</v>
      </c>
      <c r="M1704" s="72">
        <v>41589</v>
      </c>
      <c r="N1704" s="84">
        <v>0.9</v>
      </c>
      <c r="O1704" s="96">
        <f t="shared" si="107"/>
        <v>10</v>
      </c>
      <c r="Q1704" s="96"/>
      <c r="T1704" s="110"/>
    </row>
    <row r="1705" spans="3:20" x14ac:dyDescent="0.2">
      <c r="C1705" s="96" t="str">
        <f t="shared" si="104"/>
        <v>WDC1</v>
      </c>
      <c r="D1705" s="73" t="s">
        <v>236</v>
      </c>
      <c r="E1705" s="100">
        <v>40036</v>
      </c>
      <c r="F1705" s="101">
        <v>0.53249999999999997</v>
      </c>
      <c r="G1705" s="96">
        <f t="shared" si="105"/>
        <v>1</v>
      </c>
      <c r="I1705" s="96"/>
      <c r="K1705" t="str">
        <f t="shared" si="106"/>
        <v>WDC1</v>
      </c>
      <c r="L1705" s="73" t="s">
        <v>236</v>
      </c>
      <c r="M1705" s="72">
        <v>40036</v>
      </c>
      <c r="N1705" s="84">
        <v>0.53249999999999997</v>
      </c>
      <c r="O1705" s="96">
        <f t="shared" si="107"/>
        <v>1</v>
      </c>
      <c r="Q1705" s="96"/>
      <c r="T1705" s="110"/>
    </row>
    <row r="1706" spans="3:20" x14ac:dyDescent="0.2">
      <c r="C1706" s="96" t="str">
        <f t="shared" si="104"/>
        <v>WDC2</v>
      </c>
      <c r="D1706" s="73" t="s">
        <v>236</v>
      </c>
      <c r="E1706" s="100">
        <v>40211</v>
      </c>
      <c r="F1706" s="101">
        <v>0.53249999999999997</v>
      </c>
      <c r="G1706" s="96">
        <f t="shared" si="105"/>
        <v>2</v>
      </c>
      <c r="I1706" s="96"/>
      <c r="K1706" t="str">
        <f t="shared" si="106"/>
        <v>WDC2</v>
      </c>
      <c r="L1706" s="73" t="s">
        <v>236</v>
      </c>
      <c r="M1706" s="72">
        <v>40211</v>
      </c>
      <c r="N1706" s="84">
        <v>0.53249999999999997</v>
      </c>
      <c r="O1706" s="96">
        <f t="shared" si="107"/>
        <v>2</v>
      </c>
      <c r="Q1706" s="96"/>
      <c r="T1706" s="110"/>
    </row>
    <row r="1707" spans="3:20" x14ac:dyDescent="0.2">
      <c r="C1707" s="96" t="str">
        <f t="shared" si="104"/>
        <v>WDC3</v>
      </c>
      <c r="D1707" s="73" t="s">
        <v>236</v>
      </c>
      <c r="E1707" s="100">
        <v>40401</v>
      </c>
      <c r="F1707" s="101">
        <v>0.53249999999999997</v>
      </c>
      <c r="G1707" s="96">
        <f t="shared" si="105"/>
        <v>3</v>
      </c>
      <c r="I1707" s="96"/>
      <c r="K1707" t="str">
        <f t="shared" si="106"/>
        <v>WDC3</v>
      </c>
      <c r="L1707" s="73" t="s">
        <v>236</v>
      </c>
      <c r="M1707" s="72">
        <v>40401</v>
      </c>
      <c r="N1707" s="84">
        <v>0.53249999999999997</v>
      </c>
      <c r="O1707" s="96">
        <f t="shared" si="107"/>
        <v>3</v>
      </c>
      <c r="Q1707" s="96"/>
      <c r="T1707" s="110"/>
    </row>
    <row r="1708" spans="3:20" x14ac:dyDescent="0.2">
      <c r="C1708" s="96" t="str">
        <f t="shared" si="104"/>
        <v>WDC4</v>
      </c>
      <c r="D1708" s="73" t="s">
        <v>236</v>
      </c>
      <c r="E1708" s="100">
        <v>40576</v>
      </c>
      <c r="F1708" s="101">
        <v>0.53249999999999997</v>
      </c>
      <c r="G1708" s="96">
        <f t="shared" si="105"/>
        <v>4</v>
      </c>
      <c r="I1708" s="96"/>
      <c r="K1708" t="str">
        <f t="shared" si="106"/>
        <v>WDC4</v>
      </c>
      <c r="L1708" s="73" t="s">
        <v>236</v>
      </c>
      <c r="M1708" s="72">
        <v>40576</v>
      </c>
      <c r="N1708" s="84">
        <v>0.53249999999999997</v>
      </c>
      <c r="O1708" s="96">
        <f t="shared" si="107"/>
        <v>4</v>
      </c>
      <c r="Q1708" s="96"/>
      <c r="T1708" s="110"/>
    </row>
    <row r="1709" spans="3:20" x14ac:dyDescent="0.2">
      <c r="C1709" s="96" t="str">
        <f t="shared" si="104"/>
        <v>WDC5</v>
      </c>
      <c r="D1709" s="73" t="s">
        <v>236</v>
      </c>
      <c r="E1709" s="100">
        <v>40766</v>
      </c>
      <c r="F1709" s="101">
        <v>0.53249999999999997</v>
      </c>
      <c r="G1709" s="96">
        <f t="shared" si="105"/>
        <v>5</v>
      </c>
      <c r="I1709" s="96"/>
      <c r="K1709" t="str">
        <f t="shared" si="106"/>
        <v>WDC5</v>
      </c>
      <c r="L1709" s="73" t="s">
        <v>236</v>
      </c>
      <c r="M1709" s="72">
        <v>40766</v>
      </c>
      <c r="N1709" s="84">
        <v>0.53249999999999997</v>
      </c>
      <c r="O1709" s="96">
        <f t="shared" si="107"/>
        <v>5</v>
      </c>
      <c r="Q1709" s="96"/>
      <c r="T1709" s="110"/>
    </row>
    <row r="1710" spans="3:20" x14ac:dyDescent="0.2">
      <c r="C1710" s="96" t="str">
        <f t="shared" si="104"/>
        <v>WDC6</v>
      </c>
      <c r="D1710" s="73" t="s">
        <v>236</v>
      </c>
      <c r="E1710" s="100">
        <v>40941</v>
      </c>
      <c r="F1710" s="101">
        <v>0.53249999999999997</v>
      </c>
      <c r="G1710" s="96">
        <f t="shared" si="105"/>
        <v>6</v>
      </c>
      <c r="I1710" s="96"/>
      <c r="K1710" t="str">
        <f t="shared" si="106"/>
        <v>WDC6</v>
      </c>
      <c r="L1710" s="73" t="s">
        <v>236</v>
      </c>
      <c r="M1710" s="72">
        <v>40941</v>
      </c>
      <c r="N1710" s="84">
        <v>0.53249999999999997</v>
      </c>
      <c r="O1710" s="96">
        <f t="shared" si="107"/>
        <v>6</v>
      </c>
      <c r="Q1710" s="96"/>
      <c r="T1710" s="110"/>
    </row>
    <row r="1711" spans="3:20" x14ac:dyDescent="0.2">
      <c r="C1711" s="96" t="str">
        <f t="shared" si="104"/>
        <v>WDC7</v>
      </c>
      <c r="D1711" s="73" t="s">
        <v>236</v>
      </c>
      <c r="E1711" s="100">
        <v>41134</v>
      </c>
      <c r="F1711" s="101">
        <v>0.54</v>
      </c>
      <c r="G1711" s="96">
        <f t="shared" si="105"/>
        <v>7</v>
      </c>
      <c r="I1711" s="96"/>
      <c r="K1711" t="str">
        <f t="shared" si="106"/>
        <v>WDC7</v>
      </c>
      <c r="L1711" s="73" t="s">
        <v>236</v>
      </c>
      <c r="M1711" s="72">
        <v>41134</v>
      </c>
      <c r="N1711" s="84">
        <v>0.54</v>
      </c>
      <c r="O1711" s="96">
        <f t="shared" si="107"/>
        <v>7</v>
      </c>
      <c r="Q1711" s="96"/>
      <c r="T1711" s="110"/>
    </row>
    <row r="1712" spans="3:20" x14ac:dyDescent="0.2">
      <c r="C1712" s="96" t="str">
        <f t="shared" si="104"/>
        <v>WDC8</v>
      </c>
      <c r="D1712" s="73" t="s">
        <v>236</v>
      </c>
      <c r="E1712" s="100">
        <v>41309</v>
      </c>
      <c r="F1712" s="101">
        <v>0.54</v>
      </c>
      <c r="G1712" s="96">
        <f t="shared" si="105"/>
        <v>8</v>
      </c>
      <c r="I1712" s="96"/>
      <c r="K1712" t="str">
        <f t="shared" si="106"/>
        <v>WDC8</v>
      </c>
      <c r="L1712" s="73" t="s">
        <v>236</v>
      </c>
      <c r="M1712" s="72">
        <v>41309</v>
      </c>
      <c r="N1712" s="84">
        <v>0.54</v>
      </c>
      <c r="O1712" s="96">
        <f t="shared" si="107"/>
        <v>8</v>
      </c>
      <c r="Q1712" s="96"/>
      <c r="T1712" s="110"/>
    </row>
    <row r="1713" spans="3:20" x14ac:dyDescent="0.2">
      <c r="C1713" s="96" t="str">
        <f t="shared" si="104"/>
        <v>WES1</v>
      </c>
      <c r="D1713" s="73" t="s">
        <v>237</v>
      </c>
      <c r="E1713" s="100">
        <v>39868</v>
      </c>
      <c r="F1713" s="101">
        <v>0.5</v>
      </c>
      <c r="G1713" s="96">
        <f t="shared" si="105"/>
        <v>1</v>
      </c>
      <c r="I1713" s="96"/>
      <c r="K1713" t="str">
        <f t="shared" si="106"/>
        <v>WES1</v>
      </c>
      <c r="L1713" s="73" t="s">
        <v>237</v>
      </c>
      <c r="M1713" s="72">
        <v>39868</v>
      </c>
      <c r="N1713" s="84">
        <v>0.5</v>
      </c>
      <c r="O1713" s="96">
        <f t="shared" si="107"/>
        <v>1</v>
      </c>
      <c r="Q1713" s="96"/>
      <c r="T1713" s="110"/>
    </row>
    <row r="1714" spans="3:20" x14ac:dyDescent="0.2">
      <c r="C1714" s="96" t="str">
        <f t="shared" si="104"/>
        <v>WES2</v>
      </c>
      <c r="D1714" s="73" t="s">
        <v>237</v>
      </c>
      <c r="E1714" s="100">
        <v>40044</v>
      </c>
      <c r="F1714" s="101">
        <v>0.45</v>
      </c>
      <c r="G1714" s="96">
        <f t="shared" si="105"/>
        <v>2</v>
      </c>
      <c r="I1714" s="96"/>
      <c r="K1714" t="str">
        <f t="shared" si="106"/>
        <v>WES2</v>
      </c>
      <c r="L1714" s="73" t="s">
        <v>237</v>
      </c>
      <c r="M1714" s="72">
        <v>40044</v>
      </c>
      <c r="N1714" s="84">
        <v>0.45</v>
      </c>
      <c r="O1714" s="96">
        <f t="shared" si="107"/>
        <v>2</v>
      </c>
      <c r="Q1714" s="96"/>
      <c r="T1714" s="110"/>
    </row>
    <row r="1715" spans="3:20" x14ac:dyDescent="0.2">
      <c r="C1715" s="96" t="str">
        <f t="shared" si="104"/>
        <v>WES3</v>
      </c>
      <c r="D1715" s="73" t="s">
        <v>237</v>
      </c>
      <c r="E1715" s="100">
        <v>40226</v>
      </c>
      <c r="F1715" s="101">
        <v>0.5</v>
      </c>
      <c r="G1715" s="96">
        <f t="shared" si="105"/>
        <v>3</v>
      </c>
      <c r="I1715" s="96"/>
      <c r="K1715" t="str">
        <f t="shared" si="106"/>
        <v>WES3</v>
      </c>
      <c r="L1715" s="73" t="s">
        <v>237</v>
      </c>
      <c r="M1715" s="72">
        <v>40226</v>
      </c>
      <c r="N1715" s="84">
        <v>0.5</v>
      </c>
      <c r="O1715" s="96">
        <f t="shared" si="107"/>
        <v>3</v>
      </c>
      <c r="Q1715" s="96"/>
      <c r="T1715" s="110"/>
    </row>
    <row r="1716" spans="3:20" x14ac:dyDescent="0.2">
      <c r="C1716" s="96" t="str">
        <f t="shared" si="104"/>
        <v>WES4</v>
      </c>
      <c r="D1716" s="73" t="s">
        <v>237</v>
      </c>
      <c r="E1716" s="100">
        <v>40408</v>
      </c>
      <c r="F1716" s="101">
        <v>0.45</v>
      </c>
      <c r="G1716" s="96">
        <f t="shared" si="105"/>
        <v>4</v>
      </c>
      <c r="I1716" s="96"/>
      <c r="K1716" t="str">
        <f t="shared" si="106"/>
        <v>WES4</v>
      </c>
      <c r="L1716" s="73" t="s">
        <v>237</v>
      </c>
      <c r="M1716" s="72">
        <v>40408</v>
      </c>
      <c r="N1716" s="84">
        <v>0.45</v>
      </c>
      <c r="O1716" s="96">
        <f t="shared" si="107"/>
        <v>4</v>
      </c>
      <c r="Q1716" s="96"/>
      <c r="T1716" s="110"/>
    </row>
    <row r="1717" spans="3:20" x14ac:dyDescent="0.2">
      <c r="C1717" s="96" t="str">
        <f t="shared" si="104"/>
        <v>WES5</v>
      </c>
      <c r="D1717" s="73" t="s">
        <v>237</v>
      </c>
      <c r="E1717" s="100">
        <v>40590</v>
      </c>
      <c r="F1717" s="101">
        <v>0.6</v>
      </c>
      <c r="G1717" s="96">
        <f t="shared" si="105"/>
        <v>5</v>
      </c>
      <c r="I1717" s="96"/>
      <c r="K1717" t="str">
        <f t="shared" si="106"/>
        <v>WES5</v>
      </c>
      <c r="L1717" s="73" t="s">
        <v>237</v>
      </c>
      <c r="M1717" s="72">
        <v>40590</v>
      </c>
      <c r="N1717" s="84">
        <v>0.6</v>
      </c>
      <c r="O1717" s="96">
        <f t="shared" si="107"/>
        <v>5</v>
      </c>
      <c r="Q1717" s="96"/>
      <c r="T1717" s="110"/>
    </row>
    <row r="1718" spans="3:20" x14ac:dyDescent="0.2">
      <c r="C1718" s="96" t="str">
        <f t="shared" si="104"/>
        <v>WES6</v>
      </c>
      <c r="D1718" s="73" t="s">
        <v>237</v>
      </c>
      <c r="E1718" s="100">
        <v>40772</v>
      </c>
      <c r="F1718" s="101">
        <v>0.6</v>
      </c>
      <c r="G1718" s="96">
        <f t="shared" si="105"/>
        <v>6</v>
      </c>
      <c r="I1718" s="96"/>
      <c r="K1718" t="str">
        <f t="shared" si="106"/>
        <v>WES6</v>
      </c>
      <c r="L1718" s="73" t="s">
        <v>237</v>
      </c>
      <c r="M1718" s="72">
        <v>40772</v>
      </c>
      <c r="N1718" s="84">
        <v>0.6</v>
      </c>
      <c r="O1718" s="96">
        <f t="shared" si="107"/>
        <v>6</v>
      </c>
      <c r="Q1718" s="96"/>
      <c r="T1718" s="110"/>
    </row>
    <row r="1719" spans="3:20" x14ac:dyDescent="0.2">
      <c r="C1719" s="96" t="str">
        <f t="shared" si="104"/>
        <v>WES7</v>
      </c>
      <c r="D1719" s="73" t="s">
        <v>237</v>
      </c>
      <c r="E1719" s="100">
        <v>40954</v>
      </c>
      <c r="F1719" s="101">
        <v>0.65</v>
      </c>
      <c r="G1719" s="96">
        <f t="shared" si="105"/>
        <v>7</v>
      </c>
      <c r="I1719" s="96"/>
      <c r="K1719" t="str">
        <f t="shared" si="106"/>
        <v>WES7</v>
      </c>
      <c r="L1719" s="73" t="s">
        <v>237</v>
      </c>
      <c r="M1719" s="72">
        <v>40954</v>
      </c>
      <c r="N1719" s="84">
        <v>0.65</v>
      </c>
      <c r="O1719" s="96">
        <f t="shared" si="107"/>
        <v>7</v>
      </c>
      <c r="Q1719" s="96"/>
      <c r="T1719" s="110"/>
    </row>
    <row r="1720" spans="3:20" x14ac:dyDescent="0.2">
      <c r="C1720" s="96" t="str">
        <f t="shared" si="104"/>
        <v>WES8</v>
      </c>
      <c r="D1720" s="73" t="s">
        <v>237</v>
      </c>
      <c r="E1720" s="100">
        <v>41136</v>
      </c>
      <c r="F1720" s="101">
        <v>0.65</v>
      </c>
      <c r="G1720" s="96">
        <f t="shared" si="105"/>
        <v>8</v>
      </c>
      <c r="I1720" s="96"/>
      <c r="K1720" t="str">
        <f t="shared" si="106"/>
        <v>WES8</v>
      </c>
      <c r="L1720" s="73" t="s">
        <v>237</v>
      </c>
      <c r="M1720" s="72">
        <v>41136</v>
      </c>
      <c r="N1720" s="84">
        <v>0.65</v>
      </c>
      <c r="O1720" s="96">
        <f t="shared" si="107"/>
        <v>8</v>
      </c>
      <c r="Q1720" s="96"/>
      <c r="T1720" s="110"/>
    </row>
    <row r="1721" spans="3:20" x14ac:dyDescent="0.2">
      <c r="C1721" s="96" t="str">
        <f t="shared" si="104"/>
        <v>WES9</v>
      </c>
      <c r="D1721" s="73" t="s">
        <v>237</v>
      </c>
      <c r="E1721" s="100">
        <v>41320</v>
      </c>
      <c r="F1721" s="101">
        <v>0.7</v>
      </c>
      <c r="G1721" s="96">
        <f t="shared" si="105"/>
        <v>9</v>
      </c>
      <c r="I1721" s="96"/>
      <c r="K1721" t="str">
        <f t="shared" si="106"/>
        <v>WES9</v>
      </c>
      <c r="L1721" s="73" t="s">
        <v>237</v>
      </c>
      <c r="M1721" s="72">
        <v>41320</v>
      </c>
      <c r="N1721" s="84">
        <v>0.7</v>
      </c>
      <c r="O1721" s="96">
        <f t="shared" si="107"/>
        <v>9</v>
      </c>
      <c r="Q1721" s="96"/>
      <c r="T1721" s="110"/>
    </row>
    <row r="1722" spans="3:20" x14ac:dyDescent="0.2">
      <c r="C1722" s="96" t="str">
        <f t="shared" si="104"/>
        <v>WES10</v>
      </c>
      <c r="D1722" s="73" t="s">
        <v>237</v>
      </c>
      <c r="E1722" s="100">
        <v>41501</v>
      </c>
      <c r="F1722" s="101">
        <v>0.7</v>
      </c>
      <c r="G1722" s="96">
        <f t="shared" si="105"/>
        <v>10</v>
      </c>
      <c r="I1722" s="96"/>
      <c r="K1722" t="str">
        <f t="shared" si="106"/>
        <v>WES10</v>
      </c>
      <c r="L1722" s="73" t="s">
        <v>237</v>
      </c>
      <c r="M1722" s="72">
        <v>41501</v>
      </c>
      <c r="N1722" s="84">
        <v>0.7</v>
      </c>
      <c r="O1722" s="96">
        <f t="shared" si="107"/>
        <v>10</v>
      </c>
      <c r="Q1722" s="96"/>
      <c r="T1722" s="110"/>
    </row>
    <row r="1723" spans="3:20" x14ac:dyDescent="0.2">
      <c r="C1723" s="96" t="str">
        <f t="shared" si="104"/>
        <v>WOR1</v>
      </c>
      <c r="D1723" s="73" t="s">
        <v>238</v>
      </c>
      <c r="E1723" s="100">
        <v>39878</v>
      </c>
      <c r="F1723" s="101">
        <v>0.42</v>
      </c>
      <c r="G1723" s="96">
        <f t="shared" si="105"/>
        <v>1</v>
      </c>
      <c r="I1723" s="96"/>
      <c r="K1723" t="str">
        <f t="shared" si="106"/>
        <v>WOR1</v>
      </c>
      <c r="L1723" s="73" t="s">
        <v>238</v>
      </c>
      <c r="M1723" s="72">
        <v>39878</v>
      </c>
      <c r="N1723" s="84">
        <v>0.42</v>
      </c>
      <c r="O1723" s="96">
        <f t="shared" si="107"/>
        <v>1</v>
      </c>
      <c r="Q1723" s="96"/>
      <c r="T1723" s="110"/>
    </row>
    <row r="1724" spans="3:20" x14ac:dyDescent="0.2">
      <c r="C1724" s="96" t="str">
        <f t="shared" si="104"/>
        <v>WOR2</v>
      </c>
      <c r="D1724" s="73" t="s">
        <v>238</v>
      </c>
      <c r="E1724" s="100">
        <v>40064</v>
      </c>
      <c r="F1724" s="101">
        <v>0.48</v>
      </c>
      <c r="G1724" s="96">
        <f t="shared" si="105"/>
        <v>2</v>
      </c>
      <c r="I1724" s="96"/>
      <c r="K1724" t="str">
        <f t="shared" si="106"/>
        <v>WOR2</v>
      </c>
      <c r="L1724" s="73" t="s">
        <v>238</v>
      </c>
      <c r="M1724" s="72">
        <v>40064</v>
      </c>
      <c r="N1724" s="84">
        <v>0.48</v>
      </c>
      <c r="O1724" s="96">
        <f t="shared" si="107"/>
        <v>2</v>
      </c>
      <c r="Q1724" s="96"/>
      <c r="T1724" s="110"/>
    </row>
    <row r="1725" spans="3:20" x14ac:dyDescent="0.2">
      <c r="C1725" s="96" t="str">
        <f t="shared" si="104"/>
        <v>WOR3</v>
      </c>
      <c r="D1725" s="73" t="s">
        <v>238</v>
      </c>
      <c r="E1725" s="100">
        <v>40246</v>
      </c>
      <c r="F1725" s="101">
        <v>0.44</v>
      </c>
      <c r="G1725" s="96">
        <f t="shared" si="105"/>
        <v>3</v>
      </c>
      <c r="I1725" s="96"/>
      <c r="K1725" t="str">
        <f t="shared" si="106"/>
        <v>WOR3</v>
      </c>
      <c r="L1725" s="73" t="s">
        <v>238</v>
      </c>
      <c r="M1725" s="72">
        <v>40246</v>
      </c>
      <c r="N1725" s="84">
        <v>0.44</v>
      </c>
      <c r="O1725" s="96">
        <f t="shared" si="107"/>
        <v>3</v>
      </c>
      <c r="Q1725" s="96"/>
      <c r="T1725" s="110"/>
    </row>
    <row r="1726" spans="3:20" x14ac:dyDescent="0.2">
      <c r="C1726" s="96" t="str">
        <f t="shared" si="104"/>
        <v>WOR4</v>
      </c>
      <c r="D1726" s="73" t="s">
        <v>238</v>
      </c>
      <c r="E1726" s="100">
        <v>40429</v>
      </c>
      <c r="F1726" s="101">
        <v>0.5</v>
      </c>
      <c r="G1726" s="96">
        <f t="shared" si="105"/>
        <v>4</v>
      </c>
      <c r="I1726" s="96"/>
      <c r="K1726" t="str">
        <f t="shared" si="106"/>
        <v>WOR4</v>
      </c>
      <c r="L1726" s="73" t="s">
        <v>238</v>
      </c>
      <c r="M1726" s="72">
        <v>40429</v>
      </c>
      <c r="N1726" s="84">
        <v>0.5</v>
      </c>
      <c r="O1726" s="96">
        <f t="shared" si="107"/>
        <v>4</v>
      </c>
      <c r="Q1726" s="96"/>
      <c r="T1726" s="110"/>
    </row>
    <row r="1727" spans="3:20" x14ac:dyDescent="0.2">
      <c r="C1727" s="96" t="str">
        <f t="shared" si="104"/>
        <v>WOR5</v>
      </c>
      <c r="D1727" s="73" t="s">
        <v>238</v>
      </c>
      <c r="E1727" s="100">
        <v>40611</v>
      </c>
      <c r="F1727" s="101">
        <v>0.46</v>
      </c>
      <c r="G1727" s="96">
        <f t="shared" si="105"/>
        <v>5</v>
      </c>
      <c r="I1727" s="96"/>
      <c r="K1727" t="str">
        <f t="shared" si="106"/>
        <v>WOR5</v>
      </c>
      <c r="L1727" s="73" t="s">
        <v>238</v>
      </c>
      <c r="M1727" s="72">
        <v>40611</v>
      </c>
      <c r="N1727" s="84">
        <v>0.46</v>
      </c>
      <c r="O1727" s="96">
        <f t="shared" si="107"/>
        <v>5</v>
      </c>
      <c r="Q1727" s="96"/>
      <c r="T1727" s="110"/>
    </row>
    <row r="1728" spans="3:20" x14ac:dyDescent="0.2">
      <c r="C1728" s="96" t="str">
        <f t="shared" si="104"/>
        <v>WOR6</v>
      </c>
      <c r="D1728" s="73" t="s">
        <v>238</v>
      </c>
      <c r="E1728" s="100">
        <v>40794</v>
      </c>
      <c r="F1728" s="101">
        <v>0.52</v>
      </c>
      <c r="G1728" s="96">
        <f t="shared" si="105"/>
        <v>6</v>
      </c>
      <c r="I1728" s="96"/>
      <c r="K1728" t="str">
        <f t="shared" si="106"/>
        <v>WOR6</v>
      </c>
      <c r="L1728" s="73" t="s">
        <v>238</v>
      </c>
      <c r="M1728" s="72">
        <v>40794</v>
      </c>
      <c r="N1728" s="84">
        <v>0.52</v>
      </c>
      <c r="O1728" s="96">
        <f t="shared" si="107"/>
        <v>6</v>
      </c>
      <c r="Q1728" s="96"/>
      <c r="T1728" s="110"/>
    </row>
    <row r="1729" spans="3:20" x14ac:dyDescent="0.2">
      <c r="C1729" s="96" t="str">
        <f t="shared" si="104"/>
        <v>WOR7</v>
      </c>
      <c r="D1729" s="73" t="s">
        <v>238</v>
      </c>
      <c r="E1729" s="100">
        <v>40977</v>
      </c>
      <c r="F1729" s="101">
        <v>0.51</v>
      </c>
      <c r="G1729" s="96">
        <f t="shared" si="105"/>
        <v>7</v>
      </c>
      <c r="I1729" s="96"/>
      <c r="K1729" t="str">
        <f t="shared" si="106"/>
        <v>WOR7</v>
      </c>
      <c r="L1729" s="73" t="s">
        <v>238</v>
      </c>
      <c r="M1729" s="72">
        <v>40977</v>
      </c>
      <c r="N1729" s="84">
        <v>0.51</v>
      </c>
      <c r="O1729" s="96">
        <f t="shared" si="107"/>
        <v>7</v>
      </c>
      <c r="Q1729" s="96"/>
      <c r="T1729" s="110"/>
    </row>
    <row r="1730" spans="3:20" x14ac:dyDescent="0.2">
      <c r="C1730" s="96" t="str">
        <f t="shared" si="104"/>
        <v>WOR8</v>
      </c>
      <c r="D1730" s="73" t="s">
        <v>238</v>
      </c>
      <c r="E1730" s="100">
        <v>41162</v>
      </c>
      <c r="F1730" s="101">
        <v>0.57999999999999996</v>
      </c>
      <c r="G1730" s="96">
        <f t="shared" si="105"/>
        <v>8</v>
      </c>
      <c r="I1730" s="96"/>
      <c r="K1730" t="str">
        <f t="shared" si="106"/>
        <v>WOR8</v>
      </c>
      <c r="L1730" s="73" t="s">
        <v>238</v>
      </c>
      <c r="M1730" s="72">
        <v>41162</v>
      </c>
      <c r="N1730" s="84">
        <v>0.57999999999999996</v>
      </c>
      <c r="O1730" s="96">
        <f t="shared" si="107"/>
        <v>8</v>
      </c>
      <c r="Q1730" s="96"/>
      <c r="T1730" s="110"/>
    </row>
    <row r="1731" spans="3:20" x14ac:dyDescent="0.2">
      <c r="C1731" s="96" t="str">
        <f t="shared" ref="C1731:C1794" si="108">D1731&amp;G1731</f>
        <v>WOR9</v>
      </c>
      <c r="D1731" s="73" t="s">
        <v>238</v>
      </c>
      <c r="E1731" s="100">
        <v>41344</v>
      </c>
      <c r="F1731" s="101">
        <v>0.56999999999999995</v>
      </c>
      <c r="G1731" s="96">
        <f t="shared" ref="G1731:G1794" si="109">IF(D1731&lt;&gt;D1730,1,G1730+1)</f>
        <v>9</v>
      </c>
      <c r="I1731" s="96"/>
      <c r="K1731" t="str">
        <f t="shared" ref="K1731:K1794" si="110">L1731&amp;O1731</f>
        <v>WOR9</v>
      </c>
      <c r="L1731" s="73" t="s">
        <v>238</v>
      </c>
      <c r="M1731" s="72">
        <v>41344</v>
      </c>
      <c r="N1731" s="84">
        <v>0.56999999999999995</v>
      </c>
      <c r="O1731" s="96">
        <f t="shared" ref="O1731:O1794" si="111">IF(L1731&lt;&gt;L1730,1,O1730+1)</f>
        <v>9</v>
      </c>
      <c r="Q1731" s="96"/>
      <c r="T1731" s="110"/>
    </row>
    <row r="1732" spans="3:20" x14ac:dyDescent="0.2">
      <c r="C1732" s="96" t="str">
        <f t="shared" si="108"/>
        <v>WOR10</v>
      </c>
      <c r="D1732" s="73" t="s">
        <v>238</v>
      </c>
      <c r="E1732" s="100">
        <v>41527</v>
      </c>
      <c r="F1732" s="101">
        <v>0.65</v>
      </c>
      <c r="G1732" s="96">
        <f t="shared" si="109"/>
        <v>10</v>
      </c>
      <c r="I1732" s="96"/>
      <c r="K1732" t="str">
        <f t="shared" si="110"/>
        <v>WOR10</v>
      </c>
      <c r="L1732" s="73" t="s">
        <v>238</v>
      </c>
      <c r="M1732" s="72">
        <v>41527</v>
      </c>
      <c r="N1732" s="84">
        <v>0.65</v>
      </c>
      <c r="O1732" s="96">
        <f t="shared" si="111"/>
        <v>10</v>
      </c>
      <c r="Q1732" s="96"/>
      <c r="T1732" s="110"/>
    </row>
    <row r="1733" spans="3:20" x14ac:dyDescent="0.2">
      <c r="C1733" s="96" t="str">
        <f t="shared" si="108"/>
        <v>WOW1</v>
      </c>
      <c r="D1733" s="73" t="s">
        <v>239</v>
      </c>
      <c r="E1733" s="100">
        <v>39896</v>
      </c>
      <c r="F1733" s="101">
        <v>0.44</v>
      </c>
      <c r="G1733" s="96">
        <f t="shared" si="109"/>
        <v>1</v>
      </c>
      <c r="I1733" s="96"/>
      <c r="K1733" t="str">
        <f t="shared" si="110"/>
        <v>WOW1</v>
      </c>
      <c r="L1733" s="73" t="s">
        <v>239</v>
      </c>
      <c r="M1733" s="72">
        <v>39896</v>
      </c>
      <c r="N1733" s="84">
        <v>0.44</v>
      </c>
      <c r="O1733" s="96">
        <f t="shared" si="111"/>
        <v>1</v>
      </c>
      <c r="Q1733" s="96"/>
      <c r="T1733" s="110"/>
    </row>
    <row r="1734" spans="3:20" x14ac:dyDescent="0.2">
      <c r="C1734" s="96" t="str">
        <f t="shared" si="108"/>
        <v>WOW2</v>
      </c>
      <c r="D1734" s="73" t="s">
        <v>239</v>
      </c>
      <c r="E1734" s="100">
        <v>40057</v>
      </c>
      <c r="F1734" s="101">
        <v>0.48</v>
      </c>
      <c r="G1734" s="96">
        <f t="shared" si="109"/>
        <v>2</v>
      </c>
      <c r="I1734" s="96"/>
      <c r="K1734" t="str">
        <f t="shared" si="110"/>
        <v>WOW2</v>
      </c>
      <c r="L1734" s="73" t="s">
        <v>239</v>
      </c>
      <c r="M1734" s="72">
        <v>40057</v>
      </c>
      <c r="N1734" s="84">
        <v>0.48</v>
      </c>
      <c r="O1734" s="96">
        <f t="shared" si="111"/>
        <v>2</v>
      </c>
      <c r="Q1734" s="96"/>
      <c r="T1734" s="110"/>
    </row>
    <row r="1735" spans="3:20" x14ac:dyDescent="0.2">
      <c r="C1735" s="96" t="str">
        <f t="shared" si="108"/>
        <v>WOW3</v>
      </c>
      <c r="D1735" s="73" t="s">
        <v>239</v>
      </c>
      <c r="E1735" s="100">
        <v>40261</v>
      </c>
      <c r="F1735" s="101">
        <v>0.45</v>
      </c>
      <c r="G1735" s="96">
        <f t="shared" si="109"/>
        <v>3</v>
      </c>
      <c r="I1735" s="96"/>
      <c r="K1735" t="str">
        <f t="shared" si="110"/>
        <v>WOW3</v>
      </c>
      <c r="L1735" s="73" t="s">
        <v>239</v>
      </c>
      <c r="M1735" s="72">
        <v>40261</v>
      </c>
      <c r="N1735" s="84">
        <v>0.45</v>
      </c>
      <c r="O1735" s="96">
        <f t="shared" si="111"/>
        <v>3</v>
      </c>
      <c r="Q1735" s="96"/>
      <c r="T1735" s="110"/>
    </row>
    <row r="1736" spans="3:20" x14ac:dyDescent="0.2">
      <c r="C1736" s="96" t="str">
        <f t="shared" si="108"/>
        <v>WOW4</v>
      </c>
      <c r="D1736" s="73" t="s">
        <v>239</v>
      </c>
      <c r="E1736" s="100">
        <v>40422</v>
      </c>
      <c r="F1736" s="101">
        <v>0.5</v>
      </c>
      <c r="G1736" s="96">
        <f t="shared" si="109"/>
        <v>4</v>
      </c>
      <c r="I1736" s="96"/>
      <c r="K1736" t="str">
        <f t="shared" si="110"/>
        <v>WOW4</v>
      </c>
      <c r="L1736" s="73" t="s">
        <v>239</v>
      </c>
      <c r="M1736" s="72">
        <v>40422</v>
      </c>
      <c r="N1736" s="84">
        <v>0.5</v>
      </c>
      <c r="O1736" s="96">
        <f t="shared" si="111"/>
        <v>4</v>
      </c>
      <c r="Q1736" s="96"/>
      <c r="T1736" s="110"/>
    </row>
    <row r="1737" spans="3:20" x14ac:dyDescent="0.2">
      <c r="C1737" s="96" t="str">
        <f t="shared" si="108"/>
        <v>WOW5</v>
      </c>
      <c r="D1737" s="73" t="s">
        <v>239</v>
      </c>
      <c r="E1737" s="100">
        <v>40626</v>
      </c>
      <c r="F1737" s="101">
        <v>0.47</v>
      </c>
      <c r="G1737" s="96">
        <f t="shared" si="109"/>
        <v>5</v>
      </c>
      <c r="I1737" s="96"/>
      <c r="K1737" t="str">
        <f t="shared" si="110"/>
        <v>WOW5</v>
      </c>
      <c r="L1737" s="73" t="s">
        <v>239</v>
      </c>
      <c r="M1737" s="72">
        <v>40626</v>
      </c>
      <c r="N1737" s="84">
        <v>0.47</v>
      </c>
      <c r="O1737" s="96">
        <f t="shared" si="111"/>
        <v>5</v>
      </c>
      <c r="Q1737" s="96"/>
      <c r="T1737" s="110"/>
    </row>
    <row r="1738" spans="3:20" x14ac:dyDescent="0.2">
      <c r="C1738" s="96" t="str">
        <f t="shared" si="108"/>
        <v>WOW6</v>
      </c>
      <c r="D1738" s="73" t="s">
        <v>239</v>
      </c>
      <c r="E1738" s="100">
        <v>40787</v>
      </c>
      <c r="F1738" s="101">
        <v>0.52</v>
      </c>
      <c r="G1738" s="96">
        <f t="shared" si="109"/>
        <v>6</v>
      </c>
      <c r="I1738" s="96"/>
      <c r="K1738" t="str">
        <f t="shared" si="110"/>
        <v>WOW6</v>
      </c>
      <c r="L1738" s="73" t="s">
        <v>239</v>
      </c>
      <c r="M1738" s="72">
        <v>40787</v>
      </c>
      <c r="N1738" s="84">
        <v>0.52</v>
      </c>
      <c r="O1738" s="96">
        <f t="shared" si="111"/>
        <v>6</v>
      </c>
      <c r="Q1738" s="96"/>
      <c r="T1738" s="110"/>
    </row>
    <row r="1739" spans="3:20" x14ac:dyDescent="0.2">
      <c r="C1739" s="96" t="str">
        <f t="shared" si="108"/>
        <v>WOW7</v>
      </c>
      <c r="D1739" s="73" t="s">
        <v>239</v>
      </c>
      <c r="E1739" s="100">
        <v>40994</v>
      </c>
      <c r="F1739" s="101">
        <v>0.5</v>
      </c>
      <c r="G1739" s="96">
        <f t="shared" si="109"/>
        <v>7</v>
      </c>
      <c r="I1739" s="96"/>
      <c r="K1739" t="str">
        <f t="shared" si="110"/>
        <v>WOW7</v>
      </c>
      <c r="L1739" s="73" t="s">
        <v>239</v>
      </c>
      <c r="M1739" s="72">
        <v>40994</v>
      </c>
      <c r="N1739" s="84">
        <v>0.5</v>
      </c>
      <c r="O1739" s="96">
        <f t="shared" si="111"/>
        <v>7</v>
      </c>
      <c r="Q1739" s="96"/>
      <c r="T1739" s="110"/>
    </row>
    <row r="1740" spans="3:20" x14ac:dyDescent="0.2">
      <c r="C1740" s="96" t="str">
        <f t="shared" si="108"/>
        <v>WOW8</v>
      </c>
      <c r="D1740" s="73" t="s">
        <v>239</v>
      </c>
      <c r="E1740" s="100">
        <v>41155</v>
      </c>
      <c r="F1740" s="101">
        <v>0.55000000000000004</v>
      </c>
      <c r="G1740" s="96">
        <f t="shared" si="109"/>
        <v>8</v>
      </c>
      <c r="I1740" s="96"/>
      <c r="K1740" t="str">
        <f t="shared" si="110"/>
        <v>WOW8</v>
      </c>
      <c r="L1740" s="73" t="s">
        <v>239</v>
      </c>
      <c r="M1740" s="72">
        <v>41155</v>
      </c>
      <c r="N1740" s="84">
        <v>0.55000000000000004</v>
      </c>
      <c r="O1740" s="96">
        <f t="shared" si="111"/>
        <v>8</v>
      </c>
      <c r="Q1740" s="96"/>
      <c r="T1740" s="110"/>
    </row>
    <row r="1741" spans="3:20" x14ac:dyDescent="0.2">
      <c r="C1741" s="96" t="str">
        <f t="shared" si="108"/>
        <v>WOW9</v>
      </c>
      <c r="D1741" s="73" t="s">
        <v>239</v>
      </c>
      <c r="E1741" s="100">
        <v>41359</v>
      </c>
      <c r="F1741" s="101">
        <v>0.54</v>
      </c>
      <c r="G1741" s="96">
        <f t="shared" si="109"/>
        <v>9</v>
      </c>
      <c r="I1741" s="96"/>
      <c r="K1741" t="str">
        <f t="shared" si="110"/>
        <v>WOW9</v>
      </c>
      <c r="L1741" s="73" t="s">
        <v>239</v>
      </c>
      <c r="M1741" s="72">
        <v>41359</v>
      </c>
      <c r="N1741" s="84">
        <v>0.54</v>
      </c>
      <c r="O1741" s="96">
        <f t="shared" si="111"/>
        <v>9</v>
      </c>
      <c r="Q1741" s="96"/>
      <c r="T1741" s="110"/>
    </row>
    <row r="1742" spans="3:20" x14ac:dyDescent="0.2">
      <c r="C1742" s="96" t="str">
        <f t="shared" si="108"/>
        <v>WOW10</v>
      </c>
      <c r="D1742" s="73" t="s">
        <v>239</v>
      </c>
      <c r="E1742" s="100">
        <v>41520</v>
      </c>
      <c r="F1742" s="101">
        <v>0.6</v>
      </c>
      <c r="G1742" s="96">
        <f t="shared" si="109"/>
        <v>10</v>
      </c>
      <c r="I1742" s="96"/>
      <c r="K1742" t="str">
        <f t="shared" si="110"/>
        <v>WOW10</v>
      </c>
      <c r="L1742" s="73" t="s">
        <v>239</v>
      </c>
      <c r="M1742" s="72">
        <v>41520</v>
      </c>
      <c r="N1742" s="84">
        <v>0.6</v>
      </c>
      <c r="O1742" s="96">
        <f t="shared" si="111"/>
        <v>10</v>
      </c>
      <c r="Q1742" s="96"/>
      <c r="T1742" s="110"/>
    </row>
    <row r="1743" spans="3:20" x14ac:dyDescent="0.2">
      <c r="C1743" s="96" t="str">
        <f t="shared" si="108"/>
        <v>WPL1</v>
      </c>
      <c r="D1743" s="73" t="s">
        <v>240</v>
      </c>
      <c r="E1743" s="100">
        <v>39868</v>
      </c>
      <c r="F1743" s="101">
        <v>0.8</v>
      </c>
      <c r="G1743" s="96">
        <f t="shared" si="109"/>
        <v>1</v>
      </c>
      <c r="I1743" s="96"/>
      <c r="K1743" t="str">
        <f t="shared" si="110"/>
        <v>WPL1</v>
      </c>
      <c r="L1743" s="73" t="s">
        <v>240</v>
      </c>
      <c r="M1743" s="72">
        <v>39868</v>
      </c>
      <c r="N1743" s="84">
        <v>0.8</v>
      </c>
      <c r="O1743" s="96">
        <f t="shared" si="111"/>
        <v>1</v>
      </c>
      <c r="Q1743" s="96"/>
      <c r="T1743" s="110"/>
    </row>
    <row r="1744" spans="3:20" x14ac:dyDescent="0.2">
      <c r="C1744" s="96" t="str">
        <f t="shared" si="108"/>
        <v>WPL2</v>
      </c>
      <c r="D1744" s="73" t="s">
        <v>240</v>
      </c>
      <c r="E1744" s="100">
        <v>40057</v>
      </c>
      <c r="F1744" s="101">
        <v>0.57999999999999996</v>
      </c>
      <c r="G1744" s="96">
        <f t="shared" si="109"/>
        <v>2</v>
      </c>
      <c r="I1744" s="96"/>
      <c r="K1744" t="str">
        <f t="shared" si="110"/>
        <v>WPL2</v>
      </c>
      <c r="L1744" s="73" t="s">
        <v>240</v>
      </c>
      <c r="M1744" s="72">
        <v>40057</v>
      </c>
      <c r="N1744" s="84">
        <v>0.57999999999999996</v>
      </c>
      <c r="O1744" s="96">
        <f t="shared" si="111"/>
        <v>2</v>
      </c>
      <c r="Q1744" s="96"/>
      <c r="T1744" s="110"/>
    </row>
    <row r="1745" spans="3:20" x14ac:dyDescent="0.2">
      <c r="C1745" s="96" t="str">
        <f t="shared" si="108"/>
        <v>WPL3</v>
      </c>
      <c r="D1745" s="73" t="s">
        <v>240</v>
      </c>
      <c r="E1745" s="100">
        <v>40233</v>
      </c>
      <c r="F1745" s="101">
        <v>0.8</v>
      </c>
      <c r="G1745" s="96">
        <f t="shared" si="109"/>
        <v>3</v>
      </c>
      <c r="I1745" s="96"/>
      <c r="K1745" t="str">
        <f t="shared" si="110"/>
        <v>WPL3</v>
      </c>
      <c r="L1745" s="73" t="s">
        <v>240</v>
      </c>
      <c r="M1745" s="72">
        <v>40233</v>
      </c>
      <c r="N1745" s="84">
        <v>0.8</v>
      </c>
      <c r="O1745" s="96">
        <f t="shared" si="111"/>
        <v>3</v>
      </c>
      <c r="Q1745" s="96"/>
      <c r="T1745" s="110"/>
    </row>
    <row r="1746" spans="3:20" x14ac:dyDescent="0.2">
      <c r="C1746" s="96" t="str">
        <f t="shared" si="108"/>
        <v>WPL4</v>
      </c>
      <c r="D1746" s="73" t="s">
        <v>240</v>
      </c>
      <c r="E1746" s="100">
        <v>40422</v>
      </c>
      <c r="F1746" s="101">
        <v>0.57999999999999996</v>
      </c>
      <c r="G1746" s="96">
        <f t="shared" si="109"/>
        <v>4</v>
      </c>
      <c r="I1746" s="96"/>
      <c r="K1746" t="str">
        <f t="shared" si="110"/>
        <v>WPL4</v>
      </c>
      <c r="L1746" s="73" t="s">
        <v>240</v>
      </c>
      <c r="M1746" s="72">
        <v>40422</v>
      </c>
      <c r="N1746" s="84">
        <v>0.57999999999999996</v>
      </c>
      <c r="O1746" s="96">
        <f t="shared" si="111"/>
        <v>4</v>
      </c>
      <c r="Q1746" s="96"/>
      <c r="T1746" s="110"/>
    </row>
    <row r="1747" spans="3:20" x14ac:dyDescent="0.2">
      <c r="C1747" s="96" t="str">
        <f t="shared" si="108"/>
        <v>WPL5</v>
      </c>
      <c r="D1747" s="73" t="s">
        <v>240</v>
      </c>
      <c r="E1747" s="100">
        <v>40598</v>
      </c>
      <c r="F1747" s="101">
        <v>0.8</v>
      </c>
      <c r="G1747" s="96">
        <f t="shared" si="109"/>
        <v>5</v>
      </c>
      <c r="I1747" s="96"/>
      <c r="K1747" t="str">
        <f t="shared" si="110"/>
        <v>WPL5</v>
      </c>
      <c r="L1747" s="73" t="s">
        <v>240</v>
      </c>
      <c r="M1747" s="72">
        <v>40598</v>
      </c>
      <c r="N1747" s="84">
        <v>0.8</v>
      </c>
      <c r="O1747" s="96">
        <f t="shared" si="111"/>
        <v>5</v>
      </c>
      <c r="Q1747" s="96"/>
      <c r="T1747" s="110"/>
    </row>
    <row r="1748" spans="3:20" x14ac:dyDescent="0.2">
      <c r="C1748" s="96" t="str">
        <f t="shared" si="108"/>
        <v>WPL6</v>
      </c>
      <c r="D1748" s="73" t="s">
        <v>240</v>
      </c>
      <c r="E1748" s="100">
        <v>40787</v>
      </c>
      <c r="F1748" s="101">
        <v>0.8</v>
      </c>
      <c r="G1748" s="96">
        <f t="shared" si="109"/>
        <v>6</v>
      </c>
      <c r="I1748" s="96"/>
      <c r="K1748" t="str">
        <f t="shared" si="110"/>
        <v>WPL6</v>
      </c>
      <c r="L1748" s="73" t="s">
        <v>240</v>
      </c>
      <c r="M1748" s="72">
        <v>40787</v>
      </c>
      <c r="N1748" s="84">
        <v>0.8</v>
      </c>
      <c r="O1748" s="96">
        <f t="shared" si="111"/>
        <v>6</v>
      </c>
      <c r="Q1748" s="96"/>
      <c r="T1748" s="110"/>
    </row>
    <row r="1749" spans="3:20" x14ac:dyDescent="0.2">
      <c r="C1749" s="96" t="str">
        <f t="shared" si="108"/>
        <v>WPL7</v>
      </c>
      <c r="D1749" s="73" t="s">
        <v>240</v>
      </c>
      <c r="E1749" s="100">
        <v>40966</v>
      </c>
      <c r="F1749" s="101">
        <v>1</v>
      </c>
      <c r="G1749" s="96">
        <f t="shared" si="109"/>
        <v>7</v>
      </c>
      <c r="I1749" s="96"/>
      <c r="K1749" t="str">
        <f t="shared" si="110"/>
        <v>WPL7</v>
      </c>
      <c r="L1749" s="73" t="s">
        <v>240</v>
      </c>
      <c r="M1749" s="72">
        <v>40966</v>
      </c>
      <c r="N1749" s="84">
        <v>1</v>
      </c>
      <c r="O1749" s="96">
        <f t="shared" si="111"/>
        <v>7</v>
      </c>
      <c r="Q1749" s="96"/>
      <c r="T1749" s="110"/>
    </row>
    <row r="1750" spans="3:20" x14ac:dyDescent="0.2">
      <c r="C1750" s="96" t="str">
        <f t="shared" si="108"/>
        <v>WPL8</v>
      </c>
      <c r="D1750" s="73" t="s">
        <v>240</v>
      </c>
      <c r="E1750" s="100">
        <v>41155</v>
      </c>
      <c r="F1750" s="101">
        <v>0.8</v>
      </c>
      <c r="G1750" s="96">
        <f t="shared" si="109"/>
        <v>8</v>
      </c>
      <c r="I1750" s="96"/>
      <c r="K1750" t="str">
        <f t="shared" si="110"/>
        <v>WPL8</v>
      </c>
      <c r="L1750" s="73" t="s">
        <v>240</v>
      </c>
      <c r="M1750" s="72">
        <v>41155</v>
      </c>
      <c r="N1750" s="84">
        <v>0.8</v>
      </c>
      <c r="O1750" s="96">
        <f t="shared" si="111"/>
        <v>8</v>
      </c>
      <c r="Q1750" s="96"/>
      <c r="T1750" s="110"/>
    </row>
    <row r="1751" spans="3:20" x14ac:dyDescent="0.2">
      <c r="C1751" s="96" t="str">
        <f t="shared" si="108"/>
        <v>WPL9</v>
      </c>
      <c r="D1751" s="73" t="s">
        <v>240</v>
      </c>
      <c r="E1751" s="100">
        <v>41331</v>
      </c>
      <c r="F1751" s="101">
        <v>1</v>
      </c>
      <c r="G1751" s="96">
        <f t="shared" si="109"/>
        <v>9</v>
      </c>
      <c r="I1751" s="96"/>
      <c r="K1751" t="str">
        <f t="shared" si="110"/>
        <v>WPL9</v>
      </c>
      <c r="L1751" s="73" t="s">
        <v>240</v>
      </c>
      <c r="M1751" s="72">
        <v>41331</v>
      </c>
      <c r="N1751" s="84">
        <v>1</v>
      </c>
      <c r="O1751" s="96">
        <f t="shared" si="111"/>
        <v>9</v>
      </c>
      <c r="Q1751" s="96"/>
      <c r="T1751" s="110"/>
    </row>
    <row r="1752" spans="3:20" x14ac:dyDescent="0.2">
      <c r="C1752" s="96" t="str">
        <f t="shared" si="108"/>
        <v>WSA1</v>
      </c>
      <c r="D1752" s="73" t="s">
        <v>241</v>
      </c>
      <c r="E1752" s="100">
        <v>40239</v>
      </c>
      <c r="F1752" s="101">
        <v>0.03</v>
      </c>
      <c r="G1752" s="96">
        <f t="shared" si="109"/>
        <v>1</v>
      </c>
      <c r="I1752" s="96"/>
      <c r="K1752" t="str">
        <f t="shared" si="110"/>
        <v>WSA1</v>
      </c>
      <c r="L1752" s="73" t="s">
        <v>241</v>
      </c>
      <c r="M1752" s="72">
        <v>40239</v>
      </c>
      <c r="N1752" s="84">
        <v>0.03</v>
      </c>
      <c r="O1752" s="96">
        <f t="shared" si="111"/>
        <v>1</v>
      </c>
      <c r="Q1752" s="96"/>
      <c r="T1752" s="110"/>
    </row>
    <row r="1753" spans="3:20" x14ac:dyDescent="0.2">
      <c r="C1753" s="96" t="str">
        <f t="shared" si="108"/>
        <v>WSA2</v>
      </c>
      <c r="D1753" s="73" t="s">
        <v>241</v>
      </c>
      <c r="E1753" s="100">
        <v>40435</v>
      </c>
      <c r="F1753" s="101">
        <v>0.05</v>
      </c>
      <c r="G1753" s="96">
        <f t="shared" si="109"/>
        <v>2</v>
      </c>
      <c r="I1753" s="96"/>
      <c r="K1753" t="str">
        <f t="shared" si="110"/>
        <v>WSA2</v>
      </c>
      <c r="L1753" s="73" t="s">
        <v>241</v>
      </c>
      <c r="M1753" s="72">
        <v>40435</v>
      </c>
      <c r="N1753" s="84">
        <v>0.05</v>
      </c>
      <c r="O1753" s="96">
        <f t="shared" si="111"/>
        <v>2</v>
      </c>
      <c r="Q1753" s="96"/>
      <c r="T1753" s="110"/>
    </row>
    <row r="1754" spans="3:20" x14ac:dyDescent="0.2">
      <c r="C1754" s="96" t="str">
        <f t="shared" si="108"/>
        <v>WSA3</v>
      </c>
      <c r="D1754" s="73" t="s">
        <v>241</v>
      </c>
      <c r="E1754" s="100">
        <v>40604</v>
      </c>
      <c r="F1754" s="101">
        <v>0.05</v>
      </c>
      <c r="G1754" s="96">
        <f t="shared" si="109"/>
        <v>3</v>
      </c>
      <c r="I1754" s="96"/>
      <c r="K1754" t="str">
        <f t="shared" si="110"/>
        <v>WSA3</v>
      </c>
      <c r="L1754" s="73" t="s">
        <v>241</v>
      </c>
      <c r="M1754" s="72">
        <v>40604</v>
      </c>
      <c r="N1754" s="84">
        <v>0.05</v>
      </c>
      <c r="O1754" s="96">
        <f t="shared" si="111"/>
        <v>3</v>
      </c>
      <c r="Q1754" s="96"/>
      <c r="T1754" s="110"/>
    </row>
    <row r="1755" spans="3:20" x14ac:dyDescent="0.2">
      <c r="C1755" s="96" t="str">
        <f t="shared" si="108"/>
        <v>WSA4</v>
      </c>
      <c r="D1755" s="73" t="s">
        <v>241</v>
      </c>
      <c r="E1755" s="100">
        <v>40800</v>
      </c>
      <c r="F1755" s="101">
        <v>0.05</v>
      </c>
      <c r="G1755" s="96">
        <f t="shared" si="109"/>
        <v>4</v>
      </c>
      <c r="I1755" s="96"/>
      <c r="K1755" t="str">
        <f t="shared" si="110"/>
        <v>WSA4</v>
      </c>
      <c r="L1755" s="73" t="s">
        <v>241</v>
      </c>
      <c r="M1755" s="72">
        <v>40800</v>
      </c>
      <c r="N1755" s="84">
        <v>0.05</v>
      </c>
      <c r="O1755" s="96">
        <f t="shared" si="111"/>
        <v>4</v>
      </c>
      <c r="Q1755" s="96"/>
      <c r="T1755" s="110"/>
    </row>
    <row r="1756" spans="3:20" x14ac:dyDescent="0.2">
      <c r="C1756" s="96" t="str">
        <f t="shared" si="108"/>
        <v>WSA5</v>
      </c>
      <c r="D1756" s="73" t="s">
        <v>241</v>
      </c>
      <c r="E1756" s="100">
        <v>40970</v>
      </c>
      <c r="F1756" s="101">
        <v>0.05</v>
      </c>
      <c r="G1756" s="96">
        <f t="shared" si="109"/>
        <v>5</v>
      </c>
      <c r="I1756" s="96"/>
      <c r="K1756" t="str">
        <f t="shared" si="110"/>
        <v>WSA5</v>
      </c>
      <c r="L1756" s="73" t="s">
        <v>241</v>
      </c>
      <c r="M1756" s="72">
        <v>40970</v>
      </c>
      <c r="N1756" s="84">
        <v>0.05</v>
      </c>
      <c r="O1756" s="96">
        <f t="shared" si="111"/>
        <v>5</v>
      </c>
      <c r="Q1756" s="96"/>
      <c r="T1756" s="110"/>
    </row>
    <row r="1757" spans="3:20" x14ac:dyDescent="0.2">
      <c r="C1757" s="96" t="str">
        <f t="shared" si="108"/>
        <v>WSA6</v>
      </c>
      <c r="D1757" s="73" t="s">
        <v>241</v>
      </c>
      <c r="E1757" s="100">
        <v>41166</v>
      </c>
      <c r="F1757" s="101">
        <v>0.1</v>
      </c>
      <c r="G1757" s="96">
        <f t="shared" si="109"/>
        <v>6</v>
      </c>
      <c r="I1757" s="96"/>
      <c r="K1757" t="str">
        <f t="shared" si="110"/>
        <v>WSA6</v>
      </c>
      <c r="L1757" s="73" t="s">
        <v>241</v>
      </c>
      <c r="M1757" s="72">
        <v>41166</v>
      </c>
      <c r="N1757" s="84">
        <v>0.1</v>
      </c>
      <c r="O1757" s="96">
        <f t="shared" si="111"/>
        <v>6</v>
      </c>
      <c r="Q1757" s="96"/>
      <c r="T1757" s="110"/>
    </row>
    <row r="1758" spans="3:20" x14ac:dyDescent="0.2">
      <c r="C1758" s="96" t="str">
        <f t="shared" si="108"/>
        <v>WSA7</v>
      </c>
      <c r="D1758" s="73" t="s">
        <v>241</v>
      </c>
      <c r="E1758" s="100">
        <v>41337</v>
      </c>
      <c r="F1758" s="101">
        <v>5.33E-2</v>
      </c>
      <c r="G1758" s="96">
        <f t="shared" si="109"/>
        <v>7</v>
      </c>
      <c r="I1758" s="96"/>
      <c r="K1758" t="str">
        <f t="shared" si="110"/>
        <v>WSA7</v>
      </c>
      <c r="L1758" s="73" t="s">
        <v>241</v>
      </c>
      <c r="M1758" s="72">
        <v>41337</v>
      </c>
      <c r="N1758" s="84">
        <v>5.33E-2</v>
      </c>
      <c r="O1758" s="96">
        <f t="shared" si="111"/>
        <v>7</v>
      </c>
      <c r="Q1758" s="96"/>
      <c r="T1758" s="110"/>
    </row>
    <row r="1759" spans="3:20" x14ac:dyDescent="0.2">
      <c r="C1759" s="96" t="str">
        <f t="shared" si="108"/>
        <v>WSA8</v>
      </c>
      <c r="D1759" s="73" t="s">
        <v>241</v>
      </c>
      <c r="E1759" s="100">
        <v>41533</v>
      </c>
      <c r="F1759" s="101">
        <v>0.1067</v>
      </c>
      <c r="G1759" s="96">
        <f t="shared" si="109"/>
        <v>8</v>
      </c>
      <c r="I1759" s="96"/>
      <c r="K1759" t="str">
        <f t="shared" si="110"/>
        <v>WSA8</v>
      </c>
      <c r="L1759" s="73" t="s">
        <v>241</v>
      </c>
      <c r="M1759" s="72">
        <v>41533</v>
      </c>
      <c r="N1759" s="84">
        <v>0.1067</v>
      </c>
      <c r="O1759" s="96">
        <f t="shared" si="111"/>
        <v>8</v>
      </c>
      <c r="Q1759" s="96"/>
      <c r="T1759" s="110"/>
    </row>
    <row r="1760" spans="3:20" x14ac:dyDescent="0.2">
      <c r="C1760" s="96" t="str">
        <f t="shared" si="108"/>
        <v>WTF1</v>
      </c>
      <c r="D1760" s="73" t="s">
        <v>242</v>
      </c>
      <c r="E1760" s="100">
        <v>39875</v>
      </c>
      <c r="F1760" s="101">
        <v>7.0000000000000007E-2</v>
      </c>
      <c r="G1760" s="96">
        <f t="shared" si="109"/>
        <v>1</v>
      </c>
      <c r="I1760" s="96"/>
      <c r="K1760" t="str">
        <f t="shared" si="110"/>
        <v>WTF1</v>
      </c>
      <c r="L1760" s="73" t="s">
        <v>242</v>
      </c>
      <c r="M1760" s="72">
        <v>39875</v>
      </c>
      <c r="N1760" s="84">
        <v>7.0000000000000007E-2</v>
      </c>
      <c r="O1760" s="96">
        <f t="shared" si="111"/>
        <v>1</v>
      </c>
      <c r="Q1760" s="96"/>
      <c r="T1760" s="110"/>
    </row>
    <row r="1761" spans="3:20" x14ac:dyDescent="0.2">
      <c r="C1761" s="96" t="str">
        <f t="shared" si="108"/>
        <v>WTF2</v>
      </c>
      <c r="D1761" s="73" t="s">
        <v>242</v>
      </c>
      <c r="E1761" s="100">
        <v>40060</v>
      </c>
      <c r="F1761" s="101">
        <v>0.1</v>
      </c>
      <c r="G1761" s="96">
        <f t="shared" si="109"/>
        <v>2</v>
      </c>
      <c r="I1761" s="96"/>
      <c r="K1761" t="str">
        <f t="shared" si="110"/>
        <v>WTF2</v>
      </c>
      <c r="L1761" s="73" t="s">
        <v>242</v>
      </c>
      <c r="M1761" s="72">
        <v>40060</v>
      </c>
      <c r="N1761" s="84">
        <v>0.1</v>
      </c>
      <c r="O1761" s="96">
        <f t="shared" si="111"/>
        <v>2</v>
      </c>
      <c r="Q1761" s="96"/>
      <c r="T1761" s="110"/>
    </row>
    <row r="1762" spans="3:20" x14ac:dyDescent="0.2">
      <c r="C1762" s="96" t="str">
        <f t="shared" si="108"/>
        <v>WTF3</v>
      </c>
      <c r="D1762" s="73" t="s">
        <v>242</v>
      </c>
      <c r="E1762" s="100">
        <v>40241</v>
      </c>
      <c r="F1762" s="101">
        <v>0.08</v>
      </c>
      <c r="G1762" s="96">
        <f t="shared" si="109"/>
        <v>3</v>
      </c>
      <c r="I1762" s="96"/>
      <c r="K1762" t="str">
        <f t="shared" si="110"/>
        <v>WTF3</v>
      </c>
      <c r="L1762" s="73" t="s">
        <v>242</v>
      </c>
      <c r="M1762" s="72">
        <v>40241</v>
      </c>
      <c r="N1762" s="84">
        <v>0.08</v>
      </c>
      <c r="O1762" s="96">
        <f t="shared" si="111"/>
        <v>3</v>
      </c>
      <c r="Q1762" s="96"/>
      <c r="T1762" s="110"/>
    </row>
    <row r="1763" spans="3:20" x14ac:dyDescent="0.2">
      <c r="C1763" s="96" t="str">
        <f t="shared" si="108"/>
        <v>WTF4</v>
      </c>
      <c r="D1763" s="73" t="s">
        <v>242</v>
      </c>
      <c r="E1763" s="100">
        <v>40427</v>
      </c>
      <c r="F1763" s="101">
        <v>0.12</v>
      </c>
      <c r="G1763" s="96">
        <f t="shared" si="109"/>
        <v>4</v>
      </c>
      <c r="I1763" s="96"/>
      <c r="K1763" t="str">
        <f t="shared" si="110"/>
        <v>WTF4</v>
      </c>
      <c r="L1763" s="73" t="s">
        <v>242</v>
      </c>
      <c r="M1763" s="72">
        <v>40427</v>
      </c>
      <c r="N1763" s="84">
        <v>0.12</v>
      </c>
      <c r="O1763" s="96">
        <f t="shared" si="111"/>
        <v>4</v>
      </c>
      <c r="Q1763" s="96"/>
      <c r="T1763" s="110"/>
    </row>
    <row r="1764" spans="3:20" x14ac:dyDescent="0.2">
      <c r="C1764" s="96" t="str">
        <f t="shared" si="108"/>
        <v>WTF5</v>
      </c>
      <c r="D1764" s="73" t="s">
        <v>242</v>
      </c>
      <c r="E1764" s="100">
        <v>40606</v>
      </c>
      <c r="F1764" s="101">
        <v>0.1</v>
      </c>
      <c r="G1764" s="96">
        <f t="shared" si="109"/>
        <v>5</v>
      </c>
      <c r="I1764" s="96"/>
      <c r="K1764" t="str">
        <f t="shared" si="110"/>
        <v>WTF5</v>
      </c>
      <c r="L1764" s="73" t="s">
        <v>242</v>
      </c>
      <c r="M1764" s="72">
        <v>40606</v>
      </c>
      <c r="N1764" s="84">
        <v>0.1</v>
      </c>
      <c r="O1764" s="96">
        <f t="shared" si="111"/>
        <v>5</v>
      </c>
      <c r="Q1764" s="96"/>
      <c r="T1764" s="110"/>
    </row>
    <row r="1765" spans="3:20" x14ac:dyDescent="0.2">
      <c r="C1765" s="96" t="str">
        <f t="shared" si="108"/>
        <v>WTF6</v>
      </c>
      <c r="D1765" s="73" t="s">
        <v>242</v>
      </c>
      <c r="E1765" s="100">
        <v>40792</v>
      </c>
      <c r="F1765" s="101">
        <v>0.15</v>
      </c>
      <c r="G1765" s="96">
        <f t="shared" si="109"/>
        <v>6</v>
      </c>
      <c r="I1765" s="96"/>
      <c r="K1765" t="str">
        <f t="shared" si="110"/>
        <v>WTF6</v>
      </c>
      <c r="L1765" s="73" t="s">
        <v>242</v>
      </c>
      <c r="M1765" s="72">
        <v>40792</v>
      </c>
      <c r="N1765" s="84">
        <v>0.15</v>
      </c>
      <c r="O1765" s="96">
        <f t="shared" si="111"/>
        <v>6</v>
      </c>
      <c r="Q1765" s="96"/>
      <c r="T1765" s="110"/>
    </row>
    <row r="1766" spans="3:20" x14ac:dyDescent="0.2">
      <c r="C1766" s="96" t="str">
        <f t="shared" si="108"/>
        <v>WTF7</v>
      </c>
      <c r="D1766" s="73" t="s">
        <v>242</v>
      </c>
      <c r="E1766" s="100">
        <v>40974</v>
      </c>
      <c r="F1766" s="101">
        <v>0.10439999999999999</v>
      </c>
      <c r="G1766" s="96">
        <f t="shared" si="109"/>
        <v>7</v>
      </c>
      <c r="I1766" s="96"/>
      <c r="K1766" t="str">
        <f t="shared" si="110"/>
        <v>WTF7</v>
      </c>
      <c r="L1766" s="73" t="s">
        <v>242</v>
      </c>
      <c r="M1766" s="72">
        <v>40974</v>
      </c>
      <c r="N1766" s="84">
        <v>0.10439999999999999</v>
      </c>
      <c r="O1766" s="96">
        <f t="shared" si="111"/>
        <v>7</v>
      </c>
      <c r="Q1766" s="96"/>
      <c r="T1766" s="110"/>
    </row>
    <row r="1767" spans="3:20" x14ac:dyDescent="0.2">
      <c r="C1767" s="96" t="str">
        <f t="shared" si="108"/>
        <v>WTF8</v>
      </c>
      <c r="D1767" s="73" t="s">
        <v>242</v>
      </c>
      <c r="E1767" s="100">
        <v>41158</v>
      </c>
      <c r="F1767" s="101">
        <v>0.15659999999999999</v>
      </c>
      <c r="G1767" s="96">
        <f t="shared" si="109"/>
        <v>8</v>
      </c>
      <c r="I1767" s="96"/>
      <c r="K1767" t="str">
        <f t="shared" si="110"/>
        <v>WTF8</v>
      </c>
      <c r="L1767" s="73" t="s">
        <v>242</v>
      </c>
      <c r="M1767" s="72">
        <v>41158</v>
      </c>
      <c r="N1767" s="84">
        <v>0.15659999999999999</v>
      </c>
      <c r="O1767" s="96">
        <f t="shared" si="111"/>
        <v>8</v>
      </c>
      <c r="Q1767" s="96"/>
      <c r="T1767" s="110"/>
    </row>
    <row r="1768" spans="3:20" x14ac:dyDescent="0.2">
      <c r="C1768" s="96" t="str">
        <f t="shared" si="108"/>
        <v>WTF9</v>
      </c>
      <c r="D1768" s="73" t="s">
        <v>242</v>
      </c>
      <c r="E1768" s="100">
        <v>41339</v>
      </c>
      <c r="F1768" s="101">
        <v>0.11199999999999999</v>
      </c>
      <c r="G1768" s="96">
        <f t="shared" si="109"/>
        <v>9</v>
      </c>
      <c r="I1768" s="96"/>
      <c r="K1768" t="str">
        <f t="shared" si="110"/>
        <v>WTF9</v>
      </c>
      <c r="L1768" s="73" t="s">
        <v>242</v>
      </c>
      <c r="M1768" s="72">
        <v>41339</v>
      </c>
      <c r="N1768" s="84">
        <v>0.11199999999999999</v>
      </c>
      <c r="O1768" s="96">
        <f t="shared" si="111"/>
        <v>9</v>
      </c>
      <c r="Q1768" s="96"/>
      <c r="T1768" s="110"/>
    </row>
    <row r="1769" spans="3:20" x14ac:dyDescent="0.2">
      <c r="C1769" s="96" t="str">
        <f t="shared" si="108"/>
        <v>WTF10</v>
      </c>
      <c r="D1769" s="73" t="s">
        <v>242</v>
      </c>
      <c r="E1769" s="100">
        <v>41523</v>
      </c>
      <c r="F1769" s="101">
        <v>0.16800000000000001</v>
      </c>
      <c r="G1769" s="96">
        <f t="shared" si="109"/>
        <v>10</v>
      </c>
      <c r="I1769" s="96"/>
      <c r="K1769" t="str">
        <f t="shared" si="110"/>
        <v>WTF10</v>
      </c>
      <c r="L1769" s="73" t="s">
        <v>242</v>
      </c>
      <c r="M1769" s="72">
        <v>41523</v>
      </c>
      <c r="N1769" s="84">
        <v>0.16800000000000001</v>
      </c>
      <c r="O1769" s="96">
        <f t="shared" si="111"/>
        <v>10</v>
      </c>
      <c r="Q1769" s="96"/>
      <c r="T1769" s="110"/>
    </row>
    <row r="1770" spans="3:20" x14ac:dyDescent="0.2">
      <c r="C1770" s="96" t="str">
        <f t="shared" si="108"/>
        <v>ZFX1</v>
      </c>
      <c r="D1770" s="73" t="s">
        <v>243</v>
      </c>
      <c r="E1770" s="100">
        <v>39904</v>
      </c>
      <c r="F1770" s="101">
        <v>0.25</v>
      </c>
      <c r="G1770" s="96">
        <f t="shared" si="109"/>
        <v>1</v>
      </c>
      <c r="I1770" s="96"/>
      <c r="K1770" t="str">
        <f t="shared" si="110"/>
        <v>ZFX1</v>
      </c>
      <c r="L1770" s="73" t="s">
        <v>243</v>
      </c>
      <c r="M1770" s="72">
        <v>39904</v>
      </c>
      <c r="N1770" s="84">
        <v>0.25</v>
      </c>
      <c r="O1770" s="96">
        <f t="shared" si="111"/>
        <v>1</v>
      </c>
      <c r="Q1770" s="96"/>
      <c r="T1770" s="110"/>
    </row>
    <row r="1771" spans="3:20" x14ac:dyDescent="0.2">
      <c r="C1771" s="96" t="str">
        <f t="shared" si="108"/>
        <v>ZFX2</v>
      </c>
      <c r="D1771" s="73" t="s">
        <v>243</v>
      </c>
      <c r="E1771" s="100">
        <v>40116</v>
      </c>
      <c r="F1771" s="101">
        <v>0.25</v>
      </c>
      <c r="G1771" s="96">
        <f t="shared" si="109"/>
        <v>2</v>
      </c>
      <c r="I1771" s="96"/>
      <c r="K1771" t="str">
        <f t="shared" si="110"/>
        <v>ZFX2</v>
      </c>
      <c r="L1771" s="73" t="s">
        <v>243</v>
      </c>
      <c r="M1771" s="72">
        <v>40116</v>
      </c>
      <c r="N1771" s="84">
        <v>0.25</v>
      </c>
      <c r="O1771" s="96">
        <f t="shared" si="111"/>
        <v>2</v>
      </c>
      <c r="Q1771" s="96"/>
      <c r="T1771" s="110"/>
    </row>
    <row r="1772" spans="3:20" x14ac:dyDescent="0.2">
      <c r="C1772" s="96" t="str">
        <f t="shared" si="108"/>
        <v>ZFX3</v>
      </c>
      <c r="D1772" s="73" t="s">
        <v>243</v>
      </c>
      <c r="E1772" s="100">
        <v>40267</v>
      </c>
      <c r="F1772" s="101">
        <v>0.25</v>
      </c>
      <c r="G1772" s="96">
        <f t="shared" si="109"/>
        <v>3</v>
      </c>
      <c r="I1772" s="96"/>
      <c r="K1772" t="str">
        <f t="shared" si="110"/>
        <v>ZFX3</v>
      </c>
      <c r="L1772" s="73" t="s">
        <v>243</v>
      </c>
      <c r="M1772" s="72">
        <v>40267</v>
      </c>
      <c r="N1772" s="84">
        <v>0.25</v>
      </c>
      <c r="O1772" s="96">
        <f t="shared" si="111"/>
        <v>3</v>
      </c>
      <c r="Q1772" s="96"/>
      <c r="T1772" s="110"/>
    </row>
    <row r="1773" spans="3:20" x14ac:dyDescent="0.2">
      <c r="C1773" s="96" t="str">
        <f t="shared" si="108"/>
        <v>ZFX4</v>
      </c>
      <c r="D1773" s="73" t="s">
        <v>243</v>
      </c>
      <c r="E1773" s="100">
        <v>40483</v>
      </c>
      <c r="F1773" s="101">
        <v>0.25</v>
      </c>
      <c r="G1773" s="96">
        <f t="shared" si="109"/>
        <v>4</v>
      </c>
      <c r="I1773" s="96"/>
      <c r="K1773" t="str">
        <f t="shared" si="110"/>
        <v>ZFX4</v>
      </c>
      <c r="L1773" s="73" t="s">
        <v>243</v>
      </c>
      <c r="M1773" s="72">
        <v>40483</v>
      </c>
      <c r="N1773" s="84">
        <v>0.25</v>
      </c>
      <c r="O1773" s="96">
        <f t="shared" si="111"/>
        <v>4</v>
      </c>
      <c r="Q1773" s="96"/>
      <c r="T1773" s="110"/>
    </row>
    <row r="1774" spans="3:20" x14ac:dyDescent="0.2">
      <c r="C1774" s="96" t="str">
        <f t="shared" si="108"/>
        <v>ZFX5</v>
      </c>
      <c r="D1774" s="73" t="s">
        <v>243</v>
      </c>
      <c r="E1774" s="100">
        <v>40634</v>
      </c>
      <c r="F1774" s="101">
        <v>0.3</v>
      </c>
      <c r="G1774" s="96">
        <f t="shared" si="109"/>
        <v>5</v>
      </c>
      <c r="I1774" s="96"/>
      <c r="K1774" t="str">
        <f t="shared" si="110"/>
        <v>ZFX5</v>
      </c>
      <c r="L1774" s="73" t="s">
        <v>243</v>
      </c>
      <c r="M1774" s="72">
        <v>40634</v>
      </c>
      <c r="N1774" s="84">
        <v>0.3</v>
      </c>
      <c r="O1774" s="96">
        <f t="shared" si="111"/>
        <v>5</v>
      </c>
      <c r="Q1774" s="96"/>
      <c r="T1774" s="110"/>
    </row>
    <row r="1775" spans="3:20" x14ac:dyDescent="0.2">
      <c r="C1775" s="96" t="str">
        <f t="shared" si="108"/>
        <v>ZFX6</v>
      </c>
      <c r="D1775" s="73" t="s">
        <v>243</v>
      </c>
      <c r="E1775" s="100">
        <v>40848</v>
      </c>
      <c r="F1775" s="101">
        <v>0.3</v>
      </c>
      <c r="G1775" s="96">
        <f t="shared" si="109"/>
        <v>6</v>
      </c>
      <c r="I1775" s="96"/>
      <c r="K1775" t="str">
        <f t="shared" si="110"/>
        <v>ZFX6</v>
      </c>
      <c r="L1775" s="73" t="s">
        <v>243</v>
      </c>
      <c r="M1775" s="72">
        <v>40848</v>
      </c>
      <c r="N1775" s="84">
        <v>0.3</v>
      </c>
      <c r="O1775" s="96">
        <f t="shared" si="111"/>
        <v>6</v>
      </c>
      <c r="Q1775" s="96"/>
      <c r="T1775" s="110"/>
    </row>
    <row r="1776" spans="3:20" x14ac:dyDescent="0.2">
      <c r="C1776" s="96" t="str">
        <f t="shared" si="108"/>
        <v>ZFX7</v>
      </c>
      <c r="D1776" s="73" t="s">
        <v>243</v>
      </c>
      <c r="E1776" s="100">
        <v>41002</v>
      </c>
      <c r="F1776" s="101">
        <v>0.3</v>
      </c>
      <c r="G1776" s="96">
        <f t="shared" si="109"/>
        <v>7</v>
      </c>
      <c r="I1776" s="96"/>
      <c r="K1776" t="str">
        <f t="shared" si="110"/>
        <v>ZFX7</v>
      </c>
      <c r="L1776" s="73" t="s">
        <v>243</v>
      </c>
      <c r="M1776" s="72">
        <v>41002</v>
      </c>
      <c r="N1776" s="84">
        <v>0.3</v>
      </c>
      <c r="O1776" s="96">
        <f t="shared" si="111"/>
        <v>7</v>
      </c>
      <c r="Q1776" s="96"/>
      <c r="T1776" s="110"/>
    </row>
    <row r="1777" spans="3:20" x14ac:dyDescent="0.2">
      <c r="C1777" s="96" t="str">
        <f t="shared" si="108"/>
        <v>ZFX8</v>
      </c>
      <c r="D1777" s="73" t="s">
        <v>243</v>
      </c>
      <c r="E1777" s="100">
        <v>41214</v>
      </c>
      <c r="F1777" s="101">
        <v>0.3</v>
      </c>
      <c r="G1777" s="96">
        <f t="shared" si="109"/>
        <v>8</v>
      </c>
      <c r="I1777" s="96"/>
      <c r="K1777" t="str">
        <f t="shared" si="110"/>
        <v>ZFX8</v>
      </c>
      <c r="L1777" s="73" t="s">
        <v>243</v>
      </c>
      <c r="M1777" s="72">
        <v>41214</v>
      </c>
      <c r="N1777" s="84">
        <v>0.3</v>
      </c>
      <c r="O1777" s="96">
        <f t="shared" si="111"/>
        <v>8</v>
      </c>
      <c r="Q1777" s="96"/>
      <c r="T1777" s="110"/>
    </row>
    <row r="1778" spans="3:20" x14ac:dyDescent="0.2">
      <c r="C1778" s="96" t="str">
        <f t="shared" si="108"/>
        <v>GTP1</v>
      </c>
      <c r="D1778" s="73" t="s">
        <v>139</v>
      </c>
      <c r="E1778" s="100">
        <v>41249</v>
      </c>
      <c r="F1778" s="101">
        <v>0.05</v>
      </c>
      <c r="G1778" s="96">
        <f t="shared" si="109"/>
        <v>1</v>
      </c>
      <c r="I1778" s="96"/>
      <c r="K1778" t="str">
        <f t="shared" si="110"/>
        <v>GTP1</v>
      </c>
      <c r="L1778" s="73" t="s">
        <v>139</v>
      </c>
      <c r="M1778" s="72">
        <v>41249</v>
      </c>
      <c r="N1778" s="84">
        <v>0.05</v>
      </c>
      <c r="O1778" s="96">
        <f t="shared" si="111"/>
        <v>1</v>
      </c>
      <c r="Q1778" s="96"/>
      <c r="T1778" s="110"/>
    </row>
    <row r="1779" spans="3:20" x14ac:dyDescent="0.2">
      <c r="C1779" s="96" t="str">
        <f t="shared" si="108"/>
        <v>1</v>
      </c>
      <c r="D1779" s="73"/>
      <c r="E1779" s="100"/>
      <c r="F1779" s="101"/>
      <c r="G1779" s="96">
        <f t="shared" si="109"/>
        <v>1</v>
      </c>
      <c r="I1779" s="96"/>
      <c r="K1779" t="str">
        <f t="shared" si="110"/>
        <v>1</v>
      </c>
      <c r="M1779" s="72"/>
      <c r="O1779" s="96">
        <f t="shared" si="111"/>
        <v>1</v>
      </c>
      <c r="Q1779" s="96"/>
      <c r="T1779" s="110"/>
    </row>
    <row r="1780" spans="3:20" x14ac:dyDescent="0.2">
      <c r="C1780" s="96" t="str">
        <f t="shared" si="108"/>
        <v>2</v>
      </c>
      <c r="D1780" s="73"/>
      <c r="E1780" s="100"/>
      <c r="F1780" s="101"/>
      <c r="G1780" s="96">
        <f t="shared" si="109"/>
        <v>2</v>
      </c>
      <c r="I1780" s="96"/>
      <c r="K1780" t="str">
        <f t="shared" si="110"/>
        <v>2</v>
      </c>
      <c r="M1780" s="72"/>
      <c r="O1780" s="96">
        <f t="shared" si="111"/>
        <v>2</v>
      </c>
      <c r="Q1780" s="96"/>
      <c r="T1780" s="110"/>
    </row>
    <row r="1781" spans="3:20" x14ac:dyDescent="0.2">
      <c r="C1781" s="96" t="str">
        <f t="shared" si="108"/>
        <v>3</v>
      </c>
      <c r="D1781" s="73"/>
      <c r="E1781" s="100"/>
      <c r="F1781" s="101"/>
      <c r="G1781" s="96">
        <f t="shared" si="109"/>
        <v>3</v>
      </c>
      <c r="I1781" s="96"/>
      <c r="K1781" t="str">
        <f t="shared" si="110"/>
        <v>3</v>
      </c>
      <c r="M1781" s="72"/>
      <c r="O1781" s="96">
        <f t="shared" si="111"/>
        <v>3</v>
      </c>
      <c r="Q1781" s="96"/>
      <c r="T1781" s="110"/>
    </row>
    <row r="1782" spans="3:20" x14ac:dyDescent="0.2">
      <c r="C1782" s="96" t="str">
        <f t="shared" si="108"/>
        <v>4</v>
      </c>
      <c r="D1782" s="73"/>
      <c r="E1782" s="100"/>
      <c r="F1782" s="101"/>
      <c r="G1782" s="96">
        <f t="shared" si="109"/>
        <v>4</v>
      </c>
      <c r="I1782" s="96"/>
      <c r="K1782" t="str">
        <f t="shared" si="110"/>
        <v>4</v>
      </c>
      <c r="M1782" s="72"/>
      <c r="O1782" s="96">
        <f t="shared" si="111"/>
        <v>4</v>
      </c>
      <c r="Q1782" s="96"/>
      <c r="T1782" s="110"/>
    </row>
    <row r="1783" spans="3:20" x14ac:dyDescent="0.2">
      <c r="C1783" s="96" t="str">
        <f t="shared" si="108"/>
        <v>5</v>
      </c>
      <c r="D1783" s="73"/>
      <c r="E1783" s="100"/>
      <c r="F1783" s="101"/>
      <c r="G1783" s="96">
        <f t="shared" si="109"/>
        <v>5</v>
      </c>
      <c r="I1783" s="96"/>
      <c r="K1783" t="str">
        <f t="shared" si="110"/>
        <v>5</v>
      </c>
      <c r="M1783" s="72"/>
      <c r="O1783" s="96">
        <f t="shared" si="111"/>
        <v>5</v>
      </c>
      <c r="Q1783" s="96"/>
      <c r="T1783" s="110"/>
    </row>
    <row r="1784" spans="3:20" x14ac:dyDescent="0.2">
      <c r="C1784" s="96" t="str">
        <f t="shared" si="108"/>
        <v>6</v>
      </c>
      <c r="D1784" s="73"/>
      <c r="E1784" s="100"/>
      <c r="F1784" s="101"/>
      <c r="G1784" s="96">
        <f t="shared" si="109"/>
        <v>6</v>
      </c>
      <c r="I1784" s="96"/>
      <c r="K1784" t="str">
        <f t="shared" si="110"/>
        <v>6</v>
      </c>
      <c r="M1784" s="72"/>
      <c r="O1784" s="96">
        <f t="shared" si="111"/>
        <v>6</v>
      </c>
      <c r="Q1784" s="96"/>
      <c r="T1784" s="110"/>
    </row>
    <row r="1785" spans="3:20" x14ac:dyDescent="0.2">
      <c r="C1785" s="96" t="str">
        <f t="shared" si="108"/>
        <v>7</v>
      </c>
      <c r="D1785" s="73"/>
      <c r="E1785" s="100"/>
      <c r="F1785" s="101"/>
      <c r="G1785" s="96">
        <f t="shared" si="109"/>
        <v>7</v>
      </c>
      <c r="I1785" s="96"/>
      <c r="K1785" t="str">
        <f t="shared" si="110"/>
        <v>7</v>
      </c>
      <c r="M1785" s="72"/>
      <c r="O1785" s="96">
        <f t="shared" si="111"/>
        <v>7</v>
      </c>
      <c r="Q1785" s="96"/>
      <c r="T1785" s="110"/>
    </row>
    <row r="1786" spans="3:20" x14ac:dyDescent="0.2">
      <c r="C1786" s="96" t="str">
        <f t="shared" si="108"/>
        <v>8</v>
      </c>
      <c r="D1786" s="73"/>
      <c r="E1786" s="100"/>
      <c r="F1786" s="101"/>
      <c r="G1786" s="96">
        <f t="shared" si="109"/>
        <v>8</v>
      </c>
      <c r="I1786" s="96"/>
      <c r="K1786" t="str">
        <f t="shared" si="110"/>
        <v>8</v>
      </c>
      <c r="M1786" s="72"/>
      <c r="O1786" s="96">
        <f t="shared" si="111"/>
        <v>8</v>
      </c>
      <c r="Q1786" s="96"/>
      <c r="T1786" s="110"/>
    </row>
    <row r="1787" spans="3:20" x14ac:dyDescent="0.2">
      <c r="C1787" s="96" t="str">
        <f t="shared" si="108"/>
        <v>9</v>
      </c>
      <c r="D1787" s="73"/>
      <c r="E1787" s="100"/>
      <c r="F1787" s="101"/>
      <c r="G1787" s="96">
        <f t="shared" si="109"/>
        <v>9</v>
      </c>
      <c r="I1787" s="96"/>
      <c r="K1787" t="str">
        <f t="shared" si="110"/>
        <v>9</v>
      </c>
      <c r="M1787" s="72"/>
      <c r="O1787" s="96">
        <f t="shared" si="111"/>
        <v>9</v>
      </c>
      <c r="Q1787" s="96"/>
      <c r="T1787" s="110"/>
    </row>
    <row r="1788" spans="3:20" x14ac:dyDescent="0.2">
      <c r="C1788" s="96" t="str">
        <f t="shared" si="108"/>
        <v>10</v>
      </c>
      <c r="D1788" s="73"/>
      <c r="E1788" s="100"/>
      <c r="F1788" s="101"/>
      <c r="G1788" s="96">
        <f t="shared" si="109"/>
        <v>10</v>
      </c>
      <c r="I1788" s="96"/>
      <c r="K1788" t="str">
        <f t="shared" si="110"/>
        <v>10</v>
      </c>
      <c r="M1788" s="72"/>
      <c r="O1788" s="96">
        <f t="shared" si="111"/>
        <v>10</v>
      </c>
      <c r="Q1788" s="96"/>
      <c r="T1788" s="110"/>
    </row>
    <row r="1789" spans="3:20" x14ac:dyDescent="0.2">
      <c r="C1789" s="96" t="str">
        <f t="shared" si="108"/>
        <v>11</v>
      </c>
      <c r="D1789" s="73"/>
      <c r="E1789" s="100"/>
      <c r="F1789" s="101"/>
      <c r="G1789" s="96">
        <f t="shared" si="109"/>
        <v>11</v>
      </c>
      <c r="I1789" s="96"/>
      <c r="K1789" t="str">
        <f t="shared" si="110"/>
        <v>11</v>
      </c>
      <c r="M1789" s="72"/>
      <c r="O1789" s="96">
        <f t="shared" si="111"/>
        <v>11</v>
      </c>
      <c r="Q1789" s="96"/>
      <c r="T1789" s="110"/>
    </row>
    <row r="1790" spans="3:20" x14ac:dyDescent="0.2">
      <c r="C1790" s="96" t="str">
        <f t="shared" si="108"/>
        <v>12</v>
      </c>
      <c r="D1790" s="73"/>
      <c r="E1790" s="100"/>
      <c r="F1790" s="101"/>
      <c r="G1790" s="96">
        <f t="shared" si="109"/>
        <v>12</v>
      </c>
      <c r="I1790" s="96"/>
      <c r="K1790" t="str">
        <f t="shared" si="110"/>
        <v>12</v>
      </c>
      <c r="M1790" s="72"/>
      <c r="O1790" s="96">
        <f t="shared" si="111"/>
        <v>12</v>
      </c>
      <c r="Q1790" s="96"/>
      <c r="T1790" s="110"/>
    </row>
    <row r="1791" spans="3:20" x14ac:dyDescent="0.2">
      <c r="C1791" s="96" t="str">
        <f t="shared" si="108"/>
        <v>13</v>
      </c>
      <c r="D1791" s="73"/>
      <c r="E1791" s="100"/>
      <c r="F1791" s="101"/>
      <c r="G1791" s="96">
        <f t="shared" si="109"/>
        <v>13</v>
      </c>
      <c r="I1791" s="96"/>
      <c r="K1791" t="str">
        <f t="shared" si="110"/>
        <v>13</v>
      </c>
      <c r="M1791" s="72"/>
      <c r="O1791" s="96">
        <f t="shared" si="111"/>
        <v>13</v>
      </c>
      <c r="Q1791" s="96"/>
      <c r="T1791" s="110"/>
    </row>
    <row r="1792" spans="3:20" x14ac:dyDescent="0.2">
      <c r="C1792" s="96" t="str">
        <f t="shared" si="108"/>
        <v>14</v>
      </c>
      <c r="D1792" s="73"/>
      <c r="E1792" s="100"/>
      <c r="F1792" s="101"/>
      <c r="G1792" s="96">
        <f t="shared" si="109"/>
        <v>14</v>
      </c>
      <c r="I1792" s="96"/>
      <c r="K1792" t="str">
        <f t="shared" si="110"/>
        <v>14</v>
      </c>
      <c r="M1792" s="72"/>
      <c r="O1792" s="96">
        <f t="shared" si="111"/>
        <v>14</v>
      </c>
      <c r="Q1792" s="96"/>
      <c r="T1792" s="110"/>
    </row>
    <row r="1793" spans="3:20" x14ac:dyDescent="0.2">
      <c r="C1793" s="96" t="str">
        <f t="shared" si="108"/>
        <v>15</v>
      </c>
      <c r="D1793" s="73"/>
      <c r="E1793" s="100"/>
      <c r="F1793" s="101"/>
      <c r="G1793" s="96">
        <f t="shared" si="109"/>
        <v>15</v>
      </c>
      <c r="I1793" s="96"/>
      <c r="K1793" t="str">
        <f t="shared" si="110"/>
        <v>15</v>
      </c>
      <c r="M1793" s="72"/>
      <c r="O1793" s="96">
        <f t="shared" si="111"/>
        <v>15</v>
      </c>
      <c r="Q1793" s="96"/>
      <c r="T1793" s="110"/>
    </row>
    <row r="1794" spans="3:20" x14ac:dyDescent="0.2">
      <c r="C1794" s="96" t="str">
        <f t="shared" si="108"/>
        <v>16</v>
      </c>
      <c r="D1794" s="73"/>
      <c r="E1794" s="100"/>
      <c r="F1794" s="101"/>
      <c r="G1794" s="96">
        <f t="shared" si="109"/>
        <v>16</v>
      </c>
      <c r="I1794" s="96"/>
      <c r="K1794" t="str">
        <f t="shared" si="110"/>
        <v>16</v>
      </c>
      <c r="M1794" s="72"/>
      <c r="O1794" s="96">
        <f t="shared" si="111"/>
        <v>16</v>
      </c>
      <c r="Q1794" s="96"/>
      <c r="T1794" s="110"/>
    </row>
    <row r="1795" spans="3:20" x14ac:dyDescent="0.2">
      <c r="C1795" s="96" t="str">
        <f t="shared" ref="C1795:C1858" si="112">D1795&amp;G1795</f>
        <v>17</v>
      </c>
      <c r="D1795" s="73"/>
      <c r="E1795" s="100"/>
      <c r="F1795" s="101"/>
      <c r="G1795" s="96">
        <f t="shared" ref="G1795:G1858" si="113">IF(D1795&lt;&gt;D1794,1,G1794+1)</f>
        <v>17</v>
      </c>
      <c r="I1795" s="96"/>
      <c r="K1795" t="str">
        <f t="shared" ref="K1795:K1858" si="114">L1795&amp;O1795</f>
        <v>17</v>
      </c>
      <c r="M1795" s="72"/>
      <c r="O1795" s="96">
        <f t="shared" ref="O1795:O1858" si="115">IF(L1795&lt;&gt;L1794,1,O1794+1)</f>
        <v>17</v>
      </c>
      <c r="Q1795" s="96"/>
      <c r="T1795" s="110"/>
    </row>
    <row r="1796" spans="3:20" x14ac:dyDescent="0.2">
      <c r="C1796" s="96" t="str">
        <f t="shared" si="112"/>
        <v>18</v>
      </c>
      <c r="D1796" s="73"/>
      <c r="E1796" s="100"/>
      <c r="F1796" s="101"/>
      <c r="G1796" s="96">
        <f t="shared" si="113"/>
        <v>18</v>
      </c>
      <c r="I1796" s="96"/>
      <c r="K1796" t="str">
        <f t="shared" si="114"/>
        <v>18</v>
      </c>
      <c r="M1796" s="72"/>
      <c r="O1796" s="96">
        <f t="shared" si="115"/>
        <v>18</v>
      </c>
      <c r="Q1796" s="96"/>
      <c r="T1796" s="110"/>
    </row>
    <row r="1797" spans="3:20" x14ac:dyDescent="0.2">
      <c r="C1797" s="96" t="str">
        <f t="shared" si="112"/>
        <v>19</v>
      </c>
      <c r="D1797" s="73"/>
      <c r="E1797" s="100"/>
      <c r="F1797" s="101"/>
      <c r="G1797" s="96">
        <f t="shared" si="113"/>
        <v>19</v>
      </c>
      <c r="I1797" s="96"/>
      <c r="K1797" t="str">
        <f t="shared" si="114"/>
        <v>19</v>
      </c>
      <c r="M1797" s="72"/>
      <c r="O1797" s="96">
        <f t="shared" si="115"/>
        <v>19</v>
      </c>
      <c r="Q1797" s="96"/>
      <c r="T1797" s="110"/>
    </row>
    <row r="1798" spans="3:20" x14ac:dyDescent="0.2">
      <c r="C1798" s="96" t="str">
        <f t="shared" si="112"/>
        <v>20</v>
      </c>
      <c r="D1798" s="73"/>
      <c r="E1798" s="100"/>
      <c r="F1798" s="101"/>
      <c r="G1798" s="96">
        <f t="shared" si="113"/>
        <v>20</v>
      </c>
      <c r="I1798" s="96"/>
      <c r="K1798" t="str">
        <f t="shared" si="114"/>
        <v>20</v>
      </c>
      <c r="M1798" s="72"/>
      <c r="O1798" s="96">
        <f t="shared" si="115"/>
        <v>20</v>
      </c>
      <c r="Q1798" s="96"/>
      <c r="T1798" s="110"/>
    </row>
    <row r="1799" spans="3:20" x14ac:dyDescent="0.2">
      <c r="C1799" s="96" t="str">
        <f t="shared" si="112"/>
        <v>21</v>
      </c>
      <c r="D1799" s="73"/>
      <c r="E1799" s="100"/>
      <c r="F1799" s="101"/>
      <c r="G1799" s="96">
        <f t="shared" si="113"/>
        <v>21</v>
      </c>
      <c r="I1799" s="96"/>
      <c r="K1799" t="str">
        <f t="shared" si="114"/>
        <v>21</v>
      </c>
      <c r="M1799" s="72"/>
      <c r="O1799" s="96">
        <f t="shared" si="115"/>
        <v>21</v>
      </c>
      <c r="Q1799" s="96"/>
      <c r="T1799" s="110"/>
    </row>
    <row r="1800" spans="3:20" x14ac:dyDescent="0.2">
      <c r="C1800" s="96" t="str">
        <f t="shared" si="112"/>
        <v>22</v>
      </c>
      <c r="D1800" s="73"/>
      <c r="E1800" s="100"/>
      <c r="F1800" s="101"/>
      <c r="G1800" s="96">
        <f t="shared" si="113"/>
        <v>22</v>
      </c>
      <c r="I1800" s="96"/>
      <c r="K1800" t="str">
        <f t="shared" si="114"/>
        <v>22</v>
      </c>
      <c r="M1800" s="72"/>
      <c r="O1800" s="96">
        <f t="shared" si="115"/>
        <v>22</v>
      </c>
      <c r="Q1800" s="96"/>
      <c r="T1800" s="110"/>
    </row>
    <row r="1801" spans="3:20" x14ac:dyDescent="0.2">
      <c r="C1801" s="96" t="str">
        <f t="shared" si="112"/>
        <v>23</v>
      </c>
      <c r="D1801" s="73"/>
      <c r="E1801" s="100"/>
      <c r="F1801" s="101"/>
      <c r="G1801" s="96">
        <f t="shared" si="113"/>
        <v>23</v>
      </c>
      <c r="I1801" s="96"/>
      <c r="K1801" t="str">
        <f t="shared" si="114"/>
        <v>23</v>
      </c>
      <c r="M1801" s="72"/>
      <c r="O1801" s="96">
        <f t="shared" si="115"/>
        <v>23</v>
      </c>
      <c r="Q1801" s="96"/>
      <c r="T1801" s="110"/>
    </row>
    <row r="1802" spans="3:20" x14ac:dyDescent="0.2">
      <c r="C1802" s="96" t="str">
        <f t="shared" si="112"/>
        <v>24</v>
      </c>
      <c r="D1802" s="73"/>
      <c r="E1802" s="100"/>
      <c r="F1802" s="101"/>
      <c r="G1802" s="96">
        <f t="shared" si="113"/>
        <v>24</v>
      </c>
      <c r="I1802" s="96"/>
      <c r="K1802" t="str">
        <f t="shared" si="114"/>
        <v>24</v>
      </c>
      <c r="M1802" s="72"/>
      <c r="O1802" s="96">
        <f t="shared" si="115"/>
        <v>24</v>
      </c>
      <c r="Q1802" s="96"/>
      <c r="T1802" s="110"/>
    </row>
    <row r="1803" spans="3:20" x14ac:dyDescent="0.2">
      <c r="C1803" s="96" t="str">
        <f t="shared" si="112"/>
        <v>25</v>
      </c>
      <c r="D1803" s="73"/>
      <c r="E1803" s="100"/>
      <c r="F1803" s="101"/>
      <c r="G1803" s="96">
        <f t="shared" si="113"/>
        <v>25</v>
      </c>
      <c r="I1803" s="96"/>
      <c r="K1803" t="str">
        <f t="shared" si="114"/>
        <v>25</v>
      </c>
      <c r="M1803" s="72"/>
      <c r="O1803" s="96">
        <f t="shared" si="115"/>
        <v>25</v>
      </c>
      <c r="Q1803" s="96"/>
      <c r="T1803" s="110"/>
    </row>
    <row r="1804" spans="3:20" x14ac:dyDescent="0.2">
      <c r="C1804" s="96" t="str">
        <f t="shared" si="112"/>
        <v>26</v>
      </c>
      <c r="D1804" s="73"/>
      <c r="E1804" s="100"/>
      <c r="F1804" s="101"/>
      <c r="G1804" s="96">
        <f t="shared" si="113"/>
        <v>26</v>
      </c>
      <c r="I1804" s="96"/>
      <c r="K1804" t="str">
        <f t="shared" si="114"/>
        <v>26</v>
      </c>
      <c r="M1804" s="72"/>
      <c r="O1804" s="96">
        <f t="shared" si="115"/>
        <v>26</v>
      </c>
      <c r="Q1804" s="96"/>
      <c r="T1804" s="110"/>
    </row>
    <row r="1805" spans="3:20" x14ac:dyDescent="0.2">
      <c r="C1805" s="96" t="str">
        <f t="shared" si="112"/>
        <v>27</v>
      </c>
      <c r="D1805" s="73"/>
      <c r="E1805" s="100"/>
      <c r="F1805" s="101"/>
      <c r="G1805" s="96">
        <f t="shared" si="113"/>
        <v>27</v>
      </c>
      <c r="I1805" s="96"/>
      <c r="K1805" t="str">
        <f t="shared" si="114"/>
        <v>27</v>
      </c>
      <c r="M1805" s="72"/>
      <c r="O1805" s="96">
        <f t="shared" si="115"/>
        <v>27</v>
      </c>
      <c r="Q1805" s="96"/>
      <c r="T1805" s="110"/>
    </row>
    <row r="1806" spans="3:20" x14ac:dyDescent="0.2">
      <c r="C1806" s="96" t="str">
        <f t="shared" si="112"/>
        <v>28</v>
      </c>
      <c r="D1806" s="73"/>
      <c r="E1806" s="100"/>
      <c r="F1806" s="101"/>
      <c r="G1806" s="96">
        <f t="shared" si="113"/>
        <v>28</v>
      </c>
      <c r="I1806" s="96"/>
      <c r="K1806" t="str">
        <f t="shared" si="114"/>
        <v>28</v>
      </c>
      <c r="M1806" s="72"/>
      <c r="O1806" s="96">
        <f t="shared" si="115"/>
        <v>28</v>
      </c>
      <c r="Q1806" s="96"/>
      <c r="T1806" s="110"/>
    </row>
    <row r="1807" spans="3:20" x14ac:dyDescent="0.2">
      <c r="C1807" s="96" t="str">
        <f t="shared" si="112"/>
        <v>29</v>
      </c>
      <c r="D1807" s="73"/>
      <c r="E1807" s="100"/>
      <c r="F1807" s="101"/>
      <c r="G1807" s="96">
        <f t="shared" si="113"/>
        <v>29</v>
      </c>
      <c r="I1807" s="96"/>
      <c r="K1807" t="str">
        <f t="shared" si="114"/>
        <v>29</v>
      </c>
      <c r="M1807" s="72"/>
      <c r="O1807" s="96">
        <f t="shared" si="115"/>
        <v>29</v>
      </c>
      <c r="Q1807" s="96"/>
      <c r="T1807" s="110"/>
    </row>
    <row r="1808" spans="3:20" x14ac:dyDescent="0.2">
      <c r="C1808" s="96" t="str">
        <f t="shared" si="112"/>
        <v>30</v>
      </c>
      <c r="D1808" s="73"/>
      <c r="E1808" s="100"/>
      <c r="F1808" s="101"/>
      <c r="G1808" s="96">
        <f t="shared" si="113"/>
        <v>30</v>
      </c>
      <c r="I1808" s="96"/>
      <c r="K1808" t="str">
        <f t="shared" si="114"/>
        <v>30</v>
      </c>
      <c r="M1808" s="72"/>
      <c r="O1808" s="96">
        <f t="shared" si="115"/>
        <v>30</v>
      </c>
      <c r="Q1808" s="96"/>
      <c r="T1808" s="110"/>
    </row>
    <row r="1809" spans="3:20" x14ac:dyDescent="0.2">
      <c r="C1809" s="96" t="str">
        <f t="shared" si="112"/>
        <v>31</v>
      </c>
      <c r="D1809" s="73"/>
      <c r="E1809" s="100"/>
      <c r="F1809" s="101"/>
      <c r="G1809" s="96">
        <f t="shared" si="113"/>
        <v>31</v>
      </c>
      <c r="I1809" s="96"/>
      <c r="K1809" t="str">
        <f t="shared" si="114"/>
        <v>31</v>
      </c>
      <c r="M1809" s="72"/>
      <c r="O1809" s="96">
        <f t="shared" si="115"/>
        <v>31</v>
      </c>
      <c r="Q1809" s="96"/>
      <c r="T1809" s="110"/>
    </row>
    <row r="1810" spans="3:20" x14ac:dyDescent="0.2">
      <c r="C1810" s="96" t="str">
        <f t="shared" si="112"/>
        <v>32</v>
      </c>
      <c r="D1810" s="73"/>
      <c r="E1810" s="100"/>
      <c r="F1810" s="101"/>
      <c r="G1810" s="96">
        <f t="shared" si="113"/>
        <v>32</v>
      </c>
      <c r="I1810" s="96"/>
      <c r="K1810" t="str">
        <f t="shared" si="114"/>
        <v>32</v>
      </c>
      <c r="M1810" s="72"/>
      <c r="O1810" s="96">
        <f t="shared" si="115"/>
        <v>32</v>
      </c>
      <c r="Q1810" s="96"/>
      <c r="T1810" s="110"/>
    </row>
    <row r="1811" spans="3:20" x14ac:dyDescent="0.2">
      <c r="C1811" s="96" t="str">
        <f t="shared" si="112"/>
        <v>33</v>
      </c>
      <c r="D1811" s="73"/>
      <c r="E1811" s="100"/>
      <c r="F1811" s="101"/>
      <c r="G1811" s="96">
        <f t="shared" si="113"/>
        <v>33</v>
      </c>
      <c r="I1811" s="96"/>
      <c r="K1811" t="str">
        <f t="shared" si="114"/>
        <v>33</v>
      </c>
      <c r="M1811" s="72"/>
      <c r="O1811" s="96">
        <f t="shared" si="115"/>
        <v>33</v>
      </c>
      <c r="Q1811" s="96"/>
      <c r="T1811" s="110"/>
    </row>
    <row r="1812" spans="3:20" x14ac:dyDescent="0.2">
      <c r="C1812" s="96" t="str">
        <f t="shared" si="112"/>
        <v>34</v>
      </c>
      <c r="D1812" s="73"/>
      <c r="E1812" s="100"/>
      <c r="F1812" s="101"/>
      <c r="G1812" s="96">
        <f t="shared" si="113"/>
        <v>34</v>
      </c>
      <c r="I1812" s="96"/>
      <c r="K1812" t="str">
        <f t="shared" si="114"/>
        <v>34</v>
      </c>
      <c r="M1812" s="72"/>
      <c r="O1812" s="96">
        <f t="shared" si="115"/>
        <v>34</v>
      </c>
      <c r="Q1812" s="96"/>
      <c r="T1812" s="110"/>
    </row>
    <row r="1813" spans="3:20" x14ac:dyDescent="0.2">
      <c r="C1813" s="96" t="str">
        <f t="shared" si="112"/>
        <v>35</v>
      </c>
      <c r="D1813" s="73"/>
      <c r="E1813" s="100"/>
      <c r="F1813" s="101"/>
      <c r="G1813" s="96">
        <f t="shared" si="113"/>
        <v>35</v>
      </c>
      <c r="I1813" s="96"/>
      <c r="K1813" t="str">
        <f t="shared" si="114"/>
        <v>35</v>
      </c>
      <c r="M1813" s="72"/>
      <c r="O1813" s="96">
        <f t="shared" si="115"/>
        <v>35</v>
      </c>
      <c r="Q1813" s="96"/>
      <c r="T1813" s="110"/>
    </row>
    <row r="1814" spans="3:20" x14ac:dyDescent="0.2">
      <c r="C1814" s="96" t="str">
        <f t="shared" si="112"/>
        <v>36</v>
      </c>
      <c r="D1814" s="73"/>
      <c r="E1814" s="100"/>
      <c r="F1814" s="101"/>
      <c r="G1814" s="96">
        <f t="shared" si="113"/>
        <v>36</v>
      </c>
      <c r="I1814" s="96"/>
      <c r="K1814" t="str">
        <f t="shared" si="114"/>
        <v>36</v>
      </c>
      <c r="M1814" s="72"/>
      <c r="O1814" s="96">
        <f t="shared" si="115"/>
        <v>36</v>
      </c>
      <c r="Q1814" s="96"/>
      <c r="T1814" s="110"/>
    </row>
    <row r="1815" spans="3:20" x14ac:dyDescent="0.2">
      <c r="C1815" s="96" t="str">
        <f t="shared" si="112"/>
        <v>37</v>
      </c>
      <c r="D1815" s="73"/>
      <c r="E1815" s="100"/>
      <c r="F1815" s="101"/>
      <c r="G1815" s="96">
        <f t="shared" si="113"/>
        <v>37</v>
      </c>
      <c r="I1815" s="96"/>
      <c r="K1815" t="str">
        <f t="shared" si="114"/>
        <v>37</v>
      </c>
      <c r="M1815" s="72"/>
      <c r="O1815" s="96">
        <f t="shared" si="115"/>
        <v>37</v>
      </c>
      <c r="Q1815" s="96"/>
      <c r="T1815" s="110"/>
    </row>
    <row r="1816" spans="3:20" x14ac:dyDescent="0.2">
      <c r="C1816" s="96" t="str">
        <f t="shared" si="112"/>
        <v>38</v>
      </c>
      <c r="D1816" s="73"/>
      <c r="E1816" s="100"/>
      <c r="F1816" s="101"/>
      <c r="G1816" s="96">
        <f t="shared" si="113"/>
        <v>38</v>
      </c>
      <c r="I1816" s="96"/>
      <c r="K1816" t="str">
        <f t="shared" si="114"/>
        <v>38</v>
      </c>
      <c r="M1816" s="72"/>
      <c r="O1816" s="96">
        <f t="shared" si="115"/>
        <v>38</v>
      </c>
      <c r="Q1816" s="96"/>
      <c r="T1816" s="110"/>
    </row>
    <row r="1817" spans="3:20" x14ac:dyDescent="0.2">
      <c r="C1817" s="96" t="str">
        <f t="shared" si="112"/>
        <v>39</v>
      </c>
      <c r="D1817" s="73"/>
      <c r="E1817" s="100"/>
      <c r="F1817" s="101"/>
      <c r="G1817" s="96">
        <f t="shared" si="113"/>
        <v>39</v>
      </c>
      <c r="I1817" s="96"/>
      <c r="K1817" t="str">
        <f t="shared" si="114"/>
        <v>39</v>
      </c>
      <c r="M1817" s="72"/>
      <c r="O1817" s="96">
        <f t="shared" si="115"/>
        <v>39</v>
      </c>
      <c r="Q1817" s="96"/>
      <c r="T1817" s="110"/>
    </row>
    <row r="1818" spans="3:20" x14ac:dyDescent="0.2">
      <c r="C1818" s="96" t="str">
        <f t="shared" si="112"/>
        <v>40</v>
      </c>
      <c r="D1818" s="73"/>
      <c r="E1818" s="100"/>
      <c r="F1818" s="101"/>
      <c r="G1818" s="96">
        <f t="shared" si="113"/>
        <v>40</v>
      </c>
      <c r="I1818" s="96"/>
      <c r="K1818" t="str">
        <f t="shared" si="114"/>
        <v>40</v>
      </c>
      <c r="M1818" s="72"/>
      <c r="O1818" s="96">
        <f t="shared" si="115"/>
        <v>40</v>
      </c>
      <c r="Q1818" s="96"/>
      <c r="T1818" s="110"/>
    </row>
    <row r="1819" spans="3:20" x14ac:dyDescent="0.2">
      <c r="C1819" s="96" t="str">
        <f t="shared" si="112"/>
        <v>41</v>
      </c>
      <c r="D1819" s="73"/>
      <c r="E1819" s="100"/>
      <c r="F1819" s="101"/>
      <c r="G1819" s="96">
        <f t="shared" si="113"/>
        <v>41</v>
      </c>
      <c r="I1819" s="96"/>
      <c r="K1819" t="str">
        <f t="shared" si="114"/>
        <v>41</v>
      </c>
      <c r="M1819" s="72"/>
      <c r="O1819" s="96">
        <f t="shared" si="115"/>
        <v>41</v>
      </c>
      <c r="Q1819" s="96"/>
      <c r="T1819" s="110"/>
    </row>
    <row r="1820" spans="3:20" x14ac:dyDescent="0.2">
      <c r="C1820" s="96" t="str">
        <f t="shared" si="112"/>
        <v>42</v>
      </c>
      <c r="D1820" s="73"/>
      <c r="E1820" s="100"/>
      <c r="F1820" s="101"/>
      <c r="G1820" s="96">
        <f t="shared" si="113"/>
        <v>42</v>
      </c>
      <c r="I1820" s="96"/>
      <c r="K1820" t="str">
        <f t="shared" si="114"/>
        <v>42</v>
      </c>
      <c r="M1820" s="72"/>
      <c r="O1820" s="96">
        <f t="shared" si="115"/>
        <v>42</v>
      </c>
      <c r="Q1820" s="96"/>
      <c r="T1820" s="110"/>
    </row>
    <row r="1821" spans="3:20" x14ac:dyDescent="0.2">
      <c r="C1821" s="96" t="str">
        <f t="shared" si="112"/>
        <v>43</v>
      </c>
      <c r="D1821" s="73"/>
      <c r="E1821" s="100"/>
      <c r="F1821" s="101"/>
      <c r="G1821" s="96">
        <f t="shared" si="113"/>
        <v>43</v>
      </c>
      <c r="I1821" s="96"/>
      <c r="K1821" t="str">
        <f t="shared" si="114"/>
        <v>43</v>
      </c>
      <c r="M1821" s="72"/>
      <c r="O1821" s="96">
        <f t="shared" si="115"/>
        <v>43</v>
      </c>
      <c r="Q1821" s="96"/>
      <c r="T1821" s="110"/>
    </row>
    <row r="1822" spans="3:20" x14ac:dyDescent="0.2">
      <c r="C1822" s="96" t="str">
        <f t="shared" si="112"/>
        <v>44</v>
      </c>
      <c r="D1822" s="73"/>
      <c r="E1822" s="100"/>
      <c r="F1822" s="101"/>
      <c r="G1822" s="96">
        <f t="shared" si="113"/>
        <v>44</v>
      </c>
      <c r="I1822" s="96"/>
      <c r="K1822" t="str">
        <f t="shared" si="114"/>
        <v>44</v>
      </c>
      <c r="M1822" s="72"/>
      <c r="O1822" s="96">
        <f t="shared" si="115"/>
        <v>44</v>
      </c>
      <c r="Q1822" s="96"/>
      <c r="T1822" s="110"/>
    </row>
    <row r="1823" spans="3:20" x14ac:dyDescent="0.2">
      <c r="C1823" s="96" t="str">
        <f t="shared" si="112"/>
        <v>45</v>
      </c>
      <c r="D1823" s="73"/>
      <c r="E1823" s="100"/>
      <c r="F1823" s="101"/>
      <c r="G1823" s="96">
        <f t="shared" si="113"/>
        <v>45</v>
      </c>
      <c r="I1823" s="96"/>
      <c r="K1823" t="str">
        <f t="shared" si="114"/>
        <v>45</v>
      </c>
      <c r="M1823" s="72"/>
      <c r="O1823" s="96">
        <f t="shared" si="115"/>
        <v>45</v>
      </c>
      <c r="Q1823" s="96"/>
      <c r="T1823" s="110"/>
    </row>
    <row r="1824" spans="3:20" x14ac:dyDescent="0.2">
      <c r="C1824" s="96" t="str">
        <f t="shared" si="112"/>
        <v>46</v>
      </c>
      <c r="D1824" s="73"/>
      <c r="E1824" s="100"/>
      <c r="F1824" s="101"/>
      <c r="G1824" s="96">
        <f t="shared" si="113"/>
        <v>46</v>
      </c>
      <c r="I1824" s="96"/>
      <c r="K1824" t="str">
        <f t="shared" si="114"/>
        <v>46</v>
      </c>
      <c r="M1824" s="72"/>
      <c r="O1824" s="96">
        <f t="shared" si="115"/>
        <v>46</v>
      </c>
      <c r="Q1824" s="96"/>
      <c r="T1824" s="110"/>
    </row>
    <row r="1825" spans="3:20" x14ac:dyDescent="0.2">
      <c r="C1825" s="96" t="str">
        <f t="shared" si="112"/>
        <v>47</v>
      </c>
      <c r="D1825" s="73"/>
      <c r="E1825" s="100"/>
      <c r="F1825" s="101"/>
      <c r="G1825" s="96">
        <f t="shared" si="113"/>
        <v>47</v>
      </c>
      <c r="I1825" s="96"/>
      <c r="K1825" t="str">
        <f t="shared" si="114"/>
        <v>47</v>
      </c>
      <c r="M1825" s="72"/>
      <c r="O1825" s="96">
        <f t="shared" si="115"/>
        <v>47</v>
      </c>
      <c r="Q1825" s="96"/>
      <c r="T1825" s="110"/>
    </row>
    <row r="1826" spans="3:20" x14ac:dyDescent="0.2">
      <c r="C1826" s="96" t="str">
        <f t="shared" si="112"/>
        <v>48</v>
      </c>
      <c r="D1826" s="73"/>
      <c r="E1826" s="100"/>
      <c r="F1826" s="101"/>
      <c r="G1826" s="96">
        <f t="shared" si="113"/>
        <v>48</v>
      </c>
      <c r="I1826" s="96"/>
      <c r="K1826" t="str">
        <f t="shared" si="114"/>
        <v>48</v>
      </c>
      <c r="M1826" s="72"/>
      <c r="O1826" s="96">
        <f t="shared" si="115"/>
        <v>48</v>
      </c>
      <c r="Q1826" s="96"/>
      <c r="T1826" s="110"/>
    </row>
    <row r="1827" spans="3:20" x14ac:dyDescent="0.2">
      <c r="C1827" s="96" t="str">
        <f t="shared" si="112"/>
        <v>49</v>
      </c>
      <c r="D1827" s="73"/>
      <c r="E1827" s="100"/>
      <c r="F1827" s="101"/>
      <c r="G1827" s="96">
        <f t="shared" si="113"/>
        <v>49</v>
      </c>
      <c r="I1827" s="96"/>
      <c r="K1827" t="str">
        <f t="shared" si="114"/>
        <v>49</v>
      </c>
      <c r="M1827" s="72"/>
      <c r="O1827" s="96">
        <f t="shared" si="115"/>
        <v>49</v>
      </c>
      <c r="Q1827" s="96"/>
      <c r="T1827" s="110"/>
    </row>
    <row r="1828" spans="3:20" x14ac:dyDescent="0.2">
      <c r="C1828" s="96" t="str">
        <f t="shared" si="112"/>
        <v>50</v>
      </c>
      <c r="D1828" s="73"/>
      <c r="E1828" s="100"/>
      <c r="F1828" s="101"/>
      <c r="G1828" s="96">
        <f t="shared" si="113"/>
        <v>50</v>
      </c>
      <c r="I1828" s="96"/>
      <c r="K1828" t="str">
        <f t="shared" si="114"/>
        <v>50</v>
      </c>
      <c r="M1828" s="72"/>
      <c r="O1828" s="96">
        <f t="shared" si="115"/>
        <v>50</v>
      </c>
      <c r="Q1828" s="96"/>
      <c r="T1828" s="110"/>
    </row>
    <row r="1829" spans="3:20" x14ac:dyDescent="0.2">
      <c r="C1829" s="96" t="str">
        <f t="shared" si="112"/>
        <v>51</v>
      </c>
      <c r="D1829" s="73"/>
      <c r="E1829" s="100"/>
      <c r="F1829" s="101"/>
      <c r="G1829" s="96">
        <f t="shared" si="113"/>
        <v>51</v>
      </c>
      <c r="I1829" s="96"/>
      <c r="K1829" t="str">
        <f t="shared" si="114"/>
        <v>51</v>
      </c>
      <c r="M1829" s="72"/>
      <c r="O1829" s="96">
        <f t="shared" si="115"/>
        <v>51</v>
      </c>
      <c r="Q1829" s="96"/>
      <c r="T1829" s="110"/>
    </row>
    <row r="1830" spans="3:20" x14ac:dyDescent="0.2">
      <c r="C1830" s="96" t="str">
        <f t="shared" si="112"/>
        <v>52</v>
      </c>
      <c r="D1830" s="73"/>
      <c r="E1830" s="100"/>
      <c r="F1830" s="101"/>
      <c r="G1830" s="96">
        <f t="shared" si="113"/>
        <v>52</v>
      </c>
      <c r="I1830" s="96"/>
      <c r="K1830" t="str">
        <f t="shared" si="114"/>
        <v>52</v>
      </c>
      <c r="M1830" s="72"/>
      <c r="O1830" s="96">
        <f t="shared" si="115"/>
        <v>52</v>
      </c>
      <c r="Q1830" s="96"/>
      <c r="T1830" s="110"/>
    </row>
    <row r="1831" spans="3:20" x14ac:dyDescent="0.2">
      <c r="C1831" s="96" t="str">
        <f t="shared" si="112"/>
        <v>53</v>
      </c>
      <c r="D1831" s="73"/>
      <c r="E1831" s="100"/>
      <c r="F1831" s="101"/>
      <c r="G1831" s="96">
        <f t="shared" si="113"/>
        <v>53</v>
      </c>
      <c r="I1831" s="96"/>
      <c r="K1831" t="str">
        <f t="shared" si="114"/>
        <v>53</v>
      </c>
      <c r="M1831" s="72"/>
      <c r="O1831" s="96">
        <f t="shared" si="115"/>
        <v>53</v>
      </c>
      <c r="Q1831" s="96"/>
      <c r="T1831" s="110"/>
    </row>
    <row r="1832" spans="3:20" x14ac:dyDescent="0.2">
      <c r="C1832" s="96" t="str">
        <f t="shared" si="112"/>
        <v>54</v>
      </c>
      <c r="D1832" s="73"/>
      <c r="E1832" s="100"/>
      <c r="F1832" s="101"/>
      <c r="G1832" s="96">
        <f t="shared" si="113"/>
        <v>54</v>
      </c>
      <c r="I1832" s="96"/>
      <c r="K1832" t="str">
        <f t="shared" si="114"/>
        <v>54</v>
      </c>
      <c r="M1832" s="72"/>
      <c r="O1832" s="96">
        <f t="shared" si="115"/>
        <v>54</v>
      </c>
      <c r="Q1832" s="96"/>
      <c r="T1832" s="110"/>
    </row>
    <row r="1833" spans="3:20" x14ac:dyDescent="0.2">
      <c r="C1833" s="96" t="str">
        <f t="shared" si="112"/>
        <v>55</v>
      </c>
      <c r="D1833" s="73"/>
      <c r="E1833" s="100"/>
      <c r="F1833" s="101"/>
      <c r="G1833" s="96">
        <f t="shared" si="113"/>
        <v>55</v>
      </c>
      <c r="I1833" s="96"/>
      <c r="K1833" t="str">
        <f t="shared" si="114"/>
        <v>55</v>
      </c>
      <c r="M1833" s="72"/>
      <c r="O1833" s="96">
        <f t="shared" si="115"/>
        <v>55</v>
      </c>
      <c r="Q1833" s="96"/>
      <c r="T1833" s="110"/>
    </row>
    <row r="1834" spans="3:20" x14ac:dyDescent="0.2">
      <c r="C1834" s="96" t="str">
        <f t="shared" si="112"/>
        <v>56</v>
      </c>
      <c r="D1834" s="73"/>
      <c r="E1834" s="100"/>
      <c r="F1834" s="101"/>
      <c r="G1834" s="96">
        <f t="shared" si="113"/>
        <v>56</v>
      </c>
      <c r="I1834" s="96"/>
      <c r="K1834" t="str">
        <f t="shared" si="114"/>
        <v>56</v>
      </c>
      <c r="M1834" s="72"/>
      <c r="O1834" s="96">
        <f t="shared" si="115"/>
        <v>56</v>
      </c>
      <c r="Q1834" s="96"/>
      <c r="T1834" s="110"/>
    </row>
    <row r="1835" spans="3:20" x14ac:dyDescent="0.2">
      <c r="C1835" s="96" t="str">
        <f t="shared" si="112"/>
        <v>57</v>
      </c>
      <c r="D1835" s="73"/>
      <c r="E1835" s="100"/>
      <c r="F1835" s="101"/>
      <c r="G1835" s="96">
        <f t="shared" si="113"/>
        <v>57</v>
      </c>
      <c r="I1835" s="96"/>
      <c r="K1835" t="str">
        <f t="shared" si="114"/>
        <v>57</v>
      </c>
      <c r="M1835" s="72"/>
      <c r="O1835" s="96">
        <f t="shared" si="115"/>
        <v>57</v>
      </c>
      <c r="Q1835" s="96"/>
      <c r="T1835" s="110"/>
    </row>
    <row r="1836" spans="3:20" x14ac:dyDescent="0.2">
      <c r="C1836" s="96" t="str">
        <f t="shared" si="112"/>
        <v>58</v>
      </c>
      <c r="D1836" s="73"/>
      <c r="E1836" s="100"/>
      <c r="F1836" s="101"/>
      <c r="G1836" s="96">
        <f t="shared" si="113"/>
        <v>58</v>
      </c>
      <c r="I1836" s="96"/>
      <c r="K1836" t="str">
        <f t="shared" si="114"/>
        <v>58</v>
      </c>
      <c r="M1836" s="72"/>
      <c r="O1836" s="96">
        <f t="shared" si="115"/>
        <v>58</v>
      </c>
      <c r="Q1836" s="96"/>
      <c r="T1836" s="110"/>
    </row>
    <row r="1837" spans="3:20" x14ac:dyDescent="0.2">
      <c r="C1837" s="96" t="str">
        <f t="shared" si="112"/>
        <v>59</v>
      </c>
      <c r="D1837" s="73"/>
      <c r="E1837" s="100"/>
      <c r="F1837" s="101"/>
      <c r="G1837" s="96">
        <f t="shared" si="113"/>
        <v>59</v>
      </c>
      <c r="I1837" s="96"/>
      <c r="K1837" t="str">
        <f t="shared" si="114"/>
        <v>59</v>
      </c>
      <c r="M1837" s="72"/>
      <c r="O1837" s="96">
        <f t="shared" si="115"/>
        <v>59</v>
      </c>
      <c r="Q1837" s="96"/>
      <c r="T1837" s="110"/>
    </row>
    <row r="1838" spans="3:20" x14ac:dyDescent="0.2">
      <c r="C1838" s="96" t="str">
        <f t="shared" si="112"/>
        <v>60</v>
      </c>
      <c r="D1838" s="73"/>
      <c r="E1838" s="100"/>
      <c r="F1838" s="101"/>
      <c r="G1838" s="96">
        <f t="shared" si="113"/>
        <v>60</v>
      </c>
      <c r="I1838" s="96"/>
      <c r="K1838" t="str">
        <f t="shared" si="114"/>
        <v>60</v>
      </c>
      <c r="M1838" s="72"/>
      <c r="O1838" s="96">
        <f t="shared" si="115"/>
        <v>60</v>
      </c>
      <c r="Q1838" s="96"/>
      <c r="T1838" s="110"/>
    </row>
    <row r="1839" spans="3:20" x14ac:dyDescent="0.2">
      <c r="C1839" s="96" t="str">
        <f t="shared" si="112"/>
        <v>61</v>
      </c>
      <c r="D1839" s="73"/>
      <c r="E1839" s="100"/>
      <c r="F1839" s="101"/>
      <c r="G1839" s="96">
        <f t="shared" si="113"/>
        <v>61</v>
      </c>
      <c r="I1839" s="96"/>
      <c r="K1839" t="str">
        <f t="shared" si="114"/>
        <v>61</v>
      </c>
      <c r="M1839" s="72"/>
      <c r="O1839" s="96">
        <f t="shared" si="115"/>
        <v>61</v>
      </c>
      <c r="Q1839" s="96"/>
      <c r="T1839" s="110"/>
    </row>
    <row r="1840" spans="3:20" x14ac:dyDescent="0.2">
      <c r="C1840" s="96" t="str">
        <f t="shared" si="112"/>
        <v>62</v>
      </c>
      <c r="D1840" s="73"/>
      <c r="E1840" s="100"/>
      <c r="F1840" s="101"/>
      <c r="G1840" s="96">
        <f t="shared" si="113"/>
        <v>62</v>
      </c>
      <c r="I1840" s="96"/>
      <c r="K1840" t="str">
        <f t="shared" si="114"/>
        <v>62</v>
      </c>
      <c r="M1840" s="72"/>
      <c r="O1840" s="96">
        <f t="shared" si="115"/>
        <v>62</v>
      </c>
      <c r="Q1840" s="96"/>
      <c r="T1840" s="110"/>
    </row>
    <row r="1841" spans="3:20" x14ac:dyDescent="0.2">
      <c r="C1841" s="96" t="str">
        <f t="shared" si="112"/>
        <v>63</v>
      </c>
      <c r="D1841" s="73"/>
      <c r="E1841" s="100"/>
      <c r="F1841" s="101"/>
      <c r="G1841" s="96">
        <f t="shared" si="113"/>
        <v>63</v>
      </c>
      <c r="I1841" s="96"/>
      <c r="K1841" t="str">
        <f t="shared" si="114"/>
        <v>63</v>
      </c>
      <c r="M1841" s="72"/>
      <c r="O1841" s="96">
        <f t="shared" si="115"/>
        <v>63</v>
      </c>
      <c r="Q1841" s="96"/>
      <c r="T1841" s="110"/>
    </row>
    <row r="1842" spans="3:20" x14ac:dyDescent="0.2">
      <c r="C1842" s="96" t="str">
        <f t="shared" si="112"/>
        <v>64</v>
      </c>
      <c r="D1842" s="73"/>
      <c r="E1842" s="100"/>
      <c r="F1842" s="101"/>
      <c r="G1842" s="96">
        <f t="shared" si="113"/>
        <v>64</v>
      </c>
      <c r="I1842" s="96"/>
      <c r="K1842" t="str">
        <f t="shared" si="114"/>
        <v>64</v>
      </c>
      <c r="M1842" s="72"/>
      <c r="O1842" s="96">
        <f t="shared" si="115"/>
        <v>64</v>
      </c>
      <c r="Q1842" s="96"/>
      <c r="T1842" s="110"/>
    </row>
    <row r="1843" spans="3:20" x14ac:dyDescent="0.2">
      <c r="C1843" s="96" t="str">
        <f t="shared" si="112"/>
        <v>65</v>
      </c>
      <c r="D1843" s="73"/>
      <c r="E1843" s="100"/>
      <c r="F1843" s="101"/>
      <c r="G1843" s="96">
        <f t="shared" si="113"/>
        <v>65</v>
      </c>
      <c r="I1843" s="96"/>
      <c r="K1843" t="str">
        <f t="shared" si="114"/>
        <v>65</v>
      </c>
      <c r="M1843" s="72"/>
      <c r="O1843" s="96">
        <f t="shared" si="115"/>
        <v>65</v>
      </c>
      <c r="Q1843" s="96"/>
      <c r="T1843" s="110"/>
    </row>
    <row r="1844" spans="3:20" x14ac:dyDescent="0.2">
      <c r="C1844" s="96" t="str">
        <f t="shared" si="112"/>
        <v>66</v>
      </c>
      <c r="D1844" s="73"/>
      <c r="E1844" s="100"/>
      <c r="F1844" s="101"/>
      <c r="G1844" s="96">
        <f t="shared" si="113"/>
        <v>66</v>
      </c>
      <c r="I1844" s="96"/>
      <c r="K1844" t="str">
        <f t="shared" si="114"/>
        <v>66</v>
      </c>
      <c r="M1844" s="72"/>
      <c r="O1844" s="96">
        <f t="shared" si="115"/>
        <v>66</v>
      </c>
      <c r="Q1844" s="96"/>
      <c r="T1844" s="110"/>
    </row>
    <row r="1845" spans="3:20" x14ac:dyDescent="0.2">
      <c r="C1845" s="96" t="str">
        <f t="shared" si="112"/>
        <v>67</v>
      </c>
      <c r="D1845" s="73"/>
      <c r="E1845" s="100"/>
      <c r="F1845" s="101"/>
      <c r="G1845" s="96">
        <f t="shared" si="113"/>
        <v>67</v>
      </c>
      <c r="I1845" s="96"/>
      <c r="K1845" t="str">
        <f t="shared" si="114"/>
        <v>67</v>
      </c>
      <c r="M1845" s="72"/>
      <c r="O1845" s="96">
        <f t="shared" si="115"/>
        <v>67</v>
      </c>
      <c r="Q1845" s="96"/>
      <c r="T1845" s="110"/>
    </row>
    <row r="1846" spans="3:20" x14ac:dyDescent="0.2">
      <c r="C1846" s="96" t="str">
        <f t="shared" si="112"/>
        <v>68</v>
      </c>
      <c r="D1846" s="73"/>
      <c r="E1846" s="100"/>
      <c r="F1846" s="101"/>
      <c r="G1846" s="96">
        <f t="shared" si="113"/>
        <v>68</v>
      </c>
      <c r="I1846" s="96"/>
      <c r="K1846" t="str">
        <f t="shared" si="114"/>
        <v>68</v>
      </c>
      <c r="M1846" s="72"/>
      <c r="O1846" s="96">
        <f t="shared" si="115"/>
        <v>68</v>
      </c>
      <c r="Q1846" s="96"/>
      <c r="T1846" s="110"/>
    </row>
    <row r="1847" spans="3:20" x14ac:dyDescent="0.2">
      <c r="C1847" s="96" t="str">
        <f t="shared" si="112"/>
        <v>69</v>
      </c>
      <c r="D1847" s="73"/>
      <c r="E1847" s="100"/>
      <c r="F1847" s="101"/>
      <c r="G1847" s="96">
        <f t="shared" si="113"/>
        <v>69</v>
      </c>
      <c r="I1847" s="96"/>
      <c r="K1847" t="str">
        <f t="shared" si="114"/>
        <v>69</v>
      </c>
      <c r="M1847" s="72"/>
      <c r="O1847" s="96">
        <f t="shared" si="115"/>
        <v>69</v>
      </c>
      <c r="Q1847" s="96"/>
      <c r="T1847" s="110"/>
    </row>
    <row r="1848" spans="3:20" x14ac:dyDescent="0.2">
      <c r="C1848" s="96" t="str">
        <f t="shared" si="112"/>
        <v>70</v>
      </c>
      <c r="D1848" s="73"/>
      <c r="E1848" s="100"/>
      <c r="F1848" s="101"/>
      <c r="G1848" s="96">
        <f t="shared" si="113"/>
        <v>70</v>
      </c>
      <c r="I1848" s="96"/>
      <c r="K1848" t="str">
        <f t="shared" si="114"/>
        <v>70</v>
      </c>
      <c r="M1848" s="72"/>
      <c r="O1848" s="96">
        <f t="shared" si="115"/>
        <v>70</v>
      </c>
      <c r="Q1848" s="96"/>
      <c r="T1848" s="110"/>
    </row>
    <row r="1849" spans="3:20" x14ac:dyDescent="0.2">
      <c r="C1849" s="96" t="str">
        <f t="shared" si="112"/>
        <v>71</v>
      </c>
      <c r="D1849" s="73"/>
      <c r="E1849" s="100"/>
      <c r="F1849" s="101"/>
      <c r="G1849" s="96">
        <f t="shared" si="113"/>
        <v>71</v>
      </c>
      <c r="I1849" s="96"/>
      <c r="K1849" t="str">
        <f t="shared" si="114"/>
        <v>71</v>
      </c>
      <c r="M1849" s="72"/>
      <c r="O1849" s="96">
        <f t="shared" si="115"/>
        <v>71</v>
      </c>
      <c r="Q1849" s="96"/>
      <c r="T1849" s="110"/>
    </row>
    <row r="1850" spans="3:20" x14ac:dyDescent="0.2">
      <c r="C1850" s="96" t="str">
        <f t="shared" si="112"/>
        <v>72</v>
      </c>
      <c r="D1850" s="73"/>
      <c r="E1850" s="100"/>
      <c r="F1850" s="101"/>
      <c r="G1850" s="96">
        <f t="shared" si="113"/>
        <v>72</v>
      </c>
      <c r="I1850" s="96"/>
      <c r="K1850" t="str">
        <f t="shared" si="114"/>
        <v>72</v>
      </c>
      <c r="M1850" s="72"/>
      <c r="O1850" s="96">
        <f t="shared" si="115"/>
        <v>72</v>
      </c>
      <c r="Q1850" s="96"/>
      <c r="T1850" s="110"/>
    </row>
    <row r="1851" spans="3:20" x14ac:dyDescent="0.2">
      <c r="C1851" s="96" t="str">
        <f t="shared" si="112"/>
        <v>73</v>
      </c>
      <c r="D1851" s="73"/>
      <c r="E1851" s="100"/>
      <c r="F1851" s="101"/>
      <c r="G1851" s="96">
        <f t="shared" si="113"/>
        <v>73</v>
      </c>
      <c r="I1851" s="96"/>
      <c r="K1851" t="str">
        <f t="shared" si="114"/>
        <v>73</v>
      </c>
      <c r="M1851" s="72"/>
      <c r="O1851" s="96">
        <f t="shared" si="115"/>
        <v>73</v>
      </c>
      <c r="Q1851" s="96"/>
      <c r="T1851" s="110"/>
    </row>
    <row r="1852" spans="3:20" x14ac:dyDescent="0.2">
      <c r="C1852" s="96" t="str">
        <f t="shared" si="112"/>
        <v>74</v>
      </c>
      <c r="D1852" s="73"/>
      <c r="E1852" s="100"/>
      <c r="F1852" s="101"/>
      <c r="G1852" s="96">
        <f t="shared" si="113"/>
        <v>74</v>
      </c>
      <c r="I1852" s="96"/>
      <c r="K1852" t="str">
        <f t="shared" si="114"/>
        <v>74</v>
      </c>
      <c r="M1852" s="72"/>
      <c r="O1852" s="96">
        <f t="shared" si="115"/>
        <v>74</v>
      </c>
      <c r="Q1852" s="96"/>
      <c r="T1852" s="110"/>
    </row>
    <row r="1853" spans="3:20" x14ac:dyDescent="0.2">
      <c r="C1853" s="96" t="str">
        <f t="shared" si="112"/>
        <v>75</v>
      </c>
      <c r="D1853" s="73"/>
      <c r="E1853" s="100"/>
      <c r="F1853" s="101"/>
      <c r="G1853" s="96">
        <f t="shared" si="113"/>
        <v>75</v>
      </c>
      <c r="I1853" s="96"/>
      <c r="K1853" t="str">
        <f t="shared" si="114"/>
        <v>75</v>
      </c>
      <c r="M1853" s="72"/>
      <c r="O1853" s="96">
        <f t="shared" si="115"/>
        <v>75</v>
      </c>
      <c r="Q1853" s="96"/>
      <c r="T1853" s="110"/>
    </row>
    <row r="1854" spans="3:20" x14ac:dyDescent="0.2">
      <c r="C1854" s="96" t="str">
        <f t="shared" si="112"/>
        <v>76</v>
      </c>
      <c r="D1854" s="73"/>
      <c r="E1854" s="100"/>
      <c r="F1854" s="101"/>
      <c r="G1854" s="96">
        <f t="shared" si="113"/>
        <v>76</v>
      </c>
      <c r="I1854" s="96"/>
      <c r="K1854" t="str">
        <f t="shared" si="114"/>
        <v>76</v>
      </c>
      <c r="M1854" s="72"/>
      <c r="O1854" s="96">
        <f t="shared" si="115"/>
        <v>76</v>
      </c>
      <c r="Q1854" s="96"/>
      <c r="T1854" s="110"/>
    </row>
    <row r="1855" spans="3:20" x14ac:dyDescent="0.2">
      <c r="C1855" s="96" t="str">
        <f t="shared" si="112"/>
        <v>77</v>
      </c>
      <c r="D1855" s="73"/>
      <c r="E1855" s="100"/>
      <c r="F1855" s="101"/>
      <c r="G1855" s="96">
        <f t="shared" si="113"/>
        <v>77</v>
      </c>
      <c r="I1855" s="96"/>
      <c r="K1855" t="str">
        <f t="shared" si="114"/>
        <v>77</v>
      </c>
      <c r="M1855" s="72"/>
      <c r="O1855" s="96">
        <f t="shared" si="115"/>
        <v>77</v>
      </c>
      <c r="Q1855" s="96"/>
      <c r="T1855" s="110"/>
    </row>
    <row r="1856" spans="3:20" x14ac:dyDescent="0.2">
      <c r="C1856" s="96" t="str">
        <f t="shared" si="112"/>
        <v>78</v>
      </c>
      <c r="D1856" s="73"/>
      <c r="E1856" s="100"/>
      <c r="F1856" s="101"/>
      <c r="G1856" s="96">
        <f t="shared" si="113"/>
        <v>78</v>
      </c>
      <c r="I1856" s="96"/>
      <c r="K1856" t="str">
        <f t="shared" si="114"/>
        <v>78</v>
      </c>
      <c r="M1856" s="72"/>
      <c r="O1856" s="96">
        <f t="shared" si="115"/>
        <v>78</v>
      </c>
      <c r="Q1856" s="96"/>
      <c r="T1856" s="110"/>
    </row>
    <row r="1857" spans="3:20" x14ac:dyDescent="0.2">
      <c r="C1857" s="96" t="str">
        <f t="shared" si="112"/>
        <v>79</v>
      </c>
      <c r="D1857" s="73"/>
      <c r="E1857" s="100"/>
      <c r="F1857" s="101"/>
      <c r="G1857" s="96">
        <f t="shared" si="113"/>
        <v>79</v>
      </c>
      <c r="I1857" s="96"/>
      <c r="K1857" t="str">
        <f t="shared" si="114"/>
        <v>79</v>
      </c>
      <c r="M1857" s="72"/>
      <c r="O1857" s="96">
        <f t="shared" si="115"/>
        <v>79</v>
      </c>
      <c r="Q1857" s="96"/>
      <c r="T1857" s="110"/>
    </row>
    <row r="1858" spans="3:20" x14ac:dyDescent="0.2">
      <c r="C1858" s="96" t="str">
        <f t="shared" si="112"/>
        <v>80</v>
      </c>
      <c r="D1858" s="73"/>
      <c r="E1858" s="100"/>
      <c r="F1858" s="101"/>
      <c r="G1858" s="96">
        <f t="shared" si="113"/>
        <v>80</v>
      </c>
      <c r="I1858" s="96"/>
      <c r="K1858" t="str">
        <f t="shared" si="114"/>
        <v>80</v>
      </c>
      <c r="M1858" s="72"/>
      <c r="O1858" s="96">
        <f t="shared" si="115"/>
        <v>80</v>
      </c>
      <c r="Q1858" s="96"/>
      <c r="T1858" s="110"/>
    </row>
    <row r="1859" spans="3:20" x14ac:dyDescent="0.2">
      <c r="C1859" s="96" t="str">
        <f t="shared" ref="C1859:C1922" si="116">D1859&amp;G1859</f>
        <v>81</v>
      </c>
      <c r="D1859" s="73"/>
      <c r="E1859" s="100"/>
      <c r="F1859" s="101"/>
      <c r="G1859" s="96">
        <f t="shared" ref="G1859:G1922" si="117">IF(D1859&lt;&gt;D1858,1,G1858+1)</f>
        <v>81</v>
      </c>
      <c r="I1859" s="96"/>
      <c r="K1859" t="str">
        <f t="shared" ref="K1859:K1922" si="118">L1859&amp;O1859</f>
        <v>81</v>
      </c>
      <c r="M1859" s="72"/>
      <c r="O1859" s="96">
        <f t="shared" ref="O1859:O1922" si="119">IF(L1859&lt;&gt;L1858,1,O1858+1)</f>
        <v>81</v>
      </c>
      <c r="Q1859" s="96"/>
      <c r="T1859" s="110"/>
    </row>
    <row r="1860" spans="3:20" x14ac:dyDescent="0.2">
      <c r="C1860" s="96" t="str">
        <f t="shared" si="116"/>
        <v>82</v>
      </c>
      <c r="D1860" s="73"/>
      <c r="E1860" s="100"/>
      <c r="F1860" s="101"/>
      <c r="G1860" s="96">
        <f t="shared" si="117"/>
        <v>82</v>
      </c>
      <c r="I1860" s="96"/>
      <c r="K1860" t="str">
        <f t="shared" si="118"/>
        <v>82</v>
      </c>
      <c r="M1860" s="72"/>
      <c r="O1860" s="96">
        <f t="shared" si="119"/>
        <v>82</v>
      </c>
      <c r="Q1860" s="96"/>
      <c r="T1860" s="110"/>
    </row>
    <row r="1861" spans="3:20" x14ac:dyDescent="0.2">
      <c r="C1861" s="96" t="str">
        <f t="shared" si="116"/>
        <v>83</v>
      </c>
      <c r="D1861" s="73"/>
      <c r="E1861" s="100"/>
      <c r="F1861" s="101"/>
      <c r="G1861" s="96">
        <f t="shared" si="117"/>
        <v>83</v>
      </c>
      <c r="I1861" s="96"/>
      <c r="K1861" t="str">
        <f t="shared" si="118"/>
        <v>83</v>
      </c>
      <c r="M1861" s="72"/>
      <c r="O1861" s="96">
        <f t="shared" si="119"/>
        <v>83</v>
      </c>
      <c r="Q1861" s="96"/>
      <c r="T1861" s="110"/>
    </row>
    <row r="1862" spans="3:20" x14ac:dyDescent="0.2">
      <c r="C1862" s="96" t="str">
        <f t="shared" si="116"/>
        <v>84</v>
      </c>
      <c r="D1862" s="73"/>
      <c r="E1862" s="100"/>
      <c r="F1862" s="101"/>
      <c r="G1862" s="96">
        <f t="shared" si="117"/>
        <v>84</v>
      </c>
      <c r="I1862" s="96"/>
      <c r="K1862" t="str">
        <f t="shared" si="118"/>
        <v>84</v>
      </c>
      <c r="M1862" s="72"/>
      <c r="O1862" s="96">
        <f t="shared" si="119"/>
        <v>84</v>
      </c>
      <c r="Q1862" s="96"/>
      <c r="T1862" s="110"/>
    </row>
    <row r="1863" spans="3:20" x14ac:dyDescent="0.2">
      <c r="C1863" s="96" t="str">
        <f t="shared" si="116"/>
        <v>85</v>
      </c>
      <c r="D1863" s="73"/>
      <c r="E1863" s="100"/>
      <c r="F1863" s="101"/>
      <c r="G1863" s="96">
        <f t="shared" si="117"/>
        <v>85</v>
      </c>
      <c r="I1863" s="96"/>
      <c r="K1863" t="str">
        <f t="shared" si="118"/>
        <v>85</v>
      </c>
      <c r="M1863" s="72"/>
      <c r="O1863" s="96">
        <f t="shared" si="119"/>
        <v>85</v>
      </c>
      <c r="Q1863" s="96"/>
      <c r="T1863" s="110"/>
    </row>
    <row r="1864" spans="3:20" x14ac:dyDescent="0.2">
      <c r="C1864" s="96" t="str">
        <f t="shared" si="116"/>
        <v>86</v>
      </c>
      <c r="D1864" s="73"/>
      <c r="E1864" s="100"/>
      <c r="F1864" s="101"/>
      <c r="G1864" s="96">
        <f t="shared" si="117"/>
        <v>86</v>
      </c>
      <c r="I1864" s="96"/>
      <c r="K1864" t="str">
        <f t="shared" si="118"/>
        <v>86</v>
      </c>
      <c r="M1864" s="72"/>
      <c r="O1864" s="96">
        <f t="shared" si="119"/>
        <v>86</v>
      </c>
      <c r="Q1864" s="96"/>
      <c r="T1864" s="110"/>
    </row>
    <row r="1865" spans="3:20" x14ac:dyDescent="0.2">
      <c r="C1865" s="96" t="str">
        <f t="shared" si="116"/>
        <v>87</v>
      </c>
      <c r="D1865" s="73"/>
      <c r="E1865" s="100"/>
      <c r="F1865" s="101"/>
      <c r="G1865" s="96">
        <f t="shared" si="117"/>
        <v>87</v>
      </c>
      <c r="I1865" s="96"/>
      <c r="K1865" t="str">
        <f t="shared" si="118"/>
        <v>87</v>
      </c>
      <c r="M1865" s="72"/>
      <c r="O1865" s="96">
        <f t="shared" si="119"/>
        <v>87</v>
      </c>
      <c r="Q1865" s="96"/>
      <c r="T1865" s="110"/>
    </row>
    <row r="1866" spans="3:20" x14ac:dyDescent="0.2">
      <c r="C1866" s="96" t="str">
        <f t="shared" si="116"/>
        <v>88</v>
      </c>
      <c r="D1866" s="73"/>
      <c r="E1866" s="100"/>
      <c r="F1866" s="101"/>
      <c r="G1866" s="96">
        <f t="shared" si="117"/>
        <v>88</v>
      </c>
      <c r="I1866" s="96"/>
      <c r="K1866" t="str">
        <f t="shared" si="118"/>
        <v>88</v>
      </c>
      <c r="M1866" s="72"/>
      <c r="O1866" s="96">
        <f t="shared" si="119"/>
        <v>88</v>
      </c>
      <c r="Q1866" s="96"/>
      <c r="T1866" s="110"/>
    </row>
    <row r="1867" spans="3:20" x14ac:dyDescent="0.2">
      <c r="C1867" s="96" t="str">
        <f t="shared" si="116"/>
        <v>89</v>
      </c>
      <c r="D1867" s="73"/>
      <c r="E1867" s="100"/>
      <c r="F1867" s="101"/>
      <c r="G1867" s="96">
        <f t="shared" si="117"/>
        <v>89</v>
      </c>
      <c r="I1867" s="96"/>
      <c r="K1867" t="str">
        <f t="shared" si="118"/>
        <v>89</v>
      </c>
      <c r="M1867" s="72"/>
      <c r="O1867" s="96">
        <f t="shared" si="119"/>
        <v>89</v>
      </c>
      <c r="Q1867" s="96"/>
      <c r="T1867" s="110"/>
    </row>
    <row r="1868" spans="3:20" x14ac:dyDescent="0.2">
      <c r="C1868" s="96" t="str">
        <f t="shared" si="116"/>
        <v>90</v>
      </c>
      <c r="D1868" s="73"/>
      <c r="E1868" s="100"/>
      <c r="F1868" s="101"/>
      <c r="G1868" s="96">
        <f t="shared" si="117"/>
        <v>90</v>
      </c>
      <c r="I1868" s="96"/>
      <c r="K1868" t="str">
        <f t="shared" si="118"/>
        <v>90</v>
      </c>
      <c r="M1868" s="72"/>
      <c r="O1868" s="96">
        <f t="shared" si="119"/>
        <v>90</v>
      </c>
      <c r="Q1868" s="96"/>
      <c r="T1868" s="110"/>
    </row>
    <row r="1869" spans="3:20" x14ac:dyDescent="0.2">
      <c r="C1869" s="96" t="str">
        <f t="shared" si="116"/>
        <v>91</v>
      </c>
      <c r="D1869" s="73"/>
      <c r="E1869" s="100"/>
      <c r="F1869" s="101"/>
      <c r="G1869" s="96">
        <f t="shared" si="117"/>
        <v>91</v>
      </c>
      <c r="I1869" s="96"/>
      <c r="K1869" t="str">
        <f t="shared" si="118"/>
        <v>91</v>
      </c>
      <c r="M1869" s="72"/>
      <c r="O1869" s="96">
        <f t="shared" si="119"/>
        <v>91</v>
      </c>
      <c r="Q1869" s="96"/>
      <c r="T1869" s="110"/>
    </row>
    <row r="1870" spans="3:20" x14ac:dyDescent="0.2">
      <c r="C1870" s="96" t="str">
        <f t="shared" si="116"/>
        <v>92</v>
      </c>
      <c r="D1870" s="73"/>
      <c r="E1870" s="100"/>
      <c r="F1870" s="101"/>
      <c r="G1870" s="96">
        <f t="shared" si="117"/>
        <v>92</v>
      </c>
      <c r="I1870" s="96"/>
      <c r="K1870" t="str">
        <f t="shared" si="118"/>
        <v>92</v>
      </c>
      <c r="M1870" s="72"/>
      <c r="O1870" s="96">
        <f t="shared" si="119"/>
        <v>92</v>
      </c>
      <c r="Q1870" s="96"/>
      <c r="T1870" s="110"/>
    </row>
    <row r="1871" spans="3:20" x14ac:dyDescent="0.2">
      <c r="C1871" s="96" t="str">
        <f t="shared" si="116"/>
        <v>93</v>
      </c>
      <c r="D1871" s="73"/>
      <c r="E1871" s="100"/>
      <c r="F1871" s="101"/>
      <c r="G1871" s="96">
        <f t="shared" si="117"/>
        <v>93</v>
      </c>
      <c r="I1871" s="96"/>
      <c r="K1871" t="str">
        <f t="shared" si="118"/>
        <v>93</v>
      </c>
      <c r="M1871" s="72"/>
      <c r="O1871" s="96">
        <f t="shared" si="119"/>
        <v>93</v>
      </c>
      <c r="Q1871" s="96"/>
      <c r="T1871" s="110"/>
    </row>
    <row r="1872" spans="3:20" x14ac:dyDescent="0.2">
      <c r="C1872" s="96" t="str">
        <f t="shared" si="116"/>
        <v>94</v>
      </c>
      <c r="D1872" s="73"/>
      <c r="E1872" s="100"/>
      <c r="F1872" s="101"/>
      <c r="G1872" s="96">
        <f t="shared" si="117"/>
        <v>94</v>
      </c>
      <c r="I1872" s="96"/>
      <c r="K1872" t="str">
        <f t="shared" si="118"/>
        <v>94</v>
      </c>
      <c r="M1872" s="72"/>
      <c r="O1872" s="96">
        <f t="shared" si="119"/>
        <v>94</v>
      </c>
      <c r="Q1872" s="96"/>
      <c r="T1872" s="110"/>
    </row>
    <row r="1873" spans="3:20" x14ac:dyDescent="0.2">
      <c r="C1873" s="96" t="str">
        <f t="shared" si="116"/>
        <v>95</v>
      </c>
      <c r="D1873" s="73"/>
      <c r="E1873" s="100"/>
      <c r="F1873" s="101"/>
      <c r="G1873" s="96">
        <f t="shared" si="117"/>
        <v>95</v>
      </c>
      <c r="I1873" s="96"/>
      <c r="K1873" t="str">
        <f t="shared" si="118"/>
        <v>95</v>
      </c>
      <c r="M1873" s="72"/>
      <c r="O1873" s="96">
        <f t="shared" si="119"/>
        <v>95</v>
      </c>
      <c r="Q1873" s="96"/>
      <c r="T1873" s="110"/>
    </row>
    <row r="1874" spans="3:20" x14ac:dyDescent="0.2">
      <c r="C1874" s="96" t="str">
        <f t="shared" si="116"/>
        <v>96</v>
      </c>
      <c r="D1874" s="73"/>
      <c r="E1874" s="100"/>
      <c r="F1874" s="101"/>
      <c r="G1874" s="96">
        <f t="shared" si="117"/>
        <v>96</v>
      </c>
      <c r="I1874" s="96"/>
      <c r="K1874" t="str">
        <f t="shared" si="118"/>
        <v>96</v>
      </c>
      <c r="M1874" s="72"/>
      <c r="O1874" s="96">
        <f t="shared" si="119"/>
        <v>96</v>
      </c>
      <c r="Q1874" s="96"/>
      <c r="T1874" s="110"/>
    </row>
    <row r="1875" spans="3:20" x14ac:dyDescent="0.2">
      <c r="C1875" s="96" t="str">
        <f t="shared" si="116"/>
        <v>97</v>
      </c>
      <c r="D1875" s="73"/>
      <c r="E1875" s="100"/>
      <c r="F1875" s="101"/>
      <c r="G1875" s="96">
        <f t="shared" si="117"/>
        <v>97</v>
      </c>
      <c r="I1875" s="96"/>
      <c r="K1875" t="str">
        <f t="shared" si="118"/>
        <v>97</v>
      </c>
      <c r="M1875" s="72"/>
      <c r="O1875" s="96">
        <f t="shared" si="119"/>
        <v>97</v>
      </c>
      <c r="Q1875" s="96"/>
      <c r="T1875" s="110"/>
    </row>
    <row r="1876" spans="3:20" x14ac:dyDescent="0.2">
      <c r="C1876" s="96" t="str">
        <f t="shared" si="116"/>
        <v>98</v>
      </c>
      <c r="D1876" s="73"/>
      <c r="E1876" s="100"/>
      <c r="F1876" s="101"/>
      <c r="G1876" s="96">
        <f t="shared" si="117"/>
        <v>98</v>
      </c>
      <c r="I1876" s="96"/>
      <c r="K1876" t="str">
        <f t="shared" si="118"/>
        <v>98</v>
      </c>
      <c r="M1876" s="72"/>
      <c r="O1876" s="96">
        <f t="shared" si="119"/>
        <v>98</v>
      </c>
      <c r="Q1876" s="96"/>
      <c r="T1876" s="110"/>
    </row>
    <row r="1877" spans="3:20" x14ac:dyDescent="0.2">
      <c r="C1877" s="96" t="str">
        <f t="shared" si="116"/>
        <v>99</v>
      </c>
      <c r="D1877" s="73"/>
      <c r="E1877" s="100"/>
      <c r="F1877" s="101"/>
      <c r="G1877" s="96">
        <f t="shared" si="117"/>
        <v>99</v>
      </c>
      <c r="I1877" s="96"/>
      <c r="K1877" t="str">
        <f t="shared" si="118"/>
        <v>99</v>
      </c>
      <c r="M1877" s="72"/>
      <c r="O1877" s="96">
        <f t="shared" si="119"/>
        <v>99</v>
      </c>
      <c r="Q1877" s="96"/>
      <c r="T1877" s="110"/>
    </row>
    <row r="1878" spans="3:20" x14ac:dyDescent="0.2">
      <c r="C1878" s="96" t="str">
        <f t="shared" si="116"/>
        <v>100</v>
      </c>
      <c r="D1878" s="73"/>
      <c r="E1878" s="100"/>
      <c r="F1878" s="101"/>
      <c r="G1878" s="96">
        <f t="shared" si="117"/>
        <v>100</v>
      </c>
      <c r="I1878" s="96"/>
      <c r="K1878" t="str">
        <f t="shared" si="118"/>
        <v>100</v>
      </c>
      <c r="M1878" s="72"/>
      <c r="O1878" s="96">
        <f t="shared" si="119"/>
        <v>100</v>
      </c>
      <c r="Q1878" s="96"/>
      <c r="T1878" s="110"/>
    </row>
    <row r="1879" spans="3:20" x14ac:dyDescent="0.2">
      <c r="C1879" s="96" t="str">
        <f t="shared" si="116"/>
        <v>101</v>
      </c>
      <c r="D1879" s="73"/>
      <c r="E1879" s="100"/>
      <c r="F1879" s="101"/>
      <c r="G1879" s="96">
        <f t="shared" si="117"/>
        <v>101</v>
      </c>
      <c r="I1879" s="96"/>
      <c r="K1879" t="str">
        <f t="shared" si="118"/>
        <v>101</v>
      </c>
      <c r="M1879" s="72"/>
      <c r="O1879" s="96">
        <f t="shared" si="119"/>
        <v>101</v>
      </c>
      <c r="Q1879" s="96"/>
      <c r="T1879" s="110"/>
    </row>
    <row r="1880" spans="3:20" x14ac:dyDescent="0.2">
      <c r="C1880" s="96" t="str">
        <f t="shared" si="116"/>
        <v>102</v>
      </c>
      <c r="D1880" s="73"/>
      <c r="E1880" s="100"/>
      <c r="F1880" s="101"/>
      <c r="G1880" s="96">
        <f t="shared" si="117"/>
        <v>102</v>
      </c>
      <c r="I1880" s="96"/>
      <c r="K1880" t="str">
        <f t="shared" si="118"/>
        <v>102</v>
      </c>
      <c r="M1880" s="72"/>
      <c r="O1880" s="96">
        <f t="shared" si="119"/>
        <v>102</v>
      </c>
      <c r="Q1880" s="96"/>
      <c r="T1880" s="110"/>
    </row>
    <row r="1881" spans="3:20" x14ac:dyDescent="0.2">
      <c r="C1881" s="96" t="str">
        <f t="shared" si="116"/>
        <v>103</v>
      </c>
      <c r="D1881" s="73"/>
      <c r="E1881" s="100"/>
      <c r="F1881" s="101"/>
      <c r="G1881" s="96">
        <f t="shared" si="117"/>
        <v>103</v>
      </c>
      <c r="I1881" s="96"/>
      <c r="K1881" t="str">
        <f t="shared" si="118"/>
        <v>103</v>
      </c>
      <c r="M1881" s="72"/>
      <c r="O1881" s="96">
        <f t="shared" si="119"/>
        <v>103</v>
      </c>
      <c r="Q1881" s="96"/>
      <c r="T1881" s="110"/>
    </row>
    <row r="1882" spans="3:20" x14ac:dyDescent="0.2">
      <c r="C1882" s="96" t="str">
        <f t="shared" si="116"/>
        <v>104</v>
      </c>
      <c r="D1882" s="73"/>
      <c r="E1882" s="100"/>
      <c r="F1882" s="101"/>
      <c r="G1882" s="96">
        <f t="shared" si="117"/>
        <v>104</v>
      </c>
      <c r="I1882" s="96"/>
      <c r="K1882" t="str">
        <f t="shared" si="118"/>
        <v>104</v>
      </c>
      <c r="M1882" s="72"/>
      <c r="O1882" s="96">
        <f t="shared" si="119"/>
        <v>104</v>
      </c>
      <c r="Q1882" s="96"/>
      <c r="T1882" s="110"/>
    </row>
    <row r="1883" spans="3:20" x14ac:dyDescent="0.2">
      <c r="C1883" s="96" t="str">
        <f t="shared" si="116"/>
        <v>105</v>
      </c>
      <c r="D1883" s="73"/>
      <c r="E1883" s="100"/>
      <c r="F1883" s="101"/>
      <c r="G1883" s="96">
        <f t="shared" si="117"/>
        <v>105</v>
      </c>
      <c r="I1883" s="96"/>
      <c r="K1883" t="str">
        <f t="shared" si="118"/>
        <v>105</v>
      </c>
      <c r="M1883" s="72"/>
      <c r="O1883" s="96">
        <f t="shared" si="119"/>
        <v>105</v>
      </c>
      <c r="Q1883" s="96"/>
      <c r="T1883" s="110"/>
    </row>
    <row r="1884" spans="3:20" x14ac:dyDescent="0.2">
      <c r="C1884" s="96" t="str">
        <f t="shared" si="116"/>
        <v>106</v>
      </c>
      <c r="D1884" s="73"/>
      <c r="E1884" s="100"/>
      <c r="F1884" s="101"/>
      <c r="G1884" s="96">
        <f t="shared" si="117"/>
        <v>106</v>
      </c>
      <c r="I1884" s="96"/>
      <c r="K1884" t="str">
        <f t="shared" si="118"/>
        <v>106</v>
      </c>
      <c r="M1884" s="72"/>
      <c r="O1884" s="96">
        <f t="shared" si="119"/>
        <v>106</v>
      </c>
      <c r="Q1884" s="96"/>
      <c r="T1884" s="110"/>
    </row>
    <row r="1885" spans="3:20" x14ac:dyDescent="0.2">
      <c r="C1885" s="96" t="str">
        <f t="shared" si="116"/>
        <v>107</v>
      </c>
      <c r="D1885" s="73"/>
      <c r="E1885" s="100"/>
      <c r="F1885" s="101"/>
      <c r="G1885" s="96">
        <f t="shared" si="117"/>
        <v>107</v>
      </c>
      <c r="I1885" s="96"/>
      <c r="K1885" t="str">
        <f t="shared" si="118"/>
        <v>107</v>
      </c>
      <c r="M1885" s="72"/>
      <c r="O1885" s="96">
        <f t="shared" si="119"/>
        <v>107</v>
      </c>
      <c r="Q1885" s="96"/>
      <c r="T1885" s="110"/>
    </row>
    <row r="1886" spans="3:20" x14ac:dyDescent="0.2">
      <c r="C1886" s="96" t="str">
        <f t="shared" si="116"/>
        <v>108</v>
      </c>
      <c r="D1886" s="73"/>
      <c r="E1886" s="100"/>
      <c r="F1886" s="101"/>
      <c r="G1886" s="96">
        <f t="shared" si="117"/>
        <v>108</v>
      </c>
      <c r="I1886" s="96"/>
      <c r="K1886" t="str">
        <f t="shared" si="118"/>
        <v>108</v>
      </c>
      <c r="M1886" s="72"/>
      <c r="O1886" s="96">
        <f t="shared" si="119"/>
        <v>108</v>
      </c>
      <c r="Q1886" s="96"/>
      <c r="T1886" s="110"/>
    </row>
    <row r="1887" spans="3:20" x14ac:dyDescent="0.2">
      <c r="C1887" s="96" t="str">
        <f t="shared" si="116"/>
        <v>109</v>
      </c>
      <c r="D1887" s="73"/>
      <c r="E1887" s="100"/>
      <c r="F1887" s="101"/>
      <c r="G1887" s="96">
        <f t="shared" si="117"/>
        <v>109</v>
      </c>
      <c r="I1887" s="96"/>
      <c r="K1887" t="str">
        <f t="shared" si="118"/>
        <v>109</v>
      </c>
      <c r="M1887" s="72"/>
      <c r="O1887" s="96">
        <f t="shared" si="119"/>
        <v>109</v>
      </c>
      <c r="Q1887" s="96"/>
      <c r="T1887" s="110"/>
    </row>
    <row r="1888" spans="3:20" x14ac:dyDescent="0.2">
      <c r="C1888" s="96" t="str">
        <f t="shared" si="116"/>
        <v>110</v>
      </c>
      <c r="D1888" s="73"/>
      <c r="E1888" s="100"/>
      <c r="F1888" s="101"/>
      <c r="G1888" s="96">
        <f t="shared" si="117"/>
        <v>110</v>
      </c>
      <c r="I1888" s="96"/>
      <c r="K1888" t="str">
        <f t="shared" si="118"/>
        <v>110</v>
      </c>
      <c r="M1888" s="72"/>
      <c r="O1888" s="96">
        <f t="shared" si="119"/>
        <v>110</v>
      </c>
      <c r="Q1888" s="96"/>
      <c r="T1888" s="110"/>
    </row>
    <row r="1889" spans="3:20" x14ac:dyDescent="0.2">
      <c r="C1889" s="96" t="str">
        <f t="shared" si="116"/>
        <v>111</v>
      </c>
      <c r="D1889" s="73"/>
      <c r="E1889" s="100"/>
      <c r="F1889" s="101"/>
      <c r="G1889" s="96">
        <f t="shared" si="117"/>
        <v>111</v>
      </c>
      <c r="I1889" s="96"/>
      <c r="K1889" t="str">
        <f t="shared" si="118"/>
        <v>111</v>
      </c>
      <c r="M1889" s="72"/>
      <c r="O1889" s="96">
        <f t="shared" si="119"/>
        <v>111</v>
      </c>
      <c r="Q1889" s="96"/>
      <c r="T1889" s="110"/>
    </row>
    <row r="1890" spans="3:20" x14ac:dyDescent="0.2">
      <c r="C1890" s="96" t="str">
        <f t="shared" si="116"/>
        <v>112</v>
      </c>
      <c r="D1890" s="73"/>
      <c r="E1890" s="100"/>
      <c r="F1890" s="101"/>
      <c r="G1890" s="96">
        <f t="shared" si="117"/>
        <v>112</v>
      </c>
      <c r="I1890" s="96"/>
      <c r="K1890" t="str">
        <f t="shared" si="118"/>
        <v>112</v>
      </c>
      <c r="M1890" s="72"/>
      <c r="O1890" s="96">
        <f t="shared" si="119"/>
        <v>112</v>
      </c>
      <c r="Q1890" s="96"/>
      <c r="T1890" s="110"/>
    </row>
    <row r="1891" spans="3:20" x14ac:dyDescent="0.2">
      <c r="C1891" s="96" t="str">
        <f t="shared" si="116"/>
        <v>113</v>
      </c>
      <c r="D1891" s="73"/>
      <c r="E1891" s="100"/>
      <c r="F1891" s="101"/>
      <c r="G1891" s="96">
        <f t="shared" si="117"/>
        <v>113</v>
      </c>
      <c r="I1891" s="96"/>
      <c r="K1891" t="str">
        <f t="shared" si="118"/>
        <v>113</v>
      </c>
      <c r="M1891" s="72"/>
      <c r="O1891" s="96">
        <f t="shared" si="119"/>
        <v>113</v>
      </c>
      <c r="Q1891" s="96"/>
      <c r="T1891" s="110"/>
    </row>
    <row r="1892" spans="3:20" x14ac:dyDescent="0.2">
      <c r="C1892" s="96" t="str">
        <f t="shared" si="116"/>
        <v>114</v>
      </c>
      <c r="D1892" s="73"/>
      <c r="E1892" s="100"/>
      <c r="F1892" s="101"/>
      <c r="G1892" s="96">
        <f t="shared" si="117"/>
        <v>114</v>
      </c>
      <c r="I1892" s="96"/>
      <c r="K1892" t="str">
        <f t="shared" si="118"/>
        <v>114</v>
      </c>
      <c r="M1892" s="72"/>
      <c r="O1892" s="96">
        <f t="shared" si="119"/>
        <v>114</v>
      </c>
      <c r="Q1892" s="96"/>
      <c r="T1892" s="110"/>
    </row>
    <row r="1893" spans="3:20" x14ac:dyDescent="0.2">
      <c r="C1893" s="96" t="str">
        <f t="shared" si="116"/>
        <v>115</v>
      </c>
      <c r="D1893" s="73"/>
      <c r="E1893" s="100"/>
      <c r="F1893" s="101"/>
      <c r="G1893" s="96">
        <f t="shared" si="117"/>
        <v>115</v>
      </c>
      <c r="I1893" s="96"/>
      <c r="K1893" t="str">
        <f t="shared" si="118"/>
        <v>115</v>
      </c>
      <c r="M1893" s="72"/>
      <c r="O1893" s="96">
        <f t="shared" si="119"/>
        <v>115</v>
      </c>
      <c r="Q1893" s="96"/>
      <c r="T1893" s="110"/>
    </row>
    <row r="1894" spans="3:20" x14ac:dyDescent="0.2">
      <c r="C1894" s="96" t="str">
        <f t="shared" si="116"/>
        <v>116</v>
      </c>
      <c r="D1894" s="73"/>
      <c r="E1894" s="100"/>
      <c r="F1894" s="101"/>
      <c r="G1894" s="96">
        <f t="shared" si="117"/>
        <v>116</v>
      </c>
      <c r="I1894" s="96"/>
      <c r="K1894" t="str">
        <f t="shared" si="118"/>
        <v>116</v>
      </c>
      <c r="M1894" s="72"/>
      <c r="O1894" s="96">
        <f t="shared" si="119"/>
        <v>116</v>
      </c>
      <c r="Q1894" s="96"/>
      <c r="T1894" s="110"/>
    </row>
    <row r="1895" spans="3:20" x14ac:dyDescent="0.2">
      <c r="C1895" s="96" t="str">
        <f t="shared" si="116"/>
        <v>117</v>
      </c>
      <c r="D1895" s="73"/>
      <c r="E1895" s="100"/>
      <c r="F1895" s="101"/>
      <c r="G1895" s="96">
        <f t="shared" si="117"/>
        <v>117</v>
      </c>
      <c r="I1895" s="96"/>
      <c r="K1895" t="str">
        <f t="shared" si="118"/>
        <v>117</v>
      </c>
      <c r="M1895" s="72"/>
      <c r="O1895" s="96">
        <f t="shared" si="119"/>
        <v>117</v>
      </c>
      <c r="Q1895" s="96"/>
      <c r="T1895" s="110"/>
    </row>
    <row r="1896" spans="3:20" x14ac:dyDescent="0.2">
      <c r="C1896" s="96" t="str">
        <f t="shared" si="116"/>
        <v>118</v>
      </c>
      <c r="D1896" s="73"/>
      <c r="E1896" s="100"/>
      <c r="F1896" s="101"/>
      <c r="G1896" s="96">
        <f t="shared" si="117"/>
        <v>118</v>
      </c>
      <c r="I1896" s="96"/>
      <c r="K1896" t="str">
        <f t="shared" si="118"/>
        <v>118</v>
      </c>
      <c r="M1896" s="72"/>
      <c r="O1896" s="96">
        <f t="shared" si="119"/>
        <v>118</v>
      </c>
      <c r="Q1896" s="96"/>
      <c r="T1896" s="110"/>
    </row>
    <row r="1897" spans="3:20" x14ac:dyDescent="0.2">
      <c r="C1897" s="96" t="str">
        <f t="shared" si="116"/>
        <v>119</v>
      </c>
      <c r="D1897" s="73"/>
      <c r="E1897" s="100"/>
      <c r="F1897" s="101"/>
      <c r="G1897" s="96">
        <f t="shared" si="117"/>
        <v>119</v>
      </c>
      <c r="I1897" s="96"/>
      <c r="K1897" t="str">
        <f t="shared" si="118"/>
        <v>119</v>
      </c>
      <c r="M1897" s="72"/>
      <c r="O1897" s="96">
        <f t="shared" si="119"/>
        <v>119</v>
      </c>
      <c r="Q1897" s="96"/>
      <c r="T1897" s="110"/>
    </row>
    <row r="1898" spans="3:20" x14ac:dyDescent="0.2">
      <c r="C1898" s="96" t="str">
        <f t="shared" si="116"/>
        <v>120</v>
      </c>
      <c r="D1898" s="73"/>
      <c r="E1898" s="100"/>
      <c r="F1898" s="101"/>
      <c r="G1898" s="96">
        <f t="shared" si="117"/>
        <v>120</v>
      </c>
      <c r="I1898" s="96"/>
      <c r="K1898" t="str">
        <f t="shared" si="118"/>
        <v>120</v>
      </c>
      <c r="M1898" s="72"/>
      <c r="O1898" s="96">
        <f t="shared" si="119"/>
        <v>120</v>
      </c>
      <c r="Q1898" s="96"/>
      <c r="T1898" s="110"/>
    </row>
    <row r="1899" spans="3:20" x14ac:dyDescent="0.2">
      <c r="C1899" s="96" t="str">
        <f t="shared" si="116"/>
        <v>121</v>
      </c>
      <c r="D1899" s="73"/>
      <c r="E1899" s="100"/>
      <c r="F1899" s="101"/>
      <c r="G1899" s="96">
        <f t="shared" si="117"/>
        <v>121</v>
      </c>
      <c r="I1899" s="96"/>
      <c r="K1899" t="str">
        <f t="shared" si="118"/>
        <v>121</v>
      </c>
      <c r="M1899" s="72"/>
      <c r="O1899" s="96">
        <f t="shared" si="119"/>
        <v>121</v>
      </c>
      <c r="Q1899" s="96"/>
      <c r="T1899" s="110"/>
    </row>
    <row r="1900" spans="3:20" x14ac:dyDescent="0.2">
      <c r="C1900" s="96" t="str">
        <f t="shared" si="116"/>
        <v>122</v>
      </c>
      <c r="D1900" s="73"/>
      <c r="E1900" s="100"/>
      <c r="F1900" s="101"/>
      <c r="G1900" s="96">
        <f t="shared" si="117"/>
        <v>122</v>
      </c>
      <c r="I1900" s="96"/>
      <c r="K1900" t="str">
        <f t="shared" si="118"/>
        <v>122</v>
      </c>
      <c r="M1900" s="72"/>
      <c r="O1900" s="96">
        <f t="shared" si="119"/>
        <v>122</v>
      </c>
      <c r="Q1900" s="96"/>
      <c r="T1900" s="110"/>
    </row>
    <row r="1901" spans="3:20" x14ac:dyDescent="0.2">
      <c r="C1901" s="96" t="str">
        <f t="shared" si="116"/>
        <v>123</v>
      </c>
      <c r="D1901" s="73"/>
      <c r="E1901" s="100"/>
      <c r="F1901" s="101"/>
      <c r="G1901" s="96">
        <f t="shared" si="117"/>
        <v>123</v>
      </c>
      <c r="I1901" s="96"/>
      <c r="K1901" t="str">
        <f t="shared" si="118"/>
        <v>123</v>
      </c>
      <c r="M1901" s="72"/>
      <c r="O1901" s="96">
        <f t="shared" si="119"/>
        <v>123</v>
      </c>
      <c r="Q1901" s="96"/>
      <c r="T1901" s="110"/>
    </row>
    <row r="1902" spans="3:20" x14ac:dyDescent="0.2">
      <c r="C1902" s="96" t="str">
        <f t="shared" si="116"/>
        <v>124</v>
      </c>
      <c r="D1902" s="73"/>
      <c r="E1902" s="100"/>
      <c r="F1902" s="101"/>
      <c r="G1902" s="96">
        <f t="shared" si="117"/>
        <v>124</v>
      </c>
      <c r="I1902" s="96"/>
      <c r="K1902" t="str">
        <f t="shared" si="118"/>
        <v>124</v>
      </c>
      <c r="M1902" s="72"/>
      <c r="O1902" s="96">
        <f t="shared" si="119"/>
        <v>124</v>
      </c>
      <c r="Q1902" s="96"/>
      <c r="T1902" s="110"/>
    </row>
    <row r="1903" spans="3:20" x14ac:dyDescent="0.2">
      <c r="C1903" s="96" t="str">
        <f t="shared" si="116"/>
        <v>125</v>
      </c>
      <c r="D1903" s="73"/>
      <c r="E1903" s="100"/>
      <c r="F1903" s="101"/>
      <c r="G1903" s="96">
        <f t="shared" si="117"/>
        <v>125</v>
      </c>
      <c r="I1903" s="96"/>
      <c r="K1903" t="str">
        <f t="shared" si="118"/>
        <v>125</v>
      </c>
      <c r="M1903" s="72"/>
      <c r="O1903" s="96">
        <f t="shared" si="119"/>
        <v>125</v>
      </c>
      <c r="Q1903" s="96"/>
      <c r="T1903" s="110"/>
    </row>
    <row r="1904" spans="3:20" x14ac:dyDescent="0.2">
      <c r="C1904" s="96" t="str">
        <f t="shared" si="116"/>
        <v>126</v>
      </c>
      <c r="D1904" s="73"/>
      <c r="E1904" s="100"/>
      <c r="F1904" s="101"/>
      <c r="G1904" s="96">
        <f t="shared" si="117"/>
        <v>126</v>
      </c>
      <c r="I1904" s="96"/>
      <c r="K1904" t="str">
        <f t="shared" si="118"/>
        <v>126</v>
      </c>
      <c r="M1904" s="72"/>
      <c r="O1904" s="96">
        <f t="shared" si="119"/>
        <v>126</v>
      </c>
      <c r="Q1904" s="96"/>
      <c r="T1904" s="110"/>
    </row>
    <row r="1905" spans="3:20" x14ac:dyDescent="0.2">
      <c r="C1905" s="96" t="str">
        <f t="shared" si="116"/>
        <v>127</v>
      </c>
      <c r="D1905" s="73"/>
      <c r="E1905" s="100"/>
      <c r="F1905" s="101"/>
      <c r="G1905" s="96">
        <f t="shared" si="117"/>
        <v>127</v>
      </c>
      <c r="I1905" s="96"/>
      <c r="K1905" t="str">
        <f t="shared" si="118"/>
        <v>127</v>
      </c>
      <c r="M1905" s="72"/>
      <c r="O1905" s="96">
        <f t="shared" si="119"/>
        <v>127</v>
      </c>
      <c r="Q1905" s="96"/>
      <c r="T1905" s="110"/>
    </row>
    <row r="1906" spans="3:20" x14ac:dyDescent="0.2">
      <c r="C1906" s="96" t="str">
        <f t="shared" si="116"/>
        <v>128</v>
      </c>
      <c r="D1906" s="73"/>
      <c r="E1906" s="100"/>
      <c r="F1906" s="101"/>
      <c r="G1906" s="96">
        <f t="shared" si="117"/>
        <v>128</v>
      </c>
      <c r="I1906" s="96"/>
      <c r="K1906" t="str">
        <f t="shared" si="118"/>
        <v>128</v>
      </c>
      <c r="M1906" s="72"/>
      <c r="O1906" s="96">
        <f t="shared" si="119"/>
        <v>128</v>
      </c>
      <c r="Q1906" s="96"/>
      <c r="T1906" s="110"/>
    </row>
    <row r="1907" spans="3:20" x14ac:dyDescent="0.2">
      <c r="C1907" s="96" t="str">
        <f t="shared" si="116"/>
        <v>129</v>
      </c>
      <c r="D1907" s="73"/>
      <c r="E1907" s="100"/>
      <c r="F1907" s="101"/>
      <c r="G1907" s="96">
        <f t="shared" si="117"/>
        <v>129</v>
      </c>
      <c r="I1907" s="96"/>
      <c r="K1907" t="str">
        <f t="shared" si="118"/>
        <v>129</v>
      </c>
      <c r="M1907" s="72"/>
      <c r="O1907" s="96">
        <f t="shared" si="119"/>
        <v>129</v>
      </c>
      <c r="Q1907" s="96"/>
      <c r="T1907" s="110"/>
    </row>
    <row r="1908" spans="3:20" x14ac:dyDescent="0.2">
      <c r="C1908" s="96" t="str">
        <f t="shared" si="116"/>
        <v>130</v>
      </c>
      <c r="D1908" s="73"/>
      <c r="E1908" s="100"/>
      <c r="F1908" s="101"/>
      <c r="G1908" s="96">
        <f t="shared" si="117"/>
        <v>130</v>
      </c>
      <c r="I1908" s="96"/>
      <c r="K1908" t="str">
        <f t="shared" si="118"/>
        <v>130</v>
      </c>
      <c r="M1908" s="72"/>
      <c r="O1908" s="96">
        <f t="shared" si="119"/>
        <v>130</v>
      </c>
      <c r="Q1908" s="96"/>
      <c r="T1908" s="110"/>
    </row>
    <row r="1909" spans="3:20" x14ac:dyDescent="0.2">
      <c r="C1909" s="96" t="str">
        <f t="shared" si="116"/>
        <v>131</v>
      </c>
      <c r="D1909" s="73"/>
      <c r="E1909" s="100"/>
      <c r="F1909" s="101"/>
      <c r="G1909" s="96">
        <f t="shared" si="117"/>
        <v>131</v>
      </c>
      <c r="I1909" s="96"/>
      <c r="K1909" t="str">
        <f t="shared" si="118"/>
        <v>131</v>
      </c>
      <c r="M1909" s="72"/>
      <c r="O1909" s="96">
        <f t="shared" si="119"/>
        <v>131</v>
      </c>
      <c r="Q1909" s="96"/>
      <c r="T1909" s="110"/>
    </row>
    <row r="1910" spans="3:20" x14ac:dyDescent="0.2">
      <c r="C1910" s="96" t="str">
        <f t="shared" si="116"/>
        <v>132</v>
      </c>
      <c r="D1910" s="73"/>
      <c r="E1910" s="100"/>
      <c r="F1910" s="101"/>
      <c r="G1910" s="96">
        <f t="shared" si="117"/>
        <v>132</v>
      </c>
      <c r="I1910" s="96"/>
      <c r="K1910" t="str">
        <f t="shared" si="118"/>
        <v>132</v>
      </c>
      <c r="M1910" s="72"/>
      <c r="O1910" s="96">
        <f t="shared" si="119"/>
        <v>132</v>
      </c>
      <c r="Q1910" s="96"/>
      <c r="T1910" s="110"/>
    </row>
    <row r="1911" spans="3:20" x14ac:dyDescent="0.2">
      <c r="C1911" s="96" t="str">
        <f t="shared" si="116"/>
        <v>133</v>
      </c>
      <c r="D1911" s="73"/>
      <c r="E1911" s="100"/>
      <c r="F1911" s="101"/>
      <c r="G1911" s="96">
        <f t="shared" si="117"/>
        <v>133</v>
      </c>
      <c r="I1911" s="96"/>
      <c r="K1911" t="str">
        <f t="shared" si="118"/>
        <v>133</v>
      </c>
      <c r="M1911" s="72"/>
      <c r="O1911" s="96">
        <f t="shared" si="119"/>
        <v>133</v>
      </c>
      <c r="Q1911" s="96"/>
      <c r="T1911" s="110"/>
    </row>
    <row r="1912" spans="3:20" x14ac:dyDescent="0.2">
      <c r="C1912" s="96" t="str">
        <f t="shared" si="116"/>
        <v>134</v>
      </c>
      <c r="D1912" s="73"/>
      <c r="E1912" s="100"/>
      <c r="F1912" s="101"/>
      <c r="G1912" s="96">
        <f t="shared" si="117"/>
        <v>134</v>
      </c>
      <c r="I1912" s="96"/>
      <c r="K1912" t="str">
        <f t="shared" si="118"/>
        <v>134</v>
      </c>
      <c r="M1912" s="72"/>
      <c r="O1912" s="96">
        <f t="shared" si="119"/>
        <v>134</v>
      </c>
      <c r="Q1912" s="96"/>
      <c r="T1912" s="110"/>
    </row>
    <row r="1913" spans="3:20" x14ac:dyDescent="0.2">
      <c r="C1913" s="96" t="str">
        <f t="shared" si="116"/>
        <v>135</v>
      </c>
      <c r="D1913" s="73"/>
      <c r="E1913" s="100"/>
      <c r="F1913" s="101"/>
      <c r="G1913" s="96">
        <f t="shared" si="117"/>
        <v>135</v>
      </c>
      <c r="I1913" s="96"/>
      <c r="K1913" t="str">
        <f t="shared" si="118"/>
        <v>135</v>
      </c>
      <c r="M1913" s="72"/>
      <c r="O1913" s="96">
        <f t="shared" si="119"/>
        <v>135</v>
      </c>
      <c r="Q1913" s="96"/>
      <c r="T1913" s="110"/>
    </row>
    <row r="1914" spans="3:20" x14ac:dyDescent="0.2">
      <c r="C1914" s="96" t="str">
        <f t="shared" si="116"/>
        <v>136</v>
      </c>
      <c r="D1914" s="73"/>
      <c r="E1914" s="100"/>
      <c r="F1914" s="101"/>
      <c r="G1914" s="96">
        <f t="shared" si="117"/>
        <v>136</v>
      </c>
      <c r="I1914" s="96"/>
      <c r="K1914" t="str">
        <f t="shared" si="118"/>
        <v>136</v>
      </c>
      <c r="M1914" s="72"/>
      <c r="O1914" s="96">
        <f t="shared" si="119"/>
        <v>136</v>
      </c>
      <c r="Q1914" s="96"/>
      <c r="T1914" s="110"/>
    </row>
    <row r="1915" spans="3:20" x14ac:dyDescent="0.2">
      <c r="C1915" s="96" t="str">
        <f t="shared" si="116"/>
        <v>137</v>
      </c>
      <c r="D1915" s="73"/>
      <c r="E1915" s="100"/>
      <c r="F1915" s="101"/>
      <c r="G1915" s="96">
        <f t="shared" si="117"/>
        <v>137</v>
      </c>
      <c r="I1915" s="96"/>
      <c r="K1915" t="str">
        <f t="shared" si="118"/>
        <v>137</v>
      </c>
      <c r="M1915" s="72"/>
      <c r="O1915" s="96">
        <f t="shared" si="119"/>
        <v>137</v>
      </c>
      <c r="Q1915" s="96"/>
      <c r="T1915" s="110"/>
    </row>
    <row r="1916" spans="3:20" x14ac:dyDescent="0.2">
      <c r="C1916" s="96" t="str">
        <f t="shared" si="116"/>
        <v>138</v>
      </c>
      <c r="D1916" s="73"/>
      <c r="E1916" s="100"/>
      <c r="F1916" s="101"/>
      <c r="G1916" s="96">
        <f t="shared" si="117"/>
        <v>138</v>
      </c>
      <c r="I1916" s="96"/>
      <c r="K1916" t="str">
        <f t="shared" si="118"/>
        <v>138</v>
      </c>
      <c r="M1916" s="72"/>
      <c r="O1916" s="96">
        <f t="shared" si="119"/>
        <v>138</v>
      </c>
      <c r="Q1916" s="96"/>
      <c r="T1916" s="110"/>
    </row>
    <row r="1917" spans="3:20" x14ac:dyDescent="0.2">
      <c r="C1917" s="96" t="str">
        <f t="shared" si="116"/>
        <v>139</v>
      </c>
      <c r="D1917" s="73"/>
      <c r="E1917" s="100"/>
      <c r="F1917" s="101"/>
      <c r="G1917" s="96">
        <f t="shared" si="117"/>
        <v>139</v>
      </c>
      <c r="I1917" s="96"/>
      <c r="K1917" t="str">
        <f t="shared" si="118"/>
        <v>139</v>
      </c>
      <c r="M1917" s="72"/>
      <c r="O1917" s="96">
        <f t="shared" si="119"/>
        <v>139</v>
      </c>
      <c r="Q1917" s="96"/>
      <c r="T1917" s="110"/>
    </row>
    <row r="1918" spans="3:20" x14ac:dyDescent="0.2">
      <c r="C1918" s="96" t="str">
        <f t="shared" si="116"/>
        <v>140</v>
      </c>
      <c r="D1918" s="73"/>
      <c r="E1918" s="100"/>
      <c r="F1918" s="101"/>
      <c r="G1918" s="96">
        <f t="shared" si="117"/>
        <v>140</v>
      </c>
      <c r="I1918" s="96"/>
      <c r="K1918" t="str">
        <f t="shared" si="118"/>
        <v>140</v>
      </c>
      <c r="M1918" s="72"/>
      <c r="O1918" s="96">
        <f t="shared" si="119"/>
        <v>140</v>
      </c>
      <c r="Q1918" s="96"/>
      <c r="T1918" s="110"/>
    </row>
    <row r="1919" spans="3:20" x14ac:dyDescent="0.2">
      <c r="C1919" s="96" t="str">
        <f t="shared" si="116"/>
        <v>141</v>
      </c>
      <c r="D1919" s="73"/>
      <c r="E1919" s="100"/>
      <c r="F1919" s="101"/>
      <c r="G1919" s="96">
        <f t="shared" si="117"/>
        <v>141</v>
      </c>
      <c r="I1919" s="96"/>
      <c r="K1919" t="str">
        <f t="shared" si="118"/>
        <v>141</v>
      </c>
      <c r="M1919" s="72"/>
      <c r="O1919" s="96">
        <f t="shared" si="119"/>
        <v>141</v>
      </c>
      <c r="Q1919" s="96"/>
      <c r="T1919" s="110"/>
    </row>
    <row r="1920" spans="3:20" x14ac:dyDescent="0.2">
      <c r="C1920" s="96" t="str">
        <f t="shared" si="116"/>
        <v>142</v>
      </c>
      <c r="D1920" s="73"/>
      <c r="E1920" s="100"/>
      <c r="F1920" s="101"/>
      <c r="G1920" s="96">
        <f t="shared" si="117"/>
        <v>142</v>
      </c>
      <c r="I1920" s="96"/>
      <c r="K1920" t="str">
        <f t="shared" si="118"/>
        <v>142</v>
      </c>
      <c r="M1920" s="72"/>
      <c r="O1920" s="96">
        <f t="shared" si="119"/>
        <v>142</v>
      </c>
      <c r="Q1920" s="96"/>
      <c r="T1920" s="110"/>
    </row>
    <row r="1921" spans="3:20" x14ac:dyDescent="0.2">
      <c r="C1921" s="96" t="str">
        <f t="shared" si="116"/>
        <v>143</v>
      </c>
      <c r="D1921" s="73"/>
      <c r="E1921" s="100"/>
      <c r="F1921" s="101"/>
      <c r="G1921" s="96">
        <f t="shared" si="117"/>
        <v>143</v>
      </c>
      <c r="I1921" s="96"/>
      <c r="K1921" t="str">
        <f t="shared" si="118"/>
        <v>143</v>
      </c>
      <c r="M1921" s="72"/>
      <c r="O1921" s="96">
        <f t="shared" si="119"/>
        <v>143</v>
      </c>
      <c r="Q1921" s="96"/>
      <c r="T1921" s="110"/>
    </row>
    <row r="1922" spans="3:20" x14ac:dyDescent="0.2">
      <c r="C1922" s="96" t="str">
        <f t="shared" si="116"/>
        <v>144</v>
      </c>
      <c r="D1922" s="73"/>
      <c r="E1922" s="100"/>
      <c r="F1922" s="101"/>
      <c r="G1922" s="96">
        <f t="shared" si="117"/>
        <v>144</v>
      </c>
      <c r="I1922" s="96"/>
      <c r="K1922" t="str">
        <f t="shared" si="118"/>
        <v>144</v>
      </c>
      <c r="M1922" s="72"/>
      <c r="O1922" s="96">
        <f t="shared" si="119"/>
        <v>144</v>
      </c>
      <c r="Q1922" s="96"/>
      <c r="T1922" s="110"/>
    </row>
    <row r="1923" spans="3:20" x14ac:dyDescent="0.2">
      <c r="C1923" s="96" t="str">
        <f t="shared" ref="C1923:C1986" si="120">D1923&amp;G1923</f>
        <v>145</v>
      </c>
      <c r="D1923" s="73"/>
      <c r="E1923" s="100"/>
      <c r="F1923" s="101"/>
      <c r="G1923" s="96">
        <f t="shared" ref="G1923:G1986" si="121">IF(D1923&lt;&gt;D1922,1,G1922+1)</f>
        <v>145</v>
      </c>
      <c r="I1923" s="96"/>
      <c r="K1923" t="str">
        <f t="shared" ref="K1923:K1986" si="122">L1923&amp;O1923</f>
        <v>145</v>
      </c>
      <c r="M1923" s="72"/>
      <c r="O1923" s="96">
        <f t="shared" ref="O1923:O1986" si="123">IF(L1923&lt;&gt;L1922,1,O1922+1)</f>
        <v>145</v>
      </c>
      <c r="Q1923" s="96"/>
      <c r="T1923" s="110"/>
    </row>
    <row r="1924" spans="3:20" x14ac:dyDescent="0.2">
      <c r="C1924" s="96" t="str">
        <f t="shared" si="120"/>
        <v>146</v>
      </c>
      <c r="D1924" s="73"/>
      <c r="E1924" s="100"/>
      <c r="F1924" s="101"/>
      <c r="G1924" s="96">
        <f t="shared" si="121"/>
        <v>146</v>
      </c>
      <c r="I1924" s="96"/>
      <c r="K1924" t="str">
        <f t="shared" si="122"/>
        <v>146</v>
      </c>
      <c r="M1924" s="72"/>
      <c r="O1924" s="96">
        <f t="shared" si="123"/>
        <v>146</v>
      </c>
      <c r="Q1924" s="96"/>
      <c r="T1924" s="110"/>
    </row>
    <row r="1925" spans="3:20" x14ac:dyDescent="0.2">
      <c r="C1925" s="96" t="str">
        <f t="shared" si="120"/>
        <v>147</v>
      </c>
      <c r="D1925" s="73"/>
      <c r="E1925" s="100"/>
      <c r="F1925" s="101"/>
      <c r="G1925" s="96">
        <f t="shared" si="121"/>
        <v>147</v>
      </c>
      <c r="I1925" s="96"/>
      <c r="K1925" t="str">
        <f t="shared" si="122"/>
        <v>147</v>
      </c>
      <c r="M1925" s="72"/>
      <c r="O1925" s="96">
        <f t="shared" si="123"/>
        <v>147</v>
      </c>
      <c r="Q1925" s="96"/>
      <c r="T1925" s="110"/>
    </row>
    <row r="1926" spans="3:20" x14ac:dyDescent="0.2">
      <c r="C1926" s="96" t="str">
        <f t="shared" si="120"/>
        <v>148</v>
      </c>
      <c r="D1926" s="73"/>
      <c r="E1926" s="100"/>
      <c r="F1926" s="101"/>
      <c r="G1926" s="96">
        <f t="shared" si="121"/>
        <v>148</v>
      </c>
      <c r="I1926" s="96"/>
      <c r="K1926" t="str">
        <f t="shared" si="122"/>
        <v>148</v>
      </c>
      <c r="M1926" s="72"/>
      <c r="O1926" s="96">
        <f t="shared" si="123"/>
        <v>148</v>
      </c>
      <c r="Q1926" s="96"/>
      <c r="T1926" s="110"/>
    </row>
    <row r="1927" spans="3:20" x14ac:dyDescent="0.2">
      <c r="C1927" s="96" t="str">
        <f t="shared" si="120"/>
        <v>149</v>
      </c>
      <c r="D1927" s="73"/>
      <c r="E1927" s="100"/>
      <c r="F1927" s="101"/>
      <c r="G1927" s="96">
        <f t="shared" si="121"/>
        <v>149</v>
      </c>
      <c r="I1927" s="96"/>
      <c r="K1927" t="str">
        <f t="shared" si="122"/>
        <v>149</v>
      </c>
      <c r="M1927" s="72"/>
      <c r="O1927" s="96">
        <f t="shared" si="123"/>
        <v>149</v>
      </c>
      <c r="Q1927" s="96"/>
      <c r="T1927" s="110"/>
    </row>
    <row r="1928" spans="3:20" x14ac:dyDescent="0.2">
      <c r="C1928" s="96" t="str">
        <f t="shared" si="120"/>
        <v>150</v>
      </c>
      <c r="D1928" s="73"/>
      <c r="E1928" s="100"/>
      <c r="F1928" s="101"/>
      <c r="G1928" s="96">
        <f t="shared" si="121"/>
        <v>150</v>
      </c>
      <c r="I1928" s="96"/>
      <c r="K1928" t="str">
        <f t="shared" si="122"/>
        <v>150</v>
      </c>
      <c r="M1928" s="72"/>
      <c r="O1928" s="96">
        <f t="shared" si="123"/>
        <v>150</v>
      </c>
      <c r="Q1928" s="96"/>
      <c r="T1928" s="110"/>
    </row>
    <row r="1929" spans="3:20" x14ac:dyDescent="0.2">
      <c r="C1929" s="96" t="str">
        <f t="shared" si="120"/>
        <v>151</v>
      </c>
      <c r="D1929" s="73"/>
      <c r="E1929" s="100"/>
      <c r="F1929" s="101"/>
      <c r="G1929" s="96">
        <f t="shared" si="121"/>
        <v>151</v>
      </c>
      <c r="I1929" s="96"/>
      <c r="K1929" t="str">
        <f t="shared" si="122"/>
        <v>151</v>
      </c>
      <c r="M1929" s="72"/>
      <c r="O1929" s="96">
        <f t="shared" si="123"/>
        <v>151</v>
      </c>
      <c r="Q1929" s="96"/>
      <c r="T1929" s="110"/>
    </row>
    <row r="1930" spans="3:20" x14ac:dyDescent="0.2">
      <c r="C1930" s="96" t="str">
        <f t="shared" si="120"/>
        <v>152</v>
      </c>
      <c r="D1930" s="73"/>
      <c r="E1930" s="100"/>
      <c r="F1930" s="101"/>
      <c r="G1930" s="96">
        <f t="shared" si="121"/>
        <v>152</v>
      </c>
      <c r="I1930" s="96"/>
      <c r="K1930" t="str">
        <f t="shared" si="122"/>
        <v>152</v>
      </c>
      <c r="M1930" s="72"/>
      <c r="O1930" s="96">
        <f t="shared" si="123"/>
        <v>152</v>
      </c>
      <c r="Q1930" s="96"/>
      <c r="T1930" s="110"/>
    </row>
    <row r="1931" spans="3:20" x14ac:dyDescent="0.2">
      <c r="C1931" s="96" t="str">
        <f t="shared" si="120"/>
        <v>153</v>
      </c>
      <c r="D1931" s="73"/>
      <c r="E1931" s="100"/>
      <c r="F1931" s="101"/>
      <c r="G1931" s="96">
        <f t="shared" si="121"/>
        <v>153</v>
      </c>
      <c r="I1931" s="96"/>
      <c r="K1931" t="str">
        <f t="shared" si="122"/>
        <v>153</v>
      </c>
      <c r="M1931" s="72"/>
      <c r="O1931" s="96">
        <f t="shared" si="123"/>
        <v>153</v>
      </c>
      <c r="Q1931" s="96"/>
      <c r="T1931" s="110"/>
    </row>
    <row r="1932" spans="3:20" x14ac:dyDescent="0.2">
      <c r="C1932" s="96" t="str">
        <f t="shared" si="120"/>
        <v>154</v>
      </c>
      <c r="D1932" s="73"/>
      <c r="E1932" s="100"/>
      <c r="F1932" s="101"/>
      <c r="G1932" s="96">
        <f t="shared" si="121"/>
        <v>154</v>
      </c>
      <c r="I1932" s="96"/>
      <c r="K1932" t="str">
        <f t="shared" si="122"/>
        <v>154</v>
      </c>
      <c r="M1932" s="72"/>
      <c r="O1932" s="96">
        <f t="shared" si="123"/>
        <v>154</v>
      </c>
      <c r="Q1932" s="96"/>
      <c r="T1932" s="110"/>
    </row>
    <row r="1933" spans="3:20" x14ac:dyDescent="0.2">
      <c r="C1933" s="96" t="str">
        <f t="shared" si="120"/>
        <v>155</v>
      </c>
      <c r="D1933" s="73"/>
      <c r="E1933" s="100"/>
      <c r="F1933" s="101"/>
      <c r="G1933" s="96">
        <f t="shared" si="121"/>
        <v>155</v>
      </c>
      <c r="I1933" s="96"/>
      <c r="K1933" t="str">
        <f t="shared" si="122"/>
        <v>155</v>
      </c>
      <c r="M1933" s="72"/>
      <c r="O1933" s="96">
        <f t="shared" si="123"/>
        <v>155</v>
      </c>
      <c r="Q1933" s="96"/>
      <c r="T1933" s="110"/>
    </row>
    <row r="1934" spans="3:20" x14ac:dyDescent="0.2">
      <c r="C1934" s="96" t="str">
        <f t="shared" si="120"/>
        <v>156</v>
      </c>
      <c r="D1934" s="73"/>
      <c r="E1934" s="100"/>
      <c r="F1934" s="101"/>
      <c r="G1934" s="96">
        <f t="shared" si="121"/>
        <v>156</v>
      </c>
      <c r="I1934" s="96"/>
      <c r="K1934" t="str">
        <f t="shared" si="122"/>
        <v>156</v>
      </c>
      <c r="M1934" s="72"/>
      <c r="O1934" s="96">
        <f t="shared" si="123"/>
        <v>156</v>
      </c>
      <c r="T1934" s="110"/>
    </row>
    <row r="1935" spans="3:20" x14ac:dyDescent="0.2">
      <c r="C1935" s="96" t="str">
        <f t="shared" si="120"/>
        <v>157</v>
      </c>
      <c r="D1935" s="73"/>
      <c r="E1935" s="100"/>
      <c r="F1935" s="101"/>
      <c r="G1935" s="96">
        <f t="shared" si="121"/>
        <v>157</v>
      </c>
      <c r="I1935" s="96"/>
      <c r="K1935" t="str">
        <f t="shared" si="122"/>
        <v>157</v>
      </c>
      <c r="M1935" s="72"/>
      <c r="O1935" s="96">
        <f t="shared" si="123"/>
        <v>157</v>
      </c>
      <c r="T1935" s="110"/>
    </row>
    <row r="1936" spans="3:20" x14ac:dyDescent="0.2">
      <c r="C1936" s="96" t="str">
        <f t="shared" si="120"/>
        <v>158</v>
      </c>
      <c r="D1936" s="73"/>
      <c r="E1936" s="100"/>
      <c r="F1936" s="101"/>
      <c r="G1936" s="96">
        <f t="shared" si="121"/>
        <v>158</v>
      </c>
      <c r="I1936" s="96"/>
      <c r="K1936" t="str">
        <f t="shared" si="122"/>
        <v>158</v>
      </c>
      <c r="M1936" s="72"/>
      <c r="O1936" s="96">
        <f t="shared" si="123"/>
        <v>158</v>
      </c>
      <c r="T1936" s="110"/>
    </row>
    <row r="1937" spans="3:20" x14ac:dyDescent="0.2">
      <c r="C1937" s="96" t="str">
        <f t="shared" si="120"/>
        <v>159</v>
      </c>
      <c r="D1937" s="73"/>
      <c r="E1937" s="100"/>
      <c r="F1937" s="101"/>
      <c r="G1937" s="96">
        <f t="shared" si="121"/>
        <v>159</v>
      </c>
      <c r="I1937" s="96"/>
      <c r="K1937" t="str">
        <f t="shared" si="122"/>
        <v>159</v>
      </c>
      <c r="M1937" s="72"/>
      <c r="O1937" s="96">
        <f t="shared" si="123"/>
        <v>159</v>
      </c>
      <c r="T1937" s="110"/>
    </row>
    <row r="1938" spans="3:20" x14ac:dyDescent="0.2">
      <c r="C1938" s="96" t="str">
        <f t="shared" si="120"/>
        <v>160</v>
      </c>
      <c r="D1938" s="73"/>
      <c r="E1938" s="100"/>
      <c r="F1938" s="101"/>
      <c r="G1938" s="96">
        <f t="shared" si="121"/>
        <v>160</v>
      </c>
      <c r="I1938" s="96"/>
      <c r="K1938" t="str">
        <f t="shared" si="122"/>
        <v>160</v>
      </c>
      <c r="M1938" s="72"/>
      <c r="O1938" s="96">
        <f t="shared" si="123"/>
        <v>160</v>
      </c>
      <c r="T1938" s="110"/>
    </row>
    <row r="1939" spans="3:20" x14ac:dyDescent="0.2">
      <c r="C1939" s="96" t="str">
        <f t="shared" si="120"/>
        <v>161</v>
      </c>
      <c r="D1939" s="73"/>
      <c r="E1939" s="100"/>
      <c r="F1939" s="101"/>
      <c r="G1939" s="96">
        <f t="shared" si="121"/>
        <v>161</v>
      </c>
      <c r="I1939" s="96"/>
      <c r="K1939" t="str">
        <f t="shared" si="122"/>
        <v>161</v>
      </c>
      <c r="M1939" s="72"/>
      <c r="O1939" s="96">
        <f t="shared" si="123"/>
        <v>161</v>
      </c>
      <c r="T1939" s="110"/>
    </row>
    <row r="1940" spans="3:20" x14ac:dyDescent="0.2">
      <c r="C1940" s="96" t="str">
        <f t="shared" si="120"/>
        <v>162</v>
      </c>
      <c r="D1940" s="73"/>
      <c r="E1940" s="100"/>
      <c r="F1940" s="101"/>
      <c r="G1940" s="96">
        <f t="shared" si="121"/>
        <v>162</v>
      </c>
      <c r="I1940" s="96"/>
      <c r="K1940" t="str">
        <f t="shared" si="122"/>
        <v>162</v>
      </c>
      <c r="M1940" s="72"/>
      <c r="O1940" s="96">
        <f t="shared" si="123"/>
        <v>162</v>
      </c>
      <c r="T1940" s="110"/>
    </row>
    <row r="1941" spans="3:20" x14ac:dyDescent="0.2">
      <c r="C1941" s="96" t="str">
        <f t="shared" si="120"/>
        <v>163</v>
      </c>
      <c r="D1941" s="73"/>
      <c r="E1941" s="100"/>
      <c r="F1941" s="101"/>
      <c r="G1941" s="96">
        <f t="shared" si="121"/>
        <v>163</v>
      </c>
      <c r="I1941" s="96"/>
      <c r="K1941" t="str">
        <f t="shared" si="122"/>
        <v>163</v>
      </c>
      <c r="M1941" s="72"/>
      <c r="O1941" s="96">
        <f t="shared" si="123"/>
        <v>163</v>
      </c>
      <c r="T1941" s="110"/>
    </row>
    <row r="1942" spans="3:20" x14ac:dyDescent="0.2">
      <c r="C1942" s="96" t="str">
        <f t="shared" si="120"/>
        <v>164</v>
      </c>
      <c r="D1942" s="73"/>
      <c r="E1942" s="100"/>
      <c r="F1942" s="101"/>
      <c r="G1942" s="96">
        <f t="shared" si="121"/>
        <v>164</v>
      </c>
      <c r="I1942" s="96"/>
      <c r="K1942" t="str">
        <f t="shared" si="122"/>
        <v>164</v>
      </c>
      <c r="M1942" s="72"/>
      <c r="O1942" s="96">
        <f t="shared" si="123"/>
        <v>164</v>
      </c>
      <c r="T1942" s="110"/>
    </row>
    <row r="1943" spans="3:20" x14ac:dyDescent="0.2">
      <c r="C1943" s="96" t="str">
        <f t="shared" si="120"/>
        <v>165</v>
      </c>
      <c r="D1943" s="73"/>
      <c r="E1943" s="100"/>
      <c r="F1943" s="101"/>
      <c r="G1943" s="96">
        <f t="shared" si="121"/>
        <v>165</v>
      </c>
      <c r="I1943" s="96"/>
      <c r="K1943" t="str">
        <f t="shared" si="122"/>
        <v>165</v>
      </c>
      <c r="M1943" s="72"/>
      <c r="O1943" s="96">
        <f t="shared" si="123"/>
        <v>165</v>
      </c>
      <c r="T1943" s="110"/>
    </row>
    <row r="1944" spans="3:20" x14ac:dyDescent="0.2">
      <c r="C1944" s="96" t="str">
        <f t="shared" si="120"/>
        <v>166</v>
      </c>
      <c r="D1944" s="73"/>
      <c r="E1944" s="100"/>
      <c r="F1944" s="101"/>
      <c r="G1944" s="96">
        <f t="shared" si="121"/>
        <v>166</v>
      </c>
      <c r="I1944" s="96"/>
      <c r="K1944" t="str">
        <f t="shared" si="122"/>
        <v>166</v>
      </c>
      <c r="M1944" s="72"/>
      <c r="O1944" s="96">
        <f t="shared" si="123"/>
        <v>166</v>
      </c>
      <c r="T1944" s="110"/>
    </row>
    <row r="1945" spans="3:20" x14ac:dyDescent="0.2">
      <c r="C1945" s="96" t="str">
        <f t="shared" si="120"/>
        <v>167</v>
      </c>
      <c r="D1945" s="73"/>
      <c r="E1945" s="100"/>
      <c r="F1945" s="101"/>
      <c r="G1945" s="96">
        <f t="shared" si="121"/>
        <v>167</v>
      </c>
      <c r="I1945" s="96"/>
      <c r="K1945" t="str">
        <f t="shared" si="122"/>
        <v>167</v>
      </c>
      <c r="M1945" s="72"/>
      <c r="O1945" s="96">
        <f t="shared" si="123"/>
        <v>167</v>
      </c>
      <c r="T1945" s="110"/>
    </row>
    <row r="1946" spans="3:20" x14ac:dyDescent="0.2">
      <c r="C1946" s="96" t="str">
        <f t="shared" si="120"/>
        <v>168</v>
      </c>
      <c r="D1946" s="73"/>
      <c r="E1946" s="100"/>
      <c r="F1946" s="101"/>
      <c r="G1946" s="96">
        <f t="shared" si="121"/>
        <v>168</v>
      </c>
      <c r="I1946" s="96"/>
      <c r="K1946" t="str">
        <f t="shared" si="122"/>
        <v>168</v>
      </c>
      <c r="M1946" s="72"/>
      <c r="O1946" s="96">
        <f t="shared" si="123"/>
        <v>168</v>
      </c>
      <c r="T1946" s="110"/>
    </row>
    <row r="1947" spans="3:20" x14ac:dyDescent="0.2">
      <c r="C1947" s="96" t="str">
        <f t="shared" si="120"/>
        <v>169</v>
      </c>
      <c r="D1947" s="73"/>
      <c r="E1947" s="100"/>
      <c r="F1947" s="101"/>
      <c r="G1947" s="96">
        <f t="shared" si="121"/>
        <v>169</v>
      </c>
      <c r="I1947" s="96"/>
      <c r="K1947" t="str">
        <f t="shared" si="122"/>
        <v>169</v>
      </c>
      <c r="M1947" s="72"/>
      <c r="O1947" s="96">
        <f t="shared" si="123"/>
        <v>169</v>
      </c>
      <c r="T1947" s="110"/>
    </row>
    <row r="1948" spans="3:20" x14ac:dyDescent="0.2">
      <c r="C1948" s="96" t="str">
        <f t="shared" si="120"/>
        <v>170</v>
      </c>
      <c r="D1948" s="73"/>
      <c r="E1948" s="100"/>
      <c r="F1948" s="101"/>
      <c r="G1948" s="96">
        <f t="shared" si="121"/>
        <v>170</v>
      </c>
      <c r="I1948" s="96"/>
      <c r="K1948" t="str">
        <f t="shared" si="122"/>
        <v>170</v>
      </c>
      <c r="M1948" s="72"/>
      <c r="O1948" s="96">
        <f t="shared" si="123"/>
        <v>170</v>
      </c>
      <c r="T1948" s="110"/>
    </row>
    <row r="1949" spans="3:20" x14ac:dyDescent="0.2">
      <c r="C1949" s="96" t="str">
        <f t="shared" si="120"/>
        <v>171</v>
      </c>
      <c r="D1949" s="73"/>
      <c r="E1949" s="100"/>
      <c r="F1949" s="101"/>
      <c r="G1949" s="96">
        <f t="shared" si="121"/>
        <v>171</v>
      </c>
      <c r="I1949" s="96"/>
      <c r="K1949" t="str">
        <f t="shared" si="122"/>
        <v>171</v>
      </c>
      <c r="M1949" s="72"/>
      <c r="O1949" s="96">
        <f t="shared" si="123"/>
        <v>171</v>
      </c>
      <c r="T1949" s="110"/>
    </row>
    <row r="1950" spans="3:20" x14ac:dyDescent="0.2">
      <c r="C1950" s="96" t="str">
        <f t="shared" si="120"/>
        <v>172</v>
      </c>
      <c r="D1950" s="73"/>
      <c r="E1950" s="100"/>
      <c r="F1950" s="101"/>
      <c r="G1950" s="96">
        <f t="shared" si="121"/>
        <v>172</v>
      </c>
      <c r="I1950" s="96"/>
      <c r="K1950" t="str">
        <f t="shared" si="122"/>
        <v>172</v>
      </c>
      <c r="M1950" s="72"/>
      <c r="O1950" s="96">
        <f t="shared" si="123"/>
        <v>172</v>
      </c>
      <c r="T1950" s="110"/>
    </row>
    <row r="1951" spans="3:20" x14ac:dyDescent="0.2">
      <c r="C1951" s="96" t="str">
        <f t="shared" si="120"/>
        <v>173</v>
      </c>
      <c r="D1951" s="73"/>
      <c r="E1951" s="100"/>
      <c r="F1951" s="101"/>
      <c r="G1951" s="96">
        <f t="shared" si="121"/>
        <v>173</v>
      </c>
      <c r="I1951" s="96"/>
      <c r="K1951" t="str">
        <f t="shared" si="122"/>
        <v>173</v>
      </c>
      <c r="M1951" s="72"/>
      <c r="O1951" s="96">
        <f t="shared" si="123"/>
        <v>173</v>
      </c>
      <c r="T1951" s="110"/>
    </row>
    <row r="1952" spans="3:20" x14ac:dyDescent="0.2">
      <c r="C1952" s="96" t="str">
        <f t="shared" si="120"/>
        <v>174</v>
      </c>
      <c r="D1952" s="73"/>
      <c r="E1952" s="100"/>
      <c r="F1952" s="101"/>
      <c r="G1952" s="96">
        <f t="shared" si="121"/>
        <v>174</v>
      </c>
      <c r="I1952" s="96"/>
      <c r="K1952" t="str">
        <f t="shared" si="122"/>
        <v>174</v>
      </c>
      <c r="M1952" s="72"/>
      <c r="O1952" s="96">
        <f t="shared" si="123"/>
        <v>174</v>
      </c>
      <c r="T1952" s="110"/>
    </row>
    <row r="1953" spans="3:20" x14ac:dyDescent="0.2">
      <c r="C1953" s="96" t="str">
        <f t="shared" si="120"/>
        <v>175</v>
      </c>
      <c r="D1953" s="73"/>
      <c r="E1953" s="100"/>
      <c r="F1953" s="101"/>
      <c r="G1953" s="96">
        <f t="shared" si="121"/>
        <v>175</v>
      </c>
      <c r="I1953" s="96"/>
      <c r="K1953" t="str">
        <f t="shared" si="122"/>
        <v>175</v>
      </c>
      <c r="M1953" s="72"/>
      <c r="O1953" s="96">
        <f t="shared" si="123"/>
        <v>175</v>
      </c>
      <c r="T1953" s="110"/>
    </row>
    <row r="1954" spans="3:20" x14ac:dyDescent="0.2">
      <c r="C1954" s="96" t="str">
        <f t="shared" si="120"/>
        <v>176</v>
      </c>
      <c r="D1954" s="73"/>
      <c r="E1954" s="100"/>
      <c r="F1954" s="101"/>
      <c r="G1954" s="96">
        <f t="shared" si="121"/>
        <v>176</v>
      </c>
      <c r="I1954" s="96"/>
      <c r="K1954" t="str">
        <f t="shared" si="122"/>
        <v>176</v>
      </c>
      <c r="M1954" s="72"/>
      <c r="O1954" s="96">
        <f t="shared" si="123"/>
        <v>176</v>
      </c>
      <c r="T1954" s="110"/>
    </row>
    <row r="1955" spans="3:20" x14ac:dyDescent="0.2">
      <c r="C1955" s="96" t="str">
        <f t="shared" si="120"/>
        <v>177</v>
      </c>
      <c r="D1955" s="73"/>
      <c r="E1955" s="100"/>
      <c r="F1955" s="101"/>
      <c r="G1955" s="96">
        <f t="shared" si="121"/>
        <v>177</v>
      </c>
      <c r="I1955" s="96"/>
      <c r="K1955" t="str">
        <f t="shared" si="122"/>
        <v>177</v>
      </c>
      <c r="M1955" s="72"/>
      <c r="O1955" s="96">
        <f t="shared" si="123"/>
        <v>177</v>
      </c>
      <c r="T1955" s="110"/>
    </row>
    <row r="1956" spans="3:20" x14ac:dyDescent="0.2">
      <c r="C1956" s="96" t="str">
        <f t="shared" si="120"/>
        <v>178</v>
      </c>
      <c r="D1956" s="73"/>
      <c r="E1956" s="100"/>
      <c r="F1956" s="101"/>
      <c r="G1956" s="96">
        <f t="shared" si="121"/>
        <v>178</v>
      </c>
      <c r="I1956" s="96"/>
      <c r="K1956" t="str">
        <f t="shared" si="122"/>
        <v>178</v>
      </c>
      <c r="M1956" s="72"/>
      <c r="O1956" s="96">
        <f t="shared" si="123"/>
        <v>178</v>
      </c>
      <c r="T1956" s="110"/>
    </row>
    <row r="1957" spans="3:20" x14ac:dyDescent="0.2">
      <c r="C1957" s="96" t="str">
        <f t="shared" si="120"/>
        <v>179</v>
      </c>
      <c r="D1957" s="73"/>
      <c r="E1957" s="100"/>
      <c r="F1957" s="101"/>
      <c r="G1957" s="96">
        <f t="shared" si="121"/>
        <v>179</v>
      </c>
      <c r="I1957" s="96"/>
      <c r="K1957" t="str">
        <f t="shared" si="122"/>
        <v>179</v>
      </c>
      <c r="M1957" s="72"/>
      <c r="O1957" s="96">
        <f t="shared" si="123"/>
        <v>179</v>
      </c>
      <c r="T1957" s="110"/>
    </row>
    <row r="1958" spans="3:20" x14ac:dyDescent="0.2">
      <c r="C1958" s="96" t="str">
        <f t="shared" si="120"/>
        <v>180</v>
      </c>
      <c r="D1958" s="73"/>
      <c r="E1958" s="100"/>
      <c r="F1958" s="101"/>
      <c r="G1958" s="96">
        <f t="shared" si="121"/>
        <v>180</v>
      </c>
      <c r="I1958" s="96"/>
      <c r="K1958" t="str">
        <f t="shared" si="122"/>
        <v>180</v>
      </c>
      <c r="M1958" s="72"/>
      <c r="O1958" s="96">
        <f t="shared" si="123"/>
        <v>180</v>
      </c>
      <c r="T1958" s="110"/>
    </row>
    <row r="1959" spans="3:20" x14ac:dyDescent="0.2">
      <c r="C1959" s="96" t="str">
        <f t="shared" si="120"/>
        <v>181</v>
      </c>
      <c r="D1959" s="73"/>
      <c r="E1959" s="100"/>
      <c r="F1959" s="101"/>
      <c r="G1959" s="96">
        <f t="shared" si="121"/>
        <v>181</v>
      </c>
      <c r="I1959" s="96"/>
      <c r="K1959" t="str">
        <f t="shared" si="122"/>
        <v>181</v>
      </c>
      <c r="M1959" s="72"/>
      <c r="O1959" s="96">
        <f t="shared" si="123"/>
        <v>181</v>
      </c>
      <c r="T1959" s="110"/>
    </row>
    <row r="1960" spans="3:20" x14ac:dyDescent="0.2">
      <c r="C1960" s="96" t="str">
        <f t="shared" si="120"/>
        <v>182</v>
      </c>
      <c r="D1960" s="73"/>
      <c r="E1960" s="100"/>
      <c r="F1960" s="101"/>
      <c r="G1960" s="96">
        <f t="shared" si="121"/>
        <v>182</v>
      </c>
      <c r="I1960" s="96"/>
      <c r="K1960" t="str">
        <f t="shared" si="122"/>
        <v>182</v>
      </c>
      <c r="M1960" s="72"/>
      <c r="O1960" s="96">
        <f t="shared" si="123"/>
        <v>182</v>
      </c>
      <c r="T1960" s="110"/>
    </row>
    <row r="1961" spans="3:20" x14ac:dyDescent="0.2">
      <c r="C1961" s="96" t="str">
        <f t="shared" si="120"/>
        <v>183</v>
      </c>
      <c r="D1961" s="73"/>
      <c r="E1961" s="100"/>
      <c r="F1961" s="101"/>
      <c r="G1961" s="96">
        <f t="shared" si="121"/>
        <v>183</v>
      </c>
      <c r="I1961" s="96"/>
      <c r="K1961" t="str">
        <f t="shared" si="122"/>
        <v>183</v>
      </c>
      <c r="M1961" s="72"/>
      <c r="O1961" s="96">
        <f t="shared" si="123"/>
        <v>183</v>
      </c>
      <c r="T1961" s="110"/>
    </row>
    <row r="1962" spans="3:20" x14ac:dyDescent="0.2">
      <c r="C1962" s="96" t="str">
        <f t="shared" si="120"/>
        <v>184</v>
      </c>
      <c r="D1962" s="73"/>
      <c r="E1962" s="100"/>
      <c r="F1962" s="101"/>
      <c r="G1962" s="96">
        <f t="shared" si="121"/>
        <v>184</v>
      </c>
      <c r="I1962" s="96"/>
      <c r="K1962" t="str">
        <f t="shared" si="122"/>
        <v>184</v>
      </c>
      <c r="M1962" s="72"/>
      <c r="O1962" s="96">
        <f t="shared" si="123"/>
        <v>184</v>
      </c>
      <c r="T1962" s="110"/>
    </row>
    <row r="1963" spans="3:20" x14ac:dyDescent="0.2">
      <c r="C1963" s="96" t="str">
        <f t="shared" si="120"/>
        <v>185</v>
      </c>
      <c r="D1963" s="73"/>
      <c r="E1963" s="100"/>
      <c r="F1963" s="101"/>
      <c r="G1963" s="96">
        <f t="shared" si="121"/>
        <v>185</v>
      </c>
      <c r="I1963" s="96"/>
      <c r="K1963" t="str">
        <f t="shared" si="122"/>
        <v>185</v>
      </c>
      <c r="M1963" s="72"/>
      <c r="O1963" s="96">
        <f t="shared" si="123"/>
        <v>185</v>
      </c>
      <c r="T1963" s="110"/>
    </row>
    <row r="1964" spans="3:20" x14ac:dyDescent="0.2">
      <c r="C1964" s="96" t="str">
        <f t="shared" si="120"/>
        <v>186</v>
      </c>
      <c r="D1964" s="73"/>
      <c r="E1964" s="100"/>
      <c r="F1964" s="101"/>
      <c r="G1964" s="96">
        <f t="shared" si="121"/>
        <v>186</v>
      </c>
      <c r="I1964" s="96"/>
      <c r="K1964" t="str">
        <f t="shared" si="122"/>
        <v>186</v>
      </c>
      <c r="M1964" s="72"/>
      <c r="O1964" s="96">
        <f t="shared" si="123"/>
        <v>186</v>
      </c>
      <c r="T1964" s="110"/>
    </row>
    <row r="1965" spans="3:20" x14ac:dyDescent="0.2">
      <c r="C1965" s="96" t="str">
        <f t="shared" si="120"/>
        <v>187</v>
      </c>
      <c r="D1965" s="73"/>
      <c r="E1965" s="100"/>
      <c r="F1965" s="101"/>
      <c r="G1965" s="96">
        <f t="shared" si="121"/>
        <v>187</v>
      </c>
      <c r="I1965" s="96"/>
      <c r="K1965" t="str">
        <f t="shared" si="122"/>
        <v>187</v>
      </c>
      <c r="M1965" s="72"/>
      <c r="O1965" s="96">
        <f t="shared" si="123"/>
        <v>187</v>
      </c>
      <c r="T1965" s="110"/>
    </row>
    <row r="1966" spans="3:20" x14ac:dyDescent="0.2">
      <c r="C1966" s="96" t="str">
        <f t="shared" si="120"/>
        <v>188</v>
      </c>
      <c r="D1966" s="73"/>
      <c r="E1966" s="100"/>
      <c r="F1966" s="101"/>
      <c r="G1966" s="96">
        <f t="shared" si="121"/>
        <v>188</v>
      </c>
      <c r="I1966" s="96"/>
      <c r="K1966" t="str">
        <f t="shared" si="122"/>
        <v>188</v>
      </c>
      <c r="M1966" s="72"/>
      <c r="O1966" s="96">
        <f t="shared" si="123"/>
        <v>188</v>
      </c>
      <c r="T1966" s="110"/>
    </row>
    <row r="1967" spans="3:20" x14ac:dyDescent="0.2">
      <c r="C1967" s="96" t="str">
        <f t="shared" si="120"/>
        <v>189</v>
      </c>
      <c r="D1967" s="73"/>
      <c r="E1967" s="100"/>
      <c r="F1967" s="101"/>
      <c r="G1967" s="96">
        <f t="shared" si="121"/>
        <v>189</v>
      </c>
      <c r="I1967" s="96"/>
      <c r="K1967" t="str">
        <f t="shared" si="122"/>
        <v>189</v>
      </c>
      <c r="M1967" s="72"/>
      <c r="O1967" s="96">
        <f t="shared" si="123"/>
        <v>189</v>
      </c>
      <c r="T1967" s="110"/>
    </row>
    <row r="1968" spans="3:20" x14ac:dyDescent="0.2">
      <c r="C1968" s="96" t="str">
        <f t="shared" si="120"/>
        <v>190</v>
      </c>
      <c r="D1968" s="73"/>
      <c r="E1968" s="100"/>
      <c r="F1968" s="101"/>
      <c r="G1968" s="96">
        <f t="shared" si="121"/>
        <v>190</v>
      </c>
      <c r="I1968" s="96"/>
      <c r="K1968" t="str">
        <f t="shared" si="122"/>
        <v>190</v>
      </c>
      <c r="M1968" s="72"/>
      <c r="O1968" s="96">
        <f t="shared" si="123"/>
        <v>190</v>
      </c>
      <c r="T1968" s="110"/>
    </row>
    <row r="1969" spans="3:20" x14ac:dyDescent="0.2">
      <c r="C1969" s="96" t="str">
        <f t="shared" si="120"/>
        <v>191</v>
      </c>
      <c r="D1969" s="73"/>
      <c r="E1969" s="100"/>
      <c r="F1969" s="101"/>
      <c r="G1969" s="96">
        <f t="shared" si="121"/>
        <v>191</v>
      </c>
      <c r="I1969" s="96"/>
      <c r="K1969" t="str">
        <f t="shared" si="122"/>
        <v>191</v>
      </c>
      <c r="M1969" s="72"/>
      <c r="O1969" s="96">
        <f t="shared" si="123"/>
        <v>191</v>
      </c>
      <c r="T1969" s="110"/>
    </row>
    <row r="1970" spans="3:20" x14ac:dyDescent="0.2">
      <c r="C1970" s="96" t="str">
        <f t="shared" si="120"/>
        <v>192</v>
      </c>
      <c r="D1970" s="73"/>
      <c r="E1970" s="100"/>
      <c r="F1970" s="101"/>
      <c r="G1970" s="96">
        <f t="shared" si="121"/>
        <v>192</v>
      </c>
      <c r="I1970" s="96"/>
      <c r="K1970" t="str">
        <f t="shared" si="122"/>
        <v>192</v>
      </c>
      <c r="M1970" s="72"/>
      <c r="O1970" s="96">
        <f t="shared" si="123"/>
        <v>192</v>
      </c>
      <c r="T1970" s="110"/>
    </row>
    <row r="1971" spans="3:20" x14ac:dyDescent="0.2">
      <c r="C1971" s="96" t="str">
        <f t="shared" si="120"/>
        <v>193</v>
      </c>
      <c r="D1971" s="73"/>
      <c r="E1971" s="100"/>
      <c r="F1971" s="101"/>
      <c r="G1971" s="96">
        <f t="shared" si="121"/>
        <v>193</v>
      </c>
      <c r="I1971" s="96"/>
      <c r="K1971" t="str">
        <f t="shared" si="122"/>
        <v>193</v>
      </c>
      <c r="M1971" s="72"/>
      <c r="O1971" s="96">
        <f t="shared" si="123"/>
        <v>193</v>
      </c>
      <c r="T1971" s="110"/>
    </row>
    <row r="1972" spans="3:20" x14ac:dyDescent="0.2">
      <c r="C1972" s="96" t="str">
        <f t="shared" si="120"/>
        <v>194</v>
      </c>
      <c r="D1972" s="73"/>
      <c r="E1972" s="100"/>
      <c r="F1972" s="101"/>
      <c r="G1972" s="96">
        <f t="shared" si="121"/>
        <v>194</v>
      </c>
      <c r="I1972" s="96"/>
      <c r="K1972" t="str">
        <f t="shared" si="122"/>
        <v>194</v>
      </c>
      <c r="M1972" s="72"/>
      <c r="O1972" s="96">
        <f t="shared" si="123"/>
        <v>194</v>
      </c>
      <c r="T1972" s="110"/>
    </row>
    <row r="1973" spans="3:20" x14ac:dyDescent="0.2">
      <c r="C1973" s="96" t="str">
        <f t="shared" si="120"/>
        <v>195</v>
      </c>
      <c r="D1973" s="73"/>
      <c r="E1973" s="100"/>
      <c r="F1973" s="101"/>
      <c r="G1973" s="96">
        <f t="shared" si="121"/>
        <v>195</v>
      </c>
      <c r="I1973" s="96"/>
      <c r="K1973" t="str">
        <f t="shared" si="122"/>
        <v>195</v>
      </c>
      <c r="M1973" s="72"/>
      <c r="O1973" s="96">
        <f t="shared" si="123"/>
        <v>195</v>
      </c>
      <c r="T1973" s="110"/>
    </row>
    <row r="1974" spans="3:20" x14ac:dyDescent="0.2">
      <c r="C1974" s="96" t="str">
        <f t="shared" si="120"/>
        <v>196</v>
      </c>
      <c r="D1974" s="73"/>
      <c r="E1974" s="100"/>
      <c r="F1974" s="101"/>
      <c r="G1974" s="96">
        <f t="shared" si="121"/>
        <v>196</v>
      </c>
      <c r="I1974" s="96"/>
      <c r="K1974" t="str">
        <f t="shared" si="122"/>
        <v>196</v>
      </c>
      <c r="M1974" s="72"/>
      <c r="O1974" s="96">
        <f t="shared" si="123"/>
        <v>196</v>
      </c>
      <c r="T1974" s="110"/>
    </row>
    <row r="1975" spans="3:20" x14ac:dyDescent="0.2">
      <c r="C1975" s="96" t="str">
        <f t="shared" si="120"/>
        <v>197</v>
      </c>
      <c r="D1975" s="73"/>
      <c r="E1975" s="100"/>
      <c r="F1975" s="101"/>
      <c r="G1975" s="96">
        <f t="shared" si="121"/>
        <v>197</v>
      </c>
      <c r="I1975" s="96"/>
      <c r="K1975" t="str">
        <f t="shared" si="122"/>
        <v>197</v>
      </c>
      <c r="M1975" s="72"/>
      <c r="O1975" s="96">
        <f t="shared" si="123"/>
        <v>197</v>
      </c>
      <c r="T1975" s="110"/>
    </row>
    <row r="1976" spans="3:20" x14ac:dyDescent="0.2">
      <c r="C1976" s="96" t="str">
        <f t="shared" si="120"/>
        <v>198</v>
      </c>
      <c r="D1976" s="73"/>
      <c r="E1976" s="100"/>
      <c r="F1976" s="101"/>
      <c r="G1976" s="96">
        <f t="shared" si="121"/>
        <v>198</v>
      </c>
      <c r="I1976" s="96"/>
      <c r="K1976" t="str">
        <f t="shared" si="122"/>
        <v>198</v>
      </c>
      <c r="M1976" s="72"/>
      <c r="O1976" s="96">
        <f t="shared" si="123"/>
        <v>198</v>
      </c>
      <c r="T1976" s="110"/>
    </row>
    <row r="1977" spans="3:20" x14ac:dyDescent="0.2">
      <c r="C1977" s="96" t="str">
        <f t="shared" si="120"/>
        <v>199</v>
      </c>
      <c r="D1977" s="73"/>
      <c r="E1977" s="100"/>
      <c r="F1977" s="101"/>
      <c r="G1977" s="96">
        <f t="shared" si="121"/>
        <v>199</v>
      </c>
      <c r="I1977" s="96"/>
      <c r="K1977" t="str">
        <f t="shared" si="122"/>
        <v>199</v>
      </c>
      <c r="M1977" s="72"/>
      <c r="O1977" s="96">
        <f t="shared" si="123"/>
        <v>199</v>
      </c>
      <c r="T1977" s="110"/>
    </row>
    <row r="1978" spans="3:20" x14ac:dyDescent="0.2">
      <c r="C1978" s="96" t="str">
        <f t="shared" si="120"/>
        <v>200</v>
      </c>
      <c r="D1978" s="73"/>
      <c r="E1978" s="100"/>
      <c r="F1978" s="101"/>
      <c r="G1978" s="96">
        <f t="shared" si="121"/>
        <v>200</v>
      </c>
      <c r="I1978" s="96"/>
      <c r="K1978" t="str">
        <f t="shared" si="122"/>
        <v>200</v>
      </c>
      <c r="M1978" s="72"/>
      <c r="O1978" s="96">
        <f t="shared" si="123"/>
        <v>200</v>
      </c>
      <c r="T1978" s="110"/>
    </row>
    <row r="1979" spans="3:20" x14ac:dyDescent="0.2">
      <c r="C1979" s="96" t="str">
        <f t="shared" si="120"/>
        <v>201</v>
      </c>
      <c r="D1979" s="73"/>
      <c r="E1979" s="100"/>
      <c r="F1979" s="101"/>
      <c r="G1979" s="96">
        <f t="shared" si="121"/>
        <v>201</v>
      </c>
      <c r="I1979" s="96"/>
      <c r="K1979" t="str">
        <f t="shared" si="122"/>
        <v>201</v>
      </c>
      <c r="M1979" s="72"/>
      <c r="O1979" s="96">
        <f t="shared" si="123"/>
        <v>201</v>
      </c>
      <c r="T1979" s="110"/>
    </row>
    <row r="1980" spans="3:20" x14ac:dyDescent="0.2">
      <c r="C1980" s="96" t="str">
        <f t="shared" si="120"/>
        <v>202</v>
      </c>
      <c r="D1980" s="73"/>
      <c r="E1980" s="100"/>
      <c r="F1980" s="101"/>
      <c r="G1980" s="96">
        <f t="shared" si="121"/>
        <v>202</v>
      </c>
      <c r="I1980" s="96"/>
      <c r="K1980" t="str">
        <f t="shared" si="122"/>
        <v>202</v>
      </c>
      <c r="M1980" s="72"/>
      <c r="O1980" s="96">
        <f t="shared" si="123"/>
        <v>202</v>
      </c>
      <c r="T1980" s="110"/>
    </row>
    <row r="1981" spans="3:20" x14ac:dyDescent="0.2">
      <c r="C1981" s="96" t="str">
        <f t="shared" si="120"/>
        <v>203</v>
      </c>
      <c r="D1981" s="73"/>
      <c r="E1981" s="100"/>
      <c r="F1981" s="101"/>
      <c r="G1981" s="96">
        <f t="shared" si="121"/>
        <v>203</v>
      </c>
      <c r="I1981" s="96"/>
      <c r="K1981" t="str">
        <f t="shared" si="122"/>
        <v>203</v>
      </c>
      <c r="M1981" s="72"/>
      <c r="O1981" s="96">
        <f t="shared" si="123"/>
        <v>203</v>
      </c>
      <c r="T1981" s="110"/>
    </row>
    <row r="1982" spans="3:20" x14ac:dyDescent="0.2">
      <c r="C1982" s="96" t="str">
        <f t="shared" si="120"/>
        <v>204</v>
      </c>
      <c r="D1982" s="73"/>
      <c r="E1982" s="100"/>
      <c r="F1982" s="101"/>
      <c r="G1982" s="96">
        <f t="shared" si="121"/>
        <v>204</v>
      </c>
      <c r="I1982" s="96"/>
      <c r="K1982" t="str">
        <f t="shared" si="122"/>
        <v>204</v>
      </c>
      <c r="M1982" s="72"/>
      <c r="O1982" s="96">
        <f t="shared" si="123"/>
        <v>204</v>
      </c>
      <c r="T1982" s="110"/>
    </row>
    <row r="1983" spans="3:20" x14ac:dyDescent="0.2">
      <c r="C1983" s="96" t="str">
        <f t="shared" si="120"/>
        <v>205</v>
      </c>
      <c r="D1983" s="73"/>
      <c r="E1983" s="100"/>
      <c r="F1983" s="101"/>
      <c r="G1983" s="96">
        <f t="shared" si="121"/>
        <v>205</v>
      </c>
      <c r="I1983" s="96"/>
      <c r="K1983" t="str">
        <f t="shared" si="122"/>
        <v>205</v>
      </c>
      <c r="M1983" s="72"/>
      <c r="O1983" s="96">
        <f t="shared" si="123"/>
        <v>205</v>
      </c>
      <c r="T1983" s="110"/>
    </row>
    <row r="1984" spans="3:20" x14ac:dyDescent="0.2">
      <c r="C1984" s="96" t="str">
        <f t="shared" si="120"/>
        <v>206</v>
      </c>
      <c r="D1984" s="73"/>
      <c r="E1984" s="100"/>
      <c r="F1984" s="101"/>
      <c r="G1984" s="96">
        <f t="shared" si="121"/>
        <v>206</v>
      </c>
      <c r="I1984" s="96"/>
      <c r="K1984" t="str">
        <f t="shared" si="122"/>
        <v>206</v>
      </c>
      <c r="M1984" s="72"/>
      <c r="O1984" s="96">
        <f t="shared" si="123"/>
        <v>206</v>
      </c>
      <c r="T1984" s="110"/>
    </row>
    <row r="1985" spans="3:20" x14ac:dyDescent="0.2">
      <c r="C1985" s="96" t="str">
        <f t="shared" si="120"/>
        <v>207</v>
      </c>
      <c r="D1985" s="73"/>
      <c r="E1985" s="100"/>
      <c r="F1985" s="101"/>
      <c r="G1985" s="96">
        <f t="shared" si="121"/>
        <v>207</v>
      </c>
      <c r="I1985" s="96"/>
      <c r="K1985" t="str">
        <f t="shared" si="122"/>
        <v>207</v>
      </c>
      <c r="M1985" s="72"/>
      <c r="O1985" s="96">
        <f t="shared" si="123"/>
        <v>207</v>
      </c>
      <c r="T1985" s="110"/>
    </row>
    <row r="1986" spans="3:20" x14ac:dyDescent="0.2">
      <c r="C1986" s="96" t="str">
        <f t="shared" si="120"/>
        <v>208</v>
      </c>
      <c r="D1986" s="73"/>
      <c r="E1986" s="100"/>
      <c r="F1986" s="101"/>
      <c r="G1986" s="96">
        <f t="shared" si="121"/>
        <v>208</v>
      </c>
      <c r="I1986" s="96"/>
      <c r="K1986" t="str">
        <f t="shared" si="122"/>
        <v>208</v>
      </c>
      <c r="M1986" s="72"/>
      <c r="O1986" s="96">
        <f t="shared" si="123"/>
        <v>208</v>
      </c>
      <c r="T1986" s="110"/>
    </row>
    <row r="1987" spans="3:20" x14ac:dyDescent="0.2">
      <c r="C1987" s="96" t="str">
        <f t="shared" ref="C1987:C2050" si="124">D1987&amp;G1987</f>
        <v>209</v>
      </c>
      <c r="D1987" s="73"/>
      <c r="E1987" s="100"/>
      <c r="F1987" s="101"/>
      <c r="G1987" s="96">
        <f t="shared" ref="G1987:G2050" si="125">IF(D1987&lt;&gt;D1986,1,G1986+1)</f>
        <v>209</v>
      </c>
      <c r="I1987" s="96"/>
      <c r="K1987" t="str">
        <f t="shared" ref="K1987:K2050" si="126">L1987&amp;O1987</f>
        <v>209</v>
      </c>
      <c r="M1987" s="72"/>
      <c r="O1987" s="96">
        <f t="shared" ref="O1987:O2050" si="127">IF(L1987&lt;&gt;L1986,1,O1986+1)</f>
        <v>209</v>
      </c>
      <c r="T1987" s="110"/>
    </row>
    <row r="1988" spans="3:20" x14ac:dyDescent="0.2">
      <c r="C1988" s="96" t="str">
        <f t="shared" si="124"/>
        <v>210</v>
      </c>
      <c r="D1988" s="73"/>
      <c r="E1988" s="100"/>
      <c r="F1988" s="101"/>
      <c r="G1988" s="96">
        <f t="shared" si="125"/>
        <v>210</v>
      </c>
      <c r="I1988" s="96"/>
      <c r="K1988" t="str">
        <f t="shared" si="126"/>
        <v>210</v>
      </c>
      <c r="M1988" s="72"/>
      <c r="O1988" s="96">
        <f t="shared" si="127"/>
        <v>210</v>
      </c>
      <c r="T1988" s="110"/>
    </row>
    <row r="1989" spans="3:20" x14ac:dyDescent="0.2">
      <c r="C1989" s="96" t="str">
        <f t="shared" si="124"/>
        <v>211</v>
      </c>
      <c r="D1989" s="73"/>
      <c r="E1989" s="100"/>
      <c r="F1989" s="101"/>
      <c r="G1989" s="96">
        <f t="shared" si="125"/>
        <v>211</v>
      </c>
      <c r="I1989" s="96"/>
      <c r="K1989" t="str">
        <f t="shared" si="126"/>
        <v>211</v>
      </c>
      <c r="M1989" s="72"/>
      <c r="O1989" s="96">
        <f t="shared" si="127"/>
        <v>211</v>
      </c>
      <c r="T1989" s="110"/>
    </row>
    <row r="1990" spans="3:20" x14ac:dyDescent="0.2">
      <c r="C1990" s="96" t="str">
        <f t="shared" si="124"/>
        <v>212</v>
      </c>
      <c r="D1990" s="73"/>
      <c r="E1990" s="100"/>
      <c r="F1990" s="101"/>
      <c r="G1990" s="96">
        <f t="shared" si="125"/>
        <v>212</v>
      </c>
      <c r="I1990" s="96"/>
      <c r="K1990" t="str">
        <f t="shared" si="126"/>
        <v>212</v>
      </c>
      <c r="M1990" s="72"/>
      <c r="O1990" s="96">
        <f t="shared" si="127"/>
        <v>212</v>
      </c>
      <c r="T1990" s="110"/>
    </row>
    <row r="1991" spans="3:20" x14ac:dyDescent="0.2">
      <c r="C1991" s="96" t="str">
        <f t="shared" si="124"/>
        <v>213</v>
      </c>
      <c r="D1991" s="73"/>
      <c r="E1991" s="100"/>
      <c r="F1991" s="101"/>
      <c r="G1991" s="96">
        <f t="shared" si="125"/>
        <v>213</v>
      </c>
      <c r="I1991" s="96"/>
      <c r="K1991" t="str">
        <f t="shared" si="126"/>
        <v>213</v>
      </c>
      <c r="M1991" s="72"/>
      <c r="O1991" s="96">
        <f t="shared" si="127"/>
        <v>213</v>
      </c>
      <c r="T1991" s="110"/>
    </row>
    <row r="1992" spans="3:20" x14ac:dyDescent="0.2">
      <c r="C1992" s="96" t="str">
        <f t="shared" si="124"/>
        <v>214</v>
      </c>
      <c r="D1992" s="73"/>
      <c r="E1992" s="100"/>
      <c r="F1992" s="101"/>
      <c r="G1992" s="96">
        <f t="shared" si="125"/>
        <v>214</v>
      </c>
      <c r="I1992" s="96"/>
      <c r="K1992" t="str">
        <f t="shared" si="126"/>
        <v>214</v>
      </c>
      <c r="M1992" s="72"/>
      <c r="O1992" s="96">
        <f t="shared" si="127"/>
        <v>214</v>
      </c>
      <c r="T1992" s="110"/>
    </row>
    <row r="1993" spans="3:20" x14ac:dyDescent="0.2">
      <c r="C1993" s="96" t="str">
        <f t="shared" si="124"/>
        <v>215</v>
      </c>
      <c r="D1993" s="73"/>
      <c r="E1993" s="100"/>
      <c r="F1993" s="101"/>
      <c r="G1993" s="96">
        <f t="shared" si="125"/>
        <v>215</v>
      </c>
      <c r="I1993" s="96"/>
      <c r="K1993" t="str">
        <f t="shared" si="126"/>
        <v>215</v>
      </c>
      <c r="M1993" s="72"/>
      <c r="O1993" s="96">
        <f t="shared" si="127"/>
        <v>215</v>
      </c>
      <c r="T1993" s="110"/>
    </row>
    <row r="1994" spans="3:20" x14ac:dyDescent="0.2">
      <c r="C1994" s="96" t="str">
        <f t="shared" si="124"/>
        <v>216</v>
      </c>
      <c r="D1994" s="73"/>
      <c r="E1994" s="100"/>
      <c r="F1994" s="101"/>
      <c r="G1994" s="96">
        <f t="shared" si="125"/>
        <v>216</v>
      </c>
      <c r="I1994" s="96"/>
      <c r="K1994" t="str">
        <f t="shared" si="126"/>
        <v>216</v>
      </c>
      <c r="M1994" s="72"/>
      <c r="O1994" s="96">
        <f t="shared" si="127"/>
        <v>216</v>
      </c>
      <c r="T1994" s="110"/>
    </row>
    <row r="1995" spans="3:20" x14ac:dyDescent="0.2">
      <c r="C1995" s="96" t="str">
        <f t="shared" si="124"/>
        <v>217</v>
      </c>
      <c r="D1995" s="73"/>
      <c r="E1995" s="100"/>
      <c r="F1995" s="101"/>
      <c r="G1995" s="96">
        <f t="shared" si="125"/>
        <v>217</v>
      </c>
      <c r="I1995" s="96"/>
      <c r="K1995" t="str">
        <f t="shared" si="126"/>
        <v>217</v>
      </c>
      <c r="M1995" s="72"/>
      <c r="O1995" s="96">
        <f t="shared" si="127"/>
        <v>217</v>
      </c>
      <c r="T1995" s="110"/>
    </row>
    <row r="1996" spans="3:20" x14ac:dyDescent="0.2">
      <c r="C1996" s="96" t="str">
        <f t="shared" si="124"/>
        <v>218</v>
      </c>
      <c r="D1996" s="73"/>
      <c r="E1996" s="100"/>
      <c r="F1996" s="101"/>
      <c r="G1996" s="96">
        <f t="shared" si="125"/>
        <v>218</v>
      </c>
      <c r="I1996" s="96"/>
      <c r="K1996" t="str">
        <f t="shared" si="126"/>
        <v>218</v>
      </c>
      <c r="M1996" s="72"/>
      <c r="O1996" s="96">
        <f t="shared" si="127"/>
        <v>218</v>
      </c>
      <c r="T1996" s="110"/>
    </row>
    <row r="1997" spans="3:20" x14ac:dyDescent="0.2">
      <c r="C1997" s="96" t="str">
        <f t="shared" si="124"/>
        <v>219</v>
      </c>
      <c r="D1997" s="73"/>
      <c r="E1997" s="100"/>
      <c r="F1997" s="101"/>
      <c r="G1997" s="96">
        <f t="shared" si="125"/>
        <v>219</v>
      </c>
      <c r="I1997" s="96"/>
      <c r="K1997" t="str">
        <f t="shared" si="126"/>
        <v>219</v>
      </c>
      <c r="M1997" s="72"/>
      <c r="O1997" s="96">
        <f t="shared" si="127"/>
        <v>219</v>
      </c>
      <c r="T1997" s="110"/>
    </row>
    <row r="1998" spans="3:20" x14ac:dyDescent="0.2">
      <c r="C1998" s="96" t="str">
        <f t="shared" si="124"/>
        <v>220</v>
      </c>
      <c r="D1998" s="73"/>
      <c r="E1998" s="100"/>
      <c r="F1998" s="101"/>
      <c r="G1998" s="96">
        <f t="shared" si="125"/>
        <v>220</v>
      </c>
      <c r="I1998" s="96"/>
      <c r="K1998" t="str">
        <f t="shared" si="126"/>
        <v>220</v>
      </c>
      <c r="M1998" s="72"/>
      <c r="O1998" s="96">
        <f t="shared" si="127"/>
        <v>220</v>
      </c>
      <c r="T1998" s="83"/>
    </row>
    <row r="1999" spans="3:20" x14ac:dyDescent="0.2">
      <c r="C1999" s="96" t="str">
        <f t="shared" si="124"/>
        <v>221</v>
      </c>
      <c r="D1999" s="73"/>
      <c r="E1999" s="100"/>
      <c r="F1999" s="101"/>
      <c r="G1999" s="96">
        <f t="shared" si="125"/>
        <v>221</v>
      </c>
      <c r="I1999" s="96"/>
      <c r="K1999" t="str">
        <f t="shared" si="126"/>
        <v>221</v>
      </c>
      <c r="M1999" s="72"/>
      <c r="O1999" s="96">
        <f t="shared" si="127"/>
        <v>221</v>
      </c>
      <c r="T1999" s="83"/>
    </row>
    <row r="2000" spans="3:20" x14ac:dyDescent="0.2">
      <c r="C2000" s="96" t="str">
        <f t="shared" si="124"/>
        <v>222</v>
      </c>
      <c r="D2000" s="73"/>
      <c r="E2000" s="100"/>
      <c r="F2000" s="101"/>
      <c r="G2000" s="96">
        <f t="shared" si="125"/>
        <v>222</v>
      </c>
      <c r="I2000" s="96"/>
      <c r="K2000" t="str">
        <f t="shared" si="126"/>
        <v>222</v>
      </c>
      <c r="M2000" s="72"/>
      <c r="O2000" s="96">
        <f t="shared" si="127"/>
        <v>222</v>
      </c>
      <c r="T2000" s="83"/>
    </row>
    <row r="2001" spans="3:20" x14ac:dyDescent="0.2">
      <c r="C2001" s="96" t="str">
        <f t="shared" si="124"/>
        <v>223</v>
      </c>
      <c r="D2001" s="73"/>
      <c r="E2001" s="100"/>
      <c r="F2001" s="101"/>
      <c r="G2001" s="96">
        <f t="shared" si="125"/>
        <v>223</v>
      </c>
      <c r="I2001" s="96"/>
      <c r="K2001" t="str">
        <f t="shared" si="126"/>
        <v>223</v>
      </c>
      <c r="M2001" s="72"/>
      <c r="O2001" s="96">
        <f t="shared" si="127"/>
        <v>223</v>
      </c>
      <c r="T2001" s="83"/>
    </row>
    <row r="2002" spans="3:20" x14ac:dyDescent="0.2">
      <c r="C2002" s="96" t="str">
        <f t="shared" si="124"/>
        <v>224</v>
      </c>
      <c r="D2002" s="73"/>
      <c r="E2002" s="100"/>
      <c r="F2002" s="101"/>
      <c r="G2002" s="96">
        <f t="shared" si="125"/>
        <v>224</v>
      </c>
      <c r="I2002" s="96"/>
      <c r="K2002" t="str">
        <f t="shared" si="126"/>
        <v>224</v>
      </c>
      <c r="M2002" s="72"/>
      <c r="O2002" s="96">
        <f t="shared" si="127"/>
        <v>224</v>
      </c>
      <c r="T2002" s="83"/>
    </row>
    <row r="2003" spans="3:20" x14ac:dyDescent="0.2">
      <c r="C2003" s="96" t="str">
        <f t="shared" si="124"/>
        <v>225</v>
      </c>
      <c r="D2003" s="73"/>
      <c r="E2003" s="100"/>
      <c r="F2003" s="101"/>
      <c r="G2003" s="96">
        <f t="shared" si="125"/>
        <v>225</v>
      </c>
      <c r="I2003" s="96"/>
      <c r="K2003" t="str">
        <f t="shared" si="126"/>
        <v>225</v>
      </c>
      <c r="M2003" s="72"/>
      <c r="O2003" s="96">
        <f t="shared" si="127"/>
        <v>225</v>
      </c>
      <c r="T2003" s="83"/>
    </row>
    <row r="2004" spans="3:20" x14ac:dyDescent="0.2">
      <c r="C2004" s="96" t="str">
        <f t="shared" si="124"/>
        <v>226</v>
      </c>
      <c r="D2004" s="73"/>
      <c r="E2004" s="100"/>
      <c r="F2004" s="101"/>
      <c r="G2004" s="96">
        <f t="shared" si="125"/>
        <v>226</v>
      </c>
      <c r="I2004" s="96"/>
      <c r="K2004" t="str">
        <f t="shared" si="126"/>
        <v>226</v>
      </c>
      <c r="M2004" s="72"/>
      <c r="O2004" s="96">
        <f t="shared" si="127"/>
        <v>226</v>
      </c>
      <c r="T2004" s="83"/>
    </row>
    <row r="2005" spans="3:20" x14ac:dyDescent="0.2">
      <c r="C2005" s="96" t="str">
        <f t="shared" si="124"/>
        <v>227</v>
      </c>
      <c r="D2005" s="73"/>
      <c r="E2005" s="100"/>
      <c r="F2005" s="101"/>
      <c r="G2005" s="96">
        <f t="shared" si="125"/>
        <v>227</v>
      </c>
      <c r="I2005" s="96"/>
      <c r="K2005" t="str">
        <f t="shared" si="126"/>
        <v>227</v>
      </c>
      <c r="M2005" s="72"/>
      <c r="O2005" s="96">
        <f t="shared" si="127"/>
        <v>227</v>
      </c>
      <c r="T2005" s="110"/>
    </row>
    <row r="2006" spans="3:20" x14ac:dyDescent="0.2">
      <c r="C2006" s="96" t="str">
        <f t="shared" si="124"/>
        <v>228</v>
      </c>
      <c r="D2006" s="73"/>
      <c r="E2006" s="100"/>
      <c r="F2006" s="101"/>
      <c r="G2006" s="96">
        <f t="shared" si="125"/>
        <v>228</v>
      </c>
      <c r="I2006" s="96"/>
      <c r="K2006" t="str">
        <f t="shared" si="126"/>
        <v>228</v>
      </c>
      <c r="M2006" s="72"/>
      <c r="O2006" s="96">
        <f t="shared" si="127"/>
        <v>228</v>
      </c>
      <c r="T2006" s="110"/>
    </row>
    <row r="2007" spans="3:20" x14ac:dyDescent="0.2">
      <c r="C2007" s="96" t="str">
        <f t="shared" si="124"/>
        <v>229</v>
      </c>
      <c r="D2007" s="73"/>
      <c r="E2007" s="100"/>
      <c r="F2007" s="101"/>
      <c r="G2007" s="96">
        <f t="shared" si="125"/>
        <v>229</v>
      </c>
      <c r="I2007" s="96"/>
      <c r="K2007" t="str">
        <f t="shared" si="126"/>
        <v>229</v>
      </c>
      <c r="M2007" s="72"/>
      <c r="O2007" s="96">
        <f t="shared" si="127"/>
        <v>229</v>
      </c>
      <c r="T2007" s="110"/>
    </row>
    <row r="2008" spans="3:20" x14ac:dyDescent="0.2">
      <c r="C2008" s="96" t="str">
        <f t="shared" si="124"/>
        <v>230</v>
      </c>
      <c r="D2008" s="73"/>
      <c r="E2008" s="100"/>
      <c r="F2008" s="101"/>
      <c r="G2008" s="96">
        <f t="shared" si="125"/>
        <v>230</v>
      </c>
      <c r="I2008" s="96"/>
      <c r="K2008" t="str">
        <f t="shared" si="126"/>
        <v>230</v>
      </c>
      <c r="M2008" s="72"/>
      <c r="O2008" s="96">
        <f t="shared" si="127"/>
        <v>230</v>
      </c>
      <c r="T2008" s="110"/>
    </row>
    <row r="2009" spans="3:20" x14ac:dyDescent="0.2">
      <c r="C2009" s="96" t="str">
        <f t="shared" si="124"/>
        <v>231</v>
      </c>
      <c r="D2009" s="73"/>
      <c r="E2009" s="100"/>
      <c r="F2009" s="101"/>
      <c r="G2009" s="96">
        <f t="shared" si="125"/>
        <v>231</v>
      </c>
      <c r="I2009" s="96"/>
      <c r="K2009" t="str">
        <f t="shared" si="126"/>
        <v>231</v>
      </c>
      <c r="M2009" s="72"/>
      <c r="O2009" s="96">
        <f t="shared" si="127"/>
        <v>231</v>
      </c>
      <c r="T2009" s="110"/>
    </row>
    <row r="2010" spans="3:20" x14ac:dyDescent="0.2">
      <c r="C2010" s="96" t="str">
        <f t="shared" si="124"/>
        <v>232</v>
      </c>
      <c r="D2010" s="73"/>
      <c r="E2010" s="100"/>
      <c r="F2010" s="101"/>
      <c r="G2010" s="96">
        <f t="shared" si="125"/>
        <v>232</v>
      </c>
      <c r="I2010" s="96"/>
      <c r="K2010" t="str">
        <f t="shared" si="126"/>
        <v>232</v>
      </c>
      <c r="M2010" s="72"/>
      <c r="O2010" s="96">
        <f t="shared" si="127"/>
        <v>232</v>
      </c>
      <c r="T2010" s="110"/>
    </row>
    <row r="2011" spans="3:20" x14ac:dyDescent="0.2">
      <c r="C2011" s="96" t="str">
        <f t="shared" si="124"/>
        <v>233</v>
      </c>
      <c r="D2011" s="73"/>
      <c r="E2011" s="100"/>
      <c r="F2011" s="101"/>
      <c r="G2011" s="96">
        <f t="shared" si="125"/>
        <v>233</v>
      </c>
      <c r="I2011" s="96"/>
      <c r="K2011" t="str">
        <f t="shared" si="126"/>
        <v>233</v>
      </c>
      <c r="M2011" s="72"/>
      <c r="O2011" s="96">
        <f t="shared" si="127"/>
        <v>233</v>
      </c>
      <c r="T2011" s="110"/>
    </row>
    <row r="2012" spans="3:20" x14ac:dyDescent="0.2">
      <c r="C2012" s="96" t="str">
        <f t="shared" si="124"/>
        <v>234</v>
      </c>
      <c r="D2012" s="73"/>
      <c r="E2012" s="100"/>
      <c r="F2012" s="101"/>
      <c r="G2012" s="96">
        <f t="shared" si="125"/>
        <v>234</v>
      </c>
      <c r="I2012" s="96"/>
      <c r="K2012" t="str">
        <f t="shared" si="126"/>
        <v>234</v>
      </c>
      <c r="M2012" s="72"/>
      <c r="O2012" s="96">
        <f t="shared" si="127"/>
        <v>234</v>
      </c>
      <c r="T2012" s="110"/>
    </row>
    <row r="2013" spans="3:20" x14ac:dyDescent="0.2">
      <c r="C2013" s="96" t="str">
        <f t="shared" si="124"/>
        <v>235</v>
      </c>
      <c r="D2013" s="73"/>
      <c r="E2013" s="100"/>
      <c r="F2013" s="101"/>
      <c r="G2013" s="96">
        <f t="shared" si="125"/>
        <v>235</v>
      </c>
      <c r="I2013" s="96"/>
      <c r="K2013" t="str">
        <f t="shared" si="126"/>
        <v>235</v>
      </c>
      <c r="M2013" s="72"/>
      <c r="O2013" s="96">
        <f t="shared" si="127"/>
        <v>235</v>
      </c>
      <c r="T2013" s="110"/>
    </row>
    <row r="2014" spans="3:20" x14ac:dyDescent="0.2">
      <c r="C2014" s="96" t="str">
        <f t="shared" si="124"/>
        <v>236</v>
      </c>
      <c r="D2014" s="73"/>
      <c r="E2014" s="100"/>
      <c r="F2014" s="101"/>
      <c r="G2014" s="96">
        <f t="shared" si="125"/>
        <v>236</v>
      </c>
      <c r="I2014" s="96"/>
      <c r="K2014" t="str">
        <f t="shared" si="126"/>
        <v>236</v>
      </c>
      <c r="M2014" s="72"/>
      <c r="O2014" s="96">
        <f t="shared" si="127"/>
        <v>236</v>
      </c>
      <c r="T2014" s="110"/>
    </row>
    <row r="2015" spans="3:20" x14ac:dyDescent="0.2">
      <c r="C2015" s="96" t="str">
        <f t="shared" si="124"/>
        <v>237</v>
      </c>
      <c r="D2015" s="73"/>
      <c r="E2015" s="100"/>
      <c r="F2015" s="101"/>
      <c r="G2015" s="96">
        <f t="shared" si="125"/>
        <v>237</v>
      </c>
      <c r="I2015" s="96"/>
      <c r="K2015" t="str">
        <f t="shared" si="126"/>
        <v>237</v>
      </c>
      <c r="M2015" s="72"/>
      <c r="O2015" s="96">
        <f t="shared" si="127"/>
        <v>237</v>
      </c>
      <c r="T2015" s="110"/>
    </row>
    <row r="2016" spans="3:20" x14ac:dyDescent="0.2">
      <c r="C2016" s="96" t="str">
        <f t="shared" si="124"/>
        <v>238</v>
      </c>
      <c r="D2016" s="73"/>
      <c r="E2016" s="100"/>
      <c r="F2016" s="101"/>
      <c r="G2016" s="96">
        <f t="shared" si="125"/>
        <v>238</v>
      </c>
      <c r="I2016" s="96"/>
      <c r="K2016" t="str">
        <f t="shared" si="126"/>
        <v>238</v>
      </c>
      <c r="M2016" s="72"/>
      <c r="O2016" s="96">
        <f t="shared" si="127"/>
        <v>238</v>
      </c>
      <c r="T2016" s="110"/>
    </row>
    <row r="2017" spans="3:20" x14ac:dyDescent="0.2">
      <c r="C2017" s="96" t="str">
        <f t="shared" si="124"/>
        <v>239</v>
      </c>
      <c r="D2017" s="73"/>
      <c r="E2017" s="100"/>
      <c r="F2017" s="101"/>
      <c r="G2017" s="96">
        <f t="shared" si="125"/>
        <v>239</v>
      </c>
      <c r="I2017" s="96"/>
      <c r="K2017" t="str">
        <f t="shared" si="126"/>
        <v>239</v>
      </c>
      <c r="M2017" s="72"/>
      <c r="O2017" s="96">
        <f t="shared" si="127"/>
        <v>239</v>
      </c>
      <c r="T2017" s="110"/>
    </row>
    <row r="2018" spans="3:20" x14ac:dyDescent="0.2">
      <c r="C2018" s="96" t="str">
        <f t="shared" si="124"/>
        <v>240</v>
      </c>
      <c r="D2018" s="73"/>
      <c r="E2018" s="100"/>
      <c r="F2018" s="101"/>
      <c r="G2018" s="96">
        <f t="shared" si="125"/>
        <v>240</v>
      </c>
      <c r="I2018" s="96"/>
      <c r="K2018" t="str">
        <f t="shared" si="126"/>
        <v>240</v>
      </c>
      <c r="M2018" s="72"/>
      <c r="O2018" s="96">
        <f t="shared" si="127"/>
        <v>240</v>
      </c>
      <c r="T2018" s="110"/>
    </row>
    <row r="2019" spans="3:20" x14ac:dyDescent="0.2">
      <c r="C2019" s="96" t="str">
        <f t="shared" si="124"/>
        <v>241</v>
      </c>
      <c r="D2019" s="73"/>
      <c r="E2019" s="100"/>
      <c r="F2019" s="101"/>
      <c r="G2019" s="96">
        <f t="shared" si="125"/>
        <v>241</v>
      </c>
      <c r="I2019" s="96"/>
      <c r="K2019" t="str">
        <f t="shared" si="126"/>
        <v>241</v>
      </c>
      <c r="M2019" s="72"/>
      <c r="O2019" s="96">
        <f t="shared" si="127"/>
        <v>241</v>
      </c>
      <c r="T2019" s="110"/>
    </row>
    <row r="2020" spans="3:20" x14ac:dyDescent="0.2">
      <c r="C2020" s="96" t="str">
        <f t="shared" si="124"/>
        <v>242</v>
      </c>
      <c r="D2020" s="73"/>
      <c r="E2020" s="100"/>
      <c r="F2020" s="101"/>
      <c r="G2020" s="96">
        <f t="shared" si="125"/>
        <v>242</v>
      </c>
      <c r="I2020" s="96"/>
      <c r="K2020" t="str">
        <f t="shared" si="126"/>
        <v>242</v>
      </c>
      <c r="M2020" s="72"/>
      <c r="O2020" s="96">
        <f t="shared" si="127"/>
        <v>242</v>
      </c>
      <c r="T2020" s="110"/>
    </row>
    <row r="2021" spans="3:20" x14ac:dyDescent="0.2">
      <c r="C2021" s="96" t="str">
        <f t="shared" si="124"/>
        <v>243</v>
      </c>
      <c r="D2021" s="73"/>
      <c r="E2021" s="100"/>
      <c r="F2021" s="101"/>
      <c r="G2021" s="96">
        <f t="shared" si="125"/>
        <v>243</v>
      </c>
      <c r="I2021" s="96"/>
      <c r="K2021" t="str">
        <f t="shared" si="126"/>
        <v>243</v>
      </c>
      <c r="M2021" s="72"/>
      <c r="O2021" s="96">
        <f t="shared" si="127"/>
        <v>243</v>
      </c>
      <c r="T2021" s="110"/>
    </row>
    <row r="2022" spans="3:20" x14ac:dyDescent="0.2">
      <c r="C2022" s="96" t="str">
        <f t="shared" si="124"/>
        <v>244</v>
      </c>
      <c r="D2022" s="73"/>
      <c r="E2022" s="100"/>
      <c r="F2022" s="101"/>
      <c r="G2022" s="96">
        <f t="shared" si="125"/>
        <v>244</v>
      </c>
      <c r="I2022" s="96"/>
      <c r="K2022" t="str">
        <f t="shared" si="126"/>
        <v>244</v>
      </c>
      <c r="M2022" s="72"/>
      <c r="O2022" s="96">
        <f t="shared" si="127"/>
        <v>244</v>
      </c>
      <c r="T2022" s="110"/>
    </row>
    <row r="2023" spans="3:20" x14ac:dyDescent="0.2">
      <c r="C2023" s="96" t="str">
        <f t="shared" si="124"/>
        <v>245</v>
      </c>
      <c r="D2023" s="73"/>
      <c r="E2023" s="100"/>
      <c r="F2023" s="101"/>
      <c r="G2023" s="96">
        <f t="shared" si="125"/>
        <v>245</v>
      </c>
      <c r="I2023" s="96"/>
      <c r="K2023" t="str">
        <f t="shared" si="126"/>
        <v>245</v>
      </c>
      <c r="M2023" s="72"/>
      <c r="O2023" s="96">
        <f t="shared" si="127"/>
        <v>245</v>
      </c>
      <c r="T2023" s="110"/>
    </row>
    <row r="2024" spans="3:20" x14ac:dyDescent="0.2">
      <c r="C2024" s="96" t="str">
        <f t="shared" si="124"/>
        <v>246</v>
      </c>
      <c r="D2024" s="73"/>
      <c r="E2024" s="100"/>
      <c r="F2024" s="101"/>
      <c r="G2024" s="96">
        <f t="shared" si="125"/>
        <v>246</v>
      </c>
      <c r="I2024" s="96"/>
      <c r="K2024" t="str">
        <f t="shared" si="126"/>
        <v>246</v>
      </c>
      <c r="M2024" s="72"/>
      <c r="O2024" s="96">
        <f t="shared" si="127"/>
        <v>246</v>
      </c>
      <c r="T2024" s="110"/>
    </row>
    <row r="2025" spans="3:20" x14ac:dyDescent="0.2">
      <c r="C2025" s="96" t="str">
        <f t="shared" si="124"/>
        <v>247</v>
      </c>
      <c r="D2025" s="73"/>
      <c r="E2025" s="100"/>
      <c r="F2025" s="101"/>
      <c r="G2025" s="96">
        <f t="shared" si="125"/>
        <v>247</v>
      </c>
      <c r="I2025" s="96"/>
      <c r="K2025" t="str">
        <f t="shared" si="126"/>
        <v>247</v>
      </c>
      <c r="M2025" s="72"/>
      <c r="O2025" s="96">
        <f t="shared" si="127"/>
        <v>247</v>
      </c>
      <c r="T2025" s="110"/>
    </row>
    <row r="2026" spans="3:20" x14ac:dyDescent="0.2">
      <c r="C2026" s="96" t="str">
        <f t="shared" si="124"/>
        <v>248</v>
      </c>
      <c r="D2026" s="73"/>
      <c r="E2026" s="100"/>
      <c r="F2026" s="101"/>
      <c r="G2026" s="96">
        <f t="shared" si="125"/>
        <v>248</v>
      </c>
      <c r="I2026" s="96"/>
      <c r="K2026" t="str">
        <f t="shared" si="126"/>
        <v>248</v>
      </c>
      <c r="M2026" s="72"/>
      <c r="O2026" s="96">
        <f t="shared" si="127"/>
        <v>248</v>
      </c>
      <c r="T2026" s="110"/>
    </row>
    <row r="2027" spans="3:20" x14ac:dyDescent="0.2">
      <c r="C2027" s="96" t="str">
        <f t="shared" si="124"/>
        <v>249</v>
      </c>
      <c r="D2027" s="73"/>
      <c r="E2027" s="100"/>
      <c r="F2027" s="101"/>
      <c r="G2027" s="96">
        <f t="shared" si="125"/>
        <v>249</v>
      </c>
      <c r="I2027" s="96"/>
      <c r="K2027" t="str">
        <f t="shared" si="126"/>
        <v>249</v>
      </c>
      <c r="M2027" s="72"/>
      <c r="O2027" s="96">
        <f t="shared" si="127"/>
        <v>249</v>
      </c>
      <c r="T2027" s="110"/>
    </row>
    <row r="2028" spans="3:20" x14ac:dyDescent="0.2">
      <c r="C2028" s="96" t="str">
        <f t="shared" si="124"/>
        <v>250</v>
      </c>
      <c r="D2028" s="73"/>
      <c r="E2028" s="100"/>
      <c r="F2028" s="101"/>
      <c r="G2028" s="96">
        <f t="shared" si="125"/>
        <v>250</v>
      </c>
      <c r="I2028" s="96"/>
      <c r="K2028" t="str">
        <f t="shared" si="126"/>
        <v>250</v>
      </c>
      <c r="M2028" s="72"/>
      <c r="O2028" s="96">
        <f t="shared" si="127"/>
        <v>250</v>
      </c>
      <c r="T2028" s="110"/>
    </row>
    <row r="2029" spans="3:20" x14ac:dyDescent="0.2">
      <c r="C2029" s="96" t="str">
        <f t="shared" si="124"/>
        <v>251</v>
      </c>
      <c r="D2029" s="73"/>
      <c r="E2029" s="100"/>
      <c r="F2029" s="101"/>
      <c r="G2029" s="96">
        <f t="shared" si="125"/>
        <v>251</v>
      </c>
      <c r="I2029" s="96"/>
      <c r="K2029" t="str">
        <f t="shared" si="126"/>
        <v>251</v>
      </c>
      <c r="M2029" s="72"/>
      <c r="O2029" s="96">
        <f t="shared" si="127"/>
        <v>251</v>
      </c>
      <c r="T2029" s="110"/>
    </row>
    <row r="2030" spans="3:20" x14ac:dyDescent="0.2">
      <c r="C2030" s="96" t="str">
        <f t="shared" si="124"/>
        <v>252</v>
      </c>
      <c r="D2030" s="73"/>
      <c r="E2030" s="100"/>
      <c r="F2030" s="101"/>
      <c r="G2030" s="96">
        <f t="shared" si="125"/>
        <v>252</v>
      </c>
      <c r="I2030" s="96"/>
      <c r="K2030" t="str">
        <f t="shared" si="126"/>
        <v>252</v>
      </c>
      <c r="M2030" s="72"/>
      <c r="O2030" s="96">
        <f t="shared" si="127"/>
        <v>252</v>
      </c>
      <c r="T2030" s="110"/>
    </row>
    <row r="2031" spans="3:20" x14ac:dyDescent="0.2">
      <c r="C2031" s="96" t="str">
        <f t="shared" si="124"/>
        <v>253</v>
      </c>
      <c r="D2031" s="73"/>
      <c r="E2031" s="100"/>
      <c r="F2031" s="101"/>
      <c r="G2031" s="96">
        <f t="shared" si="125"/>
        <v>253</v>
      </c>
      <c r="I2031" s="96"/>
      <c r="K2031" t="str">
        <f t="shared" si="126"/>
        <v>253</v>
      </c>
      <c r="M2031" s="72"/>
      <c r="O2031" s="96">
        <f t="shared" si="127"/>
        <v>253</v>
      </c>
      <c r="T2031" s="110"/>
    </row>
    <row r="2032" spans="3:20" x14ac:dyDescent="0.2">
      <c r="C2032" s="96" t="str">
        <f t="shared" si="124"/>
        <v>254</v>
      </c>
      <c r="D2032" s="73"/>
      <c r="E2032" s="100"/>
      <c r="F2032" s="101"/>
      <c r="G2032" s="96">
        <f t="shared" si="125"/>
        <v>254</v>
      </c>
      <c r="I2032" s="96"/>
      <c r="K2032" t="str">
        <f t="shared" si="126"/>
        <v>254</v>
      </c>
      <c r="M2032" s="72"/>
      <c r="O2032" s="96">
        <f t="shared" si="127"/>
        <v>254</v>
      </c>
      <c r="T2032" s="110"/>
    </row>
    <row r="2033" spans="3:20" x14ac:dyDescent="0.2">
      <c r="C2033" s="96" t="str">
        <f t="shared" si="124"/>
        <v>255</v>
      </c>
      <c r="D2033" s="73"/>
      <c r="E2033" s="100"/>
      <c r="F2033" s="101"/>
      <c r="G2033" s="96">
        <f t="shared" si="125"/>
        <v>255</v>
      </c>
      <c r="I2033" s="96"/>
      <c r="K2033" t="str">
        <f t="shared" si="126"/>
        <v>255</v>
      </c>
      <c r="M2033" s="72"/>
      <c r="O2033" s="96">
        <f t="shared" si="127"/>
        <v>255</v>
      </c>
      <c r="T2033" s="110"/>
    </row>
    <row r="2034" spans="3:20" x14ac:dyDescent="0.2">
      <c r="C2034" s="96" t="str">
        <f t="shared" si="124"/>
        <v>256</v>
      </c>
      <c r="D2034" s="73"/>
      <c r="E2034" s="100"/>
      <c r="F2034" s="101"/>
      <c r="G2034" s="96">
        <f t="shared" si="125"/>
        <v>256</v>
      </c>
      <c r="I2034" s="96"/>
      <c r="K2034" t="str">
        <f t="shared" si="126"/>
        <v>256</v>
      </c>
      <c r="M2034" s="72"/>
      <c r="O2034" s="96">
        <f t="shared" si="127"/>
        <v>256</v>
      </c>
      <c r="T2034" s="110"/>
    </row>
    <row r="2035" spans="3:20" x14ac:dyDescent="0.2">
      <c r="C2035" s="96" t="str">
        <f t="shared" si="124"/>
        <v>257</v>
      </c>
      <c r="D2035" s="73"/>
      <c r="E2035" s="100"/>
      <c r="F2035" s="101"/>
      <c r="G2035" s="96">
        <f t="shared" si="125"/>
        <v>257</v>
      </c>
      <c r="I2035" s="96"/>
      <c r="K2035" t="str">
        <f t="shared" si="126"/>
        <v>257</v>
      </c>
      <c r="M2035" s="72"/>
      <c r="O2035" s="96">
        <f t="shared" si="127"/>
        <v>257</v>
      </c>
      <c r="T2035" s="110"/>
    </row>
    <row r="2036" spans="3:20" x14ac:dyDescent="0.2">
      <c r="C2036" s="96" t="str">
        <f t="shared" si="124"/>
        <v>258</v>
      </c>
      <c r="D2036" s="73"/>
      <c r="E2036" s="100"/>
      <c r="F2036" s="101"/>
      <c r="G2036" s="96">
        <f t="shared" si="125"/>
        <v>258</v>
      </c>
      <c r="I2036" s="96"/>
      <c r="K2036" t="str">
        <f t="shared" si="126"/>
        <v>258</v>
      </c>
      <c r="M2036" s="72"/>
      <c r="O2036" s="96">
        <f t="shared" si="127"/>
        <v>258</v>
      </c>
      <c r="T2036" s="110"/>
    </row>
    <row r="2037" spans="3:20" x14ac:dyDescent="0.2">
      <c r="C2037" s="96" t="str">
        <f t="shared" si="124"/>
        <v>259</v>
      </c>
      <c r="D2037" s="73"/>
      <c r="E2037" s="100"/>
      <c r="F2037" s="101"/>
      <c r="G2037" s="96">
        <f t="shared" si="125"/>
        <v>259</v>
      </c>
      <c r="I2037" s="96"/>
      <c r="K2037" t="str">
        <f t="shared" si="126"/>
        <v>259</v>
      </c>
      <c r="M2037" s="72"/>
      <c r="O2037" s="96">
        <f t="shared" si="127"/>
        <v>259</v>
      </c>
      <c r="T2037" s="110"/>
    </row>
    <row r="2038" spans="3:20" x14ac:dyDescent="0.2">
      <c r="C2038" s="96" t="str">
        <f t="shared" si="124"/>
        <v>260</v>
      </c>
      <c r="D2038" s="73"/>
      <c r="E2038" s="100"/>
      <c r="F2038" s="101"/>
      <c r="G2038" s="96">
        <f t="shared" si="125"/>
        <v>260</v>
      </c>
      <c r="I2038" s="96"/>
      <c r="K2038" t="str">
        <f t="shared" si="126"/>
        <v>260</v>
      </c>
      <c r="M2038" s="72"/>
      <c r="O2038" s="96">
        <f t="shared" si="127"/>
        <v>260</v>
      </c>
      <c r="T2038" s="110"/>
    </row>
    <row r="2039" spans="3:20" x14ac:dyDescent="0.2">
      <c r="C2039" s="96" t="str">
        <f t="shared" si="124"/>
        <v>261</v>
      </c>
      <c r="D2039" s="73"/>
      <c r="E2039" s="100"/>
      <c r="F2039" s="101"/>
      <c r="G2039" s="96">
        <f t="shared" si="125"/>
        <v>261</v>
      </c>
      <c r="I2039" s="96"/>
      <c r="K2039" t="str">
        <f t="shared" si="126"/>
        <v>261</v>
      </c>
      <c r="M2039" s="72"/>
      <c r="O2039" s="96">
        <f t="shared" si="127"/>
        <v>261</v>
      </c>
      <c r="T2039" s="110"/>
    </row>
    <row r="2040" spans="3:20" x14ac:dyDescent="0.2">
      <c r="C2040" s="96" t="str">
        <f t="shared" si="124"/>
        <v>262</v>
      </c>
      <c r="D2040" s="73"/>
      <c r="E2040" s="100"/>
      <c r="F2040" s="101"/>
      <c r="G2040" s="96">
        <f t="shared" si="125"/>
        <v>262</v>
      </c>
      <c r="I2040" s="96"/>
      <c r="K2040" t="str">
        <f t="shared" si="126"/>
        <v>262</v>
      </c>
      <c r="M2040" s="72"/>
      <c r="O2040" s="96">
        <f t="shared" si="127"/>
        <v>262</v>
      </c>
      <c r="T2040" s="110"/>
    </row>
    <row r="2041" spans="3:20" x14ac:dyDescent="0.2">
      <c r="C2041" s="96" t="str">
        <f t="shared" si="124"/>
        <v>263</v>
      </c>
      <c r="D2041" s="73"/>
      <c r="E2041" s="100"/>
      <c r="F2041" s="101"/>
      <c r="G2041" s="96">
        <f t="shared" si="125"/>
        <v>263</v>
      </c>
      <c r="I2041" s="96"/>
      <c r="K2041" t="str">
        <f t="shared" si="126"/>
        <v>263</v>
      </c>
      <c r="M2041" s="72"/>
      <c r="O2041" s="96">
        <f t="shared" si="127"/>
        <v>263</v>
      </c>
      <c r="T2041" s="110"/>
    </row>
    <row r="2042" spans="3:20" x14ac:dyDescent="0.2">
      <c r="C2042" s="96" t="str">
        <f t="shared" si="124"/>
        <v>264</v>
      </c>
      <c r="D2042" s="73"/>
      <c r="E2042" s="100"/>
      <c r="F2042" s="101"/>
      <c r="G2042" s="96">
        <f t="shared" si="125"/>
        <v>264</v>
      </c>
      <c r="I2042" s="96"/>
      <c r="K2042" t="str">
        <f t="shared" si="126"/>
        <v>264</v>
      </c>
      <c r="M2042" s="72"/>
      <c r="O2042" s="96">
        <f t="shared" si="127"/>
        <v>264</v>
      </c>
    </row>
    <row r="2043" spans="3:20" x14ac:dyDescent="0.2">
      <c r="C2043" s="96" t="str">
        <f t="shared" si="124"/>
        <v>265</v>
      </c>
      <c r="D2043" s="73"/>
      <c r="E2043" s="100"/>
      <c r="F2043" s="101"/>
      <c r="G2043" s="96">
        <f t="shared" si="125"/>
        <v>265</v>
      </c>
      <c r="I2043" s="96"/>
      <c r="K2043" t="str">
        <f t="shared" si="126"/>
        <v>265</v>
      </c>
      <c r="M2043" s="72"/>
      <c r="O2043" s="96">
        <f t="shared" si="127"/>
        <v>265</v>
      </c>
      <c r="T2043" s="110"/>
    </row>
    <row r="2044" spans="3:20" x14ac:dyDescent="0.2">
      <c r="C2044" s="96" t="str">
        <f t="shared" si="124"/>
        <v>266</v>
      </c>
      <c r="D2044" s="73"/>
      <c r="E2044" s="100"/>
      <c r="F2044" s="101"/>
      <c r="G2044" s="96">
        <f t="shared" si="125"/>
        <v>266</v>
      </c>
      <c r="I2044" s="96"/>
      <c r="K2044" t="str">
        <f t="shared" si="126"/>
        <v>266</v>
      </c>
      <c r="M2044" s="72"/>
      <c r="O2044" s="96">
        <f t="shared" si="127"/>
        <v>266</v>
      </c>
      <c r="T2044" s="110"/>
    </row>
    <row r="2045" spans="3:20" x14ac:dyDescent="0.2">
      <c r="C2045" s="96" t="str">
        <f t="shared" si="124"/>
        <v>267</v>
      </c>
      <c r="D2045" s="73"/>
      <c r="E2045" s="100"/>
      <c r="F2045" s="101"/>
      <c r="G2045" s="96">
        <f t="shared" si="125"/>
        <v>267</v>
      </c>
      <c r="I2045" s="96"/>
      <c r="K2045" t="str">
        <f t="shared" si="126"/>
        <v>267</v>
      </c>
      <c r="M2045" s="72"/>
      <c r="O2045" s="96">
        <f t="shared" si="127"/>
        <v>267</v>
      </c>
      <c r="T2045" s="110"/>
    </row>
    <row r="2046" spans="3:20" x14ac:dyDescent="0.2">
      <c r="C2046" s="96" t="str">
        <f t="shared" si="124"/>
        <v>268</v>
      </c>
      <c r="D2046" s="73"/>
      <c r="E2046" s="100"/>
      <c r="F2046" s="101"/>
      <c r="G2046" s="96">
        <f t="shared" si="125"/>
        <v>268</v>
      </c>
      <c r="I2046" s="96"/>
      <c r="K2046" t="str">
        <f t="shared" si="126"/>
        <v>268</v>
      </c>
      <c r="M2046" s="72"/>
      <c r="O2046" s="96">
        <f t="shared" si="127"/>
        <v>268</v>
      </c>
      <c r="T2046" s="110"/>
    </row>
    <row r="2047" spans="3:20" x14ac:dyDescent="0.2">
      <c r="C2047" s="96" t="str">
        <f t="shared" si="124"/>
        <v>269</v>
      </c>
      <c r="D2047" s="73"/>
      <c r="E2047" s="100"/>
      <c r="F2047" s="101"/>
      <c r="G2047" s="96">
        <f t="shared" si="125"/>
        <v>269</v>
      </c>
      <c r="I2047" s="96"/>
      <c r="K2047" t="str">
        <f t="shared" si="126"/>
        <v>269</v>
      </c>
      <c r="M2047" s="72"/>
      <c r="O2047" s="96">
        <f t="shared" si="127"/>
        <v>269</v>
      </c>
      <c r="T2047" s="110"/>
    </row>
    <row r="2048" spans="3:20" x14ac:dyDescent="0.2">
      <c r="C2048" s="96" t="str">
        <f t="shared" si="124"/>
        <v>270</v>
      </c>
      <c r="D2048" s="73"/>
      <c r="E2048" s="100"/>
      <c r="F2048" s="101"/>
      <c r="G2048" s="96">
        <f t="shared" si="125"/>
        <v>270</v>
      </c>
      <c r="I2048" s="96"/>
      <c r="K2048" t="str">
        <f t="shared" si="126"/>
        <v>270</v>
      </c>
      <c r="M2048" s="72"/>
      <c r="O2048" s="96">
        <f t="shared" si="127"/>
        <v>270</v>
      </c>
      <c r="T2048" s="110"/>
    </row>
    <row r="2049" spans="3:20" x14ac:dyDescent="0.2">
      <c r="C2049" s="96" t="str">
        <f t="shared" si="124"/>
        <v>271</v>
      </c>
      <c r="D2049" s="73"/>
      <c r="E2049" s="100"/>
      <c r="F2049" s="101"/>
      <c r="G2049" s="96">
        <f t="shared" si="125"/>
        <v>271</v>
      </c>
      <c r="I2049" s="96"/>
      <c r="K2049" t="str">
        <f t="shared" si="126"/>
        <v>271</v>
      </c>
      <c r="M2049" s="72"/>
      <c r="O2049" s="96">
        <f t="shared" si="127"/>
        <v>271</v>
      </c>
      <c r="T2049" s="110"/>
    </row>
    <row r="2050" spans="3:20" x14ac:dyDescent="0.2">
      <c r="C2050" s="96" t="str">
        <f t="shared" si="124"/>
        <v>272</v>
      </c>
      <c r="D2050" s="73"/>
      <c r="E2050" s="100"/>
      <c r="F2050" s="101"/>
      <c r="G2050" s="96">
        <f t="shared" si="125"/>
        <v>272</v>
      </c>
      <c r="I2050" s="96"/>
      <c r="K2050" t="str">
        <f t="shared" si="126"/>
        <v>272</v>
      </c>
      <c r="M2050" s="72"/>
      <c r="O2050" s="96">
        <f t="shared" si="127"/>
        <v>272</v>
      </c>
      <c r="T2050" s="110"/>
    </row>
    <row r="2051" spans="3:20" x14ac:dyDescent="0.2">
      <c r="C2051" s="96" t="str">
        <f t="shared" ref="C2051:C2114" si="128">D2051&amp;G2051</f>
        <v>273</v>
      </c>
      <c r="D2051" s="73"/>
      <c r="E2051" s="100"/>
      <c r="F2051" s="101"/>
      <c r="G2051" s="96">
        <f t="shared" ref="G2051:G2114" si="129">IF(D2051&lt;&gt;D2050,1,G2050+1)</f>
        <v>273</v>
      </c>
      <c r="I2051" s="96"/>
      <c r="K2051" t="str">
        <f t="shared" ref="K2051:K2114" si="130">L2051&amp;O2051</f>
        <v>273</v>
      </c>
      <c r="M2051" s="72"/>
      <c r="O2051" s="96">
        <f t="shared" ref="O2051:O2114" si="131">IF(L2051&lt;&gt;L2050,1,O2050+1)</f>
        <v>273</v>
      </c>
      <c r="T2051" s="110"/>
    </row>
    <row r="2052" spans="3:20" x14ac:dyDescent="0.2">
      <c r="C2052" s="96" t="str">
        <f t="shared" si="128"/>
        <v>274</v>
      </c>
      <c r="D2052" s="73"/>
      <c r="E2052" s="100"/>
      <c r="F2052" s="101"/>
      <c r="G2052" s="96">
        <f t="shared" si="129"/>
        <v>274</v>
      </c>
      <c r="I2052" s="96"/>
      <c r="K2052" t="str">
        <f t="shared" si="130"/>
        <v>274</v>
      </c>
      <c r="M2052" s="72"/>
      <c r="O2052" s="96">
        <f t="shared" si="131"/>
        <v>274</v>
      </c>
      <c r="T2052" s="110"/>
    </row>
    <row r="2053" spans="3:20" x14ac:dyDescent="0.2">
      <c r="C2053" s="96" t="str">
        <f t="shared" si="128"/>
        <v>275</v>
      </c>
      <c r="D2053" s="73"/>
      <c r="E2053" s="100"/>
      <c r="F2053" s="101"/>
      <c r="G2053" s="96">
        <f t="shared" si="129"/>
        <v>275</v>
      </c>
      <c r="I2053" s="96"/>
      <c r="K2053" t="str">
        <f t="shared" si="130"/>
        <v>275</v>
      </c>
      <c r="M2053" s="72"/>
      <c r="O2053" s="96">
        <f t="shared" si="131"/>
        <v>275</v>
      </c>
      <c r="T2053" s="110"/>
    </row>
    <row r="2054" spans="3:20" x14ac:dyDescent="0.2">
      <c r="C2054" s="96" t="str">
        <f t="shared" si="128"/>
        <v>276</v>
      </c>
      <c r="D2054" s="73"/>
      <c r="E2054" s="100"/>
      <c r="F2054" s="101"/>
      <c r="G2054" s="96">
        <f t="shared" si="129"/>
        <v>276</v>
      </c>
      <c r="I2054" s="96"/>
      <c r="K2054" t="str">
        <f t="shared" si="130"/>
        <v>276</v>
      </c>
      <c r="M2054" s="72"/>
      <c r="O2054" s="96">
        <f t="shared" si="131"/>
        <v>276</v>
      </c>
      <c r="T2054" s="110"/>
    </row>
    <row r="2055" spans="3:20" x14ac:dyDescent="0.2">
      <c r="C2055" s="96" t="str">
        <f t="shared" si="128"/>
        <v>277</v>
      </c>
      <c r="D2055" s="73"/>
      <c r="E2055" s="100"/>
      <c r="F2055" s="101"/>
      <c r="G2055" s="96">
        <f t="shared" si="129"/>
        <v>277</v>
      </c>
      <c r="I2055" s="96"/>
      <c r="K2055" t="str">
        <f t="shared" si="130"/>
        <v>277</v>
      </c>
      <c r="M2055" s="72"/>
      <c r="O2055" s="96">
        <f t="shared" si="131"/>
        <v>277</v>
      </c>
      <c r="T2055" s="110"/>
    </row>
    <row r="2056" spans="3:20" x14ac:dyDescent="0.2">
      <c r="C2056" s="96" t="str">
        <f t="shared" si="128"/>
        <v>278</v>
      </c>
      <c r="D2056" s="73"/>
      <c r="E2056" s="100"/>
      <c r="F2056" s="101"/>
      <c r="G2056" s="96">
        <f t="shared" si="129"/>
        <v>278</v>
      </c>
      <c r="I2056" s="96"/>
      <c r="K2056" t="str">
        <f t="shared" si="130"/>
        <v>278</v>
      </c>
      <c r="M2056" s="72"/>
      <c r="O2056" s="96">
        <f t="shared" si="131"/>
        <v>278</v>
      </c>
      <c r="T2056" s="110"/>
    </row>
    <row r="2057" spans="3:20" x14ac:dyDescent="0.2">
      <c r="C2057" s="96" t="str">
        <f t="shared" si="128"/>
        <v>279</v>
      </c>
      <c r="D2057" s="73"/>
      <c r="E2057" s="100"/>
      <c r="F2057" s="101"/>
      <c r="G2057" s="96">
        <f t="shared" si="129"/>
        <v>279</v>
      </c>
      <c r="I2057" s="96"/>
      <c r="K2057" t="str">
        <f t="shared" si="130"/>
        <v>279</v>
      </c>
      <c r="M2057" s="72"/>
      <c r="O2057" s="96">
        <f t="shared" si="131"/>
        <v>279</v>
      </c>
      <c r="T2057" s="110"/>
    </row>
    <row r="2058" spans="3:20" x14ac:dyDescent="0.2">
      <c r="C2058" s="96" t="str">
        <f t="shared" si="128"/>
        <v>280</v>
      </c>
      <c r="D2058" s="73"/>
      <c r="E2058" s="100"/>
      <c r="F2058" s="101"/>
      <c r="G2058" s="96">
        <f t="shared" si="129"/>
        <v>280</v>
      </c>
      <c r="I2058" s="96"/>
      <c r="K2058" t="str">
        <f t="shared" si="130"/>
        <v>280</v>
      </c>
      <c r="M2058" s="72"/>
      <c r="O2058" s="96">
        <f t="shared" si="131"/>
        <v>280</v>
      </c>
      <c r="T2058" s="110"/>
    </row>
    <row r="2059" spans="3:20" x14ac:dyDescent="0.2">
      <c r="C2059" s="96" t="str">
        <f t="shared" si="128"/>
        <v>281</v>
      </c>
      <c r="D2059" s="73"/>
      <c r="E2059" s="100"/>
      <c r="F2059" s="101"/>
      <c r="G2059" s="96">
        <f t="shared" si="129"/>
        <v>281</v>
      </c>
      <c r="I2059" s="96"/>
      <c r="K2059" t="str">
        <f t="shared" si="130"/>
        <v>281</v>
      </c>
      <c r="M2059" s="72"/>
      <c r="O2059" s="96">
        <f t="shared" si="131"/>
        <v>281</v>
      </c>
      <c r="T2059" s="110"/>
    </row>
    <row r="2060" spans="3:20" x14ac:dyDescent="0.2">
      <c r="C2060" s="96" t="str">
        <f t="shared" si="128"/>
        <v>282</v>
      </c>
      <c r="D2060" s="73"/>
      <c r="E2060" s="100"/>
      <c r="F2060" s="101"/>
      <c r="G2060" s="96">
        <f t="shared" si="129"/>
        <v>282</v>
      </c>
      <c r="I2060" s="96"/>
      <c r="K2060" t="str">
        <f t="shared" si="130"/>
        <v>282</v>
      </c>
      <c r="M2060" s="72"/>
      <c r="O2060" s="96">
        <f t="shared" si="131"/>
        <v>282</v>
      </c>
      <c r="T2060" s="110"/>
    </row>
    <row r="2061" spans="3:20" x14ac:dyDescent="0.2">
      <c r="C2061" s="96" t="str">
        <f t="shared" si="128"/>
        <v>283</v>
      </c>
      <c r="D2061" s="73"/>
      <c r="E2061" s="100"/>
      <c r="F2061" s="101"/>
      <c r="G2061" s="96">
        <f t="shared" si="129"/>
        <v>283</v>
      </c>
      <c r="I2061" s="96"/>
      <c r="K2061" t="str">
        <f t="shared" si="130"/>
        <v>283</v>
      </c>
      <c r="M2061" s="72"/>
      <c r="O2061" s="96">
        <f t="shared" si="131"/>
        <v>283</v>
      </c>
      <c r="T2061" s="110"/>
    </row>
    <row r="2062" spans="3:20" x14ac:dyDescent="0.2">
      <c r="C2062" s="96" t="str">
        <f t="shared" si="128"/>
        <v>284</v>
      </c>
      <c r="D2062" s="73"/>
      <c r="E2062" s="100"/>
      <c r="F2062" s="101"/>
      <c r="G2062" s="96">
        <f t="shared" si="129"/>
        <v>284</v>
      </c>
      <c r="I2062" s="96"/>
      <c r="K2062" t="str">
        <f t="shared" si="130"/>
        <v>284</v>
      </c>
      <c r="M2062" s="72"/>
      <c r="O2062" s="96">
        <f t="shared" si="131"/>
        <v>284</v>
      </c>
      <c r="T2062" s="110"/>
    </row>
    <row r="2063" spans="3:20" x14ac:dyDescent="0.2">
      <c r="C2063" s="96" t="str">
        <f t="shared" si="128"/>
        <v>285</v>
      </c>
      <c r="D2063" s="73"/>
      <c r="E2063" s="100"/>
      <c r="F2063" s="101"/>
      <c r="G2063" s="96">
        <f t="shared" si="129"/>
        <v>285</v>
      </c>
      <c r="I2063" s="96"/>
      <c r="K2063" t="str">
        <f t="shared" si="130"/>
        <v>285</v>
      </c>
      <c r="M2063" s="72"/>
      <c r="O2063" s="96">
        <f t="shared" si="131"/>
        <v>285</v>
      </c>
      <c r="T2063" s="110"/>
    </row>
    <row r="2064" spans="3:20" x14ac:dyDescent="0.2">
      <c r="C2064" s="96" t="str">
        <f t="shared" si="128"/>
        <v>286</v>
      </c>
      <c r="D2064" s="73"/>
      <c r="E2064" s="100"/>
      <c r="F2064" s="101"/>
      <c r="G2064" s="96">
        <f t="shared" si="129"/>
        <v>286</v>
      </c>
      <c r="I2064" s="96"/>
      <c r="K2064" t="str">
        <f t="shared" si="130"/>
        <v>286</v>
      </c>
      <c r="M2064" s="72"/>
      <c r="O2064" s="96">
        <f t="shared" si="131"/>
        <v>286</v>
      </c>
      <c r="T2064" s="110"/>
    </row>
    <row r="2065" spans="3:20" x14ac:dyDescent="0.2">
      <c r="C2065" s="96" t="str">
        <f t="shared" si="128"/>
        <v>287</v>
      </c>
      <c r="D2065" s="73"/>
      <c r="E2065" s="100"/>
      <c r="F2065" s="101"/>
      <c r="G2065" s="96">
        <f t="shared" si="129"/>
        <v>287</v>
      </c>
      <c r="I2065" s="96"/>
      <c r="K2065" t="str">
        <f t="shared" si="130"/>
        <v>287</v>
      </c>
      <c r="M2065" s="72"/>
      <c r="O2065" s="96">
        <f t="shared" si="131"/>
        <v>287</v>
      </c>
      <c r="T2065" s="110"/>
    </row>
    <row r="2066" spans="3:20" x14ac:dyDescent="0.2">
      <c r="C2066" s="96" t="str">
        <f t="shared" si="128"/>
        <v>288</v>
      </c>
      <c r="D2066" s="73"/>
      <c r="E2066" s="100"/>
      <c r="F2066" s="101"/>
      <c r="G2066" s="96">
        <f t="shared" si="129"/>
        <v>288</v>
      </c>
      <c r="I2066" s="96"/>
      <c r="K2066" t="str">
        <f t="shared" si="130"/>
        <v>288</v>
      </c>
      <c r="M2066" s="72"/>
      <c r="O2066" s="96">
        <f t="shared" si="131"/>
        <v>288</v>
      </c>
      <c r="T2066" s="110"/>
    </row>
    <row r="2067" spans="3:20" x14ac:dyDescent="0.2">
      <c r="C2067" s="96" t="str">
        <f t="shared" si="128"/>
        <v>289</v>
      </c>
      <c r="D2067" s="73"/>
      <c r="E2067" s="100"/>
      <c r="F2067" s="101"/>
      <c r="G2067" s="96">
        <f t="shared" si="129"/>
        <v>289</v>
      </c>
      <c r="I2067" s="96"/>
      <c r="K2067" t="str">
        <f t="shared" si="130"/>
        <v>289</v>
      </c>
      <c r="M2067" s="72"/>
      <c r="O2067" s="96">
        <f t="shared" si="131"/>
        <v>289</v>
      </c>
      <c r="T2067" s="110"/>
    </row>
    <row r="2068" spans="3:20" x14ac:dyDescent="0.2">
      <c r="C2068" s="96" t="str">
        <f t="shared" si="128"/>
        <v>290</v>
      </c>
      <c r="D2068" s="73"/>
      <c r="E2068" s="100"/>
      <c r="F2068" s="101"/>
      <c r="G2068" s="96">
        <f t="shared" si="129"/>
        <v>290</v>
      </c>
      <c r="I2068" s="96"/>
      <c r="K2068" t="str">
        <f t="shared" si="130"/>
        <v>290</v>
      </c>
      <c r="M2068" s="72"/>
      <c r="O2068" s="96">
        <f t="shared" si="131"/>
        <v>290</v>
      </c>
      <c r="T2068" s="110"/>
    </row>
    <row r="2069" spans="3:20" x14ac:dyDescent="0.2">
      <c r="C2069" s="96" t="str">
        <f t="shared" si="128"/>
        <v>291</v>
      </c>
      <c r="D2069" s="73"/>
      <c r="E2069" s="100"/>
      <c r="F2069" s="101"/>
      <c r="G2069" s="96">
        <f t="shared" si="129"/>
        <v>291</v>
      </c>
      <c r="I2069" s="96"/>
      <c r="K2069" t="str">
        <f t="shared" si="130"/>
        <v>291</v>
      </c>
      <c r="M2069" s="72"/>
      <c r="O2069" s="96">
        <f t="shared" si="131"/>
        <v>291</v>
      </c>
      <c r="T2069" s="110"/>
    </row>
    <row r="2070" spans="3:20" x14ac:dyDescent="0.2">
      <c r="C2070" s="96" t="str">
        <f t="shared" si="128"/>
        <v>292</v>
      </c>
      <c r="D2070" s="73"/>
      <c r="E2070" s="100"/>
      <c r="F2070" s="101"/>
      <c r="G2070" s="96">
        <f t="shared" si="129"/>
        <v>292</v>
      </c>
      <c r="I2070" s="96"/>
      <c r="K2070" t="str">
        <f t="shared" si="130"/>
        <v>292</v>
      </c>
      <c r="M2070" s="72"/>
      <c r="O2070" s="96">
        <f t="shared" si="131"/>
        <v>292</v>
      </c>
      <c r="T2070" s="110"/>
    </row>
    <row r="2071" spans="3:20" x14ac:dyDescent="0.2">
      <c r="C2071" s="96" t="str">
        <f t="shared" si="128"/>
        <v>293</v>
      </c>
      <c r="D2071" s="73"/>
      <c r="E2071" s="100"/>
      <c r="F2071" s="101"/>
      <c r="G2071" s="96">
        <f t="shared" si="129"/>
        <v>293</v>
      </c>
      <c r="I2071" s="96"/>
      <c r="K2071" t="str">
        <f t="shared" si="130"/>
        <v>293</v>
      </c>
      <c r="M2071" s="72"/>
      <c r="O2071" s="96">
        <f t="shared" si="131"/>
        <v>293</v>
      </c>
      <c r="T2071" s="110"/>
    </row>
    <row r="2072" spans="3:20" x14ac:dyDescent="0.2">
      <c r="C2072" s="96" t="str">
        <f t="shared" si="128"/>
        <v>294</v>
      </c>
      <c r="D2072" s="73"/>
      <c r="E2072" s="100"/>
      <c r="F2072" s="101"/>
      <c r="G2072" s="96">
        <f t="shared" si="129"/>
        <v>294</v>
      </c>
      <c r="I2072" s="96"/>
      <c r="K2072" t="str">
        <f t="shared" si="130"/>
        <v>294</v>
      </c>
      <c r="M2072" s="72"/>
      <c r="O2072" s="96">
        <f t="shared" si="131"/>
        <v>294</v>
      </c>
      <c r="T2072" s="110"/>
    </row>
    <row r="2073" spans="3:20" x14ac:dyDescent="0.2">
      <c r="C2073" s="96" t="str">
        <f t="shared" si="128"/>
        <v>295</v>
      </c>
      <c r="D2073" s="73"/>
      <c r="E2073" s="100"/>
      <c r="F2073" s="101"/>
      <c r="G2073" s="96">
        <f t="shared" si="129"/>
        <v>295</v>
      </c>
      <c r="I2073" s="96"/>
      <c r="K2073" t="str">
        <f t="shared" si="130"/>
        <v>295</v>
      </c>
      <c r="M2073" s="72"/>
      <c r="O2073" s="96">
        <f t="shared" si="131"/>
        <v>295</v>
      </c>
      <c r="T2073" s="110"/>
    </row>
    <row r="2074" spans="3:20" x14ac:dyDescent="0.2">
      <c r="C2074" s="96" t="str">
        <f t="shared" si="128"/>
        <v>296</v>
      </c>
      <c r="D2074" s="73"/>
      <c r="E2074" s="100"/>
      <c r="F2074" s="101"/>
      <c r="G2074" s="96">
        <f t="shared" si="129"/>
        <v>296</v>
      </c>
      <c r="I2074" s="96"/>
      <c r="K2074" t="str">
        <f t="shared" si="130"/>
        <v>296</v>
      </c>
      <c r="M2074" s="72"/>
      <c r="O2074" s="96">
        <f t="shared" si="131"/>
        <v>296</v>
      </c>
      <c r="T2074" s="110"/>
    </row>
    <row r="2075" spans="3:20" x14ac:dyDescent="0.2">
      <c r="C2075" s="96" t="str">
        <f t="shared" si="128"/>
        <v>297</v>
      </c>
      <c r="D2075" s="73"/>
      <c r="E2075" s="100"/>
      <c r="F2075" s="101"/>
      <c r="G2075" s="96">
        <f t="shared" si="129"/>
        <v>297</v>
      </c>
      <c r="I2075" s="96"/>
      <c r="K2075" t="str">
        <f t="shared" si="130"/>
        <v>297</v>
      </c>
      <c r="M2075" s="72"/>
      <c r="O2075" s="96">
        <f t="shared" si="131"/>
        <v>297</v>
      </c>
      <c r="T2075" s="110"/>
    </row>
    <row r="2076" spans="3:20" x14ac:dyDescent="0.2">
      <c r="C2076" s="96" t="str">
        <f t="shared" si="128"/>
        <v>298</v>
      </c>
      <c r="D2076" s="73"/>
      <c r="E2076" s="100"/>
      <c r="F2076" s="101"/>
      <c r="G2076" s="96">
        <f t="shared" si="129"/>
        <v>298</v>
      </c>
      <c r="I2076" s="96"/>
      <c r="K2076" t="str">
        <f t="shared" si="130"/>
        <v>298</v>
      </c>
      <c r="M2076" s="72"/>
      <c r="O2076" s="96">
        <f t="shared" si="131"/>
        <v>298</v>
      </c>
      <c r="T2076" s="110"/>
    </row>
    <row r="2077" spans="3:20" x14ac:dyDescent="0.2">
      <c r="C2077" s="96" t="str">
        <f t="shared" si="128"/>
        <v>299</v>
      </c>
      <c r="D2077" s="73"/>
      <c r="E2077" s="100"/>
      <c r="F2077" s="101"/>
      <c r="G2077" s="96">
        <f t="shared" si="129"/>
        <v>299</v>
      </c>
      <c r="I2077" s="96"/>
      <c r="K2077" t="str">
        <f t="shared" si="130"/>
        <v>299</v>
      </c>
      <c r="M2077" s="72"/>
      <c r="O2077" s="96">
        <f t="shared" si="131"/>
        <v>299</v>
      </c>
      <c r="T2077" s="110"/>
    </row>
    <row r="2078" spans="3:20" x14ac:dyDescent="0.2">
      <c r="C2078" s="96" t="str">
        <f t="shared" si="128"/>
        <v>300</v>
      </c>
      <c r="D2078" s="73"/>
      <c r="E2078" s="100"/>
      <c r="F2078" s="101"/>
      <c r="G2078" s="96">
        <f t="shared" si="129"/>
        <v>300</v>
      </c>
      <c r="I2078" s="96"/>
      <c r="K2078" t="str">
        <f t="shared" si="130"/>
        <v>300</v>
      </c>
      <c r="M2078" s="72"/>
      <c r="O2078" s="96">
        <f t="shared" si="131"/>
        <v>300</v>
      </c>
      <c r="T2078" s="110"/>
    </row>
    <row r="2079" spans="3:20" x14ac:dyDescent="0.2">
      <c r="C2079" s="96" t="str">
        <f t="shared" si="128"/>
        <v>301</v>
      </c>
      <c r="D2079" s="73"/>
      <c r="E2079" s="100"/>
      <c r="F2079" s="101"/>
      <c r="G2079" s="96">
        <f t="shared" si="129"/>
        <v>301</v>
      </c>
      <c r="I2079" s="96"/>
      <c r="K2079" t="str">
        <f t="shared" si="130"/>
        <v>301</v>
      </c>
      <c r="M2079" s="72"/>
      <c r="O2079" s="96">
        <f t="shared" si="131"/>
        <v>301</v>
      </c>
      <c r="T2079" s="110"/>
    </row>
    <row r="2080" spans="3:20" x14ac:dyDescent="0.2">
      <c r="C2080" s="96" t="str">
        <f t="shared" si="128"/>
        <v>302</v>
      </c>
      <c r="D2080" s="73"/>
      <c r="E2080" s="100"/>
      <c r="F2080" s="101"/>
      <c r="G2080" s="96">
        <f t="shared" si="129"/>
        <v>302</v>
      </c>
      <c r="I2080" s="96"/>
      <c r="K2080" t="str">
        <f t="shared" si="130"/>
        <v>302</v>
      </c>
      <c r="M2080" s="72"/>
      <c r="O2080" s="96">
        <f t="shared" si="131"/>
        <v>302</v>
      </c>
      <c r="T2080" s="110"/>
    </row>
    <row r="2081" spans="3:20" x14ac:dyDescent="0.2">
      <c r="C2081" s="96" t="str">
        <f t="shared" si="128"/>
        <v>303</v>
      </c>
      <c r="D2081" s="73"/>
      <c r="E2081" s="100"/>
      <c r="F2081" s="101"/>
      <c r="G2081" s="96">
        <f t="shared" si="129"/>
        <v>303</v>
      </c>
      <c r="I2081" s="96"/>
      <c r="K2081" t="str">
        <f t="shared" si="130"/>
        <v>303</v>
      </c>
      <c r="M2081" s="72"/>
      <c r="O2081" s="96">
        <f t="shared" si="131"/>
        <v>303</v>
      </c>
      <c r="T2081" s="110"/>
    </row>
    <row r="2082" spans="3:20" x14ac:dyDescent="0.2">
      <c r="C2082" s="96" t="str">
        <f t="shared" si="128"/>
        <v>304</v>
      </c>
      <c r="D2082" s="73"/>
      <c r="E2082" s="100"/>
      <c r="F2082" s="101"/>
      <c r="G2082" s="96">
        <f t="shared" si="129"/>
        <v>304</v>
      </c>
      <c r="I2082" s="96"/>
      <c r="K2082" t="str">
        <f t="shared" si="130"/>
        <v>304</v>
      </c>
      <c r="M2082" s="72"/>
      <c r="O2082" s="96">
        <f t="shared" si="131"/>
        <v>304</v>
      </c>
      <c r="T2082" s="110"/>
    </row>
    <row r="2083" spans="3:20" x14ac:dyDescent="0.2">
      <c r="C2083" s="96" t="str">
        <f t="shared" si="128"/>
        <v>305</v>
      </c>
      <c r="D2083" s="73"/>
      <c r="E2083" s="100"/>
      <c r="F2083" s="101"/>
      <c r="G2083" s="96">
        <f t="shared" si="129"/>
        <v>305</v>
      </c>
      <c r="I2083" s="96"/>
      <c r="K2083" t="str">
        <f t="shared" si="130"/>
        <v>305</v>
      </c>
      <c r="M2083" s="72"/>
      <c r="O2083" s="96">
        <f t="shared" si="131"/>
        <v>305</v>
      </c>
      <c r="T2083" s="110"/>
    </row>
    <row r="2084" spans="3:20" x14ac:dyDescent="0.2">
      <c r="C2084" s="96" t="str">
        <f t="shared" si="128"/>
        <v>306</v>
      </c>
      <c r="D2084" s="73"/>
      <c r="E2084" s="100"/>
      <c r="F2084" s="101"/>
      <c r="G2084" s="96">
        <f t="shared" si="129"/>
        <v>306</v>
      </c>
      <c r="I2084" s="96"/>
      <c r="K2084" t="str">
        <f t="shared" si="130"/>
        <v>306</v>
      </c>
      <c r="M2084" s="72"/>
      <c r="O2084" s="96">
        <f t="shared" si="131"/>
        <v>306</v>
      </c>
      <c r="T2084" s="110"/>
    </row>
    <row r="2085" spans="3:20" x14ac:dyDescent="0.2">
      <c r="C2085" s="96" t="str">
        <f t="shared" si="128"/>
        <v>307</v>
      </c>
      <c r="D2085" s="73"/>
      <c r="E2085" s="100"/>
      <c r="F2085" s="101"/>
      <c r="G2085" s="96">
        <f t="shared" si="129"/>
        <v>307</v>
      </c>
      <c r="I2085" s="96"/>
      <c r="K2085" t="str">
        <f t="shared" si="130"/>
        <v>307</v>
      </c>
      <c r="M2085" s="72"/>
      <c r="O2085" s="96">
        <f t="shared" si="131"/>
        <v>307</v>
      </c>
      <c r="T2085" s="110"/>
    </row>
    <row r="2086" spans="3:20" x14ac:dyDescent="0.2">
      <c r="C2086" s="96" t="str">
        <f t="shared" si="128"/>
        <v>308</v>
      </c>
      <c r="D2086" s="73"/>
      <c r="E2086" s="100"/>
      <c r="F2086" s="101"/>
      <c r="G2086" s="96">
        <f t="shared" si="129"/>
        <v>308</v>
      </c>
      <c r="I2086" s="96"/>
      <c r="K2086" t="str">
        <f t="shared" si="130"/>
        <v>308</v>
      </c>
      <c r="M2086" s="72"/>
      <c r="O2086" s="96">
        <f t="shared" si="131"/>
        <v>308</v>
      </c>
      <c r="T2086" s="110"/>
    </row>
    <row r="2087" spans="3:20" x14ac:dyDescent="0.2">
      <c r="C2087" s="96" t="str">
        <f t="shared" si="128"/>
        <v>309</v>
      </c>
      <c r="D2087" s="73"/>
      <c r="E2087" s="100"/>
      <c r="F2087" s="101"/>
      <c r="G2087" s="96">
        <f t="shared" si="129"/>
        <v>309</v>
      </c>
      <c r="I2087" s="96"/>
      <c r="K2087" t="str">
        <f t="shared" si="130"/>
        <v>309</v>
      </c>
      <c r="M2087" s="72"/>
      <c r="O2087" s="96">
        <f t="shared" si="131"/>
        <v>309</v>
      </c>
      <c r="T2087" s="110"/>
    </row>
    <row r="2088" spans="3:20" x14ac:dyDescent="0.2">
      <c r="C2088" s="96" t="str">
        <f t="shared" si="128"/>
        <v>310</v>
      </c>
      <c r="D2088" s="73"/>
      <c r="E2088" s="100"/>
      <c r="F2088" s="101"/>
      <c r="G2088" s="96">
        <f t="shared" si="129"/>
        <v>310</v>
      </c>
      <c r="I2088" s="96"/>
      <c r="K2088" t="str">
        <f t="shared" si="130"/>
        <v>310</v>
      </c>
      <c r="M2088" s="72"/>
      <c r="O2088" s="96">
        <f t="shared" si="131"/>
        <v>310</v>
      </c>
      <c r="T2088" s="110"/>
    </row>
    <row r="2089" spans="3:20" x14ac:dyDescent="0.2">
      <c r="C2089" s="96" t="str">
        <f t="shared" si="128"/>
        <v>311</v>
      </c>
      <c r="D2089" s="73"/>
      <c r="E2089" s="100"/>
      <c r="F2089" s="101"/>
      <c r="G2089" s="96">
        <f t="shared" si="129"/>
        <v>311</v>
      </c>
      <c r="I2089" s="96"/>
      <c r="K2089" t="str">
        <f t="shared" si="130"/>
        <v>311</v>
      </c>
      <c r="M2089" s="72"/>
      <c r="O2089" s="96">
        <f t="shared" si="131"/>
        <v>311</v>
      </c>
      <c r="T2089" s="110"/>
    </row>
    <row r="2090" spans="3:20" x14ac:dyDescent="0.2">
      <c r="C2090" s="96" t="str">
        <f t="shared" si="128"/>
        <v>312</v>
      </c>
      <c r="D2090" s="73"/>
      <c r="E2090" s="100"/>
      <c r="F2090" s="101"/>
      <c r="G2090" s="96">
        <f t="shared" si="129"/>
        <v>312</v>
      </c>
      <c r="I2090" s="96"/>
      <c r="K2090" t="str">
        <f t="shared" si="130"/>
        <v>312</v>
      </c>
      <c r="M2090" s="72"/>
      <c r="O2090" s="96">
        <f t="shared" si="131"/>
        <v>312</v>
      </c>
      <c r="T2090" s="110"/>
    </row>
    <row r="2091" spans="3:20" x14ac:dyDescent="0.2">
      <c r="C2091" s="96" t="str">
        <f t="shared" si="128"/>
        <v>313</v>
      </c>
      <c r="D2091" s="73"/>
      <c r="E2091" s="100"/>
      <c r="F2091" s="101"/>
      <c r="G2091" s="96">
        <f t="shared" si="129"/>
        <v>313</v>
      </c>
      <c r="I2091" s="96"/>
      <c r="K2091" t="str">
        <f t="shared" si="130"/>
        <v>313</v>
      </c>
      <c r="M2091" s="72"/>
      <c r="O2091" s="96">
        <f t="shared" si="131"/>
        <v>313</v>
      </c>
      <c r="T2091" s="110"/>
    </row>
    <row r="2092" spans="3:20" x14ac:dyDescent="0.2">
      <c r="C2092" s="96" t="str">
        <f t="shared" si="128"/>
        <v>314</v>
      </c>
      <c r="D2092" s="73"/>
      <c r="E2092" s="100"/>
      <c r="F2092" s="101"/>
      <c r="G2092" s="96">
        <f t="shared" si="129"/>
        <v>314</v>
      </c>
      <c r="I2092" s="96"/>
      <c r="K2092" t="str">
        <f t="shared" si="130"/>
        <v>314</v>
      </c>
      <c r="M2092" s="72"/>
      <c r="O2092" s="96">
        <f t="shared" si="131"/>
        <v>314</v>
      </c>
      <c r="T2092" s="110"/>
    </row>
    <row r="2093" spans="3:20" x14ac:dyDescent="0.2">
      <c r="C2093" s="96" t="str">
        <f t="shared" si="128"/>
        <v>315</v>
      </c>
      <c r="D2093" s="73"/>
      <c r="E2093" s="100"/>
      <c r="F2093" s="101"/>
      <c r="G2093" s="96">
        <f t="shared" si="129"/>
        <v>315</v>
      </c>
      <c r="I2093" s="96"/>
      <c r="K2093" t="str">
        <f t="shared" si="130"/>
        <v>315</v>
      </c>
      <c r="M2093" s="72"/>
      <c r="O2093" s="96">
        <f t="shared" si="131"/>
        <v>315</v>
      </c>
      <c r="T2093" s="110"/>
    </row>
    <row r="2094" spans="3:20" x14ac:dyDescent="0.2">
      <c r="C2094" s="96" t="str">
        <f t="shared" si="128"/>
        <v>316</v>
      </c>
      <c r="D2094" s="73"/>
      <c r="E2094" s="100"/>
      <c r="F2094" s="101"/>
      <c r="G2094" s="96">
        <f t="shared" si="129"/>
        <v>316</v>
      </c>
      <c r="I2094" s="96"/>
      <c r="K2094" t="str">
        <f t="shared" si="130"/>
        <v>316</v>
      </c>
      <c r="M2094" s="72"/>
      <c r="O2094" s="96">
        <f t="shared" si="131"/>
        <v>316</v>
      </c>
      <c r="T2094" s="110"/>
    </row>
    <row r="2095" spans="3:20" x14ac:dyDescent="0.2">
      <c r="C2095" s="96" t="str">
        <f t="shared" si="128"/>
        <v>317</v>
      </c>
      <c r="D2095" s="73"/>
      <c r="E2095" s="100"/>
      <c r="F2095" s="101"/>
      <c r="G2095" s="96">
        <f t="shared" si="129"/>
        <v>317</v>
      </c>
      <c r="I2095" s="96"/>
      <c r="K2095" t="str">
        <f t="shared" si="130"/>
        <v>317</v>
      </c>
      <c r="M2095" s="72"/>
      <c r="O2095" s="96">
        <f t="shared" si="131"/>
        <v>317</v>
      </c>
      <c r="T2095" s="110"/>
    </row>
    <row r="2096" spans="3:20" x14ac:dyDescent="0.2">
      <c r="C2096" s="96" t="str">
        <f t="shared" si="128"/>
        <v>318</v>
      </c>
      <c r="D2096" s="73"/>
      <c r="E2096" s="100"/>
      <c r="F2096" s="101"/>
      <c r="G2096" s="96">
        <f t="shared" si="129"/>
        <v>318</v>
      </c>
      <c r="I2096" s="96"/>
      <c r="K2096" t="str">
        <f t="shared" si="130"/>
        <v>318</v>
      </c>
      <c r="M2096" s="72"/>
      <c r="O2096" s="96">
        <f t="shared" si="131"/>
        <v>318</v>
      </c>
      <c r="T2096" s="110"/>
    </row>
    <row r="2097" spans="3:20" x14ac:dyDescent="0.2">
      <c r="C2097" s="96" t="str">
        <f t="shared" si="128"/>
        <v>319</v>
      </c>
      <c r="D2097" s="73"/>
      <c r="E2097" s="100"/>
      <c r="F2097" s="101"/>
      <c r="G2097" s="96">
        <f t="shared" si="129"/>
        <v>319</v>
      </c>
      <c r="I2097" s="96"/>
      <c r="K2097" t="str">
        <f t="shared" si="130"/>
        <v>319</v>
      </c>
      <c r="M2097" s="72"/>
      <c r="O2097" s="96">
        <f t="shared" si="131"/>
        <v>319</v>
      </c>
      <c r="T2097" s="110"/>
    </row>
    <row r="2098" spans="3:20" x14ac:dyDescent="0.2">
      <c r="C2098" s="96" t="str">
        <f t="shared" si="128"/>
        <v>320</v>
      </c>
      <c r="D2098" s="73"/>
      <c r="E2098" s="100"/>
      <c r="F2098" s="101"/>
      <c r="G2098" s="96">
        <f t="shared" si="129"/>
        <v>320</v>
      </c>
      <c r="I2098" s="96"/>
      <c r="K2098" t="str">
        <f t="shared" si="130"/>
        <v>320</v>
      </c>
      <c r="M2098" s="72"/>
      <c r="O2098" s="96">
        <f t="shared" si="131"/>
        <v>320</v>
      </c>
      <c r="T2098" s="110"/>
    </row>
    <row r="2099" spans="3:20" x14ac:dyDescent="0.2">
      <c r="C2099" s="96" t="str">
        <f t="shared" si="128"/>
        <v>321</v>
      </c>
      <c r="D2099" s="73"/>
      <c r="E2099" s="100"/>
      <c r="F2099" s="101"/>
      <c r="G2099" s="96">
        <f t="shared" si="129"/>
        <v>321</v>
      </c>
      <c r="I2099" s="96"/>
      <c r="K2099" t="str">
        <f t="shared" si="130"/>
        <v>321</v>
      </c>
      <c r="M2099" s="72"/>
      <c r="O2099" s="96">
        <f t="shared" si="131"/>
        <v>321</v>
      </c>
      <c r="T2099" s="110"/>
    </row>
    <row r="2100" spans="3:20" x14ac:dyDescent="0.2">
      <c r="C2100" s="96" t="str">
        <f t="shared" si="128"/>
        <v>322</v>
      </c>
      <c r="D2100" s="73"/>
      <c r="E2100" s="100"/>
      <c r="F2100" s="101"/>
      <c r="G2100" s="96">
        <f t="shared" si="129"/>
        <v>322</v>
      </c>
      <c r="I2100" s="96"/>
      <c r="K2100" t="str">
        <f t="shared" si="130"/>
        <v>322</v>
      </c>
      <c r="M2100" s="72"/>
      <c r="O2100" s="96">
        <f t="shared" si="131"/>
        <v>322</v>
      </c>
      <c r="T2100" s="110"/>
    </row>
    <row r="2101" spans="3:20" x14ac:dyDescent="0.2">
      <c r="C2101" s="96" t="str">
        <f t="shared" si="128"/>
        <v>323</v>
      </c>
      <c r="D2101" s="73"/>
      <c r="E2101" s="100"/>
      <c r="F2101" s="101"/>
      <c r="G2101" s="96">
        <f t="shared" si="129"/>
        <v>323</v>
      </c>
      <c r="I2101" s="96"/>
      <c r="K2101" t="str">
        <f t="shared" si="130"/>
        <v>323</v>
      </c>
      <c r="M2101" s="72"/>
      <c r="O2101" s="96">
        <f t="shared" si="131"/>
        <v>323</v>
      </c>
      <c r="T2101" s="110"/>
    </row>
    <row r="2102" spans="3:20" x14ac:dyDescent="0.2">
      <c r="C2102" s="96" t="str">
        <f t="shared" si="128"/>
        <v>324</v>
      </c>
      <c r="D2102" s="73"/>
      <c r="E2102" s="100"/>
      <c r="F2102" s="101"/>
      <c r="G2102" s="96">
        <f t="shared" si="129"/>
        <v>324</v>
      </c>
      <c r="I2102" s="96"/>
      <c r="K2102" t="str">
        <f t="shared" si="130"/>
        <v>324</v>
      </c>
      <c r="M2102" s="72"/>
      <c r="O2102" s="96">
        <f t="shared" si="131"/>
        <v>324</v>
      </c>
      <c r="T2102" s="110"/>
    </row>
    <row r="2103" spans="3:20" x14ac:dyDescent="0.2">
      <c r="C2103" s="96" t="str">
        <f t="shared" si="128"/>
        <v>325</v>
      </c>
      <c r="D2103" s="73"/>
      <c r="E2103" s="100"/>
      <c r="F2103" s="101"/>
      <c r="G2103" s="96">
        <f t="shared" si="129"/>
        <v>325</v>
      </c>
      <c r="I2103" s="96"/>
      <c r="K2103" t="str">
        <f t="shared" si="130"/>
        <v>325</v>
      </c>
      <c r="M2103" s="72"/>
      <c r="O2103" s="96">
        <f t="shared" si="131"/>
        <v>325</v>
      </c>
      <c r="T2103" s="110"/>
    </row>
    <row r="2104" spans="3:20" x14ac:dyDescent="0.2">
      <c r="C2104" s="96" t="str">
        <f t="shared" si="128"/>
        <v>326</v>
      </c>
      <c r="D2104" s="73"/>
      <c r="E2104" s="100"/>
      <c r="F2104" s="101"/>
      <c r="G2104" s="96">
        <f t="shared" si="129"/>
        <v>326</v>
      </c>
      <c r="I2104" s="96"/>
      <c r="K2104" t="str">
        <f t="shared" si="130"/>
        <v>326</v>
      </c>
      <c r="M2104" s="72"/>
      <c r="O2104" s="96">
        <f t="shared" si="131"/>
        <v>326</v>
      </c>
      <c r="T2104" s="110"/>
    </row>
    <row r="2105" spans="3:20" x14ac:dyDescent="0.2">
      <c r="C2105" s="96" t="str">
        <f t="shared" si="128"/>
        <v>327</v>
      </c>
      <c r="D2105" s="73"/>
      <c r="E2105" s="100"/>
      <c r="F2105" s="101"/>
      <c r="G2105" s="96">
        <f t="shared" si="129"/>
        <v>327</v>
      </c>
      <c r="I2105" s="96"/>
      <c r="K2105" t="str">
        <f t="shared" si="130"/>
        <v>327</v>
      </c>
      <c r="M2105" s="72"/>
      <c r="O2105" s="96">
        <f t="shared" si="131"/>
        <v>327</v>
      </c>
      <c r="T2105" s="110"/>
    </row>
    <row r="2106" spans="3:20" x14ac:dyDescent="0.2">
      <c r="C2106" s="96" t="str">
        <f t="shared" si="128"/>
        <v>328</v>
      </c>
      <c r="D2106" s="73"/>
      <c r="E2106" s="100"/>
      <c r="F2106" s="101"/>
      <c r="G2106" s="96">
        <f t="shared" si="129"/>
        <v>328</v>
      </c>
      <c r="I2106" s="96"/>
      <c r="K2106" t="str">
        <f t="shared" si="130"/>
        <v>328</v>
      </c>
      <c r="M2106" s="72"/>
      <c r="O2106" s="96">
        <f t="shared" si="131"/>
        <v>328</v>
      </c>
      <c r="T2106" s="110"/>
    </row>
    <row r="2107" spans="3:20" x14ac:dyDescent="0.2">
      <c r="C2107" s="96" t="str">
        <f t="shared" si="128"/>
        <v>329</v>
      </c>
      <c r="D2107" s="73"/>
      <c r="E2107" s="100"/>
      <c r="F2107" s="101"/>
      <c r="G2107" s="96">
        <f t="shared" si="129"/>
        <v>329</v>
      </c>
      <c r="I2107" s="96"/>
      <c r="K2107" t="str">
        <f t="shared" si="130"/>
        <v>329</v>
      </c>
      <c r="M2107" s="72"/>
      <c r="O2107" s="96">
        <f t="shared" si="131"/>
        <v>329</v>
      </c>
      <c r="T2107" s="110"/>
    </row>
    <row r="2108" spans="3:20" x14ac:dyDescent="0.2">
      <c r="C2108" s="96" t="str">
        <f t="shared" si="128"/>
        <v>330</v>
      </c>
      <c r="D2108" s="73"/>
      <c r="E2108" s="100"/>
      <c r="F2108" s="101"/>
      <c r="G2108" s="96">
        <f t="shared" si="129"/>
        <v>330</v>
      </c>
      <c r="I2108" s="96"/>
      <c r="K2108" t="str">
        <f t="shared" si="130"/>
        <v>330</v>
      </c>
      <c r="M2108" s="72"/>
      <c r="O2108" s="96">
        <f t="shared" si="131"/>
        <v>330</v>
      </c>
      <c r="T2108" s="110"/>
    </row>
    <row r="2109" spans="3:20" x14ac:dyDescent="0.2">
      <c r="C2109" s="96" t="str">
        <f t="shared" si="128"/>
        <v>331</v>
      </c>
      <c r="D2109" s="73"/>
      <c r="E2109" s="100"/>
      <c r="F2109" s="101"/>
      <c r="G2109" s="96">
        <f t="shared" si="129"/>
        <v>331</v>
      </c>
      <c r="I2109" s="96"/>
      <c r="K2109" t="str">
        <f t="shared" si="130"/>
        <v>331</v>
      </c>
      <c r="M2109" s="72"/>
      <c r="O2109" s="96">
        <f t="shared" si="131"/>
        <v>331</v>
      </c>
      <c r="T2109" s="110"/>
    </row>
    <row r="2110" spans="3:20" x14ac:dyDescent="0.2">
      <c r="C2110" s="96" t="str">
        <f t="shared" si="128"/>
        <v>332</v>
      </c>
      <c r="D2110" s="73"/>
      <c r="E2110" s="100"/>
      <c r="F2110" s="101"/>
      <c r="G2110" s="96">
        <f t="shared" si="129"/>
        <v>332</v>
      </c>
      <c r="I2110" s="96"/>
      <c r="K2110" t="str">
        <f t="shared" si="130"/>
        <v>332</v>
      </c>
      <c r="M2110" s="72"/>
      <c r="O2110" s="96">
        <f t="shared" si="131"/>
        <v>332</v>
      </c>
      <c r="T2110" s="110"/>
    </row>
    <row r="2111" spans="3:20" x14ac:dyDescent="0.2">
      <c r="C2111" s="96" t="str">
        <f t="shared" si="128"/>
        <v>333</v>
      </c>
      <c r="D2111" s="73"/>
      <c r="E2111" s="100"/>
      <c r="F2111" s="101"/>
      <c r="G2111" s="96">
        <f t="shared" si="129"/>
        <v>333</v>
      </c>
      <c r="I2111" s="96"/>
      <c r="K2111" t="str">
        <f t="shared" si="130"/>
        <v>333</v>
      </c>
      <c r="M2111" s="72"/>
      <c r="O2111" s="96">
        <f t="shared" si="131"/>
        <v>333</v>
      </c>
      <c r="T2111" s="110"/>
    </row>
    <row r="2112" spans="3:20" x14ac:dyDescent="0.2">
      <c r="C2112" s="96" t="str">
        <f t="shared" si="128"/>
        <v>334</v>
      </c>
      <c r="D2112" s="73"/>
      <c r="E2112" s="100"/>
      <c r="F2112" s="101"/>
      <c r="G2112" s="96">
        <f t="shared" si="129"/>
        <v>334</v>
      </c>
      <c r="I2112" s="96"/>
      <c r="K2112" t="str">
        <f t="shared" si="130"/>
        <v>334</v>
      </c>
      <c r="M2112" s="72"/>
      <c r="O2112" s="96">
        <f t="shared" si="131"/>
        <v>334</v>
      </c>
      <c r="T2112" s="110"/>
    </row>
    <row r="2113" spans="3:20" x14ac:dyDescent="0.2">
      <c r="C2113" s="96" t="str">
        <f t="shared" si="128"/>
        <v>335</v>
      </c>
      <c r="D2113" s="73"/>
      <c r="E2113" s="100"/>
      <c r="F2113" s="101"/>
      <c r="G2113" s="96">
        <f t="shared" si="129"/>
        <v>335</v>
      </c>
      <c r="I2113" s="96"/>
      <c r="K2113" t="str">
        <f t="shared" si="130"/>
        <v>335</v>
      </c>
      <c r="M2113" s="72"/>
      <c r="O2113" s="96">
        <f t="shared" si="131"/>
        <v>335</v>
      </c>
      <c r="T2113" s="110"/>
    </row>
    <row r="2114" spans="3:20" x14ac:dyDescent="0.2">
      <c r="C2114" s="96" t="str">
        <f t="shared" si="128"/>
        <v>336</v>
      </c>
      <c r="D2114" s="73"/>
      <c r="E2114" s="100"/>
      <c r="F2114" s="101"/>
      <c r="G2114" s="96">
        <f t="shared" si="129"/>
        <v>336</v>
      </c>
      <c r="I2114" s="96"/>
      <c r="K2114" t="str">
        <f t="shared" si="130"/>
        <v>336</v>
      </c>
      <c r="M2114" s="72"/>
      <c r="O2114" s="96">
        <f t="shared" si="131"/>
        <v>336</v>
      </c>
      <c r="T2114" s="110"/>
    </row>
    <row r="2115" spans="3:20" x14ac:dyDescent="0.2">
      <c r="C2115" s="96" t="str">
        <f t="shared" ref="C2115:C2178" si="132">D2115&amp;G2115</f>
        <v>337</v>
      </c>
      <c r="D2115" s="73"/>
      <c r="E2115" s="100"/>
      <c r="F2115" s="101"/>
      <c r="G2115" s="96">
        <f t="shared" ref="G2115:G2178" si="133">IF(D2115&lt;&gt;D2114,1,G2114+1)</f>
        <v>337</v>
      </c>
      <c r="I2115" s="96"/>
      <c r="K2115" t="str">
        <f t="shared" ref="K2115:K2178" si="134">L2115&amp;O2115</f>
        <v>337</v>
      </c>
      <c r="M2115" s="72"/>
      <c r="O2115" s="96">
        <f t="shared" ref="O2115:O2178" si="135">IF(L2115&lt;&gt;L2114,1,O2114+1)</f>
        <v>337</v>
      </c>
      <c r="T2115" s="110"/>
    </row>
    <row r="2116" spans="3:20" x14ac:dyDescent="0.2">
      <c r="C2116" s="96" t="str">
        <f t="shared" si="132"/>
        <v>338</v>
      </c>
      <c r="D2116" s="73"/>
      <c r="E2116" s="100"/>
      <c r="F2116" s="101"/>
      <c r="G2116" s="96">
        <f t="shared" si="133"/>
        <v>338</v>
      </c>
      <c r="I2116" s="96"/>
      <c r="K2116" t="str">
        <f t="shared" si="134"/>
        <v>338</v>
      </c>
      <c r="M2116" s="72"/>
      <c r="O2116" s="96">
        <f t="shared" si="135"/>
        <v>338</v>
      </c>
      <c r="T2116" s="110"/>
    </row>
    <row r="2117" spans="3:20" x14ac:dyDescent="0.2">
      <c r="C2117" s="96" t="str">
        <f t="shared" si="132"/>
        <v>339</v>
      </c>
      <c r="D2117" s="73"/>
      <c r="E2117" s="100"/>
      <c r="F2117" s="101"/>
      <c r="G2117" s="96">
        <f t="shared" si="133"/>
        <v>339</v>
      </c>
      <c r="I2117" s="96"/>
      <c r="K2117" t="str">
        <f t="shared" si="134"/>
        <v>339</v>
      </c>
      <c r="M2117" s="72"/>
      <c r="O2117" s="96">
        <f t="shared" si="135"/>
        <v>339</v>
      </c>
      <c r="T2117" s="110"/>
    </row>
    <row r="2118" spans="3:20" x14ac:dyDescent="0.2">
      <c r="C2118" s="96" t="str">
        <f t="shared" si="132"/>
        <v>340</v>
      </c>
      <c r="D2118" s="73"/>
      <c r="E2118" s="100"/>
      <c r="F2118" s="101"/>
      <c r="G2118" s="96">
        <f t="shared" si="133"/>
        <v>340</v>
      </c>
      <c r="I2118" s="96"/>
      <c r="K2118" t="str">
        <f t="shared" si="134"/>
        <v>340</v>
      </c>
      <c r="M2118" s="72"/>
      <c r="O2118" s="96">
        <f t="shared" si="135"/>
        <v>340</v>
      </c>
      <c r="T2118" s="110"/>
    </row>
    <row r="2119" spans="3:20" x14ac:dyDescent="0.2">
      <c r="C2119" s="96" t="str">
        <f t="shared" si="132"/>
        <v>341</v>
      </c>
      <c r="D2119" s="73"/>
      <c r="E2119" s="100"/>
      <c r="F2119" s="101"/>
      <c r="G2119" s="96">
        <f t="shared" si="133"/>
        <v>341</v>
      </c>
      <c r="I2119" s="96"/>
      <c r="K2119" t="str">
        <f t="shared" si="134"/>
        <v>341</v>
      </c>
      <c r="M2119" s="72"/>
      <c r="O2119" s="96">
        <f t="shared" si="135"/>
        <v>341</v>
      </c>
      <c r="T2119" s="110"/>
    </row>
    <row r="2120" spans="3:20" x14ac:dyDescent="0.2">
      <c r="C2120" s="96" t="str">
        <f t="shared" si="132"/>
        <v>342</v>
      </c>
      <c r="D2120" s="73"/>
      <c r="E2120" s="100"/>
      <c r="F2120" s="101"/>
      <c r="G2120" s="96">
        <f t="shared" si="133"/>
        <v>342</v>
      </c>
      <c r="I2120" s="96"/>
      <c r="K2120" t="str">
        <f t="shared" si="134"/>
        <v>342</v>
      </c>
      <c r="M2120" s="72"/>
      <c r="O2120" s="96">
        <f t="shared" si="135"/>
        <v>342</v>
      </c>
      <c r="T2120" s="110"/>
    </row>
    <row r="2121" spans="3:20" x14ac:dyDescent="0.2">
      <c r="C2121" s="96" t="str">
        <f t="shared" si="132"/>
        <v>343</v>
      </c>
      <c r="D2121" s="73"/>
      <c r="E2121" s="100"/>
      <c r="F2121" s="101"/>
      <c r="G2121" s="96">
        <f t="shared" si="133"/>
        <v>343</v>
      </c>
      <c r="I2121" s="96"/>
      <c r="K2121" t="str">
        <f t="shared" si="134"/>
        <v>343</v>
      </c>
      <c r="M2121" s="72"/>
      <c r="O2121" s="96">
        <f t="shared" si="135"/>
        <v>343</v>
      </c>
      <c r="T2121" s="110"/>
    </row>
    <row r="2122" spans="3:20" x14ac:dyDescent="0.2">
      <c r="C2122" s="96" t="str">
        <f t="shared" si="132"/>
        <v>344</v>
      </c>
      <c r="D2122" s="73"/>
      <c r="E2122" s="100"/>
      <c r="F2122" s="101"/>
      <c r="G2122" s="96">
        <f t="shared" si="133"/>
        <v>344</v>
      </c>
      <c r="I2122" s="96"/>
      <c r="K2122" t="str">
        <f t="shared" si="134"/>
        <v>344</v>
      </c>
      <c r="M2122" s="72"/>
      <c r="O2122" s="96">
        <f t="shared" si="135"/>
        <v>344</v>
      </c>
      <c r="T2122" s="110"/>
    </row>
    <row r="2123" spans="3:20" x14ac:dyDescent="0.2">
      <c r="C2123" s="96" t="str">
        <f t="shared" si="132"/>
        <v>345</v>
      </c>
      <c r="D2123" s="73"/>
      <c r="E2123" s="100"/>
      <c r="F2123" s="101"/>
      <c r="G2123" s="96">
        <f t="shared" si="133"/>
        <v>345</v>
      </c>
      <c r="I2123" s="96"/>
      <c r="K2123" t="str">
        <f t="shared" si="134"/>
        <v>345</v>
      </c>
      <c r="M2123" s="72"/>
      <c r="O2123" s="96">
        <f t="shared" si="135"/>
        <v>345</v>
      </c>
      <c r="T2123" s="110"/>
    </row>
    <row r="2124" spans="3:20" x14ac:dyDescent="0.2">
      <c r="C2124" s="96" t="str">
        <f t="shared" si="132"/>
        <v>346</v>
      </c>
      <c r="D2124" s="73"/>
      <c r="E2124" s="100"/>
      <c r="F2124" s="101"/>
      <c r="G2124" s="96">
        <f t="shared" si="133"/>
        <v>346</v>
      </c>
      <c r="I2124" s="96"/>
      <c r="K2124" t="str">
        <f t="shared" si="134"/>
        <v>346</v>
      </c>
      <c r="M2124" s="72"/>
      <c r="O2124" s="96">
        <f t="shared" si="135"/>
        <v>346</v>
      </c>
      <c r="T2124" s="110"/>
    </row>
    <row r="2125" spans="3:20" x14ac:dyDescent="0.2">
      <c r="C2125" s="96" t="str">
        <f t="shared" si="132"/>
        <v>347</v>
      </c>
      <c r="D2125" s="73"/>
      <c r="E2125" s="100"/>
      <c r="F2125" s="101"/>
      <c r="G2125" s="96">
        <f t="shared" si="133"/>
        <v>347</v>
      </c>
      <c r="I2125" s="96"/>
      <c r="K2125" t="str">
        <f t="shared" si="134"/>
        <v>347</v>
      </c>
      <c r="M2125" s="72"/>
      <c r="O2125" s="96">
        <f t="shared" si="135"/>
        <v>347</v>
      </c>
      <c r="T2125" s="110"/>
    </row>
    <row r="2126" spans="3:20" x14ac:dyDescent="0.2">
      <c r="C2126" s="96" t="str">
        <f t="shared" si="132"/>
        <v>348</v>
      </c>
      <c r="D2126" s="73"/>
      <c r="E2126" s="100"/>
      <c r="F2126" s="101"/>
      <c r="G2126" s="96">
        <f t="shared" si="133"/>
        <v>348</v>
      </c>
      <c r="I2126" s="96"/>
      <c r="K2126" t="str">
        <f t="shared" si="134"/>
        <v>348</v>
      </c>
      <c r="M2126" s="72"/>
      <c r="O2126" s="96">
        <f t="shared" si="135"/>
        <v>348</v>
      </c>
      <c r="T2126" s="110"/>
    </row>
    <row r="2127" spans="3:20" x14ac:dyDescent="0.2">
      <c r="C2127" s="96" t="str">
        <f t="shared" si="132"/>
        <v>349</v>
      </c>
      <c r="D2127" s="73"/>
      <c r="E2127" s="100"/>
      <c r="F2127" s="101"/>
      <c r="G2127" s="96">
        <f t="shared" si="133"/>
        <v>349</v>
      </c>
      <c r="I2127" s="96"/>
      <c r="K2127" t="str">
        <f t="shared" si="134"/>
        <v>349</v>
      </c>
      <c r="M2127" s="72"/>
      <c r="O2127" s="96">
        <f t="shared" si="135"/>
        <v>349</v>
      </c>
      <c r="T2127" s="110"/>
    </row>
    <row r="2128" spans="3:20" x14ac:dyDescent="0.2">
      <c r="C2128" s="96" t="str">
        <f t="shared" si="132"/>
        <v>350</v>
      </c>
      <c r="D2128" s="73"/>
      <c r="E2128" s="100"/>
      <c r="F2128" s="101"/>
      <c r="G2128" s="96">
        <f t="shared" si="133"/>
        <v>350</v>
      </c>
      <c r="I2128" s="96"/>
      <c r="K2128" t="str">
        <f t="shared" si="134"/>
        <v>350</v>
      </c>
      <c r="M2128" s="72"/>
      <c r="O2128" s="96">
        <f t="shared" si="135"/>
        <v>350</v>
      </c>
      <c r="T2128" s="110"/>
    </row>
    <row r="2129" spans="3:20" x14ac:dyDescent="0.2">
      <c r="C2129" s="96" t="str">
        <f t="shared" si="132"/>
        <v>351</v>
      </c>
      <c r="D2129" s="73"/>
      <c r="E2129" s="100"/>
      <c r="F2129" s="101"/>
      <c r="G2129" s="96">
        <f t="shared" si="133"/>
        <v>351</v>
      </c>
      <c r="I2129" s="96"/>
      <c r="K2129" t="str">
        <f t="shared" si="134"/>
        <v>351</v>
      </c>
      <c r="M2129" s="72"/>
      <c r="O2129" s="96">
        <f t="shared" si="135"/>
        <v>351</v>
      </c>
      <c r="T2129" s="110"/>
    </row>
    <row r="2130" spans="3:20" x14ac:dyDescent="0.2">
      <c r="C2130" s="96" t="str">
        <f t="shared" si="132"/>
        <v>352</v>
      </c>
      <c r="D2130" s="73"/>
      <c r="E2130" s="100"/>
      <c r="F2130" s="101"/>
      <c r="G2130" s="96">
        <f t="shared" si="133"/>
        <v>352</v>
      </c>
      <c r="I2130" s="96"/>
      <c r="K2130" t="str">
        <f t="shared" si="134"/>
        <v>352</v>
      </c>
      <c r="M2130" s="72"/>
      <c r="O2130" s="96">
        <f t="shared" si="135"/>
        <v>352</v>
      </c>
      <c r="T2130" s="110"/>
    </row>
    <row r="2131" spans="3:20" x14ac:dyDescent="0.2">
      <c r="C2131" s="96" t="str">
        <f t="shared" si="132"/>
        <v>353</v>
      </c>
      <c r="D2131" s="73"/>
      <c r="E2131" s="100"/>
      <c r="F2131" s="101"/>
      <c r="G2131" s="96">
        <f t="shared" si="133"/>
        <v>353</v>
      </c>
      <c r="I2131" s="96"/>
      <c r="K2131" t="str">
        <f t="shared" si="134"/>
        <v>353</v>
      </c>
      <c r="M2131" s="72"/>
      <c r="O2131" s="96">
        <f t="shared" si="135"/>
        <v>353</v>
      </c>
      <c r="T2131" s="110"/>
    </row>
    <row r="2132" spans="3:20" x14ac:dyDescent="0.2">
      <c r="C2132" s="96" t="str">
        <f t="shared" si="132"/>
        <v>354</v>
      </c>
      <c r="D2132" s="73"/>
      <c r="E2132" s="100"/>
      <c r="F2132" s="101"/>
      <c r="G2132" s="96">
        <f t="shared" si="133"/>
        <v>354</v>
      </c>
      <c r="I2132" s="96"/>
      <c r="K2132" t="str">
        <f t="shared" si="134"/>
        <v>354</v>
      </c>
      <c r="M2132" s="72"/>
      <c r="O2132" s="96">
        <f t="shared" si="135"/>
        <v>354</v>
      </c>
      <c r="T2132" s="110"/>
    </row>
    <row r="2133" spans="3:20" x14ac:dyDescent="0.2">
      <c r="C2133" s="96" t="str">
        <f t="shared" si="132"/>
        <v>355</v>
      </c>
      <c r="D2133" s="73"/>
      <c r="E2133" s="100"/>
      <c r="F2133" s="101"/>
      <c r="G2133" s="96">
        <f t="shared" si="133"/>
        <v>355</v>
      </c>
      <c r="I2133" s="96"/>
      <c r="K2133" t="str">
        <f t="shared" si="134"/>
        <v>355</v>
      </c>
      <c r="M2133" s="72"/>
      <c r="O2133" s="96">
        <f t="shared" si="135"/>
        <v>355</v>
      </c>
      <c r="T2133" s="110"/>
    </row>
    <row r="2134" spans="3:20" x14ac:dyDescent="0.2">
      <c r="C2134" s="96" t="str">
        <f t="shared" si="132"/>
        <v>356</v>
      </c>
      <c r="D2134" s="73"/>
      <c r="E2134" s="100"/>
      <c r="F2134" s="101"/>
      <c r="G2134" s="96">
        <f t="shared" si="133"/>
        <v>356</v>
      </c>
      <c r="I2134" s="96"/>
      <c r="K2134" t="str">
        <f t="shared" si="134"/>
        <v>356</v>
      </c>
      <c r="M2134" s="72"/>
      <c r="O2134" s="96">
        <f t="shared" si="135"/>
        <v>356</v>
      </c>
      <c r="T2134" s="110"/>
    </row>
    <row r="2135" spans="3:20" x14ac:dyDescent="0.2">
      <c r="C2135" s="96" t="str">
        <f t="shared" si="132"/>
        <v>357</v>
      </c>
      <c r="D2135" s="73"/>
      <c r="E2135" s="100"/>
      <c r="F2135" s="101"/>
      <c r="G2135" s="96">
        <f t="shared" si="133"/>
        <v>357</v>
      </c>
      <c r="I2135" s="96"/>
      <c r="K2135" t="str">
        <f t="shared" si="134"/>
        <v>357</v>
      </c>
      <c r="M2135" s="72"/>
      <c r="O2135" s="96">
        <f t="shared" si="135"/>
        <v>357</v>
      </c>
      <c r="T2135" s="110"/>
    </row>
    <row r="2136" spans="3:20" x14ac:dyDescent="0.2">
      <c r="C2136" s="96" t="str">
        <f t="shared" si="132"/>
        <v>358</v>
      </c>
      <c r="D2136" s="73"/>
      <c r="E2136" s="100"/>
      <c r="F2136" s="101"/>
      <c r="G2136" s="96">
        <f t="shared" si="133"/>
        <v>358</v>
      </c>
      <c r="I2136" s="96"/>
      <c r="K2136" t="str">
        <f t="shared" si="134"/>
        <v>358</v>
      </c>
      <c r="M2136" s="72"/>
      <c r="O2136" s="96">
        <f t="shared" si="135"/>
        <v>358</v>
      </c>
      <c r="T2136" s="110"/>
    </row>
    <row r="2137" spans="3:20" x14ac:dyDescent="0.2">
      <c r="C2137" s="96" t="str">
        <f t="shared" si="132"/>
        <v>359</v>
      </c>
      <c r="D2137" s="73"/>
      <c r="E2137" s="100"/>
      <c r="F2137" s="101"/>
      <c r="G2137" s="96">
        <f t="shared" si="133"/>
        <v>359</v>
      </c>
      <c r="I2137" s="96"/>
      <c r="K2137" t="str">
        <f t="shared" si="134"/>
        <v>359</v>
      </c>
      <c r="M2137" s="72"/>
      <c r="O2137" s="96">
        <f t="shared" si="135"/>
        <v>359</v>
      </c>
      <c r="T2137" s="110"/>
    </row>
    <row r="2138" spans="3:20" x14ac:dyDescent="0.2">
      <c r="C2138" s="96" t="str">
        <f t="shared" si="132"/>
        <v>360</v>
      </c>
      <c r="D2138" s="73"/>
      <c r="E2138" s="100"/>
      <c r="F2138" s="101"/>
      <c r="G2138" s="96">
        <f t="shared" si="133"/>
        <v>360</v>
      </c>
      <c r="I2138" s="96"/>
      <c r="K2138" t="str">
        <f t="shared" si="134"/>
        <v>360</v>
      </c>
      <c r="M2138" s="72"/>
      <c r="O2138" s="96">
        <f t="shared" si="135"/>
        <v>360</v>
      </c>
      <c r="T2138" s="110"/>
    </row>
    <row r="2139" spans="3:20" x14ac:dyDescent="0.2">
      <c r="C2139" s="96" t="str">
        <f t="shared" si="132"/>
        <v>361</v>
      </c>
      <c r="D2139" s="73"/>
      <c r="E2139" s="100"/>
      <c r="F2139" s="101"/>
      <c r="G2139" s="96">
        <f t="shared" si="133"/>
        <v>361</v>
      </c>
      <c r="I2139" s="96"/>
      <c r="K2139" t="str">
        <f t="shared" si="134"/>
        <v>361</v>
      </c>
      <c r="M2139" s="72"/>
      <c r="O2139" s="96">
        <f t="shared" si="135"/>
        <v>361</v>
      </c>
      <c r="T2139" s="110"/>
    </row>
    <row r="2140" spans="3:20" x14ac:dyDescent="0.2">
      <c r="C2140" s="96" t="str">
        <f t="shared" si="132"/>
        <v>362</v>
      </c>
      <c r="D2140" s="73"/>
      <c r="E2140" s="100"/>
      <c r="F2140" s="101"/>
      <c r="G2140" s="96">
        <f t="shared" si="133"/>
        <v>362</v>
      </c>
      <c r="I2140" s="96"/>
      <c r="K2140" t="str">
        <f t="shared" si="134"/>
        <v>362</v>
      </c>
      <c r="M2140" s="72"/>
      <c r="O2140" s="96">
        <f t="shared" si="135"/>
        <v>362</v>
      </c>
      <c r="T2140" s="110"/>
    </row>
    <row r="2141" spans="3:20" x14ac:dyDescent="0.2">
      <c r="C2141" s="96" t="str">
        <f t="shared" si="132"/>
        <v>363</v>
      </c>
      <c r="D2141" s="73"/>
      <c r="E2141" s="100"/>
      <c r="F2141" s="101"/>
      <c r="G2141" s="96">
        <f t="shared" si="133"/>
        <v>363</v>
      </c>
      <c r="I2141" s="96"/>
      <c r="K2141" t="str">
        <f t="shared" si="134"/>
        <v>363</v>
      </c>
      <c r="M2141" s="72"/>
      <c r="O2141" s="96">
        <f t="shared" si="135"/>
        <v>363</v>
      </c>
      <c r="T2141" s="110"/>
    </row>
    <row r="2142" spans="3:20" x14ac:dyDescent="0.2">
      <c r="C2142" s="96" t="str">
        <f t="shared" si="132"/>
        <v>364</v>
      </c>
      <c r="D2142" s="73"/>
      <c r="E2142" s="100"/>
      <c r="F2142" s="101"/>
      <c r="G2142" s="96">
        <f t="shared" si="133"/>
        <v>364</v>
      </c>
      <c r="I2142" s="96"/>
      <c r="K2142" t="str">
        <f t="shared" si="134"/>
        <v>364</v>
      </c>
      <c r="M2142" s="72"/>
      <c r="O2142" s="96">
        <f t="shared" si="135"/>
        <v>364</v>
      </c>
      <c r="T2142" s="110"/>
    </row>
    <row r="2143" spans="3:20" x14ac:dyDescent="0.2">
      <c r="C2143" s="96" t="str">
        <f t="shared" si="132"/>
        <v>365</v>
      </c>
      <c r="D2143" s="73"/>
      <c r="E2143" s="100"/>
      <c r="F2143" s="101"/>
      <c r="G2143" s="96">
        <f t="shared" si="133"/>
        <v>365</v>
      </c>
      <c r="I2143" s="96"/>
      <c r="K2143" t="str">
        <f t="shared" si="134"/>
        <v>365</v>
      </c>
      <c r="M2143" s="72"/>
      <c r="O2143" s="96">
        <f t="shared" si="135"/>
        <v>365</v>
      </c>
      <c r="T2143" s="110"/>
    </row>
    <row r="2144" spans="3:20" x14ac:dyDescent="0.2">
      <c r="C2144" s="96" t="str">
        <f t="shared" si="132"/>
        <v>366</v>
      </c>
      <c r="D2144" s="73"/>
      <c r="E2144" s="100"/>
      <c r="F2144" s="101"/>
      <c r="G2144" s="96">
        <f t="shared" si="133"/>
        <v>366</v>
      </c>
      <c r="I2144" s="96"/>
      <c r="K2144" t="str">
        <f t="shared" si="134"/>
        <v>366</v>
      </c>
      <c r="M2144" s="72"/>
      <c r="O2144" s="96">
        <f t="shared" si="135"/>
        <v>366</v>
      </c>
      <c r="T2144" s="110"/>
    </row>
    <row r="2145" spans="3:20" x14ac:dyDescent="0.2">
      <c r="C2145" s="96" t="str">
        <f t="shared" si="132"/>
        <v>367</v>
      </c>
      <c r="D2145" s="73"/>
      <c r="E2145" s="100"/>
      <c r="F2145" s="101"/>
      <c r="G2145" s="96">
        <f t="shared" si="133"/>
        <v>367</v>
      </c>
      <c r="I2145" s="96"/>
      <c r="K2145" t="str">
        <f t="shared" si="134"/>
        <v>367</v>
      </c>
      <c r="M2145" s="72"/>
      <c r="O2145" s="96">
        <f t="shared" si="135"/>
        <v>367</v>
      </c>
      <c r="T2145" s="110"/>
    </row>
    <row r="2146" spans="3:20" x14ac:dyDescent="0.2">
      <c r="C2146" s="96" t="str">
        <f t="shared" si="132"/>
        <v>368</v>
      </c>
      <c r="D2146" s="73"/>
      <c r="E2146" s="100"/>
      <c r="F2146" s="101"/>
      <c r="G2146" s="96">
        <f t="shared" si="133"/>
        <v>368</v>
      </c>
      <c r="I2146" s="96"/>
      <c r="K2146" t="str">
        <f t="shared" si="134"/>
        <v>368</v>
      </c>
      <c r="M2146" s="72"/>
      <c r="O2146" s="96">
        <f t="shared" si="135"/>
        <v>368</v>
      </c>
      <c r="T2146" s="110"/>
    </row>
    <row r="2147" spans="3:20" x14ac:dyDescent="0.2">
      <c r="C2147" s="96" t="str">
        <f t="shared" si="132"/>
        <v>369</v>
      </c>
      <c r="D2147" s="73"/>
      <c r="E2147" s="100"/>
      <c r="F2147" s="101"/>
      <c r="G2147" s="96">
        <f t="shared" si="133"/>
        <v>369</v>
      </c>
      <c r="I2147" s="96"/>
      <c r="K2147" t="str">
        <f t="shared" si="134"/>
        <v>369</v>
      </c>
      <c r="M2147" s="72"/>
      <c r="O2147" s="96">
        <f t="shared" si="135"/>
        <v>369</v>
      </c>
      <c r="T2147" s="110"/>
    </row>
    <row r="2148" spans="3:20" x14ac:dyDescent="0.2">
      <c r="C2148" s="96" t="str">
        <f t="shared" si="132"/>
        <v>370</v>
      </c>
      <c r="D2148" s="73"/>
      <c r="E2148" s="100"/>
      <c r="F2148" s="101"/>
      <c r="G2148" s="96">
        <f t="shared" si="133"/>
        <v>370</v>
      </c>
      <c r="I2148" s="96"/>
      <c r="K2148" t="str">
        <f t="shared" si="134"/>
        <v>370</v>
      </c>
      <c r="M2148" s="72"/>
      <c r="O2148" s="96">
        <f t="shared" si="135"/>
        <v>370</v>
      </c>
      <c r="T2148" s="110"/>
    </row>
    <row r="2149" spans="3:20" x14ac:dyDescent="0.2">
      <c r="C2149" s="96" t="str">
        <f t="shared" si="132"/>
        <v>371</v>
      </c>
      <c r="D2149" s="73"/>
      <c r="E2149" s="100"/>
      <c r="F2149" s="101"/>
      <c r="G2149" s="96">
        <f t="shared" si="133"/>
        <v>371</v>
      </c>
      <c r="I2149" s="96"/>
      <c r="K2149" t="str">
        <f t="shared" si="134"/>
        <v>371</v>
      </c>
      <c r="M2149" s="72"/>
      <c r="O2149" s="96">
        <f t="shared" si="135"/>
        <v>371</v>
      </c>
      <c r="T2149" s="110"/>
    </row>
    <row r="2150" spans="3:20" x14ac:dyDescent="0.2">
      <c r="C2150" s="96" t="str">
        <f t="shared" si="132"/>
        <v>372</v>
      </c>
      <c r="D2150" s="73"/>
      <c r="E2150" s="100"/>
      <c r="F2150" s="101"/>
      <c r="G2150" s="96">
        <f t="shared" si="133"/>
        <v>372</v>
      </c>
      <c r="I2150" s="96"/>
      <c r="K2150" t="str">
        <f t="shared" si="134"/>
        <v>372</v>
      </c>
      <c r="M2150" s="72"/>
      <c r="O2150" s="96">
        <f t="shared" si="135"/>
        <v>372</v>
      </c>
      <c r="T2150" s="110"/>
    </row>
    <row r="2151" spans="3:20" x14ac:dyDescent="0.2">
      <c r="C2151" s="96" t="str">
        <f t="shared" si="132"/>
        <v>373</v>
      </c>
      <c r="D2151" s="73"/>
      <c r="E2151" s="100"/>
      <c r="F2151" s="101"/>
      <c r="G2151" s="96">
        <f t="shared" si="133"/>
        <v>373</v>
      </c>
      <c r="I2151" s="96"/>
      <c r="K2151" t="str">
        <f t="shared" si="134"/>
        <v>373</v>
      </c>
      <c r="M2151" s="72"/>
      <c r="O2151" s="96">
        <f t="shared" si="135"/>
        <v>373</v>
      </c>
      <c r="T2151" s="110"/>
    </row>
    <row r="2152" spans="3:20" x14ac:dyDescent="0.2">
      <c r="C2152" s="96" t="str">
        <f t="shared" si="132"/>
        <v>374</v>
      </c>
      <c r="D2152" s="73"/>
      <c r="E2152" s="100"/>
      <c r="F2152" s="101"/>
      <c r="G2152" s="96">
        <f t="shared" si="133"/>
        <v>374</v>
      </c>
      <c r="I2152" s="96"/>
      <c r="K2152" t="str">
        <f t="shared" si="134"/>
        <v>374</v>
      </c>
      <c r="M2152" s="72"/>
      <c r="O2152" s="96">
        <f t="shared" si="135"/>
        <v>374</v>
      </c>
      <c r="T2152" s="110"/>
    </row>
    <row r="2153" spans="3:20" x14ac:dyDescent="0.2">
      <c r="C2153" s="96" t="str">
        <f t="shared" si="132"/>
        <v>375</v>
      </c>
      <c r="D2153" s="73"/>
      <c r="E2153" s="100"/>
      <c r="F2153" s="101"/>
      <c r="G2153" s="96">
        <f t="shared" si="133"/>
        <v>375</v>
      </c>
      <c r="I2153" s="96"/>
      <c r="K2153" t="str">
        <f t="shared" si="134"/>
        <v>375</v>
      </c>
      <c r="M2153" s="72"/>
      <c r="O2153" s="96">
        <f t="shared" si="135"/>
        <v>375</v>
      </c>
      <c r="T2153" s="110"/>
    </row>
    <row r="2154" spans="3:20" x14ac:dyDescent="0.2">
      <c r="C2154" s="96" t="str">
        <f t="shared" si="132"/>
        <v>376</v>
      </c>
      <c r="D2154" s="73"/>
      <c r="E2154" s="100"/>
      <c r="F2154" s="101"/>
      <c r="G2154" s="96">
        <f t="shared" si="133"/>
        <v>376</v>
      </c>
      <c r="I2154" s="96"/>
      <c r="K2154" t="str">
        <f t="shared" si="134"/>
        <v>376</v>
      </c>
      <c r="M2154" s="72"/>
      <c r="O2154" s="96">
        <f t="shared" si="135"/>
        <v>376</v>
      </c>
      <c r="T2154" s="110"/>
    </row>
    <row r="2155" spans="3:20" x14ac:dyDescent="0.2">
      <c r="C2155" s="96" t="str">
        <f t="shared" si="132"/>
        <v>377</v>
      </c>
      <c r="D2155" s="73"/>
      <c r="E2155" s="100"/>
      <c r="F2155" s="101"/>
      <c r="G2155" s="96">
        <f t="shared" si="133"/>
        <v>377</v>
      </c>
      <c r="I2155" s="96"/>
      <c r="K2155" t="str">
        <f t="shared" si="134"/>
        <v>377</v>
      </c>
      <c r="M2155" s="72"/>
      <c r="O2155" s="96">
        <f t="shared" si="135"/>
        <v>377</v>
      </c>
      <c r="T2155" s="110"/>
    </row>
    <row r="2156" spans="3:20" x14ac:dyDescent="0.2">
      <c r="C2156" s="96" t="str">
        <f t="shared" si="132"/>
        <v>378</v>
      </c>
      <c r="D2156" s="73"/>
      <c r="E2156" s="100"/>
      <c r="F2156" s="101"/>
      <c r="G2156" s="96">
        <f t="shared" si="133"/>
        <v>378</v>
      </c>
      <c r="I2156" s="96"/>
      <c r="K2156" t="str">
        <f t="shared" si="134"/>
        <v>378</v>
      </c>
      <c r="M2156" s="72"/>
      <c r="O2156" s="96">
        <f t="shared" si="135"/>
        <v>378</v>
      </c>
      <c r="T2156" s="110"/>
    </row>
    <row r="2157" spans="3:20" x14ac:dyDescent="0.2">
      <c r="C2157" s="96" t="str">
        <f t="shared" si="132"/>
        <v>379</v>
      </c>
      <c r="D2157" s="73"/>
      <c r="E2157" s="100"/>
      <c r="F2157" s="101"/>
      <c r="G2157" s="96">
        <f t="shared" si="133"/>
        <v>379</v>
      </c>
      <c r="I2157" s="96"/>
      <c r="K2157" t="str">
        <f t="shared" si="134"/>
        <v>379</v>
      </c>
      <c r="M2157" s="72"/>
      <c r="O2157" s="96">
        <f t="shared" si="135"/>
        <v>379</v>
      </c>
      <c r="T2157" s="110"/>
    </row>
    <row r="2158" spans="3:20" x14ac:dyDescent="0.2">
      <c r="C2158" s="96" t="str">
        <f t="shared" si="132"/>
        <v>380</v>
      </c>
      <c r="D2158" s="73"/>
      <c r="E2158" s="100"/>
      <c r="F2158" s="101"/>
      <c r="G2158" s="96">
        <f t="shared" si="133"/>
        <v>380</v>
      </c>
      <c r="I2158" s="96"/>
      <c r="K2158" t="str">
        <f t="shared" si="134"/>
        <v>380</v>
      </c>
      <c r="M2158" s="72"/>
      <c r="O2158" s="96">
        <f t="shared" si="135"/>
        <v>380</v>
      </c>
      <c r="T2158" s="110"/>
    </row>
    <row r="2159" spans="3:20" x14ac:dyDescent="0.2">
      <c r="C2159" s="96" t="str">
        <f t="shared" si="132"/>
        <v>381</v>
      </c>
      <c r="D2159" s="73"/>
      <c r="E2159" s="100"/>
      <c r="F2159" s="101"/>
      <c r="G2159" s="96">
        <f t="shared" si="133"/>
        <v>381</v>
      </c>
      <c r="I2159" s="96"/>
      <c r="K2159" t="str">
        <f t="shared" si="134"/>
        <v>381</v>
      </c>
      <c r="M2159" s="72"/>
      <c r="O2159" s="96">
        <f t="shared" si="135"/>
        <v>381</v>
      </c>
      <c r="T2159" s="110"/>
    </row>
    <row r="2160" spans="3:20" x14ac:dyDescent="0.2">
      <c r="C2160" s="96" t="str">
        <f t="shared" si="132"/>
        <v>382</v>
      </c>
      <c r="D2160" s="73"/>
      <c r="E2160" s="100"/>
      <c r="F2160" s="101"/>
      <c r="G2160" s="96">
        <f t="shared" si="133"/>
        <v>382</v>
      </c>
      <c r="I2160" s="96"/>
      <c r="K2160" t="str">
        <f t="shared" si="134"/>
        <v>382</v>
      </c>
      <c r="M2160" s="72"/>
      <c r="O2160" s="96">
        <f t="shared" si="135"/>
        <v>382</v>
      </c>
      <c r="T2160" s="110"/>
    </row>
    <row r="2161" spans="3:20" x14ac:dyDescent="0.2">
      <c r="C2161" s="96" t="str">
        <f t="shared" si="132"/>
        <v>383</v>
      </c>
      <c r="D2161" s="73"/>
      <c r="E2161" s="100"/>
      <c r="F2161" s="101"/>
      <c r="G2161" s="96">
        <f t="shared" si="133"/>
        <v>383</v>
      </c>
      <c r="I2161" s="96"/>
      <c r="K2161" t="str">
        <f t="shared" si="134"/>
        <v>383</v>
      </c>
      <c r="M2161" s="72"/>
      <c r="O2161" s="96">
        <f t="shared" si="135"/>
        <v>383</v>
      </c>
      <c r="T2161" s="110"/>
    </row>
    <row r="2162" spans="3:20" x14ac:dyDescent="0.2">
      <c r="C2162" s="96" t="str">
        <f t="shared" si="132"/>
        <v>384</v>
      </c>
      <c r="D2162" s="73"/>
      <c r="E2162" s="100"/>
      <c r="F2162" s="101"/>
      <c r="G2162" s="96">
        <f t="shared" si="133"/>
        <v>384</v>
      </c>
      <c r="I2162" s="96"/>
      <c r="K2162" t="str">
        <f t="shared" si="134"/>
        <v>384</v>
      </c>
      <c r="M2162" s="72"/>
      <c r="O2162" s="96">
        <f t="shared" si="135"/>
        <v>384</v>
      </c>
      <c r="T2162" s="110"/>
    </row>
    <row r="2163" spans="3:20" x14ac:dyDescent="0.2">
      <c r="C2163" s="96" t="str">
        <f t="shared" si="132"/>
        <v>385</v>
      </c>
      <c r="D2163" s="73"/>
      <c r="E2163" s="100"/>
      <c r="F2163" s="101"/>
      <c r="G2163" s="96">
        <f t="shared" si="133"/>
        <v>385</v>
      </c>
      <c r="I2163" s="96"/>
      <c r="K2163" t="str">
        <f t="shared" si="134"/>
        <v>385</v>
      </c>
      <c r="M2163" s="72"/>
      <c r="O2163" s="96">
        <f t="shared" si="135"/>
        <v>385</v>
      </c>
      <c r="T2163" s="110"/>
    </row>
    <row r="2164" spans="3:20" x14ac:dyDescent="0.2">
      <c r="C2164" s="96" t="str">
        <f t="shared" si="132"/>
        <v>386</v>
      </c>
      <c r="D2164" s="73"/>
      <c r="E2164" s="100"/>
      <c r="F2164" s="101"/>
      <c r="G2164" s="96">
        <f t="shared" si="133"/>
        <v>386</v>
      </c>
      <c r="I2164" s="96"/>
      <c r="K2164" t="str">
        <f t="shared" si="134"/>
        <v>386</v>
      </c>
      <c r="M2164" s="72"/>
      <c r="O2164" s="96">
        <f t="shared" si="135"/>
        <v>386</v>
      </c>
      <c r="T2164" s="110"/>
    </row>
    <row r="2165" spans="3:20" x14ac:dyDescent="0.2">
      <c r="C2165" s="96" t="str">
        <f t="shared" si="132"/>
        <v>387</v>
      </c>
      <c r="D2165" s="73"/>
      <c r="E2165" s="100"/>
      <c r="F2165" s="101"/>
      <c r="G2165" s="96">
        <f t="shared" si="133"/>
        <v>387</v>
      </c>
      <c r="I2165" s="96"/>
      <c r="K2165" t="str">
        <f t="shared" si="134"/>
        <v>387</v>
      </c>
      <c r="M2165" s="72"/>
      <c r="O2165" s="96">
        <f t="shared" si="135"/>
        <v>387</v>
      </c>
      <c r="T2165" s="110"/>
    </row>
    <row r="2166" spans="3:20" x14ac:dyDescent="0.2">
      <c r="C2166" s="96" t="str">
        <f t="shared" si="132"/>
        <v>388</v>
      </c>
      <c r="D2166" s="73"/>
      <c r="E2166" s="100"/>
      <c r="F2166" s="101"/>
      <c r="G2166" s="96">
        <f t="shared" si="133"/>
        <v>388</v>
      </c>
      <c r="I2166" s="96"/>
      <c r="K2166" t="str">
        <f t="shared" si="134"/>
        <v>388</v>
      </c>
      <c r="M2166" s="72"/>
      <c r="O2166" s="96">
        <f t="shared" si="135"/>
        <v>388</v>
      </c>
      <c r="T2166" s="110"/>
    </row>
    <row r="2167" spans="3:20" x14ac:dyDescent="0.2">
      <c r="C2167" s="96" t="str">
        <f t="shared" si="132"/>
        <v>389</v>
      </c>
      <c r="D2167" s="73"/>
      <c r="E2167" s="100"/>
      <c r="F2167" s="101"/>
      <c r="G2167" s="96">
        <f t="shared" si="133"/>
        <v>389</v>
      </c>
      <c r="I2167" s="96"/>
      <c r="K2167" t="str">
        <f t="shared" si="134"/>
        <v>389</v>
      </c>
      <c r="M2167" s="72"/>
      <c r="O2167" s="96">
        <f t="shared" si="135"/>
        <v>389</v>
      </c>
      <c r="T2167" s="110"/>
    </row>
    <row r="2168" spans="3:20" x14ac:dyDescent="0.2">
      <c r="C2168" s="96" t="str">
        <f t="shared" si="132"/>
        <v>390</v>
      </c>
      <c r="D2168" s="73"/>
      <c r="E2168" s="100"/>
      <c r="F2168" s="101"/>
      <c r="G2168" s="96">
        <f t="shared" si="133"/>
        <v>390</v>
      </c>
      <c r="I2168" s="96"/>
      <c r="K2168" t="str">
        <f t="shared" si="134"/>
        <v>390</v>
      </c>
      <c r="M2168" s="72"/>
      <c r="O2168" s="96">
        <f t="shared" si="135"/>
        <v>390</v>
      </c>
      <c r="T2168" s="110"/>
    </row>
    <row r="2169" spans="3:20" x14ac:dyDescent="0.2">
      <c r="C2169" s="96" t="str">
        <f t="shared" si="132"/>
        <v>391</v>
      </c>
      <c r="D2169" s="73"/>
      <c r="E2169" s="100"/>
      <c r="F2169" s="101"/>
      <c r="G2169" s="96">
        <f t="shared" si="133"/>
        <v>391</v>
      </c>
      <c r="I2169" s="96"/>
      <c r="K2169" t="str">
        <f t="shared" si="134"/>
        <v>391</v>
      </c>
      <c r="M2169" s="72"/>
      <c r="O2169" s="96">
        <f t="shared" si="135"/>
        <v>391</v>
      </c>
      <c r="T2169" s="110"/>
    </row>
    <row r="2170" spans="3:20" x14ac:dyDescent="0.2">
      <c r="C2170" s="96" t="str">
        <f t="shared" si="132"/>
        <v>392</v>
      </c>
      <c r="D2170" s="73"/>
      <c r="E2170" s="100"/>
      <c r="F2170" s="101"/>
      <c r="G2170" s="96">
        <f t="shared" si="133"/>
        <v>392</v>
      </c>
      <c r="I2170" s="96"/>
      <c r="K2170" t="str">
        <f t="shared" si="134"/>
        <v>392</v>
      </c>
      <c r="M2170" s="72"/>
      <c r="O2170" s="96">
        <f t="shared" si="135"/>
        <v>392</v>
      </c>
      <c r="T2170" s="110"/>
    </row>
    <row r="2171" spans="3:20" x14ac:dyDescent="0.2">
      <c r="C2171" s="96" t="str">
        <f t="shared" si="132"/>
        <v>393</v>
      </c>
      <c r="D2171" s="73"/>
      <c r="E2171" s="100"/>
      <c r="F2171" s="101"/>
      <c r="G2171" s="96">
        <f t="shared" si="133"/>
        <v>393</v>
      </c>
      <c r="I2171" s="96"/>
      <c r="K2171" t="str">
        <f t="shared" si="134"/>
        <v>393</v>
      </c>
      <c r="M2171" s="72"/>
      <c r="O2171" s="96">
        <f t="shared" si="135"/>
        <v>393</v>
      </c>
      <c r="T2171" s="110"/>
    </row>
    <row r="2172" spans="3:20" x14ac:dyDescent="0.2">
      <c r="C2172" s="96" t="str">
        <f t="shared" si="132"/>
        <v>394</v>
      </c>
      <c r="D2172" s="73"/>
      <c r="E2172" s="100"/>
      <c r="F2172" s="101"/>
      <c r="G2172" s="96">
        <f t="shared" si="133"/>
        <v>394</v>
      </c>
      <c r="I2172" s="96"/>
      <c r="K2172" t="str">
        <f t="shared" si="134"/>
        <v>394</v>
      </c>
      <c r="M2172" s="72"/>
      <c r="O2172" s="96">
        <f t="shared" si="135"/>
        <v>394</v>
      </c>
      <c r="T2172" s="110"/>
    </row>
    <row r="2173" spans="3:20" x14ac:dyDescent="0.2">
      <c r="C2173" s="96" t="str">
        <f t="shared" si="132"/>
        <v>395</v>
      </c>
      <c r="D2173" s="73"/>
      <c r="E2173" s="100"/>
      <c r="F2173" s="101"/>
      <c r="G2173" s="96">
        <f t="shared" si="133"/>
        <v>395</v>
      </c>
      <c r="I2173" s="96"/>
      <c r="K2173" t="str">
        <f t="shared" si="134"/>
        <v>395</v>
      </c>
      <c r="M2173" s="72"/>
      <c r="O2173" s="96">
        <f t="shared" si="135"/>
        <v>395</v>
      </c>
      <c r="T2173" s="110"/>
    </row>
    <row r="2174" spans="3:20" x14ac:dyDescent="0.2">
      <c r="C2174" s="96" t="str">
        <f t="shared" si="132"/>
        <v>396</v>
      </c>
      <c r="D2174" s="73"/>
      <c r="E2174" s="100"/>
      <c r="F2174" s="101"/>
      <c r="G2174" s="96">
        <f t="shared" si="133"/>
        <v>396</v>
      </c>
      <c r="I2174" s="96"/>
      <c r="K2174" t="str">
        <f t="shared" si="134"/>
        <v>396</v>
      </c>
      <c r="M2174" s="72"/>
      <c r="O2174" s="96">
        <f t="shared" si="135"/>
        <v>396</v>
      </c>
      <c r="T2174" s="110"/>
    </row>
    <row r="2175" spans="3:20" x14ac:dyDescent="0.2">
      <c r="C2175" s="96" t="str">
        <f t="shared" si="132"/>
        <v>397</v>
      </c>
      <c r="D2175" s="73"/>
      <c r="E2175" s="100"/>
      <c r="F2175" s="101"/>
      <c r="G2175" s="96">
        <f t="shared" si="133"/>
        <v>397</v>
      </c>
      <c r="I2175" s="96"/>
      <c r="K2175" t="str">
        <f t="shared" si="134"/>
        <v>397</v>
      </c>
      <c r="M2175" s="72"/>
      <c r="O2175" s="96">
        <f t="shared" si="135"/>
        <v>397</v>
      </c>
      <c r="T2175" s="110"/>
    </row>
    <row r="2176" spans="3:20" x14ac:dyDescent="0.2">
      <c r="C2176" s="96" t="str">
        <f t="shared" si="132"/>
        <v>398</v>
      </c>
      <c r="D2176" s="73"/>
      <c r="E2176" s="100"/>
      <c r="F2176" s="101"/>
      <c r="G2176" s="96">
        <f t="shared" si="133"/>
        <v>398</v>
      </c>
      <c r="I2176" s="96"/>
      <c r="K2176" t="str">
        <f t="shared" si="134"/>
        <v>398</v>
      </c>
      <c r="M2176" s="72"/>
      <c r="O2176" s="96">
        <f t="shared" si="135"/>
        <v>398</v>
      </c>
      <c r="T2176" s="110"/>
    </row>
    <row r="2177" spans="3:20" x14ac:dyDescent="0.2">
      <c r="C2177" s="96" t="str">
        <f t="shared" si="132"/>
        <v>399</v>
      </c>
      <c r="D2177" s="73"/>
      <c r="E2177" s="100"/>
      <c r="F2177" s="101"/>
      <c r="G2177" s="96">
        <f t="shared" si="133"/>
        <v>399</v>
      </c>
      <c r="I2177" s="96"/>
      <c r="K2177" t="str">
        <f t="shared" si="134"/>
        <v>399</v>
      </c>
      <c r="M2177" s="72"/>
      <c r="O2177" s="96">
        <f t="shared" si="135"/>
        <v>399</v>
      </c>
      <c r="T2177" s="110"/>
    </row>
    <row r="2178" spans="3:20" x14ac:dyDescent="0.2">
      <c r="C2178" s="96" t="str">
        <f t="shared" si="132"/>
        <v>400</v>
      </c>
      <c r="D2178" s="73"/>
      <c r="E2178" s="100"/>
      <c r="F2178" s="101"/>
      <c r="G2178" s="96">
        <f t="shared" si="133"/>
        <v>400</v>
      </c>
      <c r="I2178" s="96"/>
      <c r="K2178" t="str">
        <f t="shared" si="134"/>
        <v>400</v>
      </c>
      <c r="M2178" s="72"/>
      <c r="O2178" s="96">
        <f t="shared" si="135"/>
        <v>400</v>
      </c>
      <c r="T2178" s="110"/>
    </row>
    <row r="2179" spans="3:20" x14ac:dyDescent="0.2">
      <c r="C2179" s="96" t="str">
        <f t="shared" ref="C2179:C2242" si="136">D2179&amp;G2179</f>
        <v>401</v>
      </c>
      <c r="D2179" s="73"/>
      <c r="E2179" s="100"/>
      <c r="F2179" s="101"/>
      <c r="G2179" s="96">
        <f t="shared" ref="G2179:G2242" si="137">IF(D2179&lt;&gt;D2178,1,G2178+1)</f>
        <v>401</v>
      </c>
      <c r="I2179" s="96"/>
      <c r="K2179" t="str">
        <f t="shared" ref="K2179:K2242" si="138">L2179&amp;O2179</f>
        <v>401</v>
      </c>
      <c r="M2179" s="72"/>
      <c r="O2179" s="96">
        <f t="shared" ref="O2179:O2242" si="139">IF(L2179&lt;&gt;L2178,1,O2178+1)</f>
        <v>401</v>
      </c>
      <c r="T2179" s="110"/>
    </row>
    <row r="2180" spans="3:20" x14ac:dyDescent="0.2">
      <c r="C2180" s="96" t="str">
        <f t="shared" si="136"/>
        <v>402</v>
      </c>
      <c r="D2180" s="73"/>
      <c r="E2180" s="100"/>
      <c r="F2180" s="101"/>
      <c r="G2180" s="96">
        <f t="shared" si="137"/>
        <v>402</v>
      </c>
      <c r="I2180" s="96"/>
      <c r="K2180" t="str">
        <f t="shared" si="138"/>
        <v>402</v>
      </c>
      <c r="M2180" s="72"/>
      <c r="O2180" s="96">
        <f t="shared" si="139"/>
        <v>402</v>
      </c>
      <c r="T2180" s="110"/>
    </row>
    <row r="2181" spans="3:20" x14ac:dyDescent="0.2">
      <c r="C2181" s="96" t="str">
        <f t="shared" si="136"/>
        <v>403</v>
      </c>
      <c r="D2181" s="73"/>
      <c r="E2181" s="100"/>
      <c r="F2181" s="101"/>
      <c r="G2181" s="96">
        <f t="shared" si="137"/>
        <v>403</v>
      </c>
      <c r="I2181" s="96"/>
      <c r="K2181" t="str">
        <f t="shared" si="138"/>
        <v>403</v>
      </c>
      <c r="M2181" s="72"/>
      <c r="O2181" s="96">
        <f t="shared" si="139"/>
        <v>403</v>
      </c>
      <c r="T2181" s="110"/>
    </row>
    <row r="2182" spans="3:20" x14ac:dyDescent="0.2">
      <c r="C2182" s="96" t="str">
        <f t="shared" si="136"/>
        <v>404</v>
      </c>
      <c r="D2182" s="73"/>
      <c r="E2182" s="100"/>
      <c r="F2182" s="101"/>
      <c r="G2182" s="96">
        <f t="shared" si="137"/>
        <v>404</v>
      </c>
      <c r="I2182" s="96"/>
      <c r="K2182" t="str">
        <f t="shared" si="138"/>
        <v>404</v>
      </c>
      <c r="M2182" s="72"/>
      <c r="O2182" s="96">
        <f t="shared" si="139"/>
        <v>404</v>
      </c>
      <c r="T2182" s="110"/>
    </row>
    <row r="2183" spans="3:20" x14ac:dyDescent="0.2">
      <c r="C2183" s="96" t="str">
        <f t="shared" si="136"/>
        <v>405</v>
      </c>
      <c r="D2183" s="73"/>
      <c r="E2183" s="100"/>
      <c r="F2183" s="101"/>
      <c r="G2183" s="96">
        <f t="shared" si="137"/>
        <v>405</v>
      </c>
      <c r="I2183" s="96"/>
      <c r="K2183" t="str">
        <f t="shared" si="138"/>
        <v>405</v>
      </c>
      <c r="M2183" s="72"/>
      <c r="O2183" s="96">
        <f t="shared" si="139"/>
        <v>405</v>
      </c>
      <c r="T2183" s="110"/>
    </row>
    <row r="2184" spans="3:20" x14ac:dyDescent="0.2">
      <c r="C2184" s="96" t="str">
        <f t="shared" si="136"/>
        <v>406</v>
      </c>
      <c r="D2184" s="73"/>
      <c r="E2184" s="100"/>
      <c r="F2184" s="101"/>
      <c r="G2184" s="96">
        <f t="shared" si="137"/>
        <v>406</v>
      </c>
      <c r="I2184" s="96"/>
      <c r="K2184" t="str">
        <f t="shared" si="138"/>
        <v>406</v>
      </c>
      <c r="M2184" s="72"/>
      <c r="O2184" s="96">
        <f t="shared" si="139"/>
        <v>406</v>
      </c>
      <c r="T2184" s="110"/>
    </row>
    <row r="2185" spans="3:20" x14ac:dyDescent="0.2">
      <c r="C2185" s="96" t="str">
        <f t="shared" si="136"/>
        <v>407</v>
      </c>
      <c r="D2185" s="73"/>
      <c r="E2185" s="100"/>
      <c r="F2185" s="101"/>
      <c r="G2185" s="96">
        <f t="shared" si="137"/>
        <v>407</v>
      </c>
      <c r="I2185" s="96"/>
      <c r="K2185" t="str">
        <f t="shared" si="138"/>
        <v>407</v>
      </c>
      <c r="M2185" s="72"/>
      <c r="O2185" s="96">
        <f t="shared" si="139"/>
        <v>407</v>
      </c>
      <c r="T2185" s="110"/>
    </row>
    <row r="2186" spans="3:20" x14ac:dyDescent="0.2">
      <c r="C2186" s="96" t="str">
        <f t="shared" si="136"/>
        <v>408</v>
      </c>
      <c r="D2186" s="73"/>
      <c r="E2186" s="100"/>
      <c r="F2186" s="101"/>
      <c r="G2186" s="96">
        <f t="shared" si="137"/>
        <v>408</v>
      </c>
      <c r="I2186" s="96"/>
      <c r="K2186" t="str">
        <f t="shared" si="138"/>
        <v>408</v>
      </c>
      <c r="M2186" s="72"/>
      <c r="O2186" s="96">
        <f t="shared" si="139"/>
        <v>408</v>
      </c>
      <c r="T2186" s="110"/>
    </row>
    <row r="2187" spans="3:20" x14ac:dyDescent="0.2">
      <c r="C2187" s="96" t="str">
        <f t="shared" si="136"/>
        <v>409</v>
      </c>
      <c r="D2187" s="73"/>
      <c r="E2187" s="100"/>
      <c r="F2187" s="101"/>
      <c r="G2187" s="96">
        <f t="shared" si="137"/>
        <v>409</v>
      </c>
      <c r="I2187" s="96"/>
      <c r="K2187" t="str">
        <f t="shared" si="138"/>
        <v>409</v>
      </c>
      <c r="M2187" s="72"/>
      <c r="O2187" s="96">
        <f t="shared" si="139"/>
        <v>409</v>
      </c>
      <c r="T2187" s="110"/>
    </row>
    <row r="2188" spans="3:20" x14ac:dyDescent="0.2">
      <c r="C2188" s="96" t="str">
        <f t="shared" si="136"/>
        <v>410</v>
      </c>
      <c r="D2188" s="73"/>
      <c r="E2188" s="100"/>
      <c r="F2188" s="101"/>
      <c r="G2188" s="96">
        <f t="shared" si="137"/>
        <v>410</v>
      </c>
      <c r="I2188" s="96"/>
      <c r="K2188" t="str">
        <f t="shared" si="138"/>
        <v>410</v>
      </c>
      <c r="M2188" s="72"/>
      <c r="O2188" s="96">
        <f t="shared" si="139"/>
        <v>410</v>
      </c>
      <c r="T2188" s="110"/>
    </row>
    <row r="2189" spans="3:20" x14ac:dyDescent="0.2">
      <c r="C2189" s="96" t="str">
        <f t="shared" si="136"/>
        <v>411</v>
      </c>
      <c r="D2189" s="73"/>
      <c r="E2189" s="100"/>
      <c r="F2189" s="101"/>
      <c r="G2189" s="96">
        <f t="shared" si="137"/>
        <v>411</v>
      </c>
      <c r="I2189" s="96"/>
      <c r="K2189" t="str">
        <f t="shared" si="138"/>
        <v>411</v>
      </c>
      <c r="M2189" s="72"/>
      <c r="O2189" s="96">
        <f t="shared" si="139"/>
        <v>411</v>
      </c>
      <c r="T2189" s="110"/>
    </row>
    <row r="2190" spans="3:20" x14ac:dyDescent="0.2">
      <c r="C2190" s="96" t="str">
        <f t="shared" si="136"/>
        <v>412</v>
      </c>
      <c r="D2190" s="73"/>
      <c r="E2190" s="100"/>
      <c r="F2190" s="101"/>
      <c r="G2190" s="96">
        <f t="shared" si="137"/>
        <v>412</v>
      </c>
      <c r="I2190" s="96"/>
      <c r="K2190" t="str">
        <f t="shared" si="138"/>
        <v>412</v>
      </c>
      <c r="M2190" s="72"/>
      <c r="O2190" s="96">
        <f t="shared" si="139"/>
        <v>412</v>
      </c>
      <c r="T2190" s="110"/>
    </row>
    <row r="2191" spans="3:20" x14ac:dyDescent="0.2">
      <c r="C2191" s="96" t="str">
        <f t="shared" si="136"/>
        <v>413</v>
      </c>
      <c r="D2191" s="73"/>
      <c r="E2191" s="100"/>
      <c r="F2191" s="101"/>
      <c r="G2191" s="96">
        <f t="shared" si="137"/>
        <v>413</v>
      </c>
      <c r="I2191" s="96"/>
      <c r="K2191" t="str">
        <f t="shared" si="138"/>
        <v>413</v>
      </c>
      <c r="M2191" s="72"/>
      <c r="O2191" s="96">
        <f t="shared" si="139"/>
        <v>413</v>
      </c>
      <c r="T2191" s="83"/>
    </row>
    <row r="2192" spans="3:20" x14ac:dyDescent="0.2">
      <c r="C2192" s="96" t="str">
        <f t="shared" si="136"/>
        <v>414</v>
      </c>
      <c r="D2192" s="73"/>
      <c r="E2192" s="100"/>
      <c r="F2192" s="101"/>
      <c r="G2192" s="96">
        <f t="shared" si="137"/>
        <v>414</v>
      </c>
      <c r="I2192" s="96"/>
      <c r="K2192" t="str">
        <f t="shared" si="138"/>
        <v>414</v>
      </c>
      <c r="M2192" s="72"/>
      <c r="O2192" s="96">
        <f t="shared" si="139"/>
        <v>414</v>
      </c>
      <c r="T2192" s="83"/>
    </row>
    <row r="2193" spans="3:20" x14ac:dyDescent="0.2">
      <c r="C2193" s="96" t="str">
        <f t="shared" si="136"/>
        <v>415</v>
      </c>
      <c r="D2193" s="73"/>
      <c r="E2193" s="100"/>
      <c r="F2193" s="101"/>
      <c r="G2193" s="96">
        <f t="shared" si="137"/>
        <v>415</v>
      </c>
      <c r="I2193" s="96"/>
      <c r="K2193" t="str">
        <f t="shared" si="138"/>
        <v>415</v>
      </c>
      <c r="M2193" s="72"/>
      <c r="O2193" s="96">
        <f t="shared" si="139"/>
        <v>415</v>
      </c>
      <c r="T2193" s="110"/>
    </row>
    <row r="2194" spans="3:20" x14ac:dyDescent="0.2">
      <c r="C2194" s="96" t="str">
        <f t="shared" si="136"/>
        <v>416</v>
      </c>
      <c r="D2194" s="73"/>
      <c r="E2194" s="100"/>
      <c r="F2194" s="101"/>
      <c r="G2194" s="96">
        <f t="shared" si="137"/>
        <v>416</v>
      </c>
      <c r="I2194" s="96"/>
      <c r="K2194" t="str">
        <f t="shared" si="138"/>
        <v>416</v>
      </c>
      <c r="M2194" s="72"/>
      <c r="O2194" s="96">
        <f t="shared" si="139"/>
        <v>416</v>
      </c>
      <c r="T2194" s="83"/>
    </row>
    <row r="2195" spans="3:20" x14ac:dyDescent="0.2">
      <c r="C2195" s="96" t="str">
        <f t="shared" si="136"/>
        <v>417</v>
      </c>
      <c r="D2195" s="73"/>
      <c r="E2195" s="100"/>
      <c r="F2195" s="101"/>
      <c r="G2195" s="96">
        <f t="shared" si="137"/>
        <v>417</v>
      </c>
      <c r="I2195" s="96"/>
      <c r="K2195" t="str">
        <f t="shared" si="138"/>
        <v>417</v>
      </c>
      <c r="M2195" s="72"/>
      <c r="O2195" s="96">
        <f t="shared" si="139"/>
        <v>417</v>
      </c>
      <c r="T2195" s="83"/>
    </row>
    <row r="2196" spans="3:20" x14ac:dyDescent="0.2">
      <c r="C2196" s="96" t="str">
        <f t="shared" si="136"/>
        <v>418</v>
      </c>
      <c r="D2196" s="73"/>
      <c r="E2196" s="100"/>
      <c r="F2196" s="101"/>
      <c r="G2196" s="96">
        <f t="shared" si="137"/>
        <v>418</v>
      </c>
      <c r="I2196" s="96"/>
      <c r="K2196" t="str">
        <f t="shared" si="138"/>
        <v>418</v>
      </c>
      <c r="M2196" s="72"/>
      <c r="O2196" s="96">
        <f t="shared" si="139"/>
        <v>418</v>
      </c>
      <c r="T2196" s="83"/>
    </row>
    <row r="2197" spans="3:20" x14ac:dyDescent="0.2">
      <c r="C2197" s="96" t="str">
        <f t="shared" si="136"/>
        <v>419</v>
      </c>
      <c r="D2197" s="73"/>
      <c r="E2197" s="100"/>
      <c r="F2197" s="101"/>
      <c r="G2197" s="96">
        <f t="shared" si="137"/>
        <v>419</v>
      </c>
      <c r="I2197" s="96"/>
      <c r="K2197" t="str">
        <f t="shared" si="138"/>
        <v>419</v>
      </c>
      <c r="M2197" s="72"/>
      <c r="O2197" s="96">
        <f t="shared" si="139"/>
        <v>419</v>
      </c>
      <c r="T2197" s="83"/>
    </row>
    <row r="2198" spans="3:20" x14ac:dyDescent="0.2">
      <c r="C2198" s="96" t="str">
        <f t="shared" si="136"/>
        <v>420</v>
      </c>
      <c r="D2198" s="73"/>
      <c r="E2198" s="100"/>
      <c r="F2198" s="101"/>
      <c r="G2198" s="96">
        <f t="shared" si="137"/>
        <v>420</v>
      </c>
      <c r="I2198" s="96"/>
      <c r="K2198" t="str">
        <f t="shared" si="138"/>
        <v>420</v>
      </c>
      <c r="M2198" s="72"/>
      <c r="O2198" s="96">
        <f t="shared" si="139"/>
        <v>420</v>
      </c>
      <c r="T2198" s="110"/>
    </row>
    <row r="2199" spans="3:20" x14ac:dyDescent="0.2">
      <c r="C2199" s="96" t="str">
        <f t="shared" si="136"/>
        <v>421</v>
      </c>
      <c r="D2199" s="73"/>
      <c r="E2199" s="100"/>
      <c r="F2199" s="101"/>
      <c r="G2199" s="96">
        <f t="shared" si="137"/>
        <v>421</v>
      </c>
      <c r="I2199" s="96"/>
      <c r="K2199" t="str">
        <f t="shared" si="138"/>
        <v>421</v>
      </c>
      <c r="M2199" s="72"/>
      <c r="O2199" s="96">
        <f t="shared" si="139"/>
        <v>421</v>
      </c>
      <c r="T2199" s="110"/>
    </row>
    <row r="2200" spans="3:20" x14ac:dyDescent="0.2">
      <c r="C2200" s="96" t="str">
        <f t="shared" si="136"/>
        <v>422</v>
      </c>
      <c r="D2200" s="73"/>
      <c r="E2200" s="100"/>
      <c r="F2200" s="101"/>
      <c r="G2200" s="96">
        <f t="shared" si="137"/>
        <v>422</v>
      </c>
      <c r="I2200" s="96"/>
      <c r="K2200" t="str">
        <f t="shared" si="138"/>
        <v>422</v>
      </c>
      <c r="M2200" s="72"/>
      <c r="O2200" s="96">
        <f t="shared" si="139"/>
        <v>422</v>
      </c>
      <c r="T2200" s="110"/>
    </row>
    <row r="2201" spans="3:20" x14ac:dyDescent="0.2">
      <c r="C2201" s="96" t="str">
        <f t="shared" si="136"/>
        <v>423</v>
      </c>
      <c r="D2201" s="73"/>
      <c r="E2201" s="100"/>
      <c r="F2201" s="101"/>
      <c r="G2201" s="96">
        <f t="shared" si="137"/>
        <v>423</v>
      </c>
      <c r="I2201" s="96"/>
      <c r="K2201" t="str">
        <f t="shared" si="138"/>
        <v>423</v>
      </c>
      <c r="M2201" s="72"/>
      <c r="O2201" s="96">
        <f t="shared" si="139"/>
        <v>423</v>
      </c>
      <c r="T2201" s="110"/>
    </row>
    <row r="2202" spans="3:20" x14ac:dyDescent="0.2">
      <c r="C2202" s="96" t="str">
        <f t="shared" si="136"/>
        <v>424</v>
      </c>
      <c r="D2202" s="73"/>
      <c r="E2202" s="100"/>
      <c r="F2202" s="101"/>
      <c r="G2202" s="96">
        <f t="shared" si="137"/>
        <v>424</v>
      </c>
      <c r="I2202" s="96"/>
      <c r="K2202" t="str">
        <f t="shared" si="138"/>
        <v>424</v>
      </c>
      <c r="M2202" s="72"/>
      <c r="O2202" s="96">
        <f t="shared" si="139"/>
        <v>424</v>
      </c>
      <c r="T2202" s="110"/>
    </row>
    <row r="2203" spans="3:20" x14ac:dyDescent="0.2">
      <c r="C2203" s="96" t="str">
        <f t="shared" si="136"/>
        <v>425</v>
      </c>
      <c r="D2203" s="73"/>
      <c r="E2203" s="100"/>
      <c r="F2203" s="101"/>
      <c r="G2203" s="96">
        <f t="shared" si="137"/>
        <v>425</v>
      </c>
      <c r="I2203" s="96"/>
      <c r="K2203" t="str">
        <f t="shared" si="138"/>
        <v>425</v>
      </c>
      <c r="M2203" s="72"/>
      <c r="O2203" s="96">
        <f t="shared" si="139"/>
        <v>425</v>
      </c>
      <c r="T2203" s="110"/>
    </row>
    <row r="2204" spans="3:20" x14ac:dyDescent="0.2">
      <c r="C2204" s="96" t="str">
        <f t="shared" si="136"/>
        <v>426</v>
      </c>
      <c r="D2204" s="73"/>
      <c r="E2204" s="100"/>
      <c r="F2204" s="101"/>
      <c r="G2204" s="96">
        <f t="shared" si="137"/>
        <v>426</v>
      </c>
      <c r="I2204" s="96"/>
      <c r="K2204" t="str">
        <f t="shared" si="138"/>
        <v>426</v>
      </c>
      <c r="M2204" s="72"/>
      <c r="O2204" s="96">
        <f t="shared" si="139"/>
        <v>426</v>
      </c>
      <c r="T2204" s="110"/>
    </row>
    <row r="2205" spans="3:20" x14ac:dyDescent="0.2">
      <c r="C2205" s="96" t="str">
        <f t="shared" si="136"/>
        <v>427</v>
      </c>
      <c r="D2205" s="73"/>
      <c r="E2205" s="100"/>
      <c r="F2205" s="101"/>
      <c r="G2205" s="96">
        <f t="shared" si="137"/>
        <v>427</v>
      </c>
      <c r="I2205" s="96"/>
      <c r="K2205" t="str">
        <f t="shared" si="138"/>
        <v>427</v>
      </c>
      <c r="M2205" s="72"/>
      <c r="O2205" s="96">
        <f t="shared" si="139"/>
        <v>427</v>
      </c>
      <c r="T2205" s="110"/>
    </row>
    <row r="2206" spans="3:20" x14ac:dyDescent="0.2">
      <c r="C2206" s="96" t="str">
        <f t="shared" si="136"/>
        <v>428</v>
      </c>
      <c r="D2206" s="73"/>
      <c r="E2206" s="100"/>
      <c r="F2206" s="101"/>
      <c r="G2206" s="96">
        <f t="shared" si="137"/>
        <v>428</v>
      </c>
      <c r="I2206" s="96"/>
      <c r="K2206" t="str">
        <f t="shared" si="138"/>
        <v>428</v>
      </c>
      <c r="M2206" s="72"/>
      <c r="O2206" s="96">
        <f t="shared" si="139"/>
        <v>428</v>
      </c>
      <c r="T2206" s="110"/>
    </row>
    <row r="2207" spans="3:20" x14ac:dyDescent="0.2">
      <c r="C2207" s="96" t="str">
        <f t="shared" si="136"/>
        <v>429</v>
      </c>
      <c r="D2207" s="73"/>
      <c r="E2207" s="100"/>
      <c r="F2207" s="101"/>
      <c r="G2207" s="96">
        <f t="shared" si="137"/>
        <v>429</v>
      </c>
      <c r="I2207" s="96"/>
      <c r="K2207" t="str">
        <f t="shared" si="138"/>
        <v>429</v>
      </c>
      <c r="M2207" s="72"/>
      <c r="O2207" s="96">
        <f t="shared" si="139"/>
        <v>429</v>
      </c>
      <c r="T2207" s="110"/>
    </row>
    <row r="2208" spans="3:20" x14ac:dyDescent="0.2">
      <c r="C2208" s="96" t="str">
        <f t="shared" si="136"/>
        <v>430</v>
      </c>
      <c r="D2208" s="73"/>
      <c r="E2208" s="100"/>
      <c r="F2208" s="101"/>
      <c r="G2208" s="96">
        <f t="shared" si="137"/>
        <v>430</v>
      </c>
      <c r="I2208" s="96"/>
      <c r="K2208" t="str">
        <f t="shared" si="138"/>
        <v>430</v>
      </c>
      <c r="M2208" s="72"/>
      <c r="O2208" s="96">
        <f t="shared" si="139"/>
        <v>430</v>
      </c>
      <c r="T2208" s="110"/>
    </row>
    <row r="2209" spans="3:20" x14ac:dyDescent="0.2">
      <c r="C2209" s="96" t="str">
        <f t="shared" si="136"/>
        <v>431</v>
      </c>
      <c r="D2209" s="73"/>
      <c r="E2209" s="100"/>
      <c r="F2209" s="101"/>
      <c r="G2209" s="96">
        <f t="shared" si="137"/>
        <v>431</v>
      </c>
      <c r="I2209" s="96"/>
      <c r="K2209" t="str">
        <f t="shared" si="138"/>
        <v>431</v>
      </c>
      <c r="M2209" s="72"/>
      <c r="O2209" s="96">
        <f t="shared" si="139"/>
        <v>431</v>
      </c>
      <c r="T2209" s="110"/>
    </row>
    <row r="2210" spans="3:20" x14ac:dyDescent="0.2">
      <c r="C2210" s="96" t="str">
        <f t="shared" si="136"/>
        <v>432</v>
      </c>
      <c r="D2210" s="73"/>
      <c r="E2210" s="100"/>
      <c r="F2210" s="101"/>
      <c r="G2210" s="96">
        <f t="shared" si="137"/>
        <v>432</v>
      </c>
      <c r="I2210" s="96"/>
      <c r="K2210" t="str">
        <f t="shared" si="138"/>
        <v>432</v>
      </c>
      <c r="M2210" s="72"/>
      <c r="O2210" s="96">
        <f t="shared" si="139"/>
        <v>432</v>
      </c>
      <c r="T2210" s="110"/>
    </row>
    <row r="2211" spans="3:20" x14ac:dyDescent="0.2">
      <c r="C2211" s="96" t="str">
        <f t="shared" si="136"/>
        <v>433</v>
      </c>
      <c r="D2211" s="73"/>
      <c r="E2211" s="100"/>
      <c r="F2211" s="101"/>
      <c r="G2211" s="96">
        <f t="shared" si="137"/>
        <v>433</v>
      </c>
      <c r="I2211" s="96"/>
      <c r="K2211" t="str">
        <f t="shared" si="138"/>
        <v>433</v>
      </c>
      <c r="M2211" s="72"/>
      <c r="O2211" s="96">
        <f t="shared" si="139"/>
        <v>433</v>
      </c>
      <c r="T2211" s="110"/>
    </row>
    <row r="2212" spans="3:20" x14ac:dyDescent="0.2">
      <c r="C2212" s="96" t="str">
        <f t="shared" si="136"/>
        <v>434</v>
      </c>
      <c r="D2212" s="73"/>
      <c r="E2212" s="100"/>
      <c r="F2212" s="101"/>
      <c r="G2212" s="96">
        <f t="shared" si="137"/>
        <v>434</v>
      </c>
      <c r="I2212" s="96"/>
      <c r="K2212" t="str">
        <f t="shared" si="138"/>
        <v>434</v>
      </c>
      <c r="M2212" s="72"/>
      <c r="O2212" s="96">
        <f t="shared" si="139"/>
        <v>434</v>
      </c>
      <c r="T2212" s="110"/>
    </row>
    <row r="2213" spans="3:20" x14ac:dyDescent="0.2">
      <c r="C2213" s="96" t="str">
        <f t="shared" si="136"/>
        <v>435</v>
      </c>
      <c r="D2213" s="73"/>
      <c r="E2213" s="100"/>
      <c r="F2213" s="101"/>
      <c r="G2213" s="96">
        <f t="shared" si="137"/>
        <v>435</v>
      </c>
      <c r="I2213" s="96"/>
      <c r="K2213" t="str">
        <f t="shared" si="138"/>
        <v>435</v>
      </c>
      <c r="M2213" s="72"/>
      <c r="O2213" s="96">
        <f t="shared" si="139"/>
        <v>435</v>
      </c>
      <c r="T2213" s="110"/>
    </row>
    <row r="2214" spans="3:20" x14ac:dyDescent="0.2">
      <c r="C2214" s="96" t="str">
        <f t="shared" si="136"/>
        <v>436</v>
      </c>
      <c r="D2214" s="73"/>
      <c r="E2214" s="100"/>
      <c r="F2214" s="101"/>
      <c r="G2214" s="96">
        <f t="shared" si="137"/>
        <v>436</v>
      </c>
      <c r="I2214" s="96"/>
      <c r="K2214" t="str">
        <f t="shared" si="138"/>
        <v>436</v>
      </c>
      <c r="M2214" s="72"/>
      <c r="O2214" s="96">
        <f t="shared" si="139"/>
        <v>436</v>
      </c>
      <c r="T2214" s="110"/>
    </row>
    <row r="2215" spans="3:20" x14ac:dyDescent="0.2">
      <c r="C2215" s="96" t="str">
        <f t="shared" si="136"/>
        <v>437</v>
      </c>
      <c r="D2215" s="73"/>
      <c r="E2215" s="100"/>
      <c r="F2215" s="101"/>
      <c r="G2215" s="96">
        <f t="shared" si="137"/>
        <v>437</v>
      </c>
      <c r="I2215" s="96"/>
      <c r="K2215" t="str">
        <f t="shared" si="138"/>
        <v>437</v>
      </c>
      <c r="M2215" s="72"/>
      <c r="O2215" s="96">
        <f t="shared" si="139"/>
        <v>437</v>
      </c>
      <c r="T2215" s="110"/>
    </row>
    <row r="2216" spans="3:20" x14ac:dyDescent="0.2">
      <c r="C2216" s="96" t="str">
        <f t="shared" si="136"/>
        <v>438</v>
      </c>
      <c r="D2216" s="73"/>
      <c r="E2216" s="100"/>
      <c r="F2216" s="101"/>
      <c r="G2216" s="96">
        <f t="shared" si="137"/>
        <v>438</v>
      </c>
      <c r="I2216" s="96"/>
      <c r="K2216" t="str">
        <f t="shared" si="138"/>
        <v>438</v>
      </c>
      <c r="M2216" s="72"/>
      <c r="O2216" s="96">
        <f t="shared" si="139"/>
        <v>438</v>
      </c>
      <c r="T2216" s="110"/>
    </row>
    <row r="2217" spans="3:20" x14ac:dyDescent="0.2">
      <c r="C2217" s="96" t="str">
        <f t="shared" si="136"/>
        <v>439</v>
      </c>
      <c r="D2217" s="73"/>
      <c r="E2217" s="100"/>
      <c r="F2217" s="101"/>
      <c r="G2217" s="96">
        <f t="shared" si="137"/>
        <v>439</v>
      </c>
      <c r="I2217" s="96"/>
      <c r="K2217" t="str">
        <f t="shared" si="138"/>
        <v>439</v>
      </c>
      <c r="M2217" s="72"/>
      <c r="O2217" s="96">
        <f t="shared" si="139"/>
        <v>439</v>
      </c>
      <c r="T2217" s="110"/>
    </row>
    <row r="2218" spans="3:20" x14ac:dyDescent="0.2">
      <c r="C2218" s="96" t="str">
        <f t="shared" si="136"/>
        <v>440</v>
      </c>
      <c r="D2218" s="73"/>
      <c r="E2218" s="100"/>
      <c r="F2218" s="101"/>
      <c r="G2218" s="96">
        <f t="shared" si="137"/>
        <v>440</v>
      </c>
      <c r="I2218" s="96"/>
      <c r="K2218" t="str">
        <f t="shared" si="138"/>
        <v>440</v>
      </c>
      <c r="M2218" s="72"/>
      <c r="O2218" s="96">
        <f t="shared" si="139"/>
        <v>440</v>
      </c>
      <c r="T2218" s="110"/>
    </row>
    <row r="2219" spans="3:20" x14ac:dyDescent="0.2">
      <c r="C2219" s="96" t="str">
        <f t="shared" si="136"/>
        <v>441</v>
      </c>
      <c r="D2219" s="73"/>
      <c r="E2219" s="100"/>
      <c r="F2219" s="101"/>
      <c r="G2219" s="96">
        <f t="shared" si="137"/>
        <v>441</v>
      </c>
      <c r="I2219" s="96"/>
      <c r="K2219" t="str">
        <f t="shared" si="138"/>
        <v>441</v>
      </c>
      <c r="M2219" s="72"/>
      <c r="O2219" s="96">
        <f t="shared" si="139"/>
        <v>441</v>
      </c>
      <c r="T2219" s="110"/>
    </row>
    <row r="2220" spans="3:20" x14ac:dyDescent="0.2">
      <c r="C2220" s="96" t="str">
        <f t="shared" si="136"/>
        <v>442</v>
      </c>
      <c r="D2220" s="73"/>
      <c r="E2220" s="100"/>
      <c r="F2220" s="101"/>
      <c r="G2220" s="96">
        <f t="shared" si="137"/>
        <v>442</v>
      </c>
      <c r="I2220" s="96"/>
      <c r="K2220" t="str">
        <f t="shared" si="138"/>
        <v>442</v>
      </c>
      <c r="M2220" s="72"/>
      <c r="O2220" s="96">
        <f t="shared" si="139"/>
        <v>442</v>
      </c>
      <c r="T2220" s="110"/>
    </row>
    <row r="2221" spans="3:20" x14ac:dyDescent="0.2">
      <c r="C2221" s="96" t="str">
        <f t="shared" si="136"/>
        <v>443</v>
      </c>
      <c r="D2221" s="73"/>
      <c r="E2221" s="100"/>
      <c r="F2221" s="101"/>
      <c r="G2221" s="96">
        <f t="shared" si="137"/>
        <v>443</v>
      </c>
      <c r="I2221" s="96"/>
      <c r="K2221" t="str">
        <f t="shared" si="138"/>
        <v>443</v>
      </c>
      <c r="M2221" s="72"/>
      <c r="O2221" s="96">
        <f t="shared" si="139"/>
        <v>443</v>
      </c>
      <c r="T2221" s="110"/>
    </row>
    <row r="2222" spans="3:20" x14ac:dyDescent="0.2">
      <c r="C2222" s="96" t="str">
        <f t="shared" si="136"/>
        <v>444</v>
      </c>
      <c r="D2222" s="73"/>
      <c r="E2222" s="100"/>
      <c r="F2222" s="101"/>
      <c r="G2222" s="96">
        <f t="shared" si="137"/>
        <v>444</v>
      </c>
      <c r="I2222" s="96"/>
      <c r="K2222" t="str">
        <f t="shared" si="138"/>
        <v>444</v>
      </c>
      <c r="M2222" s="72"/>
      <c r="O2222" s="96">
        <f t="shared" si="139"/>
        <v>444</v>
      </c>
      <c r="T2222" s="110"/>
    </row>
    <row r="2223" spans="3:20" x14ac:dyDescent="0.2">
      <c r="C2223" s="96" t="str">
        <f t="shared" si="136"/>
        <v>445</v>
      </c>
      <c r="D2223" s="73"/>
      <c r="E2223" s="100"/>
      <c r="F2223" s="101"/>
      <c r="G2223" s="96">
        <f t="shared" si="137"/>
        <v>445</v>
      </c>
      <c r="I2223" s="96"/>
      <c r="K2223" t="str">
        <f t="shared" si="138"/>
        <v>445</v>
      </c>
      <c r="M2223" s="72"/>
      <c r="O2223" s="96">
        <f t="shared" si="139"/>
        <v>445</v>
      </c>
      <c r="T2223" s="110"/>
    </row>
    <row r="2224" spans="3:20" x14ac:dyDescent="0.2">
      <c r="C2224" s="96" t="str">
        <f t="shared" si="136"/>
        <v>446</v>
      </c>
      <c r="D2224" s="73"/>
      <c r="E2224" s="100"/>
      <c r="F2224" s="101"/>
      <c r="G2224" s="96">
        <f t="shared" si="137"/>
        <v>446</v>
      </c>
      <c r="I2224" s="96"/>
      <c r="K2224" t="str">
        <f t="shared" si="138"/>
        <v>446</v>
      </c>
      <c r="M2224" s="72"/>
      <c r="O2224" s="96">
        <f t="shared" si="139"/>
        <v>446</v>
      </c>
      <c r="T2224" s="110"/>
    </row>
    <row r="2225" spans="3:20" x14ac:dyDescent="0.2">
      <c r="C2225" s="96" t="str">
        <f t="shared" si="136"/>
        <v>447</v>
      </c>
      <c r="D2225" s="73"/>
      <c r="E2225" s="100"/>
      <c r="F2225" s="101"/>
      <c r="G2225" s="96">
        <f t="shared" si="137"/>
        <v>447</v>
      </c>
      <c r="I2225" s="96"/>
      <c r="K2225" t="str">
        <f t="shared" si="138"/>
        <v>447</v>
      </c>
      <c r="M2225" s="72"/>
      <c r="O2225" s="96">
        <f t="shared" si="139"/>
        <v>447</v>
      </c>
      <c r="T2225" s="110"/>
    </row>
    <row r="2226" spans="3:20" x14ac:dyDescent="0.2">
      <c r="C2226" s="96" t="str">
        <f t="shared" si="136"/>
        <v>448</v>
      </c>
      <c r="D2226" s="73"/>
      <c r="E2226" s="100"/>
      <c r="F2226" s="101"/>
      <c r="G2226" s="96">
        <f t="shared" si="137"/>
        <v>448</v>
      </c>
      <c r="I2226" s="96"/>
      <c r="K2226" t="str">
        <f t="shared" si="138"/>
        <v>448</v>
      </c>
      <c r="M2226" s="72"/>
      <c r="O2226" s="96">
        <f t="shared" si="139"/>
        <v>448</v>
      </c>
      <c r="T2226" s="110"/>
    </row>
    <row r="2227" spans="3:20" x14ac:dyDescent="0.2">
      <c r="C2227" s="96" t="str">
        <f t="shared" si="136"/>
        <v>449</v>
      </c>
      <c r="D2227" s="73"/>
      <c r="E2227" s="100"/>
      <c r="F2227" s="101"/>
      <c r="G2227" s="96">
        <f t="shared" si="137"/>
        <v>449</v>
      </c>
      <c r="I2227" s="96"/>
      <c r="K2227" t="str">
        <f t="shared" si="138"/>
        <v>449</v>
      </c>
      <c r="M2227" s="72"/>
      <c r="O2227" s="96">
        <f t="shared" si="139"/>
        <v>449</v>
      </c>
      <c r="T2227" s="110"/>
    </row>
    <row r="2228" spans="3:20" x14ac:dyDescent="0.2">
      <c r="C2228" s="96" t="str">
        <f t="shared" si="136"/>
        <v>450</v>
      </c>
      <c r="D2228" s="73"/>
      <c r="E2228" s="100"/>
      <c r="F2228" s="101"/>
      <c r="G2228" s="96">
        <f t="shared" si="137"/>
        <v>450</v>
      </c>
      <c r="I2228" s="96"/>
      <c r="K2228" t="str">
        <f t="shared" si="138"/>
        <v>450</v>
      </c>
      <c r="M2228" s="72"/>
      <c r="O2228" s="96">
        <f t="shared" si="139"/>
        <v>450</v>
      </c>
      <c r="T2228" s="110"/>
    </row>
    <row r="2229" spans="3:20" x14ac:dyDescent="0.2">
      <c r="C2229" s="96" t="str">
        <f t="shared" si="136"/>
        <v>451</v>
      </c>
      <c r="D2229" s="73"/>
      <c r="E2229" s="100"/>
      <c r="F2229" s="101"/>
      <c r="G2229" s="96">
        <f t="shared" si="137"/>
        <v>451</v>
      </c>
      <c r="I2229" s="96"/>
      <c r="K2229" t="str">
        <f t="shared" si="138"/>
        <v>451</v>
      </c>
      <c r="M2229" s="72"/>
      <c r="O2229" s="96">
        <f t="shared" si="139"/>
        <v>451</v>
      </c>
      <c r="T2229" s="110"/>
    </row>
    <row r="2230" spans="3:20" x14ac:dyDescent="0.2">
      <c r="C2230" s="96" t="str">
        <f t="shared" si="136"/>
        <v>452</v>
      </c>
      <c r="D2230" s="73"/>
      <c r="E2230" s="100"/>
      <c r="F2230" s="101"/>
      <c r="G2230" s="96">
        <f t="shared" si="137"/>
        <v>452</v>
      </c>
      <c r="I2230" s="96"/>
      <c r="K2230" t="str">
        <f t="shared" si="138"/>
        <v>452</v>
      </c>
      <c r="M2230" s="72"/>
      <c r="O2230" s="96">
        <f t="shared" si="139"/>
        <v>452</v>
      </c>
      <c r="T2230" s="110"/>
    </row>
    <row r="2231" spans="3:20" x14ac:dyDescent="0.2">
      <c r="C2231" s="96" t="str">
        <f t="shared" si="136"/>
        <v>453</v>
      </c>
      <c r="D2231" s="73"/>
      <c r="E2231" s="100"/>
      <c r="F2231" s="101"/>
      <c r="G2231" s="96">
        <f t="shared" si="137"/>
        <v>453</v>
      </c>
      <c r="I2231" s="96"/>
      <c r="K2231" t="str">
        <f t="shared" si="138"/>
        <v>453</v>
      </c>
      <c r="M2231" s="72"/>
      <c r="O2231" s="96">
        <f t="shared" si="139"/>
        <v>453</v>
      </c>
      <c r="T2231" s="110"/>
    </row>
    <row r="2232" spans="3:20" x14ac:dyDescent="0.2">
      <c r="C2232" s="96" t="str">
        <f t="shared" si="136"/>
        <v>454</v>
      </c>
      <c r="D2232" s="73"/>
      <c r="E2232" s="100"/>
      <c r="F2232" s="101"/>
      <c r="G2232" s="96">
        <f t="shared" si="137"/>
        <v>454</v>
      </c>
      <c r="I2232" s="96"/>
      <c r="K2232" t="str">
        <f t="shared" si="138"/>
        <v>454</v>
      </c>
      <c r="M2232" s="72"/>
      <c r="O2232" s="96">
        <f t="shared" si="139"/>
        <v>454</v>
      </c>
      <c r="T2232" s="110"/>
    </row>
    <row r="2233" spans="3:20" x14ac:dyDescent="0.2">
      <c r="C2233" s="96" t="str">
        <f t="shared" si="136"/>
        <v>455</v>
      </c>
      <c r="D2233" s="73"/>
      <c r="E2233" s="100"/>
      <c r="F2233" s="101"/>
      <c r="G2233" s="96">
        <f t="shared" si="137"/>
        <v>455</v>
      </c>
      <c r="I2233" s="96"/>
      <c r="K2233" t="str">
        <f t="shared" si="138"/>
        <v>455</v>
      </c>
      <c r="M2233" s="72"/>
      <c r="O2233" s="96">
        <f t="shared" si="139"/>
        <v>455</v>
      </c>
      <c r="T2233" s="110"/>
    </row>
    <row r="2234" spans="3:20" x14ac:dyDescent="0.2">
      <c r="C2234" s="96" t="str">
        <f t="shared" si="136"/>
        <v>456</v>
      </c>
      <c r="D2234" s="73"/>
      <c r="E2234" s="100"/>
      <c r="F2234" s="101"/>
      <c r="G2234" s="96">
        <f t="shared" si="137"/>
        <v>456</v>
      </c>
      <c r="I2234" s="96"/>
      <c r="K2234" t="str">
        <f t="shared" si="138"/>
        <v>456</v>
      </c>
      <c r="M2234" s="72"/>
      <c r="O2234" s="96">
        <f t="shared" si="139"/>
        <v>456</v>
      </c>
      <c r="T2234" s="110"/>
    </row>
    <row r="2235" spans="3:20" x14ac:dyDescent="0.2">
      <c r="C2235" s="96" t="str">
        <f t="shared" si="136"/>
        <v>457</v>
      </c>
      <c r="D2235" s="73"/>
      <c r="E2235" s="100"/>
      <c r="F2235" s="101"/>
      <c r="G2235" s="96">
        <f t="shared" si="137"/>
        <v>457</v>
      </c>
      <c r="I2235" s="96"/>
      <c r="K2235" t="str">
        <f t="shared" si="138"/>
        <v>457</v>
      </c>
      <c r="M2235" s="72"/>
      <c r="O2235" s="96">
        <f t="shared" si="139"/>
        <v>457</v>
      </c>
      <c r="T2235" s="110"/>
    </row>
    <row r="2236" spans="3:20" x14ac:dyDescent="0.2">
      <c r="C2236" s="96" t="str">
        <f t="shared" si="136"/>
        <v>458</v>
      </c>
      <c r="D2236" s="73"/>
      <c r="E2236" s="100"/>
      <c r="F2236" s="101"/>
      <c r="G2236" s="96">
        <f t="shared" si="137"/>
        <v>458</v>
      </c>
      <c r="I2236" s="96"/>
      <c r="K2236" t="str">
        <f t="shared" si="138"/>
        <v>458</v>
      </c>
      <c r="M2236" s="72"/>
      <c r="O2236" s="96">
        <f t="shared" si="139"/>
        <v>458</v>
      </c>
      <c r="T2236" s="110"/>
    </row>
    <row r="2237" spans="3:20" x14ac:dyDescent="0.2">
      <c r="C2237" s="96" t="str">
        <f t="shared" si="136"/>
        <v>459</v>
      </c>
      <c r="D2237" s="73"/>
      <c r="E2237" s="100"/>
      <c r="F2237" s="101"/>
      <c r="G2237" s="96">
        <f t="shared" si="137"/>
        <v>459</v>
      </c>
      <c r="I2237" s="96"/>
      <c r="K2237" t="str">
        <f t="shared" si="138"/>
        <v>459</v>
      </c>
      <c r="M2237" s="72"/>
      <c r="O2237" s="96">
        <f t="shared" si="139"/>
        <v>459</v>
      </c>
      <c r="T2237" s="110"/>
    </row>
    <row r="2238" spans="3:20" x14ac:dyDescent="0.2">
      <c r="C2238" s="96" t="str">
        <f t="shared" si="136"/>
        <v>460</v>
      </c>
      <c r="D2238" s="73"/>
      <c r="E2238" s="100"/>
      <c r="F2238" s="101"/>
      <c r="G2238" s="96">
        <f t="shared" si="137"/>
        <v>460</v>
      </c>
      <c r="I2238" s="96"/>
      <c r="K2238" t="str">
        <f t="shared" si="138"/>
        <v>460</v>
      </c>
      <c r="M2238" s="72"/>
      <c r="O2238" s="96">
        <f t="shared" si="139"/>
        <v>460</v>
      </c>
      <c r="T2238" s="110"/>
    </row>
    <row r="2239" spans="3:20" x14ac:dyDescent="0.2">
      <c r="C2239" s="96" t="str">
        <f t="shared" si="136"/>
        <v>461</v>
      </c>
      <c r="D2239" s="73"/>
      <c r="E2239" s="100"/>
      <c r="F2239" s="101"/>
      <c r="G2239" s="96">
        <f t="shared" si="137"/>
        <v>461</v>
      </c>
      <c r="I2239" s="96"/>
      <c r="K2239" t="str">
        <f t="shared" si="138"/>
        <v>461</v>
      </c>
      <c r="M2239" s="72"/>
      <c r="O2239" s="96">
        <f t="shared" si="139"/>
        <v>461</v>
      </c>
      <c r="T2239" s="110"/>
    </row>
    <row r="2240" spans="3:20" x14ac:dyDescent="0.2">
      <c r="C2240" s="96" t="str">
        <f t="shared" si="136"/>
        <v>462</v>
      </c>
      <c r="D2240" s="73"/>
      <c r="E2240" s="100"/>
      <c r="F2240" s="101"/>
      <c r="G2240" s="96">
        <f t="shared" si="137"/>
        <v>462</v>
      </c>
      <c r="I2240" s="96"/>
      <c r="K2240" t="str">
        <f t="shared" si="138"/>
        <v>462</v>
      </c>
      <c r="M2240" s="72"/>
      <c r="O2240" s="96">
        <f t="shared" si="139"/>
        <v>462</v>
      </c>
      <c r="T2240" s="110"/>
    </row>
    <row r="2241" spans="3:20" x14ac:dyDescent="0.2">
      <c r="C2241" s="96" t="str">
        <f t="shared" si="136"/>
        <v>463</v>
      </c>
      <c r="D2241" s="73"/>
      <c r="E2241" s="100"/>
      <c r="F2241" s="101"/>
      <c r="G2241" s="96">
        <f t="shared" si="137"/>
        <v>463</v>
      </c>
      <c r="I2241" s="96"/>
      <c r="K2241" t="str">
        <f t="shared" si="138"/>
        <v>463</v>
      </c>
      <c r="M2241" s="72"/>
      <c r="O2241" s="96">
        <f t="shared" si="139"/>
        <v>463</v>
      </c>
      <c r="T2241" s="110"/>
    </row>
    <row r="2242" spans="3:20" x14ac:dyDescent="0.2">
      <c r="C2242" s="96" t="str">
        <f t="shared" si="136"/>
        <v>464</v>
      </c>
      <c r="D2242" s="73"/>
      <c r="E2242" s="100"/>
      <c r="F2242" s="101"/>
      <c r="G2242" s="96">
        <f t="shared" si="137"/>
        <v>464</v>
      </c>
      <c r="I2242" s="96"/>
      <c r="K2242" t="str">
        <f t="shared" si="138"/>
        <v>464</v>
      </c>
      <c r="M2242" s="72"/>
      <c r="O2242" s="96">
        <f t="shared" si="139"/>
        <v>464</v>
      </c>
      <c r="T2242" s="110"/>
    </row>
    <row r="2243" spans="3:20" x14ac:dyDescent="0.2">
      <c r="C2243" s="96" t="str">
        <f t="shared" ref="C2243:C2306" si="140">D2243&amp;G2243</f>
        <v>465</v>
      </c>
      <c r="D2243" s="73"/>
      <c r="E2243" s="100"/>
      <c r="F2243" s="101"/>
      <c r="G2243" s="96">
        <f t="shared" ref="G2243:G2306" si="141">IF(D2243&lt;&gt;D2242,1,G2242+1)</f>
        <v>465</v>
      </c>
      <c r="I2243" s="96"/>
      <c r="K2243" t="str">
        <f t="shared" ref="K2243:K2306" si="142">L2243&amp;O2243</f>
        <v>465</v>
      </c>
      <c r="M2243" s="72"/>
      <c r="O2243" s="96">
        <f t="shared" ref="O2243:O2306" si="143">IF(L2243&lt;&gt;L2242,1,O2242+1)</f>
        <v>465</v>
      </c>
      <c r="T2243" s="110"/>
    </row>
    <row r="2244" spans="3:20" x14ac:dyDescent="0.2">
      <c r="C2244" s="96" t="str">
        <f t="shared" si="140"/>
        <v>466</v>
      </c>
      <c r="D2244" s="73"/>
      <c r="E2244" s="100"/>
      <c r="F2244" s="101"/>
      <c r="G2244" s="96">
        <f t="shared" si="141"/>
        <v>466</v>
      </c>
      <c r="I2244" s="96"/>
      <c r="K2244" t="str">
        <f t="shared" si="142"/>
        <v>466</v>
      </c>
      <c r="M2244" s="72"/>
      <c r="O2244" s="96">
        <f t="shared" si="143"/>
        <v>466</v>
      </c>
      <c r="T2244" s="110"/>
    </row>
    <row r="2245" spans="3:20" x14ac:dyDescent="0.2">
      <c r="C2245" s="96" t="str">
        <f t="shared" si="140"/>
        <v>467</v>
      </c>
      <c r="D2245" s="73"/>
      <c r="E2245" s="100"/>
      <c r="F2245" s="101"/>
      <c r="G2245" s="96">
        <f t="shared" si="141"/>
        <v>467</v>
      </c>
      <c r="I2245" s="96"/>
      <c r="K2245" t="str">
        <f t="shared" si="142"/>
        <v>467</v>
      </c>
      <c r="M2245" s="72"/>
      <c r="O2245" s="96">
        <f t="shared" si="143"/>
        <v>467</v>
      </c>
      <c r="T2245" s="110"/>
    </row>
    <row r="2246" spans="3:20" x14ac:dyDescent="0.2">
      <c r="C2246" s="96" t="str">
        <f t="shared" si="140"/>
        <v>468</v>
      </c>
      <c r="D2246" s="73"/>
      <c r="E2246" s="100"/>
      <c r="F2246" s="101"/>
      <c r="G2246" s="96">
        <f t="shared" si="141"/>
        <v>468</v>
      </c>
      <c r="I2246" s="96"/>
      <c r="K2246" t="str">
        <f t="shared" si="142"/>
        <v>468</v>
      </c>
      <c r="M2246" s="72"/>
      <c r="O2246" s="96">
        <f t="shared" si="143"/>
        <v>468</v>
      </c>
      <c r="T2246" s="110"/>
    </row>
    <row r="2247" spans="3:20" x14ac:dyDescent="0.2">
      <c r="C2247" s="96" t="str">
        <f t="shared" si="140"/>
        <v>469</v>
      </c>
      <c r="D2247" s="73"/>
      <c r="E2247" s="100"/>
      <c r="F2247" s="101"/>
      <c r="G2247" s="96">
        <f t="shared" si="141"/>
        <v>469</v>
      </c>
      <c r="I2247" s="96"/>
      <c r="K2247" t="str">
        <f t="shared" si="142"/>
        <v>469</v>
      </c>
      <c r="M2247" s="72"/>
      <c r="O2247" s="96">
        <f t="shared" si="143"/>
        <v>469</v>
      </c>
      <c r="T2247" s="83"/>
    </row>
    <row r="2248" spans="3:20" x14ac:dyDescent="0.2">
      <c r="C2248" s="96" t="str">
        <f t="shared" si="140"/>
        <v>470</v>
      </c>
      <c r="D2248" s="73"/>
      <c r="E2248" s="100"/>
      <c r="F2248" s="101"/>
      <c r="G2248" s="96">
        <f t="shared" si="141"/>
        <v>470</v>
      </c>
      <c r="I2248" s="96"/>
      <c r="K2248" t="str">
        <f t="shared" si="142"/>
        <v>470</v>
      </c>
      <c r="M2248" s="72"/>
      <c r="O2248" s="96">
        <f t="shared" si="143"/>
        <v>470</v>
      </c>
      <c r="T2248" s="110"/>
    </row>
    <row r="2249" spans="3:20" x14ac:dyDescent="0.2">
      <c r="C2249" s="96" t="str">
        <f t="shared" si="140"/>
        <v>471</v>
      </c>
      <c r="D2249" s="73"/>
      <c r="E2249" s="100"/>
      <c r="F2249" s="101"/>
      <c r="G2249" s="96">
        <f t="shared" si="141"/>
        <v>471</v>
      </c>
      <c r="I2249" s="96"/>
      <c r="K2249" t="str">
        <f t="shared" si="142"/>
        <v>471</v>
      </c>
      <c r="M2249" s="72"/>
      <c r="O2249" s="96">
        <f t="shared" si="143"/>
        <v>471</v>
      </c>
      <c r="T2249" s="110"/>
    </row>
    <row r="2250" spans="3:20" x14ac:dyDescent="0.2">
      <c r="C2250" s="96" t="str">
        <f t="shared" si="140"/>
        <v>472</v>
      </c>
      <c r="D2250" s="73"/>
      <c r="E2250" s="100"/>
      <c r="F2250" s="101"/>
      <c r="G2250" s="96">
        <f t="shared" si="141"/>
        <v>472</v>
      </c>
      <c r="I2250" s="96"/>
      <c r="K2250" t="str">
        <f t="shared" si="142"/>
        <v>472</v>
      </c>
      <c r="M2250" s="72"/>
      <c r="O2250" s="96">
        <f t="shared" si="143"/>
        <v>472</v>
      </c>
      <c r="T2250" s="110"/>
    </row>
    <row r="2251" spans="3:20" x14ac:dyDescent="0.2">
      <c r="C2251" s="96" t="str">
        <f t="shared" si="140"/>
        <v>473</v>
      </c>
      <c r="D2251" s="73"/>
      <c r="E2251" s="100"/>
      <c r="F2251" s="101"/>
      <c r="G2251" s="96">
        <f t="shared" si="141"/>
        <v>473</v>
      </c>
      <c r="I2251" s="96"/>
      <c r="K2251" t="str">
        <f t="shared" si="142"/>
        <v>473</v>
      </c>
      <c r="M2251" s="72"/>
      <c r="O2251" s="96">
        <f t="shared" si="143"/>
        <v>473</v>
      </c>
      <c r="T2251" s="110"/>
    </row>
    <row r="2252" spans="3:20" x14ac:dyDescent="0.2">
      <c r="C2252" s="96" t="str">
        <f t="shared" si="140"/>
        <v>474</v>
      </c>
      <c r="D2252" s="73"/>
      <c r="E2252" s="100"/>
      <c r="F2252" s="101"/>
      <c r="G2252" s="96">
        <f t="shared" si="141"/>
        <v>474</v>
      </c>
      <c r="I2252" s="96"/>
      <c r="K2252" t="str">
        <f t="shared" si="142"/>
        <v>474</v>
      </c>
      <c r="M2252" s="72"/>
      <c r="O2252" s="96">
        <f t="shared" si="143"/>
        <v>474</v>
      </c>
      <c r="T2252" s="110"/>
    </row>
    <row r="2253" spans="3:20" x14ac:dyDescent="0.2">
      <c r="C2253" s="96" t="str">
        <f t="shared" si="140"/>
        <v>475</v>
      </c>
      <c r="D2253" s="73"/>
      <c r="E2253" s="100"/>
      <c r="F2253" s="101"/>
      <c r="G2253" s="96">
        <f t="shared" si="141"/>
        <v>475</v>
      </c>
      <c r="I2253" s="96"/>
      <c r="K2253" t="str">
        <f t="shared" si="142"/>
        <v>475</v>
      </c>
      <c r="M2253" s="72"/>
      <c r="O2253" s="96">
        <f t="shared" si="143"/>
        <v>475</v>
      </c>
      <c r="T2253" s="110"/>
    </row>
    <row r="2254" spans="3:20" x14ac:dyDescent="0.2">
      <c r="C2254" s="96" t="str">
        <f t="shared" si="140"/>
        <v>476</v>
      </c>
      <c r="D2254" s="73"/>
      <c r="E2254" s="100"/>
      <c r="F2254" s="101"/>
      <c r="G2254" s="96">
        <f t="shared" si="141"/>
        <v>476</v>
      </c>
      <c r="I2254" s="96"/>
      <c r="K2254" t="str">
        <f t="shared" si="142"/>
        <v>476</v>
      </c>
      <c r="M2254" s="72"/>
      <c r="O2254" s="96">
        <f t="shared" si="143"/>
        <v>476</v>
      </c>
      <c r="T2254" s="110"/>
    </row>
    <row r="2255" spans="3:20" x14ac:dyDescent="0.2">
      <c r="C2255" s="96" t="str">
        <f t="shared" si="140"/>
        <v>477</v>
      </c>
      <c r="D2255" s="73"/>
      <c r="E2255" s="100"/>
      <c r="F2255" s="101"/>
      <c r="G2255" s="96">
        <f t="shared" si="141"/>
        <v>477</v>
      </c>
      <c r="I2255" s="96"/>
      <c r="K2255" t="str">
        <f t="shared" si="142"/>
        <v>477</v>
      </c>
      <c r="M2255" s="72"/>
      <c r="O2255" s="96">
        <f t="shared" si="143"/>
        <v>477</v>
      </c>
      <c r="T2255" s="110"/>
    </row>
    <row r="2256" spans="3:20" x14ac:dyDescent="0.2">
      <c r="C2256" s="96" t="str">
        <f t="shared" si="140"/>
        <v>478</v>
      </c>
      <c r="D2256" s="73"/>
      <c r="E2256" s="100"/>
      <c r="F2256" s="101"/>
      <c r="G2256" s="96">
        <f t="shared" si="141"/>
        <v>478</v>
      </c>
      <c r="I2256" s="96"/>
      <c r="K2256" t="str">
        <f t="shared" si="142"/>
        <v>478</v>
      </c>
      <c r="M2256" s="72"/>
      <c r="O2256" s="96">
        <f t="shared" si="143"/>
        <v>478</v>
      </c>
      <c r="T2256" s="110"/>
    </row>
    <row r="2257" spans="3:20" x14ac:dyDescent="0.2">
      <c r="C2257" s="96" t="str">
        <f t="shared" si="140"/>
        <v>479</v>
      </c>
      <c r="D2257" s="73"/>
      <c r="E2257" s="100"/>
      <c r="F2257" s="101"/>
      <c r="G2257" s="96">
        <f t="shared" si="141"/>
        <v>479</v>
      </c>
      <c r="I2257" s="96"/>
      <c r="K2257" t="str">
        <f t="shared" si="142"/>
        <v>479</v>
      </c>
      <c r="M2257" s="72"/>
      <c r="O2257" s="96">
        <f t="shared" si="143"/>
        <v>479</v>
      </c>
      <c r="T2257" s="110"/>
    </row>
    <row r="2258" spans="3:20" x14ac:dyDescent="0.2">
      <c r="C2258" s="96" t="str">
        <f t="shared" si="140"/>
        <v>480</v>
      </c>
      <c r="D2258" s="73"/>
      <c r="E2258" s="100"/>
      <c r="F2258" s="101"/>
      <c r="G2258" s="96">
        <f t="shared" si="141"/>
        <v>480</v>
      </c>
      <c r="I2258" s="96"/>
      <c r="K2258" t="str">
        <f t="shared" si="142"/>
        <v>480</v>
      </c>
      <c r="M2258" s="72"/>
      <c r="O2258" s="96">
        <f t="shared" si="143"/>
        <v>480</v>
      </c>
      <c r="T2258" s="110"/>
    </row>
    <row r="2259" spans="3:20" x14ac:dyDescent="0.2">
      <c r="C2259" s="96" t="str">
        <f t="shared" si="140"/>
        <v>481</v>
      </c>
      <c r="D2259" s="73"/>
      <c r="E2259" s="100"/>
      <c r="F2259" s="101"/>
      <c r="G2259" s="96">
        <f t="shared" si="141"/>
        <v>481</v>
      </c>
      <c r="I2259" s="96"/>
      <c r="K2259" t="str">
        <f t="shared" si="142"/>
        <v>481</v>
      </c>
      <c r="M2259" s="72"/>
      <c r="O2259" s="96">
        <f t="shared" si="143"/>
        <v>481</v>
      </c>
      <c r="T2259" s="110"/>
    </row>
    <row r="2260" spans="3:20" x14ac:dyDescent="0.2">
      <c r="C2260" s="96" t="str">
        <f t="shared" si="140"/>
        <v>482</v>
      </c>
      <c r="D2260" s="73"/>
      <c r="E2260" s="100"/>
      <c r="F2260" s="101"/>
      <c r="G2260" s="96">
        <f t="shared" si="141"/>
        <v>482</v>
      </c>
      <c r="I2260" s="96"/>
      <c r="K2260" t="str">
        <f t="shared" si="142"/>
        <v>482</v>
      </c>
      <c r="M2260" s="72"/>
      <c r="O2260" s="96">
        <f t="shared" si="143"/>
        <v>482</v>
      </c>
      <c r="T2260" s="110"/>
    </row>
    <row r="2261" spans="3:20" x14ac:dyDescent="0.2">
      <c r="C2261" s="96" t="str">
        <f t="shared" si="140"/>
        <v>483</v>
      </c>
      <c r="D2261" s="73"/>
      <c r="E2261" s="100"/>
      <c r="F2261" s="101"/>
      <c r="G2261" s="96">
        <f t="shared" si="141"/>
        <v>483</v>
      </c>
      <c r="I2261" s="96"/>
      <c r="K2261" t="str">
        <f t="shared" si="142"/>
        <v>483</v>
      </c>
      <c r="M2261" s="72"/>
      <c r="O2261" s="96">
        <f t="shared" si="143"/>
        <v>483</v>
      </c>
      <c r="T2261" s="110"/>
    </row>
    <row r="2262" spans="3:20" x14ac:dyDescent="0.2">
      <c r="C2262" s="96" t="str">
        <f t="shared" si="140"/>
        <v>484</v>
      </c>
      <c r="D2262" s="73"/>
      <c r="E2262" s="100"/>
      <c r="F2262" s="101"/>
      <c r="G2262" s="96">
        <f t="shared" si="141"/>
        <v>484</v>
      </c>
      <c r="I2262" s="96"/>
      <c r="K2262" t="str">
        <f t="shared" si="142"/>
        <v>484</v>
      </c>
      <c r="M2262" s="72"/>
      <c r="O2262" s="96">
        <f t="shared" si="143"/>
        <v>484</v>
      </c>
      <c r="T2262" s="110"/>
    </row>
    <row r="2263" spans="3:20" x14ac:dyDescent="0.2">
      <c r="C2263" s="96" t="str">
        <f t="shared" si="140"/>
        <v>485</v>
      </c>
      <c r="D2263" s="73"/>
      <c r="E2263" s="100"/>
      <c r="F2263" s="101"/>
      <c r="G2263" s="96">
        <f t="shared" si="141"/>
        <v>485</v>
      </c>
      <c r="I2263" s="96"/>
      <c r="K2263" t="str">
        <f t="shared" si="142"/>
        <v>485</v>
      </c>
      <c r="M2263" s="72"/>
      <c r="O2263" s="96">
        <f t="shared" si="143"/>
        <v>485</v>
      </c>
      <c r="T2263" s="110"/>
    </row>
    <row r="2264" spans="3:20" x14ac:dyDescent="0.2">
      <c r="C2264" s="96" t="str">
        <f t="shared" si="140"/>
        <v>486</v>
      </c>
      <c r="D2264" s="73"/>
      <c r="E2264" s="100"/>
      <c r="F2264" s="101"/>
      <c r="G2264" s="96">
        <f t="shared" si="141"/>
        <v>486</v>
      </c>
      <c r="I2264" s="96"/>
      <c r="K2264" t="str">
        <f t="shared" si="142"/>
        <v>486</v>
      </c>
      <c r="M2264" s="72"/>
      <c r="O2264" s="96">
        <f t="shared" si="143"/>
        <v>486</v>
      </c>
      <c r="T2264" s="110"/>
    </row>
    <row r="2265" spans="3:20" x14ac:dyDescent="0.2">
      <c r="C2265" s="96" t="str">
        <f t="shared" si="140"/>
        <v>487</v>
      </c>
      <c r="D2265" s="73"/>
      <c r="E2265" s="100"/>
      <c r="F2265" s="101"/>
      <c r="G2265" s="96">
        <f t="shared" si="141"/>
        <v>487</v>
      </c>
      <c r="I2265" s="96"/>
      <c r="K2265" t="str">
        <f t="shared" si="142"/>
        <v>487</v>
      </c>
      <c r="M2265" s="72"/>
      <c r="O2265" s="96">
        <f t="shared" si="143"/>
        <v>487</v>
      </c>
      <c r="T2265" s="110"/>
    </row>
    <row r="2266" spans="3:20" x14ac:dyDescent="0.2">
      <c r="C2266" s="96" t="str">
        <f t="shared" si="140"/>
        <v>488</v>
      </c>
      <c r="D2266" s="73"/>
      <c r="E2266" s="100"/>
      <c r="F2266" s="101"/>
      <c r="G2266" s="96">
        <f t="shared" si="141"/>
        <v>488</v>
      </c>
      <c r="I2266" s="96"/>
      <c r="K2266" t="str">
        <f t="shared" si="142"/>
        <v>488</v>
      </c>
      <c r="M2266" s="72"/>
      <c r="O2266" s="96">
        <f t="shared" si="143"/>
        <v>488</v>
      </c>
      <c r="T2266" s="110"/>
    </row>
    <row r="2267" spans="3:20" x14ac:dyDescent="0.2">
      <c r="C2267" s="96" t="str">
        <f t="shared" si="140"/>
        <v>489</v>
      </c>
      <c r="D2267" s="73"/>
      <c r="E2267" s="100"/>
      <c r="F2267" s="101"/>
      <c r="G2267" s="96">
        <f t="shared" si="141"/>
        <v>489</v>
      </c>
      <c r="I2267" s="96"/>
      <c r="K2267" t="str">
        <f t="shared" si="142"/>
        <v>489</v>
      </c>
      <c r="M2267" s="72"/>
      <c r="O2267" s="96">
        <f t="shared" si="143"/>
        <v>489</v>
      </c>
      <c r="T2267" s="110"/>
    </row>
    <row r="2268" spans="3:20" x14ac:dyDescent="0.2">
      <c r="C2268" s="96" t="str">
        <f t="shared" si="140"/>
        <v>490</v>
      </c>
      <c r="D2268" s="73"/>
      <c r="E2268" s="100"/>
      <c r="F2268" s="101"/>
      <c r="G2268" s="96">
        <f t="shared" si="141"/>
        <v>490</v>
      </c>
      <c r="I2268" s="96"/>
      <c r="K2268" t="str">
        <f t="shared" si="142"/>
        <v>490</v>
      </c>
      <c r="M2268" s="72"/>
      <c r="O2268" s="96">
        <f t="shared" si="143"/>
        <v>490</v>
      </c>
      <c r="T2268" s="110"/>
    </row>
    <row r="2269" spans="3:20" x14ac:dyDescent="0.2">
      <c r="C2269" s="96" t="str">
        <f t="shared" si="140"/>
        <v>491</v>
      </c>
      <c r="D2269" s="73"/>
      <c r="E2269" s="100"/>
      <c r="F2269" s="101"/>
      <c r="G2269" s="96">
        <f t="shared" si="141"/>
        <v>491</v>
      </c>
      <c r="I2269" s="96"/>
      <c r="K2269" t="str">
        <f t="shared" si="142"/>
        <v>491</v>
      </c>
      <c r="M2269" s="72"/>
      <c r="O2269" s="96">
        <f t="shared" si="143"/>
        <v>491</v>
      </c>
      <c r="T2269" s="110"/>
    </row>
    <row r="2270" spans="3:20" x14ac:dyDescent="0.2">
      <c r="C2270" s="96" t="str">
        <f t="shared" si="140"/>
        <v>492</v>
      </c>
      <c r="D2270" s="73"/>
      <c r="E2270" s="100"/>
      <c r="F2270" s="101"/>
      <c r="G2270" s="96">
        <f t="shared" si="141"/>
        <v>492</v>
      </c>
      <c r="I2270" s="96"/>
      <c r="K2270" t="str">
        <f t="shared" si="142"/>
        <v>492</v>
      </c>
      <c r="M2270" s="72"/>
      <c r="O2270" s="96">
        <f t="shared" si="143"/>
        <v>492</v>
      </c>
      <c r="T2270" s="83"/>
    </row>
    <row r="2271" spans="3:20" x14ac:dyDescent="0.2">
      <c r="C2271" s="96" t="str">
        <f t="shared" si="140"/>
        <v>493</v>
      </c>
      <c r="D2271" s="73"/>
      <c r="E2271" s="100"/>
      <c r="F2271" s="101"/>
      <c r="G2271" s="96">
        <f t="shared" si="141"/>
        <v>493</v>
      </c>
      <c r="I2271" s="96"/>
      <c r="K2271" t="str">
        <f t="shared" si="142"/>
        <v>493</v>
      </c>
      <c r="M2271" s="72"/>
      <c r="O2271" s="96">
        <f t="shared" si="143"/>
        <v>493</v>
      </c>
      <c r="T2271" s="83"/>
    </row>
    <row r="2272" spans="3:20" x14ac:dyDescent="0.2">
      <c r="C2272" s="96" t="str">
        <f t="shared" si="140"/>
        <v>494</v>
      </c>
      <c r="D2272" s="73"/>
      <c r="E2272" s="100"/>
      <c r="F2272" s="101"/>
      <c r="G2272" s="96">
        <f t="shared" si="141"/>
        <v>494</v>
      </c>
      <c r="I2272" s="96"/>
      <c r="K2272" t="str">
        <f t="shared" si="142"/>
        <v>494</v>
      </c>
      <c r="M2272" s="72"/>
      <c r="O2272" s="96">
        <f t="shared" si="143"/>
        <v>494</v>
      </c>
      <c r="T2272" s="83"/>
    </row>
    <row r="2273" spans="3:20" x14ac:dyDescent="0.2">
      <c r="C2273" s="96" t="str">
        <f t="shared" si="140"/>
        <v>495</v>
      </c>
      <c r="D2273" s="73"/>
      <c r="E2273" s="100"/>
      <c r="F2273" s="101"/>
      <c r="G2273" s="96">
        <f t="shared" si="141"/>
        <v>495</v>
      </c>
      <c r="I2273" s="96"/>
      <c r="K2273" t="str">
        <f t="shared" si="142"/>
        <v>495</v>
      </c>
      <c r="M2273" s="72"/>
      <c r="O2273" s="96">
        <f t="shared" si="143"/>
        <v>495</v>
      </c>
      <c r="T2273" s="110"/>
    </row>
    <row r="2274" spans="3:20" x14ac:dyDescent="0.2">
      <c r="C2274" s="96" t="str">
        <f t="shared" si="140"/>
        <v>496</v>
      </c>
      <c r="D2274" s="73"/>
      <c r="E2274" s="100"/>
      <c r="F2274" s="101"/>
      <c r="G2274" s="96">
        <f t="shared" si="141"/>
        <v>496</v>
      </c>
      <c r="I2274" s="96"/>
      <c r="K2274" t="str">
        <f t="shared" si="142"/>
        <v>496</v>
      </c>
      <c r="M2274" s="72"/>
      <c r="O2274" s="96">
        <f t="shared" si="143"/>
        <v>496</v>
      </c>
      <c r="T2274" s="110"/>
    </row>
    <row r="2275" spans="3:20" x14ac:dyDescent="0.2">
      <c r="C2275" s="96" t="str">
        <f t="shared" si="140"/>
        <v>497</v>
      </c>
      <c r="D2275" s="73"/>
      <c r="E2275" s="100"/>
      <c r="F2275" s="101"/>
      <c r="G2275" s="96">
        <f t="shared" si="141"/>
        <v>497</v>
      </c>
      <c r="I2275" s="96"/>
      <c r="K2275" t="str">
        <f t="shared" si="142"/>
        <v>497</v>
      </c>
      <c r="M2275" s="72"/>
      <c r="O2275" s="96">
        <f t="shared" si="143"/>
        <v>497</v>
      </c>
      <c r="T2275" s="110"/>
    </row>
    <row r="2276" spans="3:20" x14ac:dyDescent="0.2">
      <c r="C2276" s="96" t="str">
        <f t="shared" si="140"/>
        <v>498</v>
      </c>
      <c r="D2276" s="73"/>
      <c r="E2276" s="100"/>
      <c r="F2276" s="101"/>
      <c r="G2276" s="96">
        <f t="shared" si="141"/>
        <v>498</v>
      </c>
      <c r="I2276" s="96"/>
      <c r="K2276" t="str">
        <f t="shared" si="142"/>
        <v>498</v>
      </c>
      <c r="M2276" s="72"/>
      <c r="O2276" s="96">
        <f t="shared" si="143"/>
        <v>498</v>
      </c>
      <c r="T2276" s="110"/>
    </row>
    <row r="2277" spans="3:20" x14ac:dyDescent="0.2">
      <c r="C2277" s="96" t="str">
        <f t="shared" si="140"/>
        <v>499</v>
      </c>
      <c r="D2277" s="73"/>
      <c r="E2277" s="100"/>
      <c r="F2277" s="101"/>
      <c r="G2277" s="96">
        <f t="shared" si="141"/>
        <v>499</v>
      </c>
      <c r="I2277" s="96"/>
      <c r="K2277" t="str">
        <f t="shared" si="142"/>
        <v>499</v>
      </c>
      <c r="M2277" s="72"/>
      <c r="O2277" s="96">
        <f t="shared" si="143"/>
        <v>499</v>
      </c>
      <c r="T2277" s="110"/>
    </row>
    <row r="2278" spans="3:20" x14ac:dyDescent="0.2">
      <c r="C2278" s="96" t="str">
        <f t="shared" si="140"/>
        <v>500</v>
      </c>
      <c r="D2278" s="73"/>
      <c r="E2278" s="100"/>
      <c r="F2278" s="101"/>
      <c r="G2278" s="96">
        <f t="shared" si="141"/>
        <v>500</v>
      </c>
      <c r="I2278" s="96"/>
      <c r="K2278" t="str">
        <f t="shared" si="142"/>
        <v>500</v>
      </c>
      <c r="M2278" s="72"/>
      <c r="O2278" s="96">
        <f t="shared" si="143"/>
        <v>500</v>
      </c>
      <c r="T2278" s="110"/>
    </row>
    <row r="2279" spans="3:20" x14ac:dyDescent="0.2">
      <c r="C2279" s="96" t="str">
        <f t="shared" si="140"/>
        <v>501</v>
      </c>
      <c r="D2279" s="73"/>
      <c r="E2279" s="100"/>
      <c r="F2279" s="101"/>
      <c r="G2279" s="96">
        <f t="shared" si="141"/>
        <v>501</v>
      </c>
      <c r="I2279" s="96"/>
      <c r="K2279" t="str">
        <f t="shared" si="142"/>
        <v>501</v>
      </c>
      <c r="M2279" s="72"/>
      <c r="O2279" s="96">
        <f t="shared" si="143"/>
        <v>501</v>
      </c>
      <c r="T2279" s="110"/>
    </row>
    <row r="2280" spans="3:20" x14ac:dyDescent="0.2">
      <c r="C2280" s="96" t="str">
        <f t="shared" si="140"/>
        <v>502</v>
      </c>
      <c r="D2280" s="73"/>
      <c r="E2280" s="100"/>
      <c r="F2280" s="101"/>
      <c r="G2280" s="96">
        <f t="shared" si="141"/>
        <v>502</v>
      </c>
      <c r="I2280" s="96"/>
      <c r="K2280" t="str">
        <f t="shared" si="142"/>
        <v>502</v>
      </c>
      <c r="M2280" s="72"/>
      <c r="O2280" s="96">
        <f t="shared" si="143"/>
        <v>502</v>
      </c>
      <c r="T2280" s="110"/>
    </row>
    <row r="2281" spans="3:20" x14ac:dyDescent="0.2">
      <c r="C2281" s="96" t="str">
        <f t="shared" si="140"/>
        <v>503</v>
      </c>
      <c r="D2281" s="73"/>
      <c r="E2281" s="100"/>
      <c r="F2281" s="101"/>
      <c r="G2281" s="96">
        <f t="shared" si="141"/>
        <v>503</v>
      </c>
      <c r="I2281" s="96"/>
      <c r="K2281" t="str">
        <f t="shared" si="142"/>
        <v>503</v>
      </c>
      <c r="M2281" s="72"/>
      <c r="O2281" s="96">
        <f t="shared" si="143"/>
        <v>503</v>
      </c>
      <c r="T2281" s="110"/>
    </row>
    <row r="2282" spans="3:20" x14ac:dyDescent="0.2">
      <c r="C2282" s="96" t="str">
        <f t="shared" si="140"/>
        <v>504</v>
      </c>
      <c r="D2282" s="73"/>
      <c r="E2282" s="100"/>
      <c r="F2282" s="101"/>
      <c r="G2282" s="96">
        <f t="shared" si="141"/>
        <v>504</v>
      </c>
      <c r="I2282" s="96"/>
      <c r="K2282" t="str">
        <f t="shared" si="142"/>
        <v>504</v>
      </c>
      <c r="M2282" s="72"/>
      <c r="O2282" s="96">
        <f t="shared" si="143"/>
        <v>504</v>
      </c>
      <c r="T2282" s="110"/>
    </row>
    <row r="2283" spans="3:20" x14ac:dyDescent="0.2">
      <c r="C2283" s="96" t="str">
        <f t="shared" si="140"/>
        <v>505</v>
      </c>
      <c r="D2283" s="73"/>
      <c r="E2283" s="100"/>
      <c r="F2283" s="101"/>
      <c r="G2283" s="96">
        <f t="shared" si="141"/>
        <v>505</v>
      </c>
      <c r="I2283" s="96"/>
      <c r="K2283" t="str">
        <f t="shared" si="142"/>
        <v>505</v>
      </c>
      <c r="M2283" s="72"/>
      <c r="O2283" s="96">
        <f t="shared" si="143"/>
        <v>505</v>
      </c>
      <c r="T2283" s="110"/>
    </row>
    <row r="2284" spans="3:20" x14ac:dyDescent="0.2">
      <c r="C2284" s="96" t="str">
        <f t="shared" si="140"/>
        <v>506</v>
      </c>
      <c r="D2284" s="73"/>
      <c r="E2284" s="100"/>
      <c r="F2284" s="101"/>
      <c r="G2284" s="96">
        <f t="shared" si="141"/>
        <v>506</v>
      </c>
      <c r="I2284" s="96"/>
      <c r="K2284" t="str">
        <f t="shared" si="142"/>
        <v>506</v>
      </c>
      <c r="M2284" s="72"/>
      <c r="O2284" s="96">
        <f t="shared" si="143"/>
        <v>506</v>
      </c>
      <c r="T2284" s="110"/>
    </row>
    <row r="2285" spans="3:20" x14ac:dyDescent="0.2">
      <c r="C2285" s="96" t="str">
        <f t="shared" si="140"/>
        <v>507</v>
      </c>
      <c r="D2285" s="73"/>
      <c r="E2285" s="100"/>
      <c r="F2285" s="101"/>
      <c r="G2285" s="96">
        <f t="shared" si="141"/>
        <v>507</v>
      </c>
      <c r="I2285" s="96"/>
      <c r="K2285" t="str">
        <f t="shared" si="142"/>
        <v>507</v>
      </c>
      <c r="M2285" s="72"/>
      <c r="O2285" s="96">
        <f t="shared" si="143"/>
        <v>507</v>
      </c>
      <c r="T2285" s="110"/>
    </row>
    <row r="2286" spans="3:20" x14ac:dyDescent="0.2">
      <c r="C2286" s="96" t="str">
        <f t="shared" si="140"/>
        <v>508</v>
      </c>
      <c r="D2286" s="73"/>
      <c r="E2286" s="100"/>
      <c r="F2286" s="101"/>
      <c r="G2286" s="96">
        <f t="shared" si="141"/>
        <v>508</v>
      </c>
      <c r="I2286" s="96"/>
      <c r="K2286" t="str">
        <f t="shared" si="142"/>
        <v>508</v>
      </c>
      <c r="M2286" s="72"/>
      <c r="O2286" s="96">
        <f t="shared" si="143"/>
        <v>508</v>
      </c>
      <c r="T2286" s="110"/>
    </row>
    <row r="2287" spans="3:20" x14ac:dyDescent="0.2">
      <c r="C2287" s="96" t="str">
        <f t="shared" si="140"/>
        <v>509</v>
      </c>
      <c r="D2287" s="73"/>
      <c r="E2287" s="100"/>
      <c r="F2287" s="101"/>
      <c r="G2287" s="96">
        <f t="shared" si="141"/>
        <v>509</v>
      </c>
      <c r="I2287" s="96"/>
      <c r="K2287" t="str">
        <f t="shared" si="142"/>
        <v>509</v>
      </c>
      <c r="M2287" s="72"/>
      <c r="O2287" s="96">
        <f t="shared" si="143"/>
        <v>509</v>
      </c>
      <c r="T2287" s="110"/>
    </row>
    <row r="2288" spans="3:20" x14ac:dyDescent="0.2">
      <c r="C2288" s="96" t="str">
        <f t="shared" si="140"/>
        <v>510</v>
      </c>
      <c r="D2288" s="73"/>
      <c r="E2288" s="100"/>
      <c r="F2288" s="101"/>
      <c r="G2288" s="96">
        <f t="shared" si="141"/>
        <v>510</v>
      </c>
      <c r="I2288" s="96"/>
      <c r="K2288" t="str">
        <f t="shared" si="142"/>
        <v>510</v>
      </c>
      <c r="M2288" s="72"/>
      <c r="O2288" s="96">
        <f t="shared" si="143"/>
        <v>510</v>
      </c>
      <c r="T2288" s="110"/>
    </row>
    <row r="2289" spans="3:20" x14ac:dyDescent="0.2">
      <c r="C2289" s="96" t="str">
        <f t="shared" si="140"/>
        <v>511</v>
      </c>
      <c r="D2289" s="73"/>
      <c r="E2289" s="100"/>
      <c r="F2289" s="101"/>
      <c r="G2289" s="96">
        <f t="shared" si="141"/>
        <v>511</v>
      </c>
      <c r="I2289" s="96"/>
      <c r="K2289" t="str">
        <f t="shared" si="142"/>
        <v>511</v>
      </c>
      <c r="M2289" s="72"/>
      <c r="O2289" s="96">
        <f t="shared" si="143"/>
        <v>511</v>
      </c>
      <c r="T2289" s="110"/>
    </row>
    <row r="2290" spans="3:20" x14ac:dyDescent="0.2">
      <c r="C2290" s="96" t="str">
        <f t="shared" si="140"/>
        <v>512</v>
      </c>
      <c r="D2290" s="73"/>
      <c r="E2290" s="100"/>
      <c r="F2290" s="101"/>
      <c r="G2290" s="96">
        <f t="shared" si="141"/>
        <v>512</v>
      </c>
      <c r="I2290" s="96"/>
      <c r="K2290" t="str">
        <f t="shared" si="142"/>
        <v>512</v>
      </c>
      <c r="M2290" s="72"/>
      <c r="O2290" s="96">
        <f t="shared" si="143"/>
        <v>512</v>
      </c>
      <c r="T2290" s="110"/>
    </row>
    <row r="2291" spans="3:20" x14ac:dyDescent="0.2">
      <c r="C2291" s="96" t="str">
        <f t="shared" si="140"/>
        <v>513</v>
      </c>
      <c r="D2291" s="73"/>
      <c r="E2291" s="100"/>
      <c r="F2291" s="101"/>
      <c r="G2291" s="96">
        <f t="shared" si="141"/>
        <v>513</v>
      </c>
      <c r="I2291" s="96"/>
      <c r="K2291" t="str">
        <f t="shared" si="142"/>
        <v>513</v>
      </c>
      <c r="M2291" s="72"/>
      <c r="O2291" s="96">
        <f t="shared" si="143"/>
        <v>513</v>
      </c>
      <c r="T2291" s="110"/>
    </row>
    <row r="2292" spans="3:20" x14ac:dyDescent="0.2">
      <c r="C2292" s="96" t="str">
        <f t="shared" si="140"/>
        <v>514</v>
      </c>
      <c r="D2292" s="73"/>
      <c r="E2292" s="100"/>
      <c r="F2292" s="101"/>
      <c r="G2292" s="96">
        <f t="shared" si="141"/>
        <v>514</v>
      </c>
      <c r="I2292" s="96"/>
      <c r="K2292" t="str">
        <f t="shared" si="142"/>
        <v>514</v>
      </c>
      <c r="M2292" s="72"/>
      <c r="O2292" s="96">
        <f t="shared" si="143"/>
        <v>514</v>
      </c>
      <c r="T2292" s="110"/>
    </row>
    <row r="2293" spans="3:20" x14ac:dyDescent="0.2">
      <c r="C2293" s="96" t="str">
        <f t="shared" si="140"/>
        <v>515</v>
      </c>
      <c r="D2293" s="73"/>
      <c r="E2293" s="100"/>
      <c r="F2293" s="101"/>
      <c r="G2293" s="96">
        <f t="shared" si="141"/>
        <v>515</v>
      </c>
      <c r="I2293" s="96"/>
      <c r="K2293" t="str">
        <f t="shared" si="142"/>
        <v>515</v>
      </c>
      <c r="M2293" s="72"/>
      <c r="O2293" s="96">
        <f t="shared" si="143"/>
        <v>515</v>
      </c>
      <c r="T2293" s="110"/>
    </row>
    <row r="2294" spans="3:20" x14ac:dyDescent="0.2">
      <c r="C2294" s="96" t="str">
        <f t="shared" si="140"/>
        <v>516</v>
      </c>
      <c r="D2294" s="73"/>
      <c r="E2294" s="100"/>
      <c r="F2294" s="101"/>
      <c r="G2294" s="96">
        <f t="shared" si="141"/>
        <v>516</v>
      </c>
      <c r="I2294" s="96"/>
      <c r="K2294" t="str">
        <f t="shared" si="142"/>
        <v>516</v>
      </c>
      <c r="M2294" s="72"/>
      <c r="O2294" s="96">
        <f t="shared" si="143"/>
        <v>516</v>
      </c>
      <c r="T2294" s="110"/>
    </row>
    <row r="2295" spans="3:20" x14ac:dyDescent="0.2">
      <c r="C2295" s="96" t="str">
        <f t="shared" si="140"/>
        <v>517</v>
      </c>
      <c r="D2295" s="73"/>
      <c r="E2295" s="100"/>
      <c r="F2295" s="101"/>
      <c r="G2295" s="96">
        <f t="shared" si="141"/>
        <v>517</v>
      </c>
      <c r="I2295" s="96"/>
      <c r="K2295" t="str">
        <f t="shared" si="142"/>
        <v>517</v>
      </c>
      <c r="M2295" s="72"/>
      <c r="O2295" s="96">
        <f t="shared" si="143"/>
        <v>517</v>
      </c>
      <c r="T2295" s="110"/>
    </row>
    <row r="2296" spans="3:20" x14ac:dyDescent="0.2">
      <c r="C2296" s="96" t="str">
        <f t="shared" si="140"/>
        <v>518</v>
      </c>
      <c r="D2296" s="73"/>
      <c r="E2296" s="100"/>
      <c r="F2296" s="101"/>
      <c r="G2296" s="96">
        <f t="shared" si="141"/>
        <v>518</v>
      </c>
      <c r="I2296" s="96"/>
      <c r="K2296" t="str">
        <f t="shared" si="142"/>
        <v>518</v>
      </c>
      <c r="M2296" s="72"/>
      <c r="O2296" s="96">
        <f t="shared" si="143"/>
        <v>518</v>
      </c>
      <c r="T2296" s="110"/>
    </row>
    <row r="2297" spans="3:20" x14ac:dyDescent="0.2">
      <c r="C2297" s="96" t="str">
        <f t="shared" si="140"/>
        <v>519</v>
      </c>
      <c r="D2297" s="73"/>
      <c r="E2297" s="100"/>
      <c r="F2297" s="101"/>
      <c r="G2297" s="96">
        <f t="shared" si="141"/>
        <v>519</v>
      </c>
      <c r="I2297" s="96"/>
      <c r="K2297" t="str">
        <f t="shared" si="142"/>
        <v>519</v>
      </c>
      <c r="M2297" s="72"/>
      <c r="O2297" s="96">
        <f t="shared" si="143"/>
        <v>519</v>
      </c>
      <c r="T2297" s="110"/>
    </row>
    <row r="2298" spans="3:20" x14ac:dyDescent="0.2">
      <c r="C2298" s="96" t="str">
        <f t="shared" si="140"/>
        <v>520</v>
      </c>
      <c r="D2298" s="73"/>
      <c r="E2298" s="100"/>
      <c r="F2298" s="101"/>
      <c r="G2298" s="96">
        <f t="shared" si="141"/>
        <v>520</v>
      </c>
      <c r="I2298" s="96"/>
      <c r="K2298" t="str">
        <f t="shared" si="142"/>
        <v>520</v>
      </c>
      <c r="M2298" s="72"/>
      <c r="O2298" s="96">
        <f t="shared" si="143"/>
        <v>520</v>
      </c>
      <c r="T2298" s="110"/>
    </row>
    <row r="2299" spans="3:20" x14ac:dyDescent="0.2">
      <c r="C2299" s="96" t="str">
        <f t="shared" si="140"/>
        <v>521</v>
      </c>
      <c r="D2299" s="73"/>
      <c r="E2299" s="100"/>
      <c r="F2299" s="101"/>
      <c r="G2299" s="96">
        <f t="shared" si="141"/>
        <v>521</v>
      </c>
      <c r="I2299" s="96"/>
      <c r="K2299" t="str">
        <f t="shared" si="142"/>
        <v>521</v>
      </c>
      <c r="M2299" s="72"/>
      <c r="O2299" s="96">
        <f t="shared" si="143"/>
        <v>521</v>
      </c>
      <c r="T2299" s="110"/>
    </row>
    <row r="2300" spans="3:20" x14ac:dyDescent="0.2">
      <c r="C2300" s="96" t="str">
        <f t="shared" si="140"/>
        <v>522</v>
      </c>
      <c r="D2300" s="73"/>
      <c r="E2300" s="100"/>
      <c r="F2300" s="101"/>
      <c r="G2300" s="96">
        <f t="shared" si="141"/>
        <v>522</v>
      </c>
      <c r="I2300" s="96"/>
      <c r="K2300" t="str">
        <f t="shared" si="142"/>
        <v>522</v>
      </c>
      <c r="M2300" s="72"/>
      <c r="O2300" s="96">
        <f t="shared" si="143"/>
        <v>522</v>
      </c>
      <c r="T2300" s="110"/>
    </row>
    <row r="2301" spans="3:20" x14ac:dyDescent="0.2">
      <c r="C2301" s="96" t="str">
        <f t="shared" si="140"/>
        <v>523</v>
      </c>
      <c r="D2301" s="73"/>
      <c r="E2301" s="100"/>
      <c r="F2301" s="101"/>
      <c r="G2301" s="96">
        <f t="shared" si="141"/>
        <v>523</v>
      </c>
      <c r="I2301" s="96"/>
      <c r="K2301" t="str">
        <f t="shared" si="142"/>
        <v>523</v>
      </c>
      <c r="M2301" s="72"/>
      <c r="O2301" s="96">
        <f t="shared" si="143"/>
        <v>523</v>
      </c>
      <c r="T2301" s="110"/>
    </row>
    <row r="2302" spans="3:20" x14ac:dyDescent="0.2">
      <c r="C2302" s="96" t="str">
        <f t="shared" si="140"/>
        <v>524</v>
      </c>
      <c r="D2302" s="73"/>
      <c r="E2302" s="100"/>
      <c r="F2302" s="101"/>
      <c r="G2302" s="96">
        <f t="shared" si="141"/>
        <v>524</v>
      </c>
      <c r="I2302" s="96"/>
      <c r="K2302" t="str">
        <f t="shared" si="142"/>
        <v>524</v>
      </c>
      <c r="M2302" s="72"/>
      <c r="O2302" s="96">
        <f t="shared" si="143"/>
        <v>524</v>
      </c>
      <c r="T2302" s="110"/>
    </row>
    <row r="2303" spans="3:20" x14ac:dyDescent="0.2">
      <c r="C2303" s="96" t="str">
        <f t="shared" si="140"/>
        <v>525</v>
      </c>
      <c r="D2303" s="73"/>
      <c r="E2303" s="100"/>
      <c r="F2303" s="101"/>
      <c r="G2303" s="96">
        <f t="shared" si="141"/>
        <v>525</v>
      </c>
      <c r="I2303" s="96"/>
      <c r="K2303" t="str">
        <f t="shared" si="142"/>
        <v>525</v>
      </c>
      <c r="M2303" s="72"/>
      <c r="O2303" s="96">
        <f t="shared" si="143"/>
        <v>525</v>
      </c>
      <c r="T2303" s="110"/>
    </row>
    <row r="2304" spans="3:20" x14ac:dyDescent="0.2">
      <c r="C2304" s="96" t="str">
        <f t="shared" si="140"/>
        <v>526</v>
      </c>
      <c r="D2304" s="73"/>
      <c r="E2304" s="100"/>
      <c r="F2304" s="101"/>
      <c r="G2304" s="96">
        <f t="shared" si="141"/>
        <v>526</v>
      </c>
      <c r="I2304" s="96"/>
      <c r="K2304" t="str">
        <f t="shared" si="142"/>
        <v>526</v>
      </c>
      <c r="M2304" s="72"/>
      <c r="O2304" s="96">
        <f t="shared" si="143"/>
        <v>526</v>
      </c>
      <c r="T2304" s="110"/>
    </row>
    <row r="2305" spans="3:20" x14ac:dyDescent="0.2">
      <c r="C2305" s="96" t="str">
        <f t="shared" si="140"/>
        <v>527</v>
      </c>
      <c r="D2305" s="73"/>
      <c r="E2305" s="100"/>
      <c r="F2305" s="101"/>
      <c r="G2305" s="96">
        <f t="shared" si="141"/>
        <v>527</v>
      </c>
      <c r="I2305" s="96"/>
      <c r="K2305" t="str">
        <f t="shared" si="142"/>
        <v>527</v>
      </c>
      <c r="M2305" s="72"/>
      <c r="O2305" s="96">
        <f t="shared" si="143"/>
        <v>527</v>
      </c>
      <c r="T2305" s="110"/>
    </row>
    <row r="2306" spans="3:20" x14ac:dyDescent="0.2">
      <c r="C2306" s="96" t="str">
        <f t="shared" si="140"/>
        <v>528</v>
      </c>
      <c r="D2306" s="73"/>
      <c r="E2306" s="100"/>
      <c r="F2306" s="101"/>
      <c r="G2306" s="96">
        <f t="shared" si="141"/>
        <v>528</v>
      </c>
      <c r="I2306" s="96"/>
      <c r="K2306" t="str">
        <f t="shared" si="142"/>
        <v>528</v>
      </c>
      <c r="M2306" s="72"/>
      <c r="O2306" s="96">
        <f t="shared" si="143"/>
        <v>528</v>
      </c>
      <c r="T2306" s="110"/>
    </row>
    <row r="2307" spans="3:20" x14ac:dyDescent="0.2">
      <c r="C2307" s="96" t="str">
        <f t="shared" ref="C2307:C2370" si="144">D2307&amp;G2307</f>
        <v>529</v>
      </c>
      <c r="D2307" s="73"/>
      <c r="E2307" s="100"/>
      <c r="F2307" s="101"/>
      <c r="G2307" s="96">
        <f t="shared" ref="G2307:G2370" si="145">IF(D2307&lt;&gt;D2306,1,G2306+1)</f>
        <v>529</v>
      </c>
      <c r="I2307" s="96"/>
      <c r="K2307" t="str">
        <f t="shared" ref="K2307:K2370" si="146">L2307&amp;O2307</f>
        <v>529</v>
      </c>
      <c r="M2307" s="72"/>
      <c r="O2307" s="96">
        <f t="shared" ref="O2307:O2370" si="147">IF(L2307&lt;&gt;L2306,1,O2306+1)</f>
        <v>529</v>
      </c>
      <c r="T2307" s="110"/>
    </row>
    <row r="2308" spans="3:20" x14ac:dyDescent="0.2">
      <c r="C2308" s="96" t="str">
        <f t="shared" si="144"/>
        <v>530</v>
      </c>
      <c r="D2308" s="73"/>
      <c r="E2308" s="100"/>
      <c r="F2308" s="101"/>
      <c r="G2308" s="96">
        <f t="shared" si="145"/>
        <v>530</v>
      </c>
      <c r="I2308" s="96"/>
      <c r="K2308" t="str">
        <f t="shared" si="146"/>
        <v>530</v>
      </c>
      <c r="M2308" s="72"/>
      <c r="O2308" s="96">
        <f t="shared" si="147"/>
        <v>530</v>
      </c>
      <c r="T2308" s="110"/>
    </row>
    <row r="2309" spans="3:20" x14ac:dyDescent="0.2">
      <c r="C2309" s="96" t="str">
        <f t="shared" si="144"/>
        <v>531</v>
      </c>
      <c r="D2309" s="73"/>
      <c r="E2309" s="100"/>
      <c r="F2309" s="101"/>
      <c r="G2309" s="96">
        <f t="shared" si="145"/>
        <v>531</v>
      </c>
      <c r="I2309" s="96"/>
      <c r="K2309" t="str">
        <f t="shared" si="146"/>
        <v>531</v>
      </c>
      <c r="M2309" s="72"/>
      <c r="O2309" s="96">
        <f t="shared" si="147"/>
        <v>531</v>
      </c>
      <c r="T2309" s="110"/>
    </row>
    <row r="2310" spans="3:20" x14ac:dyDescent="0.2">
      <c r="C2310" s="96" t="str">
        <f t="shared" si="144"/>
        <v>532</v>
      </c>
      <c r="D2310" s="73"/>
      <c r="E2310" s="100"/>
      <c r="F2310" s="101"/>
      <c r="G2310" s="96">
        <f t="shared" si="145"/>
        <v>532</v>
      </c>
      <c r="I2310" s="96"/>
      <c r="K2310" t="str">
        <f t="shared" si="146"/>
        <v>532</v>
      </c>
      <c r="M2310" s="72"/>
      <c r="O2310" s="96">
        <f t="shared" si="147"/>
        <v>532</v>
      </c>
      <c r="T2310" s="110"/>
    </row>
    <row r="2311" spans="3:20" x14ac:dyDescent="0.2">
      <c r="C2311" s="96" t="str">
        <f t="shared" si="144"/>
        <v>533</v>
      </c>
      <c r="D2311" s="73"/>
      <c r="E2311" s="100"/>
      <c r="F2311" s="101"/>
      <c r="G2311" s="96">
        <f t="shared" si="145"/>
        <v>533</v>
      </c>
      <c r="I2311" s="96"/>
      <c r="K2311" t="str">
        <f t="shared" si="146"/>
        <v>533</v>
      </c>
      <c r="M2311" s="72"/>
      <c r="O2311" s="96">
        <f t="shared" si="147"/>
        <v>533</v>
      </c>
      <c r="T2311" s="110"/>
    </row>
    <row r="2312" spans="3:20" x14ac:dyDescent="0.2">
      <c r="C2312" s="96" t="str">
        <f t="shared" si="144"/>
        <v>534</v>
      </c>
      <c r="D2312" s="73"/>
      <c r="E2312" s="100"/>
      <c r="F2312" s="101"/>
      <c r="G2312" s="96">
        <f t="shared" si="145"/>
        <v>534</v>
      </c>
      <c r="I2312" s="96"/>
      <c r="K2312" t="str">
        <f t="shared" si="146"/>
        <v>534</v>
      </c>
      <c r="M2312" s="72"/>
      <c r="O2312" s="96">
        <f t="shared" si="147"/>
        <v>534</v>
      </c>
    </row>
    <row r="2313" spans="3:20" x14ac:dyDescent="0.2">
      <c r="C2313" s="96" t="str">
        <f t="shared" si="144"/>
        <v>535</v>
      </c>
      <c r="D2313" s="73"/>
      <c r="E2313" s="100"/>
      <c r="F2313" s="101"/>
      <c r="G2313" s="96">
        <f t="shared" si="145"/>
        <v>535</v>
      </c>
      <c r="I2313" s="96"/>
      <c r="K2313" t="str">
        <f t="shared" si="146"/>
        <v>535</v>
      </c>
      <c r="M2313" s="72"/>
      <c r="O2313" s="96">
        <f t="shared" si="147"/>
        <v>535</v>
      </c>
      <c r="T2313" s="110"/>
    </row>
    <row r="2314" spans="3:20" x14ac:dyDescent="0.2">
      <c r="C2314" s="96" t="str">
        <f t="shared" si="144"/>
        <v>536</v>
      </c>
      <c r="D2314" s="73"/>
      <c r="E2314" s="100"/>
      <c r="F2314" s="101"/>
      <c r="G2314" s="96">
        <f t="shared" si="145"/>
        <v>536</v>
      </c>
      <c r="I2314" s="96"/>
      <c r="K2314" t="str">
        <f t="shared" si="146"/>
        <v>536</v>
      </c>
      <c r="M2314" s="72"/>
      <c r="O2314" s="96">
        <f t="shared" si="147"/>
        <v>536</v>
      </c>
      <c r="T2314" s="110"/>
    </row>
    <row r="2315" spans="3:20" x14ac:dyDescent="0.2">
      <c r="C2315" s="96" t="str">
        <f t="shared" si="144"/>
        <v>537</v>
      </c>
      <c r="D2315" s="73"/>
      <c r="E2315" s="100"/>
      <c r="F2315" s="101"/>
      <c r="G2315" s="96">
        <f t="shared" si="145"/>
        <v>537</v>
      </c>
      <c r="I2315" s="96"/>
      <c r="K2315" t="str">
        <f t="shared" si="146"/>
        <v>537</v>
      </c>
      <c r="M2315" s="72"/>
      <c r="O2315" s="96">
        <f t="shared" si="147"/>
        <v>537</v>
      </c>
      <c r="T2315" s="110"/>
    </row>
    <row r="2316" spans="3:20" x14ac:dyDescent="0.2">
      <c r="C2316" s="96" t="str">
        <f t="shared" si="144"/>
        <v>538</v>
      </c>
      <c r="D2316" s="73"/>
      <c r="E2316" s="100"/>
      <c r="F2316" s="101"/>
      <c r="G2316" s="96">
        <f t="shared" si="145"/>
        <v>538</v>
      </c>
      <c r="I2316" s="96"/>
      <c r="K2316" t="str">
        <f t="shared" si="146"/>
        <v>538</v>
      </c>
      <c r="M2316" s="72"/>
      <c r="O2316" s="96">
        <f t="shared" si="147"/>
        <v>538</v>
      </c>
      <c r="T2316" s="110"/>
    </row>
    <row r="2317" spans="3:20" x14ac:dyDescent="0.2">
      <c r="C2317" s="96" t="str">
        <f t="shared" si="144"/>
        <v>539</v>
      </c>
      <c r="D2317" s="73"/>
      <c r="E2317" s="100"/>
      <c r="F2317" s="101"/>
      <c r="G2317" s="96">
        <f t="shared" si="145"/>
        <v>539</v>
      </c>
      <c r="I2317" s="96"/>
      <c r="K2317" t="str">
        <f t="shared" si="146"/>
        <v>539</v>
      </c>
      <c r="M2317" s="72"/>
      <c r="O2317" s="96">
        <f t="shared" si="147"/>
        <v>539</v>
      </c>
      <c r="T2317" s="110"/>
    </row>
    <row r="2318" spans="3:20" x14ac:dyDescent="0.2">
      <c r="C2318" s="96" t="str">
        <f t="shared" si="144"/>
        <v>540</v>
      </c>
      <c r="D2318" s="73"/>
      <c r="E2318" s="100"/>
      <c r="F2318" s="101"/>
      <c r="G2318" s="96">
        <f t="shared" si="145"/>
        <v>540</v>
      </c>
      <c r="I2318" s="96"/>
      <c r="K2318" t="str">
        <f t="shared" si="146"/>
        <v>540</v>
      </c>
      <c r="M2318" s="72"/>
      <c r="O2318" s="96">
        <f t="shared" si="147"/>
        <v>540</v>
      </c>
      <c r="T2318" s="110"/>
    </row>
    <row r="2319" spans="3:20" x14ac:dyDescent="0.2">
      <c r="C2319" s="96" t="str">
        <f t="shared" si="144"/>
        <v>541</v>
      </c>
      <c r="D2319" s="73"/>
      <c r="E2319" s="100"/>
      <c r="F2319" s="101"/>
      <c r="G2319" s="96">
        <f t="shared" si="145"/>
        <v>541</v>
      </c>
      <c r="I2319" s="96"/>
      <c r="K2319" t="str">
        <f t="shared" si="146"/>
        <v>541</v>
      </c>
      <c r="M2319" s="72"/>
      <c r="O2319" s="96">
        <f t="shared" si="147"/>
        <v>541</v>
      </c>
      <c r="T2319" s="110"/>
    </row>
    <row r="2320" spans="3:20" x14ac:dyDescent="0.2">
      <c r="C2320" s="96" t="str">
        <f t="shared" si="144"/>
        <v>542</v>
      </c>
      <c r="D2320" s="73"/>
      <c r="E2320" s="100"/>
      <c r="F2320" s="101"/>
      <c r="G2320" s="96">
        <f t="shared" si="145"/>
        <v>542</v>
      </c>
      <c r="I2320" s="96"/>
      <c r="K2320" t="str">
        <f t="shared" si="146"/>
        <v>542</v>
      </c>
      <c r="M2320" s="72"/>
      <c r="O2320" s="96">
        <f t="shared" si="147"/>
        <v>542</v>
      </c>
      <c r="T2320" s="110"/>
    </row>
    <row r="2321" spans="3:20" x14ac:dyDescent="0.2">
      <c r="C2321" s="96" t="str">
        <f t="shared" si="144"/>
        <v>543</v>
      </c>
      <c r="D2321" s="73"/>
      <c r="E2321" s="100"/>
      <c r="F2321" s="101"/>
      <c r="G2321" s="96">
        <f t="shared" si="145"/>
        <v>543</v>
      </c>
      <c r="I2321" s="96"/>
      <c r="K2321" t="str">
        <f t="shared" si="146"/>
        <v>543</v>
      </c>
      <c r="M2321" s="72"/>
      <c r="O2321" s="96">
        <f t="shared" si="147"/>
        <v>543</v>
      </c>
      <c r="T2321" s="110"/>
    </row>
    <row r="2322" spans="3:20" x14ac:dyDescent="0.2">
      <c r="C2322" s="96" t="str">
        <f t="shared" si="144"/>
        <v>544</v>
      </c>
      <c r="D2322" s="73"/>
      <c r="E2322" s="100"/>
      <c r="F2322" s="101"/>
      <c r="G2322" s="96">
        <f t="shared" si="145"/>
        <v>544</v>
      </c>
      <c r="I2322" s="96"/>
      <c r="K2322" t="str">
        <f t="shared" si="146"/>
        <v>544</v>
      </c>
      <c r="M2322" s="72"/>
      <c r="O2322" s="96">
        <f t="shared" si="147"/>
        <v>544</v>
      </c>
      <c r="T2322" s="110"/>
    </row>
    <row r="2323" spans="3:20" x14ac:dyDescent="0.2">
      <c r="C2323" s="96" t="str">
        <f t="shared" si="144"/>
        <v>545</v>
      </c>
      <c r="D2323" s="73"/>
      <c r="E2323" s="100"/>
      <c r="F2323" s="101"/>
      <c r="G2323" s="96">
        <f t="shared" si="145"/>
        <v>545</v>
      </c>
      <c r="I2323" s="96"/>
      <c r="K2323" t="str">
        <f t="shared" si="146"/>
        <v>545</v>
      </c>
      <c r="M2323" s="72"/>
      <c r="O2323" s="96">
        <f t="shared" si="147"/>
        <v>545</v>
      </c>
      <c r="T2323" s="110"/>
    </row>
    <row r="2324" spans="3:20" x14ac:dyDescent="0.2">
      <c r="C2324" s="96" t="str">
        <f t="shared" si="144"/>
        <v>546</v>
      </c>
      <c r="D2324" s="73"/>
      <c r="E2324" s="100"/>
      <c r="F2324" s="101"/>
      <c r="G2324" s="96">
        <f t="shared" si="145"/>
        <v>546</v>
      </c>
      <c r="I2324" s="96"/>
      <c r="K2324" t="str">
        <f t="shared" si="146"/>
        <v>546</v>
      </c>
      <c r="M2324" s="72"/>
      <c r="O2324" s="96">
        <f t="shared" si="147"/>
        <v>546</v>
      </c>
      <c r="T2324" s="110"/>
    </row>
    <row r="2325" spans="3:20" x14ac:dyDescent="0.2">
      <c r="C2325" s="96" t="str">
        <f t="shared" si="144"/>
        <v>547</v>
      </c>
      <c r="D2325" s="73"/>
      <c r="E2325" s="100"/>
      <c r="F2325" s="101"/>
      <c r="G2325" s="96">
        <f t="shared" si="145"/>
        <v>547</v>
      </c>
      <c r="I2325" s="96"/>
      <c r="K2325" t="str">
        <f t="shared" si="146"/>
        <v>547</v>
      </c>
      <c r="M2325" s="72"/>
      <c r="O2325" s="96">
        <f t="shared" si="147"/>
        <v>547</v>
      </c>
      <c r="T2325" s="110"/>
    </row>
    <row r="2326" spans="3:20" x14ac:dyDescent="0.2">
      <c r="C2326" s="96" t="str">
        <f t="shared" si="144"/>
        <v>548</v>
      </c>
      <c r="D2326" s="73"/>
      <c r="E2326" s="100"/>
      <c r="F2326" s="101"/>
      <c r="G2326" s="96">
        <f t="shared" si="145"/>
        <v>548</v>
      </c>
      <c r="I2326" s="96"/>
      <c r="K2326" t="str">
        <f t="shared" si="146"/>
        <v>548</v>
      </c>
      <c r="M2326" s="72"/>
      <c r="O2326" s="96">
        <f t="shared" si="147"/>
        <v>548</v>
      </c>
      <c r="T2326" s="110"/>
    </row>
    <row r="2327" spans="3:20" x14ac:dyDescent="0.2">
      <c r="C2327" s="96" t="str">
        <f t="shared" si="144"/>
        <v>549</v>
      </c>
      <c r="D2327" s="73"/>
      <c r="E2327" s="100"/>
      <c r="F2327" s="101"/>
      <c r="G2327" s="96">
        <f t="shared" si="145"/>
        <v>549</v>
      </c>
      <c r="I2327" s="96"/>
      <c r="K2327" t="str">
        <f t="shared" si="146"/>
        <v>549</v>
      </c>
      <c r="M2327" s="72"/>
      <c r="O2327" s="96">
        <f t="shared" si="147"/>
        <v>549</v>
      </c>
      <c r="T2327" s="110"/>
    </row>
    <row r="2328" spans="3:20" x14ac:dyDescent="0.2">
      <c r="C2328" s="96" t="str">
        <f t="shared" si="144"/>
        <v>550</v>
      </c>
      <c r="D2328" s="73"/>
      <c r="E2328" s="100"/>
      <c r="F2328" s="101"/>
      <c r="G2328" s="96">
        <f t="shared" si="145"/>
        <v>550</v>
      </c>
      <c r="I2328" s="96"/>
      <c r="K2328" t="str">
        <f t="shared" si="146"/>
        <v>550</v>
      </c>
      <c r="M2328" s="72"/>
      <c r="O2328" s="96">
        <f t="shared" si="147"/>
        <v>550</v>
      </c>
      <c r="T2328" s="110"/>
    </row>
    <row r="2329" spans="3:20" x14ac:dyDescent="0.2">
      <c r="C2329" s="96" t="str">
        <f t="shared" si="144"/>
        <v>551</v>
      </c>
      <c r="D2329" s="73"/>
      <c r="E2329" s="100"/>
      <c r="F2329" s="101"/>
      <c r="G2329" s="96">
        <f t="shared" si="145"/>
        <v>551</v>
      </c>
      <c r="I2329" s="96"/>
      <c r="K2329" t="str">
        <f t="shared" si="146"/>
        <v>551</v>
      </c>
      <c r="M2329" s="72"/>
      <c r="O2329" s="96">
        <f t="shared" si="147"/>
        <v>551</v>
      </c>
      <c r="T2329" s="110"/>
    </row>
    <row r="2330" spans="3:20" x14ac:dyDescent="0.2">
      <c r="C2330" s="96" t="str">
        <f t="shared" si="144"/>
        <v>552</v>
      </c>
      <c r="D2330" s="73"/>
      <c r="E2330" s="100"/>
      <c r="F2330" s="101"/>
      <c r="G2330" s="96">
        <f t="shared" si="145"/>
        <v>552</v>
      </c>
      <c r="I2330" s="96"/>
      <c r="K2330" t="str">
        <f t="shared" si="146"/>
        <v>552</v>
      </c>
      <c r="M2330" s="72"/>
      <c r="O2330" s="96">
        <f t="shared" si="147"/>
        <v>552</v>
      </c>
      <c r="T2330" s="110"/>
    </row>
    <row r="2331" spans="3:20" x14ac:dyDescent="0.2">
      <c r="C2331" s="96" t="str">
        <f t="shared" si="144"/>
        <v>553</v>
      </c>
      <c r="D2331" s="73"/>
      <c r="E2331" s="100"/>
      <c r="F2331" s="101"/>
      <c r="G2331" s="96">
        <f t="shared" si="145"/>
        <v>553</v>
      </c>
      <c r="I2331" s="96"/>
      <c r="K2331" t="str">
        <f t="shared" si="146"/>
        <v>553</v>
      </c>
      <c r="M2331" s="72"/>
      <c r="O2331" s="96">
        <f t="shared" si="147"/>
        <v>553</v>
      </c>
      <c r="T2331" s="83"/>
    </row>
    <row r="2332" spans="3:20" x14ac:dyDescent="0.2">
      <c r="C2332" s="96" t="str">
        <f t="shared" si="144"/>
        <v>554</v>
      </c>
      <c r="D2332" s="73"/>
      <c r="E2332" s="100"/>
      <c r="F2332" s="101"/>
      <c r="G2332" s="96">
        <f t="shared" si="145"/>
        <v>554</v>
      </c>
      <c r="I2332" s="96"/>
      <c r="K2332" t="str">
        <f t="shared" si="146"/>
        <v>554</v>
      </c>
      <c r="M2332" s="72"/>
      <c r="O2332" s="96">
        <f t="shared" si="147"/>
        <v>554</v>
      </c>
      <c r="T2332" s="110"/>
    </row>
    <row r="2333" spans="3:20" x14ac:dyDescent="0.2">
      <c r="C2333" s="96" t="str">
        <f t="shared" si="144"/>
        <v>555</v>
      </c>
      <c r="D2333" s="73"/>
      <c r="E2333" s="100"/>
      <c r="F2333" s="101"/>
      <c r="G2333" s="96">
        <f t="shared" si="145"/>
        <v>555</v>
      </c>
      <c r="I2333" s="96"/>
      <c r="K2333" t="str">
        <f t="shared" si="146"/>
        <v>555</v>
      </c>
      <c r="M2333" s="72"/>
      <c r="O2333" s="96">
        <f t="shared" si="147"/>
        <v>555</v>
      </c>
      <c r="T2333" s="110"/>
    </row>
    <row r="2334" spans="3:20" x14ac:dyDescent="0.2">
      <c r="C2334" s="96" t="str">
        <f t="shared" si="144"/>
        <v>556</v>
      </c>
      <c r="D2334" s="73"/>
      <c r="E2334" s="100"/>
      <c r="F2334" s="101"/>
      <c r="G2334" s="96">
        <f t="shared" si="145"/>
        <v>556</v>
      </c>
      <c r="I2334" s="96"/>
      <c r="K2334" t="str">
        <f t="shared" si="146"/>
        <v>556</v>
      </c>
      <c r="M2334" s="72"/>
      <c r="O2334" s="96">
        <f t="shared" si="147"/>
        <v>556</v>
      </c>
      <c r="T2334" s="110"/>
    </row>
    <row r="2335" spans="3:20" x14ac:dyDescent="0.2">
      <c r="C2335" s="96" t="str">
        <f t="shared" si="144"/>
        <v>557</v>
      </c>
      <c r="D2335" s="73"/>
      <c r="E2335" s="100"/>
      <c r="F2335" s="101"/>
      <c r="G2335" s="96">
        <f t="shared" si="145"/>
        <v>557</v>
      </c>
      <c r="I2335" s="96"/>
      <c r="K2335" t="str">
        <f t="shared" si="146"/>
        <v>557</v>
      </c>
      <c r="M2335" s="72"/>
      <c r="O2335" s="96">
        <f t="shared" si="147"/>
        <v>557</v>
      </c>
      <c r="T2335" s="110"/>
    </row>
    <row r="2336" spans="3:20" x14ac:dyDescent="0.2">
      <c r="C2336" s="96" t="str">
        <f t="shared" si="144"/>
        <v>558</v>
      </c>
      <c r="D2336" s="73"/>
      <c r="E2336" s="100"/>
      <c r="F2336" s="101"/>
      <c r="G2336" s="96">
        <f t="shared" si="145"/>
        <v>558</v>
      </c>
      <c r="I2336" s="96"/>
      <c r="K2336" t="str">
        <f t="shared" si="146"/>
        <v>558</v>
      </c>
      <c r="M2336" s="72"/>
      <c r="O2336" s="96">
        <f t="shared" si="147"/>
        <v>558</v>
      </c>
      <c r="T2336" s="110"/>
    </row>
    <row r="2337" spans="3:20" x14ac:dyDescent="0.2">
      <c r="C2337" s="96" t="str">
        <f t="shared" si="144"/>
        <v>559</v>
      </c>
      <c r="D2337" s="73"/>
      <c r="E2337" s="100"/>
      <c r="F2337" s="101"/>
      <c r="G2337" s="96">
        <f t="shared" si="145"/>
        <v>559</v>
      </c>
      <c r="I2337" s="96"/>
      <c r="K2337" t="str">
        <f t="shared" si="146"/>
        <v>559</v>
      </c>
      <c r="M2337" s="72"/>
      <c r="O2337" s="96">
        <f t="shared" si="147"/>
        <v>559</v>
      </c>
      <c r="T2337" s="110"/>
    </row>
    <row r="2338" spans="3:20" x14ac:dyDescent="0.2">
      <c r="C2338" s="96" t="str">
        <f t="shared" si="144"/>
        <v>560</v>
      </c>
      <c r="D2338" s="73"/>
      <c r="E2338" s="100"/>
      <c r="F2338" s="101"/>
      <c r="G2338" s="96">
        <f t="shared" si="145"/>
        <v>560</v>
      </c>
      <c r="I2338" s="96"/>
      <c r="K2338" t="str">
        <f t="shared" si="146"/>
        <v>560</v>
      </c>
      <c r="M2338" s="72"/>
      <c r="O2338" s="96">
        <f t="shared" si="147"/>
        <v>560</v>
      </c>
      <c r="T2338" s="110"/>
    </row>
    <row r="2339" spans="3:20" x14ac:dyDescent="0.2">
      <c r="C2339" s="96" t="str">
        <f t="shared" si="144"/>
        <v>561</v>
      </c>
      <c r="D2339" s="73"/>
      <c r="E2339" s="100"/>
      <c r="F2339" s="101"/>
      <c r="G2339" s="96">
        <f t="shared" si="145"/>
        <v>561</v>
      </c>
      <c r="I2339" s="96"/>
      <c r="K2339" t="str">
        <f t="shared" si="146"/>
        <v>561</v>
      </c>
      <c r="M2339" s="72"/>
      <c r="O2339" s="96">
        <f t="shared" si="147"/>
        <v>561</v>
      </c>
      <c r="T2339" s="110"/>
    </row>
    <row r="2340" spans="3:20" x14ac:dyDescent="0.2">
      <c r="C2340" s="96" t="str">
        <f t="shared" si="144"/>
        <v>562</v>
      </c>
      <c r="D2340" s="73"/>
      <c r="E2340" s="100"/>
      <c r="F2340" s="101"/>
      <c r="G2340" s="96">
        <f t="shared" si="145"/>
        <v>562</v>
      </c>
      <c r="I2340" s="96"/>
      <c r="K2340" t="str">
        <f t="shared" si="146"/>
        <v>562</v>
      </c>
      <c r="M2340" s="72"/>
      <c r="O2340" s="96">
        <f t="shared" si="147"/>
        <v>562</v>
      </c>
      <c r="T2340" s="110"/>
    </row>
    <row r="2341" spans="3:20" x14ac:dyDescent="0.2">
      <c r="C2341" s="96" t="str">
        <f t="shared" si="144"/>
        <v>563</v>
      </c>
      <c r="D2341" s="73"/>
      <c r="E2341" s="100"/>
      <c r="F2341" s="101"/>
      <c r="G2341" s="96">
        <f t="shared" si="145"/>
        <v>563</v>
      </c>
      <c r="I2341" s="96"/>
      <c r="K2341" t="str">
        <f t="shared" si="146"/>
        <v>563</v>
      </c>
      <c r="M2341" s="72"/>
      <c r="O2341" s="96">
        <f t="shared" si="147"/>
        <v>563</v>
      </c>
      <c r="T2341" s="110"/>
    </row>
    <row r="2342" spans="3:20" x14ac:dyDescent="0.2">
      <c r="C2342" s="96" t="str">
        <f t="shared" si="144"/>
        <v>564</v>
      </c>
      <c r="D2342" s="73"/>
      <c r="E2342" s="100"/>
      <c r="F2342" s="101"/>
      <c r="G2342" s="96">
        <f t="shared" si="145"/>
        <v>564</v>
      </c>
      <c r="I2342" s="96"/>
      <c r="K2342" t="str">
        <f t="shared" si="146"/>
        <v>564</v>
      </c>
      <c r="M2342" s="72"/>
      <c r="O2342" s="96">
        <f t="shared" si="147"/>
        <v>564</v>
      </c>
      <c r="T2342" s="110"/>
    </row>
    <row r="2343" spans="3:20" x14ac:dyDescent="0.2">
      <c r="C2343" s="96" t="str">
        <f t="shared" si="144"/>
        <v>565</v>
      </c>
      <c r="D2343" s="73"/>
      <c r="E2343" s="100"/>
      <c r="F2343" s="101"/>
      <c r="G2343" s="96">
        <f t="shared" si="145"/>
        <v>565</v>
      </c>
      <c r="I2343" s="96"/>
      <c r="K2343" t="str">
        <f t="shared" si="146"/>
        <v>565</v>
      </c>
      <c r="M2343" s="72"/>
      <c r="O2343" s="96">
        <f t="shared" si="147"/>
        <v>565</v>
      </c>
      <c r="T2343" s="110"/>
    </row>
    <row r="2344" spans="3:20" x14ac:dyDescent="0.2">
      <c r="C2344" s="96" t="str">
        <f t="shared" si="144"/>
        <v>566</v>
      </c>
      <c r="D2344" s="73"/>
      <c r="E2344" s="100"/>
      <c r="F2344" s="101"/>
      <c r="G2344" s="96">
        <f t="shared" si="145"/>
        <v>566</v>
      </c>
      <c r="I2344" s="96"/>
      <c r="K2344" t="str">
        <f t="shared" si="146"/>
        <v>566</v>
      </c>
      <c r="M2344" s="72"/>
      <c r="O2344" s="96">
        <f t="shared" si="147"/>
        <v>566</v>
      </c>
      <c r="T2344" s="110"/>
    </row>
    <row r="2345" spans="3:20" x14ac:dyDescent="0.2">
      <c r="C2345" s="96" t="str">
        <f t="shared" si="144"/>
        <v>567</v>
      </c>
      <c r="D2345" s="73"/>
      <c r="E2345" s="100"/>
      <c r="F2345" s="101"/>
      <c r="G2345" s="96">
        <f t="shared" si="145"/>
        <v>567</v>
      </c>
      <c r="I2345" s="96"/>
      <c r="K2345" t="str">
        <f t="shared" si="146"/>
        <v>567</v>
      </c>
      <c r="M2345" s="72"/>
      <c r="O2345" s="96">
        <f t="shared" si="147"/>
        <v>567</v>
      </c>
      <c r="T2345" s="110"/>
    </row>
    <row r="2346" spans="3:20" x14ac:dyDescent="0.2">
      <c r="C2346" s="96" t="str">
        <f t="shared" si="144"/>
        <v>568</v>
      </c>
      <c r="D2346" s="73"/>
      <c r="E2346" s="100"/>
      <c r="F2346" s="101"/>
      <c r="G2346" s="96">
        <f t="shared" si="145"/>
        <v>568</v>
      </c>
      <c r="I2346" s="96"/>
      <c r="K2346" t="str">
        <f t="shared" si="146"/>
        <v>568</v>
      </c>
      <c r="M2346" s="72"/>
      <c r="O2346" s="96">
        <f t="shared" si="147"/>
        <v>568</v>
      </c>
      <c r="T2346" s="110"/>
    </row>
    <row r="2347" spans="3:20" x14ac:dyDescent="0.2">
      <c r="C2347" s="96" t="str">
        <f t="shared" si="144"/>
        <v>569</v>
      </c>
      <c r="D2347" s="73"/>
      <c r="E2347" s="100"/>
      <c r="F2347" s="101"/>
      <c r="G2347" s="96">
        <f t="shared" si="145"/>
        <v>569</v>
      </c>
      <c r="I2347" s="96"/>
      <c r="K2347" t="str">
        <f t="shared" si="146"/>
        <v>569</v>
      </c>
      <c r="M2347" s="72"/>
      <c r="O2347" s="96">
        <f t="shared" si="147"/>
        <v>569</v>
      </c>
      <c r="T2347" s="110"/>
    </row>
    <row r="2348" spans="3:20" x14ac:dyDescent="0.2">
      <c r="C2348" s="96" t="str">
        <f t="shared" si="144"/>
        <v>570</v>
      </c>
      <c r="D2348" s="73"/>
      <c r="E2348" s="100"/>
      <c r="F2348" s="101"/>
      <c r="G2348" s="96">
        <f t="shared" si="145"/>
        <v>570</v>
      </c>
      <c r="I2348" s="96"/>
      <c r="K2348" t="str">
        <f t="shared" si="146"/>
        <v>570</v>
      </c>
      <c r="M2348" s="72"/>
      <c r="O2348" s="96">
        <f t="shared" si="147"/>
        <v>570</v>
      </c>
      <c r="T2348" s="110"/>
    </row>
    <row r="2349" spans="3:20" x14ac:dyDescent="0.2">
      <c r="C2349" s="96" t="str">
        <f t="shared" si="144"/>
        <v>571</v>
      </c>
      <c r="D2349" s="73"/>
      <c r="E2349" s="100"/>
      <c r="F2349" s="101"/>
      <c r="G2349" s="96">
        <f t="shared" si="145"/>
        <v>571</v>
      </c>
      <c r="I2349" s="96"/>
      <c r="K2349" t="str">
        <f t="shared" si="146"/>
        <v>571</v>
      </c>
      <c r="M2349" s="72"/>
      <c r="O2349" s="96">
        <f t="shared" si="147"/>
        <v>571</v>
      </c>
      <c r="T2349" s="110"/>
    </row>
    <row r="2350" spans="3:20" x14ac:dyDescent="0.2">
      <c r="C2350" s="96" t="str">
        <f t="shared" si="144"/>
        <v>572</v>
      </c>
      <c r="D2350" s="73"/>
      <c r="E2350" s="100"/>
      <c r="F2350" s="101"/>
      <c r="G2350" s="96">
        <f t="shared" si="145"/>
        <v>572</v>
      </c>
      <c r="I2350" s="96"/>
      <c r="K2350" t="str">
        <f t="shared" si="146"/>
        <v>572</v>
      </c>
      <c r="M2350" s="72"/>
      <c r="O2350" s="96">
        <f t="shared" si="147"/>
        <v>572</v>
      </c>
      <c r="T2350" s="110"/>
    </row>
    <row r="2351" spans="3:20" x14ac:dyDescent="0.2">
      <c r="C2351" s="96" t="str">
        <f t="shared" si="144"/>
        <v>573</v>
      </c>
      <c r="D2351" s="73"/>
      <c r="E2351" s="100"/>
      <c r="F2351" s="101"/>
      <c r="G2351" s="96">
        <f t="shared" si="145"/>
        <v>573</v>
      </c>
      <c r="I2351" s="96"/>
      <c r="K2351" t="str">
        <f t="shared" si="146"/>
        <v>573</v>
      </c>
      <c r="M2351" s="72"/>
      <c r="O2351" s="96">
        <f t="shared" si="147"/>
        <v>573</v>
      </c>
      <c r="T2351" s="110"/>
    </row>
    <row r="2352" spans="3:20" x14ac:dyDescent="0.2">
      <c r="C2352" s="96" t="str">
        <f t="shared" si="144"/>
        <v>574</v>
      </c>
      <c r="D2352" s="73"/>
      <c r="E2352" s="100"/>
      <c r="F2352" s="101"/>
      <c r="G2352" s="96">
        <f t="shared" si="145"/>
        <v>574</v>
      </c>
      <c r="I2352" s="96"/>
      <c r="K2352" t="str">
        <f t="shared" si="146"/>
        <v>574</v>
      </c>
      <c r="M2352" s="72"/>
      <c r="O2352" s="96">
        <f t="shared" si="147"/>
        <v>574</v>
      </c>
      <c r="T2352" s="110"/>
    </row>
    <row r="2353" spans="3:20" x14ac:dyDescent="0.2">
      <c r="C2353" s="96" t="str">
        <f t="shared" si="144"/>
        <v>575</v>
      </c>
      <c r="D2353" s="73"/>
      <c r="E2353" s="100"/>
      <c r="F2353" s="101"/>
      <c r="G2353" s="96">
        <f t="shared" si="145"/>
        <v>575</v>
      </c>
      <c r="I2353" s="96"/>
      <c r="K2353" t="str">
        <f t="shared" si="146"/>
        <v>575</v>
      </c>
      <c r="M2353" s="72"/>
      <c r="O2353" s="96">
        <f t="shared" si="147"/>
        <v>575</v>
      </c>
      <c r="T2353" s="110"/>
    </row>
    <row r="2354" spans="3:20" x14ac:dyDescent="0.2">
      <c r="C2354" s="96" t="str">
        <f t="shared" si="144"/>
        <v>576</v>
      </c>
      <c r="D2354" s="73"/>
      <c r="E2354" s="100"/>
      <c r="F2354" s="101"/>
      <c r="G2354" s="96">
        <f t="shared" si="145"/>
        <v>576</v>
      </c>
      <c r="I2354" s="96"/>
      <c r="K2354" t="str">
        <f t="shared" si="146"/>
        <v>576</v>
      </c>
      <c r="M2354" s="72"/>
      <c r="O2354" s="96">
        <f t="shared" si="147"/>
        <v>576</v>
      </c>
      <c r="T2354" s="110"/>
    </row>
    <row r="2355" spans="3:20" x14ac:dyDescent="0.2">
      <c r="C2355" s="96" t="str">
        <f t="shared" si="144"/>
        <v>577</v>
      </c>
      <c r="D2355" s="73"/>
      <c r="E2355" s="100"/>
      <c r="F2355" s="101"/>
      <c r="G2355" s="96">
        <f t="shared" si="145"/>
        <v>577</v>
      </c>
      <c r="I2355" s="96"/>
      <c r="K2355" t="str">
        <f t="shared" si="146"/>
        <v>577</v>
      </c>
      <c r="M2355" s="72"/>
      <c r="O2355" s="96">
        <f t="shared" si="147"/>
        <v>577</v>
      </c>
      <c r="T2355" s="110"/>
    </row>
    <row r="2356" spans="3:20" x14ac:dyDescent="0.2">
      <c r="C2356" s="96" t="str">
        <f t="shared" si="144"/>
        <v>578</v>
      </c>
      <c r="D2356" s="73"/>
      <c r="E2356" s="100"/>
      <c r="F2356" s="101"/>
      <c r="G2356" s="96">
        <f t="shared" si="145"/>
        <v>578</v>
      </c>
      <c r="I2356" s="96"/>
      <c r="K2356" t="str">
        <f t="shared" si="146"/>
        <v>578</v>
      </c>
      <c r="M2356" s="72"/>
      <c r="O2356" s="96">
        <f t="shared" si="147"/>
        <v>578</v>
      </c>
      <c r="T2356" s="110"/>
    </row>
    <row r="2357" spans="3:20" x14ac:dyDescent="0.2">
      <c r="C2357" s="96" t="str">
        <f t="shared" si="144"/>
        <v>579</v>
      </c>
      <c r="D2357" s="73"/>
      <c r="E2357" s="100"/>
      <c r="F2357" s="101"/>
      <c r="G2357" s="96">
        <f t="shared" si="145"/>
        <v>579</v>
      </c>
      <c r="I2357" s="96"/>
      <c r="K2357" t="str">
        <f t="shared" si="146"/>
        <v>579</v>
      </c>
      <c r="M2357" s="72"/>
      <c r="O2357" s="96">
        <f t="shared" si="147"/>
        <v>579</v>
      </c>
      <c r="T2357" s="110"/>
    </row>
    <row r="2358" spans="3:20" x14ac:dyDescent="0.2">
      <c r="C2358" s="96" t="str">
        <f t="shared" si="144"/>
        <v>580</v>
      </c>
      <c r="D2358" s="73"/>
      <c r="E2358" s="100"/>
      <c r="F2358" s="101"/>
      <c r="G2358" s="96">
        <f t="shared" si="145"/>
        <v>580</v>
      </c>
      <c r="I2358" s="96"/>
      <c r="K2358" t="str">
        <f t="shared" si="146"/>
        <v>580</v>
      </c>
      <c r="M2358" s="72"/>
      <c r="O2358" s="96">
        <f t="shared" si="147"/>
        <v>580</v>
      </c>
      <c r="T2358" s="110"/>
    </row>
    <row r="2359" spans="3:20" x14ac:dyDescent="0.2">
      <c r="C2359" s="96" t="str">
        <f t="shared" si="144"/>
        <v>581</v>
      </c>
      <c r="D2359" s="73"/>
      <c r="E2359" s="100"/>
      <c r="F2359" s="101"/>
      <c r="G2359" s="96">
        <f t="shared" si="145"/>
        <v>581</v>
      </c>
      <c r="I2359" s="96"/>
      <c r="K2359" t="str">
        <f t="shared" si="146"/>
        <v>581</v>
      </c>
      <c r="M2359" s="72"/>
      <c r="O2359" s="96">
        <f t="shared" si="147"/>
        <v>581</v>
      </c>
      <c r="T2359" s="110"/>
    </row>
    <row r="2360" spans="3:20" x14ac:dyDescent="0.2">
      <c r="C2360" s="96" t="str">
        <f t="shared" si="144"/>
        <v>582</v>
      </c>
      <c r="D2360" s="73"/>
      <c r="E2360" s="100"/>
      <c r="F2360" s="101"/>
      <c r="G2360" s="96">
        <f t="shared" si="145"/>
        <v>582</v>
      </c>
      <c r="I2360" s="96"/>
      <c r="K2360" t="str">
        <f t="shared" si="146"/>
        <v>582</v>
      </c>
      <c r="M2360" s="72"/>
      <c r="O2360" s="96">
        <f t="shared" si="147"/>
        <v>582</v>
      </c>
      <c r="T2360" s="110"/>
    </row>
    <row r="2361" spans="3:20" x14ac:dyDescent="0.2">
      <c r="C2361" s="96" t="str">
        <f t="shared" si="144"/>
        <v>583</v>
      </c>
      <c r="D2361" s="73"/>
      <c r="E2361" s="100"/>
      <c r="F2361" s="101"/>
      <c r="G2361" s="96">
        <f t="shared" si="145"/>
        <v>583</v>
      </c>
      <c r="I2361" s="96"/>
      <c r="K2361" t="str">
        <f t="shared" si="146"/>
        <v>583</v>
      </c>
      <c r="M2361" s="72"/>
      <c r="O2361" s="96">
        <f t="shared" si="147"/>
        <v>583</v>
      </c>
      <c r="T2361" s="110"/>
    </row>
    <row r="2362" spans="3:20" x14ac:dyDescent="0.2">
      <c r="C2362" s="96" t="str">
        <f t="shared" si="144"/>
        <v>584</v>
      </c>
      <c r="D2362" s="73"/>
      <c r="E2362" s="100"/>
      <c r="F2362" s="101"/>
      <c r="G2362" s="96">
        <f t="shared" si="145"/>
        <v>584</v>
      </c>
      <c r="I2362" s="96"/>
      <c r="K2362" t="str">
        <f t="shared" si="146"/>
        <v>584</v>
      </c>
      <c r="M2362" s="72"/>
      <c r="O2362" s="96">
        <f t="shared" si="147"/>
        <v>584</v>
      </c>
      <c r="T2362" s="110"/>
    </row>
    <row r="2363" spans="3:20" x14ac:dyDescent="0.2">
      <c r="C2363" s="96" t="str">
        <f t="shared" si="144"/>
        <v>585</v>
      </c>
      <c r="D2363" s="73"/>
      <c r="E2363" s="100"/>
      <c r="F2363" s="101"/>
      <c r="G2363" s="96">
        <f t="shared" si="145"/>
        <v>585</v>
      </c>
      <c r="I2363" s="96"/>
      <c r="K2363" t="str">
        <f t="shared" si="146"/>
        <v>585</v>
      </c>
      <c r="M2363" s="72"/>
      <c r="O2363" s="96">
        <f t="shared" si="147"/>
        <v>585</v>
      </c>
      <c r="T2363" s="110"/>
    </row>
    <row r="2364" spans="3:20" x14ac:dyDescent="0.2">
      <c r="C2364" s="96" t="str">
        <f t="shared" si="144"/>
        <v>586</v>
      </c>
      <c r="D2364" s="73"/>
      <c r="E2364" s="100"/>
      <c r="F2364" s="101"/>
      <c r="G2364" s="96">
        <f t="shared" si="145"/>
        <v>586</v>
      </c>
      <c r="I2364" s="96"/>
      <c r="K2364" t="str">
        <f t="shared" si="146"/>
        <v>586</v>
      </c>
      <c r="M2364" s="72"/>
      <c r="O2364" s="96">
        <f t="shared" si="147"/>
        <v>586</v>
      </c>
      <c r="T2364" s="110"/>
    </row>
    <row r="2365" spans="3:20" x14ac:dyDescent="0.2">
      <c r="C2365" s="96" t="str">
        <f t="shared" si="144"/>
        <v>587</v>
      </c>
      <c r="D2365" s="73"/>
      <c r="E2365" s="100"/>
      <c r="F2365" s="101"/>
      <c r="G2365" s="96">
        <f t="shared" si="145"/>
        <v>587</v>
      </c>
      <c r="I2365" s="96"/>
      <c r="K2365" t="str">
        <f t="shared" si="146"/>
        <v>587</v>
      </c>
      <c r="M2365" s="72"/>
      <c r="O2365" s="96">
        <f t="shared" si="147"/>
        <v>587</v>
      </c>
      <c r="T2365" s="110"/>
    </row>
    <row r="2366" spans="3:20" x14ac:dyDescent="0.2">
      <c r="C2366" s="96" t="str">
        <f t="shared" si="144"/>
        <v>588</v>
      </c>
      <c r="D2366" s="73"/>
      <c r="E2366" s="100"/>
      <c r="F2366" s="101"/>
      <c r="G2366" s="96">
        <f t="shared" si="145"/>
        <v>588</v>
      </c>
      <c r="I2366" s="96"/>
      <c r="K2366" t="str">
        <f t="shared" si="146"/>
        <v>588</v>
      </c>
      <c r="M2366" s="72"/>
      <c r="O2366" s="96">
        <f t="shared" si="147"/>
        <v>588</v>
      </c>
      <c r="T2366" s="110"/>
    </row>
    <row r="2367" spans="3:20" x14ac:dyDescent="0.2">
      <c r="C2367" s="96" t="str">
        <f t="shared" si="144"/>
        <v>589</v>
      </c>
      <c r="D2367" s="73"/>
      <c r="E2367" s="100"/>
      <c r="F2367" s="101"/>
      <c r="G2367" s="96">
        <f t="shared" si="145"/>
        <v>589</v>
      </c>
      <c r="I2367" s="96"/>
      <c r="K2367" t="str">
        <f t="shared" si="146"/>
        <v>589</v>
      </c>
      <c r="M2367" s="72"/>
      <c r="O2367" s="96">
        <f t="shared" si="147"/>
        <v>589</v>
      </c>
      <c r="T2367" s="110"/>
    </row>
    <row r="2368" spans="3:20" x14ac:dyDescent="0.2">
      <c r="C2368" s="96" t="str">
        <f t="shared" si="144"/>
        <v>590</v>
      </c>
      <c r="D2368" s="73"/>
      <c r="E2368" s="100"/>
      <c r="F2368" s="101"/>
      <c r="G2368" s="96">
        <f t="shared" si="145"/>
        <v>590</v>
      </c>
      <c r="I2368" s="96"/>
      <c r="K2368" t="str">
        <f t="shared" si="146"/>
        <v>590</v>
      </c>
      <c r="M2368" s="72"/>
      <c r="O2368" s="96">
        <f t="shared" si="147"/>
        <v>590</v>
      </c>
      <c r="T2368" s="110"/>
    </row>
    <row r="2369" spans="3:20" x14ac:dyDescent="0.2">
      <c r="C2369" s="96" t="str">
        <f t="shared" si="144"/>
        <v>591</v>
      </c>
      <c r="D2369" s="73"/>
      <c r="E2369" s="100"/>
      <c r="F2369" s="101"/>
      <c r="G2369" s="96">
        <f t="shared" si="145"/>
        <v>591</v>
      </c>
      <c r="I2369" s="96"/>
      <c r="K2369" t="str">
        <f t="shared" si="146"/>
        <v>591</v>
      </c>
      <c r="M2369" s="72"/>
      <c r="O2369" s="96">
        <f t="shared" si="147"/>
        <v>591</v>
      </c>
      <c r="T2369" s="110"/>
    </row>
    <row r="2370" spans="3:20" x14ac:dyDescent="0.2">
      <c r="C2370" s="96" t="str">
        <f t="shared" si="144"/>
        <v>592</v>
      </c>
      <c r="D2370" s="73"/>
      <c r="E2370" s="100"/>
      <c r="F2370" s="101"/>
      <c r="G2370" s="96">
        <f t="shared" si="145"/>
        <v>592</v>
      </c>
      <c r="I2370" s="96"/>
      <c r="K2370" t="str">
        <f t="shared" si="146"/>
        <v>592</v>
      </c>
      <c r="M2370" s="72"/>
      <c r="O2370" s="96">
        <f t="shared" si="147"/>
        <v>592</v>
      </c>
      <c r="T2370" s="110"/>
    </row>
    <row r="2371" spans="3:20" x14ac:dyDescent="0.2">
      <c r="C2371" s="96" t="str">
        <f t="shared" ref="C2371:C2434" si="148">D2371&amp;G2371</f>
        <v>593</v>
      </c>
      <c r="D2371" s="73"/>
      <c r="E2371" s="100"/>
      <c r="F2371" s="101"/>
      <c r="G2371" s="96">
        <f t="shared" ref="G2371:G2434" si="149">IF(D2371&lt;&gt;D2370,1,G2370+1)</f>
        <v>593</v>
      </c>
      <c r="I2371" s="96"/>
      <c r="K2371" t="str">
        <f t="shared" ref="K2371:K2434" si="150">L2371&amp;O2371</f>
        <v>593</v>
      </c>
      <c r="M2371" s="72"/>
      <c r="O2371" s="96">
        <f t="shared" ref="O2371:O2434" si="151">IF(L2371&lt;&gt;L2370,1,O2370+1)</f>
        <v>593</v>
      </c>
      <c r="T2371" s="110"/>
    </row>
    <row r="2372" spans="3:20" x14ac:dyDescent="0.2">
      <c r="C2372" s="96" t="str">
        <f t="shared" si="148"/>
        <v>594</v>
      </c>
      <c r="D2372" s="73"/>
      <c r="E2372" s="100"/>
      <c r="F2372" s="101"/>
      <c r="G2372" s="96">
        <f t="shared" si="149"/>
        <v>594</v>
      </c>
      <c r="I2372" s="96"/>
      <c r="K2372" t="str">
        <f t="shared" si="150"/>
        <v>594</v>
      </c>
      <c r="M2372" s="72"/>
      <c r="O2372" s="96">
        <f t="shared" si="151"/>
        <v>594</v>
      </c>
      <c r="T2372" s="110"/>
    </row>
    <row r="2373" spans="3:20" x14ac:dyDescent="0.2">
      <c r="C2373" s="96" t="str">
        <f t="shared" si="148"/>
        <v>595</v>
      </c>
      <c r="D2373" s="73"/>
      <c r="E2373" s="100"/>
      <c r="F2373" s="101"/>
      <c r="G2373" s="96">
        <f t="shared" si="149"/>
        <v>595</v>
      </c>
      <c r="I2373" s="96"/>
      <c r="K2373" t="str">
        <f t="shared" si="150"/>
        <v>595</v>
      </c>
      <c r="M2373" s="72"/>
      <c r="O2373" s="96">
        <f t="shared" si="151"/>
        <v>595</v>
      </c>
      <c r="T2373" s="110"/>
    </row>
    <row r="2374" spans="3:20" x14ac:dyDescent="0.2">
      <c r="C2374" s="96" t="str">
        <f t="shared" si="148"/>
        <v>596</v>
      </c>
      <c r="D2374" s="73"/>
      <c r="E2374" s="100"/>
      <c r="F2374" s="101"/>
      <c r="G2374" s="96">
        <f t="shared" si="149"/>
        <v>596</v>
      </c>
      <c r="I2374" s="96"/>
      <c r="K2374" t="str">
        <f t="shared" si="150"/>
        <v>596</v>
      </c>
      <c r="M2374" s="72"/>
      <c r="O2374" s="96">
        <f t="shared" si="151"/>
        <v>596</v>
      </c>
      <c r="T2374" s="110"/>
    </row>
    <row r="2375" spans="3:20" x14ac:dyDescent="0.2">
      <c r="C2375" s="96" t="str">
        <f t="shared" si="148"/>
        <v>597</v>
      </c>
      <c r="D2375" s="73"/>
      <c r="E2375" s="100"/>
      <c r="F2375" s="101"/>
      <c r="G2375" s="96">
        <f t="shared" si="149"/>
        <v>597</v>
      </c>
      <c r="I2375" s="96"/>
      <c r="K2375" t="str">
        <f t="shared" si="150"/>
        <v>597</v>
      </c>
      <c r="M2375" s="72"/>
      <c r="O2375" s="96">
        <f t="shared" si="151"/>
        <v>597</v>
      </c>
      <c r="T2375" s="110"/>
    </row>
    <row r="2376" spans="3:20" x14ac:dyDescent="0.2">
      <c r="C2376" s="96" t="str">
        <f t="shared" si="148"/>
        <v>598</v>
      </c>
      <c r="D2376" s="73"/>
      <c r="E2376" s="100"/>
      <c r="F2376" s="101"/>
      <c r="G2376" s="96">
        <f t="shared" si="149"/>
        <v>598</v>
      </c>
      <c r="I2376" s="96"/>
      <c r="K2376" t="str">
        <f t="shared" si="150"/>
        <v>598</v>
      </c>
      <c r="M2376" s="72"/>
      <c r="O2376" s="96">
        <f t="shared" si="151"/>
        <v>598</v>
      </c>
      <c r="T2376" s="110"/>
    </row>
    <row r="2377" spans="3:20" x14ac:dyDescent="0.2">
      <c r="C2377" s="96" t="str">
        <f t="shared" si="148"/>
        <v>599</v>
      </c>
      <c r="D2377" s="73"/>
      <c r="E2377" s="100"/>
      <c r="F2377" s="101"/>
      <c r="G2377" s="96">
        <f t="shared" si="149"/>
        <v>599</v>
      </c>
      <c r="I2377" s="96"/>
      <c r="K2377" t="str">
        <f t="shared" si="150"/>
        <v>599</v>
      </c>
      <c r="M2377" s="72"/>
      <c r="O2377" s="96">
        <f t="shared" si="151"/>
        <v>599</v>
      </c>
      <c r="T2377" s="110"/>
    </row>
    <row r="2378" spans="3:20" x14ac:dyDescent="0.2">
      <c r="C2378" s="96" t="str">
        <f t="shared" si="148"/>
        <v>600</v>
      </c>
      <c r="D2378" s="73"/>
      <c r="E2378" s="100"/>
      <c r="F2378" s="101"/>
      <c r="G2378" s="96">
        <f t="shared" si="149"/>
        <v>600</v>
      </c>
      <c r="I2378" s="96"/>
      <c r="K2378" t="str">
        <f t="shared" si="150"/>
        <v>600</v>
      </c>
      <c r="M2378" s="72"/>
      <c r="O2378" s="96">
        <f t="shared" si="151"/>
        <v>600</v>
      </c>
      <c r="T2378" s="110"/>
    </row>
    <row r="2379" spans="3:20" x14ac:dyDescent="0.2">
      <c r="C2379" s="96" t="str">
        <f t="shared" si="148"/>
        <v>601</v>
      </c>
      <c r="D2379" s="73"/>
      <c r="E2379" s="100"/>
      <c r="F2379" s="101"/>
      <c r="G2379" s="96">
        <f t="shared" si="149"/>
        <v>601</v>
      </c>
      <c r="I2379" s="96"/>
      <c r="K2379" t="str">
        <f t="shared" si="150"/>
        <v>601</v>
      </c>
      <c r="M2379" s="72"/>
      <c r="O2379" s="96">
        <f t="shared" si="151"/>
        <v>601</v>
      </c>
      <c r="T2379" s="110"/>
    </row>
    <row r="2380" spans="3:20" x14ac:dyDescent="0.2">
      <c r="C2380" s="96" t="str">
        <f t="shared" si="148"/>
        <v>602</v>
      </c>
      <c r="D2380" s="73"/>
      <c r="E2380" s="100"/>
      <c r="F2380" s="101"/>
      <c r="G2380" s="96">
        <f t="shared" si="149"/>
        <v>602</v>
      </c>
      <c r="I2380" s="96"/>
      <c r="K2380" t="str">
        <f t="shared" si="150"/>
        <v>602</v>
      </c>
      <c r="M2380" s="72"/>
      <c r="O2380" s="96">
        <f t="shared" si="151"/>
        <v>602</v>
      </c>
      <c r="T2380" s="110"/>
    </row>
    <row r="2381" spans="3:20" x14ac:dyDescent="0.2">
      <c r="C2381" s="96" t="str">
        <f t="shared" si="148"/>
        <v>603</v>
      </c>
      <c r="D2381" s="73"/>
      <c r="E2381" s="100"/>
      <c r="F2381" s="101"/>
      <c r="G2381" s="96">
        <f t="shared" si="149"/>
        <v>603</v>
      </c>
      <c r="I2381" s="96"/>
      <c r="K2381" t="str">
        <f t="shared" si="150"/>
        <v>603</v>
      </c>
      <c r="M2381" s="72"/>
      <c r="O2381" s="96">
        <f t="shared" si="151"/>
        <v>603</v>
      </c>
      <c r="T2381" s="110"/>
    </row>
    <row r="2382" spans="3:20" x14ac:dyDescent="0.2">
      <c r="C2382" s="96" t="str">
        <f t="shared" si="148"/>
        <v>604</v>
      </c>
      <c r="D2382" s="73"/>
      <c r="E2382" s="100"/>
      <c r="F2382" s="101"/>
      <c r="G2382" s="96">
        <f t="shared" si="149"/>
        <v>604</v>
      </c>
      <c r="I2382" s="96"/>
      <c r="K2382" t="str">
        <f t="shared" si="150"/>
        <v>604</v>
      </c>
      <c r="M2382" s="72"/>
      <c r="O2382" s="96">
        <f t="shared" si="151"/>
        <v>604</v>
      </c>
      <c r="T2382" s="110"/>
    </row>
    <row r="2383" spans="3:20" x14ac:dyDescent="0.2">
      <c r="C2383" s="96" t="str">
        <f t="shared" si="148"/>
        <v>605</v>
      </c>
      <c r="D2383" s="73"/>
      <c r="E2383" s="100"/>
      <c r="F2383" s="101"/>
      <c r="G2383" s="96">
        <f t="shared" si="149"/>
        <v>605</v>
      </c>
      <c r="I2383" s="96"/>
      <c r="K2383" t="str">
        <f t="shared" si="150"/>
        <v>605</v>
      </c>
      <c r="M2383" s="72"/>
      <c r="O2383" s="96">
        <f t="shared" si="151"/>
        <v>605</v>
      </c>
      <c r="T2383" s="110"/>
    </row>
    <row r="2384" spans="3:20" x14ac:dyDescent="0.2">
      <c r="C2384" s="96" t="str">
        <f t="shared" si="148"/>
        <v>606</v>
      </c>
      <c r="D2384" s="73"/>
      <c r="E2384" s="100"/>
      <c r="F2384" s="101"/>
      <c r="G2384" s="96">
        <f t="shared" si="149"/>
        <v>606</v>
      </c>
      <c r="I2384" s="96"/>
      <c r="K2384" t="str">
        <f t="shared" si="150"/>
        <v>606</v>
      </c>
      <c r="M2384" s="72"/>
      <c r="O2384" s="96">
        <f t="shared" si="151"/>
        <v>606</v>
      </c>
      <c r="T2384" s="110"/>
    </row>
    <row r="2385" spans="3:20" x14ac:dyDescent="0.2">
      <c r="C2385" s="96" t="str">
        <f t="shared" si="148"/>
        <v>607</v>
      </c>
      <c r="D2385" s="73"/>
      <c r="E2385" s="100"/>
      <c r="F2385" s="101"/>
      <c r="G2385" s="96">
        <f t="shared" si="149"/>
        <v>607</v>
      </c>
      <c r="I2385" s="96"/>
      <c r="K2385" t="str">
        <f t="shared" si="150"/>
        <v>607</v>
      </c>
      <c r="M2385" s="72"/>
      <c r="O2385" s="96">
        <f t="shared" si="151"/>
        <v>607</v>
      </c>
      <c r="T2385" s="110"/>
    </row>
    <row r="2386" spans="3:20" x14ac:dyDescent="0.2">
      <c r="C2386" s="96" t="str">
        <f t="shared" si="148"/>
        <v>608</v>
      </c>
      <c r="D2386" s="73"/>
      <c r="E2386" s="100"/>
      <c r="F2386" s="101"/>
      <c r="G2386" s="96">
        <f t="shared" si="149"/>
        <v>608</v>
      </c>
      <c r="I2386" s="96"/>
      <c r="K2386" t="str">
        <f t="shared" si="150"/>
        <v>608</v>
      </c>
      <c r="M2386" s="72"/>
      <c r="O2386" s="96">
        <f t="shared" si="151"/>
        <v>608</v>
      </c>
      <c r="T2386" s="110"/>
    </row>
    <row r="2387" spans="3:20" x14ac:dyDescent="0.2">
      <c r="C2387" s="96" t="str">
        <f t="shared" si="148"/>
        <v>609</v>
      </c>
      <c r="D2387" s="73"/>
      <c r="E2387" s="100"/>
      <c r="F2387" s="101"/>
      <c r="G2387" s="96">
        <f t="shared" si="149"/>
        <v>609</v>
      </c>
      <c r="I2387" s="96"/>
      <c r="K2387" t="str">
        <f t="shared" si="150"/>
        <v>609</v>
      </c>
      <c r="M2387" s="72"/>
      <c r="O2387" s="96">
        <f t="shared" si="151"/>
        <v>609</v>
      </c>
      <c r="T2387" s="110"/>
    </row>
    <row r="2388" spans="3:20" x14ac:dyDescent="0.2">
      <c r="C2388" s="96" t="str">
        <f t="shared" si="148"/>
        <v>610</v>
      </c>
      <c r="D2388" s="73"/>
      <c r="E2388" s="100"/>
      <c r="F2388" s="101"/>
      <c r="G2388" s="96">
        <f t="shared" si="149"/>
        <v>610</v>
      </c>
      <c r="I2388" s="96"/>
      <c r="K2388" t="str">
        <f t="shared" si="150"/>
        <v>610</v>
      </c>
      <c r="M2388" s="72"/>
      <c r="O2388" s="96">
        <f t="shared" si="151"/>
        <v>610</v>
      </c>
      <c r="T2388" s="110"/>
    </row>
    <row r="2389" spans="3:20" x14ac:dyDescent="0.2">
      <c r="C2389" s="96" t="str">
        <f t="shared" si="148"/>
        <v>611</v>
      </c>
      <c r="D2389" s="73"/>
      <c r="E2389" s="100"/>
      <c r="F2389" s="101"/>
      <c r="G2389" s="96">
        <f t="shared" si="149"/>
        <v>611</v>
      </c>
      <c r="I2389" s="96"/>
      <c r="K2389" t="str">
        <f t="shared" si="150"/>
        <v>611</v>
      </c>
      <c r="M2389" s="72"/>
      <c r="O2389" s="96">
        <f t="shared" si="151"/>
        <v>611</v>
      </c>
      <c r="T2389" s="110"/>
    </row>
    <row r="2390" spans="3:20" x14ac:dyDescent="0.2">
      <c r="C2390" s="96" t="str">
        <f t="shared" si="148"/>
        <v>612</v>
      </c>
      <c r="D2390" s="73"/>
      <c r="E2390" s="100"/>
      <c r="F2390" s="101"/>
      <c r="G2390" s="96">
        <f t="shared" si="149"/>
        <v>612</v>
      </c>
      <c r="I2390" s="96"/>
      <c r="K2390" t="str">
        <f t="shared" si="150"/>
        <v>612</v>
      </c>
      <c r="M2390" s="72"/>
      <c r="O2390" s="96">
        <f t="shared" si="151"/>
        <v>612</v>
      </c>
      <c r="T2390" s="110"/>
    </row>
    <row r="2391" spans="3:20" x14ac:dyDescent="0.2">
      <c r="C2391" s="96" t="str">
        <f t="shared" si="148"/>
        <v>613</v>
      </c>
      <c r="D2391" s="73"/>
      <c r="E2391" s="100"/>
      <c r="F2391" s="101"/>
      <c r="G2391" s="96">
        <f t="shared" si="149"/>
        <v>613</v>
      </c>
      <c r="I2391" s="96"/>
      <c r="K2391" t="str">
        <f t="shared" si="150"/>
        <v>613</v>
      </c>
      <c r="M2391" s="72"/>
      <c r="O2391" s="96">
        <f t="shared" si="151"/>
        <v>613</v>
      </c>
      <c r="T2391" s="110"/>
    </row>
    <row r="2392" spans="3:20" x14ac:dyDescent="0.2">
      <c r="C2392" s="96" t="str">
        <f t="shared" si="148"/>
        <v>614</v>
      </c>
      <c r="D2392" s="73"/>
      <c r="E2392" s="100"/>
      <c r="F2392" s="101"/>
      <c r="G2392" s="96">
        <f t="shared" si="149"/>
        <v>614</v>
      </c>
      <c r="I2392" s="96"/>
      <c r="K2392" t="str">
        <f t="shared" si="150"/>
        <v>614</v>
      </c>
      <c r="M2392" s="72"/>
      <c r="O2392" s="96">
        <f t="shared" si="151"/>
        <v>614</v>
      </c>
      <c r="T2392" s="110"/>
    </row>
    <row r="2393" spans="3:20" x14ac:dyDescent="0.2">
      <c r="C2393" s="96" t="str">
        <f t="shared" si="148"/>
        <v>615</v>
      </c>
      <c r="D2393" s="73"/>
      <c r="E2393" s="100"/>
      <c r="F2393" s="101"/>
      <c r="G2393" s="96">
        <f t="shared" si="149"/>
        <v>615</v>
      </c>
      <c r="I2393" s="96"/>
      <c r="K2393" t="str">
        <f t="shared" si="150"/>
        <v>615</v>
      </c>
      <c r="M2393" s="72"/>
      <c r="O2393" s="96">
        <f t="shared" si="151"/>
        <v>615</v>
      </c>
      <c r="T2393" s="110"/>
    </row>
    <row r="2394" spans="3:20" x14ac:dyDescent="0.2">
      <c r="C2394" s="96" t="str">
        <f t="shared" si="148"/>
        <v>616</v>
      </c>
      <c r="D2394" s="73"/>
      <c r="E2394" s="100"/>
      <c r="F2394" s="101"/>
      <c r="G2394" s="96">
        <f t="shared" si="149"/>
        <v>616</v>
      </c>
      <c r="I2394" s="96"/>
      <c r="K2394" t="str">
        <f t="shared" si="150"/>
        <v>616</v>
      </c>
      <c r="M2394" s="72"/>
      <c r="O2394" s="96">
        <f t="shared" si="151"/>
        <v>616</v>
      </c>
      <c r="T2394" s="110"/>
    </row>
    <row r="2395" spans="3:20" x14ac:dyDescent="0.2">
      <c r="C2395" s="96" t="str">
        <f t="shared" si="148"/>
        <v>617</v>
      </c>
      <c r="D2395" s="73"/>
      <c r="E2395" s="100"/>
      <c r="F2395" s="101"/>
      <c r="G2395" s="96">
        <f t="shared" si="149"/>
        <v>617</v>
      </c>
      <c r="I2395" s="96"/>
      <c r="K2395" t="str">
        <f t="shared" si="150"/>
        <v>617</v>
      </c>
      <c r="M2395" s="72"/>
      <c r="O2395" s="96">
        <f t="shared" si="151"/>
        <v>617</v>
      </c>
      <c r="T2395" s="110"/>
    </row>
    <row r="2396" spans="3:20" x14ac:dyDescent="0.2">
      <c r="C2396" s="96" t="str">
        <f t="shared" si="148"/>
        <v>618</v>
      </c>
      <c r="D2396" s="73"/>
      <c r="E2396" s="100"/>
      <c r="F2396" s="101"/>
      <c r="G2396" s="96">
        <f t="shared" si="149"/>
        <v>618</v>
      </c>
      <c r="I2396" s="96"/>
      <c r="K2396" t="str">
        <f t="shared" si="150"/>
        <v>618</v>
      </c>
      <c r="M2396" s="72"/>
      <c r="O2396" s="96">
        <f t="shared" si="151"/>
        <v>618</v>
      </c>
      <c r="T2396" s="110"/>
    </row>
    <row r="2397" spans="3:20" x14ac:dyDescent="0.2">
      <c r="C2397" s="96" t="str">
        <f t="shared" si="148"/>
        <v>619</v>
      </c>
      <c r="D2397" s="73"/>
      <c r="E2397" s="100"/>
      <c r="F2397" s="101"/>
      <c r="G2397" s="96">
        <f t="shared" si="149"/>
        <v>619</v>
      </c>
      <c r="I2397" s="96"/>
      <c r="K2397" t="str">
        <f t="shared" si="150"/>
        <v>619</v>
      </c>
      <c r="M2397" s="72"/>
      <c r="O2397" s="96">
        <f t="shared" si="151"/>
        <v>619</v>
      </c>
      <c r="T2397" s="110"/>
    </row>
    <row r="2398" spans="3:20" x14ac:dyDescent="0.2">
      <c r="C2398" s="96" t="str">
        <f t="shared" si="148"/>
        <v>620</v>
      </c>
      <c r="D2398" s="73"/>
      <c r="E2398" s="100"/>
      <c r="F2398" s="101"/>
      <c r="G2398" s="96">
        <f t="shared" si="149"/>
        <v>620</v>
      </c>
      <c r="I2398" s="96"/>
      <c r="K2398" t="str">
        <f t="shared" si="150"/>
        <v>620</v>
      </c>
      <c r="M2398" s="72"/>
      <c r="O2398" s="96">
        <f t="shared" si="151"/>
        <v>620</v>
      </c>
      <c r="T2398" s="110"/>
    </row>
    <row r="2399" spans="3:20" x14ac:dyDescent="0.2">
      <c r="C2399" s="96" t="str">
        <f t="shared" si="148"/>
        <v>621</v>
      </c>
      <c r="D2399" s="73"/>
      <c r="E2399" s="100"/>
      <c r="F2399" s="101"/>
      <c r="G2399" s="96">
        <f t="shared" si="149"/>
        <v>621</v>
      </c>
      <c r="I2399" s="96"/>
      <c r="K2399" t="str">
        <f t="shared" si="150"/>
        <v>621</v>
      </c>
      <c r="M2399" s="72"/>
      <c r="O2399" s="96">
        <f t="shared" si="151"/>
        <v>621</v>
      </c>
      <c r="T2399" s="110"/>
    </row>
    <row r="2400" spans="3:20" x14ac:dyDescent="0.2">
      <c r="C2400" s="96" t="str">
        <f t="shared" si="148"/>
        <v>622</v>
      </c>
      <c r="D2400" s="73"/>
      <c r="E2400" s="100"/>
      <c r="F2400" s="101"/>
      <c r="G2400" s="96">
        <f t="shared" si="149"/>
        <v>622</v>
      </c>
      <c r="I2400" s="96"/>
      <c r="K2400" t="str">
        <f t="shared" si="150"/>
        <v>622</v>
      </c>
      <c r="M2400" s="72"/>
      <c r="O2400" s="96">
        <f t="shared" si="151"/>
        <v>622</v>
      </c>
      <c r="T2400" s="110"/>
    </row>
    <row r="2401" spans="3:20" x14ac:dyDescent="0.2">
      <c r="C2401" s="96" t="str">
        <f t="shared" si="148"/>
        <v>623</v>
      </c>
      <c r="D2401" s="73"/>
      <c r="E2401" s="100"/>
      <c r="F2401" s="101"/>
      <c r="G2401" s="96">
        <f t="shared" si="149"/>
        <v>623</v>
      </c>
      <c r="I2401" s="96"/>
      <c r="K2401" t="str">
        <f t="shared" si="150"/>
        <v>623</v>
      </c>
      <c r="M2401" s="72"/>
      <c r="O2401" s="96">
        <f t="shared" si="151"/>
        <v>623</v>
      </c>
      <c r="T2401" s="110"/>
    </row>
    <row r="2402" spans="3:20" x14ac:dyDescent="0.2">
      <c r="C2402" s="96" t="str">
        <f t="shared" si="148"/>
        <v>624</v>
      </c>
      <c r="D2402" s="73"/>
      <c r="E2402" s="100"/>
      <c r="F2402" s="101"/>
      <c r="G2402" s="96">
        <f t="shared" si="149"/>
        <v>624</v>
      </c>
      <c r="I2402" s="96"/>
      <c r="K2402" t="str">
        <f t="shared" si="150"/>
        <v>624</v>
      </c>
      <c r="M2402" s="72"/>
      <c r="O2402" s="96">
        <f t="shared" si="151"/>
        <v>624</v>
      </c>
      <c r="T2402" s="110"/>
    </row>
    <row r="2403" spans="3:20" x14ac:dyDescent="0.2">
      <c r="C2403" s="96" t="str">
        <f t="shared" si="148"/>
        <v>625</v>
      </c>
      <c r="D2403" s="73"/>
      <c r="E2403" s="100"/>
      <c r="F2403" s="101"/>
      <c r="G2403" s="96">
        <f t="shared" si="149"/>
        <v>625</v>
      </c>
      <c r="I2403" s="96"/>
      <c r="K2403" t="str">
        <f t="shared" si="150"/>
        <v>625</v>
      </c>
      <c r="M2403" s="72"/>
      <c r="O2403" s="96">
        <f t="shared" si="151"/>
        <v>625</v>
      </c>
      <c r="T2403" s="110"/>
    </row>
    <row r="2404" spans="3:20" x14ac:dyDescent="0.2">
      <c r="C2404" s="96" t="str">
        <f t="shared" si="148"/>
        <v>626</v>
      </c>
      <c r="D2404" s="73"/>
      <c r="E2404" s="100"/>
      <c r="F2404" s="101"/>
      <c r="G2404" s="96">
        <f t="shared" si="149"/>
        <v>626</v>
      </c>
      <c r="I2404" s="96"/>
      <c r="K2404" t="str">
        <f t="shared" si="150"/>
        <v>626</v>
      </c>
      <c r="M2404" s="72"/>
      <c r="O2404" s="96">
        <f t="shared" si="151"/>
        <v>626</v>
      </c>
      <c r="T2404" s="110"/>
    </row>
    <row r="2405" spans="3:20" x14ac:dyDescent="0.2">
      <c r="C2405" s="96" t="str">
        <f t="shared" si="148"/>
        <v>627</v>
      </c>
      <c r="D2405" s="73"/>
      <c r="E2405" s="100"/>
      <c r="F2405" s="101"/>
      <c r="G2405" s="96">
        <f t="shared" si="149"/>
        <v>627</v>
      </c>
      <c r="I2405" s="96"/>
      <c r="K2405" t="str">
        <f t="shared" si="150"/>
        <v>627</v>
      </c>
      <c r="M2405" s="72"/>
      <c r="O2405" s="96">
        <f t="shared" si="151"/>
        <v>627</v>
      </c>
      <c r="T2405" s="110"/>
    </row>
    <row r="2406" spans="3:20" x14ac:dyDescent="0.2">
      <c r="C2406" s="96" t="str">
        <f t="shared" si="148"/>
        <v>628</v>
      </c>
      <c r="D2406" s="73"/>
      <c r="E2406" s="100"/>
      <c r="F2406" s="101"/>
      <c r="G2406" s="96">
        <f t="shared" si="149"/>
        <v>628</v>
      </c>
      <c r="I2406" s="96"/>
      <c r="K2406" t="str">
        <f t="shared" si="150"/>
        <v>628</v>
      </c>
      <c r="M2406" s="72"/>
      <c r="O2406" s="96">
        <f t="shared" si="151"/>
        <v>628</v>
      </c>
      <c r="T2406" s="110"/>
    </row>
    <row r="2407" spans="3:20" x14ac:dyDescent="0.2">
      <c r="C2407" s="96" t="str">
        <f t="shared" si="148"/>
        <v>629</v>
      </c>
      <c r="D2407" s="73"/>
      <c r="E2407" s="100"/>
      <c r="F2407" s="101"/>
      <c r="G2407" s="96">
        <f t="shared" si="149"/>
        <v>629</v>
      </c>
      <c r="I2407" s="96"/>
      <c r="K2407" t="str">
        <f t="shared" si="150"/>
        <v>629</v>
      </c>
      <c r="M2407" s="72"/>
      <c r="O2407" s="96">
        <f t="shared" si="151"/>
        <v>629</v>
      </c>
      <c r="T2407" s="110"/>
    </row>
    <row r="2408" spans="3:20" x14ac:dyDescent="0.2">
      <c r="C2408" s="96" t="str">
        <f t="shared" si="148"/>
        <v>630</v>
      </c>
      <c r="D2408" s="73"/>
      <c r="E2408" s="100"/>
      <c r="F2408" s="101"/>
      <c r="G2408" s="96">
        <f t="shared" si="149"/>
        <v>630</v>
      </c>
      <c r="I2408" s="96"/>
      <c r="K2408" t="str">
        <f t="shared" si="150"/>
        <v>630</v>
      </c>
      <c r="M2408" s="72"/>
      <c r="O2408" s="96">
        <f t="shared" si="151"/>
        <v>630</v>
      </c>
      <c r="T2408" s="110"/>
    </row>
    <row r="2409" spans="3:20" x14ac:dyDescent="0.2">
      <c r="C2409" s="96" t="str">
        <f t="shared" si="148"/>
        <v>631</v>
      </c>
      <c r="D2409" s="73"/>
      <c r="E2409" s="100"/>
      <c r="F2409" s="101"/>
      <c r="G2409" s="96">
        <f t="shared" si="149"/>
        <v>631</v>
      </c>
      <c r="I2409" s="96"/>
      <c r="K2409" t="str">
        <f t="shared" si="150"/>
        <v>631</v>
      </c>
      <c r="M2409" s="72"/>
      <c r="O2409" s="96">
        <f t="shared" si="151"/>
        <v>631</v>
      </c>
      <c r="T2409" s="110"/>
    </row>
    <row r="2410" spans="3:20" x14ac:dyDescent="0.2">
      <c r="C2410" s="96" t="str">
        <f t="shared" si="148"/>
        <v>632</v>
      </c>
      <c r="D2410" s="73"/>
      <c r="E2410" s="100"/>
      <c r="F2410" s="101"/>
      <c r="G2410" s="96">
        <f t="shared" si="149"/>
        <v>632</v>
      </c>
      <c r="I2410" s="96"/>
      <c r="K2410" t="str">
        <f t="shared" si="150"/>
        <v>632</v>
      </c>
      <c r="M2410" s="72"/>
      <c r="O2410" s="96">
        <f t="shared" si="151"/>
        <v>632</v>
      </c>
      <c r="T2410" s="110"/>
    </row>
    <row r="2411" spans="3:20" x14ac:dyDescent="0.2">
      <c r="C2411" s="96" t="str">
        <f t="shared" si="148"/>
        <v>633</v>
      </c>
      <c r="D2411" s="73"/>
      <c r="E2411" s="100"/>
      <c r="F2411" s="101"/>
      <c r="G2411" s="96">
        <f t="shared" si="149"/>
        <v>633</v>
      </c>
      <c r="I2411" s="96"/>
      <c r="K2411" t="str">
        <f t="shared" si="150"/>
        <v>633</v>
      </c>
      <c r="M2411" s="72"/>
      <c r="O2411" s="96">
        <f t="shared" si="151"/>
        <v>633</v>
      </c>
      <c r="T2411" s="110"/>
    </row>
    <row r="2412" spans="3:20" x14ac:dyDescent="0.2">
      <c r="C2412" s="96" t="str">
        <f t="shared" si="148"/>
        <v>634</v>
      </c>
      <c r="D2412" s="73"/>
      <c r="E2412" s="100"/>
      <c r="F2412" s="101"/>
      <c r="G2412" s="96">
        <f t="shared" si="149"/>
        <v>634</v>
      </c>
      <c r="I2412" s="96"/>
      <c r="K2412" t="str">
        <f t="shared" si="150"/>
        <v>634</v>
      </c>
      <c r="M2412" s="72"/>
      <c r="O2412" s="96">
        <f t="shared" si="151"/>
        <v>634</v>
      </c>
      <c r="T2412" s="110"/>
    </row>
    <row r="2413" spans="3:20" x14ac:dyDescent="0.2">
      <c r="C2413" s="96" t="str">
        <f t="shared" si="148"/>
        <v>635</v>
      </c>
      <c r="D2413" s="73"/>
      <c r="E2413" s="100"/>
      <c r="F2413" s="101"/>
      <c r="G2413" s="96">
        <f t="shared" si="149"/>
        <v>635</v>
      </c>
      <c r="I2413" s="96"/>
      <c r="K2413" t="str">
        <f t="shared" si="150"/>
        <v>635</v>
      </c>
      <c r="M2413" s="72"/>
      <c r="O2413" s="96">
        <f t="shared" si="151"/>
        <v>635</v>
      </c>
      <c r="T2413" s="110"/>
    </row>
    <row r="2414" spans="3:20" x14ac:dyDescent="0.2">
      <c r="C2414" s="96" t="str">
        <f t="shared" si="148"/>
        <v>636</v>
      </c>
      <c r="D2414" s="73"/>
      <c r="E2414" s="100"/>
      <c r="F2414" s="101"/>
      <c r="G2414" s="96">
        <f t="shared" si="149"/>
        <v>636</v>
      </c>
      <c r="I2414" s="96"/>
      <c r="K2414" t="str">
        <f t="shared" si="150"/>
        <v>636</v>
      </c>
      <c r="M2414" s="72"/>
      <c r="O2414" s="96">
        <f t="shared" si="151"/>
        <v>636</v>
      </c>
      <c r="T2414" s="110"/>
    </row>
    <row r="2415" spans="3:20" x14ac:dyDescent="0.2">
      <c r="C2415" s="96" t="str">
        <f t="shared" si="148"/>
        <v>637</v>
      </c>
      <c r="D2415" s="73"/>
      <c r="E2415" s="100"/>
      <c r="F2415" s="101"/>
      <c r="G2415" s="96">
        <f t="shared" si="149"/>
        <v>637</v>
      </c>
      <c r="I2415" s="96"/>
      <c r="K2415" t="str">
        <f t="shared" si="150"/>
        <v>637</v>
      </c>
      <c r="M2415" s="72"/>
      <c r="O2415" s="96">
        <f t="shared" si="151"/>
        <v>637</v>
      </c>
      <c r="T2415" s="110"/>
    </row>
    <row r="2416" spans="3:20" x14ac:dyDescent="0.2">
      <c r="C2416" s="96" t="str">
        <f t="shared" si="148"/>
        <v>638</v>
      </c>
      <c r="D2416" s="73"/>
      <c r="E2416" s="100"/>
      <c r="F2416" s="101"/>
      <c r="G2416" s="96">
        <f t="shared" si="149"/>
        <v>638</v>
      </c>
      <c r="I2416" s="96"/>
      <c r="K2416" t="str">
        <f t="shared" si="150"/>
        <v>638</v>
      </c>
      <c r="M2416" s="72"/>
      <c r="O2416" s="96">
        <f t="shared" si="151"/>
        <v>638</v>
      </c>
      <c r="T2416" s="110"/>
    </row>
    <row r="2417" spans="3:20" x14ac:dyDescent="0.2">
      <c r="C2417" s="96" t="str">
        <f t="shared" si="148"/>
        <v>639</v>
      </c>
      <c r="D2417" s="73"/>
      <c r="E2417" s="100"/>
      <c r="F2417" s="101"/>
      <c r="G2417" s="96">
        <f t="shared" si="149"/>
        <v>639</v>
      </c>
      <c r="I2417" s="96"/>
      <c r="K2417" t="str">
        <f t="shared" si="150"/>
        <v>639</v>
      </c>
      <c r="M2417" s="72"/>
      <c r="O2417" s="96">
        <f t="shared" si="151"/>
        <v>639</v>
      </c>
      <c r="T2417" s="110"/>
    </row>
    <row r="2418" spans="3:20" x14ac:dyDescent="0.2">
      <c r="C2418" s="96" t="str">
        <f t="shared" si="148"/>
        <v>640</v>
      </c>
      <c r="D2418" s="73"/>
      <c r="E2418" s="100"/>
      <c r="F2418" s="101"/>
      <c r="G2418" s="96">
        <f t="shared" si="149"/>
        <v>640</v>
      </c>
      <c r="I2418" s="96"/>
      <c r="K2418" t="str">
        <f t="shared" si="150"/>
        <v>640</v>
      </c>
      <c r="M2418" s="72"/>
      <c r="O2418" s="96">
        <f t="shared" si="151"/>
        <v>640</v>
      </c>
      <c r="T2418" s="110"/>
    </row>
    <row r="2419" spans="3:20" x14ac:dyDescent="0.2">
      <c r="C2419" s="96" t="str">
        <f t="shared" si="148"/>
        <v>641</v>
      </c>
      <c r="D2419" s="73"/>
      <c r="E2419" s="100"/>
      <c r="F2419" s="101"/>
      <c r="G2419" s="96">
        <f t="shared" si="149"/>
        <v>641</v>
      </c>
      <c r="I2419" s="96"/>
      <c r="K2419" t="str">
        <f t="shared" si="150"/>
        <v>641</v>
      </c>
      <c r="M2419" s="72"/>
      <c r="O2419" s="96">
        <f t="shared" si="151"/>
        <v>641</v>
      </c>
      <c r="T2419" s="110"/>
    </row>
    <row r="2420" spans="3:20" x14ac:dyDescent="0.2">
      <c r="C2420" s="96" t="str">
        <f t="shared" si="148"/>
        <v>642</v>
      </c>
      <c r="D2420" s="73"/>
      <c r="E2420" s="100"/>
      <c r="F2420" s="101"/>
      <c r="G2420" s="96">
        <f t="shared" si="149"/>
        <v>642</v>
      </c>
      <c r="I2420" s="96"/>
      <c r="K2420" t="str">
        <f t="shared" si="150"/>
        <v>642</v>
      </c>
      <c r="M2420" s="72"/>
      <c r="O2420" s="96">
        <f t="shared" si="151"/>
        <v>642</v>
      </c>
      <c r="T2420" s="110"/>
    </row>
    <row r="2421" spans="3:20" x14ac:dyDescent="0.2">
      <c r="C2421" s="96" t="str">
        <f t="shared" si="148"/>
        <v>643</v>
      </c>
      <c r="D2421" s="73"/>
      <c r="E2421" s="100"/>
      <c r="F2421" s="101"/>
      <c r="G2421" s="96">
        <f t="shared" si="149"/>
        <v>643</v>
      </c>
      <c r="I2421" s="96"/>
      <c r="K2421" t="str">
        <f t="shared" si="150"/>
        <v>643</v>
      </c>
      <c r="M2421" s="72"/>
      <c r="O2421" s="96">
        <f t="shared" si="151"/>
        <v>643</v>
      </c>
      <c r="T2421" s="110"/>
    </row>
    <row r="2422" spans="3:20" x14ac:dyDescent="0.2">
      <c r="C2422" s="96" t="str">
        <f t="shared" si="148"/>
        <v>644</v>
      </c>
      <c r="D2422" s="73"/>
      <c r="E2422" s="100"/>
      <c r="F2422" s="101"/>
      <c r="G2422" s="96">
        <f t="shared" si="149"/>
        <v>644</v>
      </c>
      <c r="I2422" s="96"/>
      <c r="K2422" t="str">
        <f t="shared" si="150"/>
        <v>644</v>
      </c>
      <c r="M2422" s="72"/>
      <c r="O2422" s="96">
        <f t="shared" si="151"/>
        <v>644</v>
      </c>
      <c r="T2422" s="110"/>
    </row>
    <row r="2423" spans="3:20" x14ac:dyDescent="0.2">
      <c r="C2423" s="96" t="str">
        <f t="shared" si="148"/>
        <v>645</v>
      </c>
      <c r="D2423" s="73"/>
      <c r="E2423" s="100"/>
      <c r="F2423" s="101"/>
      <c r="G2423" s="96">
        <f t="shared" si="149"/>
        <v>645</v>
      </c>
      <c r="I2423" s="96"/>
      <c r="K2423" t="str">
        <f t="shared" si="150"/>
        <v>645</v>
      </c>
      <c r="M2423" s="72"/>
      <c r="O2423" s="96">
        <f t="shared" si="151"/>
        <v>645</v>
      </c>
      <c r="T2423" s="110"/>
    </row>
    <row r="2424" spans="3:20" x14ac:dyDescent="0.2">
      <c r="C2424" s="96" t="str">
        <f t="shared" si="148"/>
        <v>646</v>
      </c>
      <c r="D2424" s="73"/>
      <c r="E2424" s="100"/>
      <c r="F2424" s="101"/>
      <c r="G2424" s="96">
        <f t="shared" si="149"/>
        <v>646</v>
      </c>
      <c r="I2424" s="96"/>
      <c r="K2424" t="str">
        <f t="shared" si="150"/>
        <v>646</v>
      </c>
      <c r="M2424" s="72"/>
      <c r="O2424" s="96">
        <f t="shared" si="151"/>
        <v>646</v>
      </c>
      <c r="T2424" s="110"/>
    </row>
    <row r="2425" spans="3:20" x14ac:dyDescent="0.2">
      <c r="C2425" s="96" t="str">
        <f t="shared" si="148"/>
        <v>647</v>
      </c>
      <c r="D2425" s="73"/>
      <c r="E2425" s="100"/>
      <c r="F2425" s="101"/>
      <c r="G2425" s="96">
        <f t="shared" si="149"/>
        <v>647</v>
      </c>
      <c r="I2425" s="96"/>
      <c r="K2425" t="str">
        <f t="shared" si="150"/>
        <v>647</v>
      </c>
      <c r="M2425" s="72"/>
      <c r="O2425" s="96">
        <f t="shared" si="151"/>
        <v>647</v>
      </c>
      <c r="T2425" s="110"/>
    </row>
    <row r="2426" spans="3:20" x14ac:dyDescent="0.2">
      <c r="C2426" s="96" t="str">
        <f t="shared" si="148"/>
        <v>648</v>
      </c>
      <c r="D2426" s="73"/>
      <c r="E2426" s="100"/>
      <c r="F2426" s="101"/>
      <c r="G2426" s="96">
        <f t="shared" si="149"/>
        <v>648</v>
      </c>
      <c r="I2426" s="96"/>
      <c r="K2426" t="str">
        <f t="shared" si="150"/>
        <v>648</v>
      </c>
      <c r="M2426" s="72"/>
      <c r="O2426" s="96">
        <f t="shared" si="151"/>
        <v>648</v>
      </c>
      <c r="T2426" s="110"/>
    </row>
    <row r="2427" spans="3:20" x14ac:dyDescent="0.2">
      <c r="C2427" s="96" t="str">
        <f t="shared" si="148"/>
        <v>649</v>
      </c>
      <c r="D2427" s="73"/>
      <c r="E2427" s="100"/>
      <c r="F2427" s="101"/>
      <c r="G2427" s="96">
        <f t="shared" si="149"/>
        <v>649</v>
      </c>
      <c r="I2427" s="96"/>
      <c r="K2427" t="str">
        <f t="shared" si="150"/>
        <v>649</v>
      </c>
      <c r="M2427" s="72"/>
      <c r="O2427" s="96">
        <f t="shared" si="151"/>
        <v>649</v>
      </c>
      <c r="T2427" s="110"/>
    </row>
    <row r="2428" spans="3:20" x14ac:dyDescent="0.2">
      <c r="C2428" s="96" t="str">
        <f t="shared" si="148"/>
        <v>650</v>
      </c>
      <c r="D2428" s="73"/>
      <c r="E2428" s="100"/>
      <c r="F2428" s="101"/>
      <c r="G2428" s="96">
        <f t="shared" si="149"/>
        <v>650</v>
      </c>
      <c r="I2428" s="96"/>
      <c r="K2428" t="str">
        <f t="shared" si="150"/>
        <v>650</v>
      </c>
      <c r="M2428" s="72"/>
      <c r="O2428" s="96">
        <f t="shared" si="151"/>
        <v>650</v>
      </c>
      <c r="T2428" s="110"/>
    </row>
    <row r="2429" spans="3:20" x14ac:dyDescent="0.2">
      <c r="C2429" s="96" t="str">
        <f t="shared" si="148"/>
        <v>651</v>
      </c>
      <c r="D2429" s="73"/>
      <c r="E2429" s="100"/>
      <c r="F2429" s="101"/>
      <c r="G2429" s="96">
        <f t="shared" si="149"/>
        <v>651</v>
      </c>
      <c r="I2429" s="96"/>
      <c r="K2429" t="str">
        <f t="shared" si="150"/>
        <v>651</v>
      </c>
      <c r="M2429" s="72"/>
      <c r="O2429" s="96">
        <f t="shared" si="151"/>
        <v>651</v>
      </c>
      <c r="T2429" s="110"/>
    </row>
    <row r="2430" spans="3:20" x14ac:dyDescent="0.2">
      <c r="C2430" s="96" t="str">
        <f t="shared" si="148"/>
        <v>652</v>
      </c>
      <c r="D2430" s="73"/>
      <c r="E2430" s="100"/>
      <c r="F2430" s="101"/>
      <c r="G2430" s="96">
        <f t="shared" si="149"/>
        <v>652</v>
      </c>
      <c r="I2430" s="96"/>
      <c r="K2430" t="str">
        <f t="shared" si="150"/>
        <v>652</v>
      </c>
      <c r="M2430" s="72"/>
      <c r="O2430" s="96">
        <f t="shared" si="151"/>
        <v>652</v>
      </c>
      <c r="T2430" s="110"/>
    </row>
    <row r="2431" spans="3:20" x14ac:dyDescent="0.2">
      <c r="C2431" s="96" t="str">
        <f t="shared" si="148"/>
        <v>653</v>
      </c>
      <c r="D2431" s="73"/>
      <c r="E2431" s="100"/>
      <c r="F2431" s="101"/>
      <c r="G2431" s="96">
        <f t="shared" si="149"/>
        <v>653</v>
      </c>
      <c r="I2431" s="96"/>
      <c r="K2431" t="str">
        <f t="shared" si="150"/>
        <v>653</v>
      </c>
      <c r="M2431" s="72"/>
      <c r="O2431" s="96">
        <f t="shared" si="151"/>
        <v>653</v>
      </c>
      <c r="T2431" s="110"/>
    </row>
    <row r="2432" spans="3:20" x14ac:dyDescent="0.2">
      <c r="C2432" s="96" t="str">
        <f t="shared" si="148"/>
        <v>654</v>
      </c>
      <c r="D2432" s="73"/>
      <c r="E2432" s="100"/>
      <c r="F2432" s="101"/>
      <c r="G2432" s="96">
        <f t="shared" si="149"/>
        <v>654</v>
      </c>
      <c r="I2432" s="96"/>
      <c r="K2432" t="str">
        <f t="shared" si="150"/>
        <v>654</v>
      </c>
      <c r="M2432" s="72"/>
      <c r="O2432" s="96">
        <f t="shared" si="151"/>
        <v>654</v>
      </c>
      <c r="T2432" s="110"/>
    </row>
    <row r="2433" spans="3:20" x14ac:dyDescent="0.2">
      <c r="C2433" s="96" t="str">
        <f t="shared" si="148"/>
        <v>655</v>
      </c>
      <c r="D2433" s="73"/>
      <c r="E2433" s="100"/>
      <c r="F2433" s="101"/>
      <c r="G2433" s="96">
        <f t="shared" si="149"/>
        <v>655</v>
      </c>
      <c r="I2433" s="96"/>
      <c r="K2433" t="str">
        <f t="shared" si="150"/>
        <v>655</v>
      </c>
      <c r="M2433" s="72"/>
      <c r="O2433" s="96">
        <f t="shared" si="151"/>
        <v>655</v>
      </c>
      <c r="T2433" s="110"/>
    </row>
    <row r="2434" spans="3:20" x14ac:dyDescent="0.2">
      <c r="C2434" s="96" t="str">
        <f t="shared" si="148"/>
        <v>656</v>
      </c>
      <c r="D2434" s="73"/>
      <c r="E2434" s="100"/>
      <c r="F2434" s="101"/>
      <c r="G2434" s="96">
        <f t="shared" si="149"/>
        <v>656</v>
      </c>
      <c r="I2434" s="96"/>
      <c r="K2434" t="str">
        <f t="shared" si="150"/>
        <v>656</v>
      </c>
      <c r="M2434" s="72"/>
      <c r="O2434" s="96">
        <f t="shared" si="151"/>
        <v>656</v>
      </c>
      <c r="T2434" s="110"/>
    </row>
    <row r="2435" spans="3:20" x14ac:dyDescent="0.2">
      <c r="C2435" s="96" t="str">
        <f t="shared" ref="C2435:C2498" si="152">D2435&amp;G2435</f>
        <v>657</v>
      </c>
      <c r="D2435" s="73"/>
      <c r="E2435" s="100"/>
      <c r="F2435" s="101"/>
      <c r="G2435" s="96">
        <f t="shared" ref="G2435:G2498" si="153">IF(D2435&lt;&gt;D2434,1,G2434+1)</f>
        <v>657</v>
      </c>
      <c r="I2435" s="96"/>
      <c r="K2435" t="str">
        <f t="shared" ref="K2435:K2498" si="154">L2435&amp;O2435</f>
        <v>657</v>
      </c>
      <c r="M2435" s="72"/>
      <c r="O2435" s="96">
        <f t="shared" ref="O2435:O2498" si="155">IF(L2435&lt;&gt;L2434,1,O2434+1)</f>
        <v>657</v>
      </c>
      <c r="T2435" s="110"/>
    </row>
    <row r="2436" spans="3:20" x14ac:dyDescent="0.2">
      <c r="C2436" s="96" t="str">
        <f t="shared" si="152"/>
        <v>658</v>
      </c>
      <c r="D2436" s="73"/>
      <c r="E2436" s="100"/>
      <c r="F2436" s="101"/>
      <c r="G2436" s="96">
        <f t="shared" si="153"/>
        <v>658</v>
      </c>
      <c r="I2436" s="96"/>
      <c r="K2436" t="str">
        <f t="shared" si="154"/>
        <v>658</v>
      </c>
      <c r="M2436" s="72"/>
      <c r="O2436" s="96">
        <f t="shared" si="155"/>
        <v>658</v>
      </c>
    </row>
    <row r="2437" spans="3:20" x14ac:dyDescent="0.2">
      <c r="C2437" s="96" t="str">
        <f t="shared" si="152"/>
        <v>659</v>
      </c>
      <c r="D2437" s="73"/>
      <c r="E2437" s="100"/>
      <c r="F2437" s="101"/>
      <c r="G2437" s="96">
        <f t="shared" si="153"/>
        <v>659</v>
      </c>
      <c r="I2437" s="96"/>
      <c r="K2437" t="str">
        <f t="shared" si="154"/>
        <v>659</v>
      </c>
      <c r="M2437" s="72"/>
      <c r="O2437" s="96">
        <f t="shared" si="155"/>
        <v>659</v>
      </c>
      <c r="T2437" s="110"/>
    </row>
    <row r="2438" spans="3:20" x14ac:dyDescent="0.2">
      <c r="C2438" s="96" t="str">
        <f t="shared" si="152"/>
        <v>660</v>
      </c>
      <c r="D2438" s="73"/>
      <c r="E2438" s="100"/>
      <c r="F2438" s="101"/>
      <c r="G2438" s="96">
        <f t="shared" si="153"/>
        <v>660</v>
      </c>
      <c r="I2438" s="96"/>
      <c r="K2438" t="str">
        <f t="shared" si="154"/>
        <v>660</v>
      </c>
      <c r="M2438" s="72"/>
      <c r="O2438" s="96">
        <f t="shared" si="155"/>
        <v>660</v>
      </c>
      <c r="T2438" s="110"/>
    </row>
    <row r="2439" spans="3:20" x14ac:dyDescent="0.2">
      <c r="C2439" s="96" t="str">
        <f t="shared" si="152"/>
        <v>661</v>
      </c>
      <c r="D2439" s="73"/>
      <c r="E2439" s="100"/>
      <c r="F2439" s="101"/>
      <c r="G2439" s="96">
        <f t="shared" si="153"/>
        <v>661</v>
      </c>
      <c r="I2439" s="96"/>
      <c r="K2439" t="str">
        <f t="shared" si="154"/>
        <v>661</v>
      </c>
      <c r="M2439" s="72"/>
      <c r="O2439" s="96">
        <f t="shared" si="155"/>
        <v>661</v>
      </c>
      <c r="T2439" s="110"/>
    </row>
    <row r="2440" spans="3:20" x14ac:dyDescent="0.2">
      <c r="C2440" s="96" t="str">
        <f t="shared" si="152"/>
        <v>662</v>
      </c>
      <c r="D2440" s="73"/>
      <c r="E2440" s="100"/>
      <c r="F2440" s="101"/>
      <c r="G2440" s="96">
        <f t="shared" si="153"/>
        <v>662</v>
      </c>
      <c r="I2440" s="96"/>
      <c r="K2440" t="str">
        <f t="shared" si="154"/>
        <v>662</v>
      </c>
      <c r="M2440" s="72"/>
      <c r="O2440" s="96">
        <f t="shared" si="155"/>
        <v>662</v>
      </c>
      <c r="T2440" s="110"/>
    </row>
    <row r="2441" spans="3:20" x14ac:dyDescent="0.2">
      <c r="C2441" s="96" t="str">
        <f t="shared" si="152"/>
        <v>663</v>
      </c>
      <c r="D2441" s="73"/>
      <c r="E2441" s="100"/>
      <c r="F2441" s="101"/>
      <c r="G2441" s="96">
        <f t="shared" si="153"/>
        <v>663</v>
      </c>
      <c r="I2441" s="96"/>
      <c r="K2441" t="str">
        <f t="shared" si="154"/>
        <v>663</v>
      </c>
      <c r="M2441" s="72"/>
      <c r="O2441" s="96">
        <f t="shared" si="155"/>
        <v>663</v>
      </c>
      <c r="T2441" s="110"/>
    </row>
    <row r="2442" spans="3:20" x14ac:dyDescent="0.2">
      <c r="C2442" s="96" t="str">
        <f t="shared" si="152"/>
        <v>664</v>
      </c>
      <c r="D2442" s="73"/>
      <c r="E2442" s="100"/>
      <c r="F2442" s="101"/>
      <c r="G2442" s="96">
        <f t="shared" si="153"/>
        <v>664</v>
      </c>
      <c r="I2442" s="96"/>
      <c r="K2442" t="str">
        <f t="shared" si="154"/>
        <v>664</v>
      </c>
      <c r="M2442" s="72"/>
      <c r="O2442" s="96">
        <f t="shared" si="155"/>
        <v>664</v>
      </c>
      <c r="T2442" s="110"/>
    </row>
    <row r="2443" spans="3:20" x14ac:dyDescent="0.2">
      <c r="C2443" s="96" t="str">
        <f t="shared" si="152"/>
        <v>665</v>
      </c>
      <c r="D2443" s="73"/>
      <c r="E2443" s="100"/>
      <c r="F2443" s="101"/>
      <c r="G2443" s="96">
        <f t="shared" si="153"/>
        <v>665</v>
      </c>
      <c r="I2443" s="96"/>
      <c r="K2443" t="str">
        <f t="shared" si="154"/>
        <v>665</v>
      </c>
      <c r="M2443" s="72"/>
      <c r="O2443" s="96">
        <f t="shared" si="155"/>
        <v>665</v>
      </c>
      <c r="T2443" s="110"/>
    </row>
    <row r="2444" spans="3:20" x14ac:dyDescent="0.2">
      <c r="C2444" s="96" t="str">
        <f t="shared" si="152"/>
        <v>666</v>
      </c>
      <c r="D2444" s="73"/>
      <c r="E2444" s="100"/>
      <c r="F2444" s="101"/>
      <c r="G2444" s="96">
        <f t="shared" si="153"/>
        <v>666</v>
      </c>
      <c r="I2444" s="96"/>
      <c r="K2444" t="str">
        <f t="shared" si="154"/>
        <v>666</v>
      </c>
      <c r="M2444" s="72"/>
      <c r="O2444" s="96">
        <f t="shared" si="155"/>
        <v>666</v>
      </c>
      <c r="T2444" s="110"/>
    </row>
    <row r="2445" spans="3:20" x14ac:dyDescent="0.2">
      <c r="C2445" s="96" t="str">
        <f t="shared" si="152"/>
        <v>667</v>
      </c>
      <c r="D2445" s="73"/>
      <c r="E2445" s="100"/>
      <c r="F2445" s="101"/>
      <c r="G2445" s="96">
        <f t="shared" si="153"/>
        <v>667</v>
      </c>
      <c r="I2445" s="96"/>
      <c r="K2445" t="str">
        <f t="shared" si="154"/>
        <v>667</v>
      </c>
      <c r="M2445" s="72"/>
      <c r="O2445" s="96">
        <f t="shared" si="155"/>
        <v>667</v>
      </c>
      <c r="T2445" s="110"/>
    </row>
    <row r="2446" spans="3:20" x14ac:dyDescent="0.2">
      <c r="C2446" s="96" t="str">
        <f t="shared" si="152"/>
        <v>668</v>
      </c>
      <c r="D2446" s="73"/>
      <c r="E2446" s="100"/>
      <c r="F2446" s="101"/>
      <c r="G2446" s="96">
        <f t="shared" si="153"/>
        <v>668</v>
      </c>
      <c r="I2446" s="96"/>
      <c r="K2446" t="str">
        <f t="shared" si="154"/>
        <v>668</v>
      </c>
      <c r="M2446" s="72"/>
      <c r="O2446" s="96">
        <f t="shared" si="155"/>
        <v>668</v>
      </c>
      <c r="T2446" s="110"/>
    </row>
    <row r="2447" spans="3:20" x14ac:dyDescent="0.2">
      <c r="C2447" s="96" t="str">
        <f t="shared" si="152"/>
        <v>669</v>
      </c>
      <c r="D2447" s="73"/>
      <c r="E2447" s="100"/>
      <c r="F2447" s="101"/>
      <c r="G2447" s="96">
        <f t="shared" si="153"/>
        <v>669</v>
      </c>
      <c r="I2447" s="96"/>
      <c r="K2447" t="str">
        <f t="shared" si="154"/>
        <v>669</v>
      </c>
      <c r="M2447" s="72"/>
      <c r="O2447" s="96">
        <f t="shared" si="155"/>
        <v>669</v>
      </c>
      <c r="T2447" s="110"/>
    </row>
    <row r="2448" spans="3:20" x14ac:dyDescent="0.2">
      <c r="C2448" s="96" t="str">
        <f t="shared" si="152"/>
        <v>670</v>
      </c>
      <c r="D2448" s="73"/>
      <c r="E2448" s="100"/>
      <c r="F2448" s="101"/>
      <c r="G2448" s="96">
        <f t="shared" si="153"/>
        <v>670</v>
      </c>
      <c r="I2448" s="96"/>
      <c r="K2448" t="str">
        <f t="shared" si="154"/>
        <v>670</v>
      </c>
      <c r="M2448" s="72"/>
      <c r="O2448" s="96">
        <f t="shared" si="155"/>
        <v>670</v>
      </c>
      <c r="T2448" s="110"/>
    </row>
    <row r="2449" spans="3:20" x14ac:dyDescent="0.2">
      <c r="C2449" s="96" t="str">
        <f t="shared" si="152"/>
        <v>671</v>
      </c>
      <c r="D2449" s="73"/>
      <c r="E2449" s="100"/>
      <c r="F2449" s="101"/>
      <c r="G2449" s="96">
        <f t="shared" si="153"/>
        <v>671</v>
      </c>
      <c r="I2449" s="96"/>
      <c r="K2449" t="str">
        <f t="shared" si="154"/>
        <v>671</v>
      </c>
      <c r="M2449" s="72"/>
      <c r="O2449" s="96">
        <f t="shared" si="155"/>
        <v>671</v>
      </c>
      <c r="T2449" s="110"/>
    </row>
    <row r="2450" spans="3:20" x14ac:dyDescent="0.2">
      <c r="C2450" s="96" t="str">
        <f t="shared" si="152"/>
        <v>672</v>
      </c>
      <c r="D2450" s="73"/>
      <c r="E2450" s="100"/>
      <c r="F2450" s="101"/>
      <c r="G2450" s="96">
        <f t="shared" si="153"/>
        <v>672</v>
      </c>
      <c r="I2450" s="96"/>
      <c r="K2450" t="str">
        <f t="shared" si="154"/>
        <v>672</v>
      </c>
      <c r="M2450" s="72"/>
      <c r="O2450" s="96">
        <f t="shared" si="155"/>
        <v>672</v>
      </c>
      <c r="T2450" s="110"/>
    </row>
    <row r="2451" spans="3:20" x14ac:dyDescent="0.2">
      <c r="C2451" s="96" t="str">
        <f t="shared" si="152"/>
        <v>673</v>
      </c>
      <c r="D2451" s="73"/>
      <c r="E2451" s="100"/>
      <c r="F2451" s="101"/>
      <c r="G2451" s="96">
        <f t="shared" si="153"/>
        <v>673</v>
      </c>
      <c r="I2451" s="96"/>
      <c r="K2451" t="str">
        <f t="shared" si="154"/>
        <v>673</v>
      </c>
      <c r="M2451" s="72"/>
      <c r="O2451" s="96">
        <f t="shared" si="155"/>
        <v>673</v>
      </c>
      <c r="T2451" s="110"/>
    </row>
    <row r="2452" spans="3:20" x14ac:dyDescent="0.2">
      <c r="C2452" s="96" t="str">
        <f t="shared" si="152"/>
        <v>674</v>
      </c>
      <c r="D2452" s="73"/>
      <c r="E2452" s="100"/>
      <c r="F2452" s="101"/>
      <c r="G2452" s="96">
        <f t="shared" si="153"/>
        <v>674</v>
      </c>
      <c r="I2452" s="96"/>
      <c r="K2452" t="str">
        <f t="shared" si="154"/>
        <v>674</v>
      </c>
      <c r="M2452" s="72"/>
      <c r="O2452" s="96">
        <f t="shared" si="155"/>
        <v>674</v>
      </c>
      <c r="T2452" s="110"/>
    </row>
    <row r="2453" spans="3:20" x14ac:dyDescent="0.2">
      <c r="C2453" s="96" t="str">
        <f t="shared" si="152"/>
        <v>675</v>
      </c>
      <c r="D2453" s="73"/>
      <c r="E2453" s="100"/>
      <c r="F2453" s="101"/>
      <c r="G2453" s="96">
        <f t="shared" si="153"/>
        <v>675</v>
      </c>
      <c r="I2453" s="96"/>
      <c r="K2453" t="str">
        <f t="shared" si="154"/>
        <v>675</v>
      </c>
      <c r="M2453" s="72"/>
      <c r="O2453" s="96">
        <f t="shared" si="155"/>
        <v>675</v>
      </c>
      <c r="T2453" s="110"/>
    </row>
    <row r="2454" spans="3:20" x14ac:dyDescent="0.2">
      <c r="C2454" s="96" t="str">
        <f t="shared" si="152"/>
        <v>676</v>
      </c>
      <c r="D2454" s="73"/>
      <c r="E2454" s="100"/>
      <c r="F2454" s="101"/>
      <c r="G2454" s="96">
        <f t="shared" si="153"/>
        <v>676</v>
      </c>
      <c r="I2454" s="96"/>
      <c r="K2454" t="str">
        <f t="shared" si="154"/>
        <v>676</v>
      </c>
      <c r="M2454" s="72"/>
      <c r="O2454" s="96">
        <f t="shared" si="155"/>
        <v>676</v>
      </c>
      <c r="T2454" s="110"/>
    </row>
    <row r="2455" spans="3:20" x14ac:dyDescent="0.2">
      <c r="C2455" s="96" t="str">
        <f t="shared" si="152"/>
        <v>677</v>
      </c>
      <c r="D2455" s="73"/>
      <c r="E2455" s="100"/>
      <c r="F2455" s="101"/>
      <c r="G2455" s="96">
        <f t="shared" si="153"/>
        <v>677</v>
      </c>
      <c r="I2455" s="96"/>
      <c r="K2455" t="str">
        <f t="shared" si="154"/>
        <v>677</v>
      </c>
      <c r="M2455" s="72"/>
      <c r="O2455" s="96">
        <f t="shared" si="155"/>
        <v>677</v>
      </c>
      <c r="T2455" s="110"/>
    </row>
    <row r="2456" spans="3:20" x14ac:dyDescent="0.2">
      <c r="C2456" s="96" t="str">
        <f t="shared" si="152"/>
        <v>678</v>
      </c>
      <c r="D2456" s="73"/>
      <c r="E2456" s="100"/>
      <c r="F2456" s="101"/>
      <c r="G2456" s="96">
        <f t="shared" si="153"/>
        <v>678</v>
      </c>
      <c r="I2456" s="96"/>
      <c r="K2456" t="str">
        <f t="shared" si="154"/>
        <v>678</v>
      </c>
      <c r="M2456" s="72"/>
      <c r="O2456" s="96">
        <f t="shared" si="155"/>
        <v>678</v>
      </c>
      <c r="T2456" s="110"/>
    </row>
    <row r="2457" spans="3:20" x14ac:dyDescent="0.2">
      <c r="C2457" s="96" t="str">
        <f t="shared" si="152"/>
        <v>679</v>
      </c>
      <c r="D2457" s="73"/>
      <c r="E2457" s="100"/>
      <c r="F2457" s="101"/>
      <c r="G2457" s="96">
        <f t="shared" si="153"/>
        <v>679</v>
      </c>
      <c r="I2457" s="96"/>
      <c r="K2457" t="str">
        <f t="shared" si="154"/>
        <v>679</v>
      </c>
      <c r="M2457" s="72"/>
      <c r="O2457" s="96">
        <f t="shared" si="155"/>
        <v>679</v>
      </c>
      <c r="T2457" s="110"/>
    </row>
    <row r="2458" spans="3:20" x14ac:dyDescent="0.2">
      <c r="C2458" s="96" t="str">
        <f t="shared" si="152"/>
        <v>680</v>
      </c>
      <c r="D2458" s="73"/>
      <c r="E2458" s="100"/>
      <c r="F2458" s="101"/>
      <c r="G2458" s="96">
        <f t="shared" si="153"/>
        <v>680</v>
      </c>
      <c r="I2458" s="96"/>
      <c r="K2458" t="str">
        <f t="shared" si="154"/>
        <v>680</v>
      </c>
      <c r="M2458" s="72"/>
      <c r="O2458" s="96">
        <f t="shared" si="155"/>
        <v>680</v>
      </c>
      <c r="T2458" s="110"/>
    </row>
    <row r="2459" spans="3:20" x14ac:dyDescent="0.2">
      <c r="C2459" s="96" t="str">
        <f t="shared" si="152"/>
        <v>681</v>
      </c>
      <c r="D2459" s="73"/>
      <c r="E2459" s="100"/>
      <c r="F2459" s="101"/>
      <c r="G2459" s="96">
        <f t="shared" si="153"/>
        <v>681</v>
      </c>
      <c r="I2459" s="96"/>
      <c r="K2459" t="str">
        <f t="shared" si="154"/>
        <v>681</v>
      </c>
      <c r="M2459" s="72"/>
      <c r="O2459" s="96">
        <f t="shared" si="155"/>
        <v>681</v>
      </c>
      <c r="T2459" s="110"/>
    </row>
    <row r="2460" spans="3:20" x14ac:dyDescent="0.2">
      <c r="C2460" s="96" t="str">
        <f t="shared" si="152"/>
        <v>682</v>
      </c>
      <c r="D2460" s="73"/>
      <c r="E2460" s="100"/>
      <c r="F2460" s="101"/>
      <c r="G2460" s="96">
        <f t="shared" si="153"/>
        <v>682</v>
      </c>
      <c r="I2460" s="96"/>
      <c r="K2460" t="str">
        <f t="shared" si="154"/>
        <v>682</v>
      </c>
      <c r="M2460" s="72"/>
      <c r="O2460" s="96">
        <f t="shared" si="155"/>
        <v>682</v>
      </c>
      <c r="T2460" s="110"/>
    </row>
    <row r="2461" spans="3:20" x14ac:dyDescent="0.2">
      <c r="C2461" s="96" t="str">
        <f t="shared" si="152"/>
        <v>683</v>
      </c>
      <c r="D2461" s="73"/>
      <c r="E2461" s="100"/>
      <c r="F2461" s="101"/>
      <c r="G2461" s="96">
        <f t="shared" si="153"/>
        <v>683</v>
      </c>
      <c r="I2461" s="96"/>
      <c r="K2461" t="str">
        <f t="shared" si="154"/>
        <v>683</v>
      </c>
      <c r="M2461" s="72"/>
      <c r="O2461" s="96">
        <f t="shared" si="155"/>
        <v>683</v>
      </c>
      <c r="T2461" s="110"/>
    </row>
    <row r="2462" spans="3:20" x14ac:dyDescent="0.2">
      <c r="C2462" s="96" t="str">
        <f t="shared" si="152"/>
        <v>684</v>
      </c>
      <c r="D2462" s="73"/>
      <c r="E2462" s="100"/>
      <c r="F2462" s="101"/>
      <c r="G2462" s="96">
        <f t="shared" si="153"/>
        <v>684</v>
      </c>
      <c r="I2462" s="96"/>
      <c r="K2462" t="str">
        <f t="shared" si="154"/>
        <v>684</v>
      </c>
      <c r="M2462" s="72"/>
      <c r="O2462" s="96">
        <f t="shared" si="155"/>
        <v>684</v>
      </c>
      <c r="T2462" s="110"/>
    </row>
    <row r="2463" spans="3:20" x14ac:dyDescent="0.2">
      <c r="C2463" s="96" t="str">
        <f t="shared" si="152"/>
        <v>685</v>
      </c>
      <c r="D2463" s="73"/>
      <c r="E2463" s="100"/>
      <c r="F2463" s="101"/>
      <c r="G2463" s="96">
        <f t="shared" si="153"/>
        <v>685</v>
      </c>
      <c r="I2463" s="96"/>
      <c r="K2463" t="str">
        <f t="shared" si="154"/>
        <v>685</v>
      </c>
      <c r="M2463" s="72"/>
      <c r="O2463" s="96">
        <f t="shared" si="155"/>
        <v>685</v>
      </c>
      <c r="T2463" s="110"/>
    </row>
    <row r="2464" spans="3:20" x14ac:dyDescent="0.2">
      <c r="C2464" s="96" t="str">
        <f t="shared" si="152"/>
        <v>686</v>
      </c>
      <c r="D2464" s="73"/>
      <c r="E2464" s="100"/>
      <c r="F2464" s="101"/>
      <c r="G2464" s="96">
        <f t="shared" si="153"/>
        <v>686</v>
      </c>
      <c r="I2464" s="96"/>
      <c r="K2464" t="str">
        <f t="shared" si="154"/>
        <v>686</v>
      </c>
      <c r="M2464" s="72"/>
      <c r="O2464" s="96">
        <f t="shared" si="155"/>
        <v>686</v>
      </c>
      <c r="T2464" s="110"/>
    </row>
    <row r="2465" spans="3:20" x14ac:dyDescent="0.2">
      <c r="C2465" s="96" t="str">
        <f t="shared" si="152"/>
        <v>687</v>
      </c>
      <c r="D2465" s="73"/>
      <c r="E2465" s="100"/>
      <c r="F2465" s="101"/>
      <c r="G2465" s="96">
        <f t="shared" si="153"/>
        <v>687</v>
      </c>
      <c r="I2465" s="96"/>
      <c r="K2465" t="str">
        <f t="shared" si="154"/>
        <v>687</v>
      </c>
      <c r="M2465" s="72"/>
      <c r="O2465" s="96">
        <f t="shared" si="155"/>
        <v>687</v>
      </c>
      <c r="T2465" s="110"/>
    </row>
    <row r="2466" spans="3:20" x14ac:dyDescent="0.2">
      <c r="C2466" s="96" t="str">
        <f t="shared" si="152"/>
        <v>688</v>
      </c>
      <c r="D2466" s="73"/>
      <c r="E2466" s="100"/>
      <c r="F2466" s="101"/>
      <c r="G2466" s="96">
        <f t="shared" si="153"/>
        <v>688</v>
      </c>
      <c r="I2466" s="96"/>
      <c r="K2466" t="str">
        <f t="shared" si="154"/>
        <v>688</v>
      </c>
      <c r="M2466" s="72"/>
      <c r="O2466" s="96">
        <f t="shared" si="155"/>
        <v>688</v>
      </c>
      <c r="T2466" s="110"/>
    </row>
    <row r="2467" spans="3:20" x14ac:dyDescent="0.2">
      <c r="C2467" s="96" t="str">
        <f t="shared" si="152"/>
        <v>689</v>
      </c>
      <c r="D2467" s="73"/>
      <c r="E2467" s="100"/>
      <c r="F2467" s="101"/>
      <c r="G2467" s="96">
        <f t="shared" si="153"/>
        <v>689</v>
      </c>
      <c r="I2467" s="96"/>
      <c r="K2467" t="str">
        <f t="shared" si="154"/>
        <v>689</v>
      </c>
      <c r="M2467" s="72"/>
      <c r="O2467" s="96">
        <f t="shared" si="155"/>
        <v>689</v>
      </c>
      <c r="T2467" s="110"/>
    </row>
    <row r="2468" spans="3:20" x14ac:dyDescent="0.2">
      <c r="C2468" s="96" t="str">
        <f t="shared" si="152"/>
        <v>690</v>
      </c>
      <c r="D2468" s="73"/>
      <c r="E2468" s="100"/>
      <c r="F2468" s="101"/>
      <c r="G2468" s="96">
        <f t="shared" si="153"/>
        <v>690</v>
      </c>
      <c r="I2468" s="96"/>
      <c r="K2468" t="str">
        <f t="shared" si="154"/>
        <v>690</v>
      </c>
      <c r="M2468" s="72"/>
      <c r="O2468" s="96">
        <f t="shared" si="155"/>
        <v>690</v>
      </c>
      <c r="T2468" s="110"/>
    </row>
    <row r="2469" spans="3:20" x14ac:dyDescent="0.2">
      <c r="C2469" s="96" t="str">
        <f t="shared" si="152"/>
        <v>691</v>
      </c>
      <c r="D2469" s="73"/>
      <c r="E2469" s="100"/>
      <c r="F2469" s="101"/>
      <c r="G2469" s="96">
        <f t="shared" si="153"/>
        <v>691</v>
      </c>
      <c r="I2469" s="96"/>
      <c r="K2469" t="str">
        <f t="shared" si="154"/>
        <v>691</v>
      </c>
      <c r="M2469" s="72"/>
      <c r="O2469" s="96">
        <f t="shared" si="155"/>
        <v>691</v>
      </c>
      <c r="T2469" s="110"/>
    </row>
    <row r="2470" spans="3:20" x14ac:dyDescent="0.2">
      <c r="C2470" s="96" t="str">
        <f t="shared" si="152"/>
        <v>692</v>
      </c>
      <c r="D2470" s="73"/>
      <c r="E2470" s="100"/>
      <c r="F2470" s="101"/>
      <c r="G2470" s="96">
        <f t="shared" si="153"/>
        <v>692</v>
      </c>
      <c r="I2470" s="96"/>
      <c r="K2470" t="str">
        <f t="shared" si="154"/>
        <v>692</v>
      </c>
      <c r="M2470" s="72"/>
      <c r="O2470" s="96">
        <f t="shared" si="155"/>
        <v>692</v>
      </c>
      <c r="T2470" s="110"/>
    </row>
    <row r="2471" spans="3:20" x14ac:dyDescent="0.2">
      <c r="C2471" s="96" t="str">
        <f t="shared" si="152"/>
        <v>693</v>
      </c>
      <c r="D2471" s="73"/>
      <c r="E2471" s="100"/>
      <c r="F2471" s="101"/>
      <c r="G2471" s="96">
        <f t="shared" si="153"/>
        <v>693</v>
      </c>
      <c r="I2471" s="96"/>
      <c r="K2471" t="str">
        <f t="shared" si="154"/>
        <v>693</v>
      </c>
      <c r="M2471" s="72"/>
      <c r="O2471" s="96">
        <f t="shared" si="155"/>
        <v>693</v>
      </c>
      <c r="T2471" s="110"/>
    </row>
    <row r="2472" spans="3:20" x14ac:dyDescent="0.2">
      <c r="C2472" s="96" t="str">
        <f t="shared" si="152"/>
        <v>694</v>
      </c>
      <c r="D2472" s="73"/>
      <c r="E2472" s="100"/>
      <c r="F2472" s="101"/>
      <c r="G2472" s="96">
        <f t="shared" si="153"/>
        <v>694</v>
      </c>
      <c r="I2472" s="96"/>
      <c r="K2472" t="str">
        <f t="shared" si="154"/>
        <v>694</v>
      </c>
      <c r="M2472" s="72"/>
      <c r="O2472" s="96">
        <f t="shared" si="155"/>
        <v>694</v>
      </c>
      <c r="T2472" s="110"/>
    </row>
    <row r="2473" spans="3:20" x14ac:dyDescent="0.2">
      <c r="C2473" s="96" t="str">
        <f t="shared" si="152"/>
        <v>695</v>
      </c>
      <c r="D2473" s="73"/>
      <c r="E2473" s="100"/>
      <c r="F2473" s="101"/>
      <c r="G2473" s="96">
        <f t="shared" si="153"/>
        <v>695</v>
      </c>
      <c r="I2473" s="96"/>
      <c r="K2473" t="str">
        <f t="shared" si="154"/>
        <v>695</v>
      </c>
      <c r="M2473" s="72"/>
      <c r="O2473" s="96">
        <f t="shared" si="155"/>
        <v>695</v>
      </c>
      <c r="T2473" s="110"/>
    </row>
    <row r="2474" spans="3:20" x14ac:dyDescent="0.2">
      <c r="C2474" s="96" t="str">
        <f t="shared" si="152"/>
        <v>696</v>
      </c>
      <c r="D2474" s="73"/>
      <c r="E2474" s="100"/>
      <c r="F2474" s="101"/>
      <c r="G2474" s="96">
        <f t="shared" si="153"/>
        <v>696</v>
      </c>
      <c r="I2474" s="96"/>
      <c r="K2474" t="str">
        <f t="shared" si="154"/>
        <v>696</v>
      </c>
      <c r="M2474" s="72"/>
      <c r="O2474" s="96">
        <f t="shared" si="155"/>
        <v>696</v>
      </c>
      <c r="T2474" s="110"/>
    </row>
    <row r="2475" spans="3:20" x14ac:dyDescent="0.2">
      <c r="C2475" s="96" t="str">
        <f t="shared" si="152"/>
        <v>697</v>
      </c>
      <c r="D2475" s="73"/>
      <c r="E2475" s="100"/>
      <c r="F2475" s="101"/>
      <c r="G2475" s="96">
        <f t="shared" si="153"/>
        <v>697</v>
      </c>
      <c r="I2475" s="96"/>
      <c r="K2475" t="str">
        <f t="shared" si="154"/>
        <v>697</v>
      </c>
      <c r="M2475" s="72"/>
      <c r="O2475" s="96">
        <f t="shared" si="155"/>
        <v>697</v>
      </c>
      <c r="T2475" s="110"/>
    </row>
    <row r="2476" spans="3:20" x14ac:dyDescent="0.2">
      <c r="C2476" s="96" t="str">
        <f t="shared" si="152"/>
        <v>698</v>
      </c>
      <c r="D2476" s="73"/>
      <c r="E2476" s="100"/>
      <c r="F2476" s="101"/>
      <c r="G2476" s="96">
        <f t="shared" si="153"/>
        <v>698</v>
      </c>
      <c r="I2476" s="96"/>
      <c r="K2476" t="str">
        <f t="shared" si="154"/>
        <v>698</v>
      </c>
      <c r="M2476" s="72"/>
      <c r="O2476" s="96">
        <f t="shared" si="155"/>
        <v>698</v>
      </c>
      <c r="T2476" s="110"/>
    </row>
    <row r="2477" spans="3:20" x14ac:dyDescent="0.2">
      <c r="C2477" s="96" t="str">
        <f t="shared" si="152"/>
        <v>699</v>
      </c>
      <c r="D2477" s="73"/>
      <c r="E2477" s="100"/>
      <c r="F2477" s="101"/>
      <c r="G2477" s="96">
        <f t="shared" si="153"/>
        <v>699</v>
      </c>
      <c r="I2477" s="96"/>
      <c r="K2477" t="str">
        <f t="shared" si="154"/>
        <v>699</v>
      </c>
      <c r="M2477" s="72"/>
      <c r="O2477" s="96">
        <f t="shared" si="155"/>
        <v>699</v>
      </c>
      <c r="T2477" s="110"/>
    </row>
    <row r="2478" spans="3:20" x14ac:dyDescent="0.2">
      <c r="C2478" s="96" t="str">
        <f t="shared" si="152"/>
        <v>700</v>
      </c>
      <c r="D2478" s="73"/>
      <c r="E2478" s="100"/>
      <c r="F2478" s="101"/>
      <c r="G2478" s="96">
        <f t="shared" si="153"/>
        <v>700</v>
      </c>
      <c r="I2478" s="96"/>
      <c r="K2478" t="str">
        <f t="shared" si="154"/>
        <v>700</v>
      </c>
      <c r="M2478" s="72"/>
      <c r="O2478" s="96">
        <f t="shared" si="155"/>
        <v>700</v>
      </c>
      <c r="T2478" s="110"/>
    </row>
    <row r="2479" spans="3:20" x14ac:dyDescent="0.2">
      <c r="C2479" s="96" t="str">
        <f t="shared" si="152"/>
        <v>701</v>
      </c>
      <c r="D2479" s="73"/>
      <c r="E2479" s="100"/>
      <c r="F2479" s="101"/>
      <c r="G2479" s="96">
        <f t="shared" si="153"/>
        <v>701</v>
      </c>
      <c r="I2479" s="96"/>
      <c r="K2479" t="str">
        <f t="shared" si="154"/>
        <v>701</v>
      </c>
      <c r="M2479" s="72"/>
      <c r="O2479" s="96">
        <f t="shared" si="155"/>
        <v>701</v>
      </c>
      <c r="T2479" s="110"/>
    </row>
    <row r="2480" spans="3:20" x14ac:dyDescent="0.2">
      <c r="C2480" s="96" t="str">
        <f t="shared" si="152"/>
        <v>702</v>
      </c>
      <c r="D2480" s="73"/>
      <c r="E2480" s="100"/>
      <c r="F2480" s="101"/>
      <c r="G2480" s="96">
        <f t="shared" si="153"/>
        <v>702</v>
      </c>
      <c r="I2480" s="96"/>
      <c r="K2480" t="str">
        <f t="shared" si="154"/>
        <v>702</v>
      </c>
      <c r="M2480" s="72"/>
      <c r="O2480" s="96">
        <f t="shared" si="155"/>
        <v>702</v>
      </c>
      <c r="T2480" s="110"/>
    </row>
    <row r="2481" spans="3:20" x14ac:dyDescent="0.2">
      <c r="C2481" s="96" t="str">
        <f t="shared" si="152"/>
        <v>703</v>
      </c>
      <c r="D2481" s="73"/>
      <c r="E2481" s="100"/>
      <c r="F2481" s="101"/>
      <c r="G2481" s="96">
        <f t="shared" si="153"/>
        <v>703</v>
      </c>
      <c r="I2481" s="96"/>
      <c r="K2481" t="str">
        <f t="shared" si="154"/>
        <v>703</v>
      </c>
      <c r="M2481" s="72"/>
      <c r="O2481" s="96">
        <f t="shared" si="155"/>
        <v>703</v>
      </c>
      <c r="T2481" s="110"/>
    </row>
    <row r="2482" spans="3:20" x14ac:dyDescent="0.2">
      <c r="C2482" s="96" t="str">
        <f t="shared" si="152"/>
        <v>704</v>
      </c>
      <c r="D2482" s="73"/>
      <c r="E2482" s="100"/>
      <c r="F2482" s="101"/>
      <c r="G2482" s="96">
        <f t="shared" si="153"/>
        <v>704</v>
      </c>
      <c r="I2482" s="96"/>
      <c r="K2482" t="str">
        <f t="shared" si="154"/>
        <v>704</v>
      </c>
      <c r="M2482" s="72"/>
      <c r="O2482" s="96">
        <f t="shared" si="155"/>
        <v>704</v>
      </c>
      <c r="T2482" s="110"/>
    </row>
    <row r="2483" spans="3:20" x14ac:dyDescent="0.2">
      <c r="C2483" s="96" t="str">
        <f t="shared" si="152"/>
        <v>705</v>
      </c>
      <c r="D2483" s="73"/>
      <c r="E2483" s="100"/>
      <c r="F2483" s="101"/>
      <c r="G2483" s="96">
        <f t="shared" si="153"/>
        <v>705</v>
      </c>
      <c r="I2483" s="96"/>
      <c r="K2483" t="str">
        <f t="shared" si="154"/>
        <v>705</v>
      </c>
      <c r="M2483" s="72"/>
      <c r="O2483" s="96">
        <f t="shared" si="155"/>
        <v>705</v>
      </c>
      <c r="T2483" s="110"/>
    </row>
    <row r="2484" spans="3:20" x14ac:dyDescent="0.2">
      <c r="C2484" s="96" t="str">
        <f t="shared" si="152"/>
        <v>706</v>
      </c>
      <c r="D2484" s="73"/>
      <c r="E2484" s="100"/>
      <c r="F2484" s="101"/>
      <c r="G2484" s="96">
        <f t="shared" si="153"/>
        <v>706</v>
      </c>
      <c r="I2484" s="96"/>
      <c r="K2484" t="str">
        <f t="shared" si="154"/>
        <v>706</v>
      </c>
      <c r="M2484" s="72"/>
      <c r="O2484" s="96">
        <f t="shared" si="155"/>
        <v>706</v>
      </c>
      <c r="T2484" s="110"/>
    </row>
    <row r="2485" spans="3:20" x14ac:dyDescent="0.2">
      <c r="C2485" s="96" t="str">
        <f t="shared" si="152"/>
        <v>707</v>
      </c>
      <c r="D2485" s="73"/>
      <c r="E2485" s="100"/>
      <c r="F2485" s="101"/>
      <c r="G2485" s="96">
        <f t="shared" si="153"/>
        <v>707</v>
      </c>
      <c r="I2485" s="96"/>
      <c r="K2485" t="str">
        <f t="shared" si="154"/>
        <v>707</v>
      </c>
      <c r="M2485" s="72"/>
      <c r="O2485" s="96">
        <f t="shared" si="155"/>
        <v>707</v>
      </c>
      <c r="T2485" s="110"/>
    </row>
    <row r="2486" spans="3:20" x14ac:dyDescent="0.2">
      <c r="C2486" s="96" t="str">
        <f t="shared" si="152"/>
        <v>708</v>
      </c>
      <c r="D2486" s="73"/>
      <c r="E2486" s="100"/>
      <c r="F2486" s="101"/>
      <c r="G2486" s="96">
        <f t="shared" si="153"/>
        <v>708</v>
      </c>
      <c r="I2486" s="96"/>
      <c r="K2486" t="str">
        <f t="shared" si="154"/>
        <v>708</v>
      </c>
      <c r="M2486" s="72"/>
      <c r="O2486" s="96">
        <f t="shared" si="155"/>
        <v>708</v>
      </c>
      <c r="T2486" s="110"/>
    </row>
    <row r="2487" spans="3:20" x14ac:dyDescent="0.2">
      <c r="C2487" s="96" t="str">
        <f t="shared" si="152"/>
        <v>709</v>
      </c>
      <c r="D2487" s="73"/>
      <c r="E2487" s="100"/>
      <c r="F2487" s="101"/>
      <c r="G2487" s="96">
        <f t="shared" si="153"/>
        <v>709</v>
      </c>
      <c r="I2487" s="96"/>
      <c r="K2487" t="str">
        <f t="shared" si="154"/>
        <v>709</v>
      </c>
      <c r="M2487" s="72"/>
      <c r="O2487" s="96">
        <f t="shared" si="155"/>
        <v>709</v>
      </c>
      <c r="T2487" s="110"/>
    </row>
    <row r="2488" spans="3:20" x14ac:dyDescent="0.2">
      <c r="C2488" s="96" t="str">
        <f t="shared" si="152"/>
        <v>710</v>
      </c>
      <c r="D2488" s="73"/>
      <c r="E2488" s="100"/>
      <c r="F2488" s="101"/>
      <c r="G2488" s="96">
        <f t="shared" si="153"/>
        <v>710</v>
      </c>
      <c r="I2488" s="96"/>
      <c r="K2488" t="str">
        <f t="shared" si="154"/>
        <v>710</v>
      </c>
      <c r="M2488" s="72"/>
      <c r="O2488" s="96">
        <f t="shared" si="155"/>
        <v>710</v>
      </c>
      <c r="T2488" s="110"/>
    </row>
    <row r="2489" spans="3:20" x14ac:dyDescent="0.2">
      <c r="C2489" s="96" t="str">
        <f t="shared" si="152"/>
        <v>711</v>
      </c>
      <c r="D2489" s="73"/>
      <c r="E2489" s="100"/>
      <c r="F2489" s="101"/>
      <c r="G2489" s="96">
        <f t="shared" si="153"/>
        <v>711</v>
      </c>
      <c r="I2489" s="96"/>
      <c r="K2489" t="str">
        <f t="shared" si="154"/>
        <v>711</v>
      </c>
      <c r="M2489" s="72"/>
      <c r="O2489" s="96">
        <f t="shared" si="155"/>
        <v>711</v>
      </c>
      <c r="T2489" s="110"/>
    </row>
    <row r="2490" spans="3:20" x14ac:dyDescent="0.2">
      <c r="C2490" s="96" t="str">
        <f t="shared" si="152"/>
        <v>712</v>
      </c>
      <c r="D2490" s="73"/>
      <c r="E2490" s="100"/>
      <c r="F2490" s="101"/>
      <c r="G2490" s="96">
        <f t="shared" si="153"/>
        <v>712</v>
      </c>
      <c r="I2490" s="96"/>
      <c r="K2490" t="str">
        <f t="shared" si="154"/>
        <v>712</v>
      </c>
      <c r="M2490" s="72"/>
      <c r="O2490" s="96">
        <f t="shared" si="155"/>
        <v>712</v>
      </c>
      <c r="T2490" s="110"/>
    </row>
    <row r="2491" spans="3:20" x14ac:dyDescent="0.2">
      <c r="C2491" s="96" t="str">
        <f t="shared" si="152"/>
        <v>713</v>
      </c>
      <c r="D2491" s="73"/>
      <c r="E2491" s="100"/>
      <c r="F2491" s="101"/>
      <c r="G2491" s="96">
        <f t="shared" si="153"/>
        <v>713</v>
      </c>
      <c r="I2491" s="96"/>
      <c r="K2491" t="str">
        <f t="shared" si="154"/>
        <v>713</v>
      </c>
      <c r="M2491" s="72"/>
      <c r="O2491" s="96">
        <f t="shared" si="155"/>
        <v>713</v>
      </c>
      <c r="T2491" s="110"/>
    </row>
    <row r="2492" spans="3:20" x14ac:dyDescent="0.2">
      <c r="C2492" s="96" t="str">
        <f t="shared" si="152"/>
        <v>714</v>
      </c>
      <c r="D2492" s="73"/>
      <c r="E2492" s="100"/>
      <c r="F2492" s="101"/>
      <c r="G2492" s="96">
        <f t="shared" si="153"/>
        <v>714</v>
      </c>
      <c r="I2492" s="96"/>
      <c r="K2492" t="str">
        <f t="shared" si="154"/>
        <v>714</v>
      </c>
      <c r="M2492" s="72"/>
      <c r="O2492" s="96">
        <f t="shared" si="155"/>
        <v>714</v>
      </c>
      <c r="T2492" s="110"/>
    </row>
    <row r="2493" spans="3:20" x14ac:dyDescent="0.2">
      <c r="C2493" s="96" t="str">
        <f t="shared" si="152"/>
        <v>715</v>
      </c>
      <c r="D2493" s="73"/>
      <c r="E2493" s="100"/>
      <c r="F2493" s="101"/>
      <c r="G2493" s="96">
        <f t="shared" si="153"/>
        <v>715</v>
      </c>
      <c r="I2493" s="96"/>
      <c r="K2493" t="str">
        <f t="shared" si="154"/>
        <v>715</v>
      </c>
      <c r="M2493" s="72"/>
      <c r="O2493" s="96">
        <f t="shared" si="155"/>
        <v>715</v>
      </c>
      <c r="T2493" s="110"/>
    </row>
    <row r="2494" spans="3:20" x14ac:dyDescent="0.2">
      <c r="C2494" s="96" t="str">
        <f t="shared" si="152"/>
        <v>716</v>
      </c>
      <c r="D2494" s="73"/>
      <c r="E2494" s="100"/>
      <c r="F2494" s="101"/>
      <c r="G2494" s="96">
        <f t="shared" si="153"/>
        <v>716</v>
      </c>
      <c r="I2494" s="96"/>
      <c r="K2494" t="str">
        <f t="shared" si="154"/>
        <v>716</v>
      </c>
      <c r="M2494" s="72"/>
      <c r="O2494" s="96">
        <f t="shared" si="155"/>
        <v>716</v>
      </c>
      <c r="T2494" s="110"/>
    </row>
    <row r="2495" spans="3:20" x14ac:dyDescent="0.2">
      <c r="C2495" s="96" t="str">
        <f t="shared" si="152"/>
        <v>717</v>
      </c>
      <c r="D2495" s="73"/>
      <c r="E2495" s="100"/>
      <c r="F2495" s="101"/>
      <c r="G2495" s="96">
        <f t="shared" si="153"/>
        <v>717</v>
      </c>
      <c r="I2495" s="96"/>
      <c r="K2495" t="str">
        <f t="shared" si="154"/>
        <v>717</v>
      </c>
      <c r="M2495" s="72"/>
      <c r="O2495" s="96">
        <f t="shared" si="155"/>
        <v>717</v>
      </c>
      <c r="T2495" s="110"/>
    </row>
    <row r="2496" spans="3:20" x14ac:dyDescent="0.2">
      <c r="C2496" s="96" t="str">
        <f t="shared" si="152"/>
        <v>718</v>
      </c>
      <c r="D2496" s="73"/>
      <c r="E2496" s="100"/>
      <c r="F2496" s="101"/>
      <c r="G2496" s="96">
        <f t="shared" si="153"/>
        <v>718</v>
      </c>
      <c r="I2496" s="96"/>
      <c r="K2496" t="str">
        <f t="shared" si="154"/>
        <v>718</v>
      </c>
      <c r="M2496" s="72"/>
      <c r="O2496" s="96">
        <f t="shared" si="155"/>
        <v>718</v>
      </c>
      <c r="T2496" s="110"/>
    </row>
    <row r="2497" spans="3:20" x14ac:dyDescent="0.2">
      <c r="C2497" s="96" t="str">
        <f t="shared" si="152"/>
        <v>719</v>
      </c>
      <c r="D2497" s="73"/>
      <c r="E2497" s="100"/>
      <c r="F2497" s="101"/>
      <c r="G2497" s="96">
        <f t="shared" si="153"/>
        <v>719</v>
      </c>
      <c r="I2497" s="96"/>
      <c r="K2497" t="str">
        <f t="shared" si="154"/>
        <v>719</v>
      </c>
      <c r="M2497" s="72"/>
      <c r="O2497" s="96">
        <f t="shared" si="155"/>
        <v>719</v>
      </c>
      <c r="T2497" s="110"/>
    </row>
    <row r="2498" spans="3:20" x14ac:dyDescent="0.2">
      <c r="C2498" s="96" t="str">
        <f t="shared" si="152"/>
        <v>720</v>
      </c>
      <c r="D2498" s="73"/>
      <c r="E2498" s="100"/>
      <c r="F2498" s="101"/>
      <c r="G2498" s="96">
        <f t="shared" si="153"/>
        <v>720</v>
      </c>
      <c r="I2498" s="96"/>
      <c r="K2498" t="str">
        <f t="shared" si="154"/>
        <v>720</v>
      </c>
      <c r="M2498" s="72"/>
      <c r="O2498" s="96">
        <f t="shared" si="155"/>
        <v>720</v>
      </c>
      <c r="T2498" s="110"/>
    </row>
    <row r="2499" spans="3:20" x14ac:dyDescent="0.2">
      <c r="C2499" s="96" t="str">
        <f t="shared" ref="C2499:C2562" si="156">D2499&amp;G2499</f>
        <v>721</v>
      </c>
      <c r="D2499" s="73"/>
      <c r="E2499" s="100"/>
      <c r="F2499" s="101"/>
      <c r="G2499" s="96">
        <f t="shared" ref="G2499:G2562" si="157">IF(D2499&lt;&gt;D2498,1,G2498+1)</f>
        <v>721</v>
      </c>
      <c r="I2499" s="96"/>
      <c r="K2499" t="str">
        <f t="shared" ref="K2499:K2562" si="158">L2499&amp;O2499</f>
        <v>721</v>
      </c>
      <c r="M2499" s="72"/>
      <c r="O2499" s="96">
        <f t="shared" ref="O2499:O2562" si="159">IF(L2499&lt;&gt;L2498,1,O2498+1)</f>
        <v>721</v>
      </c>
      <c r="T2499" s="110"/>
    </row>
    <row r="2500" spans="3:20" x14ac:dyDescent="0.2">
      <c r="C2500" s="96" t="str">
        <f t="shared" si="156"/>
        <v>722</v>
      </c>
      <c r="D2500" s="73"/>
      <c r="E2500" s="100"/>
      <c r="F2500" s="101"/>
      <c r="G2500" s="96">
        <f t="shared" si="157"/>
        <v>722</v>
      </c>
      <c r="I2500" s="96"/>
      <c r="K2500" t="str">
        <f t="shared" si="158"/>
        <v>722</v>
      </c>
      <c r="M2500" s="72"/>
      <c r="O2500" s="96">
        <f t="shared" si="159"/>
        <v>722</v>
      </c>
      <c r="T2500" s="110"/>
    </row>
    <row r="2501" spans="3:20" x14ac:dyDescent="0.2">
      <c r="C2501" s="96" t="str">
        <f t="shared" si="156"/>
        <v>723</v>
      </c>
      <c r="D2501" s="73"/>
      <c r="E2501" s="100"/>
      <c r="F2501" s="101"/>
      <c r="G2501" s="96">
        <f t="shared" si="157"/>
        <v>723</v>
      </c>
      <c r="I2501" s="96"/>
      <c r="K2501" t="str">
        <f t="shared" si="158"/>
        <v>723</v>
      </c>
      <c r="M2501" s="72"/>
      <c r="O2501" s="96">
        <f t="shared" si="159"/>
        <v>723</v>
      </c>
      <c r="T2501" s="110"/>
    </row>
    <row r="2502" spans="3:20" x14ac:dyDescent="0.2">
      <c r="C2502" s="96" t="str">
        <f t="shared" si="156"/>
        <v>724</v>
      </c>
      <c r="D2502" s="73"/>
      <c r="E2502" s="100"/>
      <c r="F2502" s="101"/>
      <c r="G2502" s="96">
        <f t="shared" si="157"/>
        <v>724</v>
      </c>
      <c r="I2502" s="96"/>
      <c r="K2502" t="str">
        <f t="shared" si="158"/>
        <v>724</v>
      </c>
      <c r="M2502" s="72"/>
      <c r="O2502" s="96">
        <f t="shared" si="159"/>
        <v>724</v>
      </c>
      <c r="T2502" s="110"/>
    </row>
    <row r="2503" spans="3:20" x14ac:dyDescent="0.2">
      <c r="C2503" s="96" t="str">
        <f t="shared" si="156"/>
        <v>725</v>
      </c>
      <c r="D2503" s="73"/>
      <c r="E2503" s="100"/>
      <c r="F2503" s="101"/>
      <c r="G2503" s="96">
        <f t="shared" si="157"/>
        <v>725</v>
      </c>
      <c r="I2503" s="96"/>
      <c r="K2503" t="str">
        <f t="shared" si="158"/>
        <v>725</v>
      </c>
      <c r="M2503" s="72"/>
      <c r="O2503" s="96">
        <f t="shared" si="159"/>
        <v>725</v>
      </c>
      <c r="T2503" s="110"/>
    </row>
    <row r="2504" spans="3:20" x14ac:dyDescent="0.2">
      <c r="C2504" s="96" t="str">
        <f t="shared" si="156"/>
        <v>726</v>
      </c>
      <c r="D2504" s="73"/>
      <c r="E2504" s="100"/>
      <c r="F2504" s="101"/>
      <c r="G2504" s="96">
        <f t="shared" si="157"/>
        <v>726</v>
      </c>
      <c r="I2504" s="96"/>
      <c r="K2504" t="str">
        <f t="shared" si="158"/>
        <v>726</v>
      </c>
      <c r="M2504" s="72"/>
      <c r="O2504" s="96">
        <f t="shared" si="159"/>
        <v>726</v>
      </c>
      <c r="T2504" s="110"/>
    </row>
    <row r="2505" spans="3:20" x14ac:dyDescent="0.2">
      <c r="C2505" s="96" t="str">
        <f t="shared" si="156"/>
        <v>727</v>
      </c>
      <c r="D2505" s="73"/>
      <c r="E2505" s="100"/>
      <c r="F2505" s="101"/>
      <c r="G2505" s="96">
        <f t="shared" si="157"/>
        <v>727</v>
      </c>
      <c r="I2505" s="96"/>
      <c r="K2505" t="str">
        <f t="shared" si="158"/>
        <v>727</v>
      </c>
      <c r="M2505" s="72"/>
      <c r="O2505" s="96">
        <f t="shared" si="159"/>
        <v>727</v>
      </c>
      <c r="T2505" s="110"/>
    </row>
    <row r="2506" spans="3:20" x14ac:dyDescent="0.2">
      <c r="C2506" s="96" t="str">
        <f t="shared" si="156"/>
        <v>728</v>
      </c>
      <c r="D2506" s="73"/>
      <c r="E2506" s="100"/>
      <c r="F2506" s="101"/>
      <c r="G2506" s="96">
        <f t="shared" si="157"/>
        <v>728</v>
      </c>
      <c r="I2506" s="96"/>
      <c r="K2506" t="str">
        <f t="shared" si="158"/>
        <v>728</v>
      </c>
      <c r="M2506" s="72"/>
      <c r="O2506" s="96">
        <f t="shared" si="159"/>
        <v>728</v>
      </c>
    </row>
    <row r="2507" spans="3:20" x14ac:dyDescent="0.2">
      <c r="C2507" s="96" t="str">
        <f t="shared" si="156"/>
        <v>729</v>
      </c>
      <c r="D2507" s="73"/>
      <c r="E2507" s="100"/>
      <c r="F2507" s="101"/>
      <c r="G2507" s="96">
        <f t="shared" si="157"/>
        <v>729</v>
      </c>
      <c r="I2507" s="96"/>
      <c r="K2507" t="str">
        <f t="shared" si="158"/>
        <v>729</v>
      </c>
      <c r="M2507" s="72"/>
      <c r="O2507" s="96">
        <f t="shared" si="159"/>
        <v>729</v>
      </c>
      <c r="T2507" s="110"/>
    </row>
    <row r="2508" spans="3:20" x14ac:dyDescent="0.2">
      <c r="C2508" s="96" t="str">
        <f t="shared" si="156"/>
        <v>730</v>
      </c>
      <c r="D2508" s="73"/>
      <c r="E2508" s="100"/>
      <c r="F2508" s="101"/>
      <c r="G2508" s="96">
        <f t="shared" si="157"/>
        <v>730</v>
      </c>
      <c r="I2508" s="96"/>
      <c r="K2508" t="str">
        <f t="shared" si="158"/>
        <v>730</v>
      </c>
      <c r="M2508" s="72"/>
      <c r="O2508" s="96">
        <f t="shared" si="159"/>
        <v>730</v>
      </c>
      <c r="T2508" s="110"/>
    </row>
    <row r="2509" spans="3:20" x14ac:dyDescent="0.2">
      <c r="C2509" s="96" t="str">
        <f t="shared" si="156"/>
        <v>731</v>
      </c>
      <c r="D2509" s="73"/>
      <c r="E2509" s="100"/>
      <c r="F2509" s="101"/>
      <c r="G2509" s="96">
        <f t="shared" si="157"/>
        <v>731</v>
      </c>
      <c r="I2509" s="96"/>
      <c r="K2509" t="str">
        <f t="shared" si="158"/>
        <v>731</v>
      </c>
      <c r="M2509" s="72"/>
      <c r="O2509" s="96">
        <f t="shared" si="159"/>
        <v>731</v>
      </c>
      <c r="T2509" s="110"/>
    </row>
    <row r="2510" spans="3:20" x14ac:dyDescent="0.2">
      <c r="C2510" s="96" t="str">
        <f t="shared" si="156"/>
        <v>732</v>
      </c>
      <c r="D2510" s="73"/>
      <c r="E2510" s="100"/>
      <c r="F2510" s="101"/>
      <c r="G2510" s="96">
        <f t="shared" si="157"/>
        <v>732</v>
      </c>
      <c r="I2510" s="96"/>
      <c r="K2510" t="str">
        <f t="shared" si="158"/>
        <v>732</v>
      </c>
      <c r="M2510" s="72"/>
      <c r="O2510" s="96">
        <f t="shared" si="159"/>
        <v>732</v>
      </c>
      <c r="T2510" s="110"/>
    </row>
    <row r="2511" spans="3:20" x14ac:dyDescent="0.2">
      <c r="C2511" s="96" t="str">
        <f t="shared" si="156"/>
        <v>733</v>
      </c>
      <c r="D2511" s="73"/>
      <c r="E2511" s="100"/>
      <c r="F2511" s="101"/>
      <c r="G2511" s="96">
        <f t="shared" si="157"/>
        <v>733</v>
      </c>
      <c r="I2511" s="96"/>
      <c r="K2511" t="str">
        <f t="shared" si="158"/>
        <v>733</v>
      </c>
      <c r="M2511" s="72"/>
      <c r="O2511" s="96">
        <f t="shared" si="159"/>
        <v>733</v>
      </c>
      <c r="T2511" s="110"/>
    </row>
    <row r="2512" spans="3:20" x14ac:dyDescent="0.2">
      <c r="C2512" s="96" t="str">
        <f t="shared" si="156"/>
        <v>734</v>
      </c>
      <c r="D2512" s="73"/>
      <c r="E2512" s="100"/>
      <c r="F2512" s="101"/>
      <c r="G2512" s="96">
        <f t="shared" si="157"/>
        <v>734</v>
      </c>
      <c r="I2512" s="96"/>
      <c r="K2512" t="str">
        <f t="shared" si="158"/>
        <v>734</v>
      </c>
      <c r="M2512" s="72"/>
      <c r="O2512" s="96">
        <f t="shared" si="159"/>
        <v>734</v>
      </c>
      <c r="T2512" s="110"/>
    </row>
    <row r="2513" spans="3:20" x14ac:dyDescent="0.2">
      <c r="C2513" s="96" t="str">
        <f t="shared" si="156"/>
        <v>735</v>
      </c>
      <c r="D2513" s="73"/>
      <c r="E2513" s="100"/>
      <c r="F2513" s="101"/>
      <c r="G2513" s="96">
        <f t="shared" si="157"/>
        <v>735</v>
      </c>
      <c r="I2513" s="96"/>
      <c r="K2513" t="str">
        <f t="shared" si="158"/>
        <v>735</v>
      </c>
      <c r="M2513" s="72"/>
      <c r="O2513" s="96">
        <f t="shared" si="159"/>
        <v>735</v>
      </c>
      <c r="T2513" s="110"/>
    </row>
    <row r="2514" spans="3:20" x14ac:dyDescent="0.2">
      <c r="C2514" s="96" t="str">
        <f t="shared" si="156"/>
        <v>736</v>
      </c>
      <c r="D2514" s="73"/>
      <c r="E2514" s="100"/>
      <c r="F2514" s="101"/>
      <c r="G2514" s="96">
        <f t="shared" si="157"/>
        <v>736</v>
      </c>
      <c r="I2514" s="96"/>
      <c r="K2514" t="str">
        <f t="shared" si="158"/>
        <v>736</v>
      </c>
      <c r="M2514" s="72"/>
      <c r="O2514" s="96">
        <f t="shared" si="159"/>
        <v>736</v>
      </c>
      <c r="T2514" s="110"/>
    </row>
    <row r="2515" spans="3:20" x14ac:dyDescent="0.2">
      <c r="C2515" s="96" t="str">
        <f t="shared" si="156"/>
        <v>737</v>
      </c>
      <c r="D2515" s="73"/>
      <c r="E2515" s="100"/>
      <c r="F2515" s="101"/>
      <c r="G2515" s="96">
        <f t="shared" si="157"/>
        <v>737</v>
      </c>
      <c r="I2515" s="96"/>
      <c r="K2515" t="str">
        <f t="shared" si="158"/>
        <v>737</v>
      </c>
      <c r="M2515" s="72"/>
      <c r="O2515" s="96">
        <f t="shared" si="159"/>
        <v>737</v>
      </c>
      <c r="T2515" s="110"/>
    </row>
    <row r="2516" spans="3:20" x14ac:dyDescent="0.2">
      <c r="C2516" s="96" t="str">
        <f t="shared" si="156"/>
        <v>738</v>
      </c>
      <c r="D2516" s="73"/>
      <c r="E2516" s="100"/>
      <c r="F2516" s="101"/>
      <c r="G2516" s="96">
        <f t="shared" si="157"/>
        <v>738</v>
      </c>
      <c r="I2516" s="96"/>
      <c r="K2516" t="str">
        <f t="shared" si="158"/>
        <v>738</v>
      </c>
      <c r="M2516" s="72"/>
      <c r="O2516" s="96">
        <f t="shared" si="159"/>
        <v>738</v>
      </c>
      <c r="T2516" s="110"/>
    </row>
    <row r="2517" spans="3:20" x14ac:dyDescent="0.2">
      <c r="C2517" s="96" t="str">
        <f t="shared" si="156"/>
        <v>739</v>
      </c>
      <c r="D2517" s="73"/>
      <c r="E2517" s="100"/>
      <c r="F2517" s="101"/>
      <c r="G2517" s="96">
        <f t="shared" si="157"/>
        <v>739</v>
      </c>
      <c r="I2517" s="96"/>
      <c r="K2517" t="str">
        <f t="shared" si="158"/>
        <v>739</v>
      </c>
      <c r="M2517" s="72"/>
      <c r="O2517" s="96">
        <f t="shared" si="159"/>
        <v>739</v>
      </c>
      <c r="T2517" s="110"/>
    </row>
    <row r="2518" spans="3:20" x14ac:dyDescent="0.2">
      <c r="C2518" s="96" t="str">
        <f t="shared" si="156"/>
        <v>740</v>
      </c>
      <c r="D2518" s="73"/>
      <c r="E2518" s="100"/>
      <c r="F2518" s="101"/>
      <c r="G2518" s="96">
        <f t="shared" si="157"/>
        <v>740</v>
      </c>
      <c r="I2518" s="96"/>
      <c r="K2518" t="str">
        <f t="shared" si="158"/>
        <v>740</v>
      </c>
      <c r="M2518" s="72"/>
      <c r="O2518" s="96">
        <f t="shared" si="159"/>
        <v>740</v>
      </c>
      <c r="T2518" s="110"/>
    </row>
    <row r="2519" spans="3:20" x14ac:dyDescent="0.2">
      <c r="C2519" s="96" t="str">
        <f t="shared" si="156"/>
        <v>741</v>
      </c>
      <c r="D2519" s="73"/>
      <c r="E2519" s="100"/>
      <c r="F2519" s="101"/>
      <c r="G2519" s="96">
        <f t="shared" si="157"/>
        <v>741</v>
      </c>
      <c r="I2519" s="96"/>
      <c r="K2519" t="str">
        <f t="shared" si="158"/>
        <v>741</v>
      </c>
      <c r="M2519" s="72"/>
      <c r="O2519" s="96">
        <f t="shared" si="159"/>
        <v>741</v>
      </c>
      <c r="T2519" s="110"/>
    </row>
    <row r="2520" spans="3:20" x14ac:dyDescent="0.2">
      <c r="C2520" s="96" t="str">
        <f t="shared" si="156"/>
        <v>742</v>
      </c>
      <c r="D2520" s="73"/>
      <c r="E2520" s="100"/>
      <c r="F2520" s="101"/>
      <c r="G2520" s="96">
        <f t="shared" si="157"/>
        <v>742</v>
      </c>
      <c r="I2520" s="96"/>
      <c r="K2520" t="str">
        <f t="shared" si="158"/>
        <v>742</v>
      </c>
      <c r="M2520" s="72"/>
      <c r="O2520" s="96">
        <f t="shared" si="159"/>
        <v>742</v>
      </c>
      <c r="T2520" s="110"/>
    </row>
    <row r="2521" spans="3:20" x14ac:dyDescent="0.2">
      <c r="C2521" s="96" t="str">
        <f t="shared" si="156"/>
        <v>743</v>
      </c>
      <c r="D2521" s="73"/>
      <c r="E2521" s="100"/>
      <c r="F2521" s="101"/>
      <c r="G2521" s="96">
        <f t="shared" si="157"/>
        <v>743</v>
      </c>
      <c r="I2521" s="96"/>
      <c r="K2521" t="str">
        <f t="shared" si="158"/>
        <v>743</v>
      </c>
      <c r="M2521" s="72"/>
      <c r="O2521" s="96">
        <f t="shared" si="159"/>
        <v>743</v>
      </c>
      <c r="T2521" s="110"/>
    </row>
    <row r="2522" spans="3:20" x14ac:dyDescent="0.2">
      <c r="C2522" s="96" t="str">
        <f t="shared" si="156"/>
        <v>744</v>
      </c>
      <c r="D2522" s="73"/>
      <c r="E2522" s="100"/>
      <c r="F2522" s="101"/>
      <c r="G2522" s="96">
        <f t="shared" si="157"/>
        <v>744</v>
      </c>
      <c r="I2522" s="96"/>
      <c r="K2522" t="str">
        <f t="shared" si="158"/>
        <v>744</v>
      </c>
      <c r="M2522" s="72"/>
      <c r="O2522" s="96">
        <f t="shared" si="159"/>
        <v>744</v>
      </c>
      <c r="T2522" s="110"/>
    </row>
    <row r="2523" spans="3:20" x14ac:dyDescent="0.2">
      <c r="C2523" s="96" t="str">
        <f t="shared" si="156"/>
        <v>745</v>
      </c>
      <c r="D2523" s="73"/>
      <c r="E2523" s="100"/>
      <c r="F2523" s="101"/>
      <c r="G2523" s="96">
        <f t="shared" si="157"/>
        <v>745</v>
      </c>
      <c r="I2523" s="96"/>
      <c r="K2523" t="str">
        <f t="shared" si="158"/>
        <v>745</v>
      </c>
      <c r="M2523" s="72"/>
      <c r="O2523" s="96">
        <f t="shared" si="159"/>
        <v>745</v>
      </c>
      <c r="T2523" s="110"/>
    </row>
    <row r="2524" spans="3:20" x14ac:dyDescent="0.2">
      <c r="C2524" s="96" t="str">
        <f t="shared" si="156"/>
        <v>746</v>
      </c>
      <c r="D2524" s="73"/>
      <c r="E2524" s="100"/>
      <c r="F2524" s="101"/>
      <c r="G2524" s="96">
        <f t="shared" si="157"/>
        <v>746</v>
      </c>
      <c r="I2524" s="96"/>
      <c r="K2524" t="str">
        <f t="shared" si="158"/>
        <v>746</v>
      </c>
      <c r="M2524" s="72"/>
      <c r="O2524" s="96">
        <f t="shared" si="159"/>
        <v>746</v>
      </c>
      <c r="T2524" s="110"/>
    </row>
    <row r="2525" spans="3:20" x14ac:dyDescent="0.2">
      <c r="C2525" s="96" t="str">
        <f t="shared" si="156"/>
        <v>747</v>
      </c>
      <c r="D2525" s="73"/>
      <c r="E2525" s="100"/>
      <c r="F2525" s="101"/>
      <c r="G2525" s="96">
        <f t="shared" si="157"/>
        <v>747</v>
      </c>
      <c r="I2525" s="96"/>
      <c r="K2525" t="str">
        <f t="shared" si="158"/>
        <v>747</v>
      </c>
      <c r="M2525" s="72"/>
      <c r="O2525" s="96">
        <f t="shared" si="159"/>
        <v>747</v>
      </c>
      <c r="T2525" s="110"/>
    </row>
    <row r="2526" spans="3:20" x14ac:dyDescent="0.2">
      <c r="C2526" s="96" t="str">
        <f t="shared" si="156"/>
        <v>748</v>
      </c>
      <c r="D2526" s="73"/>
      <c r="E2526" s="100"/>
      <c r="F2526" s="101"/>
      <c r="G2526" s="96">
        <f t="shared" si="157"/>
        <v>748</v>
      </c>
      <c r="I2526" s="96"/>
      <c r="K2526" t="str">
        <f t="shared" si="158"/>
        <v>748</v>
      </c>
      <c r="M2526" s="72"/>
      <c r="O2526" s="96">
        <f t="shared" si="159"/>
        <v>748</v>
      </c>
      <c r="T2526" s="110"/>
    </row>
    <row r="2527" spans="3:20" x14ac:dyDescent="0.2">
      <c r="C2527" s="96" t="str">
        <f t="shared" si="156"/>
        <v>749</v>
      </c>
      <c r="D2527" s="73"/>
      <c r="E2527" s="100"/>
      <c r="F2527" s="101"/>
      <c r="G2527" s="96">
        <f t="shared" si="157"/>
        <v>749</v>
      </c>
      <c r="I2527" s="96"/>
      <c r="K2527" t="str">
        <f t="shared" si="158"/>
        <v>749</v>
      </c>
      <c r="M2527" s="72"/>
      <c r="O2527" s="96">
        <f t="shared" si="159"/>
        <v>749</v>
      </c>
      <c r="T2527" s="110"/>
    </row>
    <row r="2528" spans="3:20" x14ac:dyDescent="0.2">
      <c r="C2528" s="96" t="str">
        <f t="shared" si="156"/>
        <v>750</v>
      </c>
      <c r="D2528" s="73"/>
      <c r="E2528" s="100"/>
      <c r="F2528" s="101"/>
      <c r="G2528" s="96">
        <f t="shared" si="157"/>
        <v>750</v>
      </c>
      <c r="I2528" s="96"/>
      <c r="K2528" t="str">
        <f t="shared" si="158"/>
        <v>750</v>
      </c>
      <c r="M2528" s="72"/>
      <c r="O2528" s="96">
        <f t="shared" si="159"/>
        <v>750</v>
      </c>
      <c r="T2528" s="110"/>
    </row>
    <row r="2529" spans="3:20" x14ac:dyDescent="0.2">
      <c r="C2529" s="96" t="str">
        <f t="shared" si="156"/>
        <v>751</v>
      </c>
      <c r="D2529" s="73"/>
      <c r="E2529" s="100"/>
      <c r="F2529" s="101"/>
      <c r="G2529" s="96">
        <f t="shared" si="157"/>
        <v>751</v>
      </c>
      <c r="I2529" s="96"/>
      <c r="K2529" t="str">
        <f t="shared" si="158"/>
        <v>751</v>
      </c>
      <c r="M2529" s="72"/>
      <c r="O2529" s="96">
        <f t="shared" si="159"/>
        <v>751</v>
      </c>
      <c r="T2529" s="110"/>
    </row>
    <row r="2530" spans="3:20" x14ac:dyDescent="0.2">
      <c r="C2530" s="96" t="str">
        <f t="shared" si="156"/>
        <v>752</v>
      </c>
      <c r="D2530" s="73"/>
      <c r="E2530" s="100"/>
      <c r="F2530" s="101"/>
      <c r="G2530" s="96">
        <f t="shared" si="157"/>
        <v>752</v>
      </c>
      <c r="I2530" s="96"/>
      <c r="K2530" t="str">
        <f t="shared" si="158"/>
        <v>752</v>
      </c>
      <c r="M2530" s="72"/>
      <c r="O2530" s="96">
        <f t="shared" si="159"/>
        <v>752</v>
      </c>
      <c r="T2530" s="110"/>
    </row>
    <row r="2531" spans="3:20" x14ac:dyDescent="0.2">
      <c r="C2531" s="96" t="str">
        <f t="shared" si="156"/>
        <v>753</v>
      </c>
      <c r="D2531" s="73"/>
      <c r="E2531" s="100"/>
      <c r="F2531" s="101"/>
      <c r="G2531" s="96">
        <f t="shared" si="157"/>
        <v>753</v>
      </c>
      <c r="I2531" s="96"/>
      <c r="K2531" t="str">
        <f t="shared" si="158"/>
        <v>753</v>
      </c>
      <c r="M2531" s="72"/>
      <c r="O2531" s="96">
        <f t="shared" si="159"/>
        <v>753</v>
      </c>
      <c r="T2531" s="110"/>
    </row>
    <row r="2532" spans="3:20" x14ac:dyDescent="0.2">
      <c r="C2532" s="96" t="str">
        <f t="shared" si="156"/>
        <v>754</v>
      </c>
      <c r="D2532" s="73"/>
      <c r="E2532" s="100"/>
      <c r="F2532" s="101"/>
      <c r="G2532" s="96">
        <f t="shared" si="157"/>
        <v>754</v>
      </c>
      <c r="I2532" s="96"/>
      <c r="K2532" t="str">
        <f t="shared" si="158"/>
        <v>754</v>
      </c>
      <c r="M2532" s="72"/>
      <c r="O2532" s="96">
        <f t="shared" si="159"/>
        <v>754</v>
      </c>
      <c r="T2532" s="110"/>
    </row>
    <row r="2533" spans="3:20" x14ac:dyDescent="0.2">
      <c r="C2533" s="96" t="str">
        <f t="shared" si="156"/>
        <v>755</v>
      </c>
      <c r="D2533" s="73"/>
      <c r="E2533" s="100"/>
      <c r="F2533" s="101"/>
      <c r="G2533" s="96">
        <f t="shared" si="157"/>
        <v>755</v>
      </c>
      <c r="I2533" s="96"/>
      <c r="K2533" t="str">
        <f t="shared" si="158"/>
        <v>755</v>
      </c>
      <c r="M2533" s="72"/>
      <c r="O2533" s="96">
        <f t="shared" si="159"/>
        <v>755</v>
      </c>
      <c r="T2533" s="110"/>
    </row>
    <row r="2534" spans="3:20" x14ac:dyDescent="0.2">
      <c r="C2534" s="96" t="str">
        <f t="shared" si="156"/>
        <v>756</v>
      </c>
      <c r="D2534" s="73"/>
      <c r="E2534" s="100"/>
      <c r="F2534" s="101"/>
      <c r="G2534" s="96">
        <f t="shared" si="157"/>
        <v>756</v>
      </c>
      <c r="I2534" s="96"/>
      <c r="K2534" t="str">
        <f t="shared" si="158"/>
        <v>756</v>
      </c>
      <c r="M2534" s="72"/>
      <c r="O2534" s="96">
        <f t="shared" si="159"/>
        <v>756</v>
      </c>
      <c r="T2534" s="110"/>
    </row>
    <row r="2535" spans="3:20" x14ac:dyDescent="0.2">
      <c r="C2535" s="96" t="str">
        <f t="shared" si="156"/>
        <v>757</v>
      </c>
      <c r="D2535" s="73"/>
      <c r="E2535" s="100"/>
      <c r="F2535" s="101"/>
      <c r="G2535" s="96">
        <f t="shared" si="157"/>
        <v>757</v>
      </c>
      <c r="I2535" s="96"/>
      <c r="K2535" t="str">
        <f t="shared" si="158"/>
        <v>757</v>
      </c>
      <c r="M2535" s="72"/>
      <c r="O2535" s="96">
        <f t="shared" si="159"/>
        <v>757</v>
      </c>
      <c r="T2535" s="110"/>
    </row>
    <row r="2536" spans="3:20" x14ac:dyDescent="0.2">
      <c r="C2536" s="96" t="str">
        <f t="shared" si="156"/>
        <v>758</v>
      </c>
      <c r="D2536" s="73"/>
      <c r="E2536" s="100"/>
      <c r="F2536" s="101"/>
      <c r="G2536" s="96">
        <f t="shared" si="157"/>
        <v>758</v>
      </c>
      <c r="I2536" s="96"/>
      <c r="K2536" t="str">
        <f t="shared" si="158"/>
        <v>758</v>
      </c>
      <c r="M2536" s="72"/>
      <c r="O2536" s="96">
        <f t="shared" si="159"/>
        <v>758</v>
      </c>
      <c r="T2536" s="110"/>
    </row>
    <row r="2537" spans="3:20" x14ac:dyDescent="0.2">
      <c r="C2537" s="96" t="str">
        <f t="shared" si="156"/>
        <v>759</v>
      </c>
      <c r="D2537" s="73"/>
      <c r="E2537" s="100"/>
      <c r="F2537" s="101"/>
      <c r="G2537" s="96">
        <f t="shared" si="157"/>
        <v>759</v>
      </c>
      <c r="I2537" s="96"/>
      <c r="K2537" t="str">
        <f t="shared" si="158"/>
        <v>759</v>
      </c>
      <c r="M2537" s="72"/>
      <c r="O2537" s="96">
        <f t="shared" si="159"/>
        <v>759</v>
      </c>
      <c r="T2537" s="110"/>
    </row>
    <row r="2538" spans="3:20" x14ac:dyDescent="0.2">
      <c r="C2538" s="96" t="str">
        <f t="shared" si="156"/>
        <v>760</v>
      </c>
      <c r="D2538" s="73"/>
      <c r="E2538" s="100"/>
      <c r="F2538" s="101"/>
      <c r="G2538" s="96">
        <f t="shared" si="157"/>
        <v>760</v>
      </c>
      <c r="I2538" s="96"/>
      <c r="K2538" t="str">
        <f t="shared" si="158"/>
        <v>760</v>
      </c>
      <c r="M2538" s="72"/>
      <c r="O2538" s="96">
        <f t="shared" si="159"/>
        <v>760</v>
      </c>
      <c r="T2538" s="110"/>
    </row>
    <row r="2539" spans="3:20" x14ac:dyDescent="0.2">
      <c r="C2539" s="96" t="str">
        <f t="shared" si="156"/>
        <v>761</v>
      </c>
      <c r="D2539" s="73"/>
      <c r="E2539" s="100"/>
      <c r="F2539" s="101"/>
      <c r="G2539" s="96">
        <f t="shared" si="157"/>
        <v>761</v>
      </c>
      <c r="I2539" s="96"/>
      <c r="K2539" t="str">
        <f t="shared" si="158"/>
        <v>761</v>
      </c>
      <c r="M2539" s="72"/>
      <c r="O2539" s="96">
        <f t="shared" si="159"/>
        <v>761</v>
      </c>
      <c r="T2539" s="110"/>
    </row>
    <row r="2540" spans="3:20" x14ac:dyDescent="0.2">
      <c r="C2540" s="96" t="str">
        <f t="shared" si="156"/>
        <v>762</v>
      </c>
      <c r="D2540" s="73"/>
      <c r="E2540" s="100"/>
      <c r="F2540" s="101"/>
      <c r="G2540" s="96">
        <f t="shared" si="157"/>
        <v>762</v>
      </c>
      <c r="I2540" s="96"/>
      <c r="K2540" t="str">
        <f t="shared" si="158"/>
        <v>762</v>
      </c>
      <c r="M2540" s="72"/>
      <c r="O2540" s="96">
        <f t="shared" si="159"/>
        <v>762</v>
      </c>
      <c r="T2540" s="110"/>
    </row>
    <row r="2541" spans="3:20" x14ac:dyDescent="0.2">
      <c r="C2541" s="96" t="str">
        <f t="shared" si="156"/>
        <v>763</v>
      </c>
      <c r="D2541" s="73"/>
      <c r="E2541" s="100"/>
      <c r="F2541" s="101"/>
      <c r="G2541" s="96">
        <f t="shared" si="157"/>
        <v>763</v>
      </c>
      <c r="I2541" s="96"/>
      <c r="K2541" t="str">
        <f t="shared" si="158"/>
        <v>763</v>
      </c>
      <c r="M2541" s="72"/>
      <c r="O2541" s="96">
        <f t="shared" si="159"/>
        <v>763</v>
      </c>
      <c r="T2541" s="110"/>
    </row>
    <row r="2542" spans="3:20" x14ac:dyDescent="0.2">
      <c r="C2542" s="96" t="str">
        <f t="shared" si="156"/>
        <v>764</v>
      </c>
      <c r="D2542" s="73"/>
      <c r="E2542" s="100"/>
      <c r="F2542" s="101"/>
      <c r="G2542" s="96">
        <f t="shared" si="157"/>
        <v>764</v>
      </c>
      <c r="I2542" s="96"/>
      <c r="K2542" t="str">
        <f t="shared" si="158"/>
        <v>764</v>
      </c>
      <c r="M2542" s="72"/>
      <c r="O2542" s="96">
        <f t="shared" si="159"/>
        <v>764</v>
      </c>
      <c r="T2542" s="110"/>
    </row>
    <row r="2543" spans="3:20" x14ac:dyDescent="0.2">
      <c r="C2543" s="96" t="str">
        <f t="shared" si="156"/>
        <v>765</v>
      </c>
      <c r="D2543" s="73"/>
      <c r="E2543" s="100"/>
      <c r="F2543" s="101"/>
      <c r="G2543" s="96">
        <f t="shared" si="157"/>
        <v>765</v>
      </c>
      <c r="I2543" s="96"/>
      <c r="K2543" t="str">
        <f t="shared" si="158"/>
        <v>765</v>
      </c>
      <c r="M2543" s="72"/>
      <c r="O2543" s="96">
        <f t="shared" si="159"/>
        <v>765</v>
      </c>
      <c r="T2543" s="110"/>
    </row>
    <row r="2544" spans="3:20" x14ac:dyDescent="0.2">
      <c r="C2544" s="96" t="str">
        <f t="shared" si="156"/>
        <v>766</v>
      </c>
      <c r="D2544" s="73"/>
      <c r="E2544" s="100"/>
      <c r="F2544" s="101"/>
      <c r="G2544" s="96">
        <f t="shared" si="157"/>
        <v>766</v>
      </c>
      <c r="I2544" s="96"/>
      <c r="K2544" t="str">
        <f t="shared" si="158"/>
        <v>766</v>
      </c>
      <c r="M2544" s="72"/>
      <c r="O2544" s="96">
        <f t="shared" si="159"/>
        <v>766</v>
      </c>
      <c r="T2544" s="110"/>
    </row>
    <row r="2545" spans="3:20" x14ac:dyDescent="0.2">
      <c r="C2545" s="96" t="str">
        <f t="shared" si="156"/>
        <v>767</v>
      </c>
      <c r="D2545" s="73"/>
      <c r="E2545" s="100"/>
      <c r="F2545" s="101"/>
      <c r="G2545" s="96">
        <f t="shared" si="157"/>
        <v>767</v>
      </c>
      <c r="I2545" s="96"/>
      <c r="K2545" t="str">
        <f t="shared" si="158"/>
        <v>767</v>
      </c>
      <c r="M2545" s="72"/>
      <c r="O2545" s="96">
        <f t="shared" si="159"/>
        <v>767</v>
      </c>
      <c r="T2545" s="110"/>
    </row>
    <row r="2546" spans="3:20" x14ac:dyDescent="0.2">
      <c r="C2546" s="96" t="str">
        <f t="shared" si="156"/>
        <v>768</v>
      </c>
      <c r="D2546" s="73"/>
      <c r="E2546" s="100"/>
      <c r="F2546" s="101"/>
      <c r="G2546" s="96">
        <f t="shared" si="157"/>
        <v>768</v>
      </c>
      <c r="I2546" s="96"/>
      <c r="K2546" t="str">
        <f t="shared" si="158"/>
        <v>768</v>
      </c>
      <c r="M2546" s="72"/>
      <c r="O2546" s="96">
        <f t="shared" si="159"/>
        <v>768</v>
      </c>
      <c r="T2546" s="110"/>
    </row>
    <row r="2547" spans="3:20" x14ac:dyDescent="0.2">
      <c r="C2547" s="96" t="str">
        <f t="shared" si="156"/>
        <v>769</v>
      </c>
      <c r="D2547" s="73"/>
      <c r="E2547" s="100"/>
      <c r="F2547" s="101"/>
      <c r="G2547" s="96">
        <f t="shared" si="157"/>
        <v>769</v>
      </c>
      <c r="I2547" s="96"/>
      <c r="K2547" t="str">
        <f t="shared" si="158"/>
        <v>769</v>
      </c>
      <c r="M2547" s="72"/>
      <c r="O2547" s="96">
        <f t="shared" si="159"/>
        <v>769</v>
      </c>
      <c r="T2547" s="110"/>
    </row>
    <row r="2548" spans="3:20" x14ac:dyDescent="0.2">
      <c r="C2548" s="96" t="str">
        <f t="shared" si="156"/>
        <v>770</v>
      </c>
      <c r="D2548" s="73"/>
      <c r="E2548" s="100"/>
      <c r="F2548" s="101"/>
      <c r="G2548" s="96">
        <f t="shared" si="157"/>
        <v>770</v>
      </c>
      <c r="I2548" s="96"/>
      <c r="K2548" t="str">
        <f t="shared" si="158"/>
        <v>770</v>
      </c>
      <c r="M2548" s="72"/>
      <c r="O2548" s="96">
        <f t="shared" si="159"/>
        <v>770</v>
      </c>
      <c r="T2548" s="110"/>
    </row>
    <row r="2549" spans="3:20" x14ac:dyDescent="0.2">
      <c r="C2549" s="96" t="str">
        <f t="shared" si="156"/>
        <v>771</v>
      </c>
      <c r="D2549" s="73"/>
      <c r="E2549" s="100"/>
      <c r="F2549" s="101"/>
      <c r="G2549" s="96">
        <f t="shared" si="157"/>
        <v>771</v>
      </c>
      <c r="I2549" s="96"/>
      <c r="K2549" t="str">
        <f t="shared" si="158"/>
        <v>771</v>
      </c>
      <c r="M2549" s="72"/>
      <c r="O2549" s="96">
        <f t="shared" si="159"/>
        <v>771</v>
      </c>
      <c r="T2549" s="110"/>
    </row>
    <row r="2550" spans="3:20" x14ac:dyDescent="0.2">
      <c r="C2550" s="96" t="str">
        <f t="shared" si="156"/>
        <v>772</v>
      </c>
      <c r="D2550" s="73"/>
      <c r="E2550" s="100"/>
      <c r="F2550" s="101"/>
      <c r="G2550" s="96">
        <f t="shared" si="157"/>
        <v>772</v>
      </c>
      <c r="I2550" s="96"/>
      <c r="K2550" t="str">
        <f t="shared" si="158"/>
        <v>772</v>
      </c>
      <c r="M2550" s="72"/>
      <c r="O2550" s="96">
        <f t="shared" si="159"/>
        <v>772</v>
      </c>
      <c r="T2550" s="110"/>
    </row>
    <row r="2551" spans="3:20" x14ac:dyDescent="0.2">
      <c r="C2551" s="96" t="str">
        <f t="shared" si="156"/>
        <v>773</v>
      </c>
      <c r="D2551" s="73"/>
      <c r="E2551" s="100"/>
      <c r="F2551" s="101"/>
      <c r="G2551" s="96">
        <f t="shared" si="157"/>
        <v>773</v>
      </c>
      <c r="I2551" s="96"/>
      <c r="K2551" t="str">
        <f t="shared" si="158"/>
        <v>773</v>
      </c>
      <c r="M2551" s="72"/>
      <c r="O2551" s="96">
        <f t="shared" si="159"/>
        <v>773</v>
      </c>
      <c r="T2551" s="110"/>
    </row>
    <row r="2552" spans="3:20" x14ac:dyDescent="0.2">
      <c r="C2552" s="96" t="str">
        <f t="shared" si="156"/>
        <v>774</v>
      </c>
      <c r="D2552" s="73"/>
      <c r="E2552" s="100"/>
      <c r="F2552" s="101"/>
      <c r="G2552" s="96">
        <f t="shared" si="157"/>
        <v>774</v>
      </c>
      <c r="I2552" s="96"/>
      <c r="K2552" t="str">
        <f t="shared" si="158"/>
        <v>774</v>
      </c>
      <c r="M2552" s="72"/>
      <c r="O2552" s="96">
        <f t="shared" si="159"/>
        <v>774</v>
      </c>
      <c r="T2552" s="110"/>
    </row>
    <row r="2553" spans="3:20" x14ac:dyDescent="0.2">
      <c r="C2553" s="96" t="str">
        <f t="shared" si="156"/>
        <v>775</v>
      </c>
      <c r="D2553" s="73"/>
      <c r="E2553" s="100"/>
      <c r="F2553" s="101"/>
      <c r="G2553" s="96">
        <f t="shared" si="157"/>
        <v>775</v>
      </c>
      <c r="I2553" s="96"/>
      <c r="K2553" t="str">
        <f t="shared" si="158"/>
        <v>775</v>
      </c>
      <c r="M2553" s="72"/>
      <c r="O2553" s="96">
        <f t="shared" si="159"/>
        <v>775</v>
      </c>
      <c r="T2553" s="110"/>
    </row>
    <row r="2554" spans="3:20" x14ac:dyDescent="0.2">
      <c r="C2554" s="96" t="str">
        <f t="shared" si="156"/>
        <v>776</v>
      </c>
      <c r="D2554" s="73"/>
      <c r="E2554" s="100"/>
      <c r="F2554" s="101"/>
      <c r="G2554" s="96">
        <f t="shared" si="157"/>
        <v>776</v>
      </c>
      <c r="I2554" s="96"/>
      <c r="K2554" t="str">
        <f t="shared" si="158"/>
        <v>776</v>
      </c>
      <c r="M2554" s="72"/>
      <c r="O2554" s="96">
        <f t="shared" si="159"/>
        <v>776</v>
      </c>
      <c r="T2554" s="110"/>
    </row>
    <row r="2555" spans="3:20" x14ac:dyDescent="0.2">
      <c r="C2555" s="96" t="str">
        <f t="shared" si="156"/>
        <v>777</v>
      </c>
      <c r="D2555" s="73"/>
      <c r="E2555" s="100"/>
      <c r="F2555" s="101"/>
      <c r="G2555" s="96">
        <f t="shared" si="157"/>
        <v>777</v>
      </c>
      <c r="I2555" s="96"/>
      <c r="K2555" t="str">
        <f t="shared" si="158"/>
        <v>777</v>
      </c>
      <c r="M2555" s="72"/>
      <c r="O2555" s="96">
        <f t="shared" si="159"/>
        <v>777</v>
      </c>
      <c r="T2555" s="110"/>
    </row>
    <row r="2556" spans="3:20" x14ac:dyDescent="0.2">
      <c r="C2556" s="96" t="str">
        <f t="shared" si="156"/>
        <v>778</v>
      </c>
      <c r="D2556" s="73"/>
      <c r="E2556" s="100"/>
      <c r="F2556" s="101"/>
      <c r="G2556" s="96">
        <f t="shared" si="157"/>
        <v>778</v>
      </c>
      <c r="I2556" s="96"/>
      <c r="K2556" t="str">
        <f t="shared" si="158"/>
        <v>778</v>
      </c>
      <c r="M2556" s="72"/>
      <c r="O2556" s="96">
        <f t="shared" si="159"/>
        <v>778</v>
      </c>
      <c r="T2556" s="110"/>
    </row>
    <row r="2557" spans="3:20" x14ac:dyDescent="0.2">
      <c r="C2557" s="96" t="str">
        <f t="shared" si="156"/>
        <v>779</v>
      </c>
      <c r="D2557" s="73"/>
      <c r="E2557" s="100"/>
      <c r="F2557" s="101"/>
      <c r="G2557" s="96">
        <f t="shared" si="157"/>
        <v>779</v>
      </c>
      <c r="I2557" s="96"/>
      <c r="K2557" t="str">
        <f t="shared" si="158"/>
        <v>779</v>
      </c>
      <c r="M2557" s="72"/>
      <c r="O2557" s="96">
        <f t="shared" si="159"/>
        <v>779</v>
      </c>
      <c r="T2557" s="110"/>
    </row>
    <row r="2558" spans="3:20" x14ac:dyDescent="0.2">
      <c r="C2558" s="96" t="str">
        <f t="shared" si="156"/>
        <v>780</v>
      </c>
      <c r="D2558" s="73"/>
      <c r="E2558" s="100"/>
      <c r="F2558" s="101"/>
      <c r="G2558" s="96">
        <f t="shared" si="157"/>
        <v>780</v>
      </c>
      <c r="I2558" s="96"/>
      <c r="K2558" t="str">
        <f t="shared" si="158"/>
        <v>780</v>
      </c>
      <c r="M2558" s="72"/>
      <c r="O2558" s="96">
        <f t="shared" si="159"/>
        <v>780</v>
      </c>
      <c r="T2558" s="110"/>
    </row>
    <row r="2559" spans="3:20" x14ac:dyDescent="0.2">
      <c r="C2559" s="96" t="str">
        <f t="shared" si="156"/>
        <v>781</v>
      </c>
      <c r="D2559" s="73"/>
      <c r="E2559" s="100"/>
      <c r="F2559" s="101"/>
      <c r="G2559" s="96">
        <f t="shared" si="157"/>
        <v>781</v>
      </c>
      <c r="I2559" s="96"/>
      <c r="K2559" t="str">
        <f t="shared" si="158"/>
        <v>781</v>
      </c>
      <c r="M2559" s="72"/>
      <c r="O2559" s="96">
        <f t="shared" si="159"/>
        <v>781</v>
      </c>
      <c r="T2559" s="110"/>
    </row>
    <row r="2560" spans="3:20" x14ac:dyDescent="0.2">
      <c r="C2560" s="96" t="str">
        <f t="shared" si="156"/>
        <v>782</v>
      </c>
      <c r="D2560" s="73"/>
      <c r="E2560" s="100"/>
      <c r="F2560" s="101"/>
      <c r="G2560" s="96">
        <f t="shared" si="157"/>
        <v>782</v>
      </c>
      <c r="I2560" s="96"/>
      <c r="K2560" t="str">
        <f t="shared" si="158"/>
        <v>782</v>
      </c>
      <c r="M2560" s="72"/>
      <c r="O2560" s="96">
        <f t="shared" si="159"/>
        <v>782</v>
      </c>
      <c r="T2560" s="110"/>
    </row>
    <row r="2561" spans="3:20" x14ac:dyDescent="0.2">
      <c r="C2561" s="96" t="str">
        <f t="shared" si="156"/>
        <v>783</v>
      </c>
      <c r="D2561" s="73"/>
      <c r="E2561" s="100"/>
      <c r="F2561" s="101"/>
      <c r="G2561" s="96">
        <f t="shared" si="157"/>
        <v>783</v>
      </c>
      <c r="I2561" s="96"/>
      <c r="K2561" t="str">
        <f t="shared" si="158"/>
        <v>783</v>
      </c>
      <c r="M2561" s="72"/>
      <c r="O2561" s="96">
        <f t="shared" si="159"/>
        <v>783</v>
      </c>
      <c r="T2561" s="110"/>
    </row>
    <row r="2562" spans="3:20" x14ac:dyDescent="0.2">
      <c r="C2562" s="96" t="str">
        <f t="shared" si="156"/>
        <v>784</v>
      </c>
      <c r="D2562" s="73"/>
      <c r="E2562" s="100"/>
      <c r="F2562" s="101"/>
      <c r="G2562" s="96">
        <f t="shared" si="157"/>
        <v>784</v>
      </c>
      <c r="I2562" s="96"/>
      <c r="K2562" t="str">
        <f t="shared" si="158"/>
        <v>784</v>
      </c>
      <c r="M2562" s="72"/>
      <c r="O2562" s="96">
        <f t="shared" si="159"/>
        <v>784</v>
      </c>
      <c r="T2562" s="110"/>
    </row>
    <row r="2563" spans="3:20" x14ac:dyDescent="0.2">
      <c r="C2563" s="96" t="str">
        <f t="shared" ref="C2563:C2626" si="160">D2563&amp;G2563</f>
        <v>785</v>
      </c>
      <c r="D2563" s="73"/>
      <c r="E2563" s="100"/>
      <c r="F2563" s="101"/>
      <c r="G2563" s="96">
        <f t="shared" ref="G2563:G2626" si="161">IF(D2563&lt;&gt;D2562,1,G2562+1)</f>
        <v>785</v>
      </c>
      <c r="I2563" s="96"/>
      <c r="K2563" t="str">
        <f t="shared" ref="K2563:K2626" si="162">L2563&amp;O2563</f>
        <v>785</v>
      </c>
      <c r="M2563" s="72"/>
      <c r="O2563" s="96">
        <f t="shared" ref="O2563:O2626" si="163">IF(L2563&lt;&gt;L2562,1,O2562+1)</f>
        <v>785</v>
      </c>
      <c r="T2563" s="110"/>
    </row>
    <row r="2564" spans="3:20" x14ac:dyDescent="0.2">
      <c r="C2564" s="96" t="str">
        <f t="shared" si="160"/>
        <v>786</v>
      </c>
      <c r="D2564" s="73"/>
      <c r="E2564" s="100"/>
      <c r="F2564" s="101"/>
      <c r="G2564" s="96">
        <f t="shared" si="161"/>
        <v>786</v>
      </c>
      <c r="I2564" s="96"/>
      <c r="K2564" t="str">
        <f t="shared" si="162"/>
        <v>786</v>
      </c>
      <c r="M2564" s="72"/>
      <c r="O2564" s="96">
        <f t="shared" si="163"/>
        <v>786</v>
      </c>
      <c r="T2564" s="110"/>
    </row>
    <row r="2565" spans="3:20" x14ac:dyDescent="0.2">
      <c r="C2565" s="96" t="str">
        <f t="shared" si="160"/>
        <v>787</v>
      </c>
      <c r="D2565" s="73"/>
      <c r="E2565" s="100"/>
      <c r="F2565" s="101"/>
      <c r="G2565" s="96">
        <f t="shared" si="161"/>
        <v>787</v>
      </c>
      <c r="I2565" s="96"/>
      <c r="K2565" t="str">
        <f t="shared" si="162"/>
        <v>787</v>
      </c>
      <c r="M2565" s="72"/>
      <c r="O2565" s="96">
        <f t="shared" si="163"/>
        <v>787</v>
      </c>
      <c r="T2565" s="110"/>
    </row>
    <row r="2566" spans="3:20" x14ac:dyDescent="0.2">
      <c r="C2566" s="96" t="str">
        <f t="shared" si="160"/>
        <v>788</v>
      </c>
      <c r="D2566" s="73"/>
      <c r="E2566" s="100"/>
      <c r="F2566" s="101"/>
      <c r="G2566" s="96">
        <f t="shared" si="161"/>
        <v>788</v>
      </c>
      <c r="I2566" s="96"/>
      <c r="K2566" t="str">
        <f t="shared" si="162"/>
        <v>788</v>
      </c>
      <c r="M2566" s="72"/>
      <c r="O2566" s="96">
        <f t="shared" si="163"/>
        <v>788</v>
      </c>
      <c r="T2566" s="110"/>
    </row>
    <row r="2567" spans="3:20" x14ac:dyDescent="0.2">
      <c r="C2567" s="96" t="str">
        <f t="shared" si="160"/>
        <v>789</v>
      </c>
      <c r="D2567" s="73"/>
      <c r="E2567" s="100"/>
      <c r="F2567" s="101"/>
      <c r="G2567" s="96">
        <f t="shared" si="161"/>
        <v>789</v>
      </c>
      <c r="I2567" s="96"/>
      <c r="K2567" t="str">
        <f t="shared" si="162"/>
        <v>789</v>
      </c>
      <c r="M2567" s="72"/>
      <c r="O2567" s="96">
        <f t="shared" si="163"/>
        <v>789</v>
      </c>
      <c r="T2567" s="110"/>
    </row>
    <row r="2568" spans="3:20" x14ac:dyDescent="0.2">
      <c r="C2568" s="96" t="str">
        <f t="shared" si="160"/>
        <v>790</v>
      </c>
      <c r="D2568" s="73"/>
      <c r="E2568" s="100"/>
      <c r="F2568" s="101"/>
      <c r="G2568" s="96">
        <f t="shared" si="161"/>
        <v>790</v>
      </c>
      <c r="I2568" s="96"/>
      <c r="K2568" t="str">
        <f t="shared" si="162"/>
        <v>790</v>
      </c>
      <c r="M2568" s="72"/>
      <c r="O2568" s="96">
        <f t="shared" si="163"/>
        <v>790</v>
      </c>
    </row>
    <row r="2569" spans="3:20" x14ac:dyDescent="0.2">
      <c r="C2569" s="96" t="str">
        <f t="shared" si="160"/>
        <v>791</v>
      </c>
      <c r="D2569" s="73"/>
      <c r="E2569" s="100"/>
      <c r="F2569" s="101"/>
      <c r="G2569" s="96">
        <f t="shared" si="161"/>
        <v>791</v>
      </c>
      <c r="I2569" s="96"/>
      <c r="K2569" t="str">
        <f t="shared" si="162"/>
        <v>791</v>
      </c>
      <c r="M2569" s="72"/>
      <c r="O2569" s="96">
        <f t="shared" si="163"/>
        <v>791</v>
      </c>
      <c r="T2569" s="110"/>
    </row>
    <row r="2570" spans="3:20" x14ac:dyDescent="0.2">
      <c r="C2570" s="96" t="str">
        <f t="shared" si="160"/>
        <v>792</v>
      </c>
      <c r="D2570" s="73"/>
      <c r="E2570" s="100"/>
      <c r="F2570" s="101"/>
      <c r="G2570" s="96">
        <f t="shared" si="161"/>
        <v>792</v>
      </c>
      <c r="I2570" s="96"/>
      <c r="K2570" t="str">
        <f t="shared" si="162"/>
        <v>792</v>
      </c>
      <c r="M2570" s="72"/>
      <c r="O2570" s="96">
        <f t="shared" si="163"/>
        <v>792</v>
      </c>
    </row>
    <row r="2571" spans="3:20" x14ac:dyDescent="0.2">
      <c r="C2571" s="96" t="str">
        <f t="shared" si="160"/>
        <v>793</v>
      </c>
      <c r="D2571" s="73"/>
      <c r="E2571" s="100"/>
      <c r="F2571" s="101"/>
      <c r="G2571" s="96">
        <f t="shared" si="161"/>
        <v>793</v>
      </c>
      <c r="I2571" s="96"/>
      <c r="K2571" t="str">
        <f t="shared" si="162"/>
        <v>793</v>
      </c>
      <c r="M2571" s="72"/>
      <c r="O2571" s="96">
        <f t="shared" si="163"/>
        <v>793</v>
      </c>
      <c r="T2571" s="110"/>
    </row>
    <row r="2572" spans="3:20" x14ac:dyDescent="0.2">
      <c r="C2572" s="96" t="str">
        <f t="shared" si="160"/>
        <v>794</v>
      </c>
      <c r="D2572" s="73"/>
      <c r="E2572" s="100"/>
      <c r="F2572" s="101"/>
      <c r="G2572" s="96">
        <f t="shared" si="161"/>
        <v>794</v>
      </c>
      <c r="I2572" s="96"/>
      <c r="K2572" t="str">
        <f t="shared" si="162"/>
        <v>794</v>
      </c>
      <c r="M2572" s="72"/>
      <c r="O2572" s="96">
        <f t="shared" si="163"/>
        <v>794</v>
      </c>
    </row>
    <row r="2573" spans="3:20" x14ac:dyDescent="0.2">
      <c r="C2573" s="96" t="str">
        <f t="shared" si="160"/>
        <v>795</v>
      </c>
      <c r="D2573" s="73"/>
      <c r="E2573" s="100"/>
      <c r="F2573" s="101"/>
      <c r="G2573" s="96">
        <f t="shared" si="161"/>
        <v>795</v>
      </c>
      <c r="I2573" s="96"/>
      <c r="K2573" t="str">
        <f t="shared" si="162"/>
        <v>795</v>
      </c>
      <c r="M2573" s="72"/>
      <c r="O2573" s="96">
        <f t="shared" si="163"/>
        <v>795</v>
      </c>
      <c r="T2573" s="110"/>
    </row>
    <row r="2574" spans="3:20" x14ac:dyDescent="0.2">
      <c r="C2574" s="96" t="str">
        <f t="shared" si="160"/>
        <v>796</v>
      </c>
      <c r="D2574" s="73"/>
      <c r="E2574" s="100"/>
      <c r="F2574" s="101"/>
      <c r="G2574" s="96">
        <f t="shared" si="161"/>
        <v>796</v>
      </c>
      <c r="I2574" s="96"/>
      <c r="K2574" t="str">
        <f t="shared" si="162"/>
        <v>796</v>
      </c>
      <c r="M2574" s="72"/>
      <c r="O2574" s="96">
        <f t="shared" si="163"/>
        <v>796</v>
      </c>
    </row>
    <row r="2575" spans="3:20" x14ac:dyDescent="0.2">
      <c r="C2575" s="96" t="str">
        <f t="shared" si="160"/>
        <v>797</v>
      </c>
      <c r="D2575" s="73"/>
      <c r="E2575" s="100"/>
      <c r="F2575" s="101"/>
      <c r="G2575" s="96">
        <f t="shared" si="161"/>
        <v>797</v>
      </c>
      <c r="I2575" s="96"/>
      <c r="K2575" t="str">
        <f t="shared" si="162"/>
        <v>797</v>
      </c>
      <c r="M2575" s="72"/>
      <c r="O2575" s="96">
        <f t="shared" si="163"/>
        <v>797</v>
      </c>
      <c r="T2575" s="110"/>
    </row>
    <row r="2576" spans="3:20" x14ac:dyDescent="0.2">
      <c r="C2576" s="96" t="str">
        <f t="shared" si="160"/>
        <v>798</v>
      </c>
      <c r="D2576" s="73"/>
      <c r="E2576" s="100"/>
      <c r="F2576" s="101"/>
      <c r="G2576" s="96">
        <f t="shared" si="161"/>
        <v>798</v>
      </c>
      <c r="I2576" s="96"/>
      <c r="K2576" t="str">
        <f t="shared" si="162"/>
        <v>798</v>
      </c>
      <c r="M2576" s="72"/>
      <c r="O2576" s="96">
        <f t="shared" si="163"/>
        <v>798</v>
      </c>
      <c r="T2576" s="110"/>
    </row>
    <row r="2577" spans="3:20" x14ac:dyDescent="0.2">
      <c r="C2577" s="96" t="str">
        <f t="shared" si="160"/>
        <v>799</v>
      </c>
      <c r="D2577" s="73"/>
      <c r="E2577" s="100"/>
      <c r="F2577" s="101"/>
      <c r="G2577" s="96">
        <f t="shared" si="161"/>
        <v>799</v>
      </c>
      <c r="I2577" s="96"/>
      <c r="K2577" t="str">
        <f t="shared" si="162"/>
        <v>799</v>
      </c>
      <c r="M2577" s="72"/>
      <c r="O2577" s="96">
        <f t="shared" si="163"/>
        <v>799</v>
      </c>
      <c r="T2577" s="110"/>
    </row>
    <row r="2578" spans="3:20" x14ac:dyDescent="0.2">
      <c r="C2578" s="96" t="str">
        <f t="shared" si="160"/>
        <v>800</v>
      </c>
      <c r="D2578" s="73"/>
      <c r="E2578" s="100"/>
      <c r="F2578" s="101"/>
      <c r="G2578" s="96">
        <f t="shared" si="161"/>
        <v>800</v>
      </c>
      <c r="I2578" s="96"/>
      <c r="K2578" t="str">
        <f t="shared" si="162"/>
        <v>800</v>
      </c>
      <c r="M2578" s="72"/>
      <c r="O2578" s="96">
        <f t="shared" si="163"/>
        <v>800</v>
      </c>
      <c r="T2578" s="110"/>
    </row>
    <row r="2579" spans="3:20" x14ac:dyDescent="0.2">
      <c r="C2579" s="96" t="str">
        <f t="shared" si="160"/>
        <v>801</v>
      </c>
      <c r="D2579" s="73"/>
      <c r="E2579" s="100"/>
      <c r="F2579" s="101"/>
      <c r="G2579" s="96">
        <f t="shared" si="161"/>
        <v>801</v>
      </c>
      <c r="I2579" s="96"/>
      <c r="K2579" t="str">
        <f t="shared" si="162"/>
        <v>801</v>
      </c>
      <c r="M2579" s="72"/>
      <c r="O2579" s="96">
        <f t="shared" si="163"/>
        <v>801</v>
      </c>
      <c r="T2579" s="110"/>
    </row>
    <row r="2580" spans="3:20" x14ac:dyDescent="0.2">
      <c r="C2580" s="96" t="str">
        <f t="shared" si="160"/>
        <v>802</v>
      </c>
      <c r="D2580" s="73"/>
      <c r="E2580" s="100"/>
      <c r="F2580" s="101"/>
      <c r="G2580" s="96">
        <f t="shared" si="161"/>
        <v>802</v>
      </c>
      <c r="I2580" s="96"/>
      <c r="K2580" t="str">
        <f t="shared" si="162"/>
        <v>802</v>
      </c>
      <c r="M2580" s="72"/>
      <c r="O2580" s="96">
        <f t="shared" si="163"/>
        <v>802</v>
      </c>
      <c r="T2580" s="110"/>
    </row>
    <row r="2581" spans="3:20" x14ac:dyDescent="0.2">
      <c r="C2581" s="96" t="str">
        <f t="shared" si="160"/>
        <v>803</v>
      </c>
      <c r="D2581" s="73"/>
      <c r="E2581" s="100"/>
      <c r="F2581" s="101"/>
      <c r="G2581" s="96">
        <f t="shared" si="161"/>
        <v>803</v>
      </c>
      <c r="I2581" s="96"/>
      <c r="K2581" t="str">
        <f t="shared" si="162"/>
        <v>803</v>
      </c>
      <c r="M2581" s="72"/>
      <c r="O2581" s="96">
        <f t="shared" si="163"/>
        <v>803</v>
      </c>
      <c r="T2581" s="110"/>
    </row>
    <row r="2582" spans="3:20" x14ac:dyDescent="0.2">
      <c r="C2582" s="96" t="str">
        <f t="shared" si="160"/>
        <v>804</v>
      </c>
      <c r="D2582" s="73"/>
      <c r="E2582" s="100"/>
      <c r="F2582" s="101"/>
      <c r="G2582" s="96">
        <f t="shared" si="161"/>
        <v>804</v>
      </c>
      <c r="I2582" s="96"/>
      <c r="K2582" t="str">
        <f t="shared" si="162"/>
        <v>804</v>
      </c>
      <c r="M2582" s="72"/>
      <c r="O2582" s="96">
        <f t="shared" si="163"/>
        <v>804</v>
      </c>
      <c r="T2582" s="110"/>
    </row>
    <row r="2583" spans="3:20" x14ac:dyDescent="0.2">
      <c r="C2583" s="96" t="str">
        <f t="shared" si="160"/>
        <v>805</v>
      </c>
      <c r="D2583" s="73"/>
      <c r="E2583" s="100"/>
      <c r="F2583" s="101"/>
      <c r="G2583" s="96">
        <f t="shared" si="161"/>
        <v>805</v>
      </c>
      <c r="I2583" s="96"/>
      <c r="K2583" t="str">
        <f t="shared" si="162"/>
        <v>805</v>
      </c>
      <c r="M2583" s="72"/>
      <c r="O2583" s="96">
        <f t="shared" si="163"/>
        <v>805</v>
      </c>
      <c r="T2583" s="110"/>
    </row>
    <row r="2584" spans="3:20" x14ac:dyDescent="0.2">
      <c r="C2584" s="96" t="str">
        <f t="shared" si="160"/>
        <v>806</v>
      </c>
      <c r="D2584" s="73"/>
      <c r="E2584" s="100"/>
      <c r="F2584" s="101"/>
      <c r="G2584" s="96">
        <f t="shared" si="161"/>
        <v>806</v>
      </c>
      <c r="I2584" s="96"/>
      <c r="K2584" t="str">
        <f t="shared" si="162"/>
        <v>806</v>
      </c>
      <c r="M2584" s="72"/>
      <c r="O2584" s="96">
        <f t="shared" si="163"/>
        <v>806</v>
      </c>
      <c r="T2584" s="110"/>
    </row>
    <row r="2585" spans="3:20" x14ac:dyDescent="0.2">
      <c r="C2585" s="96" t="str">
        <f t="shared" si="160"/>
        <v>807</v>
      </c>
      <c r="D2585" s="73"/>
      <c r="E2585" s="100"/>
      <c r="F2585" s="101"/>
      <c r="G2585" s="96">
        <f t="shared" si="161"/>
        <v>807</v>
      </c>
      <c r="I2585" s="96"/>
      <c r="K2585" t="str">
        <f t="shared" si="162"/>
        <v>807</v>
      </c>
      <c r="M2585" s="72"/>
      <c r="O2585" s="96">
        <f t="shared" si="163"/>
        <v>807</v>
      </c>
      <c r="T2585" s="110"/>
    </row>
    <row r="2586" spans="3:20" x14ac:dyDescent="0.2">
      <c r="C2586" s="96" t="str">
        <f t="shared" si="160"/>
        <v>808</v>
      </c>
      <c r="D2586" s="73"/>
      <c r="E2586" s="100"/>
      <c r="F2586" s="101"/>
      <c r="G2586" s="96">
        <f t="shared" si="161"/>
        <v>808</v>
      </c>
      <c r="I2586" s="96"/>
      <c r="K2586" t="str">
        <f t="shared" si="162"/>
        <v>808</v>
      </c>
      <c r="M2586" s="72"/>
      <c r="O2586" s="96">
        <f t="shared" si="163"/>
        <v>808</v>
      </c>
      <c r="T2586" s="110"/>
    </row>
    <row r="2587" spans="3:20" x14ac:dyDescent="0.2">
      <c r="C2587" s="96" t="str">
        <f t="shared" si="160"/>
        <v>809</v>
      </c>
      <c r="D2587" s="73"/>
      <c r="E2587" s="100"/>
      <c r="F2587" s="101"/>
      <c r="G2587" s="96">
        <f t="shared" si="161"/>
        <v>809</v>
      </c>
      <c r="I2587" s="96"/>
      <c r="K2587" t="str">
        <f t="shared" si="162"/>
        <v>809</v>
      </c>
      <c r="M2587" s="72"/>
      <c r="O2587" s="96">
        <f t="shared" si="163"/>
        <v>809</v>
      </c>
      <c r="T2587" s="110"/>
    </row>
    <row r="2588" spans="3:20" x14ac:dyDescent="0.2">
      <c r="C2588" s="96" t="str">
        <f t="shared" si="160"/>
        <v>810</v>
      </c>
      <c r="D2588" s="73"/>
      <c r="E2588" s="100"/>
      <c r="F2588" s="101"/>
      <c r="G2588" s="96">
        <f t="shared" si="161"/>
        <v>810</v>
      </c>
      <c r="I2588" s="96"/>
      <c r="K2588" t="str">
        <f t="shared" si="162"/>
        <v>810</v>
      </c>
      <c r="M2588" s="72"/>
      <c r="O2588" s="96">
        <f t="shared" si="163"/>
        <v>810</v>
      </c>
      <c r="T2588" s="110"/>
    </row>
    <row r="2589" spans="3:20" x14ac:dyDescent="0.2">
      <c r="C2589" s="96" t="str">
        <f t="shared" si="160"/>
        <v>811</v>
      </c>
      <c r="D2589" s="73"/>
      <c r="E2589" s="100"/>
      <c r="F2589" s="101"/>
      <c r="G2589" s="96">
        <f t="shared" si="161"/>
        <v>811</v>
      </c>
      <c r="I2589" s="96"/>
      <c r="K2589" t="str">
        <f t="shared" si="162"/>
        <v>811</v>
      </c>
      <c r="M2589" s="72"/>
      <c r="O2589" s="96">
        <f t="shared" si="163"/>
        <v>811</v>
      </c>
      <c r="T2589" s="110"/>
    </row>
    <row r="2590" spans="3:20" x14ac:dyDescent="0.2">
      <c r="C2590" s="96" t="str">
        <f t="shared" si="160"/>
        <v>812</v>
      </c>
      <c r="D2590" s="73"/>
      <c r="E2590" s="100"/>
      <c r="F2590" s="101"/>
      <c r="G2590" s="96">
        <f t="shared" si="161"/>
        <v>812</v>
      </c>
      <c r="I2590" s="96"/>
      <c r="K2590" t="str">
        <f t="shared" si="162"/>
        <v>812</v>
      </c>
      <c r="M2590" s="72"/>
      <c r="O2590" s="96">
        <f t="shared" si="163"/>
        <v>812</v>
      </c>
    </row>
    <row r="2591" spans="3:20" x14ac:dyDescent="0.2">
      <c r="C2591" s="96" t="str">
        <f t="shared" si="160"/>
        <v>813</v>
      </c>
      <c r="D2591" s="73"/>
      <c r="E2591" s="100"/>
      <c r="F2591" s="101"/>
      <c r="G2591" s="96">
        <f t="shared" si="161"/>
        <v>813</v>
      </c>
      <c r="I2591" s="96"/>
      <c r="K2591" t="str">
        <f t="shared" si="162"/>
        <v>813</v>
      </c>
      <c r="M2591" s="72"/>
      <c r="O2591" s="96">
        <f t="shared" si="163"/>
        <v>813</v>
      </c>
      <c r="T2591" s="110"/>
    </row>
    <row r="2592" spans="3:20" x14ac:dyDescent="0.2">
      <c r="C2592" s="96" t="str">
        <f t="shared" si="160"/>
        <v>814</v>
      </c>
      <c r="D2592" s="73"/>
      <c r="E2592" s="100"/>
      <c r="F2592" s="101"/>
      <c r="G2592" s="96">
        <f t="shared" si="161"/>
        <v>814</v>
      </c>
      <c r="I2592" s="96"/>
      <c r="K2592" t="str">
        <f t="shared" si="162"/>
        <v>814</v>
      </c>
      <c r="M2592" s="72"/>
      <c r="O2592" s="96">
        <f t="shared" si="163"/>
        <v>814</v>
      </c>
    </row>
    <row r="2593" spans="3:20" x14ac:dyDescent="0.2">
      <c r="C2593" s="96" t="str">
        <f t="shared" si="160"/>
        <v>815</v>
      </c>
      <c r="D2593" s="73"/>
      <c r="E2593" s="100"/>
      <c r="F2593" s="101"/>
      <c r="G2593" s="96">
        <f t="shared" si="161"/>
        <v>815</v>
      </c>
      <c r="I2593" s="96"/>
      <c r="K2593" t="str">
        <f t="shared" si="162"/>
        <v>815</v>
      </c>
      <c r="M2593" s="72"/>
      <c r="O2593" s="96">
        <f t="shared" si="163"/>
        <v>815</v>
      </c>
      <c r="T2593" s="110"/>
    </row>
    <row r="2594" spans="3:20" x14ac:dyDescent="0.2">
      <c r="C2594" s="96" t="str">
        <f t="shared" si="160"/>
        <v>816</v>
      </c>
      <c r="D2594" s="73"/>
      <c r="E2594" s="100"/>
      <c r="F2594" s="101"/>
      <c r="G2594" s="96">
        <f t="shared" si="161"/>
        <v>816</v>
      </c>
      <c r="I2594" s="96"/>
      <c r="K2594" t="str">
        <f t="shared" si="162"/>
        <v>816</v>
      </c>
      <c r="M2594" s="72"/>
      <c r="O2594" s="96">
        <f t="shared" si="163"/>
        <v>816</v>
      </c>
      <c r="T2594" s="110"/>
    </row>
    <row r="2595" spans="3:20" x14ac:dyDescent="0.2">
      <c r="C2595" s="96" t="str">
        <f t="shared" si="160"/>
        <v>817</v>
      </c>
      <c r="D2595" s="73"/>
      <c r="E2595" s="100"/>
      <c r="F2595" s="101"/>
      <c r="G2595" s="96">
        <f t="shared" si="161"/>
        <v>817</v>
      </c>
      <c r="I2595" s="96"/>
      <c r="K2595" t="str">
        <f t="shared" si="162"/>
        <v>817</v>
      </c>
      <c r="M2595" s="72"/>
      <c r="O2595" s="96">
        <f t="shared" si="163"/>
        <v>817</v>
      </c>
      <c r="T2595" s="110"/>
    </row>
    <row r="2596" spans="3:20" x14ac:dyDescent="0.2">
      <c r="C2596" s="96" t="str">
        <f t="shared" si="160"/>
        <v>818</v>
      </c>
      <c r="D2596" s="73"/>
      <c r="E2596" s="100"/>
      <c r="F2596" s="101"/>
      <c r="G2596" s="96">
        <f t="shared" si="161"/>
        <v>818</v>
      </c>
      <c r="I2596" s="96"/>
      <c r="K2596" t="str">
        <f t="shared" si="162"/>
        <v>818</v>
      </c>
      <c r="M2596" s="72"/>
      <c r="O2596" s="96">
        <f t="shared" si="163"/>
        <v>818</v>
      </c>
    </row>
    <row r="2597" spans="3:20" x14ac:dyDescent="0.2">
      <c r="C2597" s="96" t="str">
        <f t="shared" si="160"/>
        <v>819</v>
      </c>
      <c r="D2597" s="73"/>
      <c r="E2597" s="100"/>
      <c r="F2597" s="101"/>
      <c r="G2597" s="96">
        <f t="shared" si="161"/>
        <v>819</v>
      </c>
      <c r="I2597" s="96"/>
      <c r="K2597" t="str">
        <f t="shared" si="162"/>
        <v>819</v>
      </c>
      <c r="M2597" s="72"/>
      <c r="O2597" s="96">
        <f t="shared" si="163"/>
        <v>819</v>
      </c>
    </row>
    <row r="2598" spans="3:20" x14ac:dyDescent="0.2">
      <c r="C2598" s="96" t="str">
        <f t="shared" si="160"/>
        <v>820</v>
      </c>
      <c r="D2598" s="73"/>
      <c r="E2598" s="100"/>
      <c r="F2598" s="101"/>
      <c r="G2598" s="96">
        <f t="shared" si="161"/>
        <v>820</v>
      </c>
      <c r="I2598" s="96"/>
      <c r="K2598" t="str">
        <f t="shared" si="162"/>
        <v>820</v>
      </c>
      <c r="M2598" s="72"/>
      <c r="O2598" s="96">
        <f t="shared" si="163"/>
        <v>820</v>
      </c>
      <c r="T2598" s="110"/>
    </row>
    <row r="2599" spans="3:20" x14ac:dyDescent="0.2">
      <c r="C2599" s="96" t="str">
        <f t="shared" si="160"/>
        <v>821</v>
      </c>
      <c r="D2599" s="73"/>
      <c r="E2599" s="100"/>
      <c r="F2599" s="101"/>
      <c r="G2599" s="96">
        <f t="shared" si="161"/>
        <v>821</v>
      </c>
      <c r="I2599" s="96"/>
      <c r="K2599" t="str">
        <f t="shared" si="162"/>
        <v>821</v>
      </c>
      <c r="M2599" s="72"/>
      <c r="O2599" s="96">
        <f t="shared" si="163"/>
        <v>821</v>
      </c>
    </row>
    <row r="2600" spans="3:20" x14ac:dyDescent="0.2">
      <c r="C2600" s="96" t="str">
        <f t="shared" si="160"/>
        <v>822</v>
      </c>
      <c r="D2600" s="73"/>
      <c r="E2600" s="100"/>
      <c r="F2600" s="101"/>
      <c r="G2600" s="96">
        <f t="shared" si="161"/>
        <v>822</v>
      </c>
      <c r="I2600" s="96"/>
      <c r="K2600" t="str">
        <f t="shared" si="162"/>
        <v>822</v>
      </c>
      <c r="M2600" s="72"/>
      <c r="O2600" s="96">
        <f t="shared" si="163"/>
        <v>822</v>
      </c>
    </row>
    <row r="2601" spans="3:20" x14ac:dyDescent="0.2">
      <c r="C2601" s="96" t="str">
        <f t="shared" si="160"/>
        <v>823</v>
      </c>
      <c r="D2601" s="73"/>
      <c r="E2601" s="100"/>
      <c r="F2601" s="101"/>
      <c r="G2601" s="96">
        <f t="shared" si="161"/>
        <v>823</v>
      </c>
      <c r="I2601" s="96"/>
      <c r="K2601" t="str">
        <f t="shared" si="162"/>
        <v>823</v>
      </c>
      <c r="M2601" s="72"/>
      <c r="O2601" s="96">
        <f t="shared" si="163"/>
        <v>823</v>
      </c>
      <c r="T2601" s="110"/>
    </row>
    <row r="2602" spans="3:20" x14ac:dyDescent="0.2">
      <c r="C2602" s="96" t="str">
        <f t="shared" si="160"/>
        <v>824</v>
      </c>
      <c r="D2602" s="73"/>
      <c r="E2602" s="100"/>
      <c r="F2602" s="101"/>
      <c r="G2602" s="96">
        <f t="shared" si="161"/>
        <v>824</v>
      </c>
      <c r="I2602" s="96"/>
      <c r="K2602" t="str">
        <f t="shared" si="162"/>
        <v>824</v>
      </c>
      <c r="M2602" s="72"/>
      <c r="O2602" s="96">
        <f t="shared" si="163"/>
        <v>824</v>
      </c>
    </row>
    <row r="2603" spans="3:20" x14ac:dyDescent="0.2">
      <c r="C2603" s="96" t="str">
        <f t="shared" si="160"/>
        <v>825</v>
      </c>
      <c r="D2603" s="73"/>
      <c r="E2603" s="100"/>
      <c r="F2603" s="101"/>
      <c r="G2603" s="96">
        <f t="shared" si="161"/>
        <v>825</v>
      </c>
      <c r="I2603" s="96"/>
      <c r="K2603" t="str">
        <f t="shared" si="162"/>
        <v>825</v>
      </c>
      <c r="M2603" s="72"/>
      <c r="O2603" s="96">
        <f t="shared" si="163"/>
        <v>825</v>
      </c>
    </row>
    <row r="2604" spans="3:20" x14ac:dyDescent="0.2">
      <c r="C2604" s="96" t="str">
        <f t="shared" si="160"/>
        <v>826</v>
      </c>
      <c r="D2604" s="73"/>
      <c r="E2604" s="100"/>
      <c r="F2604" s="101"/>
      <c r="G2604" s="96">
        <f t="shared" si="161"/>
        <v>826</v>
      </c>
      <c r="I2604" s="96"/>
      <c r="K2604" t="str">
        <f t="shared" si="162"/>
        <v>826</v>
      </c>
      <c r="M2604" s="72"/>
      <c r="O2604" s="96">
        <f t="shared" si="163"/>
        <v>826</v>
      </c>
      <c r="T2604" s="110"/>
    </row>
    <row r="2605" spans="3:20" x14ac:dyDescent="0.2">
      <c r="C2605" s="96" t="str">
        <f t="shared" si="160"/>
        <v>827</v>
      </c>
      <c r="D2605" s="73"/>
      <c r="E2605" s="100"/>
      <c r="F2605" s="101"/>
      <c r="G2605" s="96">
        <f t="shared" si="161"/>
        <v>827</v>
      </c>
      <c r="I2605" s="96"/>
      <c r="K2605" t="str">
        <f t="shared" si="162"/>
        <v>827</v>
      </c>
      <c r="M2605" s="72"/>
      <c r="O2605" s="96">
        <f t="shared" si="163"/>
        <v>827</v>
      </c>
    </row>
    <row r="2606" spans="3:20" x14ac:dyDescent="0.2">
      <c r="C2606" s="96" t="str">
        <f t="shared" si="160"/>
        <v>828</v>
      </c>
      <c r="D2606" s="73"/>
      <c r="E2606" s="100"/>
      <c r="F2606" s="101"/>
      <c r="G2606" s="96">
        <f t="shared" si="161"/>
        <v>828</v>
      </c>
      <c r="I2606" s="96"/>
      <c r="K2606" t="str">
        <f t="shared" si="162"/>
        <v>828</v>
      </c>
      <c r="M2606" s="72"/>
      <c r="O2606" s="96">
        <f t="shared" si="163"/>
        <v>828</v>
      </c>
    </row>
    <row r="2607" spans="3:20" x14ac:dyDescent="0.2">
      <c r="C2607" s="96" t="str">
        <f t="shared" si="160"/>
        <v>829</v>
      </c>
      <c r="D2607" s="73"/>
      <c r="E2607" s="100"/>
      <c r="F2607" s="101"/>
      <c r="G2607" s="96">
        <f t="shared" si="161"/>
        <v>829</v>
      </c>
      <c r="I2607" s="96"/>
      <c r="K2607" t="str">
        <f t="shared" si="162"/>
        <v>829</v>
      </c>
      <c r="M2607" s="72"/>
      <c r="O2607" s="96">
        <f t="shared" si="163"/>
        <v>829</v>
      </c>
      <c r="T2607" s="110"/>
    </row>
    <row r="2608" spans="3:20" x14ac:dyDescent="0.2">
      <c r="C2608" s="96" t="str">
        <f t="shared" si="160"/>
        <v>830</v>
      </c>
      <c r="D2608" s="73"/>
      <c r="E2608" s="100"/>
      <c r="F2608" s="101"/>
      <c r="G2608" s="96">
        <f t="shared" si="161"/>
        <v>830</v>
      </c>
      <c r="I2608" s="96"/>
      <c r="K2608" t="str">
        <f t="shared" si="162"/>
        <v>830</v>
      </c>
      <c r="M2608" s="72"/>
      <c r="O2608" s="96">
        <f t="shared" si="163"/>
        <v>830</v>
      </c>
    </row>
    <row r="2609" spans="3:20" x14ac:dyDescent="0.2">
      <c r="C2609" s="96" t="str">
        <f t="shared" si="160"/>
        <v>831</v>
      </c>
      <c r="D2609" s="73"/>
      <c r="E2609" s="100"/>
      <c r="F2609" s="101"/>
      <c r="G2609" s="96">
        <f t="shared" si="161"/>
        <v>831</v>
      </c>
      <c r="I2609" s="96"/>
      <c r="K2609" t="str">
        <f t="shared" si="162"/>
        <v>831</v>
      </c>
      <c r="M2609" s="72"/>
      <c r="O2609" s="96">
        <f t="shared" si="163"/>
        <v>831</v>
      </c>
    </row>
    <row r="2610" spans="3:20" x14ac:dyDescent="0.2">
      <c r="C2610" s="96" t="str">
        <f t="shared" si="160"/>
        <v>832</v>
      </c>
      <c r="D2610" s="73"/>
      <c r="E2610" s="100"/>
      <c r="F2610" s="101"/>
      <c r="G2610" s="96">
        <f t="shared" si="161"/>
        <v>832</v>
      </c>
      <c r="I2610" s="96"/>
      <c r="K2610" t="str">
        <f t="shared" si="162"/>
        <v>832</v>
      </c>
      <c r="M2610" s="72"/>
      <c r="O2610" s="96">
        <f t="shared" si="163"/>
        <v>832</v>
      </c>
      <c r="T2610" s="110"/>
    </row>
    <row r="2611" spans="3:20" x14ac:dyDescent="0.2">
      <c r="C2611" s="96" t="str">
        <f t="shared" si="160"/>
        <v>833</v>
      </c>
      <c r="D2611" s="73"/>
      <c r="E2611" s="100"/>
      <c r="F2611" s="101"/>
      <c r="G2611" s="96">
        <f t="shared" si="161"/>
        <v>833</v>
      </c>
      <c r="I2611" s="96"/>
      <c r="K2611" t="str">
        <f t="shared" si="162"/>
        <v>833</v>
      </c>
      <c r="M2611" s="72"/>
      <c r="O2611" s="96">
        <f t="shared" si="163"/>
        <v>833</v>
      </c>
    </row>
    <row r="2612" spans="3:20" x14ac:dyDescent="0.2">
      <c r="C2612" s="96" t="str">
        <f t="shared" si="160"/>
        <v>834</v>
      </c>
      <c r="D2612" s="73"/>
      <c r="E2612" s="100"/>
      <c r="F2612" s="101"/>
      <c r="G2612" s="96">
        <f t="shared" si="161"/>
        <v>834</v>
      </c>
      <c r="I2612" s="96"/>
      <c r="K2612" t="str">
        <f t="shared" si="162"/>
        <v>834</v>
      </c>
      <c r="M2612" s="72"/>
      <c r="O2612" s="96">
        <f t="shared" si="163"/>
        <v>834</v>
      </c>
    </row>
    <row r="2613" spans="3:20" x14ac:dyDescent="0.2">
      <c r="C2613" s="96" t="str">
        <f t="shared" si="160"/>
        <v>835</v>
      </c>
      <c r="D2613" s="73"/>
      <c r="E2613" s="100"/>
      <c r="F2613" s="101"/>
      <c r="G2613" s="96">
        <f t="shared" si="161"/>
        <v>835</v>
      </c>
      <c r="I2613" s="96"/>
      <c r="K2613" t="str">
        <f t="shared" si="162"/>
        <v>835</v>
      </c>
      <c r="M2613" s="72"/>
      <c r="O2613" s="96">
        <f t="shared" si="163"/>
        <v>835</v>
      </c>
      <c r="T2613" s="110"/>
    </row>
    <row r="2614" spans="3:20" x14ac:dyDescent="0.2">
      <c r="C2614" s="96" t="str">
        <f t="shared" si="160"/>
        <v>836</v>
      </c>
      <c r="D2614" s="73"/>
      <c r="E2614" s="100"/>
      <c r="F2614" s="101"/>
      <c r="G2614" s="96">
        <f t="shared" si="161"/>
        <v>836</v>
      </c>
      <c r="I2614" s="96"/>
      <c r="K2614" t="str">
        <f t="shared" si="162"/>
        <v>836</v>
      </c>
      <c r="M2614" s="72"/>
      <c r="O2614" s="96">
        <f t="shared" si="163"/>
        <v>836</v>
      </c>
      <c r="T2614" s="110"/>
    </row>
    <row r="2615" spans="3:20" x14ac:dyDescent="0.2">
      <c r="C2615" s="96" t="str">
        <f t="shared" si="160"/>
        <v>837</v>
      </c>
      <c r="D2615" s="73"/>
      <c r="E2615" s="100"/>
      <c r="F2615" s="101"/>
      <c r="G2615" s="96">
        <f t="shared" si="161"/>
        <v>837</v>
      </c>
      <c r="I2615" s="96"/>
      <c r="K2615" t="str">
        <f t="shared" si="162"/>
        <v>837</v>
      </c>
      <c r="M2615" s="72"/>
      <c r="O2615" s="96">
        <f t="shared" si="163"/>
        <v>837</v>
      </c>
      <c r="T2615" s="110"/>
    </row>
    <row r="2616" spans="3:20" x14ac:dyDescent="0.2">
      <c r="C2616" s="96" t="str">
        <f t="shared" si="160"/>
        <v>838</v>
      </c>
      <c r="D2616" s="73"/>
      <c r="E2616" s="100"/>
      <c r="F2616" s="101"/>
      <c r="G2616" s="96">
        <f t="shared" si="161"/>
        <v>838</v>
      </c>
      <c r="I2616" s="96"/>
      <c r="K2616" t="str">
        <f t="shared" si="162"/>
        <v>838</v>
      </c>
      <c r="M2616" s="72"/>
      <c r="O2616" s="96">
        <f t="shared" si="163"/>
        <v>838</v>
      </c>
      <c r="T2616" s="110"/>
    </row>
    <row r="2617" spans="3:20" x14ac:dyDescent="0.2">
      <c r="C2617" s="96" t="str">
        <f t="shared" si="160"/>
        <v>839</v>
      </c>
      <c r="D2617" s="73"/>
      <c r="E2617" s="100"/>
      <c r="F2617" s="101"/>
      <c r="G2617" s="96">
        <f t="shared" si="161"/>
        <v>839</v>
      </c>
      <c r="I2617" s="96"/>
      <c r="K2617" t="str">
        <f t="shared" si="162"/>
        <v>839</v>
      </c>
      <c r="M2617" s="72"/>
      <c r="O2617" s="96">
        <f t="shared" si="163"/>
        <v>839</v>
      </c>
      <c r="T2617" s="110"/>
    </row>
    <row r="2618" spans="3:20" x14ac:dyDescent="0.2">
      <c r="C2618" s="96" t="str">
        <f t="shared" si="160"/>
        <v>840</v>
      </c>
      <c r="D2618" s="73"/>
      <c r="E2618" s="100"/>
      <c r="F2618" s="101"/>
      <c r="G2618" s="96">
        <f t="shared" si="161"/>
        <v>840</v>
      </c>
      <c r="I2618" s="96"/>
      <c r="K2618" t="str">
        <f t="shared" si="162"/>
        <v>840</v>
      </c>
      <c r="M2618" s="72"/>
      <c r="O2618" s="96">
        <f t="shared" si="163"/>
        <v>840</v>
      </c>
      <c r="T2618" s="110"/>
    </row>
    <row r="2619" spans="3:20" x14ac:dyDescent="0.2">
      <c r="C2619" s="96" t="str">
        <f t="shared" si="160"/>
        <v>841</v>
      </c>
      <c r="D2619" s="73"/>
      <c r="E2619" s="100"/>
      <c r="F2619" s="101"/>
      <c r="G2619" s="96">
        <f t="shared" si="161"/>
        <v>841</v>
      </c>
      <c r="I2619" s="96"/>
      <c r="K2619" t="str">
        <f t="shared" si="162"/>
        <v>841</v>
      </c>
      <c r="M2619" s="72"/>
      <c r="O2619" s="96">
        <f t="shared" si="163"/>
        <v>841</v>
      </c>
      <c r="T2619" s="110"/>
    </row>
    <row r="2620" spans="3:20" x14ac:dyDescent="0.2">
      <c r="C2620" s="96" t="str">
        <f t="shared" si="160"/>
        <v>842</v>
      </c>
      <c r="D2620" s="73"/>
      <c r="E2620" s="100"/>
      <c r="F2620" s="101"/>
      <c r="G2620" s="96">
        <f t="shared" si="161"/>
        <v>842</v>
      </c>
      <c r="I2620" s="96"/>
      <c r="K2620" t="str">
        <f t="shared" si="162"/>
        <v>842</v>
      </c>
      <c r="M2620" s="72"/>
      <c r="O2620" s="96">
        <f t="shared" si="163"/>
        <v>842</v>
      </c>
      <c r="T2620" s="110"/>
    </row>
    <row r="2621" spans="3:20" x14ac:dyDescent="0.2">
      <c r="C2621" s="96" t="str">
        <f t="shared" si="160"/>
        <v>843</v>
      </c>
      <c r="D2621" s="73"/>
      <c r="E2621" s="100"/>
      <c r="F2621" s="101"/>
      <c r="G2621" s="96">
        <f t="shared" si="161"/>
        <v>843</v>
      </c>
      <c r="I2621" s="96"/>
      <c r="K2621" t="str">
        <f t="shared" si="162"/>
        <v>843</v>
      </c>
      <c r="M2621" s="72"/>
      <c r="O2621" s="96">
        <f t="shared" si="163"/>
        <v>843</v>
      </c>
      <c r="T2621" s="110"/>
    </row>
    <row r="2622" spans="3:20" x14ac:dyDescent="0.2">
      <c r="C2622" s="96" t="str">
        <f t="shared" si="160"/>
        <v>844</v>
      </c>
      <c r="D2622" s="73"/>
      <c r="E2622" s="100"/>
      <c r="F2622" s="101"/>
      <c r="G2622" s="96">
        <f t="shared" si="161"/>
        <v>844</v>
      </c>
      <c r="I2622" s="96"/>
      <c r="K2622" t="str">
        <f t="shared" si="162"/>
        <v>844</v>
      </c>
      <c r="M2622" s="72"/>
      <c r="O2622" s="96">
        <f t="shared" si="163"/>
        <v>844</v>
      </c>
      <c r="T2622" s="110"/>
    </row>
    <row r="2623" spans="3:20" x14ac:dyDescent="0.2">
      <c r="C2623" s="96" t="str">
        <f t="shared" si="160"/>
        <v>845</v>
      </c>
      <c r="D2623" s="73"/>
      <c r="E2623" s="100"/>
      <c r="F2623" s="101"/>
      <c r="G2623" s="96">
        <f t="shared" si="161"/>
        <v>845</v>
      </c>
      <c r="I2623" s="96"/>
      <c r="K2623" t="str">
        <f t="shared" si="162"/>
        <v>845</v>
      </c>
      <c r="M2623" s="72"/>
      <c r="O2623" s="96">
        <f t="shared" si="163"/>
        <v>845</v>
      </c>
      <c r="T2623" s="110"/>
    </row>
    <row r="2624" spans="3:20" x14ac:dyDescent="0.2">
      <c r="C2624" s="96" t="str">
        <f t="shared" si="160"/>
        <v>846</v>
      </c>
      <c r="D2624" s="73"/>
      <c r="E2624" s="100"/>
      <c r="F2624" s="101"/>
      <c r="G2624" s="96">
        <f t="shared" si="161"/>
        <v>846</v>
      </c>
      <c r="I2624" s="96"/>
      <c r="K2624" t="str">
        <f t="shared" si="162"/>
        <v>846</v>
      </c>
      <c r="M2624" s="72"/>
      <c r="O2624" s="96">
        <f t="shared" si="163"/>
        <v>846</v>
      </c>
      <c r="T2624" s="110"/>
    </row>
    <row r="2625" spans="3:20" x14ac:dyDescent="0.2">
      <c r="C2625" s="96" t="str">
        <f t="shared" si="160"/>
        <v>847</v>
      </c>
      <c r="D2625" s="73"/>
      <c r="E2625" s="100"/>
      <c r="F2625" s="101"/>
      <c r="G2625" s="96">
        <f t="shared" si="161"/>
        <v>847</v>
      </c>
      <c r="I2625" s="96"/>
      <c r="K2625" t="str">
        <f t="shared" si="162"/>
        <v>847</v>
      </c>
      <c r="M2625" s="72"/>
      <c r="O2625" s="96">
        <f t="shared" si="163"/>
        <v>847</v>
      </c>
      <c r="T2625" s="110"/>
    </row>
    <row r="2626" spans="3:20" x14ac:dyDescent="0.2">
      <c r="C2626" s="96" t="str">
        <f t="shared" si="160"/>
        <v>848</v>
      </c>
      <c r="D2626" s="73"/>
      <c r="E2626" s="100"/>
      <c r="F2626" s="101"/>
      <c r="G2626" s="96">
        <f t="shared" si="161"/>
        <v>848</v>
      </c>
      <c r="I2626" s="96"/>
      <c r="K2626" t="str">
        <f t="shared" si="162"/>
        <v>848</v>
      </c>
      <c r="M2626" s="72"/>
      <c r="O2626" s="96">
        <f t="shared" si="163"/>
        <v>848</v>
      </c>
      <c r="T2626" s="110"/>
    </row>
    <row r="2627" spans="3:20" x14ac:dyDescent="0.2">
      <c r="C2627" s="96" t="str">
        <f t="shared" ref="C2627:C2690" si="164">D2627&amp;G2627</f>
        <v>849</v>
      </c>
      <c r="D2627" s="73"/>
      <c r="E2627" s="100"/>
      <c r="F2627" s="101"/>
      <c r="G2627" s="96">
        <f t="shared" ref="G2627:G2690" si="165">IF(D2627&lt;&gt;D2626,1,G2626+1)</f>
        <v>849</v>
      </c>
      <c r="I2627" s="96"/>
      <c r="K2627" t="str">
        <f t="shared" ref="K2627:K2690" si="166">L2627&amp;O2627</f>
        <v>849</v>
      </c>
      <c r="M2627" s="72"/>
      <c r="O2627" s="96">
        <f t="shared" ref="O2627:O2690" si="167">IF(L2627&lt;&gt;L2626,1,O2626+1)</f>
        <v>849</v>
      </c>
      <c r="T2627" s="110"/>
    </row>
    <row r="2628" spans="3:20" x14ac:dyDescent="0.2">
      <c r="C2628" s="96" t="str">
        <f t="shared" si="164"/>
        <v>850</v>
      </c>
      <c r="D2628" s="73"/>
      <c r="E2628" s="100"/>
      <c r="F2628" s="101"/>
      <c r="G2628" s="96">
        <f t="shared" si="165"/>
        <v>850</v>
      </c>
      <c r="I2628" s="96"/>
      <c r="K2628" t="str">
        <f t="shared" si="166"/>
        <v>850</v>
      </c>
      <c r="M2628" s="72"/>
      <c r="O2628" s="96">
        <f t="shared" si="167"/>
        <v>850</v>
      </c>
      <c r="T2628" s="110"/>
    </row>
    <row r="2629" spans="3:20" x14ac:dyDescent="0.2">
      <c r="C2629" s="96" t="str">
        <f t="shared" si="164"/>
        <v>851</v>
      </c>
      <c r="D2629" s="73"/>
      <c r="E2629" s="100"/>
      <c r="F2629" s="101"/>
      <c r="G2629" s="96">
        <f t="shared" si="165"/>
        <v>851</v>
      </c>
      <c r="I2629" s="96"/>
      <c r="K2629" t="str">
        <f t="shared" si="166"/>
        <v>851</v>
      </c>
      <c r="M2629" s="72"/>
      <c r="O2629" s="96">
        <f t="shared" si="167"/>
        <v>851</v>
      </c>
      <c r="T2629" s="110"/>
    </row>
    <row r="2630" spans="3:20" x14ac:dyDescent="0.2">
      <c r="C2630" s="96" t="str">
        <f t="shared" si="164"/>
        <v>852</v>
      </c>
      <c r="D2630" s="73"/>
      <c r="E2630" s="100"/>
      <c r="F2630" s="101"/>
      <c r="G2630" s="96">
        <f t="shared" si="165"/>
        <v>852</v>
      </c>
      <c r="I2630" s="96"/>
      <c r="K2630" t="str">
        <f t="shared" si="166"/>
        <v>852</v>
      </c>
      <c r="M2630" s="72"/>
      <c r="O2630" s="96">
        <f t="shared" si="167"/>
        <v>852</v>
      </c>
      <c r="T2630" s="110"/>
    </row>
    <row r="2631" spans="3:20" x14ac:dyDescent="0.2">
      <c r="C2631" s="96" t="str">
        <f t="shared" si="164"/>
        <v>853</v>
      </c>
      <c r="D2631" s="73"/>
      <c r="E2631" s="100"/>
      <c r="F2631" s="101"/>
      <c r="G2631" s="96">
        <f t="shared" si="165"/>
        <v>853</v>
      </c>
      <c r="I2631" s="96"/>
      <c r="K2631" t="str">
        <f t="shared" si="166"/>
        <v>853</v>
      </c>
      <c r="M2631" s="72"/>
      <c r="O2631" s="96">
        <f t="shared" si="167"/>
        <v>853</v>
      </c>
      <c r="T2631" s="110"/>
    </row>
    <row r="2632" spans="3:20" x14ac:dyDescent="0.2">
      <c r="C2632" s="96" t="str">
        <f t="shared" si="164"/>
        <v>854</v>
      </c>
      <c r="D2632" s="73"/>
      <c r="E2632" s="100"/>
      <c r="F2632" s="101"/>
      <c r="G2632" s="96">
        <f t="shared" si="165"/>
        <v>854</v>
      </c>
      <c r="I2632" s="96"/>
      <c r="K2632" t="str">
        <f t="shared" si="166"/>
        <v>854</v>
      </c>
      <c r="M2632" s="72"/>
      <c r="O2632" s="96">
        <f t="shared" si="167"/>
        <v>854</v>
      </c>
      <c r="T2632" s="110"/>
    </row>
    <row r="2633" spans="3:20" x14ac:dyDescent="0.2">
      <c r="C2633" s="96" t="str">
        <f t="shared" si="164"/>
        <v>855</v>
      </c>
      <c r="D2633" s="73"/>
      <c r="E2633" s="100"/>
      <c r="F2633" s="101"/>
      <c r="G2633" s="96">
        <f t="shared" si="165"/>
        <v>855</v>
      </c>
      <c r="I2633" s="96"/>
      <c r="K2633" t="str">
        <f t="shared" si="166"/>
        <v>855</v>
      </c>
      <c r="M2633" s="72"/>
      <c r="O2633" s="96">
        <f t="shared" si="167"/>
        <v>855</v>
      </c>
      <c r="T2633" s="110"/>
    </row>
    <row r="2634" spans="3:20" x14ac:dyDescent="0.2">
      <c r="C2634" s="96" t="str">
        <f t="shared" si="164"/>
        <v>856</v>
      </c>
      <c r="D2634" s="73"/>
      <c r="E2634" s="100"/>
      <c r="F2634" s="101"/>
      <c r="G2634" s="96">
        <f t="shared" si="165"/>
        <v>856</v>
      </c>
      <c r="I2634" s="96"/>
      <c r="K2634" t="str">
        <f t="shared" si="166"/>
        <v>856</v>
      </c>
      <c r="M2634" s="72"/>
      <c r="O2634" s="96">
        <f t="shared" si="167"/>
        <v>856</v>
      </c>
      <c r="T2634" s="110"/>
    </row>
    <row r="2635" spans="3:20" x14ac:dyDescent="0.2">
      <c r="C2635" s="96" t="str">
        <f t="shared" si="164"/>
        <v>857</v>
      </c>
      <c r="D2635" s="73"/>
      <c r="E2635" s="100"/>
      <c r="F2635" s="101"/>
      <c r="G2635" s="96">
        <f t="shared" si="165"/>
        <v>857</v>
      </c>
      <c r="I2635" s="96"/>
      <c r="K2635" t="str">
        <f t="shared" si="166"/>
        <v>857</v>
      </c>
      <c r="M2635" s="72"/>
      <c r="O2635" s="96">
        <f t="shared" si="167"/>
        <v>857</v>
      </c>
      <c r="T2635" s="110"/>
    </row>
    <row r="2636" spans="3:20" x14ac:dyDescent="0.2">
      <c r="C2636" s="96" t="str">
        <f t="shared" si="164"/>
        <v>858</v>
      </c>
      <c r="D2636" s="73"/>
      <c r="E2636" s="100"/>
      <c r="F2636" s="101"/>
      <c r="G2636" s="96">
        <f t="shared" si="165"/>
        <v>858</v>
      </c>
      <c r="I2636" s="96"/>
      <c r="K2636" t="str">
        <f t="shared" si="166"/>
        <v>858</v>
      </c>
      <c r="M2636" s="72"/>
      <c r="O2636" s="96">
        <f t="shared" si="167"/>
        <v>858</v>
      </c>
      <c r="T2636" s="110"/>
    </row>
    <row r="2637" spans="3:20" x14ac:dyDescent="0.2">
      <c r="C2637" s="96" t="str">
        <f t="shared" si="164"/>
        <v>859</v>
      </c>
      <c r="D2637" s="73"/>
      <c r="E2637" s="100"/>
      <c r="F2637" s="101"/>
      <c r="G2637" s="96">
        <f t="shared" si="165"/>
        <v>859</v>
      </c>
      <c r="I2637" s="96"/>
      <c r="K2637" t="str">
        <f t="shared" si="166"/>
        <v>859</v>
      </c>
      <c r="M2637" s="72"/>
      <c r="O2637" s="96">
        <f t="shared" si="167"/>
        <v>859</v>
      </c>
      <c r="T2637" s="110"/>
    </row>
    <row r="2638" spans="3:20" x14ac:dyDescent="0.2">
      <c r="C2638" s="96" t="str">
        <f t="shared" si="164"/>
        <v>860</v>
      </c>
      <c r="D2638" s="73"/>
      <c r="E2638" s="100"/>
      <c r="F2638" s="101"/>
      <c r="G2638" s="96">
        <f t="shared" si="165"/>
        <v>860</v>
      </c>
      <c r="I2638" s="96"/>
      <c r="K2638" t="str">
        <f t="shared" si="166"/>
        <v>860</v>
      </c>
      <c r="M2638" s="72"/>
      <c r="O2638" s="96">
        <f t="shared" si="167"/>
        <v>860</v>
      </c>
      <c r="T2638" s="110"/>
    </row>
    <row r="2639" spans="3:20" x14ac:dyDescent="0.2">
      <c r="C2639" s="96" t="str">
        <f t="shared" si="164"/>
        <v>861</v>
      </c>
      <c r="D2639" s="73"/>
      <c r="E2639" s="100"/>
      <c r="F2639" s="101"/>
      <c r="G2639" s="96">
        <f t="shared" si="165"/>
        <v>861</v>
      </c>
      <c r="I2639" s="96"/>
      <c r="K2639" t="str">
        <f t="shared" si="166"/>
        <v>861</v>
      </c>
      <c r="M2639" s="72"/>
      <c r="O2639" s="96">
        <f t="shared" si="167"/>
        <v>861</v>
      </c>
      <c r="T2639" s="110"/>
    </row>
    <row r="2640" spans="3:20" x14ac:dyDescent="0.2">
      <c r="C2640" s="96" t="str">
        <f t="shared" si="164"/>
        <v>862</v>
      </c>
      <c r="D2640" s="73"/>
      <c r="E2640" s="100"/>
      <c r="F2640" s="101"/>
      <c r="G2640" s="96">
        <f t="shared" si="165"/>
        <v>862</v>
      </c>
      <c r="I2640" s="96"/>
      <c r="K2640" t="str">
        <f t="shared" si="166"/>
        <v>862</v>
      </c>
      <c r="M2640" s="72"/>
      <c r="O2640" s="96">
        <f t="shared" si="167"/>
        <v>862</v>
      </c>
      <c r="T2640" s="110"/>
    </row>
    <row r="2641" spans="3:20" x14ac:dyDescent="0.2">
      <c r="C2641" s="96" t="str">
        <f t="shared" si="164"/>
        <v>863</v>
      </c>
      <c r="D2641" s="73"/>
      <c r="E2641" s="100"/>
      <c r="F2641" s="101"/>
      <c r="G2641" s="96">
        <f t="shared" si="165"/>
        <v>863</v>
      </c>
      <c r="I2641" s="96"/>
      <c r="K2641" t="str">
        <f t="shared" si="166"/>
        <v>863</v>
      </c>
      <c r="M2641" s="72"/>
      <c r="O2641" s="96">
        <f t="shared" si="167"/>
        <v>863</v>
      </c>
      <c r="T2641" s="110"/>
    </row>
    <row r="2642" spans="3:20" x14ac:dyDescent="0.2">
      <c r="C2642" s="96" t="str">
        <f t="shared" si="164"/>
        <v>864</v>
      </c>
      <c r="D2642" s="73"/>
      <c r="E2642" s="100"/>
      <c r="F2642" s="101"/>
      <c r="G2642" s="96">
        <f t="shared" si="165"/>
        <v>864</v>
      </c>
      <c r="I2642" s="96"/>
      <c r="K2642" t="str">
        <f t="shared" si="166"/>
        <v>864</v>
      </c>
      <c r="M2642" s="72"/>
      <c r="O2642" s="96">
        <f t="shared" si="167"/>
        <v>864</v>
      </c>
      <c r="T2642" s="110"/>
    </row>
    <row r="2643" spans="3:20" x14ac:dyDescent="0.2">
      <c r="C2643" s="96" t="str">
        <f t="shared" si="164"/>
        <v>865</v>
      </c>
      <c r="D2643" s="73"/>
      <c r="E2643" s="100"/>
      <c r="F2643" s="101"/>
      <c r="G2643" s="96">
        <f t="shared" si="165"/>
        <v>865</v>
      </c>
      <c r="I2643" s="96"/>
      <c r="K2643" t="str">
        <f t="shared" si="166"/>
        <v>865</v>
      </c>
      <c r="M2643" s="72"/>
      <c r="O2643" s="96">
        <f t="shared" si="167"/>
        <v>865</v>
      </c>
      <c r="T2643" s="110"/>
    </row>
    <row r="2644" spans="3:20" x14ac:dyDescent="0.2">
      <c r="C2644" s="96" t="str">
        <f t="shared" si="164"/>
        <v>866</v>
      </c>
      <c r="D2644" s="73"/>
      <c r="E2644" s="100"/>
      <c r="F2644" s="101"/>
      <c r="G2644" s="96">
        <f t="shared" si="165"/>
        <v>866</v>
      </c>
      <c r="I2644" s="96"/>
      <c r="K2644" t="str">
        <f t="shared" si="166"/>
        <v>866</v>
      </c>
      <c r="M2644" s="72"/>
      <c r="O2644" s="96">
        <f t="shared" si="167"/>
        <v>866</v>
      </c>
      <c r="T2644" s="110"/>
    </row>
    <row r="2645" spans="3:20" x14ac:dyDescent="0.2">
      <c r="C2645" s="96" t="str">
        <f t="shared" si="164"/>
        <v>867</v>
      </c>
      <c r="D2645" s="73"/>
      <c r="E2645" s="100"/>
      <c r="F2645" s="101"/>
      <c r="G2645" s="96">
        <f t="shared" si="165"/>
        <v>867</v>
      </c>
      <c r="I2645" s="96"/>
      <c r="K2645" t="str">
        <f t="shared" si="166"/>
        <v>867</v>
      </c>
      <c r="M2645" s="72"/>
      <c r="O2645" s="96">
        <f t="shared" si="167"/>
        <v>867</v>
      </c>
      <c r="T2645" s="110"/>
    </row>
    <row r="2646" spans="3:20" x14ac:dyDescent="0.2">
      <c r="C2646" s="96" t="str">
        <f t="shared" si="164"/>
        <v>868</v>
      </c>
      <c r="D2646" s="73"/>
      <c r="E2646" s="100"/>
      <c r="F2646" s="101"/>
      <c r="G2646" s="96">
        <f t="shared" si="165"/>
        <v>868</v>
      </c>
      <c r="I2646" s="96"/>
      <c r="K2646" t="str">
        <f t="shared" si="166"/>
        <v>868</v>
      </c>
      <c r="M2646" s="72"/>
      <c r="O2646" s="96">
        <f t="shared" si="167"/>
        <v>868</v>
      </c>
      <c r="T2646" s="110"/>
    </row>
    <row r="2647" spans="3:20" x14ac:dyDescent="0.2">
      <c r="C2647" s="96" t="str">
        <f t="shared" si="164"/>
        <v>869</v>
      </c>
      <c r="D2647" s="73"/>
      <c r="E2647" s="100"/>
      <c r="F2647" s="101"/>
      <c r="G2647" s="96">
        <f t="shared" si="165"/>
        <v>869</v>
      </c>
      <c r="I2647" s="96"/>
      <c r="K2647" t="str">
        <f t="shared" si="166"/>
        <v>869</v>
      </c>
      <c r="M2647" s="72"/>
      <c r="O2647" s="96">
        <f t="shared" si="167"/>
        <v>869</v>
      </c>
      <c r="T2647" s="110"/>
    </row>
    <row r="2648" spans="3:20" x14ac:dyDescent="0.2">
      <c r="C2648" s="96" t="str">
        <f t="shared" si="164"/>
        <v>870</v>
      </c>
      <c r="D2648" s="73"/>
      <c r="E2648" s="100"/>
      <c r="F2648" s="101"/>
      <c r="G2648" s="96">
        <f t="shared" si="165"/>
        <v>870</v>
      </c>
      <c r="I2648" s="96"/>
      <c r="K2648" t="str">
        <f t="shared" si="166"/>
        <v>870</v>
      </c>
      <c r="M2648" s="72"/>
      <c r="O2648" s="96">
        <f t="shared" si="167"/>
        <v>870</v>
      </c>
      <c r="T2648" s="110"/>
    </row>
    <row r="2649" spans="3:20" x14ac:dyDescent="0.2">
      <c r="C2649" s="96" t="str">
        <f t="shared" si="164"/>
        <v>871</v>
      </c>
      <c r="D2649" s="73"/>
      <c r="E2649" s="100"/>
      <c r="F2649" s="101"/>
      <c r="G2649" s="96">
        <f t="shared" si="165"/>
        <v>871</v>
      </c>
      <c r="I2649" s="96"/>
      <c r="K2649" t="str">
        <f t="shared" si="166"/>
        <v>871</v>
      </c>
      <c r="M2649" s="72"/>
      <c r="O2649" s="96">
        <f t="shared" si="167"/>
        <v>871</v>
      </c>
      <c r="T2649" s="110"/>
    </row>
    <row r="2650" spans="3:20" x14ac:dyDescent="0.2">
      <c r="C2650" s="96" t="str">
        <f t="shared" si="164"/>
        <v>872</v>
      </c>
      <c r="D2650" s="73"/>
      <c r="E2650" s="100"/>
      <c r="F2650" s="101"/>
      <c r="G2650" s="96">
        <f t="shared" si="165"/>
        <v>872</v>
      </c>
      <c r="I2650" s="96"/>
      <c r="K2650" t="str">
        <f t="shared" si="166"/>
        <v>872</v>
      </c>
      <c r="M2650" s="72"/>
      <c r="O2650" s="96">
        <f t="shared" si="167"/>
        <v>872</v>
      </c>
      <c r="T2650" s="110"/>
    </row>
    <row r="2651" spans="3:20" x14ac:dyDescent="0.2">
      <c r="C2651" s="96" t="str">
        <f t="shared" si="164"/>
        <v>873</v>
      </c>
      <c r="D2651" s="73"/>
      <c r="E2651" s="100"/>
      <c r="F2651" s="101"/>
      <c r="G2651" s="96">
        <f t="shared" si="165"/>
        <v>873</v>
      </c>
      <c r="I2651" s="96"/>
      <c r="K2651" t="str">
        <f t="shared" si="166"/>
        <v>873</v>
      </c>
      <c r="M2651" s="72"/>
      <c r="O2651" s="96">
        <f t="shared" si="167"/>
        <v>873</v>
      </c>
      <c r="T2651" s="110"/>
    </row>
    <row r="2652" spans="3:20" x14ac:dyDescent="0.2">
      <c r="C2652" s="96" t="str">
        <f t="shared" si="164"/>
        <v>874</v>
      </c>
      <c r="D2652" s="73"/>
      <c r="E2652" s="100"/>
      <c r="F2652" s="101"/>
      <c r="G2652" s="96">
        <f t="shared" si="165"/>
        <v>874</v>
      </c>
      <c r="I2652" s="96"/>
      <c r="K2652" t="str">
        <f t="shared" si="166"/>
        <v>874</v>
      </c>
      <c r="M2652" s="72"/>
      <c r="O2652" s="96">
        <f t="shared" si="167"/>
        <v>874</v>
      </c>
      <c r="T2652" s="110"/>
    </row>
    <row r="2653" spans="3:20" x14ac:dyDescent="0.2">
      <c r="C2653" s="96" t="str">
        <f t="shared" si="164"/>
        <v>875</v>
      </c>
      <c r="D2653" s="73"/>
      <c r="E2653" s="100"/>
      <c r="F2653" s="101"/>
      <c r="G2653" s="96">
        <f t="shared" si="165"/>
        <v>875</v>
      </c>
      <c r="I2653" s="96"/>
      <c r="K2653" t="str">
        <f t="shared" si="166"/>
        <v>875</v>
      </c>
      <c r="M2653" s="72"/>
      <c r="O2653" s="96">
        <f t="shared" si="167"/>
        <v>875</v>
      </c>
      <c r="T2653" s="110"/>
    </row>
    <row r="2654" spans="3:20" x14ac:dyDescent="0.2">
      <c r="C2654" s="96" t="str">
        <f t="shared" si="164"/>
        <v>876</v>
      </c>
      <c r="D2654" s="73"/>
      <c r="E2654" s="100"/>
      <c r="F2654" s="101"/>
      <c r="G2654" s="96">
        <f t="shared" si="165"/>
        <v>876</v>
      </c>
      <c r="I2654" s="96"/>
      <c r="K2654" t="str">
        <f t="shared" si="166"/>
        <v>876</v>
      </c>
      <c r="M2654" s="72"/>
      <c r="O2654" s="96">
        <f t="shared" si="167"/>
        <v>876</v>
      </c>
      <c r="T2654" s="110"/>
    </row>
    <row r="2655" spans="3:20" x14ac:dyDescent="0.2">
      <c r="C2655" s="96" t="str">
        <f t="shared" si="164"/>
        <v>877</v>
      </c>
      <c r="D2655" s="73"/>
      <c r="E2655" s="100"/>
      <c r="F2655" s="101"/>
      <c r="G2655" s="96">
        <f t="shared" si="165"/>
        <v>877</v>
      </c>
      <c r="I2655" s="96"/>
      <c r="K2655" t="str">
        <f t="shared" si="166"/>
        <v>877</v>
      </c>
      <c r="M2655" s="72"/>
      <c r="O2655" s="96">
        <f t="shared" si="167"/>
        <v>877</v>
      </c>
      <c r="T2655" s="110"/>
    </row>
    <row r="2656" spans="3:20" x14ac:dyDescent="0.2">
      <c r="C2656" s="96" t="str">
        <f t="shared" si="164"/>
        <v>878</v>
      </c>
      <c r="D2656" s="73"/>
      <c r="E2656" s="100"/>
      <c r="F2656" s="101"/>
      <c r="G2656" s="96">
        <f t="shared" si="165"/>
        <v>878</v>
      </c>
      <c r="I2656" s="96"/>
      <c r="K2656" t="str">
        <f t="shared" si="166"/>
        <v>878</v>
      </c>
      <c r="M2656" s="72"/>
      <c r="O2656" s="96">
        <f t="shared" si="167"/>
        <v>878</v>
      </c>
      <c r="T2656" s="110"/>
    </row>
    <row r="2657" spans="3:20" x14ac:dyDescent="0.2">
      <c r="C2657" s="96" t="str">
        <f t="shared" si="164"/>
        <v>879</v>
      </c>
      <c r="D2657" s="73"/>
      <c r="E2657" s="100"/>
      <c r="F2657" s="101"/>
      <c r="G2657" s="96">
        <f t="shared" si="165"/>
        <v>879</v>
      </c>
      <c r="I2657" s="96"/>
      <c r="K2657" t="str">
        <f t="shared" si="166"/>
        <v>879</v>
      </c>
      <c r="M2657" s="72"/>
      <c r="O2657" s="96">
        <f t="shared" si="167"/>
        <v>879</v>
      </c>
      <c r="T2657" s="110"/>
    </row>
    <row r="2658" spans="3:20" x14ac:dyDescent="0.2">
      <c r="C2658" s="96" t="str">
        <f t="shared" si="164"/>
        <v>880</v>
      </c>
      <c r="D2658" s="73"/>
      <c r="E2658" s="100"/>
      <c r="F2658" s="101"/>
      <c r="G2658" s="96">
        <f t="shared" si="165"/>
        <v>880</v>
      </c>
      <c r="I2658" s="96"/>
      <c r="K2658" t="str">
        <f t="shared" si="166"/>
        <v>880</v>
      </c>
      <c r="M2658" s="72"/>
      <c r="O2658" s="96">
        <f t="shared" si="167"/>
        <v>880</v>
      </c>
      <c r="T2658" s="110"/>
    </row>
    <row r="2659" spans="3:20" x14ac:dyDescent="0.2">
      <c r="C2659" s="96" t="str">
        <f t="shared" si="164"/>
        <v>881</v>
      </c>
      <c r="D2659" s="73"/>
      <c r="E2659" s="100"/>
      <c r="F2659" s="101"/>
      <c r="G2659" s="96">
        <f t="shared" si="165"/>
        <v>881</v>
      </c>
      <c r="I2659" s="96"/>
      <c r="K2659" t="str">
        <f t="shared" si="166"/>
        <v>881</v>
      </c>
      <c r="M2659" s="72"/>
      <c r="O2659" s="96">
        <f t="shared" si="167"/>
        <v>881</v>
      </c>
      <c r="T2659" s="110"/>
    </row>
    <row r="2660" spans="3:20" x14ac:dyDescent="0.2">
      <c r="C2660" s="96" t="str">
        <f t="shared" si="164"/>
        <v>882</v>
      </c>
      <c r="D2660" s="73"/>
      <c r="E2660" s="100"/>
      <c r="F2660" s="101"/>
      <c r="G2660" s="96">
        <f t="shared" si="165"/>
        <v>882</v>
      </c>
      <c r="I2660" s="96"/>
      <c r="K2660" t="str">
        <f t="shared" si="166"/>
        <v>882</v>
      </c>
      <c r="M2660" s="72"/>
      <c r="O2660" s="96">
        <f t="shared" si="167"/>
        <v>882</v>
      </c>
      <c r="T2660" s="110"/>
    </row>
    <row r="2661" spans="3:20" x14ac:dyDescent="0.2">
      <c r="C2661" s="96" t="str">
        <f t="shared" si="164"/>
        <v>883</v>
      </c>
      <c r="D2661" s="73"/>
      <c r="E2661" s="100"/>
      <c r="F2661" s="101"/>
      <c r="G2661" s="96">
        <f t="shared" si="165"/>
        <v>883</v>
      </c>
      <c r="I2661" s="96"/>
      <c r="K2661" t="str">
        <f t="shared" si="166"/>
        <v>883</v>
      </c>
      <c r="M2661" s="72"/>
      <c r="O2661" s="96">
        <f t="shared" si="167"/>
        <v>883</v>
      </c>
      <c r="T2661" s="110"/>
    </row>
    <row r="2662" spans="3:20" x14ac:dyDescent="0.2">
      <c r="C2662" s="96" t="str">
        <f t="shared" si="164"/>
        <v>884</v>
      </c>
      <c r="D2662" s="73"/>
      <c r="E2662" s="100"/>
      <c r="F2662" s="101"/>
      <c r="G2662" s="96">
        <f t="shared" si="165"/>
        <v>884</v>
      </c>
      <c r="I2662" s="96"/>
      <c r="K2662" t="str">
        <f t="shared" si="166"/>
        <v>884</v>
      </c>
      <c r="M2662" s="72"/>
      <c r="O2662" s="96">
        <f t="shared" si="167"/>
        <v>884</v>
      </c>
      <c r="T2662" s="110"/>
    </row>
    <row r="2663" spans="3:20" x14ac:dyDescent="0.2">
      <c r="C2663" s="96" t="str">
        <f t="shared" si="164"/>
        <v>885</v>
      </c>
      <c r="D2663" s="73"/>
      <c r="E2663" s="100"/>
      <c r="F2663" s="101"/>
      <c r="G2663" s="96">
        <f t="shared" si="165"/>
        <v>885</v>
      </c>
      <c r="I2663" s="96"/>
      <c r="K2663" t="str">
        <f t="shared" si="166"/>
        <v>885</v>
      </c>
      <c r="M2663" s="72"/>
      <c r="O2663" s="96">
        <f t="shared" si="167"/>
        <v>885</v>
      </c>
      <c r="T2663" s="110"/>
    </row>
    <row r="2664" spans="3:20" x14ac:dyDescent="0.2">
      <c r="C2664" s="96" t="str">
        <f t="shared" si="164"/>
        <v>886</v>
      </c>
      <c r="D2664" s="73"/>
      <c r="E2664" s="100"/>
      <c r="F2664" s="101"/>
      <c r="G2664" s="96">
        <f t="shared" si="165"/>
        <v>886</v>
      </c>
      <c r="I2664" s="96"/>
      <c r="K2664" t="str">
        <f t="shared" si="166"/>
        <v>886</v>
      </c>
      <c r="M2664" s="72"/>
      <c r="O2664" s="96">
        <f t="shared" si="167"/>
        <v>886</v>
      </c>
      <c r="T2664" s="110"/>
    </row>
    <row r="2665" spans="3:20" x14ac:dyDescent="0.2">
      <c r="C2665" s="96" t="str">
        <f t="shared" si="164"/>
        <v>887</v>
      </c>
      <c r="D2665" s="73"/>
      <c r="E2665" s="100"/>
      <c r="F2665" s="101"/>
      <c r="G2665" s="96">
        <f t="shared" si="165"/>
        <v>887</v>
      </c>
      <c r="I2665" s="96"/>
      <c r="K2665" t="str">
        <f t="shared" si="166"/>
        <v>887</v>
      </c>
      <c r="M2665" s="72"/>
      <c r="O2665" s="96">
        <f t="shared" si="167"/>
        <v>887</v>
      </c>
      <c r="T2665" s="110"/>
    </row>
    <row r="2666" spans="3:20" x14ac:dyDescent="0.2">
      <c r="C2666" s="96" t="str">
        <f t="shared" si="164"/>
        <v>888</v>
      </c>
      <c r="D2666" s="73"/>
      <c r="E2666" s="100"/>
      <c r="F2666" s="101"/>
      <c r="G2666" s="96">
        <f t="shared" si="165"/>
        <v>888</v>
      </c>
      <c r="I2666" s="96"/>
      <c r="K2666" t="str">
        <f t="shared" si="166"/>
        <v>888</v>
      </c>
      <c r="M2666" s="72"/>
      <c r="O2666" s="96">
        <f t="shared" si="167"/>
        <v>888</v>
      </c>
      <c r="T2666" s="110"/>
    </row>
    <row r="2667" spans="3:20" x14ac:dyDescent="0.2">
      <c r="C2667" s="96" t="str">
        <f t="shared" si="164"/>
        <v>889</v>
      </c>
      <c r="D2667" s="73"/>
      <c r="E2667" s="100"/>
      <c r="F2667" s="101"/>
      <c r="G2667" s="96">
        <f t="shared" si="165"/>
        <v>889</v>
      </c>
      <c r="I2667" s="96"/>
      <c r="K2667" t="str">
        <f t="shared" si="166"/>
        <v>889</v>
      </c>
      <c r="M2667" s="72"/>
      <c r="O2667" s="96">
        <f t="shared" si="167"/>
        <v>889</v>
      </c>
      <c r="T2667" s="110"/>
    </row>
    <row r="2668" spans="3:20" x14ac:dyDescent="0.2">
      <c r="C2668" s="96" t="str">
        <f t="shared" si="164"/>
        <v>890</v>
      </c>
      <c r="D2668" s="73"/>
      <c r="E2668" s="100"/>
      <c r="F2668" s="101"/>
      <c r="G2668" s="96">
        <f t="shared" si="165"/>
        <v>890</v>
      </c>
      <c r="I2668" s="96"/>
      <c r="K2668" t="str">
        <f t="shared" si="166"/>
        <v>890</v>
      </c>
      <c r="M2668" s="72"/>
      <c r="O2668" s="96">
        <f t="shared" si="167"/>
        <v>890</v>
      </c>
      <c r="T2668" s="110"/>
    </row>
    <row r="2669" spans="3:20" x14ac:dyDescent="0.2">
      <c r="C2669" s="96" t="str">
        <f t="shared" si="164"/>
        <v>891</v>
      </c>
      <c r="D2669" s="73"/>
      <c r="E2669" s="100"/>
      <c r="F2669" s="101"/>
      <c r="G2669" s="96">
        <f t="shared" si="165"/>
        <v>891</v>
      </c>
      <c r="I2669" s="96"/>
      <c r="K2669" t="str">
        <f t="shared" si="166"/>
        <v>891</v>
      </c>
      <c r="M2669" s="72"/>
      <c r="O2669" s="96">
        <f t="shared" si="167"/>
        <v>891</v>
      </c>
      <c r="T2669" s="110"/>
    </row>
    <row r="2670" spans="3:20" x14ac:dyDescent="0.2">
      <c r="C2670" s="96" t="str">
        <f t="shared" si="164"/>
        <v>892</v>
      </c>
      <c r="D2670" s="73"/>
      <c r="E2670" s="100"/>
      <c r="F2670" s="101"/>
      <c r="G2670" s="96">
        <f t="shared" si="165"/>
        <v>892</v>
      </c>
      <c r="I2670" s="96"/>
      <c r="K2670" t="str">
        <f t="shared" si="166"/>
        <v>892</v>
      </c>
      <c r="M2670" s="72"/>
      <c r="O2670" s="96">
        <f t="shared" si="167"/>
        <v>892</v>
      </c>
      <c r="T2670" s="110"/>
    </row>
    <row r="2671" spans="3:20" x14ac:dyDescent="0.2">
      <c r="C2671" s="96" t="str">
        <f t="shared" si="164"/>
        <v>893</v>
      </c>
      <c r="D2671" s="73"/>
      <c r="E2671" s="100"/>
      <c r="F2671" s="101"/>
      <c r="G2671" s="96">
        <f t="shared" si="165"/>
        <v>893</v>
      </c>
      <c r="I2671" s="96"/>
      <c r="K2671" t="str">
        <f t="shared" si="166"/>
        <v>893</v>
      </c>
      <c r="M2671" s="72"/>
      <c r="O2671" s="96">
        <f t="shared" si="167"/>
        <v>893</v>
      </c>
      <c r="T2671" s="110"/>
    </row>
    <row r="2672" spans="3:20" x14ac:dyDescent="0.2">
      <c r="C2672" s="96" t="str">
        <f t="shared" si="164"/>
        <v>894</v>
      </c>
      <c r="D2672" s="73"/>
      <c r="E2672" s="100"/>
      <c r="F2672" s="101"/>
      <c r="G2672" s="96">
        <f t="shared" si="165"/>
        <v>894</v>
      </c>
      <c r="I2672" s="96"/>
      <c r="K2672" t="str">
        <f t="shared" si="166"/>
        <v>894</v>
      </c>
      <c r="M2672" s="72"/>
      <c r="O2672" s="96">
        <f t="shared" si="167"/>
        <v>894</v>
      </c>
      <c r="T2672" s="110"/>
    </row>
    <row r="2673" spans="3:20" x14ac:dyDescent="0.2">
      <c r="C2673" s="96" t="str">
        <f t="shared" si="164"/>
        <v>895</v>
      </c>
      <c r="D2673" s="73"/>
      <c r="E2673" s="100"/>
      <c r="F2673" s="101"/>
      <c r="G2673" s="96">
        <f t="shared" si="165"/>
        <v>895</v>
      </c>
      <c r="I2673" s="96"/>
      <c r="K2673" t="str">
        <f t="shared" si="166"/>
        <v>895</v>
      </c>
      <c r="M2673" s="72"/>
      <c r="O2673" s="96">
        <f t="shared" si="167"/>
        <v>895</v>
      </c>
      <c r="T2673" s="110"/>
    </row>
    <row r="2674" spans="3:20" x14ac:dyDescent="0.2">
      <c r="C2674" s="96" t="str">
        <f t="shared" si="164"/>
        <v>896</v>
      </c>
      <c r="D2674" s="73"/>
      <c r="E2674" s="100"/>
      <c r="F2674" s="101"/>
      <c r="G2674" s="96">
        <f t="shared" si="165"/>
        <v>896</v>
      </c>
      <c r="I2674" s="96"/>
      <c r="K2674" t="str">
        <f t="shared" si="166"/>
        <v>896</v>
      </c>
      <c r="M2674" s="72"/>
      <c r="O2674" s="96">
        <f t="shared" si="167"/>
        <v>896</v>
      </c>
      <c r="T2674" s="110"/>
    </row>
    <row r="2675" spans="3:20" x14ac:dyDescent="0.2">
      <c r="C2675" s="96" t="str">
        <f t="shared" si="164"/>
        <v>897</v>
      </c>
      <c r="D2675" s="73"/>
      <c r="E2675" s="100"/>
      <c r="F2675" s="101"/>
      <c r="G2675" s="96">
        <f t="shared" si="165"/>
        <v>897</v>
      </c>
      <c r="I2675" s="96"/>
      <c r="K2675" t="str">
        <f t="shared" si="166"/>
        <v>897</v>
      </c>
      <c r="M2675" s="72"/>
      <c r="O2675" s="96">
        <f t="shared" si="167"/>
        <v>897</v>
      </c>
      <c r="T2675" s="110"/>
    </row>
    <row r="2676" spans="3:20" x14ac:dyDescent="0.2">
      <c r="C2676" s="96" t="str">
        <f t="shared" si="164"/>
        <v>898</v>
      </c>
      <c r="D2676" s="73"/>
      <c r="E2676" s="100"/>
      <c r="F2676" s="101"/>
      <c r="G2676" s="96">
        <f t="shared" si="165"/>
        <v>898</v>
      </c>
      <c r="I2676" s="96"/>
      <c r="K2676" t="str">
        <f t="shared" si="166"/>
        <v>898</v>
      </c>
      <c r="M2676" s="72"/>
      <c r="O2676" s="96">
        <f t="shared" si="167"/>
        <v>898</v>
      </c>
      <c r="T2676" s="110"/>
    </row>
    <row r="2677" spans="3:20" x14ac:dyDescent="0.2">
      <c r="C2677" s="96" t="str">
        <f t="shared" si="164"/>
        <v>899</v>
      </c>
      <c r="D2677" s="73"/>
      <c r="E2677" s="100"/>
      <c r="F2677" s="101"/>
      <c r="G2677" s="96">
        <f t="shared" si="165"/>
        <v>899</v>
      </c>
      <c r="I2677" s="96"/>
      <c r="K2677" t="str">
        <f t="shared" si="166"/>
        <v>899</v>
      </c>
      <c r="M2677" s="72"/>
      <c r="O2677" s="96">
        <f t="shared" si="167"/>
        <v>899</v>
      </c>
      <c r="T2677" s="110"/>
    </row>
    <row r="2678" spans="3:20" x14ac:dyDescent="0.2">
      <c r="C2678" s="96" t="str">
        <f t="shared" si="164"/>
        <v>900</v>
      </c>
      <c r="D2678" s="73"/>
      <c r="E2678" s="100"/>
      <c r="F2678" s="101"/>
      <c r="G2678" s="96">
        <f t="shared" si="165"/>
        <v>900</v>
      </c>
      <c r="I2678" s="96"/>
      <c r="K2678" t="str">
        <f t="shared" si="166"/>
        <v>900</v>
      </c>
      <c r="M2678" s="72"/>
      <c r="O2678" s="96">
        <f t="shared" si="167"/>
        <v>900</v>
      </c>
      <c r="T2678" s="110"/>
    </row>
    <row r="2679" spans="3:20" x14ac:dyDescent="0.2">
      <c r="C2679" s="96" t="str">
        <f t="shared" si="164"/>
        <v>901</v>
      </c>
      <c r="D2679" s="73"/>
      <c r="E2679" s="100"/>
      <c r="F2679" s="101"/>
      <c r="G2679" s="96">
        <f t="shared" si="165"/>
        <v>901</v>
      </c>
      <c r="I2679" s="96"/>
      <c r="K2679" t="str">
        <f t="shared" si="166"/>
        <v>901</v>
      </c>
      <c r="M2679" s="72"/>
      <c r="O2679" s="96">
        <f t="shared" si="167"/>
        <v>901</v>
      </c>
      <c r="T2679" s="110"/>
    </row>
    <row r="2680" spans="3:20" x14ac:dyDescent="0.2">
      <c r="C2680" s="96" t="str">
        <f t="shared" si="164"/>
        <v>902</v>
      </c>
      <c r="D2680" s="73"/>
      <c r="E2680" s="100"/>
      <c r="F2680" s="101"/>
      <c r="G2680" s="96">
        <f t="shared" si="165"/>
        <v>902</v>
      </c>
      <c r="I2680" s="96"/>
      <c r="K2680" t="str">
        <f t="shared" si="166"/>
        <v>902</v>
      </c>
      <c r="M2680" s="72"/>
      <c r="O2680" s="96">
        <f t="shared" si="167"/>
        <v>902</v>
      </c>
      <c r="T2680" s="110"/>
    </row>
    <row r="2681" spans="3:20" x14ac:dyDescent="0.2">
      <c r="C2681" s="96" t="str">
        <f t="shared" si="164"/>
        <v>903</v>
      </c>
      <c r="D2681" s="73"/>
      <c r="E2681" s="100"/>
      <c r="F2681" s="101"/>
      <c r="G2681" s="96">
        <f t="shared" si="165"/>
        <v>903</v>
      </c>
      <c r="I2681" s="96"/>
      <c r="K2681" t="str">
        <f t="shared" si="166"/>
        <v>903</v>
      </c>
      <c r="M2681" s="72"/>
      <c r="O2681" s="96">
        <f t="shared" si="167"/>
        <v>903</v>
      </c>
      <c r="T2681" s="110"/>
    </row>
    <row r="2682" spans="3:20" x14ac:dyDescent="0.2">
      <c r="C2682" s="96" t="str">
        <f t="shared" si="164"/>
        <v>904</v>
      </c>
      <c r="D2682" s="73"/>
      <c r="E2682" s="100"/>
      <c r="F2682" s="101"/>
      <c r="G2682" s="96">
        <f t="shared" si="165"/>
        <v>904</v>
      </c>
      <c r="I2682" s="96"/>
      <c r="K2682" t="str">
        <f t="shared" si="166"/>
        <v>904</v>
      </c>
      <c r="M2682" s="72"/>
      <c r="O2682" s="96">
        <f t="shared" si="167"/>
        <v>904</v>
      </c>
      <c r="T2682" s="110"/>
    </row>
    <row r="2683" spans="3:20" x14ac:dyDescent="0.2">
      <c r="C2683" s="96" t="str">
        <f t="shared" si="164"/>
        <v>905</v>
      </c>
      <c r="D2683" s="73"/>
      <c r="E2683" s="100"/>
      <c r="F2683" s="101"/>
      <c r="G2683" s="96">
        <f t="shared" si="165"/>
        <v>905</v>
      </c>
      <c r="I2683" s="96"/>
      <c r="K2683" t="str">
        <f t="shared" si="166"/>
        <v>905</v>
      </c>
      <c r="M2683" s="72"/>
      <c r="O2683" s="96">
        <f t="shared" si="167"/>
        <v>905</v>
      </c>
      <c r="T2683" s="110"/>
    </row>
    <row r="2684" spans="3:20" x14ac:dyDescent="0.2">
      <c r="C2684" s="96" t="str">
        <f t="shared" si="164"/>
        <v>906</v>
      </c>
      <c r="D2684" s="73"/>
      <c r="E2684" s="100"/>
      <c r="F2684" s="101"/>
      <c r="G2684" s="96">
        <f t="shared" si="165"/>
        <v>906</v>
      </c>
      <c r="I2684" s="96"/>
      <c r="K2684" t="str">
        <f t="shared" si="166"/>
        <v>906</v>
      </c>
      <c r="M2684" s="72"/>
      <c r="O2684" s="96">
        <f t="shared" si="167"/>
        <v>906</v>
      </c>
      <c r="T2684" s="110"/>
    </row>
    <row r="2685" spans="3:20" x14ac:dyDescent="0.2">
      <c r="C2685" s="96" t="str">
        <f t="shared" si="164"/>
        <v>907</v>
      </c>
      <c r="D2685" s="73"/>
      <c r="E2685" s="100"/>
      <c r="F2685" s="101"/>
      <c r="G2685" s="96">
        <f t="shared" si="165"/>
        <v>907</v>
      </c>
      <c r="I2685" s="96"/>
      <c r="K2685" t="str">
        <f t="shared" si="166"/>
        <v>907</v>
      </c>
      <c r="M2685" s="72"/>
      <c r="O2685" s="96">
        <f t="shared" si="167"/>
        <v>907</v>
      </c>
      <c r="T2685" s="110"/>
    </row>
    <row r="2686" spans="3:20" x14ac:dyDescent="0.2">
      <c r="C2686" s="96" t="str">
        <f t="shared" si="164"/>
        <v>908</v>
      </c>
      <c r="D2686" s="73"/>
      <c r="E2686" s="100"/>
      <c r="F2686" s="101"/>
      <c r="G2686" s="96">
        <f t="shared" si="165"/>
        <v>908</v>
      </c>
      <c r="I2686" s="96"/>
      <c r="K2686" t="str">
        <f t="shared" si="166"/>
        <v>908</v>
      </c>
      <c r="M2686" s="72"/>
      <c r="O2686" s="96">
        <f t="shared" si="167"/>
        <v>908</v>
      </c>
      <c r="T2686" s="110"/>
    </row>
    <row r="2687" spans="3:20" x14ac:dyDescent="0.2">
      <c r="C2687" s="96" t="str">
        <f t="shared" si="164"/>
        <v>909</v>
      </c>
      <c r="D2687" s="73"/>
      <c r="E2687" s="100"/>
      <c r="F2687" s="101"/>
      <c r="G2687" s="96">
        <f t="shared" si="165"/>
        <v>909</v>
      </c>
      <c r="I2687" s="96"/>
      <c r="K2687" t="str">
        <f t="shared" si="166"/>
        <v>909</v>
      </c>
      <c r="M2687" s="72"/>
      <c r="O2687" s="96">
        <f t="shared" si="167"/>
        <v>909</v>
      </c>
      <c r="T2687" s="110"/>
    </row>
    <row r="2688" spans="3:20" x14ac:dyDescent="0.2">
      <c r="C2688" s="96" t="str">
        <f t="shared" si="164"/>
        <v>910</v>
      </c>
      <c r="D2688" s="73"/>
      <c r="E2688" s="100"/>
      <c r="F2688" s="101"/>
      <c r="G2688" s="96">
        <f t="shared" si="165"/>
        <v>910</v>
      </c>
      <c r="I2688" s="96"/>
      <c r="K2688" t="str">
        <f t="shared" si="166"/>
        <v>910</v>
      </c>
      <c r="M2688" s="72"/>
      <c r="O2688" s="96">
        <f t="shared" si="167"/>
        <v>910</v>
      </c>
      <c r="T2688" s="110"/>
    </row>
    <row r="2689" spans="3:20" x14ac:dyDescent="0.2">
      <c r="C2689" s="96" t="str">
        <f t="shared" si="164"/>
        <v>911</v>
      </c>
      <c r="D2689" s="73"/>
      <c r="E2689" s="100"/>
      <c r="F2689" s="101"/>
      <c r="G2689" s="96">
        <f t="shared" si="165"/>
        <v>911</v>
      </c>
      <c r="I2689" s="96"/>
      <c r="K2689" t="str">
        <f t="shared" si="166"/>
        <v>911</v>
      </c>
      <c r="M2689" s="72"/>
      <c r="O2689" s="96">
        <f t="shared" si="167"/>
        <v>911</v>
      </c>
      <c r="T2689" s="110"/>
    </row>
    <row r="2690" spans="3:20" x14ac:dyDescent="0.2">
      <c r="C2690" s="96" t="str">
        <f t="shared" si="164"/>
        <v>912</v>
      </c>
      <c r="D2690" s="73"/>
      <c r="E2690" s="100"/>
      <c r="F2690" s="101"/>
      <c r="G2690" s="96">
        <f t="shared" si="165"/>
        <v>912</v>
      </c>
      <c r="I2690" s="96"/>
      <c r="K2690" t="str">
        <f t="shared" si="166"/>
        <v>912</v>
      </c>
      <c r="M2690" s="72"/>
      <c r="O2690" s="96">
        <f t="shared" si="167"/>
        <v>912</v>
      </c>
    </row>
    <row r="2691" spans="3:20" x14ac:dyDescent="0.2">
      <c r="C2691" s="96" t="str">
        <f t="shared" ref="C2691:C2754" si="168">D2691&amp;G2691</f>
        <v>913</v>
      </c>
      <c r="D2691" s="73"/>
      <c r="E2691" s="100"/>
      <c r="F2691" s="101"/>
      <c r="G2691" s="96">
        <f t="shared" ref="G2691:G2754" si="169">IF(D2691&lt;&gt;D2690,1,G2690+1)</f>
        <v>913</v>
      </c>
      <c r="I2691" s="96"/>
      <c r="K2691" t="str">
        <f t="shared" ref="K2691:K2754" si="170">L2691&amp;O2691</f>
        <v>913</v>
      </c>
      <c r="M2691" s="72"/>
      <c r="O2691" s="96">
        <f t="shared" ref="O2691:O2754" si="171">IF(L2691&lt;&gt;L2690,1,O2690+1)</f>
        <v>913</v>
      </c>
      <c r="T2691" s="110"/>
    </row>
    <row r="2692" spans="3:20" x14ac:dyDescent="0.2">
      <c r="C2692" s="96" t="str">
        <f t="shared" si="168"/>
        <v>914</v>
      </c>
      <c r="D2692" s="73"/>
      <c r="E2692" s="100"/>
      <c r="F2692" s="101"/>
      <c r="G2692" s="96">
        <f t="shared" si="169"/>
        <v>914</v>
      </c>
      <c r="I2692" s="96"/>
      <c r="K2692" t="str">
        <f t="shared" si="170"/>
        <v>914</v>
      </c>
      <c r="M2692" s="72"/>
      <c r="O2692" s="96">
        <f t="shared" si="171"/>
        <v>914</v>
      </c>
    </row>
    <row r="2693" spans="3:20" x14ac:dyDescent="0.2">
      <c r="C2693" s="96" t="str">
        <f t="shared" si="168"/>
        <v>915</v>
      </c>
      <c r="D2693" s="73"/>
      <c r="E2693" s="100"/>
      <c r="F2693" s="101"/>
      <c r="G2693" s="96">
        <f t="shared" si="169"/>
        <v>915</v>
      </c>
      <c r="I2693" s="96"/>
      <c r="K2693" t="str">
        <f t="shared" si="170"/>
        <v>915</v>
      </c>
      <c r="M2693" s="72"/>
      <c r="O2693" s="96">
        <f t="shared" si="171"/>
        <v>915</v>
      </c>
      <c r="T2693" s="110"/>
    </row>
    <row r="2694" spans="3:20" x14ac:dyDescent="0.2">
      <c r="C2694" s="96" t="str">
        <f t="shared" si="168"/>
        <v>916</v>
      </c>
      <c r="D2694" s="73"/>
      <c r="E2694" s="100"/>
      <c r="F2694" s="101"/>
      <c r="G2694" s="96">
        <f t="shared" si="169"/>
        <v>916</v>
      </c>
      <c r="I2694" s="96"/>
      <c r="K2694" t="str">
        <f t="shared" si="170"/>
        <v>916</v>
      </c>
      <c r="M2694" s="72"/>
      <c r="O2694" s="96">
        <f t="shared" si="171"/>
        <v>916</v>
      </c>
    </row>
    <row r="2695" spans="3:20" x14ac:dyDescent="0.2">
      <c r="C2695" s="96" t="str">
        <f t="shared" si="168"/>
        <v>917</v>
      </c>
      <c r="D2695" s="73"/>
      <c r="E2695" s="100"/>
      <c r="F2695" s="101"/>
      <c r="G2695" s="96">
        <f t="shared" si="169"/>
        <v>917</v>
      </c>
      <c r="I2695" s="96"/>
      <c r="K2695" t="str">
        <f t="shared" si="170"/>
        <v>917</v>
      </c>
      <c r="M2695" s="72"/>
      <c r="O2695" s="96">
        <f t="shared" si="171"/>
        <v>917</v>
      </c>
      <c r="T2695" s="110"/>
    </row>
    <row r="2696" spans="3:20" x14ac:dyDescent="0.2">
      <c r="C2696" s="96" t="str">
        <f t="shared" si="168"/>
        <v>918</v>
      </c>
      <c r="D2696" s="73"/>
      <c r="E2696" s="100"/>
      <c r="F2696" s="101"/>
      <c r="G2696" s="96">
        <f t="shared" si="169"/>
        <v>918</v>
      </c>
      <c r="I2696" s="96"/>
      <c r="K2696" t="str">
        <f t="shared" si="170"/>
        <v>918</v>
      </c>
      <c r="M2696" s="72"/>
      <c r="O2696" s="96">
        <f t="shared" si="171"/>
        <v>918</v>
      </c>
    </row>
    <row r="2697" spans="3:20" x14ac:dyDescent="0.2">
      <c r="C2697" s="96" t="str">
        <f t="shared" si="168"/>
        <v>919</v>
      </c>
      <c r="D2697" s="73"/>
      <c r="E2697" s="100"/>
      <c r="F2697" s="101"/>
      <c r="G2697" s="96">
        <f t="shared" si="169"/>
        <v>919</v>
      </c>
      <c r="I2697" s="96"/>
      <c r="K2697" t="str">
        <f t="shared" si="170"/>
        <v>919</v>
      </c>
      <c r="M2697" s="72"/>
      <c r="O2697" s="96">
        <f t="shared" si="171"/>
        <v>919</v>
      </c>
      <c r="T2697" s="110"/>
    </row>
    <row r="2698" spans="3:20" x14ac:dyDescent="0.2">
      <c r="C2698" s="96" t="str">
        <f t="shared" si="168"/>
        <v>920</v>
      </c>
      <c r="D2698" s="73"/>
      <c r="E2698" s="100"/>
      <c r="F2698" s="101"/>
      <c r="G2698" s="96">
        <f t="shared" si="169"/>
        <v>920</v>
      </c>
      <c r="I2698" s="96"/>
      <c r="K2698" t="str">
        <f t="shared" si="170"/>
        <v>920</v>
      </c>
      <c r="M2698" s="72"/>
      <c r="O2698" s="96">
        <f t="shared" si="171"/>
        <v>920</v>
      </c>
      <c r="T2698" s="110"/>
    </row>
    <row r="2699" spans="3:20" x14ac:dyDescent="0.2">
      <c r="C2699" s="96" t="str">
        <f t="shared" si="168"/>
        <v>921</v>
      </c>
      <c r="D2699" s="73"/>
      <c r="E2699" s="100"/>
      <c r="F2699" s="101"/>
      <c r="G2699" s="96">
        <f t="shared" si="169"/>
        <v>921</v>
      </c>
      <c r="I2699" s="96"/>
      <c r="K2699" t="str">
        <f t="shared" si="170"/>
        <v>921</v>
      </c>
      <c r="M2699" s="72"/>
      <c r="O2699" s="96">
        <f t="shared" si="171"/>
        <v>921</v>
      </c>
      <c r="T2699" s="110"/>
    </row>
    <row r="2700" spans="3:20" x14ac:dyDescent="0.2">
      <c r="C2700" s="96" t="str">
        <f t="shared" si="168"/>
        <v>922</v>
      </c>
      <c r="D2700" s="73"/>
      <c r="E2700" s="100"/>
      <c r="F2700" s="101"/>
      <c r="G2700" s="96">
        <f t="shared" si="169"/>
        <v>922</v>
      </c>
      <c r="I2700" s="96"/>
      <c r="K2700" t="str">
        <f t="shared" si="170"/>
        <v>922</v>
      </c>
      <c r="M2700" s="72"/>
      <c r="O2700" s="96">
        <f t="shared" si="171"/>
        <v>922</v>
      </c>
      <c r="T2700" s="110"/>
    </row>
    <row r="2701" spans="3:20" x14ac:dyDescent="0.2">
      <c r="C2701" s="96" t="str">
        <f t="shared" si="168"/>
        <v>923</v>
      </c>
      <c r="D2701" s="73"/>
      <c r="E2701" s="100"/>
      <c r="F2701" s="101"/>
      <c r="G2701" s="96">
        <f t="shared" si="169"/>
        <v>923</v>
      </c>
      <c r="I2701" s="96"/>
      <c r="K2701" t="str">
        <f t="shared" si="170"/>
        <v>923</v>
      </c>
      <c r="M2701" s="72"/>
      <c r="O2701" s="96">
        <f t="shared" si="171"/>
        <v>923</v>
      </c>
      <c r="T2701" s="110"/>
    </row>
    <row r="2702" spans="3:20" x14ac:dyDescent="0.2">
      <c r="C2702" s="96" t="str">
        <f t="shared" si="168"/>
        <v>924</v>
      </c>
      <c r="D2702" s="73"/>
      <c r="E2702" s="100"/>
      <c r="F2702" s="101"/>
      <c r="G2702" s="96">
        <f t="shared" si="169"/>
        <v>924</v>
      </c>
      <c r="I2702" s="96"/>
      <c r="K2702" t="str">
        <f t="shared" si="170"/>
        <v>924</v>
      </c>
      <c r="M2702" s="72"/>
      <c r="O2702" s="96">
        <f t="shared" si="171"/>
        <v>924</v>
      </c>
      <c r="T2702" s="110"/>
    </row>
    <row r="2703" spans="3:20" x14ac:dyDescent="0.2">
      <c r="C2703" s="96" t="str">
        <f t="shared" si="168"/>
        <v>925</v>
      </c>
      <c r="D2703" s="73"/>
      <c r="E2703" s="100"/>
      <c r="F2703" s="101"/>
      <c r="G2703" s="96">
        <f t="shared" si="169"/>
        <v>925</v>
      </c>
      <c r="I2703" s="96"/>
      <c r="K2703" t="str">
        <f t="shared" si="170"/>
        <v>925</v>
      </c>
      <c r="M2703" s="72"/>
      <c r="O2703" s="96">
        <f t="shared" si="171"/>
        <v>925</v>
      </c>
      <c r="T2703" s="110"/>
    </row>
    <row r="2704" spans="3:20" x14ac:dyDescent="0.2">
      <c r="C2704" s="96" t="str">
        <f t="shared" si="168"/>
        <v>926</v>
      </c>
      <c r="D2704" s="73"/>
      <c r="E2704" s="100"/>
      <c r="F2704" s="101"/>
      <c r="G2704" s="96">
        <f t="shared" si="169"/>
        <v>926</v>
      </c>
      <c r="I2704" s="96"/>
      <c r="K2704" t="str">
        <f t="shared" si="170"/>
        <v>926</v>
      </c>
      <c r="M2704" s="72"/>
      <c r="O2704" s="96">
        <f t="shared" si="171"/>
        <v>926</v>
      </c>
      <c r="T2704" s="110"/>
    </row>
    <row r="2705" spans="3:20" x14ac:dyDescent="0.2">
      <c r="C2705" s="96" t="str">
        <f t="shared" si="168"/>
        <v>927</v>
      </c>
      <c r="D2705" s="73"/>
      <c r="E2705" s="100"/>
      <c r="F2705" s="101"/>
      <c r="G2705" s="96">
        <f t="shared" si="169"/>
        <v>927</v>
      </c>
      <c r="I2705" s="96"/>
      <c r="K2705" t="str">
        <f t="shared" si="170"/>
        <v>927</v>
      </c>
      <c r="M2705" s="72"/>
      <c r="O2705" s="96">
        <f t="shared" si="171"/>
        <v>927</v>
      </c>
      <c r="T2705" s="110"/>
    </row>
    <row r="2706" spans="3:20" x14ac:dyDescent="0.2">
      <c r="C2706" s="96" t="str">
        <f t="shared" si="168"/>
        <v>928</v>
      </c>
      <c r="D2706" s="73"/>
      <c r="E2706" s="100"/>
      <c r="F2706" s="101"/>
      <c r="G2706" s="96">
        <f t="shared" si="169"/>
        <v>928</v>
      </c>
      <c r="I2706" s="96"/>
      <c r="K2706" t="str">
        <f t="shared" si="170"/>
        <v>928</v>
      </c>
      <c r="M2706" s="72"/>
      <c r="O2706" s="96">
        <f t="shared" si="171"/>
        <v>928</v>
      </c>
      <c r="T2706" s="110"/>
    </row>
    <row r="2707" spans="3:20" x14ac:dyDescent="0.2">
      <c r="C2707" s="96" t="str">
        <f t="shared" si="168"/>
        <v>929</v>
      </c>
      <c r="D2707" s="73"/>
      <c r="E2707" s="100"/>
      <c r="F2707" s="101"/>
      <c r="G2707" s="96">
        <f t="shared" si="169"/>
        <v>929</v>
      </c>
      <c r="I2707" s="96"/>
      <c r="K2707" t="str">
        <f t="shared" si="170"/>
        <v>929</v>
      </c>
      <c r="M2707" s="72"/>
      <c r="O2707" s="96">
        <f t="shared" si="171"/>
        <v>929</v>
      </c>
      <c r="T2707" s="110"/>
    </row>
    <row r="2708" spans="3:20" x14ac:dyDescent="0.2">
      <c r="C2708" s="96" t="str">
        <f t="shared" si="168"/>
        <v>930</v>
      </c>
      <c r="D2708" s="73"/>
      <c r="E2708" s="100"/>
      <c r="F2708" s="101"/>
      <c r="G2708" s="96">
        <f t="shared" si="169"/>
        <v>930</v>
      </c>
      <c r="I2708" s="96"/>
      <c r="K2708" t="str">
        <f t="shared" si="170"/>
        <v>930</v>
      </c>
      <c r="M2708" s="72"/>
      <c r="O2708" s="96">
        <f t="shared" si="171"/>
        <v>930</v>
      </c>
      <c r="T2708" s="110"/>
    </row>
    <row r="2709" spans="3:20" x14ac:dyDescent="0.2">
      <c r="C2709" s="96" t="str">
        <f t="shared" si="168"/>
        <v>931</v>
      </c>
      <c r="D2709" s="73"/>
      <c r="E2709" s="100"/>
      <c r="F2709" s="101"/>
      <c r="G2709" s="96">
        <f t="shared" si="169"/>
        <v>931</v>
      </c>
      <c r="I2709" s="96"/>
      <c r="K2709" t="str">
        <f t="shared" si="170"/>
        <v>931</v>
      </c>
      <c r="M2709" s="72"/>
      <c r="O2709" s="96">
        <f t="shared" si="171"/>
        <v>931</v>
      </c>
      <c r="T2709" s="110"/>
    </row>
    <row r="2710" spans="3:20" x14ac:dyDescent="0.2">
      <c r="C2710" s="96" t="str">
        <f t="shared" si="168"/>
        <v>932</v>
      </c>
      <c r="D2710" s="73"/>
      <c r="E2710" s="100"/>
      <c r="F2710" s="101"/>
      <c r="G2710" s="96">
        <f t="shared" si="169"/>
        <v>932</v>
      </c>
      <c r="I2710" s="96"/>
      <c r="K2710" t="str">
        <f t="shared" si="170"/>
        <v>932</v>
      </c>
      <c r="M2710" s="72"/>
      <c r="O2710" s="96">
        <f t="shared" si="171"/>
        <v>932</v>
      </c>
      <c r="T2710" s="110"/>
    </row>
    <row r="2711" spans="3:20" x14ac:dyDescent="0.2">
      <c r="C2711" s="96" t="str">
        <f t="shared" si="168"/>
        <v>933</v>
      </c>
      <c r="D2711" s="73"/>
      <c r="E2711" s="100"/>
      <c r="F2711" s="101"/>
      <c r="G2711" s="96">
        <f t="shared" si="169"/>
        <v>933</v>
      </c>
      <c r="I2711" s="96"/>
      <c r="K2711" t="str">
        <f t="shared" si="170"/>
        <v>933</v>
      </c>
      <c r="M2711" s="72"/>
      <c r="O2711" s="96">
        <f t="shared" si="171"/>
        <v>933</v>
      </c>
      <c r="T2711" s="110"/>
    </row>
    <row r="2712" spans="3:20" x14ac:dyDescent="0.2">
      <c r="C2712" s="96" t="str">
        <f t="shared" si="168"/>
        <v>934</v>
      </c>
      <c r="D2712" s="73"/>
      <c r="E2712" s="100"/>
      <c r="F2712" s="101"/>
      <c r="G2712" s="96">
        <f t="shared" si="169"/>
        <v>934</v>
      </c>
      <c r="I2712" s="96"/>
      <c r="K2712" t="str">
        <f t="shared" si="170"/>
        <v>934</v>
      </c>
      <c r="M2712" s="72"/>
      <c r="O2712" s="96">
        <f t="shared" si="171"/>
        <v>934</v>
      </c>
    </row>
    <row r="2713" spans="3:20" x14ac:dyDescent="0.2">
      <c r="C2713" s="96" t="str">
        <f t="shared" si="168"/>
        <v>935</v>
      </c>
      <c r="D2713" s="73"/>
      <c r="E2713" s="100"/>
      <c r="F2713" s="101"/>
      <c r="G2713" s="96">
        <f t="shared" si="169"/>
        <v>935</v>
      </c>
      <c r="I2713" s="96"/>
      <c r="K2713" t="str">
        <f t="shared" si="170"/>
        <v>935</v>
      </c>
      <c r="M2713" s="72"/>
      <c r="O2713" s="96">
        <f t="shared" si="171"/>
        <v>935</v>
      </c>
      <c r="T2713" s="110"/>
    </row>
    <row r="2714" spans="3:20" x14ac:dyDescent="0.2">
      <c r="C2714" s="96" t="str">
        <f t="shared" si="168"/>
        <v>936</v>
      </c>
      <c r="D2714" s="73"/>
      <c r="E2714" s="100"/>
      <c r="F2714" s="101"/>
      <c r="G2714" s="96">
        <f t="shared" si="169"/>
        <v>936</v>
      </c>
      <c r="I2714" s="96"/>
      <c r="K2714" t="str">
        <f t="shared" si="170"/>
        <v>936</v>
      </c>
      <c r="M2714" s="72"/>
      <c r="O2714" s="96">
        <f t="shared" si="171"/>
        <v>936</v>
      </c>
    </row>
    <row r="2715" spans="3:20" x14ac:dyDescent="0.2">
      <c r="C2715" s="96" t="str">
        <f t="shared" si="168"/>
        <v>937</v>
      </c>
      <c r="D2715" s="73"/>
      <c r="E2715" s="100"/>
      <c r="F2715" s="101"/>
      <c r="G2715" s="96">
        <f t="shared" si="169"/>
        <v>937</v>
      </c>
      <c r="I2715" s="96"/>
      <c r="K2715" t="str">
        <f t="shared" si="170"/>
        <v>937</v>
      </c>
      <c r="M2715" s="72"/>
      <c r="O2715" s="96">
        <f t="shared" si="171"/>
        <v>937</v>
      </c>
      <c r="T2715" s="110"/>
    </row>
    <row r="2716" spans="3:20" x14ac:dyDescent="0.2">
      <c r="C2716" s="96" t="str">
        <f t="shared" si="168"/>
        <v>938</v>
      </c>
      <c r="D2716" s="73"/>
      <c r="E2716" s="100"/>
      <c r="F2716" s="101"/>
      <c r="G2716" s="96">
        <f t="shared" si="169"/>
        <v>938</v>
      </c>
      <c r="I2716" s="96"/>
      <c r="K2716" t="str">
        <f t="shared" si="170"/>
        <v>938</v>
      </c>
      <c r="M2716" s="72"/>
      <c r="O2716" s="96">
        <f t="shared" si="171"/>
        <v>938</v>
      </c>
      <c r="T2716" s="110"/>
    </row>
    <row r="2717" spans="3:20" x14ac:dyDescent="0.2">
      <c r="C2717" s="96" t="str">
        <f t="shared" si="168"/>
        <v>939</v>
      </c>
      <c r="D2717" s="73"/>
      <c r="E2717" s="100"/>
      <c r="F2717" s="101"/>
      <c r="G2717" s="96">
        <f t="shared" si="169"/>
        <v>939</v>
      </c>
      <c r="I2717" s="96"/>
      <c r="K2717" t="str">
        <f t="shared" si="170"/>
        <v>939</v>
      </c>
      <c r="M2717" s="72"/>
      <c r="O2717" s="96">
        <f t="shared" si="171"/>
        <v>939</v>
      </c>
      <c r="T2717" s="110"/>
    </row>
    <row r="2718" spans="3:20" x14ac:dyDescent="0.2">
      <c r="C2718" s="96" t="str">
        <f t="shared" si="168"/>
        <v>940</v>
      </c>
      <c r="D2718" s="73"/>
      <c r="E2718" s="100"/>
      <c r="F2718" s="101"/>
      <c r="G2718" s="96">
        <f t="shared" si="169"/>
        <v>940</v>
      </c>
      <c r="I2718" s="96"/>
      <c r="K2718" t="str">
        <f t="shared" si="170"/>
        <v>940</v>
      </c>
      <c r="M2718" s="72"/>
      <c r="O2718" s="96">
        <f t="shared" si="171"/>
        <v>940</v>
      </c>
    </row>
    <row r="2719" spans="3:20" x14ac:dyDescent="0.2">
      <c r="C2719" s="96" t="str">
        <f t="shared" si="168"/>
        <v>941</v>
      </c>
      <c r="D2719" s="73"/>
      <c r="E2719" s="100"/>
      <c r="F2719" s="101"/>
      <c r="G2719" s="96">
        <f t="shared" si="169"/>
        <v>941</v>
      </c>
      <c r="I2719" s="96"/>
      <c r="K2719" t="str">
        <f t="shared" si="170"/>
        <v>941</v>
      </c>
      <c r="M2719" s="72"/>
      <c r="O2719" s="96">
        <f t="shared" si="171"/>
        <v>941</v>
      </c>
    </row>
    <row r="2720" spans="3:20" x14ac:dyDescent="0.2">
      <c r="C2720" s="96" t="str">
        <f t="shared" si="168"/>
        <v>942</v>
      </c>
      <c r="D2720" s="73"/>
      <c r="E2720" s="100"/>
      <c r="F2720" s="101"/>
      <c r="G2720" s="96">
        <f t="shared" si="169"/>
        <v>942</v>
      </c>
      <c r="I2720" s="96"/>
      <c r="K2720" t="str">
        <f t="shared" si="170"/>
        <v>942</v>
      </c>
      <c r="M2720" s="72"/>
      <c r="O2720" s="96">
        <f t="shared" si="171"/>
        <v>942</v>
      </c>
      <c r="T2720" s="110"/>
    </row>
    <row r="2721" spans="3:20" x14ac:dyDescent="0.2">
      <c r="C2721" s="96" t="str">
        <f t="shared" si="168"/>
        <v>943</v>
      </c>
      <c r="D2721" s="73"/>
      <c r="E2721" s="100"/>
      <c r="F2721" s="101"/>
      <c r="G2721" s="96">
        <f t="shared" si="169"/>
        <v>943</v>
      </c>
      <c r="I2721" s="96"/>
      <c r="K2721" t="str">
        <f t="shared" si="170"/>
        <v>943</v>
      </c>
      <c r="M2721" s="72"/>
      <c r="O2721" s="96">
        <f t="shared" si="171"/>
        <v>943</v>
      </c>
    </row>
    <row r="2722" spans="3:20" x14ac:dyDescent="0.2">
      <c r="C2722" s="96" t="str">
        <f t="shared" si="168"/>
        <v>944</v>
      </c>
      <c r="D2722" s="73"/>
      <c r="E2722" s="100"/>
      <c r="F2722" s="101"/>
      <c r="G2722" s="96">
        <f t="shared" si="169"/>
        <v>944</v>
      </c>
      <c r="I2722" s="96"/>
      <c r="K2722" t="str">
        <f t="shared" si="170"/>
        <v>944</v>
      </c>
      <c r="M2722" s="72"/>
      <c r="O2722" s="96">
        <f t="shared" si="171"/>
        <v>944</v>
      </c>
    </row>
    <row r="2723" spans="3:20" x14ac:dyDescent="0.2">
      <c r="C2723" s="96" t="str">
        <f t="shared" si="168"/>
        <v>945</v>
      </c>
      <c r="D2723" s="73"/>
      <c r="E2723" s="100"/>
      <c r="F2723" s="101"/>
      <c r="G2723" s="96">
        <f t="shared" si="169"/>
        <v>945</v>
      </c>
      <c r="I2723" s="96"/>
      <c r="K2723" t="str">
        <f t="shared" si="170"/>
        <v>945</v>
      </c>
      <c r="M2723" s="72"/>
      <c r="O2723" s="96">
        <f t="shared" si="171"/>
        <v>945</v>
      </c>
      <c r="T2723" s="110"/>
    </row>
    <row r="2724" spans="3:20" x14ac:dyDescent="0.2">
      <c r="C2724" s="96" t="str">
        <f t="shared" si="168"/>
        <v>946</v>
      </c>
      <c r="D2724" s="73"/>
      <c r="E2724" s="100"/>
      <c r="F2724" s="101"/>
      <c r="G2724" s="96">
        <f t="shared" si="169"/>
        <v>946</v>
      </c>
      <c r="I2724" s="96"/>
      <c r="K2724" t="str">
        <f t="shared" si="170"/>
        <v>946</v>
      </c>
      <c r="M2724" s="72"/>
      <c r="O2724" s="96">
        <f t="shared" si="171"/>
        <v>946</v>
      </c>
    </row>
    <row r="2725" spans="3:20" x14ac:dyDescent="0.2">
      <c r="C2725" s="96" t="str">
        <f t="shared" si="168"/>
        <v>947</v>
      </c>
      <c r="D2725" s="73"/>
      <c r="E2725" s="100"/>
      <c r="F2725" s="101"/>
      <c r="G2725" s="96">
        <f t="shared" si="169"/>
        <v>947</v>
      </c>
      <c r="I2725" s="96"/>
      <c r="K2725" t="str">
        <f t="shared" si="170"/>
        <v>947</v>
      </c>
      <c r="M2725" s="72"/>
      <c r="O2725" s="96">
        <f t="shared" si="171"/>
        <v>947</v>
      </c>
    </row>
    <row r="2726" spans="3:20" x14ac:dyDescent="0.2">
      <c r="C2726" s="96" t="str">
        <f t="shared" si="168"/>
        <v>948</v>
      </c>
      <c r="D2726" s="73"/>
      <c r="E2726" s="100"/>
      <c r="F2726" s="101"/>
      <c r="G2726" s="96">
        <f t="shared" si="169"/>
        <v>948</v>
      </c>
      <c r="I2726" s="96"/>
      <c r="K2726" t="str">
        <f t="shared" si="170"/>
        <v>948</v>
      </c>
      <c r="M2726" s="72"/>
      <c r="O2726" s="96">
        <f t="shared" si="171"/>
        <v>948</v>
      </c>
      <c r="T2726" s="110"/>
    </row>
    <row r="2727" spans="3:20" x14ac:dyDescent="0.2">
      <c r="C2727" s="96" t="str">
        <f t="shared" si="168"/>
        <v>949</v>
      </c>
      <c r="D2727" s="73"/>
      <c r="E2727" s="100"/>
      <c r="F2727" s="101"/>
      <c r="G2727" s="96">
        <f t="shared" si="169"/>
        <v>949</v>
      </c>
      <c r="I2727" s="96"/>
      <c r="K2727" t="str">
        <f t="shared" si="170"/>
        <v>949</v>
      </c>
      <c r="M2727" s="72"/>
      <c r="O2727" s="96">
        <f t="shared" si="171"/>
        <v>949</v>
      </c>
    </row>
    <row r="2728" spans="3:20" x14ac:dyDescent="0.2">
      <c r="C2728" s="96" t="str">
        <f t="shared" si="168"/>
        <v>950</v>
      </c>
      <c r="D2728" s="73"/>
      <c r="E2728" s="100"/>
      <c r="F2728" s="101"/>
      <c r="G2728" s="96">
        <f t="shared" si="169"/>
        <v>950</v>
      </c>
      <c r="I2728" s="96"/>
      <c r="K2728" t="str">
        <f t="shared" si="170"/>
        <v>950</v>
      </c>
      <c r="M2728" s="72"/>
      <c r="O2728" s="96">
        <f t="shared" si="171"/>
        <v>950</v>
      </c>
    </row>
    <row r="2729" spans="3:20" x14ac:dyDescent="0.2">
      <c r="C2729" s="96" t="str">
        <f t="shared" si="168"/>
        <v>951</v>
      </c>
      <c r="D2729" s="73"/>
      <c r="E2729" s="100"/>
      <c r="F2729" s="101"/>
      <c r="G2729" s="96">
        <f t="shared" si="169"/>
        <v>951</v>
      </c>
      <c r="I2729" s="96"/>
      <c r="K2729" t="str">
        <f t="shared" si="170"/>
        <v>951</v>
      </c>
      <c r="M2729" s="72"/>
      <c r="O2729" s="96">
        <f t="shared" si="171"/>
        <v>951</v>
      </c>
      <c r="T2729" s="110"/>
    </row>
    <row r="2730" spans="3:20" x14ac:dyDescent="0.2">
      <c r="C2730" s="96" t="str">
        <f t="shared" si="168"/>
        <v>952</v>
      </c>
      <c r="D2730" s="73"/>
      <c r="E2730" s="100"/>
      <c r="F2730" s="101"/>
      <c r="G2730" s="96">
        <f t="shared" si="169"/>
        <v>952</v>
      </c>
      <c r="I2730" s="96"/>
      <c r="K2730" t="str">
        <f t="shared" si="170"/>
        <v>952</v>
      </c>
      <c r="M2730" s="72"/>
      <c r="O2730" s="96">
        <f t="shared" si="171"/>
        <v>952</v>
      </c>
    </row>
    <row r="2731" spans="3:20" x14ac:dyDescent="0.2">
      <c r="C2731" s="96" t="str">
        <f t="shared" si="168"/>
        <v>953</v>
      </c>
      <c r="D2731" s="73"/>
      <c r="E2731" s="100"/>
      <c r="F2731" s="101"/>
      <c r="G2731" s="96">
        <f t="shared" si="169"/>
        <v>953</v>
      </c>
      <c r="I2731" s="96"/>
      <c r="K2731" t="str">
        <f t="shared" si="170"/>
        <v>953</v>
      </c>
      <c r="M2731" s="72"/>
      <c r="O2731" s="96">
        <f t="shared" si="171"/>
        <v>953</v>
      </c>
    </row>
    <row r="2732" spans="3:20" x14ac:dyDescent="0.2">
      <c r="C2732" s="96" t="str">
        <f t="shared" si="168"/>
        <v>954</v>
      </c>
      <c r="D2732" s="73"/>
      <c r="E2732" s="100"/>
      <c r="F2732" s="101"/>
      <c r="G2732" s="96">
        <f t="shared" si="169"/>
        <v>954</v>
      </c>
      <c r="I2732" s="96"/>
      <c r="K2732" t="str">
        <f t="shared" si="170"/>
        <v>954</v>
      </c>
      <c r="M2732" s="72"/>
      <c r="O2732" s="96">
        <f t="shared" si="171"/>
        <v>954</v>
      </c>
      <c r="T2732" s="110"/>
    </row>
    <row r="2733" spans="3:20" x14ac:dyDescent="0.2">
      <c r="C2733" s="96" t="str">
        <f t="shared" si="168"/>
        <v>955</v>
      </c>
      <c r="D2733" s="73"/>
      <c r="E2733" s="100"/>
      <c r="F2733" s="101"/>
      <c r="G2733" s="96">
        <f t="shared" si="169"/>
        <v>955</v>
      </c>
      <c r="I2733" s="96"/>
      <c r="K2733" t="str">
        <f t="shared" si="170"/>
        <v>955</v>
      </c>
      <c r="M2733" s="72"/>
      <c r="O2733" s="96">
        <f t="shared" si="171"/>
        <v>955</v>
      </c>
    </row>
    <row r="2734" spans="3:20" x14ac:dyDescent="0.2">
      <c r="C2734" s="96" t="str">
        <f t="shared" si="168"/>
        <v>956</v>
      </c>
      <c r="D2734" s="73"/>
      <c r="E2734" s="100"/>
      <c r="F2734" s="101"/>
      <c r="G2734" s="96">
        <f t="shared" si="169"/>
        <v>956</v>
      </c>
      <c r="I2734" s="96"/>
      <c r="K2734" t="str">
        <f t="shared" si="170"/>
        <v>956</v>
      </c>
      <c r="M2734" s="72"/>
      <c r="O2734" s="96">
        <f t="shared" si="171"/>
        <v>956</v>
      </c>
    </row>
    <row r="2735" spans="3:20" x14ac:dyDescent="0.2">
      <c r="C2735" s="96" t="str">
        <f t="shared" si="168"/>
        <v>957</v>
      </c>
      <c r="D2735" s="73"/>
      <c r="E2735" s="100"/>
      <c r="F2735" s="101"/>
      <c r="G2735" s="96">
        <f t="shared" si="169"/>
        <v>957</v>
      </c>
      <c r="I2735" s="96"/>
      <c r="K2735" t="str">
        <f t="shared" si="170"/>
        <v>957</v>
      </c>
      <c r="M2735" s="72"/>
      <c r="O2735" s="96">
        <f t="shared" si="171"/>
        <v>957</v>
      </c>
      <c r="T2735" s="110"/>
    </row>
    <row r="2736" spans="3:20" x14ac:dyDescent="0.2">
      <c r="C2736" s="96" t="str">
        <f t="shared" si="168"/>
        <v>958</v>
      </c>
      <c r="D2736" s="73"/>
      <c r="E2736" s="100"/>
      <c r="F2736" s="101"/>
      <c r="G2736" s="96">
        <f t="shared" si="169"/>
        <v>958</v>
      </c>
      <c r="I2736" s="96"/>
      <c r="K2736" t="str">
        <f t="shared" si="170"/>
        <v>958</v>
      </c>
      <c r="M2736" s="72"/>
      <c r="O2736" s="96">
        <f t="shared" si="171"/>
        <v>958</v>
      </c>
      <c r="T2736" s="110"/>
    </row>
    <row r="2737" spans="3:20" x14ac:dyDescent="0.2">
      <c r="C2737" s="96" t="str">
        <f t="shared" si="168"/>
        <v>959</v>
      </c>
      <c r="D2737" s="73"/>
      <c r="E2737" s="100"/>
      <c r="F2737" s="101"/>
      <c r="G2737" s="96">
        <f t="shared" si="169"/>
        <v>959</v>
      </c>
      <c r="I2737" s="96"/>
      <c r="K2737" t="str">
        <f t="shared" si="170"/>
        <v>959</v>
      </c>
      <c r="M2737" s="72"/>
      <c r="O2737" s="96">
        <f t="shared" si="171"/>
        <v>959</v>
      </c>
      <c r="T2737" s="110"/>
    </row>
    <row r="2738" spans="3:20" x14ac:dyDescent="0.2">
      <c r="C2738" s="96" t="str">
        <f t="shared" si="168"/>
        <v>960</v>
      </c>
      <c r="D2738" s="73"/>
      <c r="E2738" s="100"/>
      <c r="F2738" s="101"/>
      <c r="G2738" s="96">
        <f t="shared" si="169"/>
        <v>960</v>
      </c>
      <c r="I2738" s="96"/>
      <c r="K2738" t="str">
        <f t="shared" si="170"/>
        <v>960</v>
      </c>
      <c r="M2738" s="72"/>
      <c r="O2738" s="96">
        <f t="shared" si="171"/>
        <v>960</v>
      </c>
      <c r="T2738" s="110"/>
    </row>
    <row r="2739" spans="3:20" x14ac:dyDescent="0.2">
      <c r="C2739" s="96" t="str">
        <f t="shared" si="168"/>
        <v>961</v>
      </c>
      <c r="D2739" s="73"/>
      <c r="E2739" s="100"/>
      <c r="F2739" s="101"/>
      <c r="G2739" s="96">
        <f t="shared" si="169"/>
        <v>961</v>
      </c>
      <c r="I2739" s="96"/>
      <c r="K2739" t="str">
        <f t="shared" si="170"/>
        <v>961</v>
      </c>
      <c r="M2739" s="72"/>
      <c r="O2739" s="96">
        <f t="shared" si="171"/>
        <v>961</v>
      </c>
      <c r="T2739" s="110"/>
    </row>
    <row r="2740" spans="3:20" x14ac:dyDescent="0.2">
      <c r="C2740" s="96" t="str">
        <f t="shared" si="168"/>
        <v>962</v>
      </c>
      <c r="D2740" s="73"/>
      <c r="E2740" s="100"/>
      <c r="F2740" s="101"/>
      <c r="G2740" s="96">
        <f t="shared" si="169"/>
        <v>962</v>
      </c>
      <c r="I2740" s="96"/>
      <c r="K2740" t="str">
        <f t="shared" si="170"/>
        <v>962</v>
      </c>
      <c r="M2740" s="72"/>
      <c r="O2740" s="96">
        <f t="shared" si="171"/>
        <v>962</v>
      </c>
      <c r="T2740" s="110"/>
    </row>
    <row r="2741" spans="3:20" x14ac:dyDescent="0.2">
      <c r="C2741" s="96" t="str">
        <f t="shared" si="168"/>
        <v>963</v>
      </c>
      <c r="D2741" s="73"/>
      <c r="E2741" s="100"/>
      <c r="F2741" s="101"/>
      <c r="G2741" s="96">
        <f t="shared" si="169"/>
        <v>963</v>
      </c>
      <c r="I2741" s="96"/>
      <c r="K2741" t="str">
        <f t="shared" si="170"/>
        <v>963</v>
      </c>
      <c r="M2741" s="72"/>
      <c r="O2741" s="96">
        <f t="shared" si="171"/>
        <v>963</v>
      </c>
      <c r="T2741" s="110"/>
    </row>
    <row r="2742" spans="3:20" x14ac:dyDescent="0.2">
      <c r="C2742" s="96" t="str">
        <f t="shared" si="168"/>
        <v>964</v>
      </c>
      <c r="D2742" s="73"/>
      <c r="E2742" s="100"/>
      <c r="F2742" s="101"/>
      <c r="G2742" s="96">
        <f t="shared" si="169"/>
        <v>964</v>
      </c>
      <c r="I2742" s="96"/>
      <c r="K2742" t="str">
        <f t="shared" si="170"/>
        <v>964</v>
      </c>
      <c r="M2742" s="72"/>
      <c r="O2742" s="96">
        <f t="shared" si="171"/>
        <v>964</v>
      </c>
      <c r="T2742" s="110"/>
    </row>
    <row r="2743" spans="3:20" x14ac:dyDescent="0.2">
      <c r="C2743" s="96" t="str">
        <f t="shared" si="168"/>
        <v>965</v>
      </c>
      <c r="D2743" s="73"/>
      <c r="E2743" s="100"/>
      <c r="F2743" s="101"/>
      <c r="G2743" s="96">
        <f t="shared" si="169"/>
        <v>965</v>
      </c>
      <c r="I2743" s="96"/>
      <c r="K2743" t="str">
        <f t="shared" si="170"/>
        <v>965</v>
      </c>
      <c r="M2743" s="72"/>
      <c r="O2743" s="96">
        <f t="shared" si="171"/>
        <v>965</v>
      </c>
      <c r="T2743" s="110"/>
    </row>
    <row r="2744" spans="3:20" x14ac:dyDescent="0.2">
      <c r="C2744" s="96" t="str">
        <f t="shared" si="168"/>
        <v>966</v>
      </c>
      <c r="D2744" s="73"/>
      <c r="E2744" s="100"/>
      <c r="F2744" s="101"/>
      <c r="G2744" s="96">
        <f t="shared" si="169"/>
        <v>966</v>
      </c>
      <c r="I2744" s="96"/>
      <c r="K2744" t="str">
        <f t="shared" si="170"/>
        <v>966</v>
      </c>
      <c r="M2744" s="72"/>
      <c r="O2744" s="96">
        <f t="shared" si="171"/>
        <v>966</v>
      </c>
      <c r="T2744" s="110"/>
    </row>
    <row r="2745" spans="3:20" x14ac:dyDescent="0.2">
      <c r="C2745" s="96" t="str">
        <f t="shared" si="168"/>
        <v>967</v>
      </c>
      <c r="D2745" s="73"/>
      <c r="E2745" s="100"/>
      <c r="F2745" s="101"/>
      <c r="G2745" s="96">
        <f t="shared" si="169"/>
        <v>967</v>
      </c>
      <c r="I2745" s="96"/>
      <c r="K2745" t="str">
        <f t="shared" si="170"/>
        <v>967</v>
      </c>
      <c r="M2745" s="72"/>
      <c r="O2745" s="96">
        <f t="shared" si="171"/>
        <v>967</v>
      </c>
      <c r="T2745" s="110"/>
    </row>
    <row r="2746" spans="3:20" x14ac:dyDescent="0.2">
      <c r="C2746" s="96" t="str">
        <f t="shared" si="168"/>
        <v>968</v>
      </c>
      <c r="D2746" s="73"/>
      <c r="E2746" s="100"/>
      <c r="F2746" s="101"/>
      <c r="G2746" s="96">
        <f t="shared" si="169"/>
        <v>968</v>
      </c>
      <c r="I2746" s="96"/>
      <c r="K2746" t="str">
        <f t="shared" si="170"/>
        <v>968</v>
      </c>
      <c r="M2746" s="72"/>
      <c r="O2746" s="96">
        <f t="shared" si="171"/>
        <v>968</v>
      </c>
      <c r="T2746" s="110"/>
    </row>
    <row r="2747" spans="3:20" x14ac:dyDescent="0.2">
      <c r="C2747" s="96" t="str">
        <f t="shared" si="168"/>
        <v>969</v>
      </c>
      <c r="D2747" s="73"/>
      <c r="E2747" s="100"/>
      <c r="F2747" s="101"/>
      <c r="G2747" s="96">
        <f t="shared" si="169"/>
        <v>969</v>
      </c>
      <c r="I2747" s="96"/>
      <c r="K2747" t="str">
        <f t="shared" si="170"/>
        <v>969</v>
      </c>
      <c r="M2747" s="72"/>
      <c r="O2747" s="96">
        <f t="shared" si="171"/>
        <v>969</v>
      </c>
      <c r="T2747" s="110"/>
    </row>
    <row r="2748" spans="3:20" x14ac:dyDescent="0.2">
      <c r="C2748" s="96" t="str">
        <f t="shared" si="168"/>
        <v>970</v>
      </c>
      <c r="D2748" s="73"/>
      <c r="E2748" s="100"/>
      <c r="F2748" s="101"/>
      <c r="G2748" s="96">
        <f t="shared" si="169"/>
        <v>970</v>
      </c>
      <c r="I2748" s="96"/>
      <c r="K2748" t="str">
        <f t="shared" si="170"/>
        <v>970</v>
      </c>
      <c r="M2748" s="72"/>
      <c r="O2748" s="96">
        <f t="shared" si="171"/>
        <v>970</v>
      </c>
      <c r="T2748" s="110"/>
    </row>
    <row r="2749" spans="3:20" x14ac:dyDescent="0.2">
      <c r="C2749" s="96" t="str">
        <f t="shared" si="168"/>
        <v>971</v>
      </c>
      <c r="D2749" s="73"/>
      <c r="E2749" s="100"/>
      <c r="F2749" s="101"/>
      <c r="G2749" s="96">
        <f t="shared" si="169"/>
        <v>971</v>
      </c>
      <c r="I2749" s="96"/>
      <c r="K2749" t="str">
        <f t="shared" si="170"/>
        <v>971</v>
      </c>
      <c r="M2749" s="72"/>
      <c r="O2749" s="96">
        <f t="shared" si="171"/>
        <v>971</v>
      </c>
      <c r="T2749" s="110"/>
    </row>
    <row r="2750" spans="3:20" x14ac:dyDescent="0.2">
      <c r="C2750" s="96" t="str">
        <f t="shared" si="168"/>
        <v>972</v>
      </c>
      <c r="D2750" s="73"/>
      <c r="E2750" s="100"/>
      <c r="F2750" s="101"/>
      <c r="G2750" s="96">
        <f t="shared" si="169"/>
        <v>972</v>
      </c>
      <c r="I2750" s="96"/>
      <c r="K2750" t="str">
        <f t="shared" si="170"/>
        <v>972</v>
      </c>
      <c r="M2750" s="72"/>
      <c r="O2750" s="96">
        <f t="shared" si="171"/>
        <v>972</v>
      </c>
      <c r="T2750" s="110"/>
    </row>
    <row r="2751" spans="3:20" x14ac:dyDescent="0.2">
      <c r="C2751" s="96" t="str">
        <f t="shared" si="168"/>
        <v>973</v>
      </c>
      <c r="D2751" s="73"/>
      <c r="E2751" s="100"/>
      <c r="F2751" s="101"/>
      <c r="G2751" s="96">
        <f t="shared" si="169"/>
        <v>973</v>
      </c>
      <c r="I2751" s="96"/>
      <c r="K2751" t="str">
        <f t="shared" si="170"/>
        <v>973</v>
      </c>
      <c r="M2751" s="72"/>
      <c r="O2751" s="96">
        <f t="shared" si="171"/>
        <v>973</v>
      </c>
      <c r="T2751" s="110"/>
    </row>
    <row r="2752" spans="3:20" x14ac:dyDescent="0.2">
      <c r="C2752" s="96" t="str">
        <f t="shared" si="168"/>
        <v>974</v>
      </c>
      <c r="D2752" s="73"/>
      <c r="E2752" s="100"/>
      <c r="F2752" s="101"/>
      <c r="G2752" s="96">
        <f t="shared" si="169"/>
        <v>974</v>
      </c>
      <c r="I2752" s="96"/>
      <c r="K2752" t="str">
        <f t="shared" si="170"/>
        <v>974</v>
      </c>
      <c r="M2752" s="72"/>
      <c r="O2752" s="96">
        <f t="shared" si="171"/>
        <v>974</v>
      </c>
      <c r="T2752" s="110"/>
    </row>
    <row r="2753" spans="3:20" x14ac:dyDescent="0.2">
      <c r="C2753" s="96" t="str">
        <f t="shared" si="168"/>
        <v>975</v>
      </c>
      <c r="D2753" s="73"/>
      <c r="E2753" s="100"/>
      <c r="F2753" s="101"/>
      <c r="G2753" s="96">
        <f t="shared" si="169"/>
        <v>975</v>
      </c>
      <c r="I2753" s="96"/>
      <c r="K2753" t="str">
        <f t="shared" si="170"/>
        <v>975</v>
      </c>
      <c r="M2753" s="72"/>
      <c r="O2753" s="96">
        <f t="shared" si="171"/>
        <v>975</v>
      </c>
      <c r="T2753" s="110"/>
    </row>
    <row r="2754" spans="3:20" x14ac:dyDescent="0.2">
      <c r="C2754" s="96" t="str">
        <f t="shared" si="168"/>
        <v>976</v>
      </c>
      <c r="D2754" s="73"/>
      <c r="E2754" s="100"/>
      <c r="F2754" s="101"/>
      <c r="G2754" s="96">
        <f t="shared" si="169"/>
        <v>976</v>
      </c>
      <c r="I2754" s="96"/>
      <c r="K2754" t="str">
        <f t="shared" si="170"/>
        <v>976</v>
      </c>
      <c r="M2754" s="72"/>
      <c r="O2754" s="96">
        <f t="shared" si="171"/>
        <v>976</v>
      </c>
      <c r="T2754" s="110"/>
    </row>
    <row r="2755" spans="3:20" x14ac:dyDescent="0.2">
      <c r="C2755" s="96" t="str">
        <f t="shared" ref="C2755:C2818" si="172">D2755&amp;G2755</f>
        <v>977</v>
      </c>
      <c r="D2755" s="73"/>
      <c r="E2755" s="100"/>
      <c r="F2755" s="101"/>
      <c r="G2755" s="96">
        <f t="shared" ref="G2755:G2818" si="173">IF(D2755&lt;&gt;D2754,1,G2754+1)</f>
        <v>977</v>
      </c>
      <c r="I2755" s="96"/>
      <c r="K2755" t="str">
        <f t="shared" ref="K2755:K2818" si="174">L2755&amp;O2755</f>
        <v>977</v>
      </c>
      <c r="M2755" s="72"/>
      <c r="O2755" s="96">
        <f t="shared" ref="O2755:O2818" si="175">IF(L2755&lt;&gt;L2754,1,O2754+1)</f>
        <v>977</v>
      </c>
      <c r="T2755" s="110"/>
    </row>
    <row r="2756" spans="3:20" x14ac:dyDescent="0.2">
      <c r="C2756" s="96" t="str">
        <f t="shared" si="172"/>
        <v>978</v>
      </c>
      <c r="D2756" s="73"/>
      <c r="E2756" s="100"/>
      <c r="F2756" s="101"/>
      <c r="G2756" s="96">
        <f t="shared" si="173"/>
        <v>978</v>
      </c>
      <c r="I2756" s="96"/>
      <c r="K2756" t="str">
        <f t="shared" si="174"/>
        <v>978</v>
      </c>
      <c r="M2756" s="72"/>
      <c r="O2756" s="96">
        <f t="shared" si="175"/>
        <v>978</v>
      </c>
      <c r="T2756" s="110"/>
    </row>
    <row r="2757" spans="3:20" x14ac:dyDescent="0.2">
      <c r="C2757" s="96" t="str">
        <f t="shared" si="172"/>
        <v>979</v>
      </c>
      <c r="D2757" s="73"/>
      <c r="E2757" s="100"/>
      <c r="F2757" s="101"/>
      <c r="G2757" s="96">
        <f t="shared" si="173"/>
        <v>979</v>
      </c>
      <c r="I2757" s="96"/>
      <c r="K2757" t="str">
        <f t="shared" si="174"/>
        <v>979</v>
      </c>
      <c r="M2757" s="72"/>
      <c r="O2757" s="96">
        <f t="shared" si="175"/>
        <v>979</v>
      </c>
      <c r="T2757" s="110"/>
    </row>
    <row r="2758" spans="3:20" x14ac:dyDescent="0.2">
      <c r="C2758" s="96" t="str">
        <f t="shared" si="172"/>
        <v>980</v>
      </c>
      <c r="D2758" s="73"/>
      <c r="E2758" s="100"/>
      <c r="F2758" s="101"/>
      <c r="G2758" s="96">
        <f t="shared" si="173"/>
        <v>980</v>
      </c>
      <c r="I2758" s="96"/>
      <c r="K2758" t="str">
        <f t="shared" si="174"/>
        <v>980</v>
      </c>
      <c r="M2758" s="72"/>
      <c r="O2758" s="96">
        <f t="shared" si="175"/>
        <v>980</v>
      </c>
      <c r="T2758" s="110"/>
    </row>
    <row r="2759" spans="3:20" x14ac:dyDescent="0.2">
      <c r="C2759" s="96" t="str">
        <f t="shared" si="172"/>
        <v>981</v>
      </c>
      <c r="D2759" s="73"/>
      <c r="E2759" s="100"/>
      <c r="F2759" s="101"/>
      <c r="G2759" s="96">
        <f t="shared" si="173"/>
        <v>981</v>
      </c>
      <c r="I2759" s="96"/>
      <c r="K2759" t="str">
        <f t="shared" si="174"/>
        <v>981</v>
      </c>
      <c r="M2759" s="72"/>
      <c r="O2759" s="96">
        <f t="shared" si="175"/>
        <v>981</v>
      </c>
      <c r="T2759" s="110"/>
    </row>
    <row r="2760" spans="3:20" x14ac:dyDescent="0.2">
      <c r="C2760" s="96" t="str">
        <f t="shared" si="172"/>
        <v>982</v>
      </c>
      <c r="D2760" s="73"/>
      <c r="E2760" s="100"/>
      <c r="F2760" s="101"/>
      <c r="G2760" s="96">
        <f t="shared" si="173"/>
        <v>982</v>
      </c>
      <c r="I2760" s="96"/>
      <c r="K2760" t="str">
        <f t="shared" si="174"/>
        <v>982</v>
      </c>
      <c r="M2760" s="72"/>
      <c r="O2760" s="96">
        <f t="shared" si="175"/>
        <v>982</v>
      </c>
      <c r="T2760" s="110"/>
    </row>
    <row r="2761" spans="3:20" x14ac:dyDescent="0.2">
      <c r="C2761" s="96" t="str">
        <f t="shared" si="172"/>
        <v>983</v>
      </c>
      <c r="D2761" s="73"/>
      <c r="E2761" s="100"/>
      <c r="F2761" s="101"/>
      <c r="G2761" s="96">
        <f t="shared" si="173"/>
        <v>983</v>
      </c>
      <c r="I2761" s="96"/>
      <c r="K2761" t="str">
        <f t="shared" si="174"/>
        <v>983</v>
      </c>
      <c r="M2761" s="72"/>
      <c r="O2761" s="96">
        <f t="shared" si="175"/>
        <v>983</v>
      </c>
      <c r="T2761" s="110"/>
    </row>
    <row r="2762" spans="3:20" x14ac:dyDescent="0.2">
      <c r="C2762" s="96" t="str">
        <f t="shared" si="172"/>
        <v>984</v>
      </c>
      <c r="D2762" s="73"/>
      <c r="E2762" s="100"/>
      <c r="F2762" s="101"/>
      <c r="G2762" s="96">
        <f t="shared" si="173"/>
        <v>984</v>
      </c>
      <c r="I2762" s="96"/>
      <c r="K2762" t="str">
        <f t="shared" si="174"/>
        <v>984</v>
      </c>
      <c r="M2762" s="72"/>
      <c r="O2762" s="96">
        <f t="shared" si="175"/>
        <v>984</v>
      </c>
      <c r="T2762" s="110"/>
    </row>
    <row r="2763" spans="3:20" x14ac:dyDescent="0.2">
      <c r="C2763" s="96" t="str">
        <f t="shared" si="172"/>
        <v>985</v>
      </c>
      <c r="D2763" s="73"/>
      <c r="E2763" s="100"/>
      <c r="F2763" s="101"/>
      <c r="G2763" s="96">
        <f t="shared" si="173"/>
        <v>985</v>
      </c>
      <c r="I2763" s="96"/>
      <c r="K2763" t="str">
        <f t="shared" si="174"/>
        <v>985</v>
      </c>
      <c r="M2763" s="72"/>
      <c r="O2763" s="96">
        <f t="shared" si="175"/>
        <v>985</v>
      </c>
      <c r="T2763" s="110"/>
    </row>
    <row r="2764" spans="3:20" x14ac:dyDescent="0.2">
      <c r="C2764" s="96" t="str">
        <f t="shared" si="172"/>
        <v>986</v>
      </c>
      <c r="D2764" s="73"/>
      <c r="E2764" s="100"/>
      <c r="F2764" s="101"/>
      <c r="G2764" s="96">
        <f t="shared" si="173"/>
        <v>986</v>
      </c>
      <c r="I2764" s="96"/>
      <c r="K2764" t="str">
        <f t="shared" si="174"/>
        <v>986</v>
      </c>
      <c r="M2764" s="72"/>
      <c r="O2764" s="96">
        <f t="shared" si="175"/>
        <v>986</v>
      </c>
      <c r="T2764" s="110"/>
    </row>
    <row r="2765" spans="3:20" x14ac:dyDescent="0.2">
      <c r="C2765" s="96" t="str">
        <f t="shared" si="172"/>
        <v>987</v>
      </c>
      <c r="D2765" s="73"/>
      <c r="E2765" s="100"/>
      <c r="F2765" s="101"/>
      <c r="G2765" s="96">
        <f t="shared" si="173"/>
        <v>987</v>
      </c>
      <c r="I2765" s="96"/>
      <c r="K2765" t="str">
        <f t="shared" si="174"/>
        <v>987</v>
      </c>
      <c r="M2765" s="72"/>
      <c r="O2765" s="96">
        <f t="shared" si="175"/>
        <v>987</v>
      </c>
      <c r="T2765" s="110"/>
    </row>
    <row r="2766" spans="3:20" x14ac:dyDescent="0.2">
      <c r="C2766" s="96" t="str">
        <f t="shared" si="172"/>
        <v>988</v>
      </c>
      <c r="D2766" s="73"/>
      <c r="E2766" s="100"/>
      <c r="F2766" s="101"/>
      <c r="G2766" s="96">
        <f t="shared" si="173"/>
        <v>988</v>
      </c>
      <c r="I2766" s="96"/>
      <c r="K2766" t="str">
        <f t="shared" si="174"/>
        <v>988</v>
      </c>
      <c r="M2766" s="72"/>
      <c r="O2766" s="96">
        <f t="shared" si="175"/>
        <v>988</v>
      </c>
      <c r="T2766" s="110"/>
    </row>
    <row r="2767" spans="3:20" x14ac:dyDescent="0.2">
      <c r="C2767" s="96" t="str">
        <f t="shared" si="172"/>
        <v>989</v>
      </c>
      <c r="D2767" s="73"/>
      <c r="E2767" s="100"/>
      <c r="F2767" s="101"/>
      <c r="G2767" s="96">
        <f t="shared" si="173"/>
        <v>989</v>
      </c>
      <c r="I2767" s="96"/>
      <c r="K2767" t="str">
        <f t="shared" si="174"/>
        <v>989</v>
      </c>
      <c r="M2767" s="72"/>
      <c r="O2767" s="96">
        <f t="shared" si="175"/>
        <v>989</v>
      </c>
      <c r="T2767" s="110"/>
    </row>
    <row r="2768" spans="3:20" x14ac:dyDescent="0.2">
      <c r="C2768" s="96" t="str">
        <f t="shared" si="172"/>
        <v>990</v>
      </c>
      <c r="D2768" s="73"/>
      <c r="E2768" s="100"/>
      <c r="F2768" s="101"/>
      <c r="G2768" s="96">
        <f t="shared" si="173"/>
        <v>990</v>
      </c>
      <c r="I2768" s="96"/>
      <c r="K2768" t="str">
        <f t="shared" si="174"/>
        <v>990</v>
      </c>
      <c r="M2768" s="72"/>
      <c r="O2768" s="96">
        <f t="shared" si="175"/>
        <v>990</v>
      </c>
      <c r="T2768" s="110"/>
    </row>
    <row r="2769" spans="3:20" x14ac:dyDescent="0.2">
      <c r="C2769" s="96" t="str">
        <f t="shared" si="172"/>
        <v>991</v>
      </c>
      <c r="D2769" s="73"/>
      <c r="E2769" s="100"/>
      <c r="F2769" s="101"/>
      <c r="G2769" s="96">
        <f t="shared" si="173"/>
        <v>991</v>
      </c>
      <c r="I2769" s="96"/>
      <c r="K2769" t="str">
        <f t="shared" si="174"/>
        <v>991</v>
      </c>
      <c r="M2769" s="72"/>
      <c r="O2769" s="96">
        <f t="shared" si="175"/>
        <v>991</v>
      </c>
      <c r="T2769" s="110"/>
    </row>
    <row r="2770" spans="3:20" x14ac:dyDescent="0.2">
      <c r="C2770" s="96" t="str">
        <f t="shared" si="172"/>
        <v>992</v>
      </c>
      <c r="D2770" s="73"/>
      <c r="E2770" s="100"/>
      <c r="F2770" s="101"/>
      <c r="G2770" s="96">
        <f t="shared" si="173"/>
        <v>992</v>
      </c>
      <c r="I2770" s="96"/>
      <c r="K2770" t="str">
        <f t="shared" si="174"/>
        <v>992</v>
      </c>
      <c r="M2770" s="72"/>
      <c r="O2770" s="96">
        <f t="shared" si="175"/>
        <v>992</v>
      </c>
      <c r="T2770" s="110"/>
    </row>
    <row r="2771" spans="3:20" x14ac:dyDescent="0.2">
      <c r="C2771" s="96" t="str">
        <f t="shared" si="172"/>
        <v>993</v>
      </c>
      <c r="D2771" s="73"/>
      <c r="E2771" s="100"/>
      <c r="F2771" s="101"/>
      <c r="G2771" s="96">
        <f t="shared" si="173"/>
        <v>993</v>
      </c>
      <c r="I2771" s="96"/>
      <c r="K2771" t="str">
        <f t="shared" si="174"/>
        <v>993</v>
      </c>
      <c r="M2771" s="72"/>
      <c r="O2771" s="96">
        <f t="shared" si="175"/>
        <v>993</v>
      </c>
      <c r="T2771" s="110"/>
    </row>
    <row r="2772" spans="3:20" x14ac:dyDescent="0.2">
      <c r="C2772" s="96" t="str">
        <f t="shared" si="172"/>
        <v>994</v>
      </c>
      <c r="D2772" s="73"/>
      <c r="E2772" s="100"/>
      <c r="F2772" s="101"/>
      <c r="G2772" s="96">
        <f t="shared" si="173"/>
        <v>994</v>
      </c>
      <c r="I2772" s="96"/>
      <c r="K2772" t="str">
        <f t="shared" si="174"/>
        <v>994</v>
      </c>
      <c r="M2772" s="72"/>
      <c r="O2772" s="96">
        <f t="shared" si="175"/>
        <v>994</v>
      </c>
      <c r="T2772" s="110"/>
    </row>
    <row r="2773" spans="3:20" x14ac:dyDescent="0.2">
      <c r="C2773" s="96" t="str">
        <f t="shared" si="172"/>
        <v>995</v>
      </c>
      <c r="D2773" s="73"/>
      <c r="E2773" s="100"/>
      <c r="F2773" s="101"/>
      <c r="G2773" s="96">
        <f t="shared" si="173"/>
        <v>995</v>
      </c>
      <c r="I2773" s="96"/>
      <c r="K2773" t="str">
        <f t="shared" si="174"/>
        <v>995</v>
      </c>
      <c r="M2773" s="72"/>
      <c r="O2773" s="96">
        <f t="shared" si="175"/>
        <v>995</v>
      </c>
      <c r="T2773" s="110"/>
    </row>
    <row r="2774" spans="3:20" x14ac:dyDescent="0.2">
      <c r="C2774" s="96" t="str">
        <f t="shared" si="172"/>
        <v>996</v>
      </c>
      <c r="D2774" s="73"/>
      <c r="E2774" s="100"/>
      <c r="F2774" s="101"/>
      <c r="G2774" s="96">
        <f t="shared" si="173"/>
        <v>996</v>
      </c>
      <c r="I2774" s="96"/>
      <c r="K2774" t="str">
        <f t="shared" si="174"/>
        <v>996</v>
      </c>
      <c r="M2774" s="72"/>
      <c r="O2774" s="96">
        <f t="shared" si="175"/>
        <v>996</v>
      </c>
      <c r="T2774" s="110"/>
    </row>
    <row r="2775" spans="3:20" x14ac:dyDescent="0.2">
      <c r="C2775" s="96" t="str">
        <f t="shared" si="172"/>
        <v>997</v>
      </c>
      <c r="D2775" s="73"/>
      <c r="E2775" s="100"/>
      <c r="F2775" s="101"/>
      <c r="G2775" s="96">
        <f t="shared" si="173"/>
        <v>997</v>
      </c>
      <c r="I2775" s="96"/>
      <c r="K2775" t="str">
        <f t="shared" si="174"/>
        <v>997</v>
      </c>
      <c r="M2775" s="72"/>
      <c r="O2775" s="96">
        <f t="shared" si="175"/>
        <v>997</v>
      </c>
      <c r="T2775" s="110"/>
    </row>
    <row r="2776" spans="3:20" x14ac:dyDescent="0.2">
      <c r="C2776" s="96" t="str">
        <f t="shared" si="172"/>
        <v>998</v>
      </c>
      <c r="D2776" s="73"/>
      <c r="E2776" s="100"/>
      <c r="F2776" s="101"/>
      <c r="G2776" s="96">
        <f t="shared" si="173"/>
        <v>998</v>
      </c>
      <c r="I2776" s="96"/>
      <c r="K2776" t="str">
        <f t="shared" si="174"/>
        <v>998</v>
      </c>
      <c r="M2776" s="72"/>
      <c r="O2776" s="96">
        <f t="shared" si="175"/>
        <v>998</v>
      </c>
      <c r="T2776" s="110"/>
    </row>
    <row r="2777" spans="3:20" x14ac:dyDescent="0.2">
      <c r="C2777" s="96" t="str">
        <f t="shared" si="172"/>
        <v>999</v>
      </c>
      <c r="D2777" s="73"/>
      <c r="E2777" s="100"/>
      <c r="F2777" s="101"/>
      <c r="G2777" s="96">
        <f t="shared" si="173"/>
        <v>999</v>
      </c>
      <c r="I2777" s="96"/>
      <c r="K2777" t="str">
        <f t="shared" si="174"/>
        <v>999</v>
      </c>
      <c r="M2777" s="72"/>
      <c r="O2777" s="96">
        <f t="shared" si="175"/>
        <v>999</v>
      </c>
      <c r="T2777" s="110"/>
    </row>
    <row r="2778" spans="3:20" x14ac:dyDescent="0.2">
      <c r="C2778" s="96" t="str">
        <f t="shared" si="172"/>
        <v>1000</v>
      </c>
      <c r="D2778" s="73"/>
      <c r="E2778" s="100"/>
      <c r="F2778" s="101"/>
      <c r="G2778" s="96">
        <f t="shared" si="173"/>
        <v>1000</v>
      </c>
      <c r="I2778" s="96"/>
      <c r="K2778" t="str">
        <f t="shared" si="174"/>
        <v>1000</v>
      </c>
      <c r="M2778" s="72"/>
      <c r="O2778" s="96">
        <f t="shared" si="175"/>
        <v>1000</v>
      </c>
      <c r="T2778" s="110"/>
    </row>
    <row r="2779" spans="3:20" x14ac:dyDescent="0.2">
      <c r="C2779" s="96" t="str">
        <f t="shared" si="172"/>
        <v>1001</v>
      </c>
      <c r="D2779" s="73"/>
      <c r="E2779" s="100"/>
      <c r="F2779" s="101"/>
      <c r="G2779" s="96">
        <f t="shared" si="173"/>
        <v>1001</v>
      </c>
      <c r="I2779" s="96"/>
      <c r="K2779" t="str">
        <f t="shared" si="174"/>
        <v>1001</v>
      </c>
      <c r="M2779" s="72"/>
      <c r="O2779" s="96">
        <f t="shared" si="175"/>
        <v>1001</v>
      </c>
      <c r="T2779" s="110"/>
    </row>
    <row r="2780" spans="3:20" x14ac:dyDescent="0.2">
      <c r="C2780" s="96" t="str">
        <f t="shared" si="172"/>
        <v>1002</v>
      </c>
      <c r="D2780" s="73"/>
      <c r="E2780" s="100"/>
      <c r="F2780" s="101"/>
      <c r="G2780" s="96">
        <f t="shared" si="173"/>
        <v>1002</v>
      </c>
      <c r="I2780" s="96"/>
      <c r="K2780" t="str">
        <f t="shared" si="174"/>
        <v>1002</v>
      </c>
      <c r="M2780" s="72"/>
      <c r="O2780" s="96">
        <f t="shared" si="175"/>
        <v>1002</v>
      </c>
      <c r="T2780" s="110"/>
    </row>
    <row r="2781" spans="3:20" x14ac:dyDescent="0.2">
      <c r="C2781" s="96" t="str">
        <f t="shared" si="172"/>
        <v>1003</v>
      </c>
      <c r="D2781" s="73"/>
      <c r="E2781" s="100"/>
      <c r="F2781" s="101"/>
      <c r="G2781" s="96">
        <f t="shared" si="173"/>
        <v>1003</v>
      </c>
      <c r="I2781" s="96"/>
      <c r="K2781" t="str">
        <f t="shared" si="174"/>
        <v>1003</v>
      </c>
      <c r="M2781" s="72"/>
      <c r="O2781" s="96">
        <f t="shared" si="175"/>
        <v>1003</v>
      </c>
      <c r="T2781" s="110"/>
    </row>
    <row r="2782" spans="3:20" x14ac:dyDescent="0.2">
      <c r="C2782" s="96" t="str">
        <f t="shared" si="172"/>
        <v>1004</v>
      </c>
      <c r="D2782" s="73"/>
      <c r="E2782" s="100"/>
      <c r="F2782" s="101"/>
      <c r="G2782" s="96">
        <f t="shared" si="173"/>
        <v>1004</v>
      </c>
      <c r="I2782" s="96"/>
      <c r="K2782" t="str">
        <f t="shared" si="174"/>
        <v>1004</v>
      </c>
      <c r="M2782" s="72"/>
      <c r="O2782" s="96">
        <f t="shared" si="175"/>
        <v>1004</v>
      </c>
      <c r="T2782" s="110"/>
    </row>
    <row r="2783" spans="3:20" x14ac:dyDescent="0.2">
      <c r="C2783" s="96" t="str">
        <f t="shared" si="172"/>
        <v>1005</v>
      </c>
      <c r="D2783" s="73"/>
      <c r="E2783" s="100"/>
      <c r="F2783" s="101"/>
      <c r="G2783" s="96">
        <f t="shared" si="173"/>
        <v>1005</v>
      </c>
      <c r="I2783" s="96"/>
      <c r="K2783" t="str">
        <f t="shared" si="174"/>
        <v>1005</v>
      </c>
      <c r="M2783" s="72"/>
      <c r="O2783" s="96">
        <f t="shared" si="175"/>
        <v>1005</v>
      </c>
      <c r="T2783" s="110"/>
    </row>
    <row r="2784" spans="3:20" x14ac:dyDescent="0.2">
      <c r="C2784" s="96" t="str">
        <f t="shared" si="172"/>
        <v>1006</v>
      </c>
      <c r="D2784" s="73"/>
      <c r="E2784" s="100"/>
      <c r="F2784" s="101"/>
      <c r="G2784" s="96">
        <f t="shared" si="173"/>
        <v>1006</v>
      </c>
      <c r="I2784" s="96"/>
      <c r="K2784" t="str">
        <f t="shared" si="174"/>
        <v>1006</v>
      </c>
      <c r="M2784" s="72"/>
      <c r="O2784" s="96">
        <f t="shared" si="175"/>
        <v>1006</v>
      </c>
      <c r="T2784" s="110"/>
    </row>
    <row r="2785" spans="3:20" x14ac:dyDescent="0.2">
      <c r="C2785" s="96" t="str">
        <f t="shared" si="172"/>
        <v>1007</v>
      </c>
      <c r="D2785" s="73"/>
      <c r="E2785" s="100"/>
      <c r="F2785" s="101"/>
      <c r="G2785" s="96">
        <f t="shared" si="173"/>
        <v>1007</v>
      </c>
      <c r="I2785" s="96"/>
      <c r="K2785" t="str">
        <f t="shared" si="174"/>
        <v>1007</v>
      </c>
      <c r="M2785" s="72"/>
      <c r="O2785" s="96">
        <f t="shared" si="175"/>
        <v>1007</v>
      </c>
      <c r="T2785" s="110"/>
    </row>
    <row r="2786" spans="3:20" x14ac:dyDescent="0.2">
      <c r="C2786" s="96" t="str">
        <f t="shared" si="172"/>
        <v>1008</v>
      </c>
      <c r="D2786" s="73"/>
      <c r="E2786" s="100"/>
      <c r="F2786" s="101"/>
      <c r="G2786" s="96">
        <f t="shared" si="173"/>
        <v>1008</v>
      </c>
      <c r="I2786" s="96"/>
      <c r="K2786" t="str">
        <f t="shared" si="174"/>
        <v>1008</v>
      </c>
      <c r="M2786" s="72"/>
      <c r="O2786" s="96">
        <f t="shared" si="175"/>
        <v>1008</v>
      </c>
      <c r="T2786" s="110"/>
    </row>
    <row r="2787" spans="3:20" x14ac:dyDescent="0.2">
      <c r="C2787" s="96" t="str">
        <f t="shared" si="172"/>
        <v>1009</v>
      </c>
      <c r="D2787" s="73"/>
      <c r="E2787" s="100"/>
      <c r="F2787" s="101"/>
      <c r="G2787" s="96">
        <f t="shared" si="173"/>
        <v>1009</v>
      </c>
      <c r="I2787" s="96"/>
      <c r="K2787" t="str">
        <f t="shared" si="174"/>
        <v>1009</v>
      </c>
      <c r="M2787" s="72"/>
      <c r="O2787" s="96">
        <f t="shared" si="175"/>
        <v>1009</v>
      </c>
      <c r="T2787" s="110"/>
    </row>
    <row r="2788" spans="3:20" x14ac:dyDescent="0.2">
      <c r="C2788" s="96" t="str">
        <f t="shared" si="172"/>
        <v>1010</v>
      </c>
      <c r="D2788" s="73"/>
      <c r="E2788" s="100"/>
      <c r="F2788" s="101"/>
      <c r="G2788" s="96">
        <f t="shared" si="173"/>
        <v>1010</v>
      </c>
      <c r="I2788" s="96"/>
      <c r="K2788" t="str">
        <f t="shared" si="174"/>
        <v>1010</v>
      </c>
      <c r="M2788" s="72"/>
      <c r="O2788" s="96">
        <f t="shared" si="175"/>
        <v>1010</v>
      </c>
      <c r="T2788" s="110"/>
    </row>
    <row r="2789" spans="3:20" x14ac:dyDescent="0.2">
      <c r="C2789" s="96" t="str">
        <f t="shared" si="172"/>
        <v>1011</v>
      </c>
      <c r="D2789" s="73"/>
      <c r="E2789" s="100"/>
      <c r="F2789" s="101"/>
      <c r="G2789" s="96">
        <f t="shared" si="173"/>
        <v>1011</v>
      </c>
      <c r="I2789" s="96"/>
      <c r="K2789" t="str">
        <f t="shared" si="174"/>
        <v>1011</v>
      </c>
      <c r="M2789" s="72"/>
      <c r="O2789" s="96">
        <f t="shared" si="175"/>
        <v>1011</v>
      </c>
      <c r="T2789" s="110"/>
    </row>
    <row r="2790" spans="3:20" x14ac:dyDescent="0.2">
      <c r="C2790" s="96" t="str">
        <f t="shared" si="172"/>
        <v>1012</v>
      </c>
      <c r="D2790" s="73"/>
      <c r="E2790" s="100"/>
      <c r="F2790" s="101"/>
      <c r="G2790" s="96">
        <f t="shared" si="173"/>
        <v>1012</v>
      </c>
      <c r="I2790" s="96"/>
      <c r="K2790" t="str">
        <f t="shared" si="174"/>
        <v>1012</v>
      </c>
      <c r="M2790" s="72"/>
      <c r="O2790" s="96">
        <f t="shared" si="175"/>
        <v>1012</v>
      </c>
      <c r="T2790" s="110"/>
    </row>
    <row r="2791" spans="3:20" x14ac:dyDescent="0.2">
      <c r="C2791" s="96" t="str">
        <f t="shared" si="172"/>
        <v>1013</v>
      </c>
      <c r="D2791" s="73"/>
      <c r="E2791" s="100"/>
      <c r="F2791" s="101"/>
      <c r="G2791" s="96">
        <f t="shared" si="173"/>
        <v>1013</v>
      </c>
      <c r="I2791" s="96"/>
      <c r="K2791" t="str">
        <f t="shared" si="174"/>
        <v>1013</v>
      </c>
      <c r="M2791" s="72"/>
      <c r="O2791" s="96">
        <f t="shared" si="175"/>
        <v>1013</v>
      </c>
      <c r="T2791" s="110"/>
    </row>
    <row r="2792" spans="3:20" x14ac:dyDescent="0.2">
      <c r="C2792" s="96" t="str">
        <f t="shared" si="172"/>
        <v>1014</v>
      </c>
      <c r="D2792" s="73"/>
      <c r="E2792" s="100"/>
      <c r="F2792" s="101"/>
      <c r="G2792" s="96">
        <f t="shared" si="173"/>
        <v>1014</v>
      </c>
      <c r="I2792" s="96"/>
      <c r="K2792" t="str">
        <f t="shared" si="174"/>
        <v>1014</v>
      </c>
      <c r="M2792" s="72"/>
      <c r="O2792" s="96">
        <f t="shared" si="175"/>
        <v>1014</v>
      </c>
      <c r="T2792" s="110"/>
    </row>
    <row r="2793" spans="3:20" x14ac:dyDescent="0.2">
      <c r="C2793" s="96" t="str">
        <f t="shared" si="172"/>
        <v>1015</v>
      </c>
      <c r="D2793" s="73"/>
      <c r="E2793" s="100"/>
      <c r="F2793" s="101"/>
      <c r="G2793" s="96">
        <f t="shared" si="173"/>
        <v>1015</v>
      </c>
      <c r="I2793" s="96"/>
      <c r="K2793" t="str">
        <f t="shared" si="174"/>
        <v>1015</v>
      </c>
      <c r="M2793" s="72"/>
      <c r="O2793" s="96">
        <f t="shared" si="175"/>
        <v>1015</v>
      </c>
      <c r="T2793" s="110"/>
    </row>
    <row r="2794" spans="3:20" x14ac:dyDescent="0.2">
      <c r="C2794" s="96" t="str">
        <f t="shared" si="172"/>
        <v>1016</v>
      </c>
      <c r="D2794" s="73"/>
      <c r="E2794" s="100"/>
      <c r="F2794" s="101"/>
      <c r="G2794" s="96">
        <f t="shared" si="173"/>
        <v>1016</v>
      </c>
      <c r="I2794" s="96"/>
      <c r="K2794" t="str">
        <f t="shared" si="174"/>
        <v>1016</v>
      </c>
      <c r="M2794" s="72"/>
      <c r="O2794" s="96">
        <f t="shared" si="175"/>
        <v>1016</v>
      </c>
      <c r="T2794" s="110"/>
    </row>
    <row r="2795" spans="3:20" x14ac:dyDescent="0.2">
      <c r="C2795" s="96" t="str">
        <f t="shared" si="172"/>
        <v>1017</v>
      </c>
      <c r="D2795" s="73"/>
      <c r="E2795" s="100"/>
      <c r="F2795" s="101"/>
      <c r="G2795" s="96">
        <f t="shared" si="173"/>
        <v>1017</v>
      </c>
      <c r="I2795" s="96"/>
      <c r="K2795" t="str">
        <f t="shared" si="174"/>
        <v>1017</v>
      </c>
      <c r="M2795" s="72"/>
      <c r="O2795" s="96">
        <f t="shared" si="175"/>
        <v>1017</v>
      </c>
      <c r="T2795" s="110"/>
    </row>
    <row r="2796" spans="3:20" x14ac:dyDescent="0.2">
      <c r="C2796" s="96" t="str">
        <f t="shared" si="172"/>
        <v>1018</v>
      </c>
      <c r="D2796" s="73"/>
      <c r="E2796" s="100"/>
      <c r="F2796" s="101"/>
      <c r="G2796" s="96">
        <f t="shared" si="173"/>
        <v>1018</v>
      </c>
      <c r="I2796" s="96"/>
      <c r="K2796" t="str">
        <f t="shared" si="174"/>
        <v>1018</v>
      </c>
      <c r="M2796" s="72"/>
      <c r="O2796" s="96">
        <f t="shared" si="175"/>
        <v>1018</v>
      </c>
      <c r="T2796" s="110"/>
    </row>
    <row r="2797" spans="3:20" x14ac:dyDescent="0.2">
      <c r="C2797" s="96" t="str">
        <f t="shared" si="172"/>
        <v>1019</v>
      </c>
      <c r="D2797" s="73"/>
      <c r="E2797" s="100"/>
      <c r="F2797" s="101"/>
      <c r="G2797" s="96">
        <f t="shared" si="173"/>
        <v>1019</v>
      </c>
      <c r="I2797" s="96"/>
      <c r="K2797" t="str">
        <f t="shared" si="174"/>
        <v>1019</v>
      </c>
      <c r="M2797" s="72"/>
      <c r="O2797" s="96">
        <f t="shared" si="175"/>
        <v>1019</v>
      </c>
      <c r="T2797" s="110"/>
    </row>
    <row r="2798" spans="3:20" x14ac:dyDescent="0.2">
      <c r="C2798" s="96" t="str">
        <f t="shared" si="172"/>
        <v>1020</v>
      </c>
      <c r="D2798" s="73"/>
      <c r="E2798" s="100"/>
      <c r="F2798" s="101"/>
      <c r="G2798" s="96">
        <f t="shared" si="173"/>
        <v>1020</v>
      </c>
      <c r="I2798" s="96"/>
      <c r="K2798" t="str">
        <f t="shared" si="174"/>
        <v>1020</v>
      </c>
      <c r="M2798" s="72"/>
      <c r="O2798" s="96">
        <f t="shared" si="175"/>
        <v>1020</v>
      </c>
      <c r="T2798" s="110"/>
    </row>
    <row r="2799" spans="3:20" x14ac:dyDescent="0.2">
      <c r="C2799" s="96" t="str">
        <f t="shared" si="172"/>
        <v>1021</v>
      </c>
      <c r="D2799" s="73"/>
      <c r="E2799" s="100"/>
      <c r="F2799" s="101"/>
      <c r="G2799" s="96">
        <f t="shared" si="173"/>
        <v>1021</v>
      </c>
      <c r="I2799" s="96"/>
      <c r="K2799" t="str">
        <f t="shared" si="174"/>
        <v>1021</v>
      </c>
      <c r="M2799" s="72"/>
      <c r="O2799" s="96">
        <f t="shared" si="175"/>
        <v>1021</v>
      </c>
      <c r="T2799" s="110"/>
    </row>
    <row r="2800" spans="3:20" x14ac:dyDescent="0.2">
      <c r="C2800" s="96" t="str">
        <f t="shared" si="172"/>
        <v>1022</v>
      </c>
      <c r="D2800" s="73"/>
      <c r="E2800" s="100"/>
      <c r="F2800" s="101"/>
      <c r="G2800" s="96">
        <f t="shared" si="173"/>
        <v>1022</v>
      </c>
      <c r="I2800" s="96"/>
      <c r="K2800" t="str">
        <f t="shared" si="174"/>
        <v>1022</v>
      </c>
      <c r="M2800" s="72"/>
      <c r="O2800" s="96">
        <f t="shared" si="175"/>
        <v>1022</v>
      </c>
      <c r="T2800" s="110"/>
    </row>
    <row r="2801" spans="3:20" x14ac:dyDescent="0.2">
      <c r="C2801" s="96" t="str">
        <f t="shared" si="172"/>
        <v>1023</v>
      </c>
      <c r="D2801" s="73"/>
      <c r="E2801" s="100"/>
      <c r="F2801" s="101"/>
      <c r="G2801" s="96">
        <f t="shared" si="173"/>
        <v>1023</v>
      </c>
      <c r="I2801" s="96"/>
      <c r="K2801" t="str">
        <f t="shared" si="174"/>
        <v>1023</v>
      </c>
      <c r="M2801" s="72"/>
      <c r="O2801" s="96">
        <f t="shared" si="175"/>
        <v>1023</v>
      </c>
      <c r="T2801" s="110"/>
    </row>
    <row r="2802" spans="3:20" x14ac:dyDescent="0.2">
      <c r="C2802" s="96" t="str">
        <f t="shared" si="172"/>
        <v>1024</v>
      </c>
      <c r="D2802" s="73"/>
      <c r="E2802" s="100"/>
      <c r="F2802" s="101"/>
      <c r="G2802" s="96">
        <f t="shared" si="173"/>
        <v>1024</v>
      </c>
      <c r="I2802" s="96"/>
      <c r="K2802" t="str">
        <f t="shared" si="174"/>
        <v>1024</v>
      </c>
      <c r="M2802" s="72"/>
      <c r="O2802" s="96">
        <f t="shared" si="175"/>
        <v>1024</v>
      </c>
      <c r="T2802" s="110"/>
    </row>
    <row r="2803" spans="3:20" x14ac:dyDescent="0.2">
      <c r="C2803" s="96" t="str">
        <f t="shared" si="172"/>
        <v>1025</v>
      </c>
      <c r="D2803" s="73"/>
      <c r="E2803" s="100"/>
      <c r="F2803" s="101"/>
      <c r="G2803" s="96">
        <f t="shared" si="173"/>
        <v>1025</v>
      </c>
      <c r="I2803" s="96"/>
      <c r="K2803" t="str">
        <f t="shared" si="174"/>
        <v>1025</v>
      </c>
      <c r="M2803" s="72"/>
      <c r="O2803" s="96">
        <f t="shared" si="175"/>
        <v>1025</v>
      </c>
      <c r="T2803" s="110"/>
    </row>
    <row r="2804" spans="3:20" x14ac:dyDescent="0.2">
      <c r="C2804" s="96" t="str">
        <f t="shared" si="172"/>
        <v>1026</v>
      </c>
      <c r="D2804" s="73"/>
      <c r="E2804" s="100"/>
      <c r="F2804" s="101"/>
      <c r="G2804" s="96">
        <f t="shared" si="173"/>
        <v>1026</v>
      </c>
      <c r="I2804" s="96"/>
      <c r="K2804" t="str">
        <f t="shared" si="174"/>
        <v>1026</v>
      </c>
      <c r="M2804" s="72"/>
      <c r="O2804" s="96">
        <f t="shared" si="175"/>
        <v>1026</v>
      </c>
      <c r="T2804" s="110"/>
    </row>
    <row r="2805" spans="3:20" x14ac:dyDescent="0.2">
      <c r="C2805" s="96" t="str">
        <f t="shared" si="172"/>
        <v>1027</v>
      </c>
      <c r="D2805" s="73"/>
      <c r="E2805" s="100"/>
      <c r="F2805" s="101"/>
      <c r="G2805" s="96">
        <f t="shared" si="173"/>
        <v>1027</v>
      </c>
      <c r="I2805" s="96"/>
      <c r="K2805" t="str">
        <f t="shared" si="174"/>
        <v>1027</v>
      </c>
      <c r="M2805" s="72"/>
      <c r="O2805" s="96">
        <f t="shared" si="175"/>
        <v>1027</v>
      </c>
      <c r="T2805" s="83"/>
    </row>
    <row r="2806" spans="3:20" x14ac:dyDescent="0.2">
      <c r="C2806" s="96" t="str">
        <f t="shared" si="172"/>
        <v>1028</v>
      </c>
      <c r="D2806" s="73"/>
      <c r="E2806" s="100"/>
      <c r="F2806" s="101"/>
      <c r="G2806" s="96">
        <f t="shared" si="173"/>
        <v>1028</v>
      </c>
      <c r="I2806" s="96"/>
      <c r="K2806" t="str">
        <f t="shared" si="174"/>
        <v>1028</v>
      </c>
      <c r="M2806" s="72"/>
      <c r="O2806" s="96">
        <f t="shared" si="175"/>
        <v>1028</v>
      </c>
      <c r="T2806" s="110"/>
    </row>
    <row r="2807" spans="3:20" x14ac:dyDescent="0.2">
      <c r="C2807" s="96" t="str">
        <f t="shared" si="172"/>
        <v>1029</v>
      </c>
      <c r="D2807" s="73"/>
      <c r="E2807" s="100"/>
      <c r="F2807" s="101"/>
      <c r="G2807" s="96">
        <f t="shared" si="173"/>
        <v>1029</v>
      </c>
      <c r="I2807" s="96"/>
      <c r="K2807" t="str">
        <f t="shared" si="174"/>
        <v>1029</v>
      </c>
      <c r="M2807" s="72"/>
      <c r="O2807" s="96">
        <f t="shared" si="175"/>
        <v>1029</v>
      </c>
      <c r="T2807" s="110"/>
    </row>
    <row r="2808" spans="3:20" x14ac:dyDescent="0.2">
      <c r="C2808" s="96" t="str">
        <f t="shared" si="172"/>
        <v>1030</v>
      </c>
      <c r="D2808" s="73"/>
      <c r="E2808" s="100"/>
      <c r="F2808" s="101"/>
      <c r="G2808" s="96">
        <f t="shared" si="173"/>
        <v>1030</v>
      </c>
      <c r="I2808" s="96"/>
      <c r="K2808" t="str">
        <f t="shared" si="174"/>
        <v>1030</v>
      </c>
      <c r="M2808" s="72"/>
      <c r="O2808" s="96">
        <f t="shared" si="175"/>
        <v>1030</v>
      </c>
      <c r="T2808" s="110"/>
    </row>
    <row r="2809" spans="3:20" x14ac:dyDescent="0.2">
      <c r="C2809" s="96" t="str">
        <f t="shared" si="172"/>
        <v>1031</v>
      </c>
      <c r="D2809" s="73"/>
      <c r="E2809" s="100"/>
      <c r="F2809" s="101"/>
      <c r="G2809" s="96">
        <f t="shared" si="173"/>
        <v>1031</v>
      </c>
      <c r="I2809" s="96"/>
      <c r="K2809" t="str">
        <f t="shared" si="174"/>
        <v>1031</v>
      </c>
      <c r="M2809" s="72"/>
      <c r="O2809" s="96">
        <f t="shared" si="175"/>
        <v>1031</v>
      </c>
      <c r="T2809" s="110"/>
    </row>
    <row r="2810" spans="3:20" x14ac:dyDescent="0.2">
      <c r="C2810" s="96" t="str">
        <f t="shared" si="172"/>
        <v>1032</v>
      </c>
      <c r="D2810" s="73"/>
      <c r="E2810" s="100"/>
      <c r="F2810" s="101"/>
      <c r="G2810" s="96">
        <f t="shared" si="173"/>
        <v>1032</v>
      </c>
      <c r="I2810" s="96"/>
      <c r="K2810" t="str">
        <f t="shared" si="174"/>
        <v>1032</v>
      </c>
      <c r="M2810" s="72"/>
      <c r="O2810" s="96">
        <f t="shared" si="175"/>
        <v>1032</v>
      </c>
      <c r="T2810" s="110"/>
    </row>
    <row r="2811" spans="3:20" x14ac:dyDescent="0.2">
      <c r="C2811" s="96" t="str">
        <f t="shared" si="172"/>
        <v>1033</v>
      </c>
      <c r="D2811" s="73"/>
      <c r="E2811" s="100"/>
      <c r="F2811" s="101"/>
      <c r="G2811" s="96">
        <f t="shared" si="173"/>
        <v>1033</v>
      </c>
      <c r="I2811" s="96"/>
      <c r="K2811" t="str">
        <f t="shared" si="174"/>
        <v>1033</v>
      </c>
      <c r="M2811" s="72"/>
      <c r="O2811" s="96">
        <f t="shared" si="175"/>
        <v>1033</v>
      </c>
      <c r="T2811" s="110"/>
    </row>
    <row r="2812" spans="3:20" x14ac:dyDescent="0.2">
      <c r="C2812" s="96" t="str">
        <f t="shared" si="172"/>
        <v>1034</v>
      </c>
      <c r="D2812" s="73"/>
      <c r="E2812" s="100"/>
      <c r="F2812" s="101"/>
      <c r="G2812" s="96">
        <f t="shared" si="173"/>
        <v>1034</v>
      </c>
      <c r="I2812" s="96"/>
      <c r="K2812" t="str">
        <f t="shared" si="174"/>
        <v>1034</v>
      </c>
      <c r="M2812" s="72"/>
      <c r="O2812" s="96">
        <f t="shared" si="175"/>
        <v>1034</v>
      </c>
      <c r="T2812" s="110"/>
    </row>
    <row r="2813" spans="3:20" x14ac:dyDescent="0.2">
      <c r="C2813" s="96" t="str">
        <f t="shared" si="172"/>
        <v>1035</v>
      </c>
      <c r="D2813" s="73"/>
      <c r="E2813" s="100"/>
      <c r="F2813" s="101"/>
      <c r="G2813" s="96">
        <f t="shared" si="173"/>
        <v>1035</v>
      </c>
      <c r="I2813" s="96"/>
      <c r="K2813" t="str">
        <f t="shared" si="174"/>
        <v>1035</v>
      </c>
      <c r="M2813" s="72"/>
      <c r="O2813" s="96">
        <f t="shared" si="175"/>
        <v>1035</v>
      </c>
      <c r="T2813" s="110"/>
    </row>
    <row r="2814" spans="3:20" x14ac:dyDescent="0.2">
      <c r="C2814" s="96" t="str">
        <f t="shared" si="172"/>
        <v>1036</v>
      </c>
      <c r="D2814" s="73"/>
      <c r="E2814" s="100"/>
      <c r="F2814" s="101"/>
      <c r="G2814" s="96">
        <f t="shared" si="173"/>
        <v>1036</v>
      </c>
      <c r="I2814" s="96"/>
      <c r="K2814" t="str">
        <f t="shared" si="174"/>
        <v>1036</v>
      </c>
      <c r="M2814" s="72"/>
      <c r="O2814" s="96">
        <f t="shared" si="175"/>
        <v>1036</v>
      </c>
      <c r="T2814" s="110"/>
    </row>
    <row r="2815" spans="3:20" x14ac:dyDescent="0.2">
      <c r="C2815" s="96" t="str">
        <f t="shared" si="172"/>
        <v>1037</v>
      </c>
      <c r="D2815" s="73"/>
      <c r="E2815" s="100"/>
      <c r="F2815" s="101"/>
      <c r="G2815" s="96">
        <f t="shared" si="173"/>
        <v>1037</v>
      </c>
      <c r="I2815" s="96"/>
      <c r="K2815" t="str">
        <f t="shared" si="174"/>
        <v>1037</v>
      </c>
      <c r="M2815" s="72"/>
      <c r="O2815" s="96">
        <f t="shared" si="175"/>
        <v>1037</v>
      </c>
      <c r="T2815" s="110"/>
    </row>
    <row r="2816" spans="3:20" x14ac:dyDescent="0.2">
      <c r="C2816" s="96" t="str">
        <f t="shared" si="172"/>
        <v>1038</v>
      </c>
      <c r="D2816" s="73"/>
      <c r="E2816" s="100"/>
      <c r="F2816" s="101"/>
      <c r="G2816" s="96">
        <f t="shared" si="173"/>
        <v>1038</v>
      </c>
      <c r="I2816" s="96"/>
      <c r="K2816" t="str">
        <f t="shared" si="174"/>
        <v>1038</v>
      </c>
      <c r="M2816" s="72"/>
      <c r="O2816" s="96">
        <f t="shared" si="175"/>
        <v>1038</v>
      </c>
      <c r="T2816" s="110"/>
    </row>
    <row r="2817" spans="3:20" x14ac:dyDescent="0.2">
      <c r="C2817" s="96" t="str">
        <f t="shared" si="172"/>
        <v>1039</v>
      </c>
      <c r="D2817" s="73"/>
      <c r="E2817" s="100"/>
      <c r="F2817" s="101"/>
      <c r="G2817" s="96">
        <f t="shared" si="173"/>
        <v>1039</v>
      </c>
      <c r="I2817" s="96"/>
      <c r="K2817" t="str">
        <f t="shared" si="174"/>
        <v>1039</v>
      </c>
      <c r="M2817" s="72"/>
      <c r="O2817" s="96">
        <f t="shared" si="175"/>
        <v>1039</v>
      </c>
      <c r="T2817" s="110"/>
    </row>
    <row r="2818" spans="3:20" x14ac:dyDescent="0.2">
      <c r="C2818" s="96" t="str">
        <f t="shared" si="172"/>
        <v>1040</v>
      </c>
      <c r="D2818" s="73"/>
      <c r="E2818" s="100"/>
      <c r="F2818" s="101"/>
      <c r="G2818" s="96">
        <f t="shared" si="173"/>
        <v>1040</v>
      </c>
      <c r="I2818" s="96"/>
      <c r="K2818" t="str">
        <f t="shared" si="174"/>
        <v>1040</v>
      </c>
      <c r="M2818" s="72"/>
      <c r="O2818" s="96">
        <f t="shared" si="175"/>
        <v>1040</v>
      </c>
      <c r="T2818" s="110"/>
    </row>
    <row r="2819" spans="3:20" x14ac:dyDescent="0.2">
      <c r="C2819" s="96" t="str">
        <f t="shared" ref="C2819:C2882" si="176">D2819&amp;G2819</f>
        <v>1041</v>
      </c>
      <c r="D2819" s="73"/>
      <c r="E2819" s="100"/>
      <c r="F2819" s="101"/>
      <c r="G2819" s="96">
        <f t="shared" ref="G2819:G2882" si="177">IF(D2819&lt;&gt;D2818,1,G2818+1)</f>
        <v>1041</v>
      </c>
      <c r="I2819" s="96"/>
      <c r="K2819" t="str">
        <f t="shared" ref="K2819:K2882" si="178">L2819&amp;O2819</f>
        <v>1041</v>
      </c>
      <c r="M2819" s="72"/>
      <c r="O2819" s="96">
        <f t="shared" ref="O2819:O2882" si="179">IF(L2819&lt;&gt;L2818,1,O2818+1)</f>
        <v>1041</v>
      </c>
      <c r="T2819" s="110"/>
    </row>
    <row r="2820" spans="3:20" x14ac:dyDescent="0.2">
      <c r="C2820" s="96" t="str">
        <f t="shared" si="176"/>
        <v>1042</v>
      </c>
      <c r="D2820" s="73"/>
      <c r="E2820" s="100"/>
      <c r="F2820" s="101"/>
      <c r="G2820" s="96">
        <f t="shared" si="177"/>
        <v>1042</v>
      </c>
      <c r="I2820" s="96"/>
      <c r="K2820" t="str">
        <f t="shared" si="178"/>
        <v>1042</v>
      </c>
      <c r="M2820" s="72"/>
      <c r="O2820" s="96">
        <f t="shared" si="179"/>
        <v>1042</v>
      </c>
      <c r="T2820" s="110"/>
    </row>
    <row r="2821" spans="3:20" x14ac:dyDescent="0.2">
      <c r="C2821" s="96" t="str">
        <f t="shared" si="176"/>
        <v>1043</v>
      </c>
      <c r="D2821" s="73"/>
      <c r="E2821" s="100"/>
      <c r="F2821" s="101"/>
      <c r="G2821" s="96">
        <f t="shared" si="177"/>
        <v>1043</v>
      </c>
      <c r="I2821" s="96"/>
      <c r="K2821" t="str">
        <f t="shared" si="178"/>
        <v>1043</v>
      </c>
      <c r="M2821" s="72"/>
      <c r="O2821" s="96">
        <f t="shared" si="179"/>
        <v>1043</v>
      </c>
      <c r="T2821" s="83"/>
    </row>
    <row r="2822" spans="3:20" x14ac:dyDescent="0.2">
      <c r="C2822" s="96" t="str">
        <f t="shared" si="176"/>
        <v>1044</v>
      </c>
      <c r="D2822" s="73"/>
      <c r="E2822" s="100"/>
      <c r="F2822" s="101"/>
      <c r="G2822" s="96">
        <f t="shared" si="177"/>
        <v>1044</v>
      </c>
      <c r="I2822" s="96"/>
      <c r="K2822" t="str">
        <f t="shared" si="178"/>
        <v>1044</v>
      </c>
      <c r="M2822" s="72"/>
      <c r="O2822" s="96">
        <f t="shared" si="179"/>
        <v>1044</v>
      </c>
      <c r="T2822" s="110"/>
    </row>
    <row r="2823" spans="3:20" x14ac:dyDescent="0.2">
      <c r="C2823" s="96" t="str">
        <f t="shared" si="176"/>
        <v>1045</v>
      </c>
      <c r="D2823" s="73"/>
      <c r="E2823" s="100"/>
      <c r="F2823" s="101"/>
      <c r="G2823" s="96">
        <f t="shared" si="177"/>
        <v>1045</v>
      </c>
      <c r="I2823" s="96"/>
      <c r="K2823" t="str">
        <f t="shared" si="178"/>
        <v>1045</v>
      </c>
      <c r="M2823" s="72"/>
      <c r="O2823" s="96">
        <f t="shared" si="179"/>
        <v>1045</v>
      </c>
      <c r="T2823" s="110"/>
    </row>
    <row r="2824" spans="3:20" x14ac:dyDescent="0.2">
      <c r="C2824" s="96" t="str">
        <f t="shared" si="176"/>
        <v>1046</v>
      </c>
      <c r="D2824" s="73"/>
      <c r="E2824" s="100"/>
      <c r="F2824" s="101"/>
      <c r="G2824" s="96">
        <f t="shared" si="177"/>
        <v>1046</v>
      </c>
      <c r="I2824" s="96"/>
      <c r="K2824" t="str">
        <f t="shared" si="178"/>
        <v>1046</v>
      </c>
      <c r="M2824" s="72"/>
      <c r="O2824" s="96">
        <f t="shared" si="179"/>
        <v>1046</v>
      </c>
      <c r="T2824" s="110"/>
    </row>
    <row r="2825" spans="3:20" x14ac:dyDescent="0.2">
      <c r="C2825" s="96" t="str">
        <f t="shared" si="176"/>
        <v>1047</v>
      </c>
      <c r="D2825" s="73"/>
      <c r="E2825" s="100"/>
      <c r="F2825" s="101"/>
      <c r="G2825" s="96">
        <f t="shared" si="177"/>
        <v>1047</v>
      </c>
      <c r="I2825" s="96"/>
      <c r="K2825" t="str">
        <f t="shared" si="178"/>
        <v>1047</v>
      </c>
      <c r="M2825" s="72"/>
      <c r="O2825" s="96">
        <f t="shared" si="179"/>
        <v>1047</v>
      </c>
      <c r="T2825" s="110"/>
    </row>
    <row r="2826" spans="3:20" x14ac:dyDescent="0.2">
      <c r="C2826" s="96" t="str">
        <f t="shared" si="176"/>
        <v>1048</v>
      </c>
      <c r="D2826" s="73"/>
      <c r="E2826" s="100"/>
      <c r="F2826" s="101"/>
      <c r="G2826" s="96">
        <f t="shared" si="177"/>
        <v>1048</v>
      </c>
      <c r="I2826" s="96"/>
      <c r="K2826" t="str">
        <f t="shared" si="178"/>
        <v>1048</v>
      </c>
      <c r="M2826" s="72"/>
      <c r="O2826" s="96">
        <f t="shared" si="179"/>
        <v>1048</v>
      </c>
      <c r="T2826" s="110"/>
    </row>
    <row r="2827" spans="3:20" x14ac:dyDescent="0.2">
      <c r="C2827" s="96" t="str">
        <f t="shared" si="176"/>
        <v>1049</v>
      </c>
      <c r="D2827" s="73"/>
      <c r="E2827" s="100"/>
      <c r="F2827" s="101"/>
      <c r="G2827" s="96">
        <f t="shared" si="177"/>
        <v>1049</v>
      </c>
      <c r="I2827" s="96"/>
      <c r="K2827" t="str">
        <f t="shared" si="178"/>
        <v>1049</v>
      </c>
      <c r="M2827" s="72"/>
      <c r="O2827" s="96">
        <f t="shared" si="179"/>
        <v>1049</v>
      </c>
      <c r="T2827" s="110"/>
    </row>
    <row r="2828" spans="3:20" x14ac:dyDescent="0.2">
      <c r="C2828" s="96" t="str">
        <f t="shared" si="176"/>
        <v>1050</v>
      </c>
      <c r="D2828" s="73"/>
      <c r="E2828" s="100"/>
      <c r="F2828" s="101"/>
      <c r="G2828" s="96">
        <f t="shared" si="177"/>
        <v>1050</v>
      </c>
      <c r="I2828" s="96"/>
      <c r="K2828" t="str">
        <f t="shared" si="178"/>
        <v>1050</v>
      </c>
      <c r="M2828" s="72"/>
      <c r="O2828" s="96">
        <f t="shared" si="179"/>
        <v>1050</v>
      </c>
      <c r="T2828" s="110"/>
    </row>
    <row r="2829" spans="3:20" x14ac:dyDescent="0.2">
      <c r="C2829" s="96" t="str">
        <f t="shared" si="176"/>
        <v>1051</v>
      </c>
      <c r="D2829" s="73"/>
      <c r="E2829" s="100"/>
      <c r="F2829" s="101"/>
      <c r="G2829" s="96">
        <f t="shared" si="177"/>
        <v>1051</v>
      </c>
      <c r="I2829" s="96"/>
      <c r="K2829" t="str">
        <f t="shared" si="178"/>
        <v>1051</v>
      </c>
      <c r="M2829" s="72"/>
      <c r="O2829" s="96">
        <f t="shared" si="179"/>
        <v>1051</v>
      </c>
      <c r="T2829" s="110"/>
    </row>
    <row r="2830" spans="3:20" x14ac:dyDescent="0.2">
      <c r="C2830" s="96" t="str">
        <f t="shared" si="176"/>
        <v>1052</v>
      </c>
      <c r="D2830" s="73"/>
      <c r="E2830" s="100"/>
      <c r="F2830" s="101"/>
      <c r="G2830" s="96">
        <f t="shared" si="177"/>
        <v>1052</v>
      </c>
      <c r="I2830" s="96"/>
      <c r="K2830" t="str">
        <f t="shared" si="178"/>
        <v>1052</v>
      </c>
      <c r="M2830" s="72"/>
      <c r="O2830" s="96">
        <f t="shared" si="179"/>
        <v>1052</v>
      </c>
      <c r="T2830" s="110"/>
    </row>
    <row r="2831" spans="3:20" x14ac:dyDescent="0.2">
      <c r="C2831" s="96" t="str">
        <f t="shared" si="176"/>
        <v>1053</v>
      </c>
      <c r="D2831" s="73"/>
      <c r="E2831" s="100"/>
      <c r="F2831" s="101"/>
      <c r="G2831" s="96">
        <f t="shared" si="177"/>
        <v>1053</v>
      </c>
      <c r="I2831" s="96"/>
      <c r="K2831" t="str">
        <f t="shared" si="178"/>
        <v>1053</v>
      </c>
      <c r="M2831" s="72"/>
      <c r="O2831" s="96">
        <f t="shared" si="179"/>
        <v>1053</v>
      </c>
      <c r="T2831" s="110"/>
    </row>
    <row r="2832" spans="3:20" x14ac:dyDescent="0.2">
      <c r="C2832" s="96" t="str">
        <f t="shared" si="176"/>
        <v>1054</v>
      </c>
      <c r="D2832" s="73"/>
      <c r="E2832" s="100"/>
      <c r="F2832" s="101"/>
      <c r="G2832" s="96">
        <f t="shared" si="177"/>
        <v>1054</v>
      </c>
      <c r="I2832" s="96"/>
      <c r="K2832" t="str">
        <f t="shared" si="178"/>
        <v>1054</v>
      </c>
      <c r="M2832" s="72"/>
      <c r="O2832" s="96">
        <f t="shared" si="179"/>
        <v>1054</v>
      </c>
      <c r="T2832" s="110"/>
    </row>
    <row r="2833" spans="3:20" x14ac:dyDescent="0.2">
      <c r="C2833" s="96" t="str">
        <f t="shared" si="176"/>
        <v>1055</v>
      </c>
      <c r="D2833" s="73"/>
      <c r="E2833" s="100"/>
      <c r="F2833" s="101"/>
      <c r="G2833" s="96">
        <f t="shared" si="177"/>
        <v>1055</v>
      </c>
      <c r="I2833" s="96"/>
      <c r="K2833" t="str">
        <f t="shared" si="178"/>
        <v>1055</v>
      </c>
      <c r="M2833" s="72"/>
      <c r="O2833" s="96">
        <f t="shared" si="179"/>
        <v>1055</v>
      </c>
      <c r="T2833" s="110"/>
    </row>
    <row r="2834" spans="3:20" x14ac:dyDescent="0.2">
      <c r="C2834" s="96" t="str">
        <f t="shared" si="176"/>
        <v>1056</v>
      </c>
      <c r="D2834" s="73"/>
      <c r="E2834" s="100"/>
      <c r="F2834" s="101"/>
      <c r="G2834" s="96">
        <f t="shared" si="177"/>
        <v>1056</v>
      </c>
      <c r="I2834" s="96"/>
      <c r="K2834" t="str">
        <f t="shared" si="178"/>
        <v>1056</v>
      </c>
      <c r="M2834" s="72"/>
      <c r="O2834" s="96">
        <f t="shared" si="179"/>
        <v>1056</v>
      </c>
      <c r="T2834" s="110"/>
    </row>
    <row r="2835" spans="3:20" x14ac:dyDescent="0.2">
      <c r="C2835" s="96" t="str">
        <f t="shared" si="176"/>
        <v>1057</v>
      </c>
      <c r="D2835" s="73"/>
      <c r="E2835" s="100"/>
      <c r="F2835" s="101"/>
      <c r="G2835" s="96">
        <f t="shared" si="177"/>
        <v>1057</v>
      </c>
      <c r="I2835" s="96"/>
      <c r="K2835" t="str">
        <f t="shared" si="178"/>
        <v>1057</v>
      </c>
      <c r="M2835" s="72"/>
      <c r="O2835" s="96">
        <f t="shared" si="179"/>
        <v>1057</v>
      </c>
      <c r="T2835" s="110"/>
    </row>
    <row r="2836" spans="3:20" x14ac:dyDescent="0.2">
      <c r="C2836" s="96" t="str">
        <f t="shared" si="176"/>
        <v>1058</v>
      </c>
      <c r="D2836" s="73"/>
      <c r="E2836" s="100"/>
      <c r="F2836" s="101"/>
      <c r="G2836" s="96">
        <f t="shared" si="177"/>
        <v>1058</v>
      </c>
      <c r="I2836" s="96"/>
      <c r="K2836" t="str">
        <f t="shared" si="178"/>
        <v>1058</v>
      </c>
      <c r="M2836" s="72"/>
      <c r="O2836" s="96">
        <f t="shared" si="179"/>
        <v>1058</v>
      </c>
      <c r="T2836" s="110"/>
    </row>
    <row r="2837" spans="3:20" x14ac:dyDescent="0.2">
      <c r="C2837" s="96" t="str">
        <f t="shared" si="176"/>
        <v>1059</v>
      </c>
      <c r="D2837" s="73"/>
      <c r="E2837" s="100"/>
      <c r="F2837" s="101"/>
      <c r="G2837" s="96">
        <f t="shared" si="177"/>
        <v>1059</v>
      </c>
      <c r="I2837" s="96"/>
      <c r="K2837" t="str">
        <f t="shared" si="178"/>
        <v>1059</v>
      </c>
      <c r="M2837" s="72"/>
      <c r="O2837" s="96">
        <f t="shared" si="179"/>
        <v>1059</v>
      </c>
      <c r="T2837" s="110"/>
    </row>
    <row r="2838" spans="3:20" x14ac:dyDescent="0.2">
      <c r="C2838" s="96" t="str">
        <f t="shared" si="176"/>
        <v>1060</v>
      </c>
      <c r="D2838" s="73"/>
      <c r="E2838" s="100"/>
      <c r="F2838" s="101"/>
      <c r="G2838" s="96">
        <f t="shared" si="177"/>
        <v>1060</v>
      </c>
      <c r="I2838" s="96"/>
      <c r="K2838" t="str">
        <f t="shared" si="178"/>
        <v>1060</v>
      </c>
      <c r="M2838" s="72"/>
      <c r="O2838" s="96">
        <f t="shared" si="179"/>
        <v>1060</v>
      </c>
      <c r="T2838" s="110"/>
    </row>
    <row r="2839" spans="3:20" x14ac:dyDescent="0.2">
      <c r="C2839" s="96" t="str">
        <f t="shared" si="176"/>
        <v>1061</v>
      </c>
      <c r="D2839" s="73"/>
      <c r="E2839" s="100"/>
      <c r="F2839" s="101"/>
      <c r="G2839" s="96">
        <f t="shared" si="177"/>
        <v>1061</v>
      </c>
      <c r="I2839" s="96"/>
      <c r="K2839" t="str">
        <f t="shared" si="178"/>
        <v>1061</v>
      </c>
      <c r="M2839" s="72"/>
      <c r="O2839" s="96">
        <f t="shared" si="179"/>
        <v>1061</v>
      </c>
      <c r="T2839" s="110"/>
    </row>
    <row r="2840" spans="3:20" x14ac:dyDescent="0.2">
      <c r="C2840" s="96" t="str">
        <f t="shared" si="176"/>
        <v>1062</v>
      </c>
      <c r="D2840" s="73"/>
      <c r="E2840" s="100"/>
      <c r="F2840" s="101"/>
      <c r="G2840" s="96">
        <f t="shared" si="177"/>
        <v>1062</v>
      </c>
      <c r="I2840" s="96"/>
      <c r="K2840" t="str">
        <f t="shared" si="178"/>
        <v>1062</v>
      </c>
      <c r="M2840" s="72"/>
      <c r="O2840" s="96">
        <f t="shared" si="179"/>
        <v>1062</v>
      </c>
      <c r="T2840" s="110"/>
    </row>
    <row r="2841" spans="3:20" x14ac:dyDescent="0.2">
      <c r="C2841" s="96" t="str">
        <f t="shared" si="176"/>
        <v>1063</v>
      </c>
      <c r="D2841" s="73"/>
      <c r="E2841" s="100"/>
      <c r="F2841" s="101"/>
      <c r="G2841" s="96">
        <f t="shared" si="177"/>
        <v>1063</v>
      </c>
      <c r="I2841" s="96"/>
      <c r="K2841" t="str">
        <f t="shared" si="178"/>
        <v>1063</v>
      </c>
      <c r="M2841" s="72"/>
      <c r="O2841" s="96">
        <f t="shared" si="179"/>
        <v>1063</v>
      </c>
      <c r="T2841" s="110"/>
    </row>
    <row r="2842" spans="3:20" x14ac:dyDescent="0.2">
      <c r="C2842" s="96" t="str">
        <f t="shared" si="176"/>
        <v>1064</v>
      </c>
      <c r="D2842" s="73"/>
      <c r="E2842" s="100"/>
      <c r="F2842" s="101"/>
      <c r="G2842" s="96">
        <f t="shared" si="177"/>
        <v>1064</v>
      </c>
      <c r="I2842" s="96"/>
      <c r="K2842" t="str">
        <f t="shared" si="178"/>
        <v>1064</v>
      </c>
      <c r="M2842" s="72"/>
      <c r="O2842" s="96">
        <f t="shared" si="179"/>
        <v>1064</v>
      </c>
      <c r="T2842" s="110"/>
    </row>
    <row r="2843" spans="3:20" x14ac:dyDescent="0.2">
      <c r="C2843" s="96" t="str">
        <f t="shared" si="176"/>
        <v>1065</v>
      </c>
      <c r="D2843" s="73"/>
      <c r="E2843" s="100"/>
      <c r="F2843" s="101"/>
      <c r="G2843" s="96">
        <f t="shared" si="177"/>
        <v>1065</v>
      </c>
      <c r="I2843" s="96"/>
      <c r="K2843" t="str">
        <f t="shared" si="178"/>
        <v>1065</v>
      </c>
      <c r="M2843" s="72"/>
      <c r="O2843" s="96">
        <f t="shared" si="179"/>
        <v>1065</v>
      </c>
      <c r="T2843" s="110"/>
    </row>
    <row r="2844" spans="3:20" x14ac:dyDescent="0.2">
      <c r="C2844" s="96" t="str">
        <f t="shared" si="176"/>
        <v>1066</v>
      </c>
      <c r="D2844" s="73"/>
      <c r="E2844" s="100"/>
      <c r="F2844" s="101"/>
      <c r="G2844" s="96">
        <f t="shared" si="177"/>
        <v>1066</v>
      </c>
      <c r="I2844" s="96"/>
      <c r="K2844" t="str">
        <f t="shared" si="178"/>
        <v>1066</v>
      </c>
      <c r="M2844" s="72"/>
      <c r="O2844" s="96">
        <f t="shared" si="179"/>
        <v>1066</v>
      </c>
      <c r="T2844" s="110"/>
    </row>
    <row r="2845" spans="3:20" x14ac:dyDescent="0.2">
      <c r="C2845" s="96" t="str">
        <f t="shared" si="176"/>
        <v>1067</v>
      </c>
      <c r="D2845" s="73"/>
      <c r="E2845" s="100"/>
      <c r="F2845" s="101"/>
      <c r="G2845" s="96">
        <f t="shared" si="177"/>
        <v>1067</v>
      </c>
      <c r="I2845" s="96"/>
      <c r="K2845" t="str">
        <f t="shared" si="178"/>
        <v>1067</v>
      </c>
      <c r="M2845" s="72"/>
      <c r="O2845" s="96">
        <f t="shared" si="179"/>
        <v>1067</v>
      </c>
      <c r="T2845" s="110"/>
    </row>
    <row r="2846" spans="3:20" x14ac:dyDescent="0.2">
      <c r="C2846" s="96" t="str">
        <f t="shared" si="176"/>
        <v>1068</v>
      </c>
      <c r="D2846" s="73"/>
      <c r="E2846" s="100"/>
      <c r="F2846" s="101"/>
      <c r="G2846" s="96">
        <f t="shared" si="177"/>
        <v>1068</v>
      </c>
      <c r="I2846" s="96"/>
      <c r="K2846" t="str">
        <f t="shared" si="178"/>
        <v>1068</v>
      </c>
      <c r="M2846" s="72"/>
      <c r="O2846" s="96">
        <f t="shared" si="179"/>
        <v>1068</v>
      </c>
      <c r="T2846" s="110"/>
    </row>
    <row r="2847" spans="3:20" x14ac:dyDescent="0.2">
      <c r="C2847" s="96" t="str">
        <f t="shared" si="176"/>
        <v>1069</v>
      </c>
      <c r="D2847" s="73"/>
      <c r="E2847" s="100"/>
      <c r="F2847" s="101"/>
      <c r="G2847" s="96">
        <f t="shared" si="177"/>
        <v>1069</v>
      </c>
      <c r="I2847" s="96"/>
      <c r="K2847" t="str">
        <f t="shared" si="178"/>
        <v>1069</v>
      </c>
      <c r="M2847" s="72"/>
      <c r="O2847" s="96">
        <f t="shared" si="179"/>
        <v>1069</v>
      </c>
      <c r="T2847" s="110"/>
    </row>
    <row r="2848" spans="3:20" x14ac:dyDescent="0.2">
      <c r="C2848" s="96" t="str">
        <f t="shared" si="176"/>
        <v>1070</v>
      </c>
      <c r="D2848" s="73"/>
      <c r="E2848" s="100"/>
      <c r="F2848" s="101"/>
      <c r="G2848" s="96">
        <f t="shared" si="177"/>
        <v>1070</v>
      </c>
      <c r="I2848" s="96"/>
      <c r="K2848" t="str">
        <f t="shared" si="178"/>
        <v>1070</v>
      </c>
      <c r="M2848" s="72"/>
      <c r="O2848" s="96">
        <f t="shared" si="179"/>
        <v>1070</v>
      </c>
      <c r="T2848" s="110"/>
    </row>
    <row r="2849" spans="3:20" x14ac:dyDescent="0.2">
      <c r="C2849" s="96" t="str">
        <f t="shared" si="176"/>
        <v>1071</v>
      </c>
      <c r="D2849" s="73"/>
      <c r="E2849" s="100"/>
      <c r="F2849" s="101"/>
      <c r="G2849" s="96">
        <f t="shared" si="177"/>
        <v>1071</v>
      </c>
      <c r="I2849" s="96"/>
      <c r="K2849" t="str">
        <f t="shared" si="178"/>
        <v>1071</v>
      </c>
      <c r="M2849" s="72"/>
      <c r="O2849" s="96">
        <f t="shared" si="179"/>
        <v>1071</v>
      </c>
      <c r="T2849" s="110"/>
    </row>
    <row r="2850" spans="3:20" x14ac:dyDescent="0.2">
      <c r="C2850" s="96" t="str">
        <f t="shared" si="176"/>
        <v>1072</v>
      </c>
      <c r="D2850" s="73"/>
      <c r="E2850" s="100"/>
      <c r="F2850" s="101"/>
      <c r="G2850" s="96">
        <f t="shared" si="177"/>
        <v>1072</v>
      </c>
      <c r="I2850" s="96"/>
      <c r="K2850" t="str">
        <f t="shared" si="178"/>
        <v>1072</v>
      </c>
      <c r="M2850" s="72"/>
      <c r="O2850" s="96">
        <f t="shared" si="179"/>
        <v>1072</v>
      </c>
      <c r="T2850" s="110"/>
    </row>
    <row r="2851" spans="3:20" x14ac:dyDescent="0.2">
      <c r="C2851" s="96" t="str">
        <f t="shared" si="176"/>
        <v>1073</v>
      </c>
      <c r="D2851" s="73"/>
      <c r="E2851" s="100"/>
      <c r="F2851" s="101"/>
      <c r="G2851" s="96">
        <f t="shared" si="177"/>
        <v>1073</v>
      </c>
      <c r="I2851" s="96"/>
      <c r="K2851" t="str">
        <f t="shared" si="178"/>
        <v>1073</v>
      </c>
      <c r="M2851" s="72"/>
      <c r="O2851" s="96">
        <f t="shared" si="179"/>
        <v>1073</v>
      </c>
      <c r="T2851" s="83"/>
    </row>
    <row r="2852" spans="3:20" x14ac:dyDescent="0.2">
      <c r="C2852" s="96" t="str">
        <f t="shared" si="176"/>
        <v>1074</v>
      </c>
      <c r="D2852" s="73"/>
      <c r="E2852" s="100"/>
      <c r="F2852" s="101"/>
      <c r="G2852" s="96">
        <f t="shared" si="177"/>
        <v>1074</v>
      </c>
      <c r="I2852" s="96"/>
      <c r="K2852" t="str">
        <f t="shared" si="178"/>
        <v>1074</v>
      </c>
      <c r="M2852" s="72"/>
      <c r="O2852" s="96">
        <f t="shared" si="179"/>
        <v>1074</v>
      </c>
      <c r="T2852" s="110"/>
    </row>
    <row r="2853" spans="3:20" x14ac:dyDescent="0.2">
      <c r="C2853" s="96" t="str">
        <f t="shared" si="176"/>
        <v>1075</v>
      </c>
      <c r="D2853" s="73"/>
      <c r="E2853" s="100"/>
      <c r="F2853" s="101"/>
      <c r="G2853" s="96">
        <f t="shared" si="177"/>
        <v>1075</v>
      </c>
      <c r="I2853" s="96"/>
      <c r="K2853" t="str">
        <f t="shared" si="178"/>
        <v>1075</v>
      </c>
      <c r="M2853" s="72"/>
      <c r="O2853" s="96">
        <f t="shared" si="179"/>
        <v>1075</v>
      </c>
      <c r="T2853" s="110"/>
    </row>
    <row r="2854" spans="3:20" x14ac:dyDescent="0.2">
      <c r="C2854" s="96" t="str">
        <f t="shared" si="176"/>
        <v>1076</v>
      </c>
      <c r="D2854" s="73"/>
      <c r="E2854" s="100"/>
      <c r="F2854" s="101"/>
      <c r="G2854" s="96">
        <f t="shared" si="177"/>
        <v>1076</v>
      </c>
      <c r="I2854" s="96"/>
      <c r="K2854" t="str">
        <f t="shared" si="178"/>
        <v>1076</v>
      </c>
      <c r="M2854" s="72"/>
      <c r="O2854" s="96">
        <f t="shared" si="179"/>
        <v>1076</v>
      </c>
      <c r="T2854" s="110"/>
    </row>
    <row r="2855" spans="3:20" x14ac:dyDescent="0.2">
      <c r="C2855" s="96" t="str">
        <f t="shared" si="176"/>
        <v>1077</v>
      </c>
      <c r="D2855" s="73"/>
      <c r="E2855" s="100"/>
      <c r="F2855" s="101"/>
      <c r="G2855" s="96">
        <f t="shared" si="177"/>
        <v>1077</v>
      </c>
      <c r="I2855" s="96"/>
      <c r="K2855" t="str">
        <f t="shared" si="178"/>
        <v>1077</v>
      </c>
      <c r="M2855" s="72"/>
      <c r="O2855" s="96">
        <f t="shared" si="179"/>
        <v>1077</v>
      </c>
      <c r="T2855" s="110"/>
    </row>
    <row r="2856" spans="3:20" x14ac:dyDescent="0.2">
      <c r="C2856" s="96" t="str">
        <f t="shared" si="176"/>
        <v>1078</v>
      </c>
      <c r="D2856" s="73"/>
      <c r="E2856" s="100"/>
      <c r="F2856" s="101"/>
      <c r="G2856" s="96">
        <f t="shared" si="177"/>
        <v>1078</v>
      </c>
      <c r="I2856" s="96"/>
      <c r="K2856" t="str">
        <f t="shared" si="178"/>
        <v>1078</v>
      </c>
      <c r="M2856" s="72"/>
      <c r="O2856" s="96">
        <f t="shared" si="179"/>
        <v>1078</v>
      </c>
      <c r="T2856" s="110"/>
    </row>
    <row r="2857" spans="3:20" x14ac:dyDescent="0.2">
      <c r="C2857" s="96" t="str">
        <f t="shared" si="176"/>
        <v>1079</v>
      </c>
      <c r="D2857" s="73"/>
      <c r="E2857" s="100"/>
      <c r="F2857" s="101"/>
      <c r="G2857" s="96">
        <f t="shared" si="177"/>
        <v>1079</v>
      </c>
      <c r="I2857" s="96"/>
      <c r="K2857" t="str">
        <f t="shared" si="178"/>
        <v>1079</v>
      </c>
      <c r="M2857" s="72"/>
      <c r="O2857" s="96">
        <f t="shared" si="179"/>
        <v>1079</v>
      </c>
      <c r="T2857" s="110"/>
    </row>
    <row r="2858" spans="3:20" x14ac:dyDescent="0.2">
      <c r="C2858" s="96" t="str">
        <f t="shared" si="176"/>
        <v>1080</v>
      </c>
      <c r="D2858" s="73"/>
      <c r="E2858" s="100"/>
      <c r="F2858" s="101"/>
      <c r="G2858" s="96">
        <f t="shared" si="177"/>
        <v>1080</v>
      </c>
      <c r="I2858" s="96"/>
      <c r="K2858" t="str">
        <f t="shared" si="178"/>
        <v>1080</v>
      </c>
      <c r="M2858" s="72"/>
      <c r="O2858" s="96">
        <f t="shared" si="179"/>
        <v>1080</v>
      </c>
      <c r="T2858" s="110"/>
    </row>
    <row r="2859" spans="3:20" x14ac:dyDescent="0.2">
      <c r="C2859" s="96" t="str">
        <f t="shared" si="176"/>
        <v>1081</v>
      </c>
      <c r="D2859" s="73"/>
      <c r="E2859" s="100"/>
      <c r="F2859" s="101"/>
      <c r="G2859" s="96">
        <f t="shared" si="177"/>
        <v>1081</v>
      </c>
      <c r="I2859" s="96"/>
      <c r="K2859" t="str">
        <f t="shared" si="178"/>
        <v>1081</v>
      </c>
      <c r="M2859" s="72"/>
      <c r="O2859" s="96">
        <f t="shared" si="179"/>
        <v>1081</v>
      </c>
      <c r="T2859" s="110"/>
    </row>
    <row r="2860" spans="3:20" x14ac:dyDescent="0.2">
      <c r="C2860" s="96" t="str">
        <f t="shared" si="176"/>
        <v>1082</v>
      </c>
      <c r="D2860" s="73"/>
      <c r="E2860" s="100"/>
      <c r="F2860" s="101"/>
      <c r="G2860" s="96">
        <f t="shared" si="177"/>
        <v>1082</v>
      </c>
      <c r="I2860" s="96"/>
      <c r="K2860" t="str">
        <f t="shared" si="178"/>
        <v>1082</v>
      </c>
      <c r="M2860" s="72"/>
      <c r="O2860" s="96">
        <f t="shared" si="179"/>
        <v>1082</v>
      </c>
      <c r="T2860" s="110"/>
    </row>
    <row r="2861" spans="3:20" x14ac:dyDescent="0.2">
      <c r="C2861" s="96" t="str">
        <f t="shared" si="176"/>
        <v>1083</v>
      </c>
      <c r="D2861" s="73"/>
      <c r="E2861" s="100"/>
      <c r="F2861" s="101"/>
      <c r="G2861" s="96">
        <f t="shared" si="177"/>
        <v>1083</v>
      </c>
      <c r="I2861" s="96"/>
      <c r="K2861" t="str">
        <f t="shared" si="178"/>
        <v>1083</v>
      </c>
      <c r="M2861" s="72"/>
      <c r="O2861" s="96">
        <f t="shared" si="179"/>
        <v>1083</v>
      </c>
      <c r="T2861" s="110"/>
    </row>
    <row r="2862" spans="3:20" x14ac:dyDescent="0.2">
      <c r="C2862" s="96" t="str">
        <f t="shared" si="176"/>
        <v>1084</v>
      </c>
      <c r="D2862" s="73"/>
      <c r="E2862" s="100"/>
      <c r="F2862" s="101"/>
      <c r="G2862" s="96">
        <f t="shared" si="177"/>
        <v>1084</v>
      </c>
      <c r="I2862" s="96"/>
      <c r="K2862" t="str">
        <f t="shared" si="178"/>
        <v>1084</v>
      </c>
      <c r="M2862" s="72"/>
      <c r="O2862" s="96">
        <f t="shared" si="179"/>
        <v>1084</v>
      </c>
      <c r="T2862" s="110"/>
    </row>
    <row r="2863" spans="3:20" x14ac:dyDescent="0.2">
      <c r="C2863" s="96" t="str">
        <f t="shared" si="176"/>
        <v>1085</v>
      </c>
      <c r="D2863" s="73"/>
      <c r="E2863" s="100"/>
      <c r="F2863" s="101"/>
      <c r="G2863" s="96">
        <f t="shared" si="177"/>
        <v>1085</v>
      </c>
      <c r="I2863" s="96"/>
      <c r="K2863" t="str">
        <f t="shared" si="178"/>
        <v>1085</v>
      </c>
      <c r="M2863" s="72"/>
      <c r="O2863" s="96">
        <f t="shared" si="179"/>
        <v>1085</v>
      </c>
      <c r="T2863" s="110"/>
    </row>
    <row r="2864" spans="3:20" x14ac:dyDescent="0.2">
      <c r="C2864" s="96" t="str">
        <f t="shared" si="176"/>
        <v>1086</v>
      </c>
      <c r="D2864" s="73"/>
      <c r="E2864" s="100"/>
      <c r="F2864" s="101"/>
      <c r="G2864" s="96">
        <f t="shared" si="177"/>
        <v>1086</v>
      </c>
      <c r="I2864" s="96"/>
      <c r="K2864" t="str">
        <f t="shared" si="178"/>
        <v>1086</v>
      </c>
      <c r="M2864" s="72"/>
      <c r="O2864" s="96">
        <f t="shared" si="179"/>
        <v>1086</v>
      </c>
      <c r="T2864" s="110"/>
    </row>
    <row r="2865" spans="3:20" x14ac:dyDescent="0.2">
      <c r="C2865" s="96" t="str">
        <f t="shared" si="176"/>
        <v>1087</v>
      </c>
      <c r="D2865" s="73"/>
      <c r="E2865" s="100"/>
      <c r="F2865" s="101"/>
      <c r="G2865" s="96">
        <f t="shared" si="177"/>
        <v>1087</v>
      </c>
      <c r="I2865" s="96"/>
      <c r="K2865" t="str">
        <f t="shared" si="178"/>
        <v>1087</v>
      </c>
      <c r="M2865" s="72"/>
      <c r="O2865" s="96">
        <f t="shared" si="179"/>
        <v>1087</v>
      </c>
      <c r="T2865" s="110"/>
    </row>
    <row r="2866" spans="3:20" x14ac:dyDescent="0.2">
      <c r="C2866" s="96" t="str">
        <f t="shared" si="176"/>
        <v>1088</v>
      </c>
      <c r="D2866" s="73"/>
      <c r="E2866" s="100"/>
      <c r="F2866" s="101"/>
      <c r="G2866" s="96">
        <f t="shared" si="177"/>
        <v>1088</v>
      </c>
      <c r="I2866" s="96"/>
      <c r="K2866" t="str">
        <f t="shared" si="178"/>
        <v>1088</v>
      </c>
      <c r="M2866" s="72"/>
      <c r="O2866" s="96">
        <f t="shared" si="179"/>
        <v>1088</v>
      </c>
      <c r="T2866" s="110"/>
    </row>
    <row r="2867" spans="3:20" x14ac:dyDescent="0.2">
      <c r="C2867" s="96" t="str">
        <f t="shared" si="176"/>
        <v>1089</v>
      </c>
      <c r="D2867" s="73"/>
      <c r="E2867" s="100"/>
      <c r="F2867" s="101"/>
      <c r="G2867" s="96">
        <f t="shared" si="177"/>
        <v>1089</v>
      </c>
      <c r="I2867" s="96"/>
      <c r="K2867" t="str">
        <f t="shared" si="178"/>
        <v>1089</v>
      </c>
      <c r="M2867" s="72"/>
      <c r="O2867" s="96">
        <f t="shared" si="179"/>
        <v>1089</v>
      </c>
      <c r="T2867" s="110"/>
    </row>
    <row r="2868" spans="3:20" x14ac:dyDescent="0.2">
      <c r="C2868" s="96" t="str">
        <f t="shared" si="176"/>
        <v>1090</v>
      </c>
      <c r="D2868" s="73"/>
      <c r="E2868" s="100"/>
      <c r="F2868" s="101"/>
      <c r="G2868" s="96">
        <f t="shared" si="177"/>
        <v>1090</v>
      </c>
      <c r="I2868" s="96"/>
      <c r="K2868" t="str">
        <f t="shared" si="178"/>
        <v>1090</v>
      </c>
      <c r="M2868" s="72"/>
      <c r="O2868" s="96">
        <f t="shared" si="179"/>
        <v>1090</v>
      </c>
      <c r="T2868" s="110"/>
    </row>
    <row r="2869" spans="3:20" x14ac:dyDescent="0.2">
      <c r="C2869" s="96" t="str">
        <f t="shared" si="176"/>
        <v>1091</v>
      </c>
      <c r="D2869" s="73"/>
      <c r="E2869" s="100"/>
      <c r="F2869" s="101"/>
      <c r="G2869" s="96">
        <f t="shared" si="177"/>
        <v>1091</v>
      </c>
      <c r="I2869" s="96"/>
      <c r="K2869" t="str">
        <f t="shared" si="178"/>
        <v>1091</v>
      </c>
      <c r="M2869" s="72"/>
      <c r="O2869" s="96">
        <f t="shared" si="179"/>
        <v>1091</v>
      </c>
      <c r="T2869" s="110"/>
    </row>
    <row r="2870" spans="3:20" x14ac:dyDescent="0.2">
      <c r="C2870" s="96" t="str">
        <f t="shared" si="176"/>
        <v>1092</v>
      </c>
      <c r="D2870" s="73"/>
      <c r="E2870" s="100"/>
      <c r="F2870" s="101"/>
      <c r="G2870" s="96">
        <f t="shared" si="177"/>
        <v>1092</v>
      </c>
      <c r="I2870" s="96"/>
      <c r="K2870" t="str">
        <f t="shared" si="178"/>
        <v>1092</v>
      </c>
      <c r="M2870" s="72"/>
      <c r="O2870" s="96">
        <f t="shared" si="179"/>
        <v>1092</v>
      </c>
      <c r="T2870" s="110"/>
    </row>
    <row r="2871" spans="3:20" x14ac:dyDescent="0.2">
      <c r="C2871" s="96" t="str">
        <f t="shared" si="176"/>
        <v>1093</v>
      </c>
      <c r="D2871" s="73"/>
      <c r="E2871" s="100"/>
      <c r="F2871" s="101"/>
      <c r="G2871" s="96">
        <f t="shared" si="177"/>
        <v>1093</v>
      </c>
      <c r="I2871" s="96"/>
      <c r="K2871" t="str">
        <f t="shared" si="178"/>
        <v>1093</v>
      </c>
      <c r="M2871" s="72"/>
      <c r="O2871" s="96">
        <f t="shared" si="179"/>
        <v>1093</v>
      </c>
      <c r="T2871" s="110"/>
    </row>
    <row r="2872" spans="3:20" x14ac:dyDescent="0.2">
      <c r="C2872" s="96" t="str">
        <f t="shared" si="176"/>
        <v>1094</v>
      </c>
      <c r="D2872" s="73"/>
      <c r="E2872" s="100"/>
      <c r="F2872" s="101"/>
      <c r="G2872" s="96">
        <f t="shared" si="177"/>
        <v>1094</v>
      </c>
      <c r="I2872" s="96"/>
      <c r="K2872" t="str">
        <f t="shared" si="178"/>
        <v>1094</v>
      </c>
      <c r="M2872" s="72"/>
      <c r="O2872" s="96">
        <f t="shared" si="179"/>
        <v>1094</v>
      </c>
      <c r="T2872" s="110"/>
    </row>
    <row r="2873" spans="3:20" x14ac:dyDescent="0.2">
      <c r="C2873" s="96" t="str">
        <f t="shared" si="176"/>
        <v>1095</v>
      </c>
      <c r="D2873" s="73"/>
      <c r="E2873" s="100"/>
      <c r="F2873" s="101"/>
      <c r="G2873" s="96">
        <f t="shared" si="177"/>
        <v>1095</v>
      </c>
      <c r="I2873" s="96"/>
      <c r="K2873" t="str">
        <f t="shared" si="178"/>
        <v>1095</v>
      </c>
      <c r="M2873" s="72"/>
      <c r="O2873" s="96">
        <f t="shared" si="179"/>
        <v>1095</v>
      </c>
      <c r="T2873" s="110"/>
    </row>
    <row r="2874" spans="3:20" x14ac:dyDescent="0.2">
      <c r="C2874" s="96" t="str">
        <f t="shared" si="176"/>
        <v>1096</v>
      </c>
      <c r="D2874" s="73"/>
      <c r="E2874" s="100"/>
      <c r="F2874" s="101"/>
      <c r="G2874" s="96">
        <f t="shared" si="177"/>
        <v>1096</v>
      </c>
      <c r="I2874" s="96"/>
      <c r="K2874" t="str">
        <f t="shared" si="178"/>
        <v>1096</v>
      </c>
      <c r="M2874" s="72"/>
      <c r="O2874" s="96">
        <f t="shared" si="179"/>
        <v>1096</v>
      </c>
      <c r="T2874" s="110"/>
    </row>
    <row r="2875" spans="3:20" x14ac:dyDescent="0.2">
      <c r="C2875" s="96" t="str">
        <f t="shared" si="176"/>
        <v>1097</v>
      </c>
      <c r="D2875" s="73"/>
      <c r="E2875" s="100"/>
      <c r="F2875" s="101"/>
      <c r="G2875" s="96">
        <f t="shared" si="177"/>
        <v>1097</v>
      </c>
      <c r="I2875" s="96"/>
      <c r="K2875" t="str">
        <f t="shared" si="178"/>
        <v>1097</v>
      </c>
      <c r="M2875" s="72"/>
      <c r="O2875" s="96">
        <f t="shared" si="179"/>
        <v>1097</v>
      </c>
      <c r="T2875" s="110"/>
    </row>
    <row r="2876" spans="3:20" x14ac:dyDescent="0.2">
      <c r="C2876" s="96" t="str">
        <f t="shared" si="176"/>
        <v>1098</v>
      </c>
      <c r="D2876" s="73"/>
      <c r="E2876" s="100"/>
      <c r="F2876" s="101"/>
      <c r="G2876" s="96">
        <f t="shared" si="177"/>
        <v>1098</v>
      </c>
      <c r="I2876" s="96"/>
      <c r="K2876" t="str">
        <f t="shared" si="178"/>
        <v>1098</v>
      </c>
      <c r="M2876" s="72"/>
      <c r="O2876" s="96">
        <f t="shared" si="179"/>
        <v>1098</v>
      </c>
      <c r="T2876" s="110"/>
    </row>
    <row r="2877" spans="3:20" x14ac:dyDescent="0.2">
      <c r="C2877" s="96" t="str">
        <f t="shared" si="176"/>
        <v>1099</v>
      </c>
      <c r="D2877" s="73"/>
      <c r="E2877" s="100"/>
      <c r="F2877" s="101"/>
      <c r="G2877" s="96">
        <f t="shared" si="177"/>
        <v>1099</v>
      </c>
      <c r="I2877" s="96"/>
      <c r="K2877" t="str">
        <f t="shared" si="178"/>
        <v>1099</v>
      </c>
      <c r="M2877" s="72"/>
      <c r="O2877" s="96">
        <f t="shared" si="179"/>
        <v>1099</v>
      </c>
      <c r="T2877" s="110"/>
    </row>
    <row r="2878" spans="3:20" x14ac:dyDescent="0.2">
      <c r="C2878" s="96" t="str">
        <f t="shared" si="176"/>
        <v>1100</v>
      </c>
      <c r="D2878" s="73"/>
      <c r="E2878" s="100"/>
      <c r="F2878" s="101"/>
      <c r="G2878" s="96">
        <f t="shared" si="177"/>
        <v>1100</v>
      </c>
      <c r="I2878" s="96"/>
      <c r="K2878" t="str">
        <f t="shared" si="178"/>
        <v>1100</v>
      </c>
      <c r="M2878" s="72"/>
      <c r="O2878" s="96">
        <f t="shared" si="179"/>
        <v>1100</v>
      </c>
      <c r="T2878" s="110"/>
    </row>
    <row r="2879" spans="3:20" x14ac:dyDescent="0.2">
      <c r="C2879" s="96" t="str">
        <f t="shared" si="176"/>
        <v>1101</v>
      </c>
      <c r="D2879" s="73"/>
      <c r="E2879" s="100"/>
      <c r="F2879" s="101"/>
      <c r="G2879" s="96">
        <f t="shared" si="177"/>
        <v>1101</v>
      </c>
      <c r="I2879" s="96"/>
      <c r="K2879" t="str">
        <f t="shared" si="178"/>
        <v>1101</v>
      </c>
      <c r="M2879" s="72"/>
      <c r="O2879" s="96">
        <f t="shared" si="179"/>
        <v>1101</v>
      </c>
      <c r="T2879" s="110"/>
    </row>
    <row r="2880" spans="3:20" x14ac:dyDescent="0.2">
      <c r="C2880" s="96" t="str">
        <f t="shared" si="176"/>
        <v>1102</v>
      </c>
      <c r="D2880" s="73"/>
      <c r="E2880" s="100"/>
      <c r="F2880" s="101"/>
      <c r="G2880" s="96">
        <f t="shared" si="177"/>
        <v>1102</v>
      </c>
      <c r="I2880" s="96"/>
      <c r="K2880" t="str">
        <f t="shared" si="178"/>
        <v>1102</v>
      </c>
      <c r="M2880" s="72"/>
      <c r="O2880" s="96">
        <f t="shared" si="179"/>
        <v>1102</v>
      </c>
      <c r="T2880" s="110"/>
    </row>
    <row r="2881" spans="3:20" x14ac:dyDescent="0.2">
      <c r="C2881" s="96" t="str">
        <f t="shared" si="176"/>
        <v>1103</v>
      </c>
      <c r="D2881" s="73"/>
      <c r="E2881" s="100"/>
      <c r="F2881" s="101"/>
      <c r="G2881" s="96">
        <f t="shared" si="177"/>
        <v>1103</v>
      </c>
      <c r="I2881" s="96"/>
      <c r="K2881" t="str">
        <f t="shared" si="178"/>
        <v>1103</v>
      </c>
      <c r="M2881" s="72"/>
      <c r="O2881" s="96">
        <f t="shared" si="179"/>
        <v>1103</v>
      </c>
      <c r="T2881" s="110"/>
    </row>
    <row r="2882" spans="3:20" x14ac:dyDescent="0.2">
      <c r="C2882" s="96" t="str">
        <f t="shared" si="176"/>
        <v>1104</v>
      </c>
      <c r="D2882" s="73"/>
      <c r="E2882" s="100"/>
      <c r="F2882" s="101"/>
      <c r="G2882" s="96">
        <f t="shared" si="177"/>
        <v>1104</v>
      </c>
      <c r="I2882" s="96"/>
      <c r="K2882" t="str">
        <f t="shared" si="178"/>
        <v>1104</v>
      </c>
      <c r="M2882" s="72"/>
      <c r="O2882" s="96">
        <f t="shared" si="179"/>
        <v>1104</v>
      </c>
      <c r="T2882" s="110"/>
    </row>
    <row r="2883" spans="3:20" x14ac:dyDescent="0.2">
      <c r="C2883" s="96" t="str">
        <f t="shared" ref="C2883:C2946" si="180">D2883&amp;G2883</f>
        <v>1105</v>
      </c>
      <c r="D2883" s="73"/>
      <c r="E2883" s="100"/>
      <c r="F2883" s="101"/>
      <c r="G2883" s="96">
        <f t="shared" ref="G2883:G2946" si="181">IF(D2883&lt;&gt;D2882,1,G2882+1)</f>
        <v>1105</v>
      </c>
      <c r="I2883" s="96"/>
      <c r="K2883" t="str">
        <f t="shared" ref="K2883:K2946" si="182">L2883&amp;O2883</f>
        <v>1105</v>
      </c>
      <c r="M2883" s="72"/>
      <c r="O2883" s="96">
        <f t="shared" ref="O2883:O2946" si="183">IF(L2883&lt;&gt;L2882,1,O2882+1)</f>
        <v>1105</v>
      </c>
      <c r="T2883" s="110"/>
    </row>
    <row r="2884" spans="3:20" x14ac:dyDescent="0.2">
      <c r="C2884" s="96" t="str">
        <f t="shared" si="180"/>
        <v>1106</v>
      </c>
      <c r="D2884" s="73"/>
      <c r="E2884" s="100"/>
      <c r="F2884" s="101"/>
      <c r="G2884" s="96">
        <f t="shared" si="181"/>
        <v>1106</v>
      </c>
      <c r="I2884" s="96"/>
      <c r="K2884" t="str">
        <f t="shared" si="182"/>
        <v>1106</v>
      </c>
      <c r="M2884" s="72"/>
      <c r="O2884" s="96">
        <f t="shared" si="183"/>
        <v>1106</v>
      </c>
      <c r="T2884" s="110"/>
    </row>
    <row r="2885" spans="3:20" x14ac:dyDescent="0.2">
      <c r="C2885" s="96" t="str">
        <f t="shared" si="180"/>
        <v>1107</v>
      </c>
      <c r="D2885" s="73"/>
      <c r="E2885" s="100"/>
      <c r="F2885" s="101"/>
      <c r="G2885" s="96">
        <f t="shared" si="181"/>
        <v>1107</v>
      </c>
      <c r="I2885" s="96"/>
      <c r="K2885" t="str">
        <f t="shared" si="182"/>
        <v>1107</v>
      </c>
      <c r="M2885" s="72"/>
      <c r="O2885" s="96">
        <f t="shared" si="183"/>
        <v>1107</v>
      </c>
      <c r="T2885" s="110"/>
    </row>
    <row r="2886" spans="3:20" x14ac:dyDescent="0.2">
      <c r="C2886" s="96" t="str">
        <f t="shared" si="180"/>
        <v>1108</v>
      </c>
      <c r="D2886" s="73"/>
      <c r="E2886" s="100"/>
      <c r="F2886" s="101"/>
      <c r="G2886" s="96">
        <f t="shared" si="181"/>
        <v>1108</v>
      </c>
      <c r="I2886" s="96"/>
      <c r="K2886" t="str">
        <f t="shared" si="182"/>
        <v>1108</v>
      </c>
      <c r="M2886" s="72"/>
      <c r="O2886" s="96">
        <f t="shared" si="183"/>
        <v>1108</v>
      </c>
      <c r="T2886" s="110"/>
    </row>
    <row r="2887" spans="3:20" x14ac:dyDescent="0.2">
      <c r="C2887" s="96" t="str">
        <f t="shared" si="180"/>
        <v>1109</v>
      </c>
      <c r="D2887" s="73"/>
      <c r="E2887" s="100"/>
      <c r="F2887" s="101"/>
      <c r="G2887" s="96">
        <f t="shared" si="181"/>
        <v>1109</v>
      </c>
      <c r="I2887" s="96"/>
      <c r="K2887" t="str">
        <f t="shared" si="182"/>
        <v>1109</v>
      </c>
      <c r="M2887" s="72"/>
      <c r="O2887" s="96">
        <f t="shared" si="183"/>
        <v>1109</v>
      </c>
      <c r="T2887" s="110"/>
    </row>
    <row r="2888" spans="3:20" x14ac:dyDescent="0.2">
      <c r="C2888" s="96" t="str">
        <f t="shared" si="180"/>
        <v>1110</v>
      </c>
      <c r="D2888" s="73"/>
      <c r="E2888" s="100"/>
      <c r="F2888" s="101"/>
      <c r="G2888" s="96">
        <f t="shared" si="181"/>
        <v>1110</v>
      </c>
      <c r="I2888" s="96"/>
      <c r="K2888" t="str">
        <f t="shared" si="182"/>
        <v>1110</v>
      </c>
      <c r="M2888" s="72"/>
      <c r="O2888" s="96">
        <f t="shared" si="183"/>
        <v>1110</v>
      </c>
      <c r="T2888" s="110"/>
    </row>
    <row r="2889" spans="3:20" x14ac:dyDescent="0.2">
      <c r="C2889" s="96" t="str">
        <f t="shared" si="180"/>
        <v>1111</v>
      </c>
      <c r="D2889" s="73"/>
      <c r="E2889" s="100"/>
      <c r="F2889" s="101"/>
      <c r="G2889" s="96">
        <f t="shared" si="181"/>
        <v>1111</v>
      </c>
      <c r="I2889" s="96"/>
      <c r="K2889" t="str">
        <f t="shared" si="182"/>
        <v>1111</v>
      </c>
      <c r="M2889" s="72"/>
      <c r="O2889" s="96">
        <f t="shared" si="183"/>
        <v>1111</v>
      </c>
      <c r="T2889" s="110"/>
    </row>
    <row r="2890" spans="3:20" x14ac:dyDescent="0.2">
      <c r="C2890" s="96" t="str">
        <f t="shared" si="180"/>
        <v>1112</v>
      </c>
      <c r="D2890" s="73"/>
      <c r="E2890" s="100"/>
      <c r="F2890" s="101"/>
      <c r="G2890" s="96">
        <f t="shared" si="181"/>
        <v>1112</v>
      </c>
      <c r="I2890" s="96"/>
      <c r="K2890" t="str">
        <f t="shared" si="182"/>
        <v>1112</v>
      </c>
      <c r="M2890" s="72"/>
      <c r="O2890" s="96">
        <f t="shared" si="183"/>
        <v>1112</v>
      </c>
      <c r="T2890" s="110"/>
    </row>
    <row r="2891" spans="3:20" x14ac:dyDescent="0.2">
      <c r="C2891" s="96" t="str">
        <f t="shared" si="180"/>
        <v>1113</v>
      </c>
      <c r="D2891" s="73"/>
      <c r="E2891" s="100"/>
      <c r="F2891" s="101"/>
      <c r="G2891" s="96">
        <f t="shared" si="181"/>
        <v>1113</v>
      </c>
      <c r="I2891" s="96"/>
      <c r="K2891" t="str">
        <f t="shared" si="182"/>
        <v>1113</v>
      </c>
      <c r="M2891" s="72"/>
      <c r="O2891" s="96">
        <f t="shared" si="183"/>
        <v>1113</v>
      </c>
      <c r="T2891" s="110"/>
    </row>
    <row r="2892" spans="3:20" x14ac:dyDescent="0.2">
      <c r="C2892" s="96" t="str">
        <f t="shared" si="180"/>
        <v>1114</v>
      </c>
      <c r="D2892" s="73"/>
      <c r="E2892" s="100"/>
      <c r="F2892" s="101"/>
      <c r="G2892" s="96">
        <f t="shared" si="181"/>
        <v>1114</v>
      </c>
      <c r="I2892" s="96"/>
      <c r="K2892" t="str">
        <f t="shared" si="182"/>
        <v>1114</v>
      </c>
      <c r="M2892" s="72"/>
      <c r="O2892" s="96">
        <f t="shared" si="183"/>
        <v>1114</v>
      </c>
      <c r="T2892" s="110"/>
    </row>
    <row r="2893" spans="3:20" x14ac:dyDescent="0.2">
      <c r="C2893" s="96" t="str">
        <f t="shared" si="180"/>
        <v>1115</v>
      </c>
      <c r="D2893" s="73"/>
      <c r="E2893" s="100"/>
      <c r="F2893" s="101"/>
      <c r="G2893" s="96">
        <f t="shared" si="181"/>
        <v>1115</v>
      </c>
      <c r="I2893" s="96"/>
      <c r="K2893" t="str">
        <f t="shared" si="182"/>
        <v>1115</v>
      </c>
      <c r="M2893" s="72"/>
      <c r="O2893" s="96">
        <f t="shared" si="183"/>
        <v>1115</v>
      </c>
      <c r="T2893" s="110"/>
    </row>
    <row r="2894" spans="3:20" x14ac:dyDescent="0.2">
      <c r="C2894" s="96" t="str">
        <f t="shared" si="180"/>
        <v>1116</v>
      </c>
      <c r="D2894" s="73"/>
      <c r="E2894" s="100"/>
      <c r="F2894" s="101"/>
      <c r="G2894" s="96">
        <f t="shared" si="181"/>
        <v>1116</v>
      </c>
      <c r="I2894" s="96"/>
      <c r="K2894" t="str">
        <f t="shared" si="182"/>
        <v>1116</v>
      </c>
      <c r="M2894" s="72"/>
      <c r="O2894" s="96">
        <f t="shared" si="183"/>
        <v>1116</v>
      </c>
      <c r="T2894" s="110"/>
    </row>
    <row r="2895" spans="3:20" x14ac:dyDescent="0.2">
      <c r="C2895" s="96" t="str">
        <f t="shared" si="180"/>
        <v>1117</v>
      </c>
      <c r="D2895" s="73"/>
      <c r="E2895" s="100"/>
      <c r="F2895" s="101"/>
      <c r="G2895" s="96">
        <f t="shared" si="181"/>
        <v>1117</v>
      </c>
      <c r="I2895" s="96"/>
      <c r="K2895" t="str">
        <f t="shared" si="182"/>
        <v>1117</v>
      </c>
      <c r="M2895" s="72"/>
      <c r="O2895" s="96">
        <f t="shared" si="183"/>
        <v>1117</v>
      </c>
      <c r="T2895" s="110"/>
    </row>
    <row r="2896" spans="3:20" x14ac:dyDescent="0.2">
      <c r="C2896" s="96" t="str">
        <f t="shared" si="180"/>
        <v>1118</v>
      </c>
      <c r="D2896" s="73"/>
      <c r="E2896" s="100"/>
      <c r="F2896" s="101"/>
      <c r="G2896" s="96">
        <f t="shared" si="181"/>
        <v>1118</v>
      </c>
      <c r="I2896" s="96"/>
      <c r="K2896" t="str">
        <f t="shared" si="182"/>
        <v>1118</v>
      </c>
      <c r="M2896" s="72"/>
      <c r="O2896" s="96">
        <f t="shared" si="183"/>
        <v>1118</v>
      </c>
      <c r="T2896" s="110"/>
    </row>
    <row r="2897" spans="3:20" x14ac:dyDescent="0.2">
      <c r="C2897" s="96" t="str">
        <f t="shared" si="180"/>
        <v>1119</v>
      </c>
      <c r="D2897" s="73"/>
      <c r="E2897" s="100"/>
      <c r="F2897" s="101"/>
      <c r="G2897" s="96">
        <f t="shared" si="181"/>
        <v>1119</v>
      </c>
      <c r="I2897" s="96"/>
      <c r="K2897" t="str">
        <f t="shared" si="182"/>
        <v>1119</v>
      </c>
      <c r="M2897" s="72"/>
      <c r="O2897" s="96">
        <f t="shared" si="183"/>
        <v>1119</v>
      </c>
      <c r="T2897" s="110"/>
    </row>
    <row r="2898" spans="3:20" x14ac:dyDescent="0.2">
      <c r="C2898" s="96" t="str">
        <f t="shared" si="180"/>
        <v>1120</v>
      </c>
      <c r="D2898" s="73"/>
      <c r="E2898" s="100"/>
      <c r="F2898" s="101"/>
      <c r="G2898" s="96">
        <f t="shared" si="181"/>
        <v>1120</v>
      </c>
      <c r="I2898" s="96"/>
      <c r="K2898" t="str">
        <f t="shared" si="182"/>
        <v>1120</v>
      </c>
      <c r="M2898" s="72"/>
      <c r="O2898" s="96">
        <f t="shared" si="183"/>
        <v>1120</v>
      </c>
      <c r="T2898" s="110"/>
    </row>
    <row r="2899" spans="3:20" x14ac:dyDescent="0.2">
      <c r="C2899" s="96" t="str">
        <f t="shared" si="180"/>
        <v>1121</v>
      </c>
      <c r="D2899" s="73"/>
      <c r="E2899" s="100"/>
      <c r="F2899" s="101"/>
      <c r="G2899" s="96">
        <f t="shared" si="181"/>
        <v>1121</v>
      </c>
      <c r="I2899" s="96"/>
      <c r="K2899" t="str">
        <f t="shared" si="182"/>
        <v>1121</v>
      </c>
      <c r="M2899" s="72"/>
      <c r="O2899" s="96">
        <f t="shared" si="183"/>
        <v>1121</v>
      </c>
      <c r="T2899" s="110"/>
    </row>
    <row r="2900" spans="3:20" x14ac:dyDescent="0.2">
      <c r="C2900" s="96" t="str">
        <f t="shared" si="180"/>
        <v>1122</v>
      </c>
      <c r="D2900" s="73"/>
      <c r="E2900" s="100"/>
      <c r="F2900" s="101"/>
      <c r="G2900" s="96">
        <f t="shared" si="181"/>
        <v>1122</v>
      </c>
      <c r="I2900" s="96"/>
      <c r="K2900" t="str">
        <f t="shared" si="182"/>
        <v>1122</v>
      </c>
      <c r="M2900" s="72"/>
      <c r="O2900" s="96">
        <f t="shared" si="183"/>
        <v>1122</v>
      </c>
      <c r="T2900" s="110"/>
    </row>
    <row r="2901" spans="3:20" x14ac:dyDescent="0.2">
      <c r="C2901" s="96" t="str">
        <f t="shared" si="180"/>
        <v>1123</v>
      </c>
      <c r="D2901" s="73"/>
      <c r="E2901" s="100"/>
      <c r="F2901" s="101"/>
      <c r="G2901" s="96">
        <f t="shared" si="181"/>
        <v>1123</v>
      </c>
      <c r="I2901" s="96"/>
      <c r="K2901" t="str">
        <f t="shared" si="182"/>
        <v>1123</v>
      </c>
      <c r="M2901" s="72"/>
      <c r="O2901" s="96">
        <f t="shared" si="183"/>
        <v>1123</v>
      </c>
      <c r="T2901" s="110"/>
    </row>
    <row r="2902" spans="3:20" x14ac:dyDescent="0.2">
      <c r="C2902" s="96" t="str">
        <f t="shared" si="180"/>
        <v>1124</v>
      </c>
      <c r="D2902" s="73"/>
      <c r="E2902" s="100"/>
      <c r="F2902" s="101"/>
      <c r="G2902" s="96">
        <f t="shared" si="181"/>
        <v>1124</v>
      </c>
      <c r="I2902" s="96"/>
      <c r="K2902" t="str">
        <f t="shared" si="182"/>
        <v>1124</v>
      </c>
      <c r="M2902" s="72"/>
      <c r="O2902" s="96">
        <f t="shared" si="183"/>
        <v>1124</v>
      </c>
      <c r="T2902" s="110"/>
    </row>
    <row r="2903" spans="3:20" x14ac:dyDescent="0.2">
      <c r="C2903" s="96" t="str">
        <f t="shared" si="180"/>
        <v>1125</v>
      </c>
      <c r="D2903" s="73"/>
      <c r="E2903" s="100"/>
      <c r="F2903" s="101"/>
      <c r="G2903" s="96">
        <f t="shared" si="181"/>
        <v>1125</v>
      </c>
      <c r="I2903" s="96"/>
      <c r="K2903" t="str">
        <f t="shared" si="182"/>
        <v>1125</v>
      </c>
      <c r="M2903" s="72"/>
      <c r="O2903" s="96">
        <f t="shared" si="183"/>
        <v>1125</v>
      </c>
      <c r="T2903" s="110"/>
    </row>
    <row r="2904" spans="3:20" x14ac:dyDescent="0.2">
      <c r="C2904" s="96" t="str">
        <f t="shared" si="180"/>
        <v>1126</v>
      </c>
      <c r="D2904" s="73"/>
      <c r="E2904" s="100"/>
      <c r="F2904" s="101"/>
      <c r="G2904" s="96">
        <f t="shared" si="181"/>
        <v>1126</v>
      </c>
      <c r="I2904" s="96"/>
      <c r="K2904" t="str">
        <f t="shared" si="182"/>
        <v>1126</v>
      </c>
      <c r="M2904" s="72"/>
      <c r="O2904" s="96">
        <f t="shared" si="183"/>
        <v>1126</v>
      </c>
      <c r="T2904" s="110"/>
    </row>
    <row r="2905" spans="3:20" x14ac:dyDescent="0.2">
      <c r="C2905" s="96" t="str">
        <f t="shared" si="180"/>
        <v>1127</v>
      </c>
      <c r="D2905" s="73"/>
      <c r="E2905" s="100"/>
      <c r="F2905" s="101"/>
      <c r="G2905" s="96">
        <f t="shared" si="181"/>
        <v>1127</v>
      </c>
      <c r="I2905" s="96"/>
      <c r="K2905" t="str">
        <f t="shared" si="182"/>
        <v>1127</v>
      </c>
      <c r="M2905" s="72"/>
      <c r="O2905" s="96">
        <f t="shared" si="183"/>
        <v>1127</v>
      </c>
      <c r="T2905" s="110"/>
    </row>
    <row r="2906" spans="3:20" x14ac:dyDescent="0.2">
      <c r="C2906" s="96" t="str">
        <f t="shared" si="180"/>
        <v>1128</v>
      </c>
      <c r="D2906" s="73"/>
      <c r="E2906" s="100"/>
      <c r="F2906" s="101"/>
      <c r="G2906" s="96">
        <f t="shared" si="181"/>
        <v>1128</v>
      </c>
      <c r="I2906" s="96"/>
      <c r="K2906" t="str">
        <f t="shared" si="182"/>
        <v>1128</v>
      </c>
      <c r="M2906" s="72"/>
      <c r="O2906" s="96">
        <f t="shared" si="183"/>
        <v>1128</v>
      </c>
      <c r="T2906" s="110"/>
    </row>
    <row r="2907" spans="3:20" x14ac:dyDescent="0.2">
      <c r="C2907" s="96" t="str">
        <f t="shared" si="180"/>
        <v>1129</v>
      </c>
      <c r="D2907" s="73"/>
      <c r="E2907" s="100"/>
      <c r="F2907" s="101"/>
      <c r="G2907" s="96">
        <f t="shared" si="181"/>
        <v>1129</v>
      </c>
      <c r="I2907" s="96"/>
      <c r="K2907" t="str">
        <f t="shared" si="182"/>
        <v>1129</v>
      </c>
      <c r="M2907" s="72"/>
      <c r="O2907" s="96">
        <f t="shared" si="183"/>
        <v>1129</v>
      </c>
      <c r="T2907" s="110"/>
    </row>
    <row r="2908" spans="3:20" x14ac:dyDescent="0.2">
      <c r="C2908" s="96" t="str">
        <f t="shared" si="180"/>
        <v>1130</v>
      </c>
      <c r="D2908" s="73"/>
      <c r="E2908" s="100"/>
      <c r="F2908" s="101"/>
      <c r="G2908" s="96">
        <f t="shared" si="181"/>
        <v>1130</v>
      </c>
      <c r="I2908" s="96"/>
      <c r="K2908" t="str">
        <f t="shared" si="182"/>
        <v>1130</v>
      </c>
      <c r="M2908" s="72"/>
      <c r="O2908" s="96">
        <f t="shared" si="183"/>
        <v>1130</v>
      </c>
      <c r="T2908" s="83"/>
    </row>
    <row r="2909" spans="3:20" x14ac:dyDescent="0.2">
      <c r="C2909" s="96" t="str">
        <f t="shared" si="180"/>
        <v>1131</v>
      </c>
      <c r="D2909" s="73"/>
      <c r="E2909" s="100"/>
      <c r="F2909" s="101"/>
      <c r="G2909" s="96">
        <f t="shared" si="181"/>
        <v>1131</v>
      </c>
      <c r="I2909" s="96"/>
      <c r="K2909" t="str">
        <f t="shared" si="182"/>
        <v>1131</v>
      </c>
      <c r="M2909" s="72"/>
      <c r="O2909" s="96">
        <f t="shared" si="183"/>
        <v>1131</v>
      </c>
      <c r="T2909" s="83"/>
    </row>
    <row r="2910" spans="3:20" x14ac:dyDescent="0.2">
      <c r="C2910" s="96" t="str">
        <f t="shared" si="180"/>
        <v>1132</v>
      </c>
      <c r="D2910" s="73"/>
      <c r="E2910" s="100"/>
      <c r="F2910" s="101"/>
      <c r="G2910" s="96">
        <f t="shared" si="181"/>
        <v>1132</v>
      </c>
      <c r="I2910" s="96"/>
      <c r="K2910" t="str">
        <f t="shared" si="182"/>
        <v>1132</v>
      </c>
      <c r="M2910" s="72"/>
      <c r="O2910" s="96">
        <f t="shared" si="183"/>
        <v>1132</v>
      </c>
      <c r="T2910" s="83"/>
    </row>
    <row r="2911" spans="3:20" x14ac:dyDescent="0.2">
      <c r="C2911" s="96" t="str">
        <f t="shared" si="180"/>
        <v>1133</v>
      </c>
      <c r="D2911" s="73"/>
      <c r="E2911" s="100"/>
      <c r="F2911" s="101"/>
      <c r="G2911" s="96">
        <f t="shared" si="181"/>
        <v>1133</v>
      </c>
      <c r="I2911" s="96"/>
      <c r="K2911" t="str">
        <f t="shared" si="182"/>
        <v>1133</v>
      </c>
      <c r="M2911" s="72"/>
      <c r="O2911" s="96">
        <f t="shared" si="183"/>
        <v>1133</v>
      </c>
      <c r="T2911" s="83"/>
    </row>
    <row r="2912" spans="3:20" x14ac:dyDescent="0.2">
      <c r="C2912" s="96" t="str">
        <f t="shared" si="180"/>
        <v>1134</v>
      </c>
      <c r="D2912" s="73"/>
      <c r="E2912" s="100"/>
      <c r="F2912" s="101"/>
      <c r="G2912" s="96">
        <f t="shared" si="181"/>
        <v>1134</v>
      </c>
      <c r="I2912" s="96"/>
      <c r="K2912" t="str">
        <f t="shared" si="182"/>
        <v>1134</v>
      </c>
      <c r="M2912" s="72"/>
      <c r="O2912" s="96">
        <f t="shared" si="183"/>
        <v>1134</v>
      </c>
      <c r="T2912" s="110"/>
    </row>
    <row r="2913" spans="3:20" x14ac:dyDescent="0.2">
      <c r="C2913" s="96" t="str">
        <f t="shared" si="180"/>
        <v>1135</v>
      </c>
      <c r="D2913" s="73"/>
      <c r="E2913" s="100"/>
      <c r="F2913" s="101"/>
      <c r="G2913" s="96">
        <f t="shared" si="181"/>
        <v>1135</v>
      </c>
      <c r="I2913" s="96"/>
      <c r="K2913" t="str">
        <f t="shared" si="182"/>
        <v>1135</v>
      </c>
      <c r="M2913" s="72"/>
      <c r="O2913" s="96">
        <f t="shared" si="183"/>
        <v>1135</v>
      </c>
      <c r="T2913" s="110"/>
    </row>
    <row r="2914" spans="3:20" x14ac:dyDescent="0.2">
      <c r="C2914" s="96" t="str">
        <f t="shared" si="180"/>
        <v>1136</v>
      </c>
      <c r="D2914" s="73"/>
      <c r="E2914" s="100"/>
      <c r="F2914" s="101"/>
      <c r="G2914" s="96">
        <f t="shared" si="181"/>
        <v>1136</v>
      </c>
      <c r="I2914" s="96"/>
      <c r="K2914" t="str">
        <f t="shared" si="182"/>
        <v>1136</v>
      </c>
      <c r="M2914" s="72"/>
      <c r="O2914" s="96">
        <f t="shared" si="183"/>
        <v>1136</v>
      </c>
      <c r="T2914" s="110"/>
    </row>
    <row r="2915" spans="3:20" x14ac:dyDescent="0.2">
      <c r="C2915" s="96" t="str">
        <f t="shared" si="180"/>
        <v>1137</v>
      </c>
      <c r="D2915" s="73"/>
      <c r="E2915" s="100"/>
      <c r="F2915" s="101"/>
      <c r="G2915" s="96">
        <f t="shared" si="181"/>
        <v>1137</v>
      </c>
      <c r="I2915" s="96"/>
      <c r="K2915" t="str">
        <f t="shared" si="182"/>
        <v>1137</v>
      </c>
      <c r="M2915" s="72"/>
      <c r="O2915" s="96">
        <f t="shared" si="183"/>
        <v>1137</v>
      </c>
      <c r="T2915" s="110"/>
    </row>
    <row r="2916" spans="3:20" x14ac:dyDescent="0.2">
      <c r="C2916" s="96" t="str">
        <f t="shared" si="180"/>
        <v>1138</v>
      </c>
      <c r="D2916" s="73"/>
      <c r="E2916" s="100"/>
      <c r="F2916" s="101"/>
      <c r="G2916" s="96">
        <f t="shared" si="181"/>
        <v>1138</v>
      </c>
      <c r="I2916" s="96"/>
      <c r="K2916" t="str">
        <f t="shared" si="182"/>
        <v>1138</v>
      </c>
      <c r="M2916" s="72"/>
      <c r="O2916" s="96">
        <f t="shared" si="183"/>
        <v>1138</v>
      </c>
      <c r="T2916" s="110"/>
    </row>
    <row r="2917" spans="3:20" x14ac:dyDescent="0.2">
      <c r="C2917" s="96" t="str">
        <f t="shared" si="180"/>
        <v>1139</v>
      </c>
      <c r="D2917" s="73"/>
      <c r="E2917" s="100"/>
      <c r="F2917" s="101"/>
      <c r="G2917" s="96">
        <f t="shared" si="181"/>
        <v>1139</v>
      </c>
      <c r="I2917" s="96"/>
      <c r="K2917" t="str">
        <f t="shared" si="182"/>
        <v>1139</v>
      </c>
      <c r="M2917" s="72"/>
      <c r="O2917" s="96">
        <f t="shared" si="183"/>
        <v>1139</v>
      </c>
      <c r="T2917" s="110"/>
    </row>
    <row r="2918" spans="3:20" x14ac:dyDescent="0.2">
      <c r="C2918" s="96" t="str">
        <f t="shared" si="180"/>
        <v>1140</v>
      </c>
      <c r="D2918" s="73"/>
      <c r="E2918" s="100"/>
      <c r="F2918" s="101"/>
      <c r="G2918" s="96">
        <f t="shared" si="181"/>
        <v>1140</v>
      </c>
      <c r="I2918" s="96"/>
      <c r="K2918" t="str">
        <f t="shared" si="182"/>
        <v>1140</v>
      </c>
      <c r="M2918" s="72"/>
      <c r="O2918" s="96">
        <f t="shared" si="183"/>
        <v>1140</v>
      </c>
      <c r="T2918" s="110"/>
    </row>
    <row r="2919" spans="3:20" x14ac:dyDescent="0.2">
      <c r="C2919" s="96" t="str">
        <f t="shared" si="180"/>
        <v>1141</v>
      </c>
      <c r="D2919" s="73"/>
      <c r="E2919" s="100"/>
      <c r="F2919" s="101"/>
      <c r="G2919" s="96">
        <f t="shared" si="181"/>
        <v>1141</v>
      </c>
      <c r="I2919" s="96"/>
      <c r="K2919" t="str">
        <f t="shared" si="182"/>
        <v>1141</v>
      </c>
      <c r="M2919" s="72"/>
      <c r="O2919" s="96">
        <f t="shared" si="183"/>
        <v>1141</v>
      </c>
      <c r="T2919" s="110"/>
    </row>
    <row r="2920" spans="3:20" x14ac:dyDescent="0.2">
      <c r="C2920" s="96" t="str">
        <f t="shared" si="180"/>
        <v>1142</v>
      </c>
      <c r="D2920" s="73"/>
      <c r="E2920" s="100"/>
      <c r="F2920" s="101"/>
      <c r="G2920" s="96">
        <f t="shared" si="181"/>
        <v>1142</v>
      </c>
      <c r="I2920" s="96"/>
      <c r="K2920" t="str">
        <f t="shared" si="182"/>
        <v>1142</v>
      </c>
      <c r="M2920" s="72"/>
      <c r="O2920" s="96">
        <f t="shared" si="183"/>
        <v>1142</v>
      </c>
      <c r="T2920" s="110"/>
    </row>
    <row r="2921" spans="3:20" x14ac:dyDescent="0.2">
      <c r="C2921" s="96" t="str">
        <f t="shared" si="180"/>
        <v>1143</v>
      </c>
      <c r="D2921" s="73"/>
      <c r="E2921" s="100"/>
      <c r="F2921" s="101"/>
      <c r="G2921" s="96">
        <f t="shared" si="181"/>
        <v>1143</v>
      </c>
      <c r="I2921" s="96"/>
      <c r="K2921" t="str">
        <f t="shared" si="182"/>
        <v>1143</v>
      </c>
      <c r="M2921" s="72"/>
      <c r="O2921" s="96">
        <f t="shared" si="183"/>
        <v>1143</v>
      </c>
      <c r="T2921" s="110"/>
    </row>
    <row r="2922" spans="3:20" x14ac:dyDescent="0.2">
      <c r="C2922" s="96" t="str">
        <f t="shared" si="180"/>
        <v>1144</v>
      </c>
      <c r="D2922" s="73"/>
      <c r="E2922" s="100"/>
      <c r="F2922" s="101"/>
      <c r="G2922" s="96">
        <f t="shared" si="181"/>
        <v>1144</v>
      </c>
      <c r="I2922" s="96"/>
      <c r="K2922" t="str">
        <f t="shared" si="182"/>
        <v>1144</v>
      </c>
      <c r="M2922" s="72"/>
      <c r="O2922" s="96">
        <f t="shared" si="183"/>
        <v>1144</v>
      </c>
      <c r="T2922" s="110"/>
    </row>
    <row r="2923" spans="3:20" x14ac:dyDescent="0.2">
      <c r="C2923" s="96" t="str">
        <f t="shared" si="180"/>
        <v>1145</v>
      </c>
      <c r="D2923" s="73"/>
      <c r="E2923" s="100"/>
      <c r="F2923" s="101"/>
      <c r="G2923" s="96">
        <f t="shared" si="181"/>
        <v>1145</v>
      </c>
      <c r="I2923" s="96"/>
      <c r="K2923" t="str">
        <f t="shared" si="182"/>
        <v>1145</v>
      </c>
      <c r="M2923" s="72"/>
      <c r="O2923" s="96">
        <f t="shared" si="183"/>
        <v>1145</v>
      </c>
      <c r="T2923" s="110"/>
    </row>
    <row r="2924" spans="3:20" x14ac:dyDescent="0.2">
      <c r="C2924" s="96" t="str">
        <f t="shared" si="180"/>
        <v>1146</v>
      </c>
      <c r="D2924" s="73"/>
      <c r="E2924" s="100"/>
      <c r="F2924" s="101"/>
      <c r="G2924" s="96">
        <f t="shared" si="181"/>
        <v>1146</v>
      </c>
      <c r="I2924" s="96"/>
      <c r="K2924" t="str">
        <f t="shared" si="182"/>
        <v>1146</v>
      </c>
      <c r="M2924" s="72"/>
      <c r="O2924" s="96">
        <f t="shared" si="183"/>
        <v>1146</v>
      </c>
      <c r="T2924" s="110"/>
    </row>
    <row r="2925" spans="3:20" x14ac:dyDescent="0.2">
      <c r="C2925" s="96" t="str">
        <f t="shared" si="180"/>
        <v>1147</v>
      </c>
      <c r="D2925" s="73"/>
      <c r="E2925" s="100"/>
      <c r="F2925" s="101"/>
      <c r="G2925" s="96">
        <f t="shared" si="181"/>
        <v>1147</v>
      </c>
      <c r="I2925" s="96"/>
      <c r="K2925" t="str">
        <f t="shared" si="182"/>
        <v>1147</v>
      </c>
      <c r="M2925" s="72"/>
      <c r="O2925" s="96">
        <f t="shared" si="183"/>
        <v>1147</v>
      </c>
      <c r="T2925" s="110"/>
    </row>
    <row r="2926" spans="3:20" x14ac:dyDescent="0.2">
      <c r="C2926" s="96" t="str">
        <f t="shared" si="180"/>
        <v>1148</v>
      </c>
      <c r="D2926" s="73"/>
      <c r="E2926" s="100"/>
      <c r="F2926" s="101"/>
      <c r="G2926" s="96">
        <f t="shared" si="181"/>
        <v>1148</v>
      </c>
      <c r="I2926" s="96"/>
      <c r="K2926" t="str">
        <f t="shared" si="182"/>
        <v>1148</v>
      </c>
      <c r="M2926" s="72"/>
      <c r="O2926" s="96">
        <f t="shared" si="183"/>
        <v>1148</v>
      </c>
      <c r="T2926" s="110"/>
    </row>
    <row r="2927" spans="3:20" x14ac:dyDescent="0.2">
      <c r="C2927" s="96" t="str">
        <f t="shared" si="180"/>
        <v>1149</v>
      </c>
      <c r="D2927" s="73"/>
      <c r="E2927" s="100"/>
      <c r="F2927" s="101"/>
      <c r="G2927" s="96">
        <f t="shared" si="181"/>
        <v>1149</v>
      </c>
      <c r="I2927" s="96"/>
      <c r="K2927" t="str">
        <f t="shared" si="182"/>
        <v>1149</v>
      </c>
      <c r="M2927" s="72"/>
      <c r="O2927" s="96">
        <f t="shared" si="183"/>
        <v>1149</v>
      </c>
      <c r="T2927" s="110"/>
    </row>
    <row r="2928" spans="3:20" x14ac:dyDescent="0.2">
      <c r="C2928" s="96" t="str">
        <f t="shared" si="180"/>
        <v>1150</v>
      </c>
      <c r="D2928" s="73"/>
      <c r="E2928" s="100"/>
      <c r="F2928" s="101"/>
      <c r="G2928" s="96">
        <f t="shared" si="181"/>
        <v>1150</v>
      </c>
      <c r="I2928" s="96"/>
      <c r="K2928" t="str">
        <f t="shared" si="182"/>
        <v>1150</v>
      </c>
      <c r="M2928" s="72"/>
      <c r="O2928" s="96">
        <f t="shared" si="183"/>
        <v>1150</v>
      </c>
      <c r="T2928" s="110"/>
    </row>
    <row r="2929" spans="3:20" x14ac:dyDescent="0.2">
      <c r="C2929" s="96" t="str">
        <f t="shared" si="180"/>
        <v>1151</v>
      </c>
      <c r="D2929" s="73"/>
      <c r="E2929" s="100"/>
      <c r="F2929" s="101"/>
      <c r="G2929" s="96">
        <f t="shared" si="181"/>
        <v>1151</v>
      </c>
      <c r="I2929" s="96"/>
      <c r="K2929" t="str">
        <f t="shared" si="182"/>
        <v>1151</v>
      </c>
      <c r="M2929" s="72"/>
      <c r="O2929" s="96">
        <f t="shared" si="183"/>
        <v>1151</v>
      </c>
      <c r="T2929" s="110"/>
    </row>
    <row r="2930" spans="3:20" x14ac:dyDescent="0.2">
      <c r="C2930" s="96" t="str">
        <f t="shared" si="180"/>
        <v>1152</v>
      </c>
      <c r="D2930" s="73"/>
      <c r="E2930" s="100"/>
      <c r="F2930" s="101"/>
      <c r="G2930" s="96">
        <f t="shared" si="181"/>
        <v>1152</v>
      </c>
      <c r="I2930" s="96"/>
      <c r="K2930" t="str">
        <f t="shared" si="182"/>
        <v>1152</v>
      </c>
      <c r="M2930" s="72"/>
      <c r="O2930" s="96">
        <f t="shared" si="183"/>
        <v>1152</v>
      </c>
      <c r="T2930" s="110"/>
    </row>
    <row r="2931" spans="3:20" x14ac:dyDescent="0.2">
      <c r="C2931" s="96" t="str">
        <f t="shared" si="180"/>
        <v>1153</v>
      </c>
      <c r="D2931" s="73"/>
      <c r="E2931" s="100"/>
      <c r="F2931" s="101"/>
      <c r="G2931" s="96">
        <f t="shared" si="181"/>
        <v>1153</v>
      </c>
      <c r="I2931" s="96"/>
      <c r="K2931" t="str">
        <f t="shared" si="182"/>
        <v>1153</v>
      </c>
      <c r="M2931" s="72"/>
      <c r="O2931" s="96">
        <f t="shared" si="183"/>
        <v>1153</v>
      </c>
      <c r="T2931" s="110"/>
    </row>
    <row r="2932" spans="3:20" x14ac:dyDescent="0.2">
      <c r="C2932" s="96" t="str">
        <f t="shared" si="180"/>
        <v>1154</v>
      </c>
      <c r="D2932" s="73"/>
      <c r="E2932" s="100"/>
      <c r="F2932" s="101"/>
      <c r="G2932" s="96">
        <f t="shared" si="181"/>
        <v>1154</v>
      </c>
      <c r="I2932" s="96"/>
      <c r="K2932" t="str">
        <f t="shared" si="182"/>
        <v>1154</v>
      </c>
      <c r="M2932" s="72"/>
      <c r="O2932" s="96">
        <f t="shared" si="183"/>
        <v>1154</v>
      </c>
      <c r="T2932" s="110"/>
    </row>
    <row r="2933" spans="3:20" x14ac:dyDescent="0.2">
      <c r="C2933" s="96" t="str">
        <f t="shared" si="180"/>
        <v>1155</v>
      </c>
      <c r="D2933" s="73"/>
      <c r="E2933" s="100"/>
      <c r="F2933" s="101"/>
      <c r="G2933" s="96">
        <f t="shared" si="181"/>
        <v>1155</v>
      </c>
      <c r="I2933" s="96"/>
      <c r="K2933" t="str">
        <f t="shared" si="182"/>
        <v>1155</v>
      </c>
      <c r="M2933" s="72"/>
      <c r="O2933" s="96">
        <f t="shared" si="183"/>
        <v>1155</v>
      </c>
      <c r="T2933" s="110"/>
    </row>
    <row r="2934" spans="3:20" x14ac:dyDescent="0.2">
      <c r="C2934" s="96" t="str">
        <f t="shared" si="180"/>
        <v>1156</v>
      </c>
      <c r="D2934" s="73"/>
      <c r="E2934" s="100"/>
      <c r="F2934" s="101"/>
      <c r="G2934" s="96">
        <f t="shared" si="181"/>
        <v>1156</v>
      </c>
      <c r="I2934" s="96"/>
      <c r="K2934" t="str">
        <f t="shared" si="182"/>
        <v>1156</v>
      </c>
      <c r="M2934" s="72"/>
      <c r="O2934" s="96">
        <f t="shared" si="183"/>
        <v>1156</v>
      </c>
      <c r="T2934" s="110"/>
    </row>
    <row r="2935" spans="3:20" x14ac:dyDescent="0.2">
      <c r="C2935" s="96" t="str">
        <f t="shared" si="180"/>
        <v>1157</v>
      </c>
      <c r="D2935" s="73"/>
      <c r="E2935" s="100"/>
      <c r="F2935" s="101"/>
      <c r="G2935" s="96">
        <f t="shared" si="181"/>
        <v>1157</v>
      </c>
      <c r="I2935" s="96"/>
      <c r="K2935" t="str">
        <f t="shared" si="182"/>
        <v>1157</v>
      </c>
      <c r="M2935" s="72"/>
      <c r="O2935" s="96">
        <f t="shared" si="183"/>
        <v>1157</v>
      </c>
      <c r="T2935" s="110"/>
    </row>
    <row r="2936" spans="3:20" x14ac:dyDescent="0.2">
      <c r="C2936" s="96" t="str">
        <f t="shared" si="180"/>
        <v>1158</v>
      </c>
      <c r="D2936" s="73"/>
      <c r="E2936" s="100"/>
      <c r="F2936" s="101"/>
      <c r="G2936" s="96">
        <f t="shared" si="181"/>
        <v>1158</v>
      </c>
      <c r="I2936" s="96"/>
      <c r="K2936" t="str">
        <f t="shared" si="182"/>
        <v>1158</v>
      </c>
      <c r="M2936" s="72"/>
      <c r="O2936" s="96">
        <f t="shared" si="183"/>
        <v>1158</v>
      </c>
      <c r="T2936" s="110"/>
    </row>
    <row r="2937" spans="3:20" x14ac:dyDescent="0.2">
      <c r="C2937" s="96" t="str">
        <f t="shared" si="180"/>
        <v>1159</v>
      </c>
      <c r="D2937" s="73"/>
      <c r="E2937" s="100"/>
      <c r="F2937" s="101"/>
      <c r="G2937" s="96">
        <f t="shared" si="181"/>
        <v>1159</v>
      </c>
      <c r="I2937" s="96"/>
      <c r="K2937" t="str">
        <f t="shared" si="182"/>
        <v>1159</v>
      </c>
      <c r="M2937" s="72"/>
      <c r="O2937" s="96">
        <f t="shared" si="183"/>
        <v>1159</v>
      </c>
      <c r="T2937" s="110"/>
    </row>
    <row r="2938" spans="3:20" x14ac:dyDescent="0.2">
      <c r="C2938" s="96" t="str">
        <f t="shared" si="180"/>
        <v>1160</v>
      </c>
      <c r="D2938" s="73"/>
      <c r="E2938" s="100"/>
      <c r="F2938" s="101"/>
      <c r="G2938" s="96">
        <f t="shared" si="181"/>
        <v>1160</v>
      </c>
      <c r="I2938" s="96"/>
      <c r="K2938" t="str">
        <f t="shared" si="182"/>
        <v>1160</v>
      </c>
      <c r="M2938" s="72"/>
      <c r="O2938" s="96">
        <f t="shared" si="183"/>
        <v>1160</v>
      </c>
      <c r="T2938" s="110"/>
    </row>
    <row r="2939" spans="3:20" x14ac:dyDescent="0.2">
      <c r="C2939" s="96" t="str">
        <f t="shared" si="180"/>
        <v>1161</v>
      </c>
      <c r="D2939" s="73"/>
      <c r="E2939" s="100"/>
      <c r="F2939" s="101"/>
      <c r="G2939" s="96">
        <f t="shared" si="181"/>
        <v>1161</v>
      </c>
      <c r="I2939" s="96"/>
      <c r="K2939" t="str">
        <f t="shared" si="182"/>
        <v>1161</v>
      </c>
      <c r="M2939" s="72"/>
      <c r="O2939" s="96">
        <f t="shared" si="183"/>
        <v>1161</v>
      </c>
      <c r="T2939" s="110"/>
    </row>
    <row r="2940" spans="3:20" x14ac:dyDescent="0.2">
      <c r="C2940" s="96" t="str">
        <f t="shared" si="180"/>
        <v>1162</v>
      </c>
      <c r="D2940" s="73"/>
      <c r="E2940" s="100"/>
      <c r="F2940" s="101"/>
      <c r="G2940" s="96">
        <f t="shared" si="181"/>
        <v>1162</v>
      </c>
      <c r="I2940" s="96"/>
      <c r="K2940" t="str">
        <f t="shared" si="182"/>
        <v>1162</v>
      </c>
      <c r="M2940" s="72"/>
      <c r="O2940" s="96">
        <f t="shared" si="183"/>
        <v>1162</v>
      </c>
      <c r="T2940" s="110"/>
    </row>
    <row r="2941" spans="3:20" x14ac:dyDescent="0.2">
      <c r="C2941" s="96" t="str">
        <f t="shared" si="180"/>
        <v>1163</v>
      </c>
      <c r="D2941" s="73"/>
      <c r="E2941" s="100"/>
      <c r="F2941" s="101"/>
      <c r="G2941" s="96">
        <f t="shared" si="181"/>
        <v>1163</v>
      </c>
      <c r="I2941" s="96"/>
      <c r="K2941" t="str">
        <f t="shared" si="182"/>
        <v>1163</v>
      </c>
      <c r="M2941" s="72"/>
      <c r="O2941" s="96">
        <f t="shared" si="183"/>
        <v>1163</v>
      </c>
      <c r="T2941" s="110"/>
    </row>
    <row r="2942" spans="3:20" x14ac:dyDescent="0.2">
      <c r="C2942" s="96" t="str">
        <f t="shared" si="180"/>
        <v>1164</v>
      </c>
      <c r="D2942" s="73"/>
      <c r="E2942" s="100"/>
      <c r="F2942" s="101"/>
      <c r="G2942" s="96">
        <f t="shared" si="181"/>
        <v>1164</v>
      </c>
      <c r="I2942" s="96"/>
      <c r="K2942" t="str">
        <f t="shared" si="182"/>
        <v>1164</v>
      </c>
      <c r="M2942" s="72"/>
      <c r="O2942" s="96">
        <f t="shared" si="183"/>
        <v>1164</v>
      </c>
      <c r="T2942" s="110"/>
    </row>
    <row r="2943" spans="3:20" x14ac:dyDescent="0.2">
      <c r="C2943" s="96" t="str">
        <f t="shared" si="180"/>
        <v>1165</v>
      </c>
      <c r="D2943" s="73"/>
      <c r="E2943" s="100"/>
      <c r="F2943" s="101"/>
      <c r="G2943" s="96">
        <f t="shared" si="181"/>
        <v>1165</v>
      </c>
      <c r="I2943" s="96"/>
      <c r="K2943" t="str">
        <f t="shared" si="182"/>
        <v>1165</v>
      </c>
      <c r="M2943" s="72"/>
      <c r="O2943" s="96">
        <f t="shared" si="183"/>
        <v>1165</v>
      </c>
      <c r="T2943" s="110"/>
    </row>
    <row r="2944" spans="3:20" x14ac:dyDescent="0.2">
      <c r="C2944" s="96" t="str">
        <f t="shared" si="180"/>
        <v>1166</v>
      </c>
      <c r="D2944" s="73"/>
      <c r="E2944" s="100"/>
      <c r="F2944" s="101"/>
      <c r="G2944" s="96">
        <f t="shared" si="181"/>
        <v>1166</v>
      </c>
      <c r="I2944" s="96"/>
      <c r="K2944" t="str">
        <f t="shared" si="182"/>
        <v>1166</v>
      </c>
      <c r="M2944" s="72"/>
      <c r="O2944" s="96">
        <f t="shared" si="183"/>
        <v>1166</v>
      </c>
      <c r="T2944" s="110"/>
    </row>
    <row r="2945" spans="3:20" x14ac:dyDescent="0.2">
      <c r="C2945" s="96" t="str">
        <f t="shared" si="180"/>
        <v>1167</v>
      </c>
      <c r="D2945" s="73"/>
      <c r="E2945" s="100"/>
      <c r="F2945" s="101"/>
      <c r="G2945" s="96">
        <f t="shared" si="181"/>
        <v>1167</v>
      </c>
      <c r="I2945" s="96"/>
      <c r="K2945" t="str">
        <f t="shared" si="182"/>
        <v>1167</v>
      </c>
      <c r="M2945" s="72"/>
      <c r="O2945" s="96">
        <f t="shared" si="183"/>
        <v>1167</v>
      </c>
      <c r="T2945" s="110"/>
    </row>
    <row r="2946" spans="3:20" x14ac:dyDescent="0.2">
      <c r="C2946" s="96" t="str">
        <f t="shared" si="180"/>
        <v>1168</v>
      </c>
      <c r="D2946" s="73"/>
      <c r="E2946" s="100"/>
      <c r="F2946" s="101"/>
      <c r="G2946" s="96">
        <f t="shared" si="181"/>
        <v>1168</v>
      </c>
      <c r="I2946" s="96"/>
      <c r="K2946" t="str">
        <f t="shared" si="182"/>
        <v>1168</v>
      </c>
      <c r="M2946" s="72"/>
      <c r="O2946" s="96">
        <f t="shared" si="183"/>
        <v>1168</v>
      </c>
      <c r="T2946" s="110"/>
    </row>
    <row r="2947" spans="3:20" x14ac:dyDescent="0.2">
      <c r="C2947" s="96" t="str">
        <f t="shared" ref="C2947:C3010" si="184">D2947&amp;G2947</f>
        <v>1169</v>
      </c>
      <c r="D2947" s="73"/>
      <c r="E2947" s="100"/>
      <c r="F2947" s="101"/>
      <c r="G2947" s="96">
        <f t="shared" ref="G2947:G3010" si="185">IF(D2947&lt;&gt;D2946,1,G2946+1)</f>
        <v>1169</v>
      </c>
      <c r="I2947" s="96"/>
      <c r="K2947" t="str">
        <f t="shared" ref="K2947:K3010" si="186">L2947&amp;O2947</f>
        <v>1169</v>
      </c>
      <c r="M2947" s="72"/>
      <c r="O2947" s="96">
        <f t="shared" ref="O2947:O3010" si="187">IF(L2947&lt;&gt;L2946,1,O2946+1)</f>
        <v>1169</v>
      </c>
      <c r="T2947" s="110"/>
    </row>
    <row r="2948" spans="3:20" x14ac:dyDescent="0.2">
      <c r="C2948" s="96" t="str">
        <f t="shared" si="184"/>
        <v>1170</v>
      </c>
      <c r="D2948" s="73"/>
      <c r="E2948" s="100"/>
      <c r="F2948" s="101"/>
      <c r="G2948" s="96">
        <f t="shared" si="185"/>
        <v>1170</v>
      </c>
      <c r="I2948" s="96"/>
      <c r="K2948" t="str">
        <f t="shared" si="186"/>
        <v>1170</v>
      </c>
      <c r="M2948" s="72"/>
      <c r="O2948" s="96">
        <f t="shared" si="187"/>
        <v>1170</v>
      </c>
      <c r="T2948" s="110"/>
    </row>
    <row r="2949" spans="3:20" x14ac:dyDescent="0.2">
      <c r="C2949" s="96" t="str">
        <f t="shared" si="184"/>
        <v>1171</v>
      </c>
      <c r="D2949" s="73"/>
      <c r="E2949" s="100"/>
      <c r="F2949" s="101"/>
      <c r="G2949" s="96">
        <f t="shared" si="185"/>
        <v>1171</v>
      </c>
      <c r="I2949" s="96"/>
      <c r="K2949" t="str">
        <f t="shared" si="186"/>
        <v>1171</v>
      </c>
      <c r="M2949" s="72"/>
      <c r="O2949" s="96">
        <f t="shared" si="187"/>
        <v>1171</v>
      </c>
      <c r="T2949" s="110"/>
    </row>
    <row r="2950" spans="3:20" x14ac:dyDescent="0.2">
      <c r="C2950" s="96" t="str">
        <f t="shared" si="184"/>
        <v>1172</v>
      </c>
      <c r="D2950" s="73"/>
      <c r="E2950" s="100"/>
      <c r="F2950" s="101"/>
      <c r="G2950" s="96">
        <f t="shared" si="185"/>
        <v>1172</v>
      </c>
      <c r="I2950" s="96"/>
      <c r="K2950" t="str">
        <f t="shared" si="186"/>
        <v>1172</v>
      </c>
      <c r="M2950" s="72"/>
      <c r="O2950" s="96">
        <f t="shared" si="187"/>
        <v>1172</v>
      </c>
      <c r="T2950" s="110"/>
    </row>
    <row r="2951" spans="3:20" x14ac:dyDescent="0.2">
      <c r="C2951" s="96" t="str">
        <f t="shared" si="184"/>
        <v>1173</v>
      </c>
      <c r="D2951" s="73"/>
      <c r="E2951" s="100"/>
      <c r="F2951" s="101"/>
      <c r="G2951" s="96">
        <f t="shared" si="185"/>
        <v>1173</v>
      </c>
      <c r="I2951" s="96"/>
      <c r="K2951" t="str">
        <f t="shared" si="186"/>
        <v>1173</v>
      </c>
      <c r="M2951" s="72"/>
      <c r="O2951" s="96">
        <f t="shared" si="187"/>
        <v>1173</v>
      </c>
      <c r="T2951" s="110"/>
    </row>
    <row r="2952" spans="3:20" x14ac:dyDescent="0.2">
      <c r="C2952" s="96" t="str">
        <f t="shared" si="184"/>
        <v>1174</v>
      </c>
      <c r="D2952" s="73"/>
      <c r="E2952" s="100"/>
      <c r="F2952" s="101"/>
      <c r="G2952" s="96">
        <f t="shared" si="185"/>
        <v>1174</v>
      </c>
      <c r="I2952" s="96"/>
      <c r="K2952" t="str">
        <f t="shared" si="186"/>
        <v>1174</v>
      </c>
      <c r="M2952" s="72"/>
      <c r="O2952" s="96">
        <f t="shared" si="187"/>
        <v>1174</v>
      </c>
      <c r="T2952" s="110"/>
    </row>
    <row r="2953" spans="3:20" x14ac:dyDescent="0.2">
      <c r="C2953" s="96" t="str">
        <f t="shared" si="184"/>
        <v>1175</v>
      </c>
      <c r="D2953" s="73"/>
      <c r="E2953" s="100"/>
      <c r="F2953" s="101"/>
      <c r="G2953" s="96">
        <f t="shared" si="185"/>
        <v>1175</v>
      </c>
      <c r="I2953" s="96"/>
      <c r="K2953" t="str">
        <f t="shared" si="186"/>
        <v>1175</v>
      </c>
      <c r="M2953" s="72"/>
      <c r="O2953" s="96">
        <f t="shared" si="187"/>
        <v>1175</v>
      </c>
      <c r="T2953" s="110"/>
    </row>
    <row r="2954" spans="3:20" x14ac:dyDescent="0.2">
      <c r="C2954" s="96" t="str">
        <f t="shared" si="184"/>
        <v>1176</v>
      </c>
      <c r="D2954" s="73"/>
      <c r="E2954" s="100"/>
      <c r="F2954" s="101"/>
      <c r="G2954" s="96">
        <f t="shared" si="185"/>
        <v>1176</v>
      </c>
      <c r="I2954" s="96"/>
      <c r="K2954" t="str">
        <f t="shared" si="186"/>
        <v>1176</v>
      </c>
      <c r="M2954" s="72"/>
      <c r="O2954" s="96">
        <f t="shared" si="187"/>
        <v>1176</v>
      </c>
      <c r="T2954" s="110"/>
    </row>
    <row r="2955" spans="3:20" x14ac:dyDescent="0.2">
      <c r="C2955" s="96" t="str">
        <f t="shared" si="184"/>
        <v>1177</v>
      </c>
      <c r="D2955" s="73"/>
      <c r="E2955" s="100"/>
      <c r="F2955" s="101"/>
      <c r="G2955" s="96">
        <f t="shared" si="185"/>
        <v>1177</v>
      </c>
      <c r="I2955" s="96"/>
      <c r="K2955" t="str">
        <f t="shared" si="186"/>
        <v>1177</v>
      </c>
      <c r="M2955" s="72"/>
      <c r="O2955" s="96">
        <f t="shared" si="187"/>
        <v>1177</v>
      </c>
      <c r="T2955" s="110"/>
    </row>
    <row r="2956" spans="3:20" x14ac:dyDescent="0.2">
      <c r="C2956" s="96" t="str">
        <f t="shared" si="184"/>
        <v>1178</v>
      </c>
      <c r="D2956" s="73"/>
      <c r="E2956" s="100"/>
      <c r="F2956" s="101"/>
      <c r="G2956" s="96">
        <f t="shared" si="185"/>
        <v>1178</v>
      </c>
      <c r="I2956" s="96"/>
      <c r="K2956" t="str">
        <f t="shared" si="186"/>
        <v>1178</v>
      </c>
      <c r="M2956" s="72"/>
      <c r="O2956" s="96">
        <f t="shared" si="187"/>
        <v>1178</v>
      </c>
      <c r="T2956" s="110"/>
    </row>
    <row r="2957" spans="3:20" x14ac:dyDescent="0.2">
      <c r="C2957" s="96" t="str">
        <f t="shared" si="184"/>
        <v>1179</v>
      </c>
      <c r="D2957" s="73"/>
      <c r="E2957" s="100"/>
      <c r="F2957" s="101"/>
      <c r="G2957" s="96">
        <f t="shared" si="185"/>
        <v>1179</v>
      </c>
      <c r="I2957" s="96"/>
      <c r="K2957" t="str">
        <f t="shared" si="186"/>
        <v>1179</v>
      </c>
      <c r="M2957" s="72"/>
      <c r="O2957" s="96">
        <f t="shared" si="187"/>
        <v>1179</v>
      </c>
      <c r="T2957" s="110"/>
    </row>
    <row r="2958" spans="3:20" x14ac:dyDescent="0.2">
      <c r="C2958" s="96" t="str">
        <f t="shared" si="184"/>
        <v>1180</v>
      </c>
      <c r="D2958" s="73"/>
      <c r="E2958" s="100"/>
      <c r="F2958" s="101"/>
      <c r="G2958" s="96">
        <f t="shared" si="185"/>
        <v>1180</v>
      </c>
      <c r="I2958" s="96"/>
      <c r="K2958" t="str">
        <f t="shared" si="186"/>
        <v>1180</v>
      </c>
      <c r="M2958" s="72"/>
      <c r="O2958" s="96">
        <f t="shared" si="187"/>
        <v>1180</v>
      </c>
      <c r="T2958" s="110"/>
    </row>
    <row r="2959" spans="3:20" x14ac:dyDescent="0.2">
      <c r="C2959" s="96" t="str">
        <f t="shared" si="184"/>
        <v>1181</v>
      </c>
      <c r="D2959" s="73"/>
      <c r="E2959" s="100"/>
      <c r="F2959" s="101"/>
      <c r="G2959" s="96">
        <f t="shared" si="185"/>
        <v>1181</v>
      </c>
      <c r="I2959" s="96"/>
      <c r="K2959" t="str">
        <f t="shared" si="186"/>
        <v>1181</v>
      </c>
      <c r="M2959" s="72"/>
      <c r="O2959" s="96">
        <f t="shared" si="187"/>
        <v>1181</v>
      </c>
      <c r="T2959" s="110"/>
    </row>
    <row r="2960" spans="3:20" x14ac:dyDescent="0.2">
      <c r="C2960" s="96" t="str">
        <f t="shared" si="184"/>
        <v>1182</v>
      </c>
      <c r="D2960" s="73"/>
      <c r="E2960" s="100"/>
      <c r="F2960" s="101"/>
      <c r="G2960" s="96">
        <f t="shared" si="185"/>
        <v>1182</v>
      </c>
      <c r="I2960" s="96"/>
      <c r="K2960" t="str">
        <f t="shared" si="186"/>
        <v>1182</v>
      </c>
      <c r="M2960" s="72"/>
      <c r="O2960" s="96">
        <f t="shared" si="187"/>
        <v>1182</v>
      </c>
      <c r="T2960" s="110"/>
    </row>
    <row r="2961" spans="3:20" x14ac:dyDescent="0.2">
      <c r="C2961" s="96" t="str">
        <f t="shared" si="184"/>
        <v>1183</v>
      </c>
      <c r="D2961" s="73"/>
      <c r="E2961" s="100"/>
      <c r="F2961" s="101"/>
      <c r="G2961" s="96">
        <f t="shared" si="185"/>
        <v>1183</v>
      </c>
      <c r="I2961" s="96"/>
      <c r="K2961" t="str">
        <f t="shared" si="186"/>
        <v>1183</v>
      </c>
      <c r="M2961" s="72"/>
      <c r="O2961" s="96">
        <f t="shared" si="187"/>
        <v>1183</v>
      </c>
      <c r="T2961" s="110"/>
    </row>
    <row r="2962" spans="3:20" x14ac:dyDescent="0.2">
      <c r="C2962" s="96" t="str">
        <f t="shared" si="184"/>
        <v>1184</v>
      </c>
      <c r="D2962" s="73"/>
      <c r="E2962" s="100"/>
      <c r="F2962" s="101"/>
      <c r="G2962" s="96">
        <f t="shared" si="185"/>
        <v>1184</v>
      </c>
      <c r="I2962" s="96"/>
      <c r="K2962" t="str">
        <f t="shared" si="186"/>
        <v>1184</v>
      </c>
      <c r="M2962" s="72"/>
      <c r="O2962" s="96">
        <f t="shared" si="187"/>
        <v>1184</v>
      </c>
    </row>
    <row r="2963" spans="3:20" x14ac:dyDescent="0.2">
      <c r="C2963" s="96" t="str">
        <f t="shared" si="184"/>
        <v>1185</v>
      </c>
      <c r="D2963" s="73"/>
      <c r="E2963" s="100"/>
      <c r="F2963" s="101"/>
      <c r="G2963" s="96">
        <f t="shared" si="185"/>
        <v>1185</v>
      </c>
      <c r="I2963" s="96"/>
      <c r="K2963" t="str">
        <f t="shared" si="186"/>
        <v>1185</v>
      </c>
      <c r="M2963" s="72"/>
      <c r="O2963" s="96">
        <f t="shared" si="187"/>
        <v>1185</v>
      </c>
      <c r="T2963" s="110"/>
    </row>
    <row r="2964" spans="3:20" x14ac:dyDescent="0.2">
      <c r="C2964" s="96" t="str">
        <f t="shared" si="184"/>
        <v>1186</v>
      </c>
      <c r="D2964" s="73"/>
      <c r="E2964" s="100"/>
      <c r="F2964" s="101"/>
      <c r="G2964" s="96">
        <f t="shared" si="185"/>
        <v>1186</v>
      </c>
      <c r="I2964" s="96"/>
      <c r="K2964" t="str">
        <f t="shared" si="186"/>
        <v>1186</v>
      </c>
      <c r="M2964" s="72"/>
      <c r="O2964" s="96">
        <f t="shared" si="187"/>
        <v>1186</v>
      </c>
      <c r="T2964" s="110"/>
    </row>
    <row r="2965" spans="3:20" x14ac:dyDescent="0.2">
      <c r="C2965" s="96" t="str">
        <f t="shared" si="184"/>
        <v>1187</v>
      </c>
      <c r="D2965" s="73"/>
      <c r="E2965" s="100"/>
      <c r="F2965" s="101"/>
      <c r="G2965" s="96">
        <f t="shared" si="185"/>
        <v>1187</v>
      </c>
      <c r="I2965" s="96"/>
      <c r="K2965" t="str">
        <f t="shared" si="186"/>
        <v>1187</v>
      </c>
      <c r="M2965" s="72"/>
      <c r="O2965" s="96">
        <f t="shared" si="187"/>
        <v>1187</v>
      </c>
      <c r="T2965" s="110"/>
    </row>
    <row r="2966" spans="3:20" x14ac:dyDescent="0.2">
      <c r="C2966" s="96" t="str">
        <f t="shared" si="184"/>
        <v>1188</v>
      </c>
      <c r="D2966" s="73"/>
      <c r="E2966" s="100"/>
      <c r="F2966" s="101"/>
      <c r="G2966" s="96">
        <f t="shared" si="185"/>
        <v>1188</v>
      </c>
      <c r="I2966" s="96"/>
      <c r="K2966" t="str">
        <f t="shared" si="186"/>
        <v>1188</v>
      </c>
      <c r="M2966" s="72"/>
      <c r="O2966" s="96">
        <f t="shared" si="187"/>
        <v>1188</v>
      </c>
      <c r="T2966" s="110"/>
    </row>
    <row r="2967" spans="3:20" x14ac:dyDescent="0.2">
      <c r="C2967" s="96" t="str">
        <f t="shared" si="184"/>
        <v>1189</v>
      </c>
      <c r="D2967" s="73"/>
      <c r="E2967" s="100"/>
      <c r="F2967" s="101"/>
      <c r="G2967" s="96">
        <f t="shared" si="185"/>
        <v>1189</v>
      </c>
      <c r="I2967" s="96"/>
      <c r="K2967" t="str">
        <f t="shared" si="186"/>
        <v>1189</v>
      </c>
      <c r="M2967" s="72"/>
      <c r="O2967" s="96">
        <f t="shared" si="187"/>
        <v>1189</v>
      </c>
      <c r="T2967" s="110"/>
    </row>
    <row r="2968" spans="3:20" x14ac:dyDescent="0.2">
      <c r="C2968" s="96" t="str">
        <f t="shared" si="184"/>
        <v>1190</v>
      </c>
      <c r="D2968" s="73"/>
      <c r="E2968" s="100"/>
      <c r="F2968" s="101"/>
      <c r="G2968" s="96">
        <f t="shared" si="185"/>
        <v>1190</v>
      </c>
      <c r="I2968" s="96"/>
      <c r="K2968" t="str">
        <f t="shared" si="186"/>
        <v>1190</v>
      </c>
      <c r="M2968" s="72"/>
      <c r="O2968" s="96">
        <f t="shared" si="187"/>
        <v>1190</v>
      </c>
      <c r="T2968" s="110"/>
    </row>
    <row r="2969" spans="3:20" x14ac:dyDescent="0.2">
      <c r="C2969" s="96" t="str">
        <f t="shared" si="184"/>
        <v>1191</v>
      </c>
      <c r="D2969" s="73"/>
      <c r="E2969" s="100"/>
      <c r="F2969" s="101"/>
      <c r="G2969" s="96">
        <f t="shared" si="185"/>
        <v>1191</v>
      </c>
      <c r="I2969" s="96"/>
      <c r="K2969" t="str">
        <f t="shared" si="186"/>
        <v>1191</v>
      </c>
      <c r="M2969" s="72"/>
      <c r="O2969" s="96">
        <f t="shared" si="187"/>
        <v>1191</v>
      </c>
      <c r="T2969" s="110"/>
    </row>
    <row r="2970" spans="3:20" x14ac:dyDescent="0.2">
      <c r="C2970" s="96" t="str">
        <f t="shared" si="184"/>
        <v>1192</v>
      </c>
      <c r="D2970" s="73"/>
      <c r="E2970" s="100"/>
      <c r="F2970" s="101"/>
      <c r="G2970" s="96">
        <f t="shared" si="185"/>
        <v>1192</v>
      </c>
      <c r="I2970" s="96"/>
      <c r="K2970" t="str">
        <f t="shared" si="186"/>
        <v>1192</v>
      </c>
      <c r="M2970" s="72"/>
      <c r="O2970" s="96">
        <f t="shared" si="187"/>
        <v>1192</v>
      </c>
      <c r="T2970" s="110"/>
    </row>
    <row r="2971" spans="3:20" x14ac:dyDescent="0.2">
      <c r="C2971" s="96" t="str">
        <f t="shared" si="184"/>
        <v>1193</v>
      </c>
      <c r="D2971" s="73"/>
      <c r="E2971" s="100"/>
      <c r="F2971" s="101"/>
      <c r="G2971" s="96">
        <f t="shared" si="185"/>
        <v>1193</v>
      </c>
      <c r="I2971" s="96"/>
      <c r="K2971" t="str">
        <f t="shared" si="186"/>
        <v>1193</v>
      </c>
      <c r="M2971" s="72"/>
      <c r="O2971" s="96">
        <f t="shared" si="187"/>
        <v>1193</v>
      </c>
      <c r="T2971" s="83"/>
    </row>
    <row r="2972" spans="3:20" x14ac:dyDescent="0.2">
      <c r="C2972" s="96" t="str">
        <f t="shared" si="184"/>
        <v>1194</v>
      </c>
      <c r="D2972" s="73"/>
      <c r="E2972" s="100"/>
      <c r="F2972" s="101"/>
      <c r="G2972" s="96">
        <f t="shared" si="185"/>
        <v>1194</v>
      </c>
      <c r="I2972" s="96"/>
      <c r="K2972" t="str">
        <f t="shared" si="186"/>
        <v>1194</v>
      </c>
      <c r="M2972" s="72"/>
      <c r="O2972" s="96">
        <f t="shared" si="187"/>
        <v>1194</v>
      </c>
      <c r="T2972" s="110"/>
    </row>
    <row r="2973" spans="3:20" x14ac:dyDescent="0.2">
      <c r="C2973" s="96" t="str">
        <f t="shared" si="184"/>
        <v>1195</v>
      </c>
      <c r="D2973" s="73"/>
      <c r="E2973" s="100"/>
      <c r="F2973" s="101"/>
      <c r="G2973" s="96">
        <f t="shared" si="185"/>
        <v>1195</v>
      </c>
      <c r="I2973" s="96"/>
      <c r="K2973" t="str">
        <f t="shared" si="186"/>
        <v>1195</v>
      </c>
      <c r="M2973" s="72"/>
      <c r="O2973" s="96">
        <f t="shared" si="187"/>
        <v>1195</v>
      </c>
      <c r="T2973" s="110"/>
    </row>
    <row r="2974" spans="3:20" x14ac:dyDescent="0.2">
      <c r="C2974" s="96" t="str">
        <f t="shared" si="184"/>
        <v>1196</v>
      </c>
      <c r="D2974" s="73"/>
      <c r="E2974" s="100"/>
      <c r="F2974" s="101"/>
      <c r="G2974" s="96">
        <f t="shared" si="185"/>
        <v>1196</v>
      </c>
      <c r="I2974" s="96"/>
      <c r="K2974" t="str">
        <f t="shared" si="186"/>
        <v>1196</v>
      </c>
      <c r="M2974" s="72"/>
      <c r="O2974" s="96">
        <f t="shared" si="187"/>
        <v>1196</v>
      </c>
      <c r="T2974" s="110"/>
    </row>
    <row r="2975" spans="3:20" x14ac:dyDescent="0.2">
      <c r="C2975" s="96" t="str">
        <f t="shared" si="184"/>
        <v>1197</v>
      </c>
      <c r="D2975" s="73"/>
      <c r="E2975" s="100"/>
      <c r="F2975" s="101"/>
      <c r="G2975" s="96">
        <f t="shared" si="185"/>
        <v>1197</v>
      </c>
      <c r="I2975" s="96"/>
      <c r="K2975" t="str">
        <f t="shared" si="186"/>
        <v>1197</v>
      </c>
      <c r="M2975" s="72"/>
      <c r="O2975" s="96">
        <f t="shared" si="187"/>
        <v>1197</v>
      </c>
      <c r="T2975" s="110"/>
    </row>
    <row r="2976" spans="3:20" x14ac:dyDescent="0.2">
      <c r="C2976" s="96" t="str">
        <f t="shared" si="184"/>
        <v>1198</v>
      </c>
      <c r="D2976" s="73"/>
      <c r="E2976" s="100"/>
      <c r="F2976" s="101"/>
      <c r="G2976" s="96">
        <f t="shared" si="185"/>
        <v>1198</v>
      </c>
      <c r="I2976" s="96"/>
      <c r="K2976" t="str">
        <f t="shared" si="186"/>
        <v>1198</v>
      </c>
      <c r="M2976" s="72"/>
      <c r="O2976" s="96">
        <f t="shared" si="187"/>
        <v>1198</v>
      </c>
      <c r="T2976" s="110"/>
    </row>
    <row r="2977" spans="3:20" x14ac:dyDescent="0.2">
      <c r="C2977" s="96" t="str">
        <f t="shared" si="184"/>
        <v>1199</v>
      </c>
      <c r="D2977" s="73"/>
      <c r="E2977" s="100"/>
      <c r="F2977" s="101"/>
      <c r="G2977" s="96">
        <f t="shared" si="185"/>
        <v>1199</v>
      </c>
      <c r="I2977" s="96"/>
      <c r="K2977" t="str">
        <f t="shared" si="186"/>
        <v>1199</v>
      </c>
      <c r="M2977" s="72"/>
      <c r="O2977" s="96">
        <f t="shared" si="187"/>
        <v>1199</v>
      </c>
      <c r="T2977" s="110"/>
    </row>
    <row r="2978" spans="3:20" x14ac:dyDescent="0.2">
      <c r="C2978" s="96" t="str">
        <f t="shared" si="184"/>
        <v>1200</v>
      </c>
      <c r="D2978" s="73"/>
      <c r="E2978" s="100"/>
      <c r="F2978" s="101"/>
      <c r="G2978" s="96">
        <f t="shared" si="185"/>
        <v>1200</v>
      </c>
      <c r="I2978" s="96"/>
      <c r="K2978" t="str">
        <f t="shared" si="186"/>
        <v>1200</v>
      </c>
      <c r="M2978" s="72"/>
      <c r="O2978" s="96">
        <f t="shared" si="187"/>
        <v>1200</v>
      </c>
      <c r="T2978" s="110"/>
    </row>
    <row r="2979" spans="3:20" x14ac:dyDescent="0.2">
      <c r="C2979" s="96" t="str">
        <f t="shared" si="184"/>
        <v>1201</v>
      </c>
      <c r="D2979" s="73"/>
      <c r="E2979" s="100"/>
      <c r="F2979" s="101"/>
      <c r="G2979" s="96">
        <f t="shared" si="185"/>
        <v>1201</v>
      </c>
      <c r="I2979" s="96"/>
      <c r="K2979" t="str">
        <f t="shared" si="186"/>
        <v>1201</v>
      </c>
      <c r="M2979" s="72"/>
      <c r="O2979" s="96">
        <f t="shared" si="187"/>
        <v>1201</v>
      </c>
      <c r="T2979" s="110"/>
    </row>
    <row r="2980" spans="3:20" x14ac:dyDescent="0.2">
      <c r="C2980" s="96" t="str">
        <f t="shared" si="184"/>
        <v>1202</v>
      </c>
      <c r="D2980" s="73"/>
      <c r="E2980" s="100"/>
      <c r="F2980" s="101"/>
      <c r="G2980" s="96">
        <f t="shared" si="185"/>
        <v>1202</v>
      </c>
      <c r="I2980" s="96"/>
      <c r="K2980" t="str">
        <f t="shared" si="186"/>
        <v>1202</v>
      </c>
      <c r="M2980" s="72"/>
      <c r="O2980" s="96">
        <f t="shared" si="187"/>
        <v>1202</v>
      </c>
      <c r="T2980" s="110"/>
    </row>
    <row r="2981" spans="3:20" x14ac:dyDescent="0.2">
      <c r="C2981" s="96" t="str">
        <f t="shared" si="184"/>
        <v>1203</v>
      </c>
      <c r="D2981" s="73"/>
      <c r="E2981" s="100"/>
      <c r="F2981" s="101"/>
      <c r="G2981" s="96">
        <f t="shared" si="185"/>
        <v>1203</v>
      </c>
      <c r="I2981" s="96"/>
      <c r="K2981" t="str">
        <f t="shared" si="186"/>
        <v>1203</v>
      </c>
      <c r="M2981" s="72"/>
      <c r="O2981" s="96">
        <f t="shared" si="187"/>
        <v>1203</v>
      </c>
      <c r="T2981" s="110"/>
    </row>
    <row r="2982" spans="3:20" x14ac:dyDescent="0.2">
      <c r="C2982" s="96" t="str">
        <f t="shared" si="184"/>
        <v>1204</v>
      </c>
      <c r="D2982" s="73"/>
      <c r="E2982" s="100"/>
      <c r="F2982" s="101"/>
      <c r="G2982" s="96">
        <f t="shared" si="185"/>
        <v>1204</v>
      </c>
      <c r="I2982" s="96"/>
      <c r="K2982" t="str">
        <f t="shared" si="186"/>
        <v>1204</v>
      </c>
      <c r="M2982" s="72"/>
      <c r="O2982" s="96">
        <f t="shared" si="187"/>
        <v>1204</v>
      </c>
      <c r="T2982" s="110"/>
    </row>
    <row r="2983" spans="3:20" x14ac:dyDescent="0.2">
      <c r="C2983" s="96" t="str">
        <f t="shared" si="184"/>
        <v>1205</v>
      </c>
      <c r="D2983" s="73"/>
      <c r="E2983" s="100"/>
      <c r="F2983" s="101"/>
      <c r="G2983" s="96">
        <f t="shared" si="185"/>
        <v>1205</v>
      </c>
      <c r="I2983" s="96"/>
      <c r="K2983" t="str">
        <f t="shared" si="186"/>
        <v>1205</v>
      </c>
      <c r="M2983" s="72"/>
      <c r="O2983" s="96">
        <f t="shared" si="187"/>
        <v>1205</v>
      </c>
      <c r="T2983" s="110"/>
    </row>
    <row r="2984" spans="3:20" x14ac:dyDescent="0.2">
      <c r="C2984" s="96" t="str">
        <f t="shared" si="184"/>
        <v>1206</v>
      </c>
      <c r="D2984" s="73"/>
      <c r="E2984" s="100"/>
      <c r="F2984" s="101"/>
      <c r="G2984" s="96">
        <f t="shared" si="185"/>
        <v>1206</v>
      </c>
      <c r="I2984" s="96"/>
      <c r="K2984" t="str">
        <f t="shared" si="186"/>
        <v>1206</v>
      </c>
      <c r="M2984" s="72"/>
      <c r="O2984" s="96">
        <f t="shared" si="187"/>
        <v>1206</v>
      </c>
      <c r="T2984" s="110"/>
    </row>
    <row r="2985" spans="3:20" x14ac:dyDescent="0.2">
      <c r="C2985" s="96" t="str">
        <f t="shared" si="184"/>
        <v>1207</v>
      </c>
      <c r="D2985" s="73"/>
      <c r="E2985" s="100"/>
      <c r="F2985" s="101"/>
      <c r="G2985" s="96">
        <f t="shared" si="185"/>
        <v>1207</v>
      </c>
      <c r="I2985" s="96"/>
      <c r="K2985" t="str">
        <f t="shared" si="186"/>
        <v>1207</v>
      </c>
      <c r="M2985" s="72"/>
      <c r="O2985" s="96">
        <f t="shared" si="187"/>
        <v>1207</v>
      </c>
      <c r="T2985" s="110"/>
    </row>
    <row r="2986" spans="3:20" x14ac:dyDescent="0.2">
      <c r="C2986" s="96" t="str">
        <f t="shared" si="184"/>
        <v>1208</v>
      </c>
      <c r="D2986" s="73"/>
      <c r="E2986" s="100"/>
      <c r="F2986" s="101"/>
      <c r="G2986" s="96">
        <f t="shared" si="185"/>
        <v>1208</v>
      </c>
      <c r="I2986" s="96"/>
      <c r="K2986" t="str">
        <f t="shared" si="186"/>
        <v>1208</v>
      </c>
      <c r="M2986" s="72"/>
      <c r="O2986" s="96">
        <f t="shared" si="187"/>
        <v>1208</v>
      </c>
      <c r="T2986" s="110"/>
    </row>
    <row r="2987" spans="3:20" x14ac:dyDescent="0.2">
      <c r="C2987" s="96" t="str">
        <f t="shared" si="184"/>
        <v>1209</v>
      </c>
      <c r="D2987" s="73"/>
      <c r="E2987" s="100"/>
      <c r="F2987" s="101"/>
      <c r="G2987" s="96">
        <f t="shared" si="185"/>
        <v>1209</v>
      </c>
      <c r="I2987" s="96"/>
      <c r="K2987" t="str">
        <f t="shared" si="186"/>
        <v>1209</v>
      </c>
      <c r="M2987" s="72"/>
      <c r="O2987" s="96">
        <f t="shared" si="187"/>
        <v>1209</v>
      </c>
      <c r="T2987" s="110"/>
    </row>
    <row r="2988" spans="3:20" x14ac:dyDescent="0.2">
      <c r="C2988" s="96" t="str">
        <f t="shared" si="184"/>
        <v>1210</v>
      </c>
      <c r="D2988" s="73"/>
      <c r="E2988" s="100"/>
      <c r="F2988" s="101"/>
      <c r="G2988" s="96">
        <f t="shared" si="185"/>
        <v>1210</v>
      </c>
      <c r="I2988" s="96"/>
      <c r="K2988" t="str">
        <f t="shared" si="186"/>
        <v>1210</v>
      </c>
      <c r="M2988" s="72"/>
      <c r="O2988" s="96">
        <f t="shared" si="187"/>
        <v>1210</v>
      </c>
      <c r="T2988" s="110"/>
    </row>
    <row r="2989" spans="3:20" x14ac:dyDescent="0.2">
      <c r="C2989" s="96" t="str">
        <f t="shared" si="184"/>
        <v>1211</v>
      </c>
      <c r="D2989" s="73"/>
      <c r="E2989" s="100"/>
      <c r="F2989" s="101"/>
      <c r="G2989" s="96">
        <f t="shared" si="185"/>
        <v>1211</v>
      </c>
      <c r="I2989" s="96"/>
      <c r="K2989" t="str">
        <f t="shared" si="186"/>
        <v>1211</v>
      </c>
      <c r="M2989" s="72"/>
      <c r="O2989" s="96">
        <f t="shared" si="187"/>
        <v>1211</v>
      </c>
      <c r="T2989" s="110"/>
    </row>
    <row r="2990" spans="3:20" x14ac:dyDescent="0.2">
      <c r="C2990" s="96" t="str">
        <f t="shared" si="184"/>
        <v>1212</v>
      </c>
      <c r="D2990" s="73"/>
      <c r="E2990" s="100"/>
      <c r="F2990" s="101"/>
      <c r="G2990" s="96">
        <f t="shared" si="185"/>
        <v>1212</v>
      </c>
      <c r="I2990" s="96"/>
      <c r="K2990" t="str">
        <f t="shared" si="186"/>
        <v>1212</v>
      </c>
      <c r="M2990" s="72"/>
      <c r="O2990" s="96">
        <f t="shared" si="187"/>
        <v>1212</v>
      </c>
      <c r="T2990" s="110"/>
    </row>
    <row r="2991" spans="3:20" x14ac:dyDescent="0.2">
      <c r="C2991" s="96" t="str">
        <f t="shared" si="184"/>
        <v>1213</v>
      </c>
      <c r="D2991" s="73"/>
      <c r="E2991" s="100"/>
      <c r="F2991" s="101"/>
      <c r="G2991" s="96">
        <f t="shared" si="185"/>
        <v>1213</v>
      </c>
      <c r="I2991" s="96"/>
      <c r="K2991" t="str">
        <f t="shared" si="186"/>
        <v>1213</v>
      </c>
      <c r="M2991" s="72"/>
      <c r="O2991" s="96">
        <f t="shared" si="187"/>
        <v>1213</v>
      </c>
      <c r="T2991" s="110"/>
    </row>
    <row r="2992" spans="3:20" x14ac:dyDescent="0.2">
      <c r="C2992" s="96" t="str">
        <f t="shared" si="184"/>
        <v>1214</v>
      </c>
      <c r="D2992" s="73"/>
      <c r="E2992" s="100"/>
      <c r="F2992" s="101"/>
      <c r="G2992" s="96">
        <f t="shared" si="185"/>
        <v>1214</v>
      </c>
      <c r="I2992" s="96"/>
      <c r="K2992" t="str">
        <f t="shared" si="186"/>
        <v>1214</v>
      </c>
      <c r="M2992" s="72"/>
      <c r="O2992" s="96">
        <f t="shared" si="187"/>
        <v>1214</v>
      </c>
      <c r="T2992" s="110"/>
    </row>
    <row r="2993" spans="3:20" x14ac:dyDescent="0.2">
      <c r="C2993" s="96" t="str">
        <f t="shared" si="184"/>
        <v>1215</v>
      </c>
      <c r="D2993" s="73"/>
      <c r="E2993" s="100"/>
      <c r="F2993" s="101"/>
      <c r="G2993" s="96">
        <f t="shared" si="185"/>
        <v>1215</v>
      </c>
      <c r="I2993" s="96"/>
      <c r="K2993" t="str">
        <f t="shared" si="186"/>
        <v>1215</v>
      </c>
      <c r="M2993" s="72"/>
      <c r="O2993" s="96">
        <f t="shared" si="187"/>
        <v>1215</v>
      </c>
      <c r="T2993" s="110"/>
    </row>
    <row r="2994" spans="3:20" x14ac:dyDescent="0.2">
      <c r="C2994" s="96" t="str">
        <f t="shared" si="184"/>
        <v>1216</v>
      </c>
      <c r="D2994" s="73"/>
      <c r="E2994" s="100"/>
      <c r="F2994" s="101"/>
      <c r="G2994" s="96">
        <f t="shared" si="185"/>
        <v>1216</v>
      </c>
      <c r="I2994" s="96"/>
      <c r="K2994" t="str">
        <f t="shared" si="186"/>
        <v>1216</v>
      </c>
      <c r="M2994" s="72"/>
      <c r="O2994" s="96">
        <f t="shared" si="187"/>
        <v>1216</v>
      </c>
      <c r="T2994" s="110"/>
    </row>
    <row r="2995" spans="3:20" x14ac:dyDescent="0.2">
      <c r="C2995" s="96" t="str">
        <f t="shared" si="184"/>
        <v>1217</v>
      </c>
      <c r="D2995" s="73"/>
      <c r="E2995" s="100"/>
      <c r="F2995" s="101"/>
      <c r="G2995" s="96">
        <f t="shared" si="185"/>
        <v>1217</v>
      </c>
      <c r="I2995" s="96"/>
      <c r="K2995" t="str">
        <f t="shared" si="186"/>
        <v>1217</v>
      </c>
      <c r="M2995" s="72"/>
      <c r="O2995" s="96">
        <f t="shared" si="187"/>
        <v>1217</v>
      </c>
      <c r="T2995" s="110"/>
    </row>
    <row r="2996" spans="3:20" x14ac:dyDescent="0.2">
      <c r="C2996" s="96" t="str">
        <f t="shared" si="184"/>
        <v>1218</v>
      </c>
      <c r="D2996" s="73"/>
      <c r="E2996" s="100"/>
      <c r="F2996" s="101"/>
      <c r="G2996" s="96">
        <f t="shared" si="185"/>
        <v>1218</v>
      </c>
      <c r="I2996" s="96"/>
      <c r="K2996" t="str">
        <f t="shared" si="186"/>
        <v>1218</v>
      </c>
      <c r="M2996" s="72"/>
      <c r="O2996" s="96">
        <f t="shared" si="187"/>
        <v>1218</v>
      </c>
      <c r="T2996" s="110"/>
    </row>
    <row r="2997" spans="3:20" x14ac:dyDescent="0.2">
      <c r="C2997" s="96" t="str">
        <f t="shared" si="184"/>
        <v>1219</v>
      </c>
      <c r="D2997" s="73"/>
      <c r="E2997" s="100"/>
      <c r="F2997" s="101"/>
      <c r="G2997" s="96">
        <f t="shared" si="185"/>
        <v>1219</v>
      </c>
      <c r="I2997" s="96"/>
      <c r="K2997" t="str">
        <f t="shared" si="186"/>
        <v>1219</v>
      </c>
      <c r="M2997" s="72"/>
      <c r="O2997" s="96">
        <f t="shared" si="187"/>
        <v>1219</v>
      </c>
      <c r="T2997" s="110"/>
    </row>
    <row r="2998" spans="3:20" x14ac:dyDescent="0.2">
      <c r="C2998" s="96" t="str">
        <f t="shared" si="184"/>
        <v>1220</v>
      </c>
      <c r="D2998" s="73"/>
      <c r="E2998" s="100"/>
      <c r="F2998" s="101"/>
      <c r="G2998" s="96">
        <f t="shared" si="185"/>
        <v>1220</v>
      </c>
      <c r="I2998" s="96"/>
      <c r="K2998" t="str">
        <f t="shared" si="186"/>
        <v>1220</v>
      </c>
      <c r="M2998" s="72"/>
      <c r="O2998" s="96">
        <f t="shared" si="187"/>
        <v>1220</v>
      </c>
      <c r="T2998" s="110"/>
    </row>
    <row r="2999" spans="3:20" x14ac:dyDescent="0.2">
      <c r="C2999" s="96" t="str">
        <f t="shared" si="184"/>
        <v>1221</v>
      </c>
      <c r="D2999" s="73"/>
      <c r="E2999" s="100"/>
      <c r="F2999" s="101"/>
      <c r="G2999" s="96">
        <f t="shared" si="185"/>
        <v>1221</v>
      </c>
      <c r="I2999" s="96"/>
      <c r="K2999" t="str">
        <f t="shared" si="186"/>
        <v>1221</v>
      </c>
      <c r="M2999" s="72"/>
      <c r="O2999" s="96">
        <f t="shared" si="187"/>
        <v>1221</v>
      </c>
      <c r="T2999" s="110"/>
    </row>
    <row r="3000" spans="3:20" x14ac:dyDescent="0.2">
      <c r="C3000" s="96" t="str">
        <f t="shared" si="184"/>
        <v>1222</v>
      </c>
      <c r="D3000" s="73"/>
      <c r="E3000" s="100"/>
      <c r="F3000" s="101"/>
      <c r="G3000" s="96">
        <f t="shared" si="185"/>
        <v>1222</v>
      </c>
      <c r="I3000" s="96"/>
      <c r="K3000" t="str">
        <f t="shared" si="186"/>
        <v>1222</v>
      </c>
      <c r="M3000" s="72"/>
      <c r="O3000" s="96">
        <f t="shared" si="187"/>
        <v>1222</v>
      </c>
      <c r="T3000" s="110"/>
    </row>
    <row r="3001" spans="3:20" x14ac:dyDescent="0.2">
      <c r="C3001" s="96" t="str">
        <f t="shared" si="184"/>
        <v>1223</v>
      </c>
      <c r="D3001" s="73"/>
      <c r="E3001" s="100"/>
      <c r="F3001" s="101"/>
      <c r="G3001" s="96">
        <f t="shared" si="185"/>
        <v>1223</v>
      </c>
      <c r="I3001" s="96"/>
      <c r="K3001" t="str">
        <f t="shared" si="186"/>
        <v>1223</v>
      </c>
      <c r="M3001" s="72"/>
      <c r="O3001" s="96">
        <f t="shared" si="187"/>
        <v>1223</v>
      </c>
      <c r="T3001" s="110"/>
    </row>
    <row r="3002" spans="3:20" x14ac:dyDescent="0.2">
      <c r="C3002" s="96" t="str">
        <f t="shared" si="184"/>
        <v>1224</v>
      </c>
      <c r="D3002" s="73"/>
      <c r="E3002" s="100"/>
      <c r="F3002" s="101"/>
      <c r="G3002" s="96">
        <f t="shared" si="185"/>
        <v>1224</v>
      </c>
      <c r="I3002" s="96"/>
      <c r="K3002" t="str">
        <f t="shared" si="186"/>
        <v>1224</v>
      </c>
      <c r="M3002" s="72"/>
      <c r="O3002" s="96">
        <f t="shared" si="187"/>
        <v>1224</v>
      </c>
      <c r="T3002" s="110"/>
    </row>
    <row r="3003" spans="3:20" x14ac:dyDescent="0.2">
      <c r="C3003" s="96" t="str">
        <f t="shared" si="184"/>
        <v>1225</v>
      </c>
      <c r="D3003" s="73"/>
      <c r="E3003" s="100"/>
      <c r="F3003" s="101"/>
      <c r="G3003" s="96">
        <f t="shared" si="185"/>
        <v>1225</v>
      </c>
      <c r="I3003" s="96"/>
      <c r="K3003" t="str">
        <f t="shared" si="186"/>
        <v>1225</v>
      </c>
      <c r="M3003" s="72"/>
      <c r="O3003" s="96">
        <f t="shared" si="187"/>
        <v>1225</v>
      </c>
      <c r="T3003" s="110"/>
    </row>
    <row r="3004" spans="3:20" x14ac:dyDescent="0.2">
      <c r="C3004" s="96" t="str">
        <f t="shared" si="184"/>
        <v>1226</v>
      </c>
      <c r="D3004" s="73"/>
      <c r="E3004" s="100"/>
      <c r="F3004" s="101"/>
      <c r="G3004" s="96">
        <f t="shared" si="185"/>
        <v>1226</v>
      </c>
      <c r="I3004" s="96"/>
      <c r="K3004" t="str">
        <f t="shared" si="186"/>
        <v>1226</v>
      </c>
      <c r="M3004" s="72"/>
      <c r="O3004" s="96">
        <f t="shared" si="187"/>
        <v>1226</v>
      </c>
      <c r="T3004" s="110"/>
    </row>
    <row r="3005" spans="3:20" x14ac:dyDescent="0.2">
      <c r="C3005" s="96" t="str">
        <f t="shared" si="184"/>
        <v>1227</v>
      </c>
      <c r="D3005" s="73"/>
      <c r="E3005" s="100"/>
      <c r="F3005" s="101"/>
      <c r="G3005" s="96">
        <f t="shared" si="185"/>
        <v>1227</v>
      </c>
      <c r="I3005" s="96"/>
      <c r="K3005" t="str">
        <f t="shared" si="186"/>
        <v>1227</v>
      </c>
      <c r="M3005" s="72"/>
      <c r="O3005" s="96">
        <f t="shared" si="187"/>
        <v>1227</v>
      </c>
      <c r="T3005" s="110"/>
    </row>
    <row r="3006" spans="3:20" x14ac:dyDescent="0.2">
      <c r="C3006" s="96" t="str">
        <f t="shared" si="184"/>
        <v>1228</v>
      </c>
      <c r="D3006" s="73"/>
      <c r="E3006" s="100"/>
      <c r="F3006" s="101"/>
      <c r="G3006" s="96">
        <f t="shared" si="185"/>
        <v>1228</v>
      </c>
      <c r="I3006" s="96"/>
      <c r="K3006" t="str">
        <f t="shared" si="186"/>
        <v>1228</v>
      </c>
      <c r="M3006" s="72"/>
      <c r="O3006" s="96">
        <f t="shared" si="187"/>
        <v>1228</v>
      </c>
      <c r="T3006" s="110"/>
    </row>
    <row r="3007" spans="3:20" x14ac:dyDescent="0.2">
      <c r="C3007" s="96" t="str">
        <f t="shared" si="184"/>
        <v>1229</v>
      </c>
      <c r="D3007" s="73"/>
      <c r="E3007" s="100"/>
      <c r="F3007" s="101"/>
      <c r="G3007" s="96">
        <f t="shared" si="185"/>
        <v>1229</v>
      </c>
      <c r="I3007" s="96"/>
      <c r="K3007" t="str">
        <f t="shared" si="186"/>
        <v>1229</v>
      </c>
      <c r="M3007" s="72"/>
      <c r="O3007" s="96">
        <f t="shared" si="187"/>
        <v>1229</v>
      </c>
      <c r="T3007" s="110"/>
    </row>
    <row r="3008" spans="3:20" x14ac:dyDescent="0.2">
      <c r="C3008" s="96" t="str">
        <f t="shared" si="184"/>
        <v>1230</v>
      </c>
      <c r="D3008" s="73"/>
      <c r="E3008" s="100"/>
      <c r="F3008" s="101"/>
      <c r="G3008" s="96">
        <f t="shared" si="185"/>
        <v>1230</v>
      </c>
      <c r="I3008" s="96"/>
      <c r="K3008" t="str">
        <f t="shared" si="186"/>
        <v>1230</v>
      </c>
      <c r="M3008" s="72"/>
      <c r="O3008" s="96">
        <f t="shared" si="187"/>
        <v>1230</v>
      </c>
      <c r="T3008" s="110"/>
    </row>
    <row r="3009" spans="3:20" x14ac:dyDescent="0.2">
      <c r="C3009" s="96" t="str">
        <f t="shared" si="184"/>
        <v>1231</v>
      </c>
      <c r="D3009" s="73"/>
      <c r="E3009" s="100"/>
      <c r="F3009" s="101"/>
      <c r="G3009" s="96">
        <f t="shared" si="185"/>
        <v>1231</v>
      </c>
      <c r="I3009" s="96"/>
      <c r="K3009" t="str">
        <f t="shared" si="186"/>
        <v>1231</v>
      </c>
      <c r="M3009" s="72"/>
      <c r="O3009" s="96">
        <f t="shared" si="187"/>
        <v>1231</v>
      </c>
      <c r="T3009" s="110"/>
    </row>
    <row r="3010" spans="3:20" x14ac:dyDescent="0.2">
      <c r="C3010" s="96" t="str">
        <f t="shared" si="184"/>
        <v>1232</v>
      </c>
      <c r="D3010" s="73"/>
      <c r="E3010" s="100"/>
      <c r="F3010" s="101"/>
      <c r="G3010" s="96">
        <f t="shared" si="185"/>
        <v>1232</v>
      </c>
      <c r="I3010" s="96"/>
      <c r="K3010" t="str">
        <f t="shared" si="186"/>
        <v>1232</v>
      </c>
      <c r="M3010" s="72"/>
      <c r="O3010" s="96">
        <f t="shared" si="187"/>
        <v>1232</v>
      </c>
      <c r="T3010" s="110"/>
    </row>
    <row r="3011" spans="3:20" x14ac:dyDescent="0.2">
      <c r="C3011" s="96" t="str">
        <f t="shared" ref="C3011:C3074" si="188">D3011&amp;G3011</f>
        <v>1233</v>
      </c>
      <c r="D3011" s="73"/>
      <c r="E3011" s="100"/>
      <c r="F3011" s="101"/>
      <c r="G3011" s="96">
        <f t="shared" ref="G3011:G3074" si="189">IF(D3011&lt;&gt;D3010,1,G3010+1)</f>
        <v>1233</v>
      </c>
      <c r="I3011" s="96"/>
      <c r="K3011" t="str">
        <f t="shared" ref="K3011:K3074" si="190">L3011&amp;O3011</f>
        <v>1233</v>
      </c>
      <c r="M3011" s="72"/>
      <c r="O3011" s="96">
        <f t="shared" ref="O3011:O3074" si="191">IF(L3011&lt;&gt;L3010,1,O3010+1)</f>
        <v>1233</v>
      </c>
      <c r="T3011" s="110"/>
    </row>
    <row r="3012" spans="3:20" x14ac:dyDescent="0.2">
      <c r="C3012" s="96" t="str">
        <f t="shared" si="188"/>
        <v>1234</v>
      </c>
      <c r="D3012" s="73"/>
      <c r="E3012" s="100"/>
      <c r="F3012" s="101"/>
      <c r="G3012" s="96">
        <f t="shared" si="189"/>
        <v>1234</v>
      </c>
      <c r="I3012" s="96"/>
      <c r="K3012" t="str">
        <f t="shared" si="190"/>
        <v>1234</v>
      </c>
      <c r="M3012" s="72"/>
      <c r="O3012" s="96">
        <f t="shared" si="191"/>
        <v>1234</v>
      </c>
      <c r="T3012" s="110"/>
    </row>
    <row r="3013" spans="3:20" x14ac:dyDescent="0.2">
      <c r="C3013" s="96" t="str">
        <f t="shared" si="188"/>
        <v>1235</v>
      </c>
      <c r="D3013" s="73"/>
      <c r="E3013" s="100"/>
      <c r="F3013" s="101"/>
      <c r="G3013" s="96">
        <f t="shared" si="189"/>
        <v>1235</v>
      </c>
      <c r="I3013" s="96"/>
      <c r="K3013" t="str">
        <f t="shared" si="190"/>
        <v>1235</v>
      </c>
      <c r="M3013" s="72"/>
      <c r="O3013" s="96">
        <f t="shared" si="191"/>
        <v>1235</v>
      </c>
      <c r="T3013" s="110"/>
    </row>
    <row r="3014" spans="3:20" x14ac:dyDescent="0.2">
      <c r="C3014" s="96" t="str">
        <f t="shared" si="188"/>
        <v>1236</v>
      </c>
      <c r="D3014" s="73"/>
      <c r="E3014" s="100"/>
      <c r="F3014" s="101"/>
      <c r="G3014" s="96">
        <f t="shared" si="189"/>
        <v>1236</v>
      </c>
      <c r="I3014" s="96"/>
      <c r="K3014" t="str">
        <f t="shared" si="190"/>
        <v>1236</v>
      </c>
      <c r="M3014" s="72"/>
      <c r="O3014" s="96">
        <f t="shared" si="191"/>
        <v>1236</v>
      </c>
      <c r="T3014" s="110"/>
    </row>
    <row r="3015" spans="3:20" x14ac:dyDescent="0.2">
      <c r="C3015" s="96" t="str">
        <f t="shared" si="188"/>
        <v>1237</v>
      </c>
      <c r="D3015" s="73"/>
      <c r="E3015" s="100"/>
      <c r="F3015" s="101"/>
      <c r="G3015" s="96">
        <f t="shared" si="189"/>
        <v>1237</v>
      </c>
      <c r="I3015" s="96"/>
      <c r="K3015" t="str">
        <f t="shared" si="190"/>
        <v>1237</v>
      </c>
      <c r="M3015" s="72"/>
      <c r="O3015" s="96">
        <f t="shared" si="191"/>
        <v>1237</v>
      </c>
      <c r="T3015" s="110"/>
    </row>
    <row r="3016" spans="3:20" x14ac:dyDescent="0.2">
      <c r="C3016" s="96" t="str">
        <f t="shared" si="188"/>
        <v>1238</v>
      </c>
      <c r="D3016" s="73"/>
      <c r="E3016" s="100"/>
      <c r="F3016" s="101"/>
      <c r="G3016" s="96">
        <f t="shared" si="189"/>
        <v>1238</v>
      </c>
      <c r="I3016" s="96"/>
      <c r="K3016" t="str">
        <f t="shared" si="190"/>
        <v>1238</v>
      </c>
      <c r="M3016" s="72"/>
      <c r="O3016" s="96">
        <f t="shared" si="191"/>
        <v>1238</v>
      </c>
      <c r="T3016" s="110"/>
    </row>
    <row r="3017" spans="3:20" x14ac:dyDescent="0.2">
      <c r="C3017" s="96" t="str">
        <f t="shared" si="188"/>
        <v>1239</v>
      </c>
      <c r="D3017" s="73"/>
      <c r="E3017" s="100"/>
      <c r="F3017" s="101"/>
      <c r="G3017" s="96">
        <f t="shared" si="189"/>
        <v>1239</v>
      </c>
      <c r="I3017" s="96"/>
      <c r="K3017" t="str">
        <f t="shared" si="190"/>
        <v>1239</v>
      </c>
      <c r="M3017" s="72"/>
      <c r="O3017" s="96">
        <f t="shared" si="191"/>
        <v>1239</v>
      </c>
      <c r="T3017" s="110"/>
    </row>
    <row r="3018" spans="3:20" x14ac:dyDescent="0.2">
      <c r="C3018" s="96" t="str">
        <f t="shared" si="188"/>
        <v>1240</v>
      </c>
      <c r="D3018" s="73"/>
      <c r="E3018" s="100"/>
      <c r="F3018" s="101"/>
      <c r="G3018" s="96">
        <f t="shared" si="189"/>
        <v>1240</v>
      </c>
      <c r="I3018" s="96"/>
      <c r="K3018" t="str">
        <f t="shared" si="190"/>
        <v>1240</v>
      </c>
      <c r="M3018" s="72"/>
      <c r="O3018" s="96">
        <f t="shared" si="191"/>
        <v>1240</v>
      </c>
      <c r="T3018" s="110"/>
    </row>
    <row r="3019" spans="3:20" x14ac:dyDescent="0.2">
      <c r="C3019" s="96" t="str">
        <f t="shared" si="188"/>
        <v>1241</v>
      </c>
      <c r="D3019" s="73"/>
      <c r="E3019" s="100"/>
      <c r="F3019" s="101"/>
      <c r="G3019" s="96">
        <f t="shared" si="189"/>
        <v>1241</v>
      </c>
      <c r="I3019" s="96"/>
      <c r="K3019" t="str">
        <f t="shared" si="190"/>
        <v>1241</v>
      </c>
      <c r="M3019" s="72"/>
      <c r="O3019" s="96">
        <f t="shared" si="191"/>
        <v>1241</v>
      </c>
      <c r="T3019" s="110"/>
    </row>
    <row r="3020" spans="3:20" x14ac:dyDescent="0.2">
      <c r="C3020" s="96" t="str">
        <f t="shared" si="188"/>
        <v>1242</v>
      </c>
      <c r="D3020" s="73"/>
      <c r="E3020" s="100"/>
      <c r="F3020" s="101"/>
      <c r="G3020" s="96">
        <f t="shared" si="189"/>
        <v>1242</v>
      </c>
      <c r="I3020" s="96"/>
      <c r="K3020" t="str">
        <f t="shared" si="190"/>
        <v>1242</v>
      </c>
      <c r="M3020" s="72"/>
      <c r="O3020" s="96">
        <f t="shared" si="191"/>
        <v>1242</v>
      </c>
      <c r="T3020" s="110"/>
    </row>
    <row r="3021" spans="3:20" x14ac:dyDescent="0.2">
      <c r="C3021" s="96" t="str">
        <f t="shared" si="188"/>
        <v>1243</v>
      </c>
      <c r="D3021" s="73"/>
      <c r="E3021" s="100"/>
      <c r="F3021" s="101"/>
      <c r="G3021" s="96">
        <f t="shared" si="189"/>
        <v>1243</v>
      </c>
      <c r="I3021" s="96"/>
      <c r="K3021" t="str">
        <f t="shared" si="190"/>
        <v>1243</v>
      </c>
      <c r="M3021" s="72"/>
      <c r="O3021" s="96">
        <f t="shared" si="191"/>
        <v>1243</v>
      </c>
      <c r="T3021" s="110"/>
    </row>
    <row r="3022" spans="3:20" x14ac:dyDescent="0.2">
      <c r="C3022" s="96" t="str">
        <f t="shared" si="188"/>
        <v>1244</v>
      </c>
      <c r="D3022" s="73"/>
      <c r="E3022" s="100"/>
      <c r="F3022" s="101"/>
      <c r="G3022" s="96">
        <f t="shared" si="189"/>
        <v>1244</v>
      </c>
      <c r="I3022" s="96"/>
      <c r="K3022" t="str">
        <f t="shared" si="190"/>
        <v>1244</v>
      </c>
      <c r="M3022" s="72"/>
      <c r="O3022" s="96">
        <f t="shared" si="191"/>
        <v>1244</v>
      </c>
      <c r="T3022" s="110"/>
    </row>
    <row r="3023" spans="3:20" x14ac:dyDescent="0.2">
      <c r="C3023" s="96" t="str">
        <f t="shared" si="188"/>
        <v>1245</v>
      </c>
      <c r="D3023" s="73"/>
      <c r="E3023" s="100"/>
      <c r="F3023" s="101"/>
      <c r="G3023" s="96">
        <f t="shared" si="189"/>
        <v>1245</v>
      </c>
      <c r="I3023" s="96"/>
      <c r="K3023" t="str">
        <f t="shared" si="190"/>
        <v>1245</v>
      </c>
      <c r="M3023" s="72"/>
      <c r="O3023" s="96">
        <f t="shared" si="191"/>
        <v>1245</v>
      </c>
      <c r="T3023" s="110"/>
    </row>
    <row r="3024" spans="3:20" x14ac:dyDescent="0.2">
      <c r="C3024" s="96" t="str">
        <f t="shared" si="188"/>
        <v>1246</v>
      </c>
      <c r="D3024" s="73"/>
      <c r="E3024" s="100"/>
      <c r="F3024" s="101"/>
      <c r="G3024" s="96">
        <f t="shared" si="189"/>
        <v>1246</v>
      </c>
      <c r="I3024" s="96"/>
      <c r="K3024" t="str">
        <f t="shared" si="190"/>
        <v>1246</v>
      </c>
      <c r="M3024" s="72"/>
      <c r="O3024" s="96">
        <f t="shared" si="191"/>
        <v>1246</v>
      </c>
      <c r="T3024" s="110"/>
    </row>
    <row r="3025" spans="3:20" x14ac:dyDescent="0.2">
      <c r="C3025" s="96" t="str">
        <f t="shared" si="188"/>
        <v>1247</v>
      </c>
      <c r="D3025" s="73"/>
      <c r="E3025" s="100"/>
      <c r="F3025" s="101"/>
      <c r="G3025" s="96">
        <f t="shared" si="189"/>
        <v>1247</v>
      </c>
      <c r="I3025" s="96"/>
      <c r="K3025" t="str">
        <f t="shared" si="190"/>
        <v>1247</v>
      </c>
      <c r="M3025" s="72"/>
      <c r="O3025" s="96">
        <f t="shared" si="191"/>
        <v>1247</v>
      </c>
      <c r="T3025" s="110"/>
    </row>
    <row r="3026" spans="3:20" x14ac:dyDescent="0.2">
      <c r="C3026" s="96" t="str">
        <f t="shared" si="188"/>
        <v>1248</v>
      </c>
      <c r="D3026" s="73"/>
      <c r="E3026" s="100"/>
      <c r="F3026" s="101"/>
      <c r="G3026" s="96">
        <f t="shared" si="189"/>
        <v>1248</v>
      </c>
      <c r="I3026" s="96"/>
      <c r="K3026" t="str">
        <f t="shared" si="190"/>
        <v>1248</v>
      </c>
      <c r="M3026" s="72"/>
      <c r="O3026" s="96">
        <f t="shared" si="191"/>
        <v>1248</v>
      </c>
      <c r="T3026" s="110"/>
    </row>
    <row r="3027" spans="3:20" x14ac:dyDescent="0.2">
      <c r="C3027" s="96" t="str">
        <f t="shared" si="188"/>
        <v>1249</v>
      </c>
      <c r="D3027" s="73"/>
      <c r="E3027" s="100"/>
      <c r="F3027" s="101"/>
      <c r="G3027" s="96">
        <f t="shared" si="189"/>
        <v>1249</v>
      </c>
      <c r="I3027" s="96"/>
      <c r="K3027" t="str">
        <f t="shared" si="190"/>
        <v>1249</v>
      </c>
      <c r="M3027" s="72"/>
      <c r="O3027" s="96">
        <f t="shared" si="191"/>
        <v>1249</v>
      </c>
      <c r="T3027" s="110"/>
    </row>
    <row r="3028" spans="3:20" x14ac:dyDescent="0.2">
      <c r="C3028" s="96" t="str">
        <f t="shared" si="188"/>
        <v>1250</v>
      </c>
      <c r="D3028" s="73"/>
      <c r="E3028" s="100"/>
      <c r="F3028" s="101"/>
      <c r="G3028" s="96">
        <f t="shared" si="189"/>
        <v>1250</v>
      </c>
      <c r="I3028" s="96"/>
      <c r="K3028" t="str">
        <f t="shared" si="190"/>
        <v>1250</v>
      </c>
      <c r="M3028" s="72"/>
      <c r="O3028" s="96">
        <f t="shared" si="191"/>
        <v>1250</v>
      </c>
      <c r="T3028" s="110"/>
    </row>
    <row r="3029" spans="3:20" x14ac:dyDescent="0.2">
      <c r="C3029" s="96" t="str">
        <f t="shared" si="188"/>
        <v>1251</v>
      </c>
      <c r="D3029" s="73"/>
      <c r="E3029" s="100"/>
      <c r="F3029" s="101"/>
      <c r="G3029" s="96">
        <f t="shared" si="189"/>
        <v>1251</v>
      </c>
      <c r="I3029" s="96"/>
      <c r="K3029" t="str">
        <f t="shared" si="190"/>
        <v>1251</v>
      </c>
      <c r="M3029" s="72"/>
      <c r="O3029" s="96">
        <f t="shared" si="191"/>
        <v>1251</v>
      </c>
      <c r="T3029" s="110"/>
    </row>
    <row r="3030" spans="3:20" x14ac:dyDescent="0.2">
      <c r="C3030" s="96" t="str">
        <f t="shared" si="188"/>
        <v>1252</v>
      </c>
      <c r="D3030" s="73"/>
      <c r="E3030" s="100"/>
      <c r="F3030" s="101"/>
      <c r="G3030" s="96">
        <f t="shared" si="189"/>
        <v>1252</v>
      </c>
      <c r="I3030" s="96"/>
      <c r="K3030" t="str">
        <f t="shared" si="190"/>
        <v>1252</v>
      </c>
      <c r="M3030" s="72"/>
      <c r="O3030" s="96">
        <f t="shared" si="191"/>
        <v>1252</v>
      </c>
      <c r="T3030" s="110"/>
    </row>
    <row r="3031" spans="3:20" x14ac:dyDescent="0.2">
      <c r="C3031" s="96" t="str">
        <f t="shared" si="188"/>
        <v>1253</v>
      </c>
      <c r="D3031" s="73"/>
      <c r="E3031" s="100"/>
      <c r="F3031" s="101"/>
      <c r="G3031" s="96">
        <f t="shared" si="189"/>
        <v>1253</v>
      </c>
      <c r="I3031" s="96"/>
      <c r="K3031" t="str">
        <f t="shared" si="190"/>
        <v>1253</v>
      </c>
      <c r="M3031" s="72"/>
      <c r="O3031" s="96">
        <f t="shared" si="191"/>
        <v>1253</v>
      </c>
      <c r="T3031" s="110"/>
    </row>
    <row r="3032" spans="3:20" x14ac:dyDescent="0.2">
      <c r="C3032" s="96" t="str">
        <f t="shared" si="188"/>
        <v>1254</v>
      </c>
      <c r="D3032" s="73"/>
      <c r="E3032" s="100"/>
      <c r="F3032" s="101"/>
      <c r="G3032" s="96">
        <f t="shared" si="189"/>
        <v>1254</v>
      </c>
      <c r="I3032" s="96"/>
      <c r="K3032" t="str">
        <f t="shared" si="190"/>
        <v>1254</v>
      </c>
      <c r="M3032" s="72"/>
      <c r="O3032" s="96">
        <f t="shared" si="191"/>
        <v>1254</v>
      </c>
      <c r="T3032" s="110"/>
    </row>
    <row r="3033" spans="3:20" x14ac:dyDescent="0.2">
      <c r="C3033" s="96" t="str">
        <f t="shared" si="188"/>
        <v>1255</v>
      </c>
      <c r="D3033" s="73"/>
      <c r="E3033" s="100"/>
      <c r="F3033" s="101"/>
      <c r="G3033" s="96">
        <f t="shared" si="189"/>
        <v>1255</v>
      </c>
      <c r="I3033" s="96"/>
      <c r="K3033" t="str">
        <f t="shared" si="190"/>
        <v>1255</v>
      </c>
      <c r="M3033" s="72"/>
      <c r="O3033" s="96">
        <f t="shared" si="191"/>
        <v>1255</v>
      </c>
      <c r="T3033" s="110"/>
    </row>
    <row r="3034" spans="3:20" x14ac:dyDescent="0.2">
      <c r="C3034" s="96" t="str">
        <f t="shared" si="188"/>
        <v>1256</v>
      </c>
      <c r="D3034" s="73"/>
      <c r="E3034" s="100"/>
      <c r="F3034" s="101"/>
      <c r="G3034" s="96">
        <f t="shared" si="189"/>
        <v>1256</v>
      </c>
      <c r="I3034" s="96"/>
      <c r="K3034" t="str">
        <f t="shared" si="190"/>
        <v>1256</v>
      </c>
      <c r="M3034" s="72"/>
      <c r="O3034" s="96">
        <f t="shared" si="191"/>
        <v>1256</v>
      </c>
      <c r="T3034" s="83"/>
    </row>
    <row r="3035" spans="3:20" x14ac:dyDescent="0.2">
      <c r="C3035" s="96" t="str">
        <f t="shared" si="188"/>
        <v>1257</v>
      </c>
      <c r="D3035" s="73"/>
      <c r="E3035" s="100"/>
      <c r="F3035" s="101"/>
      <c r="G3035" s="96">
        <f t="shared" si="189"/>
        <v>1257</v>
      </c>
      <c r="I3035" s="96"/>
      <c r="K3035" t="str">
        <f t="shared" si="190"/>
        <v>1257</v>
      </c>
      <c r="M3035" s="72"/>
      <c r="O3035" s="96">
        <f t="shared" si="191"/>
        <v>1257</v>
      </c>
      <c r="T3035" s="83"/>
    </row>
    <row r="3036" spans="3:20" x14ac:dyDescent="0.2">
      <c r="C3036" s="96" t="str">
        <f t="shared" si="188"/>
        <v>1258</v>
      </c>
      <c r="D3036" s="73"/>
      <c r="E3036" s="100"/>
      <c r="F3036" s="101"/>
      <c r="G3036" s="96">
        <f t="shared" si="189"/>
        <v>1258</v>
      </c>
      <c r="I3036" s="96"/>
      <c r="K3036" t="str">
        <f t="shared" si="190"/>
        <v>1258</v>
      </c>
      <c r="M3036" s="72"/>
      <c r="O3036" s="96">
        <f t="shared" si="191"/>
        <v>1258</v>
      </c>
      <c r="T3036" s="110"/>
    </row>
    <row r="3037" spans="3:20" x14ac:dyDescent="0.2">
      <c r="C3037" s="96" t="str">
        <f t="shared" si="188"/>
        <v>1259</v>
      </c>
      <c r="D3037" s="73"/>
      <c r="E3037" s="100"/>
      <c r="F3037" s="101"/>
      <c r="G3037" s="96">
        <f t="shared" si="189"/>
        <v>1259</v>
      </c>
      <c r="I3037" s="96"/>
      <c r="K3037" t="str">
        <f t="shared" si="190"/>
        <v>1259</v>
      </c>
      <c r="M3037" s="72"/>
      <c r="O3037" s="96">
        <f t="shared" si="191"/>
        <v>1259</v>
      </c>
      <c r="T3037" s="110"/>
    </row>
    <row r="3038" spans="3:20" x14ac:dyDescent="0.2">
      <c r="C3038" s="96" t="str">
        <f t="shared" si="188"/>
        <v>1260</v>
      </c>
      <c r="D3038" s="73"/>
      <c r="E3038" s="100"/>
      <c r="F3038" s="101"/>
      <c r="G3038" s="96">
        <f t="shared" si="189"/>
        <v>1260</v>
      </c>
      <c r="I3038" s="96"/>
      <c r="K3038" t="str">
        <f t="shared" si="190"/>
        <v>1260</v>
      </c>
      <c r="M3038" s="72"/>
      <c r="O3038" s="96">
        <f t="shared" si="191"/>
        <v>1260</v>
      </c>
      <c r="T3038" s="110"/>
    </row>
    <row r="3039" spans="3:20" x14ac:dyDescent="0.2">
      <c r="C3039" s="96" t="str">
        <f t="shared" si="188"/>
        <v>1261</v>
      </c>
      <c r="D3039" s="73"/>
      <c r="E3039" s="100"/>
      <c r="F3039" s="101"/>
      <c r="G3039" s="96">
        <f t="shared" si="189"/>
        <v>1261</v>
      </c>
      <c r="I3039" s="96"/>
      <c r="K3039" t="str">
        <f t="shared" si="190"/>
        <v>1261</v>
      </c>
      <c r="M3039" s="72"/>
      <c r="O3039" s="96">
        <f t="shared" si="191"/>
        <v>1261</v>
      </c>
      <c r="T3039" s="110"/>
    </row>
    <row r="3040" spans="3:20" x14ac:dyDescent="0.2">
      <c r="C3040" s="96" t="str">
        <f t="shared" si="188"/>
        <v>1262</v>
      </c>
      <c r="D3040" s="73"/>
      <c r="E3040" s="100"/>
      <c r="F3040" s="101"/>
      <c r="G3040" s="96">
        <f t="shared" si="189"/>
        <v>1262</v>
      </c>
      <c r="I3040" s="96"/>
      <c r="K3040" t="str">
        <f t="shared" si="190"/>
        <v>1262</v>
      </c>
      <c r="M3040" s="72"/>
      <c r="O3040" s="96">
        <f t="shared" si="191"/>
        <v>1262</v>
      </c>
      <c r="T3040" s="110"/>
    </row>
    <row r="3041" spans="3:20" x14ac:dyDescent="0.2">
      <c r="C3041" s="96" t="str">
        <f t="shared" si="188"/>
        <v>1263</v>
      </c>
      <c r="D3041" s="73"/>
      <c r="E3041" s="100"/>
      <c r="F3041" s="101"/>
      <c r="G3041" s="96">
        <f t="shared" si="189"/>
        <v>1263</v>
      </c>
      <c r="I3041" s="96"/>
      <c r="K3041" t="str">
        <f t="shared" si="190"/>
        <v>1263</v>
      </c>
      <c r="M3041" s="72"/>
      <c r="O3041" s="96">
        <f t="shared" si="191"/>
        <v>1263</v>
      </c>
      <c r="T3041" s="110"/>
    </row>
    <row r="3042" spans="3:20" x14ac:dyDescent="0.2">
      <c r="C3042" s="96" t="str">
        <f t="shared" si="188"/>
        <v>1264</v>
      </c>
      <c r="D3042" s="73"/>
      <c r="E3042" s="100"/>
      <c r="F3042" s="101"/>
      <c r="G3042" s="96">
        <f t="shared" si="189"/>
        <v>1264</v>
      </c>
      <c r="I3042" s="96"/>
      <c r="K3042" t="str">
        <f t="shared" si="190"/>
        <v>1264</v>
      </c>
      <c r="M3042" s="72"/>
      <c r="O3042" s="96">
        <f t="shared" si="191"/>
        <v>1264</v>
      </c>
      <c r="T3042" s="110"/>
    </row>
    <row r="3043" spans="3:20" x14ac:dyDescent="0.2">
      <c r="C3043" s="96" t="str">
        <f t="shared" si="188"/>
        <v>1265</v>
      </c>
      <c r="D3043" s="73"/>
      <c r="E3043" s="100"/>
      <c r="F3043" s="101"/>
      <c r="G3043" s="96">
        <f t="shared" si="189"/>
        <v>1265</v>
      </c>
      <c r="I3043" s="96"/>
      <c r="K3043" t="str">
        <f t="shared" si="190"/>
        <v>1265</v>
      </c>
      <c r="M3043" s="72"/>
      <c r="O3043" s="96">
        <f t="shared" si="191"/>
        <v>1265</v>
      </c>
      <c r="T3043" s="110"/>
    </row>
    <row r="3044" spans="3:20" x14ac:dyDescent="0.2">
      <c r="C3044" s="96" t="str">
        <f t="shared" si="188"/>
        <v>1266</v>
      </c>
      <c r="D3044" s="73"/>
      <c r="E3044" s="100"/>
      <c r="F3044" s="101"/>
      <c r="G3044" s="96">
        <f t="shared" si="189"/>
        <v>1266</v>
      </c>
      <c r="I3044" s="96"/>
      <c r="K3044" t="str">
        <f t="shared" si="190"/>
        <v>1266</v>
      </c>
      <c r="M3044" s="72"/>
      <c r="O3044" s="96">
        <f t="shared" si="191"/>
        <v>1266</v>
      </c>
      <c r="T3044" s="110"/>
    </row>
    <row r="3045" spans="3:20" x14ac:dyDescent="0.2">
      <c r="C3045" s="96" t="str">
        <f t="shared" si="188"/>
        <v>1267</v>
      </c>
      <c r="D3045" s="73"/>
      <c r="E3045" s="100"/>
      <c r="F3045" s="101"/>
      <c r="G3045" s="96">
        <f t="shared" si="189"/>
        <v>1267</v>
      </c>
      <c r="I3045" s="96"/>
      <c r="K3045" t="str">
        <f t="shared" si="190"/>
        <v>1267</v>
      </c>
      <c r="M3045" s="72"/>
      <c r="O3045" s="96">
        <f t="shared" si="191"/>
        <v>1267</v>
      </c>
      <c r="T3045" s="110"/>
    </row>
    <row r="3046" spans="3:20" x14ac:dyDescent="0.2">
      <c r="C3046" s="96" t="str">
        <f t="shared" si="188"/>
        <v>1268</v>
      </c>
      <c r="D3046" s="73"/>
      <c r="E3046" s="100"/>
      <c r="F3046" s="101"/>
      <c r="G3046" s="96">
        <f t="shared" si="189"/>
        <v>1268</v>
      </c>
      <c r="I3046" s="96"/>
      <c r="K3046" t="str">
        <f t="shared" si="190"/>
        <v>1268</v>
      </c>
      <c r="M3046" s="72"/>
      <c r="O3046" s="96">
        <f t="shared" si="191"/>
        <v>1268</v>
      </c>
      <c r="T3046" s="110"/>
    </row>
    <row r="3047" spans="3:20" x14ac:dyDescent="0.2">
      <c r="C3047" s="96" t="str">
        <f t="shared" si="188"/>
        <v>1269</v>
      </c>
      <c r="D3047" s="73"/>
      <c r="E3047" s="100"/>
      <c r="F3047" s="101"/>
      <c r="G3047" s="96">
        <f t="shared" si="189"/>
        <v>1269</v>
      </c>
      <c r="I3047" s="96"/>
      <c r="K3047" t="str">
        <f t="shared" si="190"/>
        <v>1269</v>
      </c>
      <c r="M3047" s="72"/>
      <c r="O3047" s="96">
        <f t="shared" si="191"/>
        <v>1269</v>
      </c>
      <c r="T3047" s="110"/>
    </row>
    <row r="3048" spans="3:20" x14ac:dyDescent="0.2">
      <c r="C3048" s="96" t="str">
        <f t="shared" si="188"/>
        <v>1270</v>
      </c>
      <c r="D3048" s="73"/>
      <c r="E3048" s="100"/>
      <c r="F3048" s="101"/>
      <c r="G3048" s="96">
        <f t="shared" si="189"/>
        <v>1270</v>
      </c>
      <c r="I3048" s="96"/>
      <c r="K3048" t="str">
        <f t="shared" si="190"/>
        <v>1270</v>
      </c>
      <c r="M3048" s="72"/>
      <c r="O3048" s="96">
        <f t="shared" si="191"/>
        <v>1270</v>
      </c>
      <c r="T3048" s="110"/>
    </row>
    <row r="3049" spans="3:20" x14ac:dyDescent="0.2">
      <c r="C3049" s="96" t="str">
        <f t="shared" si="188"/>
        <v>1271</v>
      </c>
      <c r="D3049" s="73"/>
      <c r="E3049" s="100"/>
      <c r="F3049" s="101"/>
      <c r="G3049" s="96">
        <f t="shared" si="189"/>
        <v>1271</v>
      </c>
      <c r="I3049" s="96"/>
      <c r="K3049" t="str">
        <f t="shared" si="190"/>
        <v>1271</v>
      </c>
      <c r="M3049" s="72"/>
      <c r="O3049" s="96">
        <f t="shared" si="191"/>
        <v>1271</v>
      </c>
      <c r="T3049" s="110"/>
    </row>
    <row r="3050" spans="3:20" x14ac:dyDescent="0.2">
      <c r="C3050" s="96" t="str">
        <f t="shared" si="188"/>
        <v>1272</v>
      </c>
      <c r="D3050" s="73"/>
      <c r="E3050" s="100"/>
      <c r="F3050" s="101"/>
      <c r="G3050" s="96">
        <f t="shared" si="189"/>
        <v>1272</v>
      </c>
      <c r="I3050" s="96"/>
      <c r="K3050" t="str">
        <f t="shared" si="190"/>
        <v>1272</v>
      </c>
      <c r="M3050" s="72"/>
      <c r="O3050" s="96">
        <f t="shared" si="191"/>
        <v>1272</v>
      </c>
      <c r="T3050" s="110"/>
    </row>
    <row r="3051" spans="3:20" x14ac:dyDescent="0.2">
      <c r="C3051" s="96" t="str">
        <f t="shared" si="188"/>
        <v>1273</v>
      </c>
      <c r="D3051" s="73"/>
      <c r="E3051" s="100"/>
      <c r="F3051" s="101"/>
      <c r="G3051" s="96">
        <f t="shared" si="189"/>
        <v>1273</v>
      </c>
      <c r="I3051" s="96"/>
      <c r="K3051" t="str">
        <f t="shared" si="190"/>
        <v>1273</v>
      </c>
      <c r="M3051" s="72"/>
      <c r="O3051" s="96">
        <f t="shared" si="191"/>
        <v>1273</v>
      </c>
      <c r="T3051" s="110"/>
    </row>
    <row r="3052" spans="3:20" x14ac:dyDescent="0.2">
      <c r="C3052" s="96" t="str">
        <f t="shared" si="188"/>
        <v>1274</v>
      </c>
      <c r="D3052" s="73"/>
      <c r="E3052" s="100"/>
      <c r="F3052" s="101"/>
      <c r="G3052" s="96">
        <f t="shared" si="189"/>
        <v>1274</v>
      </c>
      <c r="I3052" s="96"/>
      <c r="K3052" t="str">
        <f t="shared" si="190"/>
        <v>1274</v>
      </c>
      <c r="M3052" s="72"/>
      <c r="O3052" s="96">
        <f t="shared" si="191"/>
        <v>1274</v>
      </c>
      <c r="T3052" s="83"/>
    </row>
    <row r="3053" spans="3:20" x14ac:dyDescent="0.2">
      <c r="C3053" s="96" t="str">
        <f t="shared" si="188"/>
        <v>1275</v>
      </c>
      <c r="D3053" s="73"/>
      <c r="E3053" s="100"/>
      <c r="F3053" s="101"/>
      <c r="G3053" s="96">
        <f t="shared" si="189"/>
        <v>1275</v>
      </c>
      <c r="I3053" s="96"/>
      <c r="K3053" t="str">
        <f t="shared" si="190"/>
        <v>1275</v>
      </c>
      <c r="M3053" s="72"/>
      <c r="O3053" s="96">
        <f t="shared" si="191"/>
        <v>1275</v>
      </c>
      <c r="T3053" s="110"/>
    </row>
    <row r="3054" spans="3:20" x14ac:dyDescent="0.2">
      <c r="C3054" s="96" t="str">
        <f t="shared" si="188"/>
        <v>1276</v>
      </c>
      <c r="D3054" s="73"/>
      <c r="E3054" s="100"/>
      <c r="F3054" s="101"/>
      <c r="G3054" s="96">
        <f t="shared" si="189"/>
        <v>1276</v>
      </c>
      <c r="I3054" s="96"/>
      <c r="K3054" t="str">
        <f t="shared" si="190"/>
        <v>1276</v>
      </c>
      <c r="M3054" s="72"/>
      <c r="O3054" s="96">
        <f t="shared" si="191"/>
        <v>1276</v>
      </c>
      <c r="T3054" s="83"/>
    </row>
    <row r="3055" spans="3:20" x14ac:dyDescent="0.2">
      <c r="C3055" s="96" t="str">
        <f t="shared" si="188"/>
        <v>1277</v>
      </c>
      <c r="D3055" s="73"/>
      <c r="E3055" s="100"/>
      <c r="F3055" s="101"/>
      <c r="G3055" s="96">
        <f t="shared" si="189"/>
        <v>1277</v>
      </c>
      <c r="I3055" s="96"/>
      <c r="K3055" t="str">
        <f t="shared" si="190"/>
        <v>1277</v>
      </c>
      <c r="M3055" s="72"/>
      <c r="O3055" s="96">
        <f t="shared" si="191"/>
        <v>1277</v>
      </c>
      <c r="T3055" s="83"/>
    </row>
    <row r="3056" spans="3:20" x14ac:dyDescent="0.2">
      <c r="C3056" s="96" t="str">
        <f t="shared" si="188"/>
        <v>1278</v>
      </c>
      <c r="D3056" s="73"/>
      <c r="E3056" s="100"/>
      <c r="F3056" s="101"/>
      <c r="G3056" s="96">
        <f t="shared" si="189"/>
        <v>1278</v>
      </c>
      <c r="I3056" s="96"/>
      <c r="K3056" t="str">
        <f t="shared" si="190"/>
        <v>1278</v>
      </c>
      <c r="M3056" s="72"/>
      <c r="O3056" s="96">
        <f t="shared" si="191"/>
        <v>1278</v>
      </c>
    </row>
    <row r="3057" spans="3:20" x14ac:dyDescent="0.2">
      <c r="C3057" s="96" t="str">
        <f t="shared" si="188"/>
        <v>1279</v>
      </c>
      <c r="D3057" s="73"/>
      <c r="E3057" s="100"/>
      <c r="F3057" s="101"/>
      <c r="G3057" s="96">
        <f t="shared" si="189"/>
        <v>1279</v>
      </c>
      <c r="I3057" s="96"/>
      <c r="K3057" t="str">
        <f t="shared" si="190"/>
        <v>1279</v>
      </c>
      <c r="M3057" s="72"/>
      <c r="O3057" s="96">
        <f t="shared" si="191"/>
        <v>1279</v>
      </c>
      <c r="T3057" s="110"/>
    </row>
    <row r="3058" spans="3:20" x14ac:dyDescent="0.2">
      <c r="C3058" s="96" t="str">
        <f t="shared" si="188"/>
        <v>1280</v>
      </c>
      <c r="D3058" s="73"/>
      <c r="E3058" s="100"/>
      <c r="F3058" s="101"/>
      <c r="G3058" s="96">
        <f t="shared" si="189"/>
        <v>1280</v>
      </c>
      <c r="I3058" s="96"/>
      <c r="K3058" t="str">
        <f t="shared" si="190"/>
        <v>1280</v>
      </c>
      <c r="M3058" s="72"/>
      <c r="O3058" s="96">
        <f t="shared" si="191"/>
        <v>1280</v>
      </c>
      <c r="T3058" s="83"/>
    </row>
    <row r="3059" spans="3:20" x14ac:dyDescent="0.2">
      <c r="C3059" s="96" t="str">
        <f t="shared" si="188"/>
        <v>1281</v>
      </c>
      <c r="D3059" s="73"/>
      <c r="E3059" s="100"/>
      <c r="F3059" s="101"/>
      <c r="G3059" s="96">
        <f t="shared" si="189"/>
        <v>1281</v>
      </c>
      <c r="I3059" s="96"/>
      <c r="K3059" t="str">
        <f t="shared" si="190"/>
        <v>1281</v>
      </c>
      <c r="M3059" s="72"/>
      <c r="O3059" s="96">
        <f t="shared" si="191"/>
        <v>1281</v>
      </c>
      <c r="T3059" s="83"/>
    </row>
    <row r="3060" spans="3:20" x14ac:dyDescent="0.2">
      <c r="C3060" s="96" t="str">
        <f t="shared" si="188"/>
        <v>1282</v>
      </c>
      <c r="D3060" s="73"/>
      <c r="E3060" s="100"/>
      <c r="F3060" s="101"/>
      <c r="G3060" s="96">
        <f t="shared" si="189"/>
        <v>1282</v>
      </c>
      <c r="I3060" s="96"/>
      <c r="K3060" t="str">
        <f t="shared" si="190"/>
        <v>1282</v>
      </c>
      <c r="M3060" s="72"/>
      <c r="O3060" s="96">
        <f t="shared" si="191"/>
        <v>1282</v>
      </c>
      <c r="T3060" s="83"/>
    </row>
    <row r="3061" spans="3:20" x14ac:dyDescent="0.2">
      <c r="C3061" s="96" t="str">
        <f t="shared" si="188"/>
        <v>1283</v>
      </c>
      <c r="D3061" s="73"/>
      <c r="E3061" s="100"/>
      <c r="F3061" s="101"/>
      <c r="G3061" s="96">
        <f t="shared" si="189"/>
        <v>1283</v>
      </c>
      <c r="I3061" s="96"/>
      <c r="K3061" t="str">
        <f t="shared" si="190"/>
        <v>1283</v>
      </c>
      <c r="M3061" s="72"/>
      <c r="O3061" s="96">
        <f t="shared" si="191"/>
        <v>1283</v>
      </c>
      <c r="T3061" s="83"/>
    </row>
    <row r="3062" spans="3:20" x14ac:dyDescent="0.2">
      <c r="C3062" s="96" t="str">
        <f t="shared" si="188"/>
        <v>1284</v>
      </c>
      <c r="D3062" s="73"/>
      <c r="E3062" s="100"/>
      <c r="F3062" s="101"/>
      <c r="G3062" s="96">
        <f t="shared" si="189"/>
        <v>1284</v>
      </c>
      <c r="I3062" s="96"/>
      <c r="K3062" t="str">
        <f t="shared" si="190"/>
        <v>1284</v>
      </c>
      <c r="M3062" s="72"/>
      <c r="O3062" s="96">
        <f t="shared" si="191"/>
        <v>1284</v>
      </c>
      <c r="T3062" s="83"/>
    </row>
    <row r="3063" spans="3:20" x14ac:dyDescent="0.2">
      <c r="C3063" s="96" t="str">
        <f t="shared" si="188"/>
        <v>1285</v>
      </c>
      <c r="D3063" s="73"/>
      <c r="E3063" s="100"/>
      <c r="F3063" s="101"/>
      <c r="G3063" s="96">
        <f t="shared" si="189"/>
        <v>1285</v>
      </c>
      <c r="I3063" s="96"/>
      <c r="K3063" t="str">
        <f t="shared" si="190"/>
        <v>1285</v>
      </c>
      <c r="M3063" s="72"/>
      <c r="O3063" s="96">
        <f t="shared" si="191"/>
        <v>1285</v>
      </c>
      <c r="T3063" s="83"/>
    </row>
    <row r="3064" spans="3:20" x14ac:dyDescent="0.2">
      <c r="C3064" s="96" t="str">
        <f t="shared" si="188"/>
        <v>1286</v>
      </c>
      <c r="D3064" s="73"/>
      <c r="E3064" s="100"/>
      <c r="F3064" s="101"/>
      <c r="G3064" s="96">
        <f t="shared" si="189"/>
        <v>1286</v>
      </c>
      <c r="I3064" s="96"/>
      <c r="K3064" t="str">
        <f t="shared" si="190"/>
        <v>1286</v>
      </c>
      <c r="M3064" s="72"/>
      <c r="O3064" s="96">
        <f t="shared" si="191"/>
        <v>1286</v>
      </c>
      <c r="T3064" s="83"/>
    </row>
    <row r="3065" spans="3:20" x14ac:dyDescent="0.2">
      <c r="C3065" s="96" t="str">
        <f t="shared" si="188"/>
        <v>1287</v>
      </c>
      <c r="D3065" s="73"/>
      <c r="E3065" s="100"/>
      <c r="F3065" s="101"/>
      <c r="G3065" s="96">
        <f t="shared" si="189"/>
        <v>1287</v>
      </c>
      <c r="I3065" s="96"/>
      <c r="K3065" t="str">
        <f t="shared" si="190"/>
        <v>1287</v>
      </c>
      <c r="M3065" s="72"/>
      <c r="O3065" s="96">
        <f t="shared" si="191"/>
        <v>1287</v>
      </c>
      <c r="T3065" s="83"/>
    </row>
    <row r="3066" spans="3:20" x14ac:dyDescent="0.2">
      <c r="C3066" s="96" t="str">
        <f t="shared" si="188"/>
        <v>1288</v>
      </c>
      <c r="D3066" s="73"/>
      <c r="E3066" s="100"/>
      <c r="F3066" s="101"/>
      <c r="G3066" s="96">
        <f t="shared" si="189"/>
        <v>1288</v>
      </c>
      <c r="I3066" s="96"/>
      <c r="K3066" t="str">
        <f t="shared" si="190"/>
        <v>1288</v>
      </c>
      <c r="M3066" s="72"/>
      <c r="O3066" s="96">
        <f t="shared" si="191"/>
        <v>1288</v>
      </c>
      <c r="T3066" s="83"/>
    </row>
    <row r="3067" spans="3:20" x14ac:dyDescent="0.2">
      <c r="C3067" s="96" t="str">
        <f t="shared" si="188"/>
        <v>1289</v>
      </c>
      <c r="D3067" s="73"/>
      <c r="E3067" s="100"/>
      <c r="F3067" s="101"/>
      <c r="G3067" s="96">
        <f t="shared" si="189"/>
        <v>1289</v>
      </c>
      <c r="I3067" s="96"/>
      <c r="K3067" t="str">
        <f t="shared" si="190"/>
        <v>1289</v>
      </c>
      <c r="M3067" s="72"/>
      <c r="O3067" s="96">
        <f t="shared" si="191"/>
        <v>1289</v>
      </c>
      <c r="T3067" s="110"/>
    </row>
    <row r="3068" spans="3:20" x14ac:dyDescent="0.2">
      <c r="C3068" s="96" t="str">
        <f t="shared" si="188"/>
        <v>1290</v>
      </c>
      <c r="D3068" s="73"/>
      <c r="E3068" s="100"/>
      <c r="F3068" s="101"/>
      <c r="G3068" s="96">
        <f t="shared" si="189"/>
        <v>1290</v>
      </c>
      <c r="I3068" s="96"/>
      <c r="K3068" t="str">
        <f t="shared" si="190"/>
        <v>1290</v>
      </c>
      <c r="M3068" s="72"/>
      <c r="O3068" s="96">
        <f t="shared" si="191"/>
        <v>1290</v>
      </c>
      <c r="T3068" s="110"/>
    </row>
    <row r="3069" spans="3:20" x14ac:dyDescent="0.2">
      <c r="C3069" s="96" t="str">
        <f t="shared" si="188"/>
        <v>1291</v>
      </c>
      <c r="D3069" s="73"/>
      <c r="E3069" s="100"/>
      <c r="F3069" s="101"/>
      <c r="G3069" s="96">
        <f t="shared" si="189"/>
        <v>1291</v>
      </c>
      <c r="I3069" s="96"/>
      <c r="K3069" t="str">
        <f t="shared" si="190"/>
        <v>1291</v>
      </c>
      <c r="M3069" s="72"/>
      <c r="O3069" s="96">
        <f t="shared" si="191"/>
        <v>1291</v>
      </c>
      <c r="T3069" s="110"/>
    </row>
    <row r="3070" spans="3:20" x14ac:dyDescent="0.2">
      <c r="C3070" s="96" t="str">
        <f t="shared" si="188"/>
        <v>1292</v>
      </c>
      <c r="D3070" s="73"/>
      <c r="E3070" s="100"/>
      <c r="F3070" s="101"/>
      <c r="G3070" s="96">
        <f t="shared" si="189"/>
        <v>1292</v>
      </c>
      <c r="I3070" s="96"/>
      <c r="K3070" t="str">
        <f t="shared" si="190"/>
        <v>1292</v>
      </c>
      <c r="M3070" s="72"/>
      <c r="O3070" s="96">
        <f t="shared" si="191"/>
        <v>1292</v>
      </c>
      <c r="T3070" s="110"/>
    </row>
    <row r="3071" spans="3:20" x14ac:dyDescent="0.2">
      <c r="C3071" s="96" t="str">
        <f t="shared" si="188"/>
        <v>1293</v>
      </c>
      <c r="D3071" s="73"/>
      <c r="E3071" s="100"/>
      <c r="F3071" s="101"/>
      <c r="G3071" s="96">
        <f t="shared" si="189"/>
        <v>1293</v>
      </c>
      <c r="I3071" s="96"/>
      <c r="K3071" t="str">
        <f t="shared" si="190"/>
        <v>1293</v>
      </c>
      <c r="M3071" s="72"/>
      <c r="O3071" s="96">
        <f t="shared" si="191"/>
        <v>1293</v>
      </c>
      <c r="T3071" s="110"/>
    </row>
    <row r="3072" spans="3:20" x14ac:dyDescent="0.2">
      <c r="C3072" s="96" t="str">
        <f t="shared" si="188"/>
        <v>1294</v>
      </c>
      <c r="D3072" s="73"/>
      <c r="E3072" s="100"/>
      <c r="F3072" s="101"/>
      <c r="G3072" s="96">
        <f t="shared" si="189"/>
        <v>1294</v>
      </c>
      <c r="I3072" s="96"/>
      <c r="K3072" t="str">
        <f t="shared" si="190"/>
        <v>1294</v>
      </c>
      <c r="M3072" s="72"/>
      <c r="O3072" s="96">
        <f t="shared" si="191"/>
        <v>1294</v>
      </c>
      <c r="T3072" s="110"/>
    </row>
    <row r="3073" spans="3:20" x14ac:dyDescent="0.2">
      <c r="C3073" s="96" t="str">
        <f t="shared" si="188"/>
        <v>1295</v>
      </c>
      <c r="D3073" s="73"/>
      <c r="E3073" s="100"/>
      <c r="F3073" s="101"/>
      <c r="G3073" s="96">
        <f t="shared" si="189"/>
        <v>1295</v>
      </c>
      <c r="I3073" s="96"/>
      <c r="K3073" t="str">
        <f t="shared" si="190"/>
        <v>1295</v>
      </c>
      <c r="M3073" s="72"/>
      <c r="O3073" s="96">
        <f t="shared" si="191"/>
        <v>1295</v>
      </c>
      <c r="T3073" s="110"/>
    </row>
    <row r="3074" spans="3:20" x14ac:dyDescent="0.2">
      <c r="C3074" s="96" t="str">
        <f t="shared" si="188"/>
        <v>1296</v>
      </c>
      <c r="D3074" s="73"/>
      <c r="E3074" s="100"/>
      <c r="F3074" s="101"/>
      <c r="G3074" s="96">
        <f t="shared" si="189"/>
        <v>1296</v>
      </c>
      <c r="I3074" s="96"/>
      <c r="K3074" t="str">
        <f t="shared" si="190"/>
        <v>1296</v>
      </c>
      <c r="M3074" s="72"/>
      <c r="O3074" s="96">
        <f t="shared" si="191"/>
        <v>1296</v>
      </c>
      <c r="T3074" s="110"/>
    </row>
    <row r="3075" spans="3:20" x14ac:dyDescent="0.2">
      <c r="C3075" s="96" t="str">
        <f t="shared" ref="C3075:C3138" si="192">D3075&amp;G3075</f>
        <v>1297</v>
      </c>
      <c r="D3075" s="73"/>
      <c r="E3075" s="100"/>
      <c r="F3075" s="101"/>
      <c r="G3075" s="96">
        <f t="shared" ref="G3075:G3138" si="193">IF(D3075&lt;&gt;D3074,1,G3074+1)</f>
        <v>1297</v>
      </c>
      <c r="I3075" s="96"/>
      <c r="K3075" t="str">
        <f t="shared" ref="K3075:K3138" si="194">L3075&amp;O3075</f>
        <v>1297</v>
      </c>
      <c r="M3075" s="72"/>
      <c r="O3075" s="96">
        <f t="shared" ref="O3075:O3138" si="195">IF(L3075&lt;&gt;L3074,1,O3074+1)</f>
        <v>1297</v>
      </c>
      <c r="T3075" s="110"/>
    </row>
    <row r="3076" spans="3:20" x14ac:dyDescent="0.2">
      <c r="C3076" s="96" t="str">
        <f t="shared" si="192"/>
        <v>1298</v>
      </c>
      <c r="D3076" s="73"/>
      <c r="E3076" s="100"/>
      <c r="F3076" s="101"/>
      <c r="G3076" s="96">
        <f t="shared" si="193"/>
        <v>1298</v>
      </c>
      <c r="I3076" s="96"/>
      <c r="K3076" t="str">
        <f t="shared" si="194"/>
        <v>1298</v>
      </c>
      <c r="M3076" s="72"/>
      <c r="O3076" s="96">
        <f t="shared" si="195"/>
        <v>1298</v>
      </c>
      <c r="T3076" s="110"/>
    </row>
    <row r="3077" spans="3:20" x14ac:dyDescent="0.2">
      <c r="C3077" s="96" t="str">
        <f t="shared" si="192"/>
        <v>1299</v>
      </c>
      <c r="D3077" s="73"/>
      <c r="E3077" s="100"/>
      <c r="F3077" s="101"/>
      <c r="G3077" s="96">
        <f t="shared" si="193"/>
        <v>1299</v>
      </c>
      <c r="I3077" s="96"/>
      <c r="K3077" t="str">
        <f t="shared" si="194"/>
        <v>1299</v>
      </c>
      <c r="M3077" s="72"/>
      <c r="O3077" s="96">
        <f t="shared" si="195"/>
        <v>1299</v>
      </c>
      <c r="T3077" s="110"/>
    </row>
    <row r="3078" spans="3:20" x14ac:dyDescent="0.2">
      <c r="C3078" s="96" t="str">
        <f t="shared" si="192"/>
        <v>1300</v>
      </c>
      <c r="D3078" s="73"/>
      <c r="E3078" s="100"/>
      <c r="F3078" s="101"/>
      <c r="G3078" s="96">
        <f t="shared" si="193"/>
        <v>1300</v>
      </c>
      <c r="I3078" s="96"/>
      <c r="K3078" t="str">
        <f t="shared" si="194"/>
        <v>1300</v>
      </c>
      <c r="M3078" s="72"/>
      <c r="O3078" s="96">
        <f t="shared" si="195"/>
        <v>1300</v>
      </c>
      <c r="T3078" s="110"/>
    </row>
    <row r="3079" spans="3:20" x14ac:dyDescent="0.2">
      <c r="C3079" s="96" t="str">
        <f t="shared" si="192"/>
        <v>1301</v>
      </c>
      <c r="D3079" s="73"/>
      <c r="E3079" s="100"/>
      <c r="F3079" s="101"/>
      <c r="G3079" s="96">
        <f t="shared" si="193"/>
        <v>1301</v>
      </c>
      <c r="I3079" s="96"/>
      <c r="K3079" t="str">
        <f t="shared" si="194"/>
        <v>1301</v>
      </c>
      <c r="M3079" s="72"/>
      <c r="O3079" s="96">
        <f t="shared" si="195"/>
        <v>1301</v>
      </c>
      <c r="T3079" s="110"/>
    </row>
    <row r="3080" spans="3:20" x14ac:dyDescent="0.2">
      <c r="C3080" s="96" t="str">
        <f t="shared" si="192"/>
        <v>1302</v>
      </c>
      <c r="D3080" s="73"/>
      <c r="E3080" s="100"/>
      <c r="F3080" s="101"/>
      <c r="G3080" s="96">
        <f t="shared" si="193"/>
        <v>1302</v>
      </c>
      <c r="I3080" s="96"/>
      <c r="K3080" t="str">
        <f t="shared" si="194"/>
        <v>1302</v>
      </c>
      <c r="M3080" s="72"/>
      <c r="O3080" s="96">
        <f t="shared" si="195"/>
        <v>1302</v>
      </c>
      <c r="T3080" s="110"/>
    </row>
    <row r="3081" spans="3:20" x14ac:dyDescent="0.2">
      <c r="C3081" s="96" t="str">
        <f t="shared" si="192"/>
        <v>1303</v>
      </c>
      <c r="D3081" s="73"/>
      <c r="E3081" s="100"/>
      <c r="F3081" s="101"/>
      <c r="G3081" s="96">
        <f t="shared" si="193"/>
        <v>1303</v>
      </c>
      <c r="I3081" s="96"/>
      <c r="K3081" t="str">
        <f t="shared" si="194"/>
        <v>1303</v>
      </c>
      <c r="M3081" s="72"/>
      <c r="O3081" s="96">
        <f t="shared" si="195"/>
        <v>1303</v>
      </c>
      <c r="T3081" s="110"/>
    </row>
    <row r="3082" spans="3:20" x14ac:dyDescent="0.2">
      <c r="C3082" s="96" t="str">
        <f t="shared" si="192"/>
        <v>1304</v>
      </c>
      <c r="D3082" s="73"/>
      <c r="E3082" s="100"/>
      <c r="F3082" s="101"/>
      <c r="G3082" s="96">
        <f t="shared" si="193"/>
        <v>1304</v>
      </c>
      <c r="I3082" s="96"/>
      <c r="K3082" t="str">
        <f t="shared" si="194"/>
        <v>1304</v>
      </c>
      <c r="M3082" s="72"/>
      <c r="O3082" s="96">
        <f t="shared" si="195"/>
        <v>1304</v>
      </c>
      <c r="T3082" s="110"/>
    </row>
    <row r="3083" spans="3:20" x14ac:dyDescent="0.2">
      <c r="C3083" s="96" t="str">
        <f t="shared" si="192"/>
        <v>1305</v>
      </c>
      <c r="D3083" s="73"/>
      <c r="E3083" s="100"/>
      <c r="F3083" s="101"/>
      <c r="G3083" s="96">
        <f t="shared" si="193"/>
        <v>1305</v>
      </c>
      <c r="I3083" s="96"/>
      <c r="K3083" t="str">
        <f t="shared" si="194"/>
        <v>1305</v>
      </c>
      <c r="M3083" s="72"/>
      <c r="O3083" s="96">
        <f t="shared" si="195"/>
        <v>1305</v>
      </c>
      <c r="T3083" s="110"/>
    </row>
    <row r="3084" spans="3:20" x14ac:dyDescent="0.2">
      <c r="C3084" s="96" t="str">
        <f t="shared" si="192"/>
        <v>1306</v>
      </c>
      <c r="D3084" s="73"/>
      <c r="E3084" s="100"/>
      <c r="F3084" s="101"/>
      <c r="G3084" s="96">
        <f t="shared" si="193"/>
        <v>1306</v>
      </c>
      <c r="I3084" s="96"/>
      <c r="K3084" t="str">
        <f t="shared" si="194"/>
        <v>1306</v>
      </c>
      <c r="M3084" s="72"/>
      <c r="O3084" s="96">
        <f t="shared" si="195"/>
        <v>1306</v>
      </c>
      <c r="T3084" s="110"/>
    </row>
    <row r="3085" spans="3:20" x14ac:dyDescent="0.2">
      <c r="C3085" s="96" t="str">
        <f t="shared" si="192"/>
        <v>1307</v>
      </c>
      <c r="D3085" s="73"/>
      <c r="E3085" s="100"/>
      <c r="F3085" s="101"/>
      <c r="G3085" s="96">
        <f t="shared" si="193"/>
        <v>1307</v>
      </c>
      <c r="I3085" s="96"/>
      <c r="K3085" t="str">
        <f t="shared" si="194"/>
        <v>1307</v>
      </c>
      <c r="M3085" s="72"/>
      <c r="O3085" s="96">
        <f t="shared" si="195"/>
        <v>1307</v>
      </c>
      <c r="T3085" s="110"/>
    </row>
    <row r="3086" spans="3:20" x14ac:dyDescent="0.2">
      <c r="C3086" s="96" t="str">
        <f t="shared" si="192"/>
        <v>1308</v>
      </c>
      <c r="D3086" s="73"/>
      <c r="E3086" s="100"/>
      <c r="F3086" s="101"/>
      <c r="G3086" s="96">
        <f t="shared" si="193"/>
        <v>1308</v>
      </c>
      <c r="I3086" s="96"/>
      <c r="K3086" t="str">
        <f t="shared" si="194"/>
        <v>1308</v>
      </c>
      <c r="M3086" s="72"/>
      <c r="O3086" s="96">
        <f t="shared" si="195"/>
        <v>1308</v>
      </c>
      <c r="T3086" s="110"/>
    </row>
    <row r="3087" spans="3:20" x14ac:dyDescent="0.2">
      <c r="C3087" s="96" t="str">
        <f t="shared" si="192"/>
        <v>1309</v>
      </c>
      <c r="D3087" s="73"/>
      <c r="E3087" s="100"/>
      <c r="F3087" s="101"/>
      <c r="G3087" s="96">
        <f t="shared" si="193"/>
        <v>1309</v>
      </c>
      <c r="I3087" s="96"/>
      <c r="K3087" t="str">
        <f t="shared" si="194"/>
        <v>1309</v>
      </c>
      <c r="M3087" s="72"/>
      <c r="O3087" s="96">
        <f t="shared" si="195"/>
        <v>1309</v>
      </c>
      <c r="T3087" s="110"/>
    </row>
    <row r="3088" spans="3:20" x14ac:dyDescent="0.2">
      <c r="C3088" s="96" t="str">
        <f t="shared" si="192"/>
        <v>1310</v>
      </c>
      <c r="D3088" s="73"/>
      <c r="E3088" s="100"/>
      <c r="F3088" s="101"/>
      <c r="G3088" s="96">
        <f t="shared" si="193"/>
        <v>1310</v>
      </c>
      <c r="I3088" s="96"/>
      <c r="K3088" t="str">
        <f t="shared" si="194"/>
        <v>1310</v>
      </c>
      <c r="M3088" s="72"/>
      <c r="O3088" s="96">
        <f t="shared" si="195"/>
        <v>1310</v>
      </c>
      <c r="T3088" s="110"/>
    </row>
    <row r="3089" spans="3:20" x14ac:dyDescent="0.2">
      <c r="C3089" s="96" t="str">
        <f t="shared" si="192"/>
        <v>1311</v>
      </c>
      <c r="D3089" s="73"/>
      <c r="E3089" s="100"/>
      <c r="F3089" s="101"/>
      <c r="G3089" s="96">
        <f t="shared" si="193"/>
        <v>1311</v>
      </c>
      <c r="I3089" s="96"/>
      <c r="K3089" t="str">
        <f t="shared" si="194"/>
        <v>1311</v>
      </c>
      <c r="M3089" s="72"/>
      <c r="O3089" s="96">
        <f t="shared" si="195"/>
        <v>1311</v>
      </c>
      <c r="T3089" s="110"/>
    </row>
    <row r="3090" spans="3:20" x14ac:dyDescent="0.2">
      <c r="C3090" s="96" t="str">
        <f t="shared" si="192"/>
        <v>1312</v>
      </c>
      <c r="D3090" s="73"/>
      <c r="E3090" s="100"/>
      <c r="F3090" s="101"/>
      <c r="G3090" s="96">
        <f t="shared" si="193"/>
        <v>1312</v>
      </c>
      <c r="I3090" s="96"/>
      <c r="K3090" t="str">
        <f t="shared" si="194"/>
        <v>1312</v>
      </c>
      <c r="M3090" s="72"/>
      <c r="O3090" s="96">
        <f t="shared" si="195"/>
        <v>1312</v>
      </c>
      <c r="T3090" s="110"/>
    </row>
    <row r="3091" spans="3:20" x14ac:dyDescent="0.2">
      <c r="C3091" s="96" t="str">
        <f t="shared" si="192"/>
        <v>1313</v>
      </c>
      <c r="D3091" s="73"/>
      <c r="E3091" s="100"/>
      <c r="F3091" s="101"/>
      <c r="G3091" s="96">
        <f t="shared" si="193"/>
        <v>1313</v>
      </c>
      <c r="I3091" s="96"/>
      <c r="K3091" t="str">
        <f t="shared" si="194"/>
        <v>1313</v>
      </c>
      <c r="M3091" s="72"/>
      <c r="O3091" s="96">
        <f t="shared" si="195"/>
        <v>1313</v>
      </c>
      <c r="T3091" s="110"/>
    </row>
    <row r="3092" spans="3:20" x14ac:dyDescent="0.2">
      <c r="C3092" s="96" t="str">
        <f t="shared" si="192"/>
        <v>1314</v>
      </c>
      <c r="D3092" s="73"/>
      <c r="E3092" s="100"/>
      <c r="F3092" s="101"/>
      <c r="G3092" s="96">
        <f t="shared" si="193"/>
        <v>1314</v>
      </c>
      <c r="I3092" s="96"/>
      <c r="K3092" t="str">
        <f t="shared" si="194"/>
        <v>1314</v>
      </c>
      <c r="M3092" s="72"/>
      <c r="O3092" s="96">
        <f t="shared" si="195"/>
        <v>1314</v>
      </c>
      <c r="T3092" s="110"/>
    </row>
    <row r="3093" spans="3:20" x14ac:dyDescent="0.2">
      <c r="C3093" s="96" t="str">
        <f t="shared" si="192"/>
        <v>1315</v>
      </c>
      <c r="D3093" s="73"/>
      <c r="E3093" s="100"/>
      <c r="F3093" s="101"/>
      <c r="G3093" s="96">
        <f t="shared" si="193"/>
        <v>1315</v>
      </c>
      <c r="I3093" s="96"/>
      <c r="K3093" t="str">
        <f t="shared" si="194"/>
        <v>1315</v>
      </c>
      <c r="M3093" s="72"/>
      <c r="O3093" s="96">
        <f t="shared" si="195"/>
        <v>1315</v>
      </c>
      <c r="T3093" s="110"/>
    </row>
    <row r="3094" spans="3:20" x14ac:dyDescent="0.2">
      <c r="C3094" s="96" t="str">
        <f t="shared" si="192"/>
        <v>1316</v>
      </c>
      <c r="D3094" s="73"/>
      <c r="E3094" s="100"/>
      <c r="F3094" s="101"/>
      <c r="G3094" s="96">
        <f t="shared" si="193"/>
        <v>1316</v>
      </c>
      <c r="I3094" s="96"/>
      <c r="K3094" t="str">
        <f t="shared" si="194"/>
        <v>1316</v>
      </c>
      <c r="M3094" s="72"/>
      <c r="O3094" s="96">
        <f t="shared" si="195"/>
        <v>1316</v>
      </c>
      <c r="T3094" s="110"/>
    </row>
    <row r="3095" spans="3:20" x14ac:dyDescent="0.2">
      <c r="C3095" s="96" t="str">
        <f t="shared" si="192"/>
        <v>1317</v>
      </c>
      <c r="D3095" s="73"/>
      <c r="E3095" s="100"/>
      <c r="F3095" s="101"/>
      <c r="G3095" s="96">
        <f t="shared" si="193"/>
        <v>1317</v>
      </c>
      <c r="I3095" s="96"/>
      <c r="K3095" t="str">
        <f t="shared" si="194"/>
        <v>1317</v>
      </c>
      <c r="M3095" s="72"/>
      <c r="O3095" s="96">
        <f t="shared" si="195"/>
        <v>1317</v>
      </c>
      <c r="T3095" s="110"/>
    </row>
    <row r="3096" spans="3:20" x14ac:dyDescent="0.2">
      <c r="C3096" s="96" t="str">
        <f t="shared" si="192"/>
        <v>1318</v>
      </c>
      <c r="D3096" s="73"/>
      <c r="E3096" s="100"/>
      <c r="F3096" s="101"/>
      <c r="G3096" s="96">
        <f t="shared" si="193"/>
        <v>1318</v>
      </c>
      <c r="I3096" s="96"/>
      <c r="K3096" t="str">
        <f t="shared" si="194"/>
        <v>1318</v>
      </c>
      <c r="M3096" s="72"/>
      <c r="O3096" s="96">
        <f t="shared" si="195"/>
        <v>1318</v>
      </c>
      <c r="T3096" s="110"/>
    </row>
    <row r="3097" spans="3:20" x14ac:dyDescent="0.2">
      <c r="C3097" s="96" t="str">
        <f t="shared" si="192"/>
        <v>1319</v>
      </c>
      <c r="D3097" s="73"/>
      <c r="E3097" s="100"/>
      <c r="F3097" s="101"/>
      <c r="G3097" s="96">
        <f t="shared" si="193"/>
        <v>1319</v>
      </c>
      <c r="I3097" s="96"/>
      <c r="K3097" t="str">
        <f t="shared" si="194"/>
        <v>1319</v>
      </c>
      <c r="M3097" s="72"/>
      <c r="O3097" s="96">
        <f t="shared" si="195"/>
        <v>1319</v>
      </c>
      <c r="T3097" s="110"/>
    </row>
    <row r="3098" spans="3:20" x14ac:dyDescent="0.2">
      <c r="C3098" s="96" t="str">
        <f t="shared" si="192"/>
        <v>1320</v>
      </c>
      <c r="D3098" s="73"/>
      <c r="E3098" s="100"/>
      <c r="F3098" s="101"/>
      <c r="G3098" s="96">
        <f t="shared" si="193"/>
        <v>1320</v>
      </c>
      <c r="I3098" s="96"/>
      <c r="K3098" t="str">
        <f t="shared" si="194"/>
        <v>1320</v>
      </c>
      <c r="M3098" s="72"/>
      <c r="O3098" s="96">
        <f t="shared" si="195"/>
        <v>1320</v>
      </c>
      <c r="T3098" s="110"/>
    </row>
    <row r="3099" spans="3:20" x14ac:dyDescent="0.2">
      <c r="C3099" s="96" t="str">
        <f t="shared" si="192"/>
        <v>1321</v>
      </c>
      <c r="D3099" s="73"/>
      <c r="E3099" s="100"/>
      <c r="F3099" s="101"/>
      <c r="G3099" s="96">
        <f t="shared" si="193"/>
        <v>1321</v>
      </c>
      <c r="I3099" s="96"/>
      <c r="K3099" t="str">
        <f t="shared" si="194"/>
        <v>1321</v>
      </c>
      <c r="M3099" s="72"/>
      <c r="O3099" s="96">
        <f t="shared" si="195"/>
        <v>1321</v>
      </c>
      <c r="T3099" s="110"/>
    </row>
    <row r="3100" spans="3:20" x14ac:dyDescent="0.2">
      <c r="C3100" s="96" t="str">
        <f t="shared" si="192"/>
        <v>1322</v>
      </c>
      <c r="D3100" s="73"/>
      <c r="E3100" s="100"/>
      <c r="F3100" s="101"/>
      <c r="G3100" s="96">
        <f t="shared" si="193"/>
        <v>1322</v>
      </c>
      <c r="I3100" s="96"/>
      <c r="K3100" t="str">
        <f t="shared" si="194"/>
        <v>1322</v>
      </c>
      <c r="M3100" s="72"/>
      <c r="O3100" s="96">
        <f t="shared" si="195"/>
        <v>1322</v>
      </c>
      <c r="T3100" s="110"/>
    </row>
    <row r="3101" spans="3:20" x14ac:dyDescent="0.2">
      <c r="C3101" s="96" t="str">
        <f t="shared" si="192"/>
        <v>1323</v>
      </c>
      <c r="D3101" s="73"/>
      <c r="E3101" s="100"/>
      <c r="F3101" s="101"/>
      <c r="G3101" s="96">
        <f t="shared" si="193"/>
        <v>1323</v>
      </c>
      <c r="I3101" s="96"/>
      <c r="K3101" t="str">
        <f t="shared" si="194"/>
        <v>1323</v>
      </c>
      <c r="M3101" s="72"/>
      <c r="O3101" s="96">
        <f t="shared" si="195"/>
        <v>1323</v>
      </c>
      <c r="T3101" s="110"/>
    </row>
    <row r="3102" spans="3:20" x14ac:dyDescent="0.2">
      <c r="C3102" s="96" t="str">
        <f t="shared" si="192"/>
        <v>1324</v>
      </c>
      <c r="D3102" s="73"/>
      <c r="E3102" s="100"/>
      <c r="F3102" s="101"/>
      <c r="G3102" s="96">
        <f t="shared" si="193"/>
        <v>1324</v>
      </c>
      <c r="I3102" s="96"/>
      <c r="K3102" t="str">
        <f t="shared" si="194"/>
        <v>1324</v>
      </c>
      <c r="M3102" s="72"/>
      <c r="O3102" s="96">
        <f t="shared" si="195"/>
        <v>1324</v>
      </c>
      <c r="T3102" s="110"/>
    </row>
    <row r="3103" spans="3:20" x14ac:dyDescent="0.2">
      <c r="C3103" s="96" t="str">
        <f t="shared" si="192"/>
        <v>1325</v>
      </c>
      <c r="D3103" s="73"/>
      <c r="E3103" s="100"/>
      <c r="F3103" s="101"/>
      <c r="G3103" s="96">
        <f t="shared" si="193"/>
        <v>1325</v>
      </c>
      <c r="I3103" s="96"/>
      <c r="K3103" t="str">
        <f t="shared" si="194"/>
        <v>1325</v>
      </c>
      <c r="M3103" s="72"/>
      <c r="O3103" s="96">
        <f t="shared" si="195"/>
        <v>1325</v>
      </c>
      <c r="T3103" s="110"/>
    </row>
    <row r="3104" spans="3:20" x14ac:dyDescent="0.2">
      <c r="C3104" s="96" t="str">
        <f t="shared" si="192"/>
        <v>1326</v>
      </c>
      <c r="D3104" s="73"/>
      <c r="E3104" s="100"/>
      <c r="F3104" s="101"/>
      <c r="G3104" s="96">
        <f t="shared" si="193"/>
        <v>1326</v>
      </c>
      <c r="I3104" s="96"/>
      <c r="K3104" t="str">
        <f t="shared" si="194"/>
        <v>1326</v>
      </c>
      <c r="M3104" s="72"/>
      <c r="O3104" s="96">
        <f t="shared" si="195"/>
        <v>1326</v>
      </c>
      <c r="T3104" s="110"/>
    </row>
    <row r="3105" spans="3:20" x14ac:dyDescent="0.2">
      <c r="C3105" s="96" t="str">
        <f t="shared" si="192"/>
        <v>1327</v>
      </c>
      <c r="D3105" s="73"/>
      <c r="E3105" s="100"/>
      <c r="F3105" s="101"/>
      <c r="G3105" s="96">
        <f t="shared" si="193"/>
        <v>1327</v>
      </c>
      <c r="I3105" s="96"/>
      <c r="K3105" t="str">
        <f t="shared" si="194"/>
        <v>1327</v>
      </c>
      <c r="M3105" s="72"/>
      <c r="O3105" s="96">
        <f t="shared" si="195"/>
        <v>1327</v>
      </c>
      <c r="T3105" s="110"/>
    </row>
    <row r="3106" spans="3:20" x14ac:dyDescent="0.2">
      <c r="C3106" s="96" t="str">
        <f t="shared" si="192"/>
        <v>1328</v>
      </c>
      <c r="D3106" s="73"/>
      <c r="E3106" s="100"/>
      <c r="F3106" s="101"/>
      <c r="G3106" s="96">
        <f t="shared" si="193"/>
        <v>1328</v>
      </c>
      <c r="I3106" s="96"/>
      <c r="K3106" t="str">
        <f t="shared" si="194"/>
        <v>1328</v>
      </c>
      <c r="M3106" s="72"/>
      <c r="O3106" s="96">
        <f t="shared" si="195"/>
        <v>1328</v>
      </c>
      <c r="T3106" s="110"/>
    </row>
    <row r="3107" spans="3:20" x14ac:dyDescent="0.2">
      <c r="C3107" s="96" t="str">
        <f t="shared" si="192"/>
        <v>1329</v>
      </c>
      <c r="D3107" s="73"/>
      <c r="E3107" s="100"/>
      <c r="F3107" s="101"/>
      <c r="G3107" s="96">
        <f t="shared" si="193"/>
        <v>1329</v>
      </c>
      <c r="I3107" s="96"/>
      <c r="K3107" t="str">
        <f t="shared" si="194"/>
        <v>1329</v>
      </c>
      <c r="M3107" s="72"/>
      <c r="O3107" s="96">
        <f t="shared" si="195"/>
        <v>1329</v>
      </c>
      <c r="T3107" s="110"/>
    </row>
    <row r="3108" spans="3:20" x14ac:dyDescent="0.2">
      <c r="C3108" s="96" t="str">
        <f t="shared" si="192"/>
        <v>1330</v>
      </c>
      <c r="D3108" s="73"/>
      <c r="E3108" s="100"/>
      <c r="F3108" s="101"/>
      <c r="G3108" s="96">
        <f t="shared" si="193"/>
        <v>1330</v>
      </c>
      <c r="I3108" s="96"/>
      <c r="K3108" t="str">
        <f t="shared" si="194"/>
        <v>1330</v>
      </c>
      <c r="M3108" s="72"/>
      <c r="O3108" s="96">
        <f t="shared" si="195"/>
        <v>1330</v>
      </c>
      <c r="T3108" s="110"/>
    </row>
    <row r="3109" spans="3:20" x14ac:dyDescent="0.2">
      <c r="C3109" s="96" t="str">
        <f t="shared" si="192"/>
        <v>1331</v>
      </c>
      <c r="D3109" s="73"/>
      <c r="E3109" s="100"/>
      <c r="F3109" s="101"/>
      <c r="G3109" s="96">
        <f t="shared" si="193"/>
        <v>1331</v>
      </c>
      <c r="I3109" s="96"/>
      <c r="K3109" t="str">
        <f t="shared" si="194"/>
        <v>1331</v>
      </c>
      <c r="M3109" s="72"/>
      <c r="O3109" s="96">
        <f t="shared" si="195"/>
        <v>1331</v>
      </c>
      <c r="T3109" s="110"/>
    </row>
    <row r="3110" spans="3:20" x14ac:dyDescent="0.2">
      <c r="C3110" s="96" t="str">
        <f t="shared" si="192"/>
        <v>1332</v>
      </c>
      <c r="D3110" s="73"/>
      <c r="E3110" s="100"/>
      <c r="F3110" s="101"/>
      <c r="G3110" s="96">
        <f t="shared" si="193"/>
        <v>1332</v>
      </c>
      <c r="I3110" s="96"/>
      <c r="K3110" t="str">
        <f t="shared" si="194"/>
        <v>1332</v>
      </c>
      <c r="M3110" s="72"/>
      <c r="O3110" s="96">
        <f t="shared" si="195"/>
        <v>1332</v>
      </c>
      <c r="T3110" s="110"/>
    </row>
    <row r="3111" spans="3:20" x14ac:dyDescent="0.2">
      <c r="C3111" s="96" t="str">
        <f t="shared" si="192"/>
        <v>1333</v>
      </c>
      <c r="D3111" s="73"/>
      <c r="E3111" s="100"/>
      <c r="F3111" s="101"/>
      <c r="G3111" s="96">
        <f t="shared" si="193"/>
        <v>1333</v>
      </c>
      <c r="I3111" s="96"/>
      <c r="K3111" t="str">
        <f t="shared" si="194"/>
        <v>1333</v>
      </c>
      <c r="M3111" s="72"/>
      <c r="O3111" s="96">
        <f t="shared" si="195"/>
        <v>1333</v>
      </c>
      <c r="T3111" s="110"/>
    </row>
    <row r="3112" spans="3:20" x14ac:dyDescent="0.2">
      <c r="C3112" s="96" t="str">
        <f t="shared" si="192"/>
        <v>1334</v>
      </c>
      <c r="D3112" s="73"/>
      <c r="E3112" s="100"/>
      <c r="F3112" s="101"/>
      <c r="G3112" s="96">
        <f t="shared" si="193"/>
        <v>1334</v>
      </c>
      <c r="I3112" s="96"/>
      <c r="K3112" t="str">
        <f t="shared" si="194"/>
        <v>1334</v>
      </c>
      <c r="M3112" s="72"/>
      <c r="O3112" s="96">
        <f t="shared" si="195"/>
        <v>1334</v>
      </c>
      <c r="T3112" s="110"/>
    </row>
    <row r="3113" spans="3:20" x14ac:dyDescent="0.2">
      <c r="C3113" s="96" t="str">
        <f t="shared" si="192"/>
        <v>1335</v>
      </c>
      <c r="D3113" s="73"/>
      <c r="E3113" s="100"/>
      <c r="F3113" s="101"/>
      <c r="G3113" s="96">
        <f t="shared" si="193"/>
        <v>1335</v>
      </c>
      <c r="I3113" s="96"/>
      <c r="K3113" t="str">
        <f t="shared" si="194"/>
        <v>1335</v>
      </c>
      <c r="M3113" s="72"/>
      <c r="O3113" s="96">
        <f t="shared" si="195"/>
        <v>1335</v>
      </c>
      <c r="T3113" s="110"/>
    </row>
    <row r="3114" spans="3:20" x14ac:dyDescent="0.2">
      <c r="C3114" s="96" t="str">
        <f t="shared" si="192"/>
        <v>1336</v>
      </c>
      <c r="D3114" s="73"/>
      <c r="E3114" s="100"/>
      <c r="F3114" s="101"/>
      <c r="G3114" s="96">
        <f t="shared" si="193"/>
        <v>1336</v>
      </c>
      <c r="I3114" s="96"/>
      <c r="K3114" t="str">
        <f t="shared" si="194"/>
        <v>1336</v>
      </c>
      <c r="M3114" s="72"/>
      <c r="O3114" s="96">
        <f t="shared" si="195"/>
        <v>1336</v>
      </c>
      <c r="T3114" s="110"/>
    </row>
    <row r="3115" spans="3:20" x14ac:dyDescent="0.2">
      <c r="C3115" s="96" t="str">
        <f t="shared" si="192"/>
        <v>1337</v>
      </c>
      <c r="D3115" s="73"/>
      <c r="E3115" s="100"/>
      <c r="F3115" s="101"/>
      <c r="G3115" s="96">
        <f t="shared" si="193"/>
        <v>1337</v>
      </c>
      <c r="I3115" s="96"/>
      <c r="K3115" t="str">
        <f t="shared" si="194"/>
        <v>1337</v>
      </c>
      <c r="M3115" s="72"/>
      <c r="O3115" s="96">
        <f t="shared" si="195"/>
        <v>1337</v>
      </c>
      <c r="T3115" s="110"/>
    </row>
    <row r="3116" spans="3:20" x14ac:dyDescent="0.2">
      <c r="C3116" s="96" t="str">
        <f t="shared" si="192"/>
        <v>1338</v>
      </c>
      <c r="D3116" s="73"/>
      <c r="E3116" s="100"/>
      <c r="F3116" s="101"/>
      <c r="G3116" s="96">
        <f t="shared" si="193"/>
        <v>1338</v>
      </c>
      <c r="I3116" s="96"/>
      <c r="K3116" t="str">
        <f t="shared" si="194"/>
        <v>1338</v>
      </c>
      <c r="M3116" s="72"/>
      <c r="O3116" s="96">
        <f t="shared" si="195"/>
        <v>1338</v>
      </c>
      <c r="T3116" s="110"/>
    </row>
    <row r="3117" spans="3:20" x14ac:dyDescent="0.2">
      <c r="C3117" s="96" t="str">
        <f t="shared" si="192"/>
        <v>1339</v>
      </c>
      <c r="D3117" s="73"/>
      <c r="E3117" s="100"/>
      <c r="F3117" s="101"/>
      <c r="G3117" s="96">
        <f t="shared" si="193"/>
        <v>1339</v>
      </c>
      <c r="I3117" s="96"/>
      <c r="K3117" t="str">
        <f t="shared" si="194"/>
        <v>1339</v>
      </c>
      <c r="M3117" s="72"/>
      <c r="O3117" s="96">
        <f t="shared" si="195"/>
        <v>1339</v>
      </c>
      <c r="T3117" s="110"/>
    </row>
    <row r="3118" spans="3:20" x14ac:dyDescent="0.2">
      <c r="C3118" s="96" t="str">
        <f t="shared" si="192"/>
        <v>1340</v>
      </c>
      <c r="D3118" s="73"/>
      <c r="E3118" s="100"/>
      <c r="F3118" s="101"/>
      <c r="G3118" s="96">
        <f t="shared" si="193"/>
        <v>1340</v>
      </c>
      <c r="I3118" s="96"/>
      <c r="K3118" t="str">
        <f t="shared" si="194"/>
        <v>1340</v>
      </c>
      <c r="M3118" s="72"/>
      <c r="O3118" s="96">
        <f t="shared" si="195"/>
        <v>1340</v>
      </c>
      <c r="T3118" s="110"/>
    </row>
    <row r="3119" spans="3:20" x14ac:dyDescent="0.2">
      <c r="C3119" s="96" t="str">
        <f t="shared" si="192"/>
        <v>1341</v>
      </c>
      <c r="D3119" s="73"/>
      <c r="E3119" s="100"/>
      <c r="F3119" s="101"/>
      <c r="G3119" s="96">
        <f t="shared" si="193"/>
        <v>1341</v>
      </c>
      <c r="I3119" s="96"/>
      <c r="K3119" t="str">
        <f t="shared" si="194"/>
        <v>1341</v>
      </c>
      <c r="M3119" s="72"/>
      <c r="O3119" s="96">
        <f t="shared" si="195"/>
        <v>1341</v>
      </c>
      <c r="T3119" s="110"/>
    </row>
    <row r="3120" spans="3:20" x14ac:dyDescent="0.2">
      <c r="C3120" s="96" t="str">
        <f t="shared" si="192"/>
        <v>1342</v>
      </c>
      <c r="D3120" s="73"/>
      <c r="E3120" s="100"/>
      <c r="F3120" s="101"/>
      <c r="G3120" s="96">
        <f t="shared" si="193"/>
        <v>1342</v>
      </c>
      <c r="I3120" s="96"/>
      <c r="K3120" t="str">
        <f t="shared" si="194"/>
        <v>1342</v>
      </c>
      <c r="M3120" s="72"/>
      <c r="O3120" s="96">
        <f t="shared" si="195"/>
        <v>1342</v>
      </c>
      <c r="T3120" s="110"/>
    </row>
    <row r="3121" spans="3:20" x14ac:dyDescent="0.2">
      <c r="C3121" s="96" t="str">
        <f t="shared" si="192"/>
        <v>1343</v>
      </c>
      <c r="D3121" s="73"/>
      <c r="E3121" s="100"/>
      <c r="F3121" s="101"/>
      <c r="G3121" s="96">
        <f t="shared" si="193"/>
        <v>1343</v>
      </c>
      <c r="I3121" s="96"/>
      <c r="K3121" t="str">
        <f t="shared" si="194"/>
        <v>1343</v>
      </c>
      <c r="M3121" s="72"/>
      <c r="O3121" s="96">
        <f t="shared" si="195"/>
        <v>1343</v>
      </c>
      <c r="T3121" s="110"/>
    </row>
    <row r="3122" spans="3:20" x14ac:dyDescent="0.2">
      <c r="C3122" s="96" t="str">
        <f t="shared" si="192"/>
        <v>1344</v>
      </c>
      <c r="D3122" s="73"/>
      <c r="E3122" s="100"/>
      <c r="F3122" s="101"/>
      <c r="G3122" s="96">
        <f t="shared" si="193"/>
        <v>1344</v>
      </c>
      <c r="I3122" s="96"/>
      <c r="K3122" t="str">
        <f t="shared" si="194"/>
        <v>1344</v>
      </c>
      <c r="M3122" s="72"/>
      <c r="O3122" s="96">
        <f t="shared" si="195"/>
        <v>1344</v>
      </c>
      <c r="T3122" s="110"/>
    </row>
    <row r="3123" spans="3:20" x14ac:dyDescent="0.2">
      <c r="C3123" s="96" t="str">
        <f t="shared" si="192"/>
        <v>1345</v>
      </c>
      <c r="D3123" s="73"/>
      <c r="E3123" s="100"/>
      <c r="F3123" s="101"/>
      <c r="G3123" s="96">
        <f t="shared" si="193"/>
        <v>1345</v>
      </c>
      <c r="I3123" s="96"/>
      <c r="K3123" t="str">
        <f t="shared" si="194"/>
        <v>1345</v>
      </c>
      <c r="M3123" s="72"/>
      <c r="O3123" s="96">
        <f t="shared" si="195"/>
        <v>1345</v>
      </c>
      <c r="T3123" s="110"/>
    </row>
    <row r="3124" spans="3:20" x14ac:dyDescent="0.2">
      <c r="C3124" s="96" t="str">
        <f t="shared" si="192"/>
        <v>1346</v>
      </c>
      <c r="D3124" s="73"/>
      <c r="E3124" s="100"/>
      <c r="F3124" s="101"/>
      <c r="G3124" s="96">
        <f t="shared" si="193"/>
        <v>1346</v>
      </c>
      <c r="I3124" s="96"/>
      <c r="K3124" t="str">
        <f t="shared" si="194"/>
        <v>1346</v>
      </c>
      <c r="M3124" s="72"/>
      <c r="O3124" s="96">
        <f t="shared" si="195"/>
        <v>1346</v>
      </c>
      <c r="T3124" s="110"/>
    </row>
    <row r="3125" spans="3:20" x14ac:dyDescent="0.2">
      <c r="C3125" s="96" t="str">
        <f t="shared" si="192"/>
        <v>1347</v>
      </c>
      <c r="D3125" s="73"/>
      <c r="E3125" s="100"/>
      <c r="F3125" s="101"/>
      <c r="G3125" s="96">
        <f t="shared" si="193"/>
        <v>1347</v>
      </c>
      <c r="I3125" s="96"/>
      <c r="K3125" t="str">
        <f t="shared" si="194"/>
        <v>1347</v>
      </c>
      <c r="M3125" s="72"/>
      <c r="O3125" s="96">
        <f t="shared" si="195"/>
        <v>1347</v>
      </c>
      <c r="T3125" s="110"/>
    </row>
    <row r="3126" spans="3:20" x14ac:dyDescent="0.2">
      <c r="C3126" s="96" t="str">
        <f t="shared" si="192"/>
        <v>1348</v>
      </c>
      <c r="D3126" s="73"/>
      <c r="E3126" s="100"/>
      <c r="F3126" s="101"/>
      <c r="G3126" s="96">
        <f t="shared" si="193"/>
        <v>1348</v>
      </c>
      <c r="I3126" s="96"/>
      <c r="K3126" t="str">
        <f t="shared" si="194"/>
        <v>1348</v>
      </c>
      <c r="M3126" s="72"/>
      <c r="O3126" s="96">
        <f t="shared" si="195"/>
        <v>1348</v>
      </c>
      <c r="T3126" s="110"/>
    </row>
    <row r="3127" spans="3:20" x14ac:dyDescent="0.2">
      <c r="C3127" s="96" t="str">
        <f t="shared" si="192"/>
        <v>1349</v>
      </c>
      <c r="D3127" s="73"/>
      <c r="E3127" s="100"/>
      <c r="F3127" s="101"/>
      <c r="G3127" s="96">
        <f t="shared" si="193"/>
        <v>1349</v>
      </c>
      <c r="I3127" s="96"/>
      <c r="K3127" t="str">
        <f t="shared" si="194"/>
        <v>1349</v>
      </c>
      <c r="M3127" s="72"/>
      <c r="O3127" s="96">
        <f t="shared" si="195"/>
        <v>1349</v>
      </c>
      <c r="T3127" s="110"/>
    </row>
    <row r="3128" spans="3:20" x14ac:dyDescent="0.2">
      <c r="C3128" s="96" t="str">
        <f t="shared" si="192"/>
        <v>1350</v>
      </c>
      <c r="D3128" s="73"/>
      <c r="E3128" s="100"/>
      <c r="F3128" s="101"/>
      <c r="G3128" s="96">
        <f t="shared" si="193"/>
        <v>1350</v>
      </c>
      <c r="I3128" s="96"/>
      <c r="K3128" t="str">
        <f t="shared" si="194"/>
        <v>1350</v>
      </c>
      <c r="M3128" s="72"/>
      <c r="O3128" s="96">
        <f t="shared" si="195"/>
        <v>1350</v>
      </c>
      <c r="T3128" s="110"/>
    </row>
    <row r="3129" spans="3:20" x14ac:dyDescent="0.2">
      <c r="C3129" s="96" t="str">
        <f t="shared" si="192"/>
        <v>1351</v>
      </c>
      <c r="D3129" s="73"/>
      <c r="E3129" s="100"/>
      <c r="F3129" s="101"/>
      <c r="G3129" s="96">
        <f t="shared" si="193"/>
        <v>1351</v>
      </c>
      <c r="I3129" s="96"/>
      <c r="K3129" t="str">
        <f t="shared" si="194"/>
        <v>1351</v>
      </c>
      <c r="M3129" s="72"/>
      <c r="O3129" s="96">
        <f t="shared" si="195"/>
        <v>1351</v>
      </c>
      <c r="T3129" s="110"/>
    </row>
    <row r="3130" spans="3:20" x14ac:dyDescent="0.2">
      <c r="C3130" s="96" t="str">
        <f t="shared" si="192"/>
        <v>1352</v>
      </c>
      <c r="D3130" s="73"/>
      <c r="E3130" s="100"/>
      <c r="F3130" s="101"/>
      <c r="G3130" s="96">
        <f t="shared" si="193"/>
        <v>1352</v>
      </c>
      <c r="I3130" s="96"/>
      <c r="K3130" t="str">
        <f t="shared" si="194"/>
        <v>1352</v>
      </c>
      <c r="M3130" s="72"/>
      <c r="O3130" s="96">
        <f t="shared" si="195"/>
        <v>1352</v>
      </c>
      <c r="T3130" s="110"/>
    </row>
    <row r="3131" spans="3:20" x14ac:dyDescent="0.2">
      <c r="C3131" s="96" t="str">
        <f t="shared" si="192"/>
        <v>1353</v>
      </c>
      <c r="D3131" s="73"/>
      <c r="E3131" s="100"/>
      <c r="F3131" s="101"/>
      <c r="G3131" s="96">
        <f t="shared" si="193"/>
        <v>1353</v>
      </c>
      <c r="I3131" s="96"/>
      <c r="K3131" t="str">
        <f t="shared" si="194"/>
        <v>1353</v>
      </c>
      <c r="M3131" s="72"/>
      <c r="O3131" s="96">
        <f t="shared" si="195"/>
        <v>1353</v>
      </c>
      <c r="T3131" s="110"/>
    </row>
    <row r="3132" spans="3:20" x14ac:dyDescent="0.2">
      <c r="C3132" s="96" t="str">
        <f t="shared" si="192"/>
        <v>1354</v>
      </c>
      <c r="D3132" s="73"/>
      <c r="E3132" s="100"/>
      <c r="F3132" s="101"/>
      <c r="G3132" s="96">
        <f t="shared" si="193"/>
        <v>1354</v>
      </c>
      <c r="I3132" s="96"/>
      <c r="K3132" t="str">
        <f t="shared" si="194"/>
        <v>1354</v>
      </c>
      <c r="M3132" s="72"/>
      <c r="O3132" s="96">
        <f t="shared" si="195"/>
        <v>1354</v>
      </c>
      <c r="T3132" s="110"/>
    </row>
    <row r="3133" spans="3:20" x14ac:dyDescent="0.2">
      <c r="C3133" s="96" t="str">
        <f t="shared" si="192"/>
        <v>1355</v>
      </c>
      <c r="D3133" s="73"/>
      <c r="E3133" s="100"/>
      <c r="F3133" s="101"/>
      <c r="G3133" s="96">
        <f t="shared" si="193"/>
        <v>1355</v>
      </c>
      <c r="I3133" s="96"/>
      <c r="K3133" t="str">
        <f t="shared" si="194"/>
        <v>1355</v>
      </c>
      <c r="M3133" s="72"/>
      <c r="O3133" s="96">
        <f t="shared" si="195"/>
        <v>1355</v>
      </c>
      <c r="T3133" s="110"/>
    </row>
    <row r="3134" spans="3:20" x14ac:dyDescent="0.2">
      <c r="C3134" s="96" t="str">
        <f t="shared" si="192"/>
        <v>1356</v>
      </c>
      <c r="D3134" s="73"/>
      <c r="E3134" s="100"/>
      <c r="F3134" s="101"/>
      <c r="G3134" s="96">
        <f t="shared" si="193"/>
        <v>1356</v>
      </c>
      <c r="I3134" s="96"/>
      <c r="K3134" t="str">
        <f t="shared" si="194"/>
        <v>1356</v>
      </c>
      <c r="M3134" s="72"/>
      <c r="O3134" s="96">
        <f t="shared" si="195"/>
        <v>1356</v>
      </c>
      <c r="T3134" s="110"/>
    </row>
    <row r="3135" spans="3:20" x14ac:dyDescent="0.2">
      <c r="C3135" s="96" t="str">
        <f t="shared" si="192"/>
        <v>1357</v>
      </c>
      <c r="D3135" s="73"/>
      <c r="E3135" s="100"/>
      <c r="F3135" s="101"/>
      <c r="G3135" s="96">
        <f t="shared" si="193"/>
        <v>1357</v>
      </c>
      <c r="I3135" s="96"/>
      <c r="K3135" t="str">
        <f t="shared" si="194"/>
        <v>1357</v>
      </c>
      <c r="M3135" s="72"/>
      <c r="O3135" s="96">
        <f t="shared" si="195"/>
        <v>1357</v>
      </c>
      <c r="T3135" s="110"/>
    </row>
    <row r="3136" spans="3:20" x14ac:dyDescent="0.2">
      <c r="C3136" s="96" t="str">
        <f t="shared" si="192"/>
        <v>1358</v>
      </c>
      <c r="D3136" s="73"/>
      <c r="E3136" s="100"/>
      <c r="F3136" s="101"/>
      <c r="G3136" s="96">
        <f t="shared" si="193"/>
        <v>1358</v>
      </c>
      <c r="I3136" s="96"/>
      <c r="K3136" t="str">
        <f t="shared" si="194"/>
        <v>1358</v>
      </c>
      <c r="M3136" s="72"/>
      <c r="O3136" s="96">
        <f t="shared" si="195"/>
        <v>1358</v>
      </c>
      <c r="T3136" s="110"/>
    </row>
    <row r="3137" spans="3:20" x14ac:dyDescent="0.2">
      <c r="C3137" s="96" t="str">
        <f t="shared" si="192"/>
        <v>1359</v>
      </c>
      <c r="D3137" s="73"/>
      <c r="E3137" s="100"/>
      <c r="F3137" s="101"/>
      <c r="G3137" s="96">
        <f t="shared" si="193"/>
        <v>1359</v>
      </c>
      <c r="I3137" s="96"/>
      <c r="K3137" t="str">
        <f t="shared" si="194"/>
        <v>1359</v>
      </c>
      <c r="M3137" s="72"/>
      <c r="O3137" s="96">
        <f t="shared" si="195"/>
        <v>1359</v>
      </c>
      <c r="T3137" s="110"/>
    </row>
    <row r="3138" spans="3:20" x14ac:dyDescent="0.2">
      <c r="C3138" s="96" t="str">
        <f t="shared" si="192"/>
        <v>1360</v>
      </c>
      <c r="D3138" s="73"/>
      <c r="E3138" s="100"/>
      <c r="F3138" s="101"/>
      <c r="G3138" s="96">
        <f t="shared" si="193"/>
        <v>1360</v>
      </c>
      <c r="I3138" s="96"/>
      <c r="K3138" t="str">
        <f t="shared" si="194"/>
        <v>1360</v>
      </c>
      <c r="M3138" s="72"/>
      <c r="O3138" s="96">
        <f t="shared" si="195"/>
        <v>1360</v>
      </c>
      <c r="T3138" s="110"/>
    </row>
    <row r="3139" spans="3:20" x14ac:dyDescent="0.2">
      <c r="C3139" s="96" t="str">
        <f t="shared" ref="C3139:C3202" si="196">D3139&amp;G3139</f>
        <v>1361</v>
      </c>
      <c r="D3139" s="73"/>
      <c r="E3139" s="100"/>
      <c r="F3139" s="101"/>
      <c r="G3139" s="96">
        <f t="shared" ref="G3139:G3202" si="197">IF(D3139&lt;&gt;D3138,1,G3138+1)</f>
        <v>1361</v>
      </c>
      <c r="I3139" s="96"/>
      <c r="K3139" t="str">
        <f t="shared" ref="K3139:K3202" si="198">L3139&amp;O3139</f>
        <v>1361</v>
      </c>
      <c r="M3139" s="72"/>
      <c r="O3139" s="96">
        <f t="shared" ref="O3139:O3202" si="199">IF(L3139&lt;&gt;L3138,1,O3138+1)</f>
        <v>1361</v>
      </c>
      <c r="T3139" s="110"/>
    </row>
    <row r="3140" spans="3:20" x14ac:dyDescent="0.2">
      <c r="C3140" s="96" t="str">
        <f t="shared" si="196"/>
        <v>1362</v>
      </c>
      <c r="D3140" s="73"/>
      <c r="E3140" s="100"/>
      <c r="F3140" s="101"/>
      <c r="G3140" s="96">
        <f t="shared" si="197"/>
        <v>1362</v>
      </c>
      <c r="I3140" s="96"/>
      <c r="K3140" t="str">
        <f t="shared" si="198"/>
        <v>1362</v>
      </c>
      <c r="M3140" s="72"/>
      <c r="O3140" s="96">
        <f t="shared" si="199"/>
        <v>1362</v>
      </c>
      <c r="T3140" s="110"/>
    </row>
    <row r="3141" spans="3:20" x14ac:dyDescent="0.2">
      <c r="C3141" s="96" t="str">
        <f t="shared" si="196"/>
        <v>1363</v>
      </c>
      <c r="D3141" s="73"/>
      <c r="E3141" s="100"/>
      <c r="F3141" s="101"/>
      <c r="G3141" s="96">
        <f t="shared" si="197"/>
        <v>1363</v>
      </c>
      <c r="I3141" s="96"/>
      <c r="K3141" t="str">
        <f t="shared" si="198"/>
        <v>1363</v>
      </c>
      <c r="M3141" s="72"/>
      <c r="O3141" s="96">
        <f t="shared" si="199"/>
        <v>1363</v>
      </c>
      <c r="T3141" s="83"/>
    </row>
    <row r="3142" spans="3:20" x14ac:dyDescent="0.2">
      <c r="C3142" s="96" t="str">
        <f t="shared" si="196"/>
        <v>1364</v>
      </c>
      <c r="D3142" s="73"/>
      <c r="E3142" s="100"/>
      <c r="F3142" s="101"/>
      <c r="G3142" s="96">
        <f t="shared" si="197"/>
        <v>1364</v>
      </c>
      <c r="I3142" s="96"/>
      <c r="K3142" t="str">
        <f t="shared" si="198"/>
        <v>1364</v>
      </c>
      <c r="M3142" s="72"/>
      <c r="O3142" s="96">
        <f t="shared" si="199"/>
        <v>1364</v>
      </c>
      <c r="T3142" s="110"/>
    </row>
    <row r="3143" spans="3:20" x14ac:dyDescent="0.2">
      <c r="C3143" s="96" t="str">
        <f t="shared" si="196"/>
        <v>1365</v>
      </c>
      <c r="D3143" s="73"/>
      <c r="E3143" s="100"/>
      <c r="F3143" s="101"/>
      <c r="G3143" s="96">
        <f t="shared" si="197"/>
        <v>1365</v>
      </c>
      <c r="I3143" s="96"/>
      <c r="K3143" t="str">
        <f t="shared" si="198"/>
        <v>1365</v>
      </c>
      <c r="M3143" s="72"/>
      <c r="O3143" s="96">
        <f t="shared" si="199"/>
        <v>1365</v>
      </c>
      <c r="T3143" s="110"/>
    </row>
    <row r="3144" spans="3:20" x14ac:dyDescent="0.2">
      <c r="C3144" s="96" t="str">
        <f t="shared" si="196"/>
        <v>1366</v>
      </c>
      <c r="D3144" s="73"/>
      <c r="E3144" s="100"/>
      <c r="F3144" s="101"/>
      <c r="G3144" s="96">
        <f t="shared" si="197"/>
        <v>1366</v>
      </c>
      <c r="I3144" s="96"/>
      <c r="K3144" t="str">
        <f t="shared" si="198"/>
        <v>1366</v>
      </c>
      <c r="M3144" s="72"/>
      <c r="O3144" s="96">
        <f t="shared" si="199"/>
        <v>1366</v>
      </c>
      <c r="T3144" s="110"/>
    </row>
    <row r="3145" spans="3:20" x14ac:dyDescent="0.2">
      <c r="C3145" s="96" t="str">
        <f t="shared" si="196"/>
        <v>1367</v>
      </c>
      <c r="D3145" s="73"/>
      <c r="E3145" s="100"/>
      <c r="F3145" s="101"/>
      <c r="G3145" s="96">
        <f t="shared" si="197"/>
        <v>1367</v>
      </c>
      <c r="I3145" s="96"/>
      <c r="K3145" t="str">
        <f t="shared" si="198"/>
        <v>1367</v>
      </c>
      <c r="M3145" s="72"/>
      <c r="O3145" s="96">
        <f t="shared" si="199"/>
        <v>1367</v>
      </c>
      <c r="T3145" s="110"/>
    </row>
    <row r="3146" spans="3:20" x14ac:dyDescent="0.2">
      <c r="C3146" s="96" t="str">
        <f t="shared" si="196"/>
        <v>1368</v>
      </c>
      <c r="D3146" s="73"/>
      <c r="E3146" s="100"/>
      <c r="F3146" s="101"/>
      <c r="G3146" s="96">
        <f t="shared" si="197"/>
        <v>1368</v>
      </c>
      <c r="I3146" s="96"/>
      <c r="K3146" t="str">
        <f t="shared" si="198"/>
        <v>1368</v>
      </c>
      <c r="M3146" s="72"/>
      <c r="O3146" s="96">
        <f t="shared" si="199"/>
        <v>1368</v>
      </c>
      <c r="T3146" s="110"/>
    </row>
    <row r="3147" spans="3:20" x14ac:dyDescent="0.2">
      <c r="C3147" s="96" t="str">
        <f t="shared" si="196"/>
        <v>1369</v>
      </c>
      <c r="D3147" s="73"/>
      <c r="E3147" s="100"/>
      <c r="F3147" s="101"/>
      <c r="G3147" s="96">
        <f t="shared" si="197"/>
        <v>1369</v>
      </c>
      <c r="I3147" s="96"/>
      <c r="K3147" t="str">
        <f t="shared" si="198"/>
        <v>1369</v>
      </c>
      <c r="M3147" s="72"/>
      <c r="O3147" s="96">
        <f t="shared" si="199"/>
        <v>1369</v>
      </c>
      <c r="T3147" s="110"/>
    </row>
    <row r="3148" spans="3:20" x14ac:dyDescent="0.2">
      <c r="C3148" s="96" t="str">
        <f t="shared" si="196"/>
        <v>1370</v>
      </c>
      <c r="D3148" s="73"/>
      <c r="E3148" s="100"/>
      <c r="F3148" s="101"/>
      <c r="G3148" s="96">
        <f t="shared" si="197"/>
        <v>1370</v>
      </c>
      <c r="I3148" s="96"/>
      <c r="K3148" t="str">
        <f t="shared" si="198"/>
        <v>1370</v>
      </c>
      <c r="M3148" s="72"/>
      <c r="O3148" s="96">
        <f t="shared" si="199"/>
        <v>1370</v>
      </c>
      <c r="T3148" s="110"/>
    </row>
    <row r="3149" spans="3:20" x14ac:dyDescent="0.2">
      <c r="C3149" s="96" t="str">
        <f t="shared" si="196"/>
        <v>1371</v>
      </c>
      <c r="D3149" s="73"/>
      <c r="E3149" s="100"/>
      <c r="F3149" s="101"/>
      <c r="G3149" s="96">
        <f t="shared" si="197"/>
        <v>1371</v>
      </c>
      <c r="I3149" s="96"/>
      <c r="K3149" t="str">
        <f t="shared" si="198"/>
        <v>1371</v>
      </c>
      <c r="M3149" s="72"/>
      <c r="O3149" s="96">
        <f t="shared" si="199"/>
        <v>1371</v>
      </c>
      <c r="T3149" s="110"/>
    </row>
    <row r="3150" spans="3:20" x14ac:dyDescent="0.2">
      <c r="C3150" s="96" t="str">
        <f t="shared" si="196"/>
        <v>1372</v>
      </c>
      <c r="D3150" s="73"/>
      <c r="E3150" s="100"/>
      <c r="F3150" s="101"/>
      <c r="G3150" s="96">
        <f t="shared" si="197"/>
        <v>1372</v>
      </c>
      <c r="I3150" s="96"/>
      <c r="K3150" t="str">
        <f t="shared" si="198"/>
        <v>1372</v>
      </c>
      <c r="M3150" s="72"/>
      <c r="O3150" s="96">
        <f t="shared" si="199"/>
        <v>1372</v>
      </c>
      <c r="T3150" s="110"/>
    </row>
    <row r="3151" spans="3:20" x14ac:dyDescent="0.2">
      <c r="C3151" s="96" t="str">
        <f t="shared" si="196"/>
        <v>1373</v>
      </c>
      <c r="D3151" s="73"/>
      <c r="E3151" s="100"/>
      <c r="F3151" s="101"/>
      <c r="G3151" s="96">
        <f t="shared" si="197"/>
        <v>1373</v>
      </c>
      <c r="I3151" s="96"/>
      <c r="K3151" t="str">
        <f t="shared" si="198"/>
        <v>1373</v>
      </c>
      <c r="M3151" s="72"/>
      <c r="O3151" s="96">
        <f t="shared" si="199"/>
        <v>1373</v>
      </c>
      <c r="T3151" s="110"/>
    </row>
    <row r="3152" spans="3:20" x14ac:dyDescent="0.2">
      <c r="C3152" s="96" t="str">
        <f t="shared" si="196"/>
        <v>1374</v>
      </c>
      <c r="D3152" s="73"/>
      <c r="E3152" s="100"/>
      <c r="F3152" s="101"/>
      <c r="G3152" s="96">
        <f t="shared" si="197"/>
        <v>1374</v>
      </c>
      <c r="I3152" s="96"/>
      <c r="K3152" t="str">
        <f t="shared" si="198"/>
        <v>1374</v>
      </c>
      <c r="M3152" s="72"/>
      <c r="O3152" s="96">
        <f t="shared" si="199"/>
        <v>1374</v>
      </c>
      <c r="T3152" s="110"/>
    </row>
    <row r="3153" spans="3:20" x14ac:dyDescent="0.2">
      <c r="C3153" s="96" t="str">
        <f t="shared" si="196"/>
        <v>1375</v>
      </c>
      <c r="D3153" s="73"/>
      <c r="E3153" s="100"/>
      <c r="F3153" s="101"/>
      <c r="G3153" s="96">
        <f t="shared" si="197"/>
        <v>1375</v>
      </c>
      <c r="I3153" s="96"/>
      <c r="K3153" t="str">
        <f t="shared" si="198"/>
        <v>1375</v>
      </c>
      <c r="M3153" s="72"/>
      <c r="O3153" s="96">
        <f t="shared" si="199"/>
        <v>1375</v>
      </c>
      <c r="T3153" s="110"/>
    </row>
    <row r="3154" spans="3:20" x14ac:dyDescent="0.2">
      <c r="C3154" s="96" t="str">
        <f t="shared" si="196"/>
        <v>1376</v>
      </c>
      <c r="D3154" s="73"/>
      <c r="E3154" s="100"/>
      <c r="F3154" s="101"/>
      <c r="G3154" s="96">
        <f t="shared" si="197"/>
        <v>1376</v>
      </c>
      <c r="I3154" s="96"/>
      <c r="K3154" t="str">
        <f t="shared" si="198"/>
        <v>1376</v>
      </c>
      <c r="M3154" s="72"/>
      <c r="O3154" s="96">
        <f t="shared" si="199"/>
        <v>1376</v>
      </c>
      <c r="T3154" s="110"/>
    </row>
    <row r="3155" spans="3:20" x14ac:dyDescent="0.2">
      <c r="C3155" s="96" t="str">
        <f t="shared" si="196"/>
        <v>1377</v>
      </c>
      <c r="D3155" s="73"/>
      <c r="E3155" s="100"/>
      <c r="F3155" s="101"/>
      <c r="G3155" s="96">
        <f t="shared" si="197"/>
        <v>1377</v>
      </c>
      <c r="I3155" s="96"/>
      <c r="K3155" t="str">
        <f t="shared" si="198"/>
        <v>1377</v>
      </c>
      <c r="M3155" s="72"/>
      <c r="O3155" s="96">
        <f t="shared" si="199"/>
        <v>1377</v>
      </c>
      <c r="T3155" s="110"/>
    </row>
    <row r="3156" spans="3:20" x14ac:dyDescent="0.2">
      <c r="C3156" s="96" t="str">
        <f t="shared" si="196"/>
        <v>1378</v>
      </c>
      <c r="D3156" s="73"/>
      <c r="E3156" s="100"/>
      <c r="F3156" s="101"/>
      <c r="G3156" s="96">
        <f t="shared" si="197"/>
        <v>1378</v>
      </c>
      <c r="I3156" s="96"/>
      <c r="K3156" t="str">
        <f t="shared" si="198"/>
        <v>1378</v>
      </c>
      <c r="M3156" s="72"/>
      <c r="O3156" s="96">
        <f t="shared" si="199"/>
        <v>1378</v>
      </c>
      <c r="T3156" s="110"/>
    </row>
    <row r="3157" spans="3:20" x14ac:dyDescent="0.2">
      <c r="C3157" s="96" t="str">
        <f t="shared" si="196"/>
        <v>1379</v>
      </c>
      <c r="D3157" s="73"/>
      <c r="E3157" s="100"/>
      <c r="F3157" s="101"/>
      <c r="G3157" s="96">
        <f t="shared" si="197"/>
        <v>1379</v>
      </c>
      <c r="I3157" s="96"/>
      <c r="K3157" t="str">
        <f t="shared" si="198"/>
        <v>1379</v>
      </c>
      <c r="M3157" s="72"/>
      <c r="O3157" s="96">
        <f t="shared" si="199"/>
        <v>1379</v>
      </c>
      <c r="T3157" s="110"/>
    </row>
    <row r="3158" spans="3:20" x14ac:dyDescent="0.2">
      <c r="C3158" s="96" t="str">
        <f t="shared" si="196"/>
        <v>1380</v>
      </c>
      <c r="D3158" s="73"/>
      <c r="E3158" s="100"/>
      <c r="F3158" s="101"/>
      <c r="G3158" s="96">
        <f t="shared" si="197"/>
        <v>1380</v>
      </c>
      <c r="I3158" s="96"/>
      <c r="K3158" t="str">
        <f t="shared" si="198"/>
        <v>1380</v>
      </c>
      <c r="M3158" s="72"/>
      <c r="O3158" s="96">
        <f t="shared" si="199"/>
        <v>1380</v>
      </c>
      <c r="T3158" s="110"/>
    </row>
    <row r="3159" spans="3:20" x14ac:dyDescent="0.2">
      <c r="C3159" s="96" t="str">
        <f t="shared" si="196"/>
        <v>1381</v>
      </c>
      <c r="D3159" s="73"/>
      <c r="E3159" s="100"/>
      <c r="F3159" s="101"/>
      <c r="G3159" s="96">
        <f t="shared" si="197"/>
        <v>1381</v>
      </c>
      <c r="I3159" s="96"/>
      <c r="K3159" t="str">
        <f t="shared" si="198"/>
        <v>1381</v>
      </c>
      <c r="M3159" s="72"/>
      <c r="O3159" s="96">
        <f t="shared" si="199"/>
        <v>1381</v>
      </c>
      <c r="T3159" s="110"/>
    </row>
    <row r="3160" spans="3:20" x14ac:dyDescent="0.2">
      <c r="C3160" s="96" t="str">
        <f t="shared" si="196"/>
        <v>1382</v>
      </c>
      <c r="D3160" s="73"/>
      <c r="E3160" s="100"/>
      <c r="F3160" s="101"/>
      <c r="G3160" s="96">
        <f t="shared" si="197"/>
        <v>1382</v>
      </c>
      <c r="I3160" s="96"/>
      <c r="K3160" t="str">
        <f t="shared" si="198"/>
        <v>1382</v>
      </c>
      <c r="M3160" s="72"/>
      <c r="O3160" s="96">
        <f t="shared" si="199"/>
        <v>1382</v>
      </c>
      <c r="T3160" s="110"/>
    </row>
    <row r="3161" spans="3:20" x14ac:dyDescent="0.2">
      <c r="C3161" s="96" t="str">
        <f t="shared" si="196"/>
        <v>1383</v>
      </c>
      <c r="D3161" s="73"/>
      <c r="E3161" s="100"/>
      <c r="F3161" s="101"/>
      <c r="G3161" s="96">
        <f t="shared" si="197"/>
        <v>1383</v>
      </c>
      <c r="I3161" s="96"/>
      <c r="K3161" t="str">
        <f t="shared" si="198"/>
        <v>1383</v>
      </c>
      <c r="M3161" s="72"/>
      <c r="O3161" s="96">
        <f t="shared" si="199"/>
        <v>1383</v>
      </c>
      <c r="T3161" s="110"/>
    </row>
    <row r="3162" spans="3:20" x14ac:dyDescent="0.2">
      <c r="C3162" s="96" t="str">
        <f t="shared" si="196"/>
        <v>1384</v>
      </c>
      <c r="D3162" s="73"/>
      <c r="E3162" s="100"/>
      <c r="F3162" s="101"/>
      <c r="G3162" s="96">
        <f t="shared" si="197"/>
        <v>1384</v>
      </c>
      <c r="I3162" s="96"/>
      <c r="K3162" t="str">
        <f t="shared" si="198"/>
        <v>1384</v>
      </c>
      <c r="M3162" s="72"/>
      <c r="O3162" s="96">
        <f t="shared" si="199"/>
        <v>1384</v>
      </c>
      <c r="T3162" s="110"/>
    </row>
    <row r="3163" spans="3:20" x14ac:dyDescent="0.2">
      <c r="C3163" s="96" t="str">
        <f t="shared" si="196"/>
        <v>1385</v>
      </c>
      <c r="D3163" s="73"/>
      <c r="E3163" s="100"/>
      <c r="F3163" s="101"/>
      <c r="G3163" s="96">
        <f t="shared" si="197"/>
        <v>1385</v>
      </c>
      <c r="I3163" s="96"/>
      <c r="K3163" t="str">
        <f t="shared" si="198"/>
        <v>1385</v>
      </c>
      <c r="M3163" s="72"/>
      <c r="O3163" s="96">
        <f t="shared" si="199"/>
        <v>1385</v>
      </c>
      <c r="T3163" s="110"/>
    </row>
    <row r="3164" spans="3:20" x14ac:dyDescent="0.2">
      <c r="C3164" s="96" t="str">
        <f t="shared" si="196"/>
        <v>1386</v>
      </c>
      <c r="D3164" s="73"/>
      <c r="E3164" s="100"/>
      <c r="F3164" s="101"/>
      <c r="G3164" s="96">
        <f t="shared" si="197"/>
        <v>1386</v>
      </c>
      <c r="I3164" s="96"/>
      <c r="K3164" t="str">
        <f t="shared" si="198"/>
        <v>1386</v>
      </c>
      <c r="M3164" s="72"/>
      <c r="O3164" s="96">
        <f t="shared" si="199"/>
        <v>1386</v>
      </c>
      <c r="T3164" s="110"/>
    </row>
    <row r="3165" spans="3:20" x14ac:dyDescent="0.2">
      <c r="C3165" s="96" t="str">
        <f t="shared" si="196"/>
        <v>1387</v>
      </c>
      <c r="D3165" s="73"/>
      <c r="E3165" s="100"/>
      <c r="F3165" s="101"/>
      <c r="G3165" s="96">
        <f t="shared" si="197"/>
        <v>1387</v>
      </c>
      <c r="I3165" s="96"/>
      <c r="K3165" t="str">
        <f t="shared" si="198"/>
        <v>1387</v>
      </c>
      <c r="M3165" s="72"/>
      <c r="O3165" s="96">
        <f t="shared" si="199"/>
        <v>1387</v>
      </c>
      <c r="T3165" s="110"/>
    </row>
    <row r="3166" spans="3:20" x14ac:dyDescent="0.2">
      <c r="C3166" s="96" t="str">
        <f t="shared" si="196"/>
        <v>1388</v>
      </c>
      <c r="D3166" s="73"/>
      <c r="E3166" s="100"/>
      <c r="F3166" s="101"/>
      <c r="G3166" s="96">
        <f t="shared" si="197"/>
        <v>1388</v>
      </c>
      <c r="I3166" s="96"/>
      <c r="K3166" t="str">
        <f t="shared" si="198"/>
        <v>1388</v>
      </c>
      <c r="M3166" s="72"/>
      <c r="O3166" s="96">
        <f t="shared" si="199"/>
        <v>1388</v>
      </c>
      <c r="T3166" s="110"/>
    </row>
    <row r="3167" spans="3:20" x14ac:dyDescent="0.2">
      <c r="C3167" s="96" t="str">
        <f t="shared" si="196"/>
        <v>1389</v>
      </c>
      <c r="D3167" s="73"/>
      <c r="E3167" s="100"/>
      <c r="F3167" s="101"/>
      <c r="G3167" s="96">
        <f t="shared" si="197"/>
        <v>1389</v>
      </c>
      <c r="I3167" s="96"/>
      <c r="K3167" t="str">
        <f t="shared" si="198"/>
        <v>1389</v>
      </c>
      <c r="M3167" s="72"/>
      <c r="O3167" s="96">
        <f t="shared" si="199"/>
        <v>1389</v>
      </c>
      <c r="T3167" s="110"/>
    </row>
    <row r="3168" spans="3:20" x14ac:dyDescent="0.2">
      <c r="C3168" s="96" t="str">
        <f t="shared" si="196"/>
        <v>1390</v>
      </c>
      <c r="D3168" s="73"/>
      <c r="E3168" s="100"/>
      <c r="F3168" s="101"/>
      <c r="G3168" s="96">
        <f t="shared" si="197"/>
        <v>1390</v>
      </c>
      <c r="I3168" s="96"/>
      <c r="K3168" t="str">
        <f t="shared" si="198"/>
        <v>1390</v>
      </c>
      <c r="M3168" s="72"/>
      <c r="O3168" s="96">
        <f t="shared" si="199"/>
        <v>1390</v>
      </c>
      <c r="T3168" s="110"/>
    </row>
    <row r="3169" spans="3:20" x14ac:dyDescent="0.2">
      <c r="C3169" s="96" t="str">
        <f t="shared" si="196"/>
        <v>1391</v>
      </c>
      <c r="D3169" s="73"/>
      <c r="E3169" s="100"/>
      <c r="F3169" s="101"/>
      <c r="G3169" s="96">
        <f t="shared" si="197"/>
        <v>1391</v>
      </c>
      <c r="I3169" s="96"/>
      <c r="K3169" t="str">
        <f t="shared" si="198"/>
        <v>1391</v>
      </c>
      <c r="M3169" s="72"/>
      <c r="O3169" s="96">
        <f t="shared" si="199"/>
        <v>1391</v>
      </c>
      <c r="T3169" s="110"/>
    </row>
    <row r="3170" spans="3:20" x14ac:dyDescent="0.2">
      <c r="C3170" s="96" t="str">
        <f t="shared" si="196"/>
        <v>1392</v>
      </c>
      <c r="D3170" s="73"/>
      <c r="E3170" s="100"/>
      <c r="F3170" s="101"/>
      <c r="G3170" s="96">
        <f t="shared" si="197"/>
        <v>1392</v>
      </c>
      <c r="I3170" s="96"/>
      <c r="K3170" t="str">
        <f t="shared" si="198"/>
        <v>1392</v>
      </c>
      <c r="M3170" s="72"/>
      <c r="O3170" s="96">
        <f t="shared" si="199"/>
        <v>1392</v>
      </c>
      <c r="T3170" s="110"/>
    </row>
    <row r="3171" spans="3:20" x14ac:dyDescent="0.2">
      <c r="C3171" s="96" t="str">
        <f t="shared" si="196"/>
        <v>1393</v>
      </c>
      <c r="D3171" s="73"/>
      <c r="E3171" s="100"/>
      <c r="F3171" s="101"/>
      <c r="G3171" s="96">
        <f t="shared" si="197"/>
        <v>1393</v>
      </c>
      <c r="I3171" s="96"/>
      <c r="K3171" t="str">
        <f t="shared" si="198"/>
        <v>1393</v>
      </c>
      <c r="M3171" s="72"/>
      <c r="O3171" s="96">
        <f t="shared" si="199"/>
        <v>1393</v>
      </c>
      <c r="T3171" s="110"/>
    </row>
    <row r="3172" spans="3:20" x14ac:dyDescent="0.2">
      <c r="C3172" s="96" t="str">
        <f t="shared" si="196"/>
        <v>1394</v>
      </c>
      <c r="D3172" s="73"/>
      <c r="E3172" s="100"/>
      <c r="F3172" s="101"/>
      <c r="G3172" s="96">
        <f t="shared" si="197"/>
        <v>1394</v>
      </c>
      <c r="I3172" s="96"/>
      <c r="K3172" t="str">
        <f t="shared" si="198"/>
        <v>1394</v>
      </c>
      <c r="M3172" s="72"/>
      <c r="O3172" s="96">
        <f t="shared" si="199"/>
        <v>1394</v>
      </c>
    </row>
    <row r="3173" spans="3:20" x14ac:dyDescent="0.2">
      <c r="C3173" s="96" t="str">
        <f t="shared" si="196"/>
        <v>1395</v>
      </c>
      <c r="D3173" s="73"/>
      <c r="E3173" s="100"/>
      <c r="F3173" s="101"/>
      <c r="G3173" s="96">
        <f t="shared" si="197"/>
        <v>1395</v>
      </c>
      <c r="I3173" s="96"/>
      <c r="K3173" t="str">
        <f t="shared" si="198"/>
        <v>1395</v>
      </c>
      <c r="M3173" s="72"/>
      <c r="O3173" s="96">
        <f t="shared" si="199"/>
        <v>1395</v>
      </c>
      <c r="T3173" s="110"/>
    </row>
    <row r="3174" spans="3:20" x14ac:dyDescent="0.2">
      <c r="C3174" s="96" t="str">
        <f t="shared" si="196"/>
        <v>1396</v>
      </c>
      <c r="D3174" s="73"/>
      <c r="E3174" s="100"/>
      <c r="F3174" s="101"/>
      <c r="G3174" s="96">
        <f t="shared" si="197"/>
        <v>1396</v>
      </c>
      <c r="I3174" s="96"/>
      <c r="K3174" t="str">
        <f t="shared" si="198"/>
        <v>1396</v>
      </c>
      <c r="M3174" s="72"/>
      <c r="O3174" s="96">
        <f t="shared" si="199"/>
        <v>1396</v>
      </c>
      <c r="T3174" s="110"/>
    </row>
    <row r="3175" spans="3:20" x14ac:dyDescent="0.2">
      <c r="C3175" s="96" t="str">
        <f t="shared" si="196"/>
        <v>1397</v>
      </c>
      <c r="D3175" s="73"/>
      <c r="E3175" s="100"/>
      <c r="F3175" s="101"/>
      <c r="G3175" s="96">
        <f t="shared" si="197"/>
        <v>1397</v>
      </c>
      <c r="I3175" s="96"/>
      <c r="K3175" t="str">
        <f t="shared" si="198"/>
        <v>1397</v>
      </c>
      <c r="M3175" s="72"/>
      <c r="O3175" s="96">
        <f t="shared" si="199"/>
        <v>1397</v>
      </c>
      <c r="T3175" s="110"/>
    </row>
    <row r="3176" spans="3:20" x14ac:dyDescent="0.2">
      <c r="C3176" s="96" t="str">
        <f t="shared" si="196"/>
        <v>1398</v>
      </c>
      <c r="D3176" s="73"/>
      <c r="E3176" s="100"/>
      <c r="F3176" s="101"/>
      <c r="G3176" s="96">
        <f t="shared" si="197"/>
        <v>1398</v>
      </c>
      <c r="I3176" s="96"/>
      <c r="K3176" t="str">
        <f t="shared" si="198"/>
        <v>1398</v>
      </c>
      <c r="M3176" s="72"/>
      <c r="O3176" s="96">
        <f t="shared" si="199"/>
        <v>1398</v>
      </c>
      <c r="T3176" s="110"/>
    </row>
    <row r="3177" spans="3:20" x14ac:dyDescent="0.2">
      <c r="C3177" s="96" t="str">
        <f t="shared" si="196"/>
        <v>1399</v>
      </c>
      <c r="D3177" s="73"/>
      <c r="E3177" s="100"/>
      <c r="F3177" s="101"/>
      <c r="G3177" s="96">
        <f t="shared" si="197"/>
        <v>1399</v>
      </c>
      <c r="I3177" s="96"/>
      <c r="K3177" t="str">
        <f t="shared" si="198"/>
        <v>1399</v>
      </c>
      <c r="M3177" s="72"/>
      <c r="O3177" s="96">
        <f t="shared" si="199"/>
        <v>1399</v>
      </c>
    </row>
    <row r="3178" spans="3:20" x14ac:dyDescent="0.2">
      <c r="C3178" s="96" t="str">
        <f t="shared" si="196"/>
        <v>1400</v>
      </c>
      <c r="D3178" s="73"/>
      <c r="E3178" s="100"/>
      <c r="F3178" s="101"/>
      <c r="G3178" s="96">
        <f t="shared" si="197"/>
        <v>1400</v>
      </c>
      <c r="I3178" s="96"/>
      <c r="K3178" t="str">
        <f t="shared" si="198"/>
        <v>1400</v>
      </c>
      <c r="M3178" s="72"/>
      <c r="O3178" s="96">
        <f t="shared" si="199"/>
        <v>1400</v>
      </c>
    </row>
    <row r="3179" spans="3:20" x14ac:dyDescent="0.2">
      <c r="C3179" s="96" t="str">
        <f t="shared" si="196"/>
        <v>1401</v>
      </c>
      <c r="D3179" s="73"/>
      <c r="E3179" s="100"/>
      <c r="F3179" s="101"/>
      <c r="G3179" s="96">
        <f t="shared" si="197"/>
        <v>1401</v>
      </c>
      <c r="I3179" s="96"/>
      <c r="K3179" t="str">
        <f t="shared" si="198"/>
        <v>1401</v>
      </c>
      <c r="M3179" s="72"/>
      <c r="O3179" s="96">
        <f t="shared" si="199"/>
        <v>1401</v>
      </c>
      <c r="T3179" s="110"/>
    </row>
    <row r="3180" spans="3:20" x14ac:dyDescent="0.2">
      <c r="C3180" s="96" t="str">
        <f t="shared" si="196"/>
        <v>1402</v>
      </c>
      <c r="D3180" s="73"/>
      <c r="E3180" s="100"/>
      <c r="F3180" s="101"/>
      <c r="G3180" s="96">
        <f t="shared" si="197"/>
        <v>1402</v>
      </c>
      <c r="I3180" s="96"/>
      <c r="K3180" t="str">
        <f t="shared" si="198"/>
        <v>1402</v>
      </c>
      <c r="M3180" s="72"/>
      <c r="O3180" s="96">
        <f t="shared" si="199"/>
        <v>1402</v>
      </c>
      <c r="T3180" s="110"/>
    </row>
    <row r="3181" spans="3:20" x14ac:dyDescent="0.2">
      <c r="C3181" s="96" t="str">
        <f t="shared" si="196"/>
        <v>1403</v>
      </c>
      <c r="D3181" s="73"/>
      <c r="E3181" s="100"/>
      <c r="F3181" s="101"/>
      <c r="G3181" s="96">
        <f t="shared" si="197"/>
        <v>1403</v>
      </c>
      <c r="I3181" s="96"/>
      <c r="K3181" t="str">
        <f t="shared" si="198"/>
        <v>1403</v>
      </c>
      <c r="M3181" s="72"/>
      <c r="O3181" s="96">
        <f t="shared" si="199"/>
        <v>1403</v>
      </c>
      <c r="T3181" s="110"/>
    </row>
    <row r="3182" spans="3:20" x14ac:dyDescent="0.2">
      <c r="C3182" s="96" t="str">
        <f t="shared" si="196"/>
        <v>1404</v>
      </c>
      <c r="D3182" s="73"/>
      <c r="E3182" s="100"/>
      <c r="F3182" s="101"/>
      <c r="G3182" s="96">
        <f t="shared" si="197"/>
        <v>1404</v>
      </c>
      <c r="I3182" s="96"/>
      <c r="K3182" t="str">
        <f t="shared" si="198"/>
        <v>1404</v>
      </c>
      <c r="M3182" s="72"/>
      <c r="O3182" s="96">
        <f t="shared" si="199"/>
        <v>1404</v>
      </c>
      <c r="T3182" s="110"/>
    </row>
    <row r="3183" spans="3:20" x14ac:dyDescent="0.2">
      <c r="C3183" s="96" t="str">
        <f t="shared" si="196"/>
        <v>1405</v>
      </c>
      <c r="D3183" s="73"/>
      <c r="E3183" s="100"/>
      <c r="F3183" s="101"/>
      <c r="G3183" s="96">
        <f t="shared" si="197"/>
        <v>1405</v>
      </c>
      <c r="I3183" s="96"/>
      <c r="K3183" t="str">
        <f t="shared" si="198"/>
        <v>1405</v>
      </c>
      <c r="M3183" s="72"/>
      <c r="O3183" s="96">
        <f t="shared" si="199"/>
        <v>1405</v>
      </c>
      <c r="T3183" s="110"/>
    </row>
    <row r="3184" spans="3:20" x14ac:dyDescent="0.2">
      <c r="C3184" s="96" t="str">
        <f t="shared" si="196"/>
        <v>1406</v>
      </c>
      <c r="D3184" s="73"/>
      <c r="E3184" s="100"/>
      <c r="F3184" s="101"/>
      <c r="G3184" s="96">
        <f t="shared" si="197"/>
        <v>1406</v>
      </c>
      <c r="I3184" s="96"/>
      <c r="K3184" t="str">
        <f t="shared" si="198"/>
        <v>1406</v>
      </c>
      <c r="M3184" s="72"/>
      <c r="O3184" s="96">
        <f t="shared" si="199"/>
        <v>1406</v>
      </c>
      <c r="T3184" s="110"/>
    </row>
    <row r="3185" spans="3:20" x14ac:dyDescent="0.2">
      <c r="C3185" s="96" t="str">
        <f t="shared" si="196"/>
        <v>1407</v>
      </c>
      <c r="D3185" s="73"/>
      <c r="E3185" s="100"/>
      <c r="F3185" s="101"/>
      <c r="G3185" s="96">
        <f t="shared" si="197"/>
        <v>1407</v>
      </c>
      <c r="I3185" s="96"/>
      <c r="K3185" t="str">
        <f t="shared" si="198"/>
        <v>1407</v>
      </c>
      <c r="M3185" s="72"/>
      <c r="O3185" s="96">
        <f t="shared" si="199"/>
        <v>1407</v>
      </c>
      <c r="T3185" s="110"/>
    </row>
    <row r="3186" spans="3:20" x14ac:dyDescent="0.2">
      <c r="C3186" s="96" t="str">
        <f t="shared" si="196"/>
        <v>1408</v>
      </c>
      <c r="D3186" s="73"/>
      <c r="E3186" s="100"/>
      <c r="F3186" s="101"/>
      <c r="G3186" s="96">
        <f t="shared" si="197"/>
        <v>1408</v>
      </c>
      <c r="I3186" s="96"/>
      <c r="K3186" t="str">
        <f t="shared" si="198"/>
        <v>1408</v>
      </c>
      <c r="M3186" s="72"/>
      <c r="O3186" s="96">
        <f t="shared" si="199"/>
        <v>1408</v>
      </c>
      <c r="T3186" s="110"/>
    </row>
    <row r="3187" spans="3:20" x14ac:dyDescent="0.2">
      <c r="C3187" s="96" t="str">
        <f t="shared" si="196"/>
        <v>1409</v>
      </c>
      <c r="D3187" s="73"/>
      <c r="E3187" s="100"/>
      <c r="F3187" s="101"/>
      <c r="G3187" s="96">
        <f t="shared" si="197"/>
        <v>1409</v>
      </c>
      <c r="I3187" s="96"/>
      <c r="K3187" t="str">
        <f t="shared" si="198"/>
        <v>1409</v>
      </c>
      <c r="M3187" s="72"/>
      <c r="O3187" s="96">
        <f t="shared" si="199"/>
        <v>1409</v>
      </c>
      <c r="T3187" s="110"/>
    </row>
    <row r="3188" spans="3:20" x14ac:dyDescent="0.2">
      <c r="C3188" s="96" t="str">
        <f t="shared" si="196"/>
        <v>1410</v>
      </c>
      <c r="D3188" s="73"/>
      <c r="E3188" s="100"/>
      <c r="F3188" s="101"/>
      <c r="G3188" s="96">
        <f t="shared" si="197"/>
        <v>1410</v>
      </c>
      <c r="I3188" s="96"/>
      <c r="K3188" t="str">
        <f t="shared" si="198"/>
        <v>1410</v>
      </c>
      <c r="M3188" s="72"/>
      <c r="O3188" s="96">
        <f t="shared" si="199"/>
        <v>1410</v>
      </c>
      <c r="T3188" s="110"/>
    </row>
    <row r="3189" spans="3:20" x14ac:dyDescent="0.2">
      <c r="C3189" s="96" t="str">
        <f t="shared" si="196"/>
        <v>1411</v>
      </c>
      <c r="D3189" s="73"/>
      <c r="E3189" s="100"/>
      <c r="F3189" s="101"/>
      <c r="G3189" s="96">
        <f t="shared" si="197"/>
        <v>1411</v>
      </c>
      <c r="I3189" s="96"/>
      <c r="K3189" t="str">
        <f t="shared" si="198"/>
        <v>1411</v>
      </c>
      <c r="M3189" s="72"/>
      <c r="O3189" s="96">
        <f t="shared" si="199"/>
        <v>1411</v>
      </c>
      <c r="T3189" s="110"/>
    </row>
    <row r="3190" spans="3:20" x14ac:dyDescent="0.2">
      <c r="C3190" s="96" t="str">
        <f t="shared" si="196"/>
        <v>1412</v>
      </c>
      <c r="D3190" s="73"/>
      <c r="E3190" s="100"/>
      <c r="F3190" s="101"/>
      <c r="G3190" s="96">
        <f t="shared" si="197"/>
        <v>1412</v>
      </c>
      <c r="I3190" s="96"/>
      <c r="K3190" t="str">
        <f t="shared" si="198"/>
        <v>1412</v>
      </c>
      <c r="M3190" s="72"/>
      <c r="O3190" s="96">
        <f t="shared" si="199"/>
        <v>1412</v>
      </c>
      <c r="T3190" s="110"/>
    </row>
    <row r="3191" spans="3:20" x14ac:dyDescent="0.2">
      <c r="C3191" s="96" t="str">
        <f t="shared" si="196"/>
        <v>1413</v>
      </c>
      <c r="D3191" s="73"/>
      <c r="E3191" s="100"/>
      <c r="F3191" s="101"/>
      <c r="G3191" s="96">
        <f t="shared" si="197"/>
        <v>1413</v>
      </c>
      <c r="I3191" s="96"/>
      <c r="K3191" t="str">
        <f t="shared" si="198"/>
        <v>1413</v>
      </c>
      <c r="M3191" s="72"/>
      <c r="O3191" s="96">
        <f t="shared" si="199"/>
        <v>1413</v>
      </c>
      <c r="T3191" s="110"/>
    </row>
    <row r="3192" spans="3:20" x14ac:dyDescent="0.2">
      <c r="C3192" s="96" t="str">
        <f t="shared" si="196"/>
        <v>1414</v>
      </c>
      <c r="D3192" s="73"/>
      <c r="E3192" s="100"/>
      <c r="F3192" s="101"/>
      <c r="G3192" s="96">
        <f t="shared" si="197"/>
        <v>1414</v>
      </c>
      <c r="I3192" s="96"/>
      <c r="K3192" t="str">
        <f t="shared" si="198"/>
        <v>1414</v>
      </c>
      <c r="M3192" s="72"/>
      <c r="O3192" s="96">
        <f t="shared" si="199"/>
        <v>1414</v>
      </c>
      <c r="T3192" s="110"/>
    </row>
    <row r="3193" spans="3:20" x14ac:dyDescent="0.2">
      <c r="C3193" s="96" t="str">
        <f t="shared" si="196"/>
        <v>1415</v>
      </c>
      <c r="D3193" s="73"/>
      <c r="E3193" s="100"/>
      <c r="F3193" s="101"/>
      <c r="G3193" s="96">
        <f t="shared" si="197"/>
        <v>1415</v>
      </c>
      <c r="I3193" s="96"/>
      <c r="K3193" t="str">
        <f t="shared" si="198"/>
        <v>1415</v>
      </c>
      <c r="M3193" s="72"/>
      <c r="O3193" s="96">
        <f t="shared" si="199"/>
        <v>1415</v>
      </c>
      <c r="T3193" s="110"/>
    </row>
    <row r="3194" spans="3:20" x14ac:dyDescent="0.2">
      <c r="C3194" s="96" t="str">
        <f t="shared" si="196"/>
        <v>1416</v>
      </c>
      <c r="D3194" s="73"/>
      <c r="E3194" s="100"/>
      <c r="F3194" s="101"/>
      <c r="G3194" s="96">
        <f t="shared" si="197"/>
        <v>1416</v>
      </c>
      <c r="I3194" s="96"/>
      <c r="K3194" t="str">
        <f t="shared" si="198"/>
        <v>1416</v>
      </c>
      <c r="M3194" s="72"/>
      <c r="O3194" s="96">
        <f t="shared" si="199"/>
        <v>1416</v>
      </c>
      <c r="T3194" s="110"/>
    </row>
    <row r="3195" spans="3:20" x14ac:dyDescent="0.2">
      <c r="C3195" s="96" t="str">
        <f t="shared" si="196"/>
        <v>1417</v>
      </c>
      <c r="D3195" s="73"/>
      <c r="E3195" s="100"/>
      <c r="F3195" s="101"/>
      <c r="G3195" s="96">
        <f t="shared" si="197"/>
        <v>1417</v>
      </c>
      <c r="I3195" s="96"/>
      <c r="K3195" t="str">
        <f t="shared" si="198"/>
        <v>1417</v>
      </c>
      <c r="M3195" s="72"/>
      <c r="O3195" s="96">
        <f t="shared" si="199"/>
        <v>1417</v>
      </c>
      <c r="T3195" s="110"/>
    </row>
    <row r="3196" spans="3:20" x14ac:dyDescent="0.2">
      <c r="C3196" s="96" t="str">
        <f t="shared" si="196"/>
        <v>1418</v>
      </c>
      <c r="D3196" s="73"/>
      <c r="E3196" s="100"/>
      <c r="F3196" s="101"/>
      <c r="G3196" s="96">
        <f t="shared" si="197"/>
        <v>1418</v>
      </c>
      <c r="I3196" s="96"/>
      <c r="K3196" t="str">
        <f t="shared" si="198"/>
        <v>1418</v>
      </c>
      <c r="M3196" s="72"/>
      <c r="O3196" s="96">
        <f t="shared" si="199"/>
        <v>1418</v>
      </c>
      <c r="T3196" s="110"/>
    </row>
    <row r="3197" spans="3:20" x14ac:dyDescent="0.2">
      <c r="C3197" s="96" t="str">
        <f t="shared" si="196"/>
        <v>1419</v>
      </c>
      <c r="D3197" s="73"/>
      <c r="E3197" s="100"/>
      <c r="F3197" s="101"/>
      <c r="G3197" s="96">
        <f t="shared" si="197"/>
        <v>1419</v>
      </c>
      <c r="I3197" s="96"/>
      <c r="K3197" t="str">
        <f t="shared" si="198"/>
        <v>1419</v>
      </c>
      <c r="M3197" s="72"/>
      <c r="O3197" s="96">
        <f t="shared" si="199"/>
        <v>1419</v>
      </c>
      <c r="T3197" s="110"/>
    </row>
    <row r="3198" spans="3:20" x14ac:dyDescent="0.2">
      <c r="C3198" s="96" t="str">
        <f t="shared" si="196"/>
        <v>1420</v>
      </c>
      <c r="D3198" s="73"/>
      <c r="E3198" s="100"/>
      <c r="F3198" s="101"/>
      <c r="G3198" s="96">
        <f t="shared" si="197"/>
        <v>1420</v>
      </c>
      <c r="I3198" s="96"/>
      <c r="K3198" t="str">
        <f t="shared" si="198"/>
        <v>1420</v>
      </c>
      <c r="M3198" s="72"/>
      <c r="O3198" s="96">
        <f t="shared" si="199"/>
        <v>1420</v>
      </c>
      <c r="T3198" s="110"/>
    </row>
    <row r="3199" spans="3:20" x14ac:dyDescent="0.2">
      <c r="C3199" s="96" t="str">
        <f t="shared" si="196"/>
        <v>1421</v>
      </c>
      <c r="D3199" s="73"/>
      <c r="E3199" s="100"/>
      <c r="F3199" s="101"/>
      <c r="G3199" s="96">
        <f t="shared" si="197"/>
        <v>1421</v>
      </c>
      <c r="I3199" s="96"/>
      <c r="K3199" t="str">
        <f t="shared" si="198"/>
        <v>1421</v>
      </c>
      <c r="M3199" s="72"/>
      <c r="O3199" s="96">
        <f t="shared" si="199"/>
        <v>1421</v>
      </c>
      <c r="T3199" s="110"/>
    </row>
    <row r="3200" spans="3:20" x14ac:dyDescent="0.2">
      <c r="C3200" s="96" t="str">
        <f t="shared" si="196"/>
        <v>1422</v>
      </c>
      <c r="D3200" s="73"/>
      <c r="E3200" s="100"/>
      <c r="F3200" s="101"/>
      <c r="G3200" s="96">
        <f t="shared" si="197"/>
        <v>1422</v>
      </c>
      <c r="I3200" s="96"/>
      <c r="K3200" t="str">
        <f t="shared" si="198"/>
        <v>1422</v>
      </c>
      <c r="M3200" s="72"/>
      <c r="O3200" s="96">
        <f t="shared" si="199"/>
        <v>1422</v>
      </c>
      <c r="T3200" s="110"/>
    </row>
    <row r="3201" spans="3:20" x14ac:dyDescent="0.2">
      <c r="C3201" s="96" t="str">
        <f t="shared" si="196"/>
        <v>1423</v>
      </c>
      <c r="D3201" s="73"/>
      <c r="E3201" s="100"/>
      <c r="F3201" s="101"/>
      <c r="G3201" s="96">
        <f t="shared" si="197"/>
        <v>1423</v>
      </c>
      <c r="I3201" s="96"/>
      <c r="K3201" t="str">
        <f t="shared" si="198"/>
        <v>1423</v>
      </c>
      <c r="M3201" s="72"/>
      <c r="O3201" s="96">
        <f t="shared" si="199"/>
        <v>1423</v>
      </c>
      <c r="T3201" s="110"/>
    </row>
    <row r="3202" spans="3:20" x14ac:dyDescent="0.2">
      <c r="C3202" s="96" t="str">
        <f t="shared" si="196"/>
        <v>1424</v>
      </c>
      <c r="D3202" s="73"/>
      <c r="E3202" s="100"/>
      <c r="F3202" s="101"/>
      <c r="G3202" s="96">
        <f t="shared" si="197"/>
        <v>1424</v>
      </c>
      <c r="I3202" s="96"/>
      <c r="K3202" t="str">
        <f t="shared" si="198"/>
        <v>1424</v>
      </c>
      <c r="M3202" s="72"/>
      <c r="O3202" s="96">
        <f t="shared" si="199"/>
        <v>1424</v>
      </c>
      <c r="T3202" s="110"/>
    </row>
    <row r="3203" spans="3:20" x14ac:dyDescent="0.2">
      <c r="C3203" s="96" t="str">
        <f t="shared" ref="C3203:C3266" si="200">D3203&amp;G3203</f>
        <v>1425</v>
      </c>
      <c r="D3203" s="73"/>
      <c r="E3203" s="100"/>
      <c r="F3203" s="101"/>
      <c r="G3203" s="96">
        <f t="shared" ref="G3203:G3266" si="201">IF(D3203&lt;&gt;D3202,1,G3202+1)</f>
        <v>1425</v>
      </c>
      <c r="I3203" s="96"/>
      <c r="K3203" t="str">
        <f t="shared" ref="K3203:K3266" si="202">L3203&amp;O3203</f>
        <v>1425</v>
      </c>
      <c r="M3203" s="72"/>
      <c r="O3203" s="96">
        <f t="shared" ref="O3203:O3266" si="203">IF(L3203&lt;&gt;L3202,1,O3202+1)</f>
        <v>1425</v>
      </c>
      <c r="T3203" s="110"/>
    </row>
    <row r="3204" spans="3:20" x14ac:dyDescent="0.2">
      <c r="C3204" s="96" t="str">
        <f t="shared" si="200"/>
        <v>1426</v>
      </c>
      <c r="D3204" s="73"/>
      <c r="E3204" s="100"/>
      <c r="F3204" s="101"/>
      <c r="G3204" s="96">
        <f t="shared" si="201"/>
        <v>1426</v>
      </c>
      <c r="I3204" s="96"/>
      <c r="K3204" t="str">
        <f t="shared" si="202"/>
        <v>1426</v>
      </c>
      <c r="M3204" s="72"/>
      <c r="O3204" s="96">
        <f t="shared" si="203"/>
        <v>1426</v>
      </c>
      <c r="T3204" s="110"/>
    </row>
    <row r="3205" spans="3:20" x14ac:dyDescent="0.2">
      <c r="C3205" s="96" t="str">
        <f t="shared" si="200"/>
        <v>1427</v>
      </c>
      <c r="D3205" s="73"/>
      <c r="E3205" s="100"/>
      <c r="F3205" s="101"/>
      <c r="G3205" s="96">
        <f t="shared" si="201"/>
        <v>1427</v>
      </c>
      <c r="I3205" s="96"/>
      <c r="K3205" t="str">
        <f t="shared" si="202"/>
        <v>1427</v>
      </c>
      <c r="M3205" s="72"/>
      <c r="O3205" s="96">
        <f t="shared" si="203"/>
        <v>1427</v>
      </c>
      <c r="T3205" s="110"/>
    </row>
    <row r="3206" spans="3:20" x14ac:dyDescent="0.2">
      <c r="C3206" s="96" t="str">
        <f t="shared" si="200"/>
        <v>1428</v>
      </c>
      <c r="D3206" s="73"/>
      <c r="E3206" s="100"/>
      <c r="F3206" s="101"/>
      <c r="G3206" s="96">
        <f t="shared" si="201"/>
        <v>1428</v>
      </c>
      <c r="I3206" s="96"/>
      <c r="K3206" t="str">
        <f t="shared" si="202"/>
        <v>1428</v>
      </c>
      <c r="M3206" s="72"/>
      <c r="O3206" s="96">
        <f t="shared" si="203"/>
        <v>1428</v>
      </c>
      <c r="T3206" s="110"/>
    </row>
    <row r="3207" spans="3:20" x14ac:dyDescent="0.2">
      <c r="C3207" s="96" t="str">
        <f t="shared" si="200"/>
        <v>1429</v>
      </c>
      <c r="D3207" s="73"/>
      <c r="E3207" s="100"/>
      <c r="F3207" s="101"/>
      <c r="G3207" s="96">
        <f t="shared" si="201"/>
        <v>1429</v>
      </c>
      <c r="I3207" s="96"/>
      <c r="K3207" t="str">
        <f t="shared" si="202"/>
        <v>1429</v>
      </c>
      <c r="M3207" s="72"/>
      <c r="O3207" s="96">
        <f t="shared" si="203"/>
        <v>1429</v>
      </c>
      <c r="T3207" s="110"/>
    </row>
    <row r="3208" spans="3:20" x14ac:dyDescent="0.2">
      <c r="C3208" s="96" t="str">
        <f t="shared" si="200"/>
        <v>1430</v>
      </c>
      <c r="D3208" s="73"/>
      <c r="E3208" s="100"/>
      <c r="F3208" s="101"/>
      <c r="G3208" s="96">
        <f t="shared" si="201"/>
        <v>1430</v>
      </c>
      <c r="I3208" s="96"/>
      <c r="K3208" t="str">
        <f t="shared" si="202"/>
        <v>1430</v>
      </c>
      <c r="M3208" s="72"/>
      <c r="O3208" s="96">
        <f t="shared" si="203"/>
        <v>1430</v>
      </c>
      <c r="T3208" s="83"/>
    </row>
    <row r="3209" spans="3:20" x14ac:dyDescent="0.2">
      <c r="C3209" s="96" t="str">
        <f t="shared" si="200"/>
        <v>1431</v>
      </c>
      <c r="D3209" s="73"/>
      <c r="E3209" s="100"/>
      <c r="F3209" s="101"/>
      <c r="G3209" s="96">
        <f t="shared" si="201"/>
        <v>1431</v>
      </c>
      <c r="I3209" s="96"/>
      <c r="K3209" t="str">
        <f t="shared" si="202"/>
        <v>1431</v>
      </c>
      <c r="M3209" s="72"/>
      <c r="O3209" s="96">
        <f t="shared" si="203"/>
        <v>1431</v>
      </c>
      <c r="T3209" s="110"/>
    </row>
    <row r="3210" spans="3:20" x14ac:dyDescent="0.2">
      <c r="C3210" s="96" t="str">
        <f t="shared" si="200"/>
        <v>1432</v>
      </c>
      <c r="D3210" s="73"/>
      <c r="E3210" s="100"/>
      <c r="F3210" s="101"/>
      <c r="G3210" s="96">
        <f t="shared" si="201"/>
        <v>1432</v>
      </c>
      <c r="I3210" s="96"/>
      <c r="K3210" t="str">
        <f t="shared" si="202"/>
        <v>1432</v>
      </c>
      <c r="M3210" s="72"/>
      <c r="O3210" s="96">
        <f t="shared" si="203"/>
        <v>1432</v>
      </c>
      <c r="T3210" s="83"/>
    </row>
    <row r="3211" spans="3:20" x14ac:dyDescent="0.2">
      <c r="C3211" s="96" t="str">
        <f t="shared" si="200"/>
        <v>1433</v>
      </c>
      <c r="D3211" s="73"/>
      <c r="E3211" s="100"/>
      <c r="F3211" s="101"/>
      <c r="G3211" s="96">
        <f t="shared" si="201"/>
        <v>1433</v>
      </c>
      <c r="I3211" s="96"/>
      <c r="K3211" t="str">
        <f t="shared" si="202"/>
        <v>1433</v>
      </c>
      <c r="M3211" s="72"/>
      <c r="O3211" s="96">
        <f t="shared" si="203"/>
        <v>1433</v>
      </c>
      <c r="T3211" s="110"/>
    </row>
    <row r="3212" spans="3:20" x14ac:dyDescent="0.2">
      <c r="C3212" s="96" t="str">
        <f t="shared" si="200"/>
        <v>1434</v>
      </c>
      <c r="D3212" s="73"/>
      <c r="E3212" s="100"/>
      <c r="F3212" s="101"/>
      <c r="G3212" s="96">
        <f t="shared" si="201"/>
        <v>1434</v>
      </c>
      <c r="I3212" s="96"/>
      <c r="K3212" t="str">
        <f t="shared" si="202"/>
        <v>1434</v>
      </c>
      <c r="M3212" s="72"/>
      <c r="O3212" s="96">
        <f t="shared" si="203"/>
        <v>1434</v>
      </c>
      <c r="T3212" s="83"/>
    </row>
    <row r="3213" spans="3:20" x14ac:dyDescent="0.2">
      <c r="C3213" s="96" t="str">
        <f t="shared" si="200"/>
        <v>1435</v>
      </c>
      <c r="D3213" s="73"/>
      <c r="E3213" s="100"/>
      <c r="F3213" s="101"/>
      <c r="G3213" s="96">
        <f t="shared" si="201"/>
        <v>1435</v>
      </c>
      <c r="I3213" s="96"/>
      <c r="K3213" t="str">
        <f t="shared" si="202"/>
        <v>1435</v>
      </c>
      <c r="M3213" s="72"/>
      <c r="O3213" s="96">
        <f t="shared" si="203"/>
        <v>1435</v>
      </c>
      <c r="T3213" s="110"/>
    </row>
    <row r="3214" spans="3:20" x14ac:dyDescent="0.2">
      <c r="C3214" s="96" t="str">
        <f t="shared" si="200"/>
        <v>1436</v>
      </c>
      <c r="D3214" s="73"/>
      <c r="E3214" s="100"/>
      <c r="F3214" s="101"/>
      <c r="G3214" s="96">
        <f t="shared" si="201"/>
        <v>1436</v>
      </c>
      <c r="I3214" s="96"/>
      <c r="K3214" t="str">
        <f t="shared" si="202"/>
        <v>1436</v>
      </c>
      <c r="M3214" s="72"/>
      <c r="O3214" s="96">
        <f t="shared" si="203"/>
        <v>1436</v>
      </c>
      <c r="T3214" s="83"/>
    </row>
    <row r="3215" spans="3:20" x14ac:dyDescent="0.2">
      <c r="C3215" s="96" t="str">
        <f t="shared" si="200"/>
        <v>1437</v>
      </c>
      <c r="D3215" s="73"/>
      <c r="E3215" s="100"/>
      <c r="F3215" s="101"/>
      <c r="G3215" s="96">
        <f t="shared" si="201"/>
        <v>1437</v>
      </c>
      <c r="I3215" s="96"/>
      <c r="K3215" t="str">
        <f t="shared" si="202"/>
        <v>1437</v>
      </c>
      <c r="M3215" s="72"/>
      <c r="O3215" s="96">
        <f t="shared" si="203"/>
        <v>1437</v>
      </c>
      <c r="T3215" s="110"/>
    </row>
    <row r="3216" spans="3:20" x14ac:dyDescent="0.2">
      <c r="C3216" s="96" t="str">
        <f t="shared" si="200"/>
        <v>1438</v>
      </c>
      <c r="D3216" s="73"/>
      <c r="E3216" s="100"/>
      <c r="F3216" s="101"/>
      <c r="G3216" s="96">
        <f t="shared" si="201"/>
        <v>1438</v>
      </c>
      <c r="I3216" s="96"/>
      <c r="K3216" t="str">
        <f t="shared" si="202"/>
        <v>1438</v>
      </c>
      <c r="M3216" s="72"/>
      <c r="O3216" s="96">
        <f t="shared" si="203"/>
        <v>1438</v>
      </c>
      <c r="T3216" s="83"/>
    </row>
    <row r="3217" spans="3:20" x14ac:dyDescent="0.2">
      <c r="C3217" s="96" t="str">
        <f t="shared" si="200"/>
        <v>1439</v>
      </c>
      <c r="D3217" s="73"/>
      <c r="E3217" s="100"/>
      <c r="F3217" s="101"/>
      <c r="G3217" s="96">
        <f t="shared" si="201"/>
        <v>1439</v>
      </c>
      <c r="I3217" s="96"/>
      <c r="K3217" t="str">
        <f t="shared" si="202"/>
        <v>1439</v>
      </c>
      <c r="M3217" s="72"/>
      <c r="O3217" s="96">
        <f t="shared" si="203"/>
        <v>1439</v>
      </c>
      <c r="T3217" s="110"/>
    </row>
    <row r="3218" spans="3:20" x14ac:dyDescent="0.2">
      <c r="C3218" s="96" t="str">
        <f t="shared" si="200"/>
        <v>1440</v>
      </c>
      <c r="D3218" s="73"/>
      <c r="E3218" s="100"/>
      <c r="F3218" s="101"/>
      <c r="G3218" s="96">
        <f t="shared" si="201"/>
        <v>1440</v>
      </c>
      <c r="I3218" s="96"/>
      <c r="K3218" t="str">
        <f t="shared" si="202"/>
        <v>1440</v>
      </c>
      <c r="M3218" s="72"/>
      <c r="O3218" s="96">
        <f t="shared" si="203"/>
        <v>1440</v>
      </c>
      <c r="T3218" s="83"/>
    </row>
    <row r="3219" spans="3:20" x14ac:dyDescent="0.2">
      <c r="C3219" s="96" t="str">
        <f t="shared" si="200"/>
        <v>1441</v>
      </c>
      <c r="D3219" s="73"/>
      <c r="E3219" s="100"/>
      <c r="F3219" s="101"/>
      <c r="G3219" s="96">
        <f t="shared" si="201"/>
        <v>1441</v>
      </c>
      <c r="I3219" s="96"/>
      <c r="K3219" t="str">
        <f t="shared" si="202"/>
        <v>1441</v>
      </c>
      <c r="M3219" s="72"/>
      <c r="O3219" s="96">
        <f t="shared" si="203"/>
        <v>1441</v>
      </c>
      <c r="T3219" s="110"/>
    </row>
    <row r="3220" spans="3:20" x14ac:dyDescent="0.2">
      <c r="C3220" s="96" t="str">
        <f t="shared" si="200"/>
        <v>1442</v>
      </c>
      <c r="D3220" s="73"/>
      <c r="E3220" s="100"/>
      <c r="F3220" s="101"/>
      <c r="G3220" s="96">
        <f t="shared" si="201"/>
        <v>1442</v>
      </c>
      <c r="I3220" s="96"/>
      <c r="K3220" t="str">
        <f t="shared" si="202"/>
        <v>1442</v>
      </c>
      <c r="M3220" s="72"/>
      <c r="O3220" s="96">
        <f t="shared" si="203"/>
        <v>1442</v>
      </c>
      <c r="T3220" s="83"/>
    </row>
    <row r="3221" spans="3:20" x14ac:dyDescent="0.2">
      <c r="C3221" s="96" t="str">
        <f t="shared" si="200"/>
        <v>1443</v>
      </c>
      <c r="D3221" s="73"/>
      <c r="E3221" s="100"/>
      <c r="F3221" s="101"/>
      <c r="G3221" s="96">
        <f t="shared" si="201"/>
        <v>1443</v>
      </c>
      <c r="I3221" s="96"/>
      <c r="K3221" t="str">
        <f t="shared" si="202"/>
        <v>1443</v>
      </c>
      <c r="M3221" s="72"/>
      <c r="O3221" s="96">
        <f t="shared" si="203"/>
        <v>1443</v>
      </c>
      <c r="T3221" s="110"/>
    </row>
    <row r="3222" spans="3:20" x14ac:dyDescent="0.2">
      <c r="C3222" s="96" t="str">
        <f t="shared" si="200"/>
        <v>1444</v>
      </c>
      <c r="D3222" s="73"/>
      <c r="E3222" s="100"/>
      <c r="F3222" s="101"/>
      <c r="G3222" s="96">
        <f t="shared" si="201"/>
        <v>1444</v>
      </c>
      <c r="I3222" s="96"/>
      <c r="K3222" t="str">
        <f t="shared" si="202"/>
        <v>1444</v>
      </c>
      <c r="M3222" s="72"/>
      <c r="O3222" s="96">
        <f t="shared" si="203"/>
        <v>1444</v>
      </c>
      <c r="T3222" s="110"/>
    </row>
    <row r="3223" spans="3:20" x14ac:dyDescent="0.2">
      <c r="C3223" s="96" t="str">
        <f t="shared" si="200"/>
        <v>1445</v>
      </c>
      <c r="D3223" s="73"/>
      <c r="E3223" s="100"/>
      <c r="F3223" s="101"/>
      <c r="G3223" s="96">
        <f t="shared" si="201"/>
        <v>1445</v>
      </c>
      <c r="I3223" s="96"/>
      <c r="K3223" t="str">
        <f t="shared" si="202"/>
        <v>1445</v>
      </c>
      <c r="M3223" s="72"/>
      <c r="O3223" s="96">
        <f t="shared" si="203"/>
        <v>1445</v>
      </c>
      <c r="T3223" s="110"/>
    </row>
    <row r="3224" spans="3:20" x14ac:dyDescent="0.2">
      <c r="C3224" s="96" t="str">
        <f t="shared" si="200"/>
        <v>1446</v>
      </c>
      <c r="D3224" s="73"/>
      <c r="E3224" s="100"/>
      <c r="F3224" s="101"/>
      <c r="G3224" s="96">
        <f t="shared" si="201"/>
        <v>1446</v>
      </c>
      <c r="I3224" s="96"/>
      <c r="K3224" t="str">
        <f t="shared" si="202"/>
        <v>1446</v>
      </c>
      <c r="M3224" s="72"/>
      <c r="O3224" s="96">
        <f t="shared" si="203"/>
        <v>1446</v>
      </c>
      <c r="T3224" s="110"/>
    </row>
    <row r="3225" spans="3:20" x14ac:dyDescent="0.2">
      <c r="C3225" s="96" t="str">
        <f t="shared" si="200"/>
        <v>1447</v>
      </c>
      <c r="D3225" s="73"/>
      <c r="E3225" s="100"/>
      <c r="F3225" s="101"/>
      <c r="G3225" s="96">
        <f t="shared" si="201"/>
        <v>1447</v>
      </c>
      <c r="I3225" s="96"/>
      <c r="K3225" t="str">
        <f t="shared" si="202"/>
        <v>1447</v>
      </c>
      <c r="M3225" s="72"/>
      <c r="O3225" s="96">
        <f t="shared" si="203"/>
        <v>1447</v>
      </c>
      <c r="T3225" s="110"/>
    </row>
    <row r="3226" spans="3:20" x14ac:dyDescent="0.2">
      <c r="C3226" s="96" t="str">
        <f t="shared" si="200"/>
        <v>1448</v>
      </c>
      <c r="D3226" s="73"/>
      <c r="E3226" s="100"/>
      <c r="F3226" s="101"/>
      <c r="G3226" s="96">
        <f t="shared" si="201"/>
        <v>1448</v>
      </c>
      <c r="I3226" s="96"/>
      <c r="K3226" t="str">
        <f t="shared" si="202"/>
        <v>1448</v>
      </c>
      <c r="M3226" s="72"/>
      <c r="O3226" s="96">
        <f t="shared" si="203"/>
        <v>1448</v>
      </c>
      <c r="T3226" s="110"/>
    </row>
    <row r="3227" spans="3:20" x14ac:dyDescent="0.2">
      <c r="C3227" s="96" t="str">
        <f t="shared" si="200"/>
        <v>1449</v>
      </c>
      <c r="D3227" s="73"/>
      <c r="E3227" s="100"/>
      <c r="F3227" s="101"/>
      <c r="G3227" s="96">
        <f t="shared" si="201"/>
        <v>1449</v>
      </c>
      <c r="I3227" s="96"/>
      <c r="K3227" t="str">
        <f t="shared" si="202"/>
        <v>1449</v>
      </c>
      <c r="M3227" s="72"/>
      <c r="O3227" s="96">
        <f t="shared" si="203"/>
        <v>1449</v>
      </c>
      <c r="T3227" s="110"/>
    </row>
    <row r="3228" spans="3:20" x14ac:dyDescent="0.2">
      <c r="C3228" s="96" t="str">
        <f t="shared" si="200"/>
        <v>1450</v>
      </c>
      <c r="D3228" s="73"/>
      <c r="E3228" s="100"/>
      <c r="F3228" s="101"/>
      <c r="G3228" s="96">
        <f t="shared" si="201"/>
        <v>1450</v>
      </c>
      <c r="I3228" s="96"/>
      <c r="K3228" t="str">
        <f t="shared" si="202"/>
        <v>1450</v>
      </c>
      <c r="M3228" s="72"/>
      <c r="O3228" s="96">
        <f t="shared" si="203"/>
        <v>1450</v>
      </c>
      <c r="T3228" s="110"/>
    </row>
    <row r="3229" spans="3:20" x14ac:dyDescent="0.2">
      <c r="C3229" s="96" t="str">
        <f t="shared" si="200"/>
        <v>1451</v>
      </c>
      <c r="D3229" s="73"/>
      <c r="E3229" s="100"/>
      <c r="F3229" s="101"/>
      <c r="G3229" s="96">
        <f t="shared" si="201"/>
        <v>1451</v>
      </c>
      <c r="I3229" s="96"/>
      <c r="K3229" t="str">
        <f t="shared" si="202"/>
        <v>1451</v>
      </c>
      <c r="M3229" s="72"/>
      <c r="O3229" s="96">
        <f t="shared" si="203"/>
        <v>1451</v>
      </c>
      <c r="T3229" s="110"/>
    </row>
    <row r="3230" spans="3:20" x14ac:dyDescent="0.2">
      <c r="C3230" s="96" t="str">
        <f t="shared" si="200"/>
        <v>1452</v>
      </c>
      <c r="D3230" s="73"/>
      <c r="E3230" s="100"/>
      <c r="F3230" s="101"/>
      <c r="G3230" s="96">
        <f t="shared" si="201"/>
        <v>1452</v>
      </c>
      <c r="I3230" s="96"/>
      <c r="K3230" t="str">
        <f t="shared" si="202"/>
        <v>1452</v>
      </c>
      <c r="M3230" s="72"/>
      <c r="O3230" s="96">
        <f t="shared" si="203"/>
        <v>1452</v>
      </c>
      <c r="T3230" s="110"/>
    </row>
    <row r="3231" spans="3:20" x14ac:dyDescent="0.2">
      <c r="C3231" s="96" t="str">
        <f t="shared" si="200"/>
        <v>1453</v>
      </c>
      <c r="D3231" s="73"/>
      <c r="E3231" s="100"/>
      <c r="F3231" s="101"/>
      <c r="G3231" s="96">
        <f t="shared" si="201"/>
        <v>1453</v>
      </c>
      <c r="I3231" s="96"/>
      <c r="K3231" t="str">
        <f t="shared" si="202"/>
        <v>1453</v>
      </c>
      <c r="M3231" s="72"/>
      <c r="O3231" s="96">
        <f t="shared" si="203"/>
        <v>1453</v>
      </c>
      <c r="T3231" s="110"/>
    </row>
    <row r="3232" spans="3:20" x14ac:dyDescent="0.2">
      <c r="C3232" s="96" t="str">
        <f t="shared" si="200"/>
        <v>1454</v>
      </c>
      <c r="D3232" s="73"/>
      <c r="E3232" s="100"/>
      <c r="F3232" s="101"/>
      <c r="G3232" s="96">
        <f t="shared" si="201"/>
        <v>1454</v>
      </c>
      <c r="I3232" s="96"/>
      <c r="K3232" t="str">
        <f t="shared" si="202"/>
        <v>1454</v>
      </c>
      <c r="M3232" s="72"/>
      <c r="O3232" s="96">
        <f t="shared" si="203"/>
        <v>1454</v>
      </c>
      <c r="T3232" s="110"/>
    </row>
    <row r="3233" spans="3:20" x14ac:dyDescent="0.2">
      <c r="C3233" s="96" t="str">
        <f t="shared" si="200"/>
        <v>1455</v>
      </c>
      <c r="D3233" s="73"/>
      <c r="E3233" s="100"/>
      <c r="F3233" s="101"/>
      <c r="G3233" s="96">
        <f t="shared" si="201"/>
        <v>1455</v>
      </c>
      <c r="I3233" s="96"/>
      <c r="K3233" t="str">
        <f t="shared" si="202"/>
        <v>1455</v>
      </c>
      <c r="M3233" s="72"/>
      <c r="O3233" s="96">
        <f t="shared" si="203"/>
        <v>1455</v>
      </c>
      <c r="T3233" s="110"/>
    </row>
    <row r="3234" spans="3:20" x14ac:dyDescent="0.2">
      <c r="C3234" s="96" t="str">
        <f t="shared" si="200"/>
        <v>1456</v>
      </c>
      <c r="D3234" s="73"/>
      <c r="E3234" s="100"/>
      <c r="F3234" s="101"/>
      <c r="G3234" s="96">
        <f t="shared" si="201"/>
        <v>1456</v>
      </c>
      <c r="I3234" s="96"/>
      <c r="K3234" t="str">
        <f t="shared" si="202"/>
        <v>1456</v>
      </c>
      <c r="M3234" s="72"/>
      <c r="O3234" s="96">
        <f t="shared" si="203"/>
        <v>1456</v>
      </c>
      <c r="T3234" s="110"/>
    </row>
    <row r="3235" spans="3:20" x14ac:dyDescent="0.2">
      <c r="C3235" s="96" t="str">
        <f t="shared" si="200"/>
        <v>1457</v>
      </c>
      <c r="D3235" s="73"/>
      <c r="E3235" s="100"/>
      <c r="F3235" s="101"/>
      <c r="G3235" s="96">
        <f t="shared" si="201"/>
        <v>1457</v>
      </c>
      <c r="I3235" s="96"/>
      <c r="K3235" t="str">
        <f t="shared" si="202"/>
        <v>1457</v>
      </c>
      <c r="M3235" s="72"/>
      <c r="O3235" s="96">
        <f t="shared" si="203"/>
        <v>1457</v>
      </c>
      <c r="T3235" s="110"/>
    </row>
    <row r="3236" spans="3:20" x14ac:dyDescent="0.2">
      <c r="C3236" s="96" t="str">
        <f t="shared" si="200"/>
        <v>1458</v>
      </c>
      <c r="D3236" s="73"/>
      <c r="E3236" s="100"/>
      <c r="F3236" s="101"/>
      <c r="G3236" s="96">
        <f t="shared" si="201"/>
        <v>1458</v>
      </c>
      <c r="I3236" s="96"/>
      <c r="K3236" t="str">
        <f t="shared" si="202"/>
        <v>1458</v>
      </c>
      <c r="M3236" s="72"/>
      <c r="O3236" s="96">
        <f t="shared" si="203"/>
        <v>1458</v>
      </c>
      <c r="T3236" s="110"/>
    </row>
    <row r="3237" spans="3:20" x14ac:dyDescent="0.2">
      <c r="C3237" s="96" t="str">
        <f t="shared" si="200"/>
        <v>1459</v>
      </c>
      <c r="D3237" s="73"/>
      <c r="E3237" s="100"/>
      <c r="F3237" s="101"/>
      <c r="G3237" s="96">
        <f t="shared" si="201"/>
        <v>1459</v>
      </c>
      <c r="I3237" s="96"/>
      <c r="K3237" t="str">
        <f t="shared" si="202"/>
        <v>1459</v>
      </c>
      <c r="M3237" s="72"/>
      <c r="O3237" s="96">
        <f t="shared" si="203"/>
        <v>1459</v>
      </c>
      <c r="T3237" s="110"/>
    </row>
    <row r="3238" spans="3:20" x14ac:dyDescent="0.2">
      <c r="C3238" s="96" t="str">
        <f t="shared" si="200"/>
        <v>1460</v>
      </c>
      <c r="D3238" s="73"/>
      <c r="E3238" s="100"/>
      <c r="F3238" s="101"/>
      <c r="G3238" s="96">
        <f t="shared" si="201"/>
        <v>1460</v>
      </c>
      <c r="I3238" s="96"/>
      <c r="K3238" t="str">
        <f t="shared" si="202"/>
        <v>1460</v>
      </c>
      <c r="M3238" s="72"/>
      <c r="O3238" s="96">
        <f t="shared" si="203"/>
        <v>1460</v>
      </c>
      <c r="T3238" s="110"/>
    </row>
    <row r="3239" spans="3:20" x14ac:dyDescent="0.2">
      <c r="C3239" s="96" t="str">
        <f t="shared" si="200"/>
        <v>1461</v>
      </c>
      <c r="D3239" s="73"/>
      <c r="E3239" s="100"/>
      <c r="F3239" s="101"/>
      <c r="G3239" s="96">
        <f t="shared" si="201"/>
        <v>1461</v>
      </c>
      <c r="I3239" s="96"/>
      <c r="K3239" t="str">
        <f t="shared" si="202"/>
        <v>1461</v>
      </c>
      <c r="M3239" s="72"/>
      <c r="O3239" s="96">
        <f t="shared" si="203"/>
        <v>1461</v>
      </c>
      <c r="T3239" s="110"/>
    </row>
    <row r="3240" spans="3:20" x14ac:dyDescent="0.2">
      <c r="C3240" s="96" t="str">
        <f t="shared" si="200"/>
        <v>1462</v>
      </c>
      <c r="D3240" s="73"/>
      <c r="E3240" s="100"/>
      <c r="F3240" s="101"/>
      <c r="G3240" s="96">
        <f t="shared" si="201"/>
        <v>1462</v>
      </c>
      <c r="I3240" s="96"/>
      <c r="K3240" t="str">
        <f t="shared" si="202"/>
        <v>1462</v>
      </c>
      <c r="M3240" s="72"/>
      <c r="O3240" s="96">
        <f t="shared" si="203"/>
        <v>1462</v>
      </c>
      <c r="T3240" s="110"/>
    </row>
    <row r="3241" spans="3:20" x14ac:dyDescent="0.2">
      <c r="C3241" s="96" t="str">
        <f t="shared" si="200"/>
        <v>1463</v>
      </c>
      <c r="D3241" s="73"/>
      <c r="E3241" s="100"/>
      <c r="F3241" s="101"/>
      <c r="G3241" s="96">
        <f t="shared" si="201"/>
        <v>1463</v>
      </c>
      <c r="I3241" s="96"/>
      <c r="K3241" t="str">
        <f t="shared" si="202"/>
        <v>1463</v>
      </c>
      <c r="M3241" s="72"/>
      <c r="O3241" s="96">
        <f t="shared" si="203"/>
        <v>1463</v>
      </c>
      <c r="T3241" s="110"/>
    </row>
    <row r="3242" spans="3:20" x14ac:dyDescent="0.2">
      <c r="C3242" s="96" t="str">
        <f t="shared" si="200"/>
        <v>1464</v>
      </c>
      <c r="D3242" s="73"/>
      <c r="E3242" s="100"/>
      <c r="F3242" s="101"/>
      <c r="G3242" s="96">
        <f t="shared" si="201"/>
        <v>1464</v>
      </c>
      <c r="I3242" s="96"/>
      <c r="K3242" t="str">
        <f t="shared" si="202"/>
        <v>1464</v>
      </c>
      <c r="M3242" s="72"/>
      <c r="O3242" s="96">
        <f t="shared" si="203"/>
        <v>1464</v>
      </c>
      <c r="T3242" s="110"/>
    </row>
    <row r="3243" spans="3:20" x14ac:dyDescent="0.2">
      <c r="C3243" s="96" t="str">
        <f t="shared" si="200"/>
        <v>1465</v>
      </c>
      <c r="D3243" s="73"/>
      <c r="E3243" s="100"/>
      <c r="F3243" s="101"/>
      <c r="G3243" s="96">
        <f t="shared" si="201"/>
        <v>1465</v>
      </c>
      <c r="I3243" s="96"/>
      <c r="K3243" t="str">
        <f t="shared" si="202"/>
        <v>1465</v>
      </c>
      <c r="M3243" s="72"/>
      <c r="O3243" s="96">
        <f t="shared" si="203"/>
        <v>1465</v>
      </c>
      <c r="T3243" s="110"/>
    </row>
    <row r="3244" spans="3:20" x14ac:dyDescent="0.2">
      <c r="C3244" s="96" t="str">
        <f t="shared" si="200"/>
        <v>1466</v>
      </c>
      <c r="D3244" s="73"/>
      <c r="E3244" s="100"/>
      <c r="F3244" s="101"/>
      <c r="G3244" s="96">
        <f t="shared" si="201"/>
        <v>1466</v>
      </c>
      <c r="I3244" s="96"/>
      <c r="K3244" t="str">
        <f t="shared" si="202"/>
        <v>1466</v>
      </c>
      <c r="M3244" s="72"/>
      <c r="O3244" s="96">
        <f t="shared" si="203"/>
        <v>1466</v>
      </c>
      <c r="T3244" s="110"/>
    </row>
    <row r="3245" spans="3:20" x14ac:dyDescent="0.2">
      <c r="C3245" s="96" t="str">
        <f t="shared" si="200"/>
        <v>1467</v>
      </c>
      <c r="D3245" s="73"/>
      <c r="E3245" s="100"/>
      <c r="F3245" s="101"/>
      <c r="G3245" s="96">
        <f t="shared" si="201"/>
        <v>1467</v>
      </c>
      <c r="I3245" s="96"/>
      <c r="K3245" t="str">
        <f t="shared" si="202"/>
        <v>1467</v>
      </c>
      <c r="M3245" s="72"/>
      <c r="O3245" s="96">
        <f t="shared" si="203"/>
        <v>1467</v>
      </c>
      <c r="T3245" s="110"/>
    </row>
    <row r="3246" spans="3:20" x14ac:dyDescent="0.2">
      <c r="C3246" s="96" t="str">
        <f t="shared" si="200"/>
        <v>1468</v>
      </c>
      <c r="D3246" s="73"/>
      <c r="E3246" s="100"/>
      <c r="F3246" s="101"/>
      <c r="G3246" s="96">
        <f t="shared" si="201"/>
        <v>1468</v>
      </c>
      <c r="I3246" s="96"/>
      <c r="K3246" t="str">
        <f t="shared" si="202"/>
        <v>1468</v>
      </c>
      <c r="M3246" s="72"/>
      <c r="O3246" s="96">
        <f t="shared" si="203"/>
        <v>1468</v>
      </c>
      <c r="T3246" s="110"/>
    </row>
    <row r="3247" spans="3:20" x14ac:dyDescent="0.2">
      <c r="C3247" s="96" t="str">
        <f t="shared" si="200"/>
        <v>1469</v>
      </c>
      <c r="D3247" s="73"/>
      <c r="E3247" s="100"/>
      <c r="F3247" s="101"/>
      <c r="G3247" s="96">
        <f t="shared" si="201"/>
        <v>1469</v>
      </c>
      <c r="I3247" s="96"/>
      <c r="K3247" t="str">
        <f t="shared" si="202"/>
        <v>1469</v>
      </c>
      <c r="M3247" s="72"/>
      <c r="O3247" s="96">
        <f t="shared" si="203"/>
        <v>1469</v>
      </c>
      <c r="T3247" s="110"/>
    </row>
    <row r="3248" spans="3:20" x14ac:dyDescent="0.2">
      <c r="C3248" s="96" t="str">
        <f t="shared" si="200"/>
        <v>1470</v>
      </c>
      <c r="D3248" s="73"/>
      <c r="E3248" s="100"/>
      <c r="F3248" s="101"/>
      <c r="G3248" s="96">
        <f t="shared" si="201"/>
        <v>1470</v>
      </c>
      <c r="I3248" s="96"/>
      <c r="K3248" t="str">
        <f t="shared" si="202"/>
        <v>1470</v>
      </c>
      <c r="M3248" s="72"/>
      <c r="O3248" s="96">
        <f t="shared" si="203"/>
        <v>1470</v>
      </c>
      <c r="T3248" s="110"/>
    </row>
    <row r="3249" spans="3:20" x14ac:dyDescent="0.2">
      <c r="C3249" s="96" t="str">
        <f t="shared" si="200"/>
        <v>1471</v>
      </c>
      <c r="D3249" s="73"/>
      <c r="E3249" s="100"/>
      <c r="F3249" s="101"/>
      <c r="G3249" s="96">
        <f t="shared" si="201"/>
        <v>1471</v>
      </c>
      <c r="I3249" s="96"/>
      <c r="K3249" t="str">
        <f t="shared" si="202"/>
        <v>1471</v>
      </c>
      <c r="M3249" s="72"/>
      <c r="O3249" s="96">
        <f t="shared" si="203"/>
        <v>1471</v>
      </c>
      <c r="T3249" s="110"/>
    </row>
    <row r="3250" spans="3:20" x14ac:dyDescent="0.2">
      <c r="C3250" s="96" t="str">
        <f t="shared" si="200"/>
        <v>1472</v>
      </c>
      <c r="D3250" s="73"/>
      <c r="E3250" s="100"/>
      <c r="F3250" s="101"/>
      <c r="G3250" s="96">
        <f t="shared" si="201"/>
        <v>1472</v>
      </c>
      <c r="I3250" s="96"/>
      <c r="K3250" t="str">
        <f t="shared" si="202"/>
        <v>1472</v>
      </c>
      <c r="M3250" s="72"/>
      <c r="O3250" s="96">
        <f t="shared" si="203"/>
        <v>1472</v>
      </c>
      <c r="T3250" s="110"/>
    </row>
    <row r="3251" spans="3:20" x14ac:dyDescent="0.2">
      <c r="C3251" s="96" t="str">
        <f t="shared" si="200"/>
        <v>1473</v>
      </c>
      <c r="D3251" s="73"/>
      <c r="E3251" s="100"/>
      <c r="F3251" s="101"/>
      <c r="G3251" s="96">
        <f t="shared" si="201"/>
        <v>1473</v>
      </c>
      <c r="I3251" s="96"/>
      <c r="K3251" t="str">
        <f t="shared" si="202"/>
        <v>1473</v>
      </c>
      <c r="M3251" s="72"/>
      <c r="O3251" s="96">
        <f t="shared" si="203"/>
        <v>1473</v>
      </c>
      <c r="T3251" s="110"/>
    </row>
    <row r="3252" spans="3:20" x14ac:dyDescent="0.2">
      <c r="C3252" s="96" t="str">
        <f t="shared" si="200"/>
        <v>1474</v>
      </c>
      <c r="D3252" s="73"/>
      <c r="E3252" s="100"/>
      <c r="F3252" s="101"/>
      <c r="G3252" s="96">
        <f t="shared" si="201"/>
        <v>1474</v>
      </c>
      <c r="I3252" s="96"/>
      <c r="K3252" t="str">
        <f t="shared" si="202"/>
        <v>1474</v>
      </c>
      <c r="M3252" s="72"/>
      <c r="O3252" s="96">
        <f t="shared" si="203"/>
        <v>1474</v>
      </c>
      <c r="T3252" s="110"/>
    </row>
    <row r="3253" spans="3:20" x14ac:dyDescent="0.2">
      <c r="C3253" s="96" t="str">
        <f t="shared" si="200"/>
        <v>1475</v>
      </c>
      <c r="D3253" s="73"/>
      <c r="E3253" s="100"/>
      <c r="F3253" s="101"/>
      <c r="G3253" s="96">
        <f t="shared" si="201"/>
        <v>1475</v>
      </c>
      <c r="I3253" s="96"/>
      <c r="K3253" t="str">
        <f t="shared" si="202"/>
        <v>1475</v>
      </c>
      <c r="M3253" s="72"/>
      <c r="O3253" s="96">
        <f t="shared" si="203"/>
        <v>1475</v>
      </c>
      <c r="T3253" s="110"/>
    </row>
    <row r="3254" spans="3:20" x14ac:dyDescent="0.2">
      <c r="C3254" s="96" t="str">
        <f t="shared" si="200"/>
        <v>1476</v>
      </c>
      <c r="D3254" s="73"/>
      <c r="E3254" s="100"/>
      <c r="F3254" s="101"/>
      <c r="G3254" s="96">
        <f t="shared" si="201"/>
        <v>1476</v>
      </c>
      <c r="I3254" s="96"/>
      <c r="K3254" t="str">
        <f t="shared" si="202"/>
        <v>1476</v>
      </c>
      <c r="M3254" s="72"/>
      <c r="O3254" s="96">
        <f t="shared" si="203"/>
        <v>1476</v>
      </c>
      <c r="T3254" s="110"/>
    </row>
    <row r="3255" spans="3:20" x14ac:dyDescent="0.2">
      <c r="C3255" s="96" t="str">
        <f t="shared" si="200"/>
        <v>1477</v>
      </c>
      <c r="D3255" s="73"/>
      <c r="E3255" s="100"/>
      <c r="F3255" s="101"/>
      <c r="G3255" s="96">
        <f t="shared" si="201"/>
        <v>1477</v>
      </c>
      <c r="I3255" s="96"/>
      <c r="K3255" t="str">
        <f t="shared" si="202"/>
        <v>1477</v>
      </c>
      <c r="M3255" s="72"/>
      <c r="O3255" s="96">
        <f t="shared" si="203"/>
        <v>1477</v>
      </c>
      <c r="T3255" s="110"/>
    </row>
    <row r="3256" spans="3:20" x14ac:dyDescent="0.2">
      <c r="C3256" s="96" t="str">
        <f t="shared" si="200"/>
        <v>1478</v>
      </c>
      <c r="D3256" s="73"/>
      <c r="E3256" s="100"/>
      <c r="F3256" s="101"/>
      <c r="G3256" s="96">
        <f t="shared" si="201"/>
        <v>1478</v>
      </c>
      <c r="I3256" s="96"/>
      <c r="K3256" t="str">
        <f t="shared" si="202"/>
        <v>1478</v>
      </c>
      <c r="M3256" s="72"/>
      <c r="O3256" s="96">
        <f t="shared" si="203"/>
        <v>1478</v>
      </c>
      <c r="T3256" s="110"/>
    </row>
    <row r="3257" spans="3:20" x14ac:dyDescent="0.2">
      <c r="C3257" s="96" t="str">
        <f t="shared" si="200"/>
        <v>1479</v>
      </c>
      <c r="D3257" s="73"/>
      <c r="E3257" s="100"/>
      <c r="F3257" s="101"/>
      <c r="G3257" s="96">
        <f t="shared" si="201"/>
        <v>1479</v>
      </c>
      <c r="I3257" s="96"/>
      <c r="K3257" t="str">
        <f t="shared" si="202"/>
        <v>1479</v>
      </c>
      <c r="M3257" s="72"/>
      <c r="O3257" s="96">
        <f t="shared" si="203"/>
        <v>1479</v>
      </c>
      <c r="T3257" s="110"/>
    </row>
    <row r="3258" spans="3:20" x14ac:dyDescent="0.2">
      <c r="C3258" s="96" t="str">
        <f t="shared" si="200"/>
        <v>1480</v>
      </c>
      <c r="D3258" s="73"/>
      <c r="E3258" s="100"/>
      <c r="F3258" s="101"/>
      <c r="G3258" s="96">
        <f t="shared" si="201"/>
        <v>1480</v>
      </c>
      <c r="I3258" s="96"/>
      <c r="K3258" t="str">
        <f t="shared" si="202"/>
        <v>1480</v>
      </c>
      <c r="M3258" s="72"/>
      <c r="O3258" s="96">
        <f t="shared" si="203"/>
        <v>1480</v>
      </c>
      <c r="T3258" s="110"/>
    </row>
    <row r="3259" spans="3:20" x14ac:dyDescent="0.2">
      <c r="C3259" s="96" t="str">
        <f t="shared" si="200"/>
        <v>1481</v>
      </c>
      <c r="D3259" s="73"/>
      <c r="E3259" s="100"/>
      <c r="F3259" s="101"/>
      <c r="G3259" s="96">
        <f t="shared" si="201"/>
        <v>1481</v>
      </c>
      <c r="I3259" s="96"/>
      <c r="K3259" t="str">
        <f t="shared" si="202"/>
        <v>1481</v>
      </c>
      <c r="M3259" s="72"/>
      <c r="O3259" s="96">
        <f t="shared" si="203"/>
        <v>1481</v>
      </c>
      <c r="T3259" s="110"/>
    </row>
    <row r="3260" spans="3:20" x14ac:dyDescent="0.2">
      <c r="C3260" s="96" t="str">
        <f t="shared" si="200"/>
        <v>1482</v>
      </c>
      <c r="D3260" s="73"/>
      <c r="E3260" s="100"/>
      <c r="F3260" s="101"/>
      <c r="G3260" s="96">
        <f t="shared" si="201"/>
        <v>1482</v>
      </c>
      <c r="I3260" s="96"/>
      <c r="K3260" t="str">
        <f t="shared" si="202"/>
        <v>1482</v>
      </c>
      <c r="M3260" s="72"/>
      <c r="O3260" s="96">
        <f t="shared" si="203"/>
        <v>1482</v>
      </c>
      <c r="T3260" s="110"/>
    </row>
    <row r="3261" spans="3:20" x14ac:dyDescent="0.2">
      <c r="C3261" s="96" t="str">
        <f t="shared" si="200"/>
        <v>1483</v>
      </c>
      <c r="D3261" s="73"/>
      <c r="E3261" s="100"/>
      <c r="F3261" s="101"/>
      <c r="G3261" s="96">
        <f t="shared" si="201"/>
        <v>1483</v>
      </c>
      <c r="I3261" s="96"/>
      <c r="K3261" t="str">
        <f t="shared" si="202"/>
        <v>1483</v>
      </c>
      <c r="M3261" s="72"/>
      <c r="O3261" s="96">
        <f t="shared" si="203"/>
        <v>1483</v>
      </c>
      <c r="T3261" s="110"/>
    </row>
    <row r="3262" spans="3:20" x14ac:dyDescent="0.2">
      <c r="C3262" s="96" t="str">
        <f t="shared" si="200"/>
        <v>1484</v>
      </c>
      <c r="D3262" s="73"/>
      <c r="E3262" s="100"/>
      <c r="F3262" s="101"/>
      <c r="G3262" s="96">
        <f t="shared" si="201"/>
        <v>1484</v>
      </c>
      <c r="I3262" s="96"/>
      <c r="K3262" t="str">
        <f t="shared" si="202"/>
        <v>1484</v>
      </c>
      <c r="M3262" s="72"/>
      <c r="O3262" s="96">
        <f t="shared" si="203"/>
        <v>1484</v>
      </c>
      <c r="T3262" s="110"/>
    </row>
    <row r="3263" spans="3:20" x14ac:dyDescent="0.2">
      <c r="C3263" s="96" t="str">
        <f t="shared" si="200"/>
        <v>1485</v>
      </c>
      <c r="D3263" s="73"/>
      <c r="E3263" s="100"/>
      <c r="F3263" s="101"/>
      <c r="G3263" s="96">
        <f t="shared" si="201"/>
        <v>1485</v>
      </c>
      <c r="I3263" s="96"/>
      <c r="K3263" t="str">
        <f t="shared" si="202"/>
        <v>1485</v>
      </c>
      <c r="M3263" s="72"/>
      <c r="O3263" s="96">
        <f t="shared" si="203"/>
        <v>1485</v>
      </c>
      <c r="T3263" s="110"/>
    </row>
    <row r="3264" spans="3:20" x14ac:dyDescent="0.2">
      <c r="C3264" s="96" t="str">
        <f t="shared" si="200"/>
        <v>1486</v>
      </c>
      <c r="D3264" s="73"/>
      <c r="E3264" s="100"/>
      <c r="F3264" s="101"/>
      <c r="G3264" s="96">
        <f t="shared" si="201"/>
        <v>1486</v>
      </c>
      <c r="I3264" s="96"/>
      <c r="K3264" t="str">
        <f t="shared" si="202"/>
        <v>1486</v>
      </c>
      <c r="M3264" s="72"/>
      <c r="O3264" s="96">
        <f t="shared" si="203"/>
        <v>1486</v>
      </c>
      <c r="T3264" s="110"/>
    </row>
    <row r="3265" spans="3:20" x14ac:dyDescent="0.2">
      <c r="C3265" s="96" t="str">
        <f t="shared" si="200"/>
        <v>1487</v>
      </c>
      <c r="D3265" s="73"/>
      <c r="E3265" s="100"/>
      <c r="F3265" s="101"/>
      <c r="G3265" s="96">
        <f t="shared" si="201"/>
        <v>1487</v>
      </c>
      <c r="I3265" s="96"/>
      <c r="K3265" t="str">
        <f t="shared" si="202"/>
        <v>1487</v>
      </c>
      <c r="M3265" s="72"/>
      <c r="O3265" s="96">
        <f t="shared" si="203"/>
        <v>1487</v>
      </c>
      <c r="T3265" s="110"/>
    </row>
    <row r="3266" spans="3:20" x14ac:dyDescent="0.2">
      <c r="C3266" s="96" t="str">
        <f t="shared" si="200"/>
        <v>1488</v>
      </c>
      <c r="D3266" s="73"/>
      <c r="E3266" s="100"/>
      <c r="F3266" s="101"/>
      <c r="G3266" s="96">
        <f t="shared" si="201"/>
        <v>1488</v>
      </c>
      <c r="I3266" s="96"/>
      <c r="K3266" t="str">
        <f t="shared" si="202"/>
        <v>1488</v>
      </c>
      <c r="M3266" s="72"/>
      <c r="O3266" s="96">
        <f t="shared" si="203"/>
        <v>1488</v>
      </c>
      <c r="T3266" s="110"/>
    </row>
    <row r="3267" spans="3:20" x14ac:dyDescent="0.2">
      <c r="C3267" s="96" t="str">
        <f t="shared" ref="C3267:C3330" si="204">D3267&amp;G3267</f>
        <v>1489</v>
      </c>
      <c r="D3267" s="73"/>
      <c r="E3267" s="100"/>
      <c r="F3267" s="101"/>
      <c r="G3267" s="96">
        <f t="shared" ref="G3267:G3330" si="205">IF(D3267&lt;&gt;D3266,1,G3266+1)</f>
        <v>1489</v>
      </c>
      <c r="I3267" s="96"/>
      <c r="K3267" t="str">
        <f t="shared" ref="K3267:K3330" si="206">L3267&amp;O3267</f>
        <v>1489</v>
      </c>
      <c r="M3267" s="72"/>
      <c r="O3267" s="96">
        <f t="shared" ref="O3267:O3330" si="207">IF(L3267&lt;&gt;L3266,1,O3266+1)</f>
        <v>1489</v>
      </c>
      <c r="T3267" s="110"/>
    </row>
    <row r="3268" spans="3:20" x14ac:dyDescent="0.2">
      <c r="C3268" s="96" t="str">
        <f t="shared" si="204"/>
        <v>1490</v>
      </c>
      <c r="D3268" s="73"/>
      <c r="E3268" s="100"/>
      <c r="F3268" s="101"/>
      <c r="G3268" s="96">
        <f t="shared" si="205"/>
        <v>1490</v>
      </c>
      <c r="I3268" s="96"/>
      <c r="K3268" t="str">
        <f t="shared" si="206"/>
        <v>1490</v>
      </c>
      <c r="M3268" s="72"/>
      <c r="O3268" s="96">
        <f t="shared" si="207"/>
        <v>1490</v>
      </c>
      <c r="T3268" s="110"/>
    </row>
    <row r="3269" spans="3:20" x14ac:dyDescent="0.2">
      <c r="C3269" s="96" t="str">
        <f t="shared" si="204"/>
        <v>1491</v>
      </c>
      <c r="D3269" s="73"/>
      <c r="E3269" s="100"/>
      <c r="F3269" s="101"/>
      <c r="G3269" s="96">
        <f t="shared" si="205"/>
        <v>1491</v>
      </c>
      <c r="I3269" s="96"/>
      <c r="K3269" t="str">
        <f t="shared" si="206"/>
        <v>1491</v>
      </c>
      <c r="M3269" s="72"/>
      <c r="O3269" s="96">
        <f t="shared" si="207"/>
        <v>1491</v>
      </c>
      <c r="T3269" s="110"/>
    </row>
    <row r="3270" spans="3:20" x14ac:dyDescent="0.2">
      <c r="C3270" s="96" t="str">
        <f t="shared" si="204"/>
        <v>1492</v>
      </c>
      <c r="D3270" s="73"/>
      <c r="E3270" s="100"/>
      <c r="F3270" s="101"/>
      <c r="G3270" s="96">
        <f t="shared" si="205"/>
        <v>1492</v>
      </c>
      <c r="I3270" s="96"/>
      <c r="K3270" t="str">
        <f t="shared" si="206"/>
        <v>1492</v>
      </c>
      <c r="M3270" s="72"/>
      <c r="O3270" s="96">
        <f t="shared" si="207"/>
        <v>1492</v>
      </c>
      <c r="T3270" s="83"/>
    </row>
    <row r="3271" spans="3:20" x14ac:dyDescent="0.2">
      <c r="C3271" s="96" t="str">
        <f t="shared" si="204"/>
        <v>1493</v>
      </c>
      <c r="D3271" s="73"/>
      <c r="E3271" s="100"/>
      <c r="F3271" s="101"/>
      <c r="G3271" s="96">
        <f t="shared" si="205"/>
        <v>1493</v>
      </c>
      <c r="I3271" s="96"/>
      <c r="K3271" t="str">
        <f t="shared" si="206"/>
        <v>1493</v>
      </c>
      <c r="M3271" s="72"/>
      <c r="O3271" s="96">
        <f t="shared" si="207"/>
        <v>1493</v>
      </c>
      <c r="T3271" s="83"/>
    </row>
    <row r="3272" spans="3:20" x14ac:dyDescent="0.2">
      <c r="C3272" s="96" t="str">
        <f t="shared" si="204"/>
        <v>1494</v>
      </c>
      <c r="D3272" s="73"/>
      <c r="E3272" s="100"/>
      <c r="F3272" s="101"/>
      <c r="G3272" s="96">
        <f t="shared" si="205"/>
        <v>1494</v>
      </c>
      <c r="I3272" s="96"/>
      <c r="K3272" t="str">
        <f t="shared" si="206"/>
        <v>1494</v>
      </c>
      <c r="M3272" s="72"/>
      <c r="O3272" s="96">
        <f t="shared" si="207"/>
        <v>1494</v>
      </c>
      <c r="T3272" s="83"/>
    </row>
    <row r="3273" spans="3:20" x14ac:dyDescent="0.2">
      <c r="C3273" s="96" t="str">
        <f t="shared" si="204"/>
        <v>1495</v>
      </c>
      <c r="D3273" s="73"/>
      <c r="E3273" s="100"/>
      <c r="F3273" s="101"/>
      <c r="G3273" s="96">
        <f t="shared" si="205"/>
        <v>1495</v>
      </c>
      <c r="I3273" s="96"/>
      <c r="K3273" t="str">
        <f t="shared" si="206"/>
        <v>1495</v>
      </c>
      <c r="M3273" s="72"/>
      <c r="O3273" s="96">
        <f t="shared" si="207"/>
        <v>1495</v>
      </c>
      <c r="T3273" s="83"/>
    </row>
    <row r="3274" spans="3:20" x14ac:dyDescent="0.2">
      <c r="C3274" s="96" t="str">
        <f t="shared" si="204"/>
        <v>1496</v>
      </c>
      <c r="D3274" s="73"/>
      <c r="E3274" s="100"/>
      <c r="F3274" s="101"/>
      <c r="G3274" s="96">
        <f t="shared" si="205"/>
        <v>1496</v>
      </c>
      <c r="I3274" s="96"/>
      <c r="K3274" t="str">
        <f t="shared" si="206"/>
        <v>1496</v>
      </c>
      <c r="M3274" s="72"/>
      <c r="O3274" s="96">
        <f t="shared" si="207"/>
        <v>1496</v>
      </c>
      <c r="T3274" s="83"/>
    </row>
    <row r="3275" spans="3:20" x14ac:dyDescent="0.2">
      <c r="C3275" s="96" t="str">
        <f t="shared" si="204"/>
        <v>1497</v>
      </c>
      <c r="D3275" s="73"/>
      <c r="E3275" s="100"/>
      <c r="F3275" s="101"/>
      <c r="G3275" s="96">
        <f t="shared" si="205"/>
        <v>1497</v>
      </c>
      <c r="I3275" s="96"/>
      <c r="K3275" t="str">
        <f t="shared" si="206"/>
        <v>1497</v>
      </c>
      <c r="M3275" s="72"/>
      <c r="O3275" s="96">
        <f t="shared" si="207"/>
        <v>1497</v>
      </c>
      <c r="T3275" s="83"/>
    </row>
    <row r="3276" spans="3:20" x14ac:dyDescent="0.2">
      <c r="C3276" s="96" t="str">
        <f t="shared" si="204"/>
        <v>1498</v>
      </c>
      <c r="D3276" s="73"/>
      <c r="E3276" s="100"/>
      <c r="F3276" s="101"/>
      <c r="G3276" s="96">
        <f t="shared" si="205"/>
        <v>1498</v>
      </c>
      <c r="I3276" s="96"/>
      <c r="K3276" t="str">
        <f t="shared" si="206"/>
        <v>1498</v>
      </c>
      <c r="M3276" s="72"/>
      <c r="O3276" s="96">
        <f t="shared" si="207"/>
        <v>1498</v>
      </c>
      <c r="T3276" s="110"/>
    </row>
    <row r="3277" spans="3:20" x14ac:dyDescent="0.2">
      <c r="C3277" s="96" t="str">
        <f t="shared" si="204"/>
        <v>1499</v>
      </c>
      <c r="D3277" s="73"/>
      <c r="E3277" s="100"/>
      <c r="F3277" s="101"/>
      <c r="G3277" s="96">
        <f t="shared" si="205"/>
        <v>1499</v>
      </c>
      <c r="I3277" s="96"/>
      <c r="K3277" t="str">
        <f t="shared" si="206"/>
        <v>1499</v>
      </c>
      <c r="M3277" s="72"/>
      <c r="O3277" s="96">
        <f t="shared" si="207"/>
        <v>1499</v>
      </c>
      <c r="T3277" s="110"/>
    </row>
    <row r="3278" spans="3:20" x14ac:dyDescent="0.2">
      <c r="C3278" s="96" t="str">
        <f t="shared" si="204"/>
        <v>1500</v>
      </c>
      <c r="D3278" s="73"/>
      <c r="E3278" s="100"/>
      <c r="F3278" s="101"/>
      <c r="G3278" s="96">
        <f t="shared" si="205"/>
        <v>1500</v>
      </c>
      <c r="I3278" s="96"/>
      <c r="K3278" t="str">
        <f t="shared" si="206"/>
        <v>1500</v>
      </c>
      <c r="M3278" s="72"/>
      <c r="O3278" s="96">
        <f t="shared" si="207"/>
        <v>1500</v>
      </c>
      <c r="T3278" s="110"/>
    </row>
    <row r="3279" spans="3:20" x14ac:dyDescent="0.2">
      <c r="C3279" s="96" t="str">
        <f t="shared" si="204"/>
        <v>1501</v>
      </c>
      <c r="D3279" s="73"/>
      <c r="E3279" s="100"/>
      <c r="F3279" s="101"/>
      <c r="G3279" s="96">
        <f t="shared" si="205"/>
        <v>1501</v>
      </c>
      <c r="I3279" s="96"/>
      <c r="K3279" t="str">
        <f t="shared" si="206"/>
        <v>1501</v>
      </c>
      <c r="M3279" s="72"/>
      <c r="O3279" s="96">
        <f t="shared" si="207"/>
        <v>1501</v>
      </c>
      <c r="T3279" s="110"/>
    </row>
    <row r="3280" spans="3:20" x14ac:dyDescent="0.2">
      <c r="C3280" s="96" t="str">
        <f t="shared" si="204"/>
        <v>1502</v>
      </c>
      <c r="D3280" s="73"/>
      <c r="E3280" s="100"/>
      <c r="F3280" s="101"/>
      <c r="G3280" s="96">
        <f t="shared" si="205"/>
        <v>1502</v>
      </c>
      <c r="I3280" s="96"/>
      <c r="K3280" t="str">
        <f t="shared" si="206"/>
        <v>1502</v>
      </c>
      <c r="M3280" s="72"/>
      <c r="O3280" s="96">
        <f t="shared" si="207"/>
        <v>1502</v>
      </c>
      <c r="T3280" s="110"/>
    </row>
    <row r="3281" spans="3:20" x14ac:dyDescent="0.2">
      <c r="C3281" s="96" t="str">
        <f t="shared" si="204"/>
        <v>1503</v>
      </c>
      <c r="D3281" s="73"/>
      <c r="E3281" s="100"/>
      <c r="F3281" s="101"/>
      <c r="G3281" s="96">
        <f t="shared" si="205"/>
        <v>1503</v>
      </c>
      <c r="I3281" s="96"/>
      <c r="K3281" t="str">
        <f t="shared" si="206"/>
        <v>1503</v>
      </c>
      <c r="M3281" s="72"/>
      <c r="O3281" s="96">
        <f t="shared" si="207"/>
        <v>1503</v>
      </c>
      <c r="T3281" s="110"/>
    </row>
    <row r="3282" spans="3:20" x14ac:dyDescent="0.2">
      <c r="C3282" s="96" t="str">
        <f t="shared" si="204"/>
        <v>1504</v>
      </c>
      <c r="D3282" s="73"/>
      <c r="E3282" s="100"/>
      <c r="F3282" s="101"/>
      <c r="G3282" s="96">
        <f t="shared" si="205"/>
        <v>1504</v>
      </c>
      <c r="I3282" s="96"/>
      <c r="K3282" t="str">
        <f t="shared" si="206"/>
        <v>1504</v>
      </c>
      <c r="M3282" s="72"/>
      <c r="O3282" s="96">
        <f t="shared" si="207"/>
        <v>1504</v>
      </c>
      <c r="T3282" s="110"/>
    </row>
    <row r="3283" spans="3:20" x14ac:dyDescent="0.2">
      <c r="C3283" s="96" t="str">
        <f t="shared" si="204"/>
        <v>1505</v>
      </c>
      <c r="D3283" s="73"/>
      <c r="E3283" s="100"/>
      <c r="F3283" s="101"/>
      <c r="G3283" s="96">
        <f t="shared" si="205"/>
        <v>1505</v>
      </c>
      <c r="I3283" s="96"/>
      <c r="K3283" t="str">
        <f t="shared" si="206"/>
        <v>1505</v>
      </c>
      <c r="M3283" s="72"/>
      <c r="O3283" s="96">
        <f t="shared" si="207"/>
        <v>1505</v>
      </c>
      <c r="T3283" s="110"/>
    </row>
    <row r="3284" spans="3:20" x14ac:dyDescent="0.2">
      <c r="C3284" s="96" t="str">
        <f t="shared" si="204"/>
        <v>1506</v>
      </c>
      <c r="D3284" s="73"/>
      <c r="E3284" s="100"/>
      <c r="F3284" s="101"/>
      <c r="G3284" s="96">
        <f t="shared" si="205"/>
        <v>1506</v>
      </c>
      <c r="I3284" s="96"/>
      <c r="K3284" t="str">
        <f t="shared" si="206"/>
        <v>1506</v>
      </c>
      <c r="M3284" s="72"/>
      <c r="O3284" s="96">
        <f t="shared" si="207"/>
        <v>1506</v>
      </c>
      <c r="T3284" s="110"/>
    </row>
    <row r="3285" spans="3:20" x14ac:dyDescent="0.2">
      <c r="C3285" s="96" t="str">
        <f t="shared" si="204"/>
        <v>1507</v>
      </c>
      <c r="D3285" s="73"/>
      <c r="E3285" s="100"/>
      <c r="F3285" s="101"/>
      <c r="G3285" s="96">
        <f t="shared" si="205"/>
        <v>1507</v>
      </c>
      <c r="I3285" s="96"/>
      <c r="K3285" t="str">
        <f t="shared" si="206"/>
        <v>1507</v>
      </c>
      <c r="M3285" s="72"/>
      <c r="O3285" s="96">
        <f t="shared" si="207"/>
        <v>1507</v>
      </c>
      <c r="T3285" s="110"/>
    </row>
    <row r="3286" spans="3:20" x14ac:dyDescent="0.2">
      <c r="C3286" s="96" t="str">
        <f t="shared" si="204"/>
        <v>1508</v>
      </c>
      <c r="D3286" s="73"/>
      <c r="E3286" s="100"/>
      <c r="F3286" s="101"/>
      <c r="G3286" s="96">
        <f t="shared" si="205"/>
        <v>1508</v>
      </c>
      <c r="I3286" s="96"/>
      <c r="K3286" t="str">
        <f t="shared" si="206"/>
        <v>1508</v>
      </c>
      <c r="M3286" s="72"/>
      <c r="O3286" s="96">
        <f t="shared" si="207"/>
        <v>1508</v>
      </c>
      <c r="T3286" s="110"/>
    </row>
    <row r="3287" spans="3:20" x14ac:dyDescent="0.2">
      <c r="C3287" s="96" t="str">
        <f t="shared" si="204"/>
        <v>1509</v>
      </c>
      <c r="D3287" s="73"/>
      <c r="E3287" s="100"/>
      <c r="F3287" s="101"/>
      <c r="G3287" s="96">
        <f t="shared" si="205"/>
        <v>1509</v>
      </c>
      <c r="I3287" s="96"/>
      <c r="K3287" t="str">
        <f t="shared" si="206"/>
        <v>1509</v>
      </c>
      <c r="M3287" s="72"/>
      <c r="O3287" s="96">
        <f t="shared" si="207"/>
        <v>1509</v>
      </c>
      <c r="T3287" s="110"/>
    </row>
    <row r="3288" spans="3:20" x14ac:dyDescent="0.2">
      <c r="C3288" s="96" t="str">
        <f t="shared" si="204"/>
        <v>1510</v>
      </c>
      <c r="D3288" s="73"/>
      <c r="E3288" s="100"/>
      <c r="F3288" s="101"/>
      <c r="G3288" s="96">
        <f t="shared" si="205"/>
        <v>1510</v>
      </c>
      <c r="I3288" s="96"/>
      <c r="K3288" t="str">
        <f t="shared" si="206"/>
        <v>1510</v>
      </c>
      <c r="M3288" s="72"/>
      <c r="O3288" s="96">
        <f t="shared" si="207"/>
        <v>1510</v>
      </c>
      <c r="T3288" s="110"/>
    </row>
    <row r="3289" spans="3:20" x14ac:dyDescent="0.2">
      <c r="C3289" s="96" t="str">
        <f t="shared" si="204"/>
        <v>1511</v>
      </c>
      <c r="D3289" s="73"/>
      <c r="E3289" s="100"/>
      <c r="F3289" s="101"/>
      <c r="G3289" s="96">
        <f t="shared" si="205"/>
        <v>1511</v>
      </c>
      <c r="I3289" s="96"/>
      <c r="K3289" t="str">
        <f t="shared" si="206"/>
        <v>1511</v>
      </c>
      <c r="M3289" s="72"/>
      <c r="O3289" s="96">
        <f t="shared" si="207"/>
        <v>1511</v>
      </c>
      <c r="T3289" s="110"/>
    </row>
    <row r="3290" spans="3:20" x14ac:dyDescent="0.2">
      <c r="C3290" s="96" t="str">
        <f t="shared" si="204"/>
        <v>1512</v>
      </c>
      <c r="D3290" s="73"/>
      <c r="E3290" s="100"/>
      <c r="F3290" s="101"/>
      <c r="G3290" s="96">
        <f t="shared" si="205"/>
        <v>1512</v>
      </c>
      <c r="I3290" s="96"/>
      <c r="K3290" t="str">
        <f t="shared" si="206"/>
        <v>1512</v>
      </c>
      <c r="M3290" s="72"/>
      <c r="O3290" s="96">
        <f t="shared" si="207"/>
        <v>1512</v>
      </c>
      <c r="T3290" s="110"/>
    </row>
    <row r="3291" spans="3:20" x14ac:dyDescent="0.2">
      <c r="C3291" s="96" t="str">
        <f t="shared" si="204"/>
        <v>1513</v>
      </c>
      <c r="D3291" s="73"/>
      <c r="E3291" s="100"/>
      <c r="F3291" s="101"/>
      <c r="G3291" s="96">
        <f t="shared" si="205"/>
        <v>1513</v>
      </c>
      <c r="I3291" s="96"/>
      <c r="K3291" t="str">
        <f t="shared" si="206"/>
        <v>1513</v>
      </c>
      <c r="M3291" s="72"/>
      <c r="O3291" s="96">
        <f t="shared" si="207"/>
        <v>1513</v>
      </c>
      <c r="T3291" s="110"/>
    </row>
    <row r="3292" spans="3:20" x14ac:dyDescent="0.2">
      <c r="C3292" s="96" t="str">
        <f t="shared" si="204"/>
        <v>1514</v>
      </c>
      <c r="D3292" s="73"/>
      <c r="E3292" s="100"/>
      <c r="F3292" s="101"/>
      <c r="G3292" s="96">
        <f t="shared" si="205"/>
        <v>1514</v>
      </c>
      <c r="I3292" s="96"/>
      <c r="K3292" t="str">
        <f t="shared" si="206"/>
        <v>1514</v>
      </c>
      <c r="M3292" s="72"/>
      <c r="O3292" s="96">
        <f t="shared" si="207"/>
        <v>1514</v>
      </c>
      <c r="T3292" s="110"/>
    </row>
    <row r="3293" spans="3:20" x14ac:dyDescent="0.2">
      <c r="C3293" s="96" t="str">
        <f t="shared" si="204"/>
        <v>1515</v>
      </c>
      <c r="D3293" s="73"/>
      <c r="E3293" s="100"/>
      <c r="F3293" s="101"/>
      <c r="G3293" s="96">
        <f t="shared" si="205"/>
        <v>1515</v>
      </c>
      <c r="I3293" s="96"/>
      <c r="K3293" t="str">
        <f t="shared" si="206"/>
        <v>1515</v>
      </c>
      <c r="M3293" s="72"/>
      <c r="O3293" s="96">
        <f t="shared" si="207"/>
        <v>1515</v>
      </c>
    </row>
    <row r="3294" spans="3:20" x14ac:dyDescent="0.2">
      <c r="C3294" s="96" t="str">
        <f t="shared" si="204"/>
        <v>1516</v>
      </c>
      <c r="D3294" s="73"/>
      <c r="E3294" s="100"/>
      <c r="F3294" s="101"/>
      <c r="G3294" s="96">
        <f t="shared" si="205"/>
        <v>1516</v>
      </c>
      <c r="I3294" s="96"/>
      <c r="K3294" t="str">
        <f t="shared" si="206"/>
        <v>1516</v>
      </c>
      <c r="M3294" s="72"/>
      <c r="O3294" s="96">
        <f t="shared" si="207"/>
        <v>1516</v>
      </c>
      <c r="T3294" s="110"/>
    </row>
    <row r="3295" spans="3:20" x14ac:dyDescent="0.2">
      <c r="C3295" s="96" t="str">
        <f t="shared" si="204"/>
        <v>1517</v>
      </c>
      <c r="D3295" s="73"/>
      <c r="E3295" s="100"/>
      <c r="F3295" s="101"/>
      <c r="G3295" s="96">
        <f t="shared" si="205"/>
        <v>1517</v>
      </c>
      <c r="I3295" s="96"/>
      <c r="K3295" t="str">
        <f t="shared" si="206"/>
        <v>1517</v>
      </c>
      <c r="M3295" s="72"/>
      <c r="O3295" s="96">
        <f t="shared" si="207"/>
        <v>1517</v>
      </c>
      <c r="T3295" s="110"/>
    </row>
    <row r="3296" spans="3:20" x14ac:dyDescent="0.2">
      <c r="C3296" s="96" t="str">
        <f t="shared" si="204"/>
        <v>1518</v>
      </c>
      <c r="D3296" s="73"/>
      <c r="E3296" s="100"/>
      <c r="F3296" s="101"/>
      <c r="G3296" s="96">
        <f t="shared" si="205"/>
        <v>1518</v>
      </c>
      <c r="I3296" s="96"/>
      <c r="K3296" t="str">
        <f t="shared" si="206"/>
        <v>1518</v>
      </c>
      <c r="M3296" s="72"/>
      <c r="O3296" s="96">
        <f t="shared" si="207"/>
        <v>1518</v>
      </c>
      <c r="T3296" s="110"/>
    </row>
    <row r="3297" spans="3:20" x14ac:dyDescent="0.2">
      <c r="C3297" s="96" t="str">
        <f t="shared" si="204"/>
        <v>1519</v>
      </c>
      <c r="D3297" s="73"/>
      <c r="E3297" s="100"/>
      <c r="F3297" s="101"/>
      <c r="G3297" s="96">
        <f t="shared" si="205"/>
        <v>1519</v>
      </c>
      <c r="I3297" s="96"/>
      <c r="K3297" t="str">
        <f t="shared" si="206"/>
        <v>1519</v>
      </c>
      <c r="M3297" s="72"/>
      <c r="O3297" s="96">
        <f t="shared" si="207"/>
        <v>1519</v>
      </c>
      <c r="T3297" s="110"/>
    </row>
    <row r="3298" spans="3:20" x14ac:dyDescent="0.2">
      <c r="C3298" s="96" t="str">
        <f t="shared" si="204"/>
        <v>1520</v>
      </c>
      <c r="D3298" s="73"/>
      <c r="E3298" s="100"/>
      <c r="F3298" s="101"/>
      <c r="G3298" s="96">
        <f t="shared" si="205"/>
        <v>1520</v>
      </c>
      <c r="I3298" s="96"/>
      <c r="K3298" t="str">
        <f t="shared" si="206"/>
        <v>1520</v>
      </c>
      <c r="M3298" s="72"/>
      <c r="O3298" s="96">
        <f t="shared" si="207"/>
        <v>1520</v>
      </c>
      <c r="T3298" s="110"/>
    </row>
    <row r="3299" spans="3:20" x14ac:dyDescent="0.2">
      <c r="C3299" s="96" t="str">
        <f t="shared" si="204"/>
        <v>1521</v>
      </c>
      <c r="D3299" s="73"/>
      <c r="E3299" s="100"/>
      <c r="F3299" s="101"/>
      <c r="G3299" s="96">
        <f t="shared" si="205"/>
        <v>1521</v>
      </c>
      <c r="I3299" s="96"/>
      <c r="K3299" t="str">
        <f t="shared" si="206"/>
        <v>1521</v>
      </c>
      <c r="M3299" s="72"/>
      <c r="O3299" s="96">
        <f t="shared" si="207"/>
        <v>1521</v>
      </c>
      <c r="T3299" s="110"/>
    </row>
    <row r="3300" spans="3:20" x14ac:dyDescent="0.2">
      <c r="C3300" s="96" t="str">
        <f t="shared" si="204"/>
        <v>1522</v>
      </c>
      <c r="D3300" s="73"/>
      <c r="E3300" s="100"/>
      <c r="F3300" s="101"/>
      <c r="G3300" s="96">
        <f t="shared" si="205"/>
        <v>1522</v>
      </c>
      <c r="I3300" s="96"/>
      <c r="K3300" t="str">
        <f t="shared" si="206"/>
        <v>1522</v>
      </c>
      <c r="M3300" s="72"/>
      <c r="O3300" s="96">
        <f t="shared" si="207"/>
        <v>1522</v>
      </c>
      <c r="T3300" s="110"/>
    </row>
    <row r="3301" spans="3:20" x14ac:dyDescent="0.2">
      <c r="C3301" s="96" t="str">
        <f t="shared" si="204"/>
        <v>1523</v>
      </c>
      <c r="D3301" s="73"/>
      <c r="E3301" s="100"/>
      <c r="F3301" s="101"/>
      <c r="G3301" s="96">
        <f t="shared" si="205"/>
        <v>1523</v>
      </c>
      <c r="I3301" s="96"/>
      <c r="K3301" t="str">
        <f t="shared" si="206"/>
        <v>1523</v>
      </c>
      <c r="M3301" s="72"/>
      <c r="O3301" s="96">
        <f t="shared" si="207"/>
        <v>1523</v>
      </c>
      <c r="T3301" s="110"/>
    </row>
    <row r="3302" spans="3:20" x14ac:dyDescent="0.2">
      <c r="C3302" s="96" t="str">
        <f t="shared" si="204"/>
        <v>1524</v>
      </c>
      <c r="D3302" s="73"/>
      <c r="E3302" s="100"/>
      <c r="F3302" s="101"/>
      <c r="G3302" s="96">
        <f t="shared" si="205"/>
        <v>1524</v>
      </c>
      <c r="I3302" s="96"/>
      <c r="K3302" t="str">
        <f t="shared" si="206"/>
        <v>1524</v>
      </c>
      <c r="M3302" s="72"/>
      <c r="O3302" s="96">
        <f t="shared" si="207"/>
        <v>1524</v>
      </c>
      <c r="T3302" s="110"/>
    </row>
    <row r="3303" spans="3:20" x14ac:dyDescent="0.2">
      <c r="C3303" s="96" t="str">
        <f t="shared" si="204"/>
        <v>1525</v>
      </c>
      <c r="D3303" s="73"/>
      <c r="E3303" s="100"/>
      <c r="F3303" s="101"/>
      <c r="G3303" s="96">
        <f t="shared" si="205"/>
        <v>1525</v>
      </c>
      <c r="I3303" s="96"/>
      <c r="K3303" t="str">
        <f t="shared" si="206"/>
        <v>1525</v>
      </c>
      <c r="M3303" s="72"/>
      <c r="O3303" s="96">
        <f t="shared" si="207"/>
        <v>1525</v>
      </c>
      <c r="T3303" s="110"/>
    </row>
    <row r="3304" spans="3:20" x14ac:dyDescent="0.2">
      <c r="C3304" s="96" t="str">
        <f t="shared" si="204"/>
        <v>1526</v>
      </c>
      <c r="D3304" s="73"/>
      <c r="E3304" s="100"/>
      <c r="F3304" s="101"/>
      <c r="G3304" s="96">
        <f t="shared" si="205"/>
        <v>1526</v>
      </c>
      <c r="I3304" s="96"/>
      <c r="K3304" t="str">
        <f t="shared" si="206"/>
        <v>1526</v>
      </c>
      <c r="M3304" s="72"/>
      <c r="O3304" s="96">
        <f t="shared" si="207"/>
        <v>1526</v>
      </c>
      <c r="T3304" s="110"/>
    </row>
    <row r="3305" spans="3:20" x14ac:dyDescent="0.2">
      <c r="C3305" s="96" t="str">
        <f t="shared" si="204"/>
        <v>1527</v>
      </c>
      <c r="D3305" s="73"/>
      <c r="E3305" s="100"/>
      <c r="F3305" s="101"/>
      <c r="G3305" s="96">
        <f t="shared" si="205"/>
        <v>1527</v>
      </c>
      <c r="I3305" s="96"/>
      <c r="K3305" t="str">
        <f t="shared" si="206"/>
        <v>1527</v>
      </c>
      <c r="M3305" s="72"/>
      <c r="O3305" s="96">
        <f t="shared" si="207"/>
        <v>1527</v>
      </c>
      <c r="T3305" s="110"/>
    </row>
    <row r="3306" spans="3:20" x14ac:dyDescent="0.2">
      <c r="C3306" s="96" t="str">
        <f t="shared" si="204"/>
        <v>1528</v>
      </c>
      <c r="D3306" s="73"/>
      <c r="E3306" s="100"/>
      <c r="F3306" s="101"/>
      <c r="G3306" s="96">
        <f t="shared" si="205"/>
        <v>1528</v>
      </c>
      <c r="I3306" s="96"/>
      <c r="K3306" t="str">
        <f t="shared" si="206"/>
        <v>1528</v>
      </c>
      <c r="M3306" s="72"/>
      <c r="O3306" s="96">
        <f t="shared" si="207"/>
        <v>1528</v>
      </c>
      <c r="T3306" s="110"/>
    </row>
    <row r="3307" spans="3:20" x14ac:dyDescent="0.2">
      <c r="C3307" s="96" t="str">
        <f t="shared" si="204"/>
        <v>1529</v>
      </c>
      <c r="D3307" s="73"/>
      <c r="E3307" s="100"/>
      <c r="F3307" s="101"/>
      <c r="G3307" s="96">
        <f t="shared" si="205"/>
        <v>1529</v>
      </c>
      <c r="I3307" s="96"/>
      <c r="K3307" t="str">
        <f t="shared" si="206"/>
        <v>1529</v>
      </c>
      <c r="M3307" s="72"/>
      <c r="O3307" s="96">
        <f t="shared" si="207"/>
        <v>1529</v>
      </c>
      <c r="T3307" s="110"/>
    </row>
    <row r="3308" spans="3:20" x14ac:dyDescent="0.2">
      <c r="C3308" s="96" t="str">
        <f t="shared" si="204"/>
        <v>1530</v>
      </c>
      <c r="D3308" s="73"/>
      <c r="E3308" s="100"/>
      <c r="F3308" s="101"/>
      <c r="G3308" s="96">
        <f t="shared" si="205"/>
        <v>1530</v>
      </c>
      <c r="I3308" s="96"/>
      <c r="K3308" t="str">
        <f t="shared" si="206"/>
        <v>1530</v>
      </c>
      <c r="M3308" s="72"/>
      <c r="O3308" s="96">
        <f t="shared" si="207"/>
        <v>1530</v>
      </c>
      <c r="T3308" s="110"/>
    </row>
    <row r="3309" spans="3:20" x14ac:dyDescent="0.2">
      <c r="C3309" s="96" t="str">
        <f t="shared" si="204"/>
        <v>1531</v>
      </c>
      <c r="D3309" s="73"/>
      <c r="E3309" s="100"/>
      <c r="F3309" s="101"/>
      <c r="G3309" s="96">
        <f t="shared" si="205"/>
        <v>1531</v>
      </c>
      <c r="I3309" s="96"/>
      <c r="K3309" t="str">
        <f t="shared" si="206"/>
        <v>1531</v>
      </c>
      <c r="M3309" s="72"/>
      <c r="O3309" s="96">
        <f t="shared" si="207"/>
        <v>1531</v>
      </c>
      <c r="T3309" s="110"/>
    </row>
    <row r="3310" spans="3:20" x14ac:dyDescent="0.2">
      <c r="C3310" s="96" t="str">
        <f t="shared" si="204"/>
        <v>1532</v>
      </c>
      <c r="D3310" s="73"/>
      <c r="E3310" s="100"/>
      <c r="F3310" s="101"/>
      <c r="G3310" s="96">
        <f t="shared" si="205"/>
        <v>1532</v>
      </c>
      <c r="I3310" s="96"/>
      <c r="K3310" t="str">
        <f t="shared" si="206"/>
        <v>1532</v>
      </c>
      <c r="M3310" s="72"/>
      <c r="O3310" s="96">
        <f t="shared" si="207"/>
        <v>1532</v>
      </c>
      <c r="T3310" s="110"/>
    </row>
    <row r="3311" spans="3:20" x14ac:dyDescent="0.2">
      <c r="C3311" s="96" t="str">
        <f t="shared" si="204"/>
        <v>1533</v>
      </c>
      <c r="D3311" s="73"/>
      <c r="E3311" s="100"/>
      <c r="F3311" s="101"/>
      <c r="G3311" s="96">
        <f t="shared" si="205"/>
        <v>1533</v>
      </c>
      <c r="I3311" s="96"/>
      <c r="K3311" t="str">
        <f t="shared" si="206"/>
        <v>1533</v>
      </c>
      <c r="M3311" s="72"/>
      <c r="O3311" s="96">
        <f t="shared" si="207"/>
        <v>1533</v>
      </c>
      <c r="T3311" s="110"/>
    </row>
    <row r="3312" spans="3:20" x14ac:dyDescent="0.2">
      <c r="C3312" s="96" t="str">
        <f t="shared" si="204"/>
        <v>1534</v>
      </c>
      <c r="D3312" s="73"/>
      <c r="E3312" s="100"/>
      <c r="F3312" s="101"/>
      <c r="G3312" s="96">
        <f t="shared" si="205"/>
        <v>1534</v>
      </c>
      <c r="I3312" s="96"/>
      <c r="K3312" t="str">
        <f t="shared" si="206"/>
        <v>1534</v>
      </c>
      <c r="M3312" s="72"/>
      <c r="O3312" s="96">
        <f t="shared" si="207"/>
        <v>1534</v>
      </c>
      <c r="T3312" s="110"/>
    </row>
    <row r="3313" spans="3:20" x14ac:dyDescent="0.2">
      <c r="C3313" s="96" t="str">
        <f t="shared" si="204"/>
        <v>1535</v>
      </c>
      <c r="D3313" s="73"/>
      <c r="E3313" s="100"/>
      <c r="F3313" s="101"/>
      <c r="G3313" s="96">
        <f t="shared" si="205"/>
        <v>1535</v>
      </c>
      <c r="I3313" s="96"/>
      <c r="K3313" t="str">
        <f t="shared" si="206"/>
        <v>1535</v>
      </c>
      <c r="M3313" s="72"/>
      <c r="O3313" s="96">
        <f t="shared" si="207"/>
        <v>1535</v>
      </c>
      <c r="T3313" s="110"/>
    </row>
    <row r="3314" spans="3:20" x14ac:dyDescent="0.2">
      <c r="C3314" s="96" t="str">
        <f t="shared" si="204"/>
        <v>1536</v>
      </c>
      <c r="D3314" s="73"/>
      <c r="E3314" s="100"/>
      <c r="F3314" s="101"/>
      <c r="G3314" s="96">
        <f t="shared" si="205"/>
        <v>1536</v>
      </c>
      <c r="I3314" s="96"/>
      <c r="K3314" t="str">
        <f t="shared" si="206"/>
        <v>1536</v>
      </c>
      <c r="M3314" s="72"/>
      <c r="O3314" s="96">
        <f t="shared" si="207"/>
        <v>1536</v>
      </c>
      <c r="T3314" s="110"/>
    </row>
    <row r="3315" spans="3:20" x14ac:dyDescent="0.2">
      <c r="C3315" s="96" t="str">
        <f t="shared" si="204"/>
        <v>1537</v>
      </c>
      <c r="D3315" s="73"/>
      <c r="E3315" s="100"/>
      <c r="F3315" s="101"/>
      <c r="G3315" s="96">
        <f t="shared" si="205"/>
        <v>1537</v>
      </c>
      <c r="I3315" s="96"/>
      <c r="K3315" t="str">
        <f t="shared" si="206"/>
        <v>1537</v>
      </c>
      <c r="M3315" s="72"/>
      <c r="O3315" s="96">
        <f t="shared" si="207"/>
        <v>1537</v>
      </c>
      <c r="T3315" s="110"/>
    </row>
    <row r="3316" spans="3:20" x14ac:dyDescent="0.2">
      <c r="C3316" s="96" t="str">
        <f t="shared" si="204"/>
        <v>1538</v>
      </c>
      <c r="D3316" s="73"/>
      <c r="E3316" s="100"/>
      <c r="F3316" s="101"/>
      <c r="G3316" s="96">
        <f t="shared" si="205"/>
        <v>1538</v>
      </c>
      <c r="I3316" s="96"/>
      <c r="K3316" t="str">
        <f t="shared" si="206"/>
        <v>1538</v>
      </c>
      <c r="M3316" s="72"/>
      <c r="O3316" s="96">
        <f t="shared" si="207"/>
        <v>1538</v>
      </c>
      <c r="T3316" s="110"/>
    </row>
    <row r="3317" spans="3:20" x14ac:dyDescent="0.2">
      <c r="C3317" s="96" t="str">
        <f t="shared" si="204"/>
        <v>1539</v>
      </c>
      <c r="D3317" s="73"/>
      <c r="E3317" s="100"/>
      <c r="F3317" s="101"/>
      <c r="G3317" s="96">
        <f t="shared" si="205"/>
        <v>1539</v>
      </c>
      <c r="I3317" s="96"/>
      <c r="K3317" t="str">
        <f t="shared" si="206"/>
        <v>1539</v>
      </c>
      <c r="M3317" s="72"/>
      <c r="O3317" s="96">
        <f t="shared" si="207"/>
        <v>1539</v>
      </c>
      <c r="T3317" s="110"/>
    </row>
    <row r="3318" spans="3:20" x14ac:dyDescent="0.2">
      <c r="C3318" s="96" t="str">
        <f t="shared" si="204"/>
        <v>1540</v>
      </c>
      <c r="D3318" s="73"/>
      <c r="E3318" s="100"/>
      <c r="F3318" s="101"/>
      <c r="G3318" s="96">
        <f t="shared" si="205"/>
        <v>1540</v>
      </c>
      <c r="I3318" s="96"/>
      <c r="K3318" t="str">
        <f t="shared" si="206"/>
        <v>1540</v>
      </c>
      <c r="M3318" s="72"/>
      <c r="O3318" s="96">
        <f t="shared" si="207"/>
        <v>1540</v>
      </c>
      <c r="T3318" s="110"/>
    </row>
    <row r="3319" spans="3:20" x14ac:dyDescent="0.2">
      <c r="C3319" s="96" t="str">
        <f t="shared" si="204"/>
        <v>1541</v>
      </c>
      <c r="D3319" s="73"/>
      <c r="E3319" s="100"/>
      <c r="F3319" s="101"/>
      <c r="G3319" s="96">
        <f t="shared" si="205"/>
        <v>1541</v>
      </c>
      <c r="I3319" s="96"/>
      <c r="K3319" t="str">
        <f t="shared" si="206"/>
        <v>1541</v>
      </c>
      <c r="M3319" s="72"/>
      <c r="O3319" s="96">
        <f t="shared" si="207"/>
        <v>1541</v>
      </c>
      <c r="T3319" s="110"/>
    </row>
    <row r="3320" spans="3:20" x14ac:dyDescent="0.2">
      <c r="C3320" s="96" t="str">
        <f t="shared" si="204"/>
        <v>1542</v>
      </c>
      <c r="D3320" s="73"/>
      <c r="E3320" s="100"/>
      <c r="F3320" s="101"/>
      <c r="G3320" s="96">
        <f t="shared" si="205"/>
        <v>1542</v>
      </c>
      <c r="I3320" s="96"/>
      <c r="K3320" t="str">
        <f t="shared" si="206"/>
        <v>1542</v>
      </c>
      <c r="M3320" s="72"/>
      <c r="O3320" s="96">
        <f t="shared" si="207"/>
        <v>1542</v>
      </c>
      <c r="T3320" s="110"/>
    </row>
    <row r="3321" spans="3:20" x14ac:dyDescent="0.2">
      <c r="C3321" s="96" t="str">
        <f t="shared" si="204"/>
        <v>1543</v>
      </c>
      <c r="D3321" s="73"/>
      <c r="E3321" s="100"/>
      <c r="F3321" s="101"/>
      <c r="G3321" s="96">
        <f t="shared" si="205"/>
        <v>1543</v>
      </c>
      <c r="I3321" s="96"/>
      <c r="K3321" t="str">
        <f t="shared" si="206"/>
        <v>1543</v>
      </c>
      <c r="M3321" s="72"/>
      <c r="O3321" s="96">
        <f t="shared" si="207"/>
        <v>1543</v>
      </c>
      <c r="T3321" s="110"/>
    </row>
    <row r="3322" spans="3:20" x14ac:dyDescent="0.2">
      <c r="C3322" s="96" t="str">
        <f t="shared" si="204"/>
        <v>1544</v>
      </c>
      <c r="D3322" s="73"/>
      <c r="E3322" s="100"/>
      <c r="F3322" s="101"/>
      <c r="G3322" s="96">
        <f t="shared" si="205"/>
        <v>1544</v>
      </c>
      <c r="I3322" s="96"/>
      <c r="K3322" t="str">
        <f t="shared" si="206"/>
        <v>1544</v>
      </c>
      <c r="M3322" s="72"/>
      <c r="O3322" s="96">
        <f t="shared" si="207"/>
        <v>1544</v>
      </c>
      <c r="T3322" s="110"/>
    </row>
    <row r="3323" spans="3:20" x14ac:dyDescent="0.2">
      <c r="C3323" s="96" t="str">
        <f t="shared" si="204"/>
        <v>1545</v>
      </c>
      <c r="D3323" s="73"/>
      <c r="E3323" s="100"/>
      <c r="F3323" s="101"/>
      <c r="G3323" s="96">
        <f t="shared" si="205"/>
        <v>1545</v>
      </c>
      <c r="I3323" s="96"/>
      <c r="K3323" t="str">
        <f t="shared" si="206"/>
        <v>1545</v>
      </c>
      <c r="M3323" s="72"/>
      <c r="O3323" s="96">
        <f t="shared" si="207"/>
        <v>1545</v>
      </c>
      <c r="T3323" s="110"/>
    </row>
    <row r="3324" spans="3:20" x14ac:dyDescent="0.2">
      <c r="C3324" s="96" t="str">
        <f t="shared" si="204"/>
        <v>1546</v>
      </c>
      <c r="D3324" s="73"/>
      <c r="E3324" s="100"/>
      <c r="F3324" s="101"/>
      <c r="G3324" s="96">
        <f t="shared" si="205"/>
        <v>1546</v>
      </c>
      <c r="I3324" s="96"/>
      <c r="K3324" t="str">
        <f t="shared" si="206"/>
        <v>1546</v>
      </c>
      <c r="M3324" s="72"/>
      <c r="O3324" s="96">
        <f t="shared" si="207"/>
        <v>1546</v>
      </c>
      <c r="T3324" s="110"/>
    </row>
    <row r="3325" spans="3:20" x14ac:dyDescent="0.2">
      <c r="C3325" s="96" t="str">
        <f t="shared" si="204"/>
        <v>1547</v>
      </c>
      <c r="D3325" s="73"/>
      <c r="E3325" s="100"/>
      <c r="F3325" s="101"/>
      <c r="G3325" s="96">
        <f t="shared" si="205"/>
        <v>1547</v>
      </c>
      <c r="I3325" s="96"/>
      <c r="K3325" t="str">
        <f t="shared" si="206"/>
        <v>1547</v>
      </c>
      <c r="M3325" s="72"/>
      <c r="O3325" s="96">
        <f t="shared" si="207"/>
        <v>1547</v>
      </c>
      <c r="T3325" s="110"/>
    </row>
    <row r="3326" spans="3:20" x14ac:dyDescent="0.2">
      <c r="C3326" s="96" t="str">
        <f t="shared" si="204"/>
        <v>1548</v>
      </c>
      <c r="D3326" s="73"/>
      <c r="E3326" s="100"/>
      <c r="F3326" s="101"/>
      <c r="G3326" s="96">
        <f t="shared" si="205"/>
        <v>1548</v>
      </c>
      <c r="I3326" s="96"/>
      <c r="K3326" t="str">
        <f t="shared" si="206"/>
        <v>1548</v>
      </c>
      <c r="M3326" s="72"/>
      <c r="O3326" s="96">
        <f t="shared" si="207"/>
        <v>1548</v>
      </c>
      <c r="T3326" s="110"/>
    </row>
    <row r="3327" spans="3:20" x14ac:dyDescent="0.2">
      <c r="C3327" s="96" t="str">
        <f t="shared" si="204"/>
        <v>1549</v>
      </c>
      <c r="D3327" s="73"/>
      <c r="E3327" s="100"/>
      <c r="F3327" s="101"/>
      <c r="G3327" s="96">
        <f t="shared" si="205"/>
        <v>1549</v>
      </c>
      <c r="I3327" s="96"/>
      <c r="K3327" t="str">
        <f t="shared" si="206"/>
        <v>1549</v>
      </c>
      <c r="M3327" s="72"/>
      <c r="O3327" s="96">
        <f t="shared" si="207"/>
        <v>1549</v>
      </c>
      <c r="T3327" s="110"/>
    </row>
    <row r="3328" spans="3:20" x14ac:dyDescent="0.2">
      <c r="C3328" s="96" t="str">
        <f t="shared" si="204"/>
        <v>1550</v>
      </c>
      <c r="D3328" s="73"/>
      <c r="E3328" s="100"/>
      <c r="F3328" s="101"/>
      <c r="G3328" s="96">
        <f t="shared" si="205"/>
        <v>1550</v>
      </c>
      <c r="I3328" s="96"/>
      <c r="K3328" t="str">
        <f t="shared" si="206"/>
        <v>1550</v>
      </c>
      <c r="M3328" s="72"/>
      <c r="O3328" s="96">
        <f t="shared" si="207"/>
        <v>1550</v>
      </c>
      <c r="T3328" s="110"/>
    </row>
    <row r="3329" spans="3:20" x14ac:dyDescent="0.2">
      <c r="C3329" s="96" t="str">
        <f t="shared" si="204"/>
        <v>1551</v>
      </c>
      <c r="D3329" s="73"/>
      <c r="E3329" s="100"/>
      <c r="F3329" s="101"/>
      <c r="G3329" s="96">
        <f t="shared" si="205"/>
        <v>1551</v>
      </c>
      <c r="I3329" s="96"/>
      <c r="K3329" t="str">
        <f t="shared" si="206"/>
        <v>1551</v>
      </c>
      <c r="M3329" s="72"/>
      <c r="O3329" s="96">
        <f t="shared" si="207"/>
        <v>1551</v>
      </c>
      <c r="T3329" s="110"/>
    </row>
    <row r="3330" spans="3:20" x14ac:dyDescent="0.2">
      <c r="C3330" s="96" t="str">
        <f t="shared" si="204"/>
        <v>1552</v>
      </c>
      <c r="D3330" s="73"/>
      <c r="E3330" s="100"/>
      <c r="F3330" s="101"/>
      <c r="G3330" s="96">
        <f t="shared" si="205"/>
        <v>1552</v>
      </c>
      <c r="I3330" s="96"/>
      <c r="K3330" t="str">
        <f t="shared" si="206"/>
        <v>1552</v>
      </c>
      <c r="M3330" s="72"/>
      <c r="O3330" s="96">
        <f t="shared" si="207"/>
        <v>1552</v>
      </c>
      <c r="T3330" s="110"/>
    </row>
    <row r="3331" spans="3:20" x14ac:dyDescent="0.2">
      <c r="C3331" s="96" t="str">
        <f t="shared" ref="C3331:C3394" si="208">D3331&amp;G3331</f>
        <v>1553</v>
      </c>
      <c r="D3331" s="73"/>
      <c r="E3331" s="100"/>
      <c r="F3331" s="101"/>
      <c r="G3331" s="96">
        <f t="shared" ref="G3331:G3394" si="209">IF(D3331&lt;&gt;D3330,1,G3330+1)</f>
        <v>1553</v>
      </c>
      <c r="I3331" s="96"/>
      <c r="K3331" t="str">
        <f t="shared" ref="K3331:K3394" si="210">L3331&amp;O3331</f>
        <v>1553</v>
      </c>
      <c r="M3331" s="72"/>
      <c r="O3331" s="96">
        <f t="shared" ref="O3331:O3394" si="211">IF(L3331&lt;&gt;L3330,1,O3330+1)</f>
        <v>1553</v>
      </c>
      <c r="T3331" s="110"/>
    </row>
    <row r="3332" spans="3:20" x14ac:dyDescent="0.2">
      <c r="C3332" s="96" t="str">
        <f t="shared" si="208"/>
        <v>1554</v>
      </c>
      <c r="D3332" s="73"/>
      <c r="E3332" s="100"/>
      <c r="F3332" s="101"/>
      <c r="G3332" s="96">
        <f t="shared" si="209"/>
        <v>1554</v>
      </c>
      <c r="I3332" s="96"/>
      <c r="K3332" t="str">
        <f t="shared" si="210"/>
        <v>1554</v>
      </c>
      <c r="M3332" s="72"/>
      <c r="O3332" s="96">
        <f t="shared" si="211"/>
        <v>1554</v>
      </c>
      <c r="T3332" s="110"/>
    </row>
    <row r="3333" spans="3:20" x14ac:dyDescent="0.2">
      <c r="C3333" s="96" t="str">
        <f t="shared" si="208"/>
        <v>1555</v>
      </c>
      <c r="D3333" s="73"/>
      <c r="E3333" s="100"/>
      <c r="F3333" s="101"/>
      <c r="G3333" s="96">
        <f t="shared" si="209"/>
        <v>1555</v>
      </c>
      <c r="I3333" s="96"/>
      <c r="K3333" t="str">
        <f t="shared" si="210"/>
        <v>1555</v>
      </c>
      <c r="M3333" s="72"/>
      <c r="O3333" s="96">
        <f t="shared" si="211"/>
        <v>1555</v>
      </c>
      <c r="T3333" s="110"/>
    </row>
    <row r="3334" spans="3:20" x14ac:dyDescent="0.2">
      <c r="C3334" s="96" t="str">
        <f t="shared" si="208"/>
        <v>1556</v>
      </c>
      <c r="D3334" s="73"/>
      <c r="E3334" s="100"/>
      <c r="F3334" s="101"/>
      <c r="G3334" s="96">
        <f t="shared" si="209"/>
        <v>1556</v>
      </c>
      <c r="I3334" s="96"/>
      <c r="K3334" t="str">
        <f t="shared" si="210"/>
        <v>1556</v>
      </c>
      <c r="M3334" s="72"/>
      <c r="O3334" s="96">
        <f t="shared" si="211"/>
        <v>1556</v>
      </c>
      <c r="T3334" s="110"/>
    </row>
    <row r="3335" spans="3:20" x14ac:dyDescent="0.2">
      <c r="C3335" s="96" t="str">
        <f t="shared" si="208"/>
        <v>1557</v>
      </c>
      <c r="D3335" s="73"/>
      <c r="E3335" s="100"/>
      <c r="F3335" s="101"/>
      <c r="G3335" s="96">
        <f t="shared" si="209"/>
        <v>1557</v>
      </c>
      <c r="I3335" s="96"/>
      <c r="K3335" t="str">
        <f t="shared" si="210"/>
        <v>1557</v>
      </c>
      <c r="M3335" s="72"/>
      <c r="O3335" s="96">
        <f t="shared" si="211"/>
        <v>1557</v>
      </c>
      <c r="T3335" s="110"/>
    </row>
    <row r="3336" spans="3:20" x14ac:dyDescent="0.2">
      <c r="C3336" s="96" t="str">
        <f t="shared" si="208"/>
        <v>1558</v>
      </c>
      <c r="D3336" s="73"/>
      <c r="E3336" s="100"/>
      <c r="F3336" s="101"/>
      <c r="G3336" s="96">
        <f t="shared" si="209"/>
        <v>1558</v>
      </c>
      <c r="I3336" s="96"/>
      <c r="K3336" t="str">
        <f t="shared" si="210"/>
        <v>1558</v>
      </c>
      <c r="M3336" s="72"/>
      <c r="O3336" s="96">
        <f t="shared" si="211"/>
        <v>1558</v>
      </c>
      <c r="T3336" s="110"/>
    </row>
    <row r="3337" spans="3:20" x14ac:dyDescent="0.2">
      <c r="C3337" s="96" t="str">
        <f t="shared" si="208"/>
        <v>1559</v>
      </c>
      <c r="D3337" s="73"/>
      <c r="E3337" s="100"/>
      <c r="F3337" s="101"/>
      <c r="G3337" s="96">
        <f t="shared" si="209"/>
        <v>1559</v>
      </c>
      <c r="I3337" s="96"/>
      <c r="K3337" t="str">
        <f t="shared" si="210"/>
        <v>1559</v>
      </c>
      <c r="M3337" s="72"/>
      <c r="O3337" s="96">
        <f t="shared" si="211"/>
        <v>1559</v>
      </c>
      <c r="T3337" s="110"/>
    </row>
    <row r="3338" spans="3:20" x14ac:dyDescent="0.2">
      <c r="C3338" s="96" t="str">
        <f t="shared" si="208"/>
        <v>1560</v>
      </c>
      <c r="D3338" s="73"/>
      <c r="E3338" s="100"/>
      <c r="F3338" s="101"/>
      <c r="G3338" s="96">
        <f t="shared" si="209"/>
        <v>1560</v>
      </c>
      <c r="I3338" s="96"/>
      <c r="K3338" t="str">
        <f t="shared" si="210"/>
        <v>1560</v>
      </c>
      <c r="M3338" s="72"/>
      <c r="O3338" s="96">
        <f t="shared" si="211"/>
        <v>1560</v>
      </c>
      <c r="T3338" s="110"/>
    </row>
    <row r="3339" spans="3:20" x14ac:dyDescent="0.2">
      <c r="C3339" s="96" t="str">
        <f t="shared" si="208"/>
        <v>1561</v>
      </c>
      <c r="D3339" s="73"/>
      <c r="E3339" s="100"/>
      <c r="F3339" s="101"/>
      <c r="G3339" s="96">
        <f t="shared" si="209"/>
        <v>1561</v>
      </c>
      <c r="I3339" s="96"/>
      <c r="K3339" t="str">
        <f t="shared" si="210"/>
        <v>1561</v>
      </c>
      <c r="M3339" s="72"/>
      <c r="O3339" s="96">
        <f t="shared" si="211"/>
        <v>1561</v>
      </c>
      <c r="T3339" s="110"/>
    </row>
    <row r="3340" spans="3:20" x14ac:dyDescent="0.2">
      <c r="C3340" s="96" t="str">
        <f t="shared" si="208"/>
        <v>1562</v>
      </c>
      <c r="D3340" s="73"/>
      <c r="E3340" s="100"/>
      <c r="F3340" s="101"/>
      <c r="G3340" s="96">
        <f t="shared" si="209"/>
        <v>1562</v>
      </c>
      <c r="I3340" s="96"/>
      <c r="K3340" t="str">
        <f t="shared" si="210"/>
        <v>1562</v>
      </c>
      <c r="M3340" s="72"/>
      <c r="O3340" s="96">
        <f t="shared" si="211"/>
        <v>1562</v>
      </c>
      <c r="T3340" s="110"/>
    </row>
    <row r="3341" spans="3:20" x14ac:dyDescent="0.2">
      <c r="C3341" s="96" t="str">
        <f t="shared" si="208"/>
        <v>1563</v>
      </c>
      <c r="D3341" s="73"/>
      <c r="E3341" s="100"/>
      <c r="F3341" s="101"/>
      <c r="G3341" s="96">
        <f t="shared" si="209"/>
        <v>1563</v>
      </c>
      <c r="I3341" s="96"/>
      <c r="K3341" t="str">
        <f t="shared" si="210"/>
        <v>1563</v>
      </c>
      <c r="M3341" s="72"/>
      <c r="O3341" s="96">
        <f t="shared" si="211"/>
        <v>1563</v>
      </c>
      <c r="T3341" s="110"/>
    </row>
    <row r="3342" spans="3:20" x14ac:dyDescent="0.2">
      <c r="C3342" s="96" t="str">
        <f t="shared" si="208"/>
        <v>1564</v>
      </c>
      <c r="D3342" s="73"/>
      <c r="E3342" s="100"/>
      <c r="F3342" s="101"/>
      <c r="G3342" s="96">
        <f t="shared" si="209"/>
        <v>1564</v>
      </c>
      <c r="I3342" s="96"/>
      <c r="K3342" t="str">
        <f t="shared" si="210"/>
        <v>1564</v>
      </c>
      <c r="M3342" s="72"/>
      <c r="O3342" s="96">
        <f t="shared" si="211"/>
        <v>1564</v>
      </c>
      <c r="T3342" s="110"/>
    </row>
    <row r="3343" spans="3:20" x14ac:dyDescent="0.2">
      <c r="C3343" s="96" t="str">
        <f t="shared" si="208"/>
        <v>1565</v>
      </c>
      <c r="D3343" s="73"/>
      <c r="E3343" s="100"/>
      <c r="F3343" s="101"/>
      <c r="G3343" s="96">
        <f t="shared" si="209"/>
        <v>1565</v>
      </c>
      <c r="I3343" s="96"/>
      <c r="K3343" t="str">
        <f t="shared" si="210"/>
        <v>1565</v>
      </c>
      <c r="M3343" s="72"/>
      <c r="O3343" s="96">
        <f t="shared" si="211"/>
        <v>1565</v>
      </c>
      <c r="T3343" s="110"/>
    </row>
    <row r="3344" spans="3:20" x14ac:dyDescent="0.2">
      <c r="C3344" s="96" t="str">
        <f t="shared" si="208"/>
        <v>1566</v>
      </c>
      <c r="D3344" s="73"/>
      <c r="E3344" s="100"/>
      <c r="F3344" s="101"/>
      <c r="G3344" s="96">
        <f t="shared" si="209"/>
        <v>1566</v>
      </c>
      <c r="I3344" s="96"/>
      <c r="K3344" t="str">
        <f t="shared" si="210"/>
        <v>1566</v>
      </c>
      <c r="M3344" s="72"/>
      <c r="O3344" s="96">
        <f t="shared" si="211"/>
        <v>1566</v>
      </c>
      <c r="T3344" s="83"/>
    </row>
    <row r="3345" spans="3:20" x14ac:dyDescent="0.2">
      <c r="C3345" s="96" t="str">
        <f t="shared" si="208"/>
        <v>1567</v>
      </c>
      <c r="D3345" s="73"/>
      <c r="E3345" s="100"/>
      <c r="F3345" s="101"/>
      <c r="G3345" s="96">
        <f t="shared" si="209"/>
        <v>1567</v>
      </c>
      <c r="I3345" s="96"/>
      <c r="K3345" t="str">
        <f t="shared" si="210"/>
        <v>1567</v>
      </c>
      <c r="M3345" s="72"/>
      <c r="O3345" s="96">
        <f t="shared" si="211"/>
        <v>1567</v>
      </c>
      <c r="T3345" s="83"/>
    </row>
    <row r="3346" spans="3:20" x14ac:dyDescent="0.2">
      <c r="C3346" s="96" t="str">
        <f t="shared" si="208"/>
        <v>1568</v>
      </c>
      <c r="D3346" s="73"/>
      <c r="E3346" s="100"/>
      <c r="F3346" s="101"/>
      <c r="G3346" s="96">
        <f t="shared" si="209"/>
        <v>1568</v>
      </c>
      <c r="I3346" s="96"/>
      <c r="K3346" t="str">
        <f t="shared" si="210"/>
        <v>1568</v>
      </c>
      <c r="M3346" s="72"/>
      <c r="O3346" s="96">
        <f t="shared" si="211"/>
        <v>1568</v>
      </c>
      <c r="T3346" s="110"/>
    </row>
    <row r="3347" spans="3:20" x14ac:dyDescent="0.2">
      <c r="C3347" s="96" t="str">
        <f t="shared" si="208"/>
        <v>1569</v>
      </c>
      <c r="D3347" s="73"/>
      <c r="E3347" s="100"/>
      <c r="F3347" s="101"/>
      <c r="G3347" s="96">
        <f t="shared" si="209"/>
        <v>1569</v>
      </c>
      <c r="I3347" s="96"/>
      <c r="K3347" t="str">
        <f t="shared" si="210"/>
        <v>1569</v>
      </c>
      <c r="M3347" s="72"/>
      <c r="O3347" s="96">
        <f t="shared" si="211"/>
        <v>1569</v>
      </c>
    </row>
    <row r="3348" spans="3:20" x14ac:dyDescent="0.2">
      <c r="C3348" s="96" t="str">
        <f t="shared" si="208"/>
        <v>1570</v>
      </c>
      <c r="D3348" s="73"/>
      <c r="E3348" s="100"/>
      <c r="F3348" s="101"/>
      <c r="G3348" s="96">
        <f t="shared" si="209"/>
        <v>1570</v>
      </c>
      <c r="I3348" s="96"/>
      <c r="K3348" t="str">
        <f t="shared" si="210"/>
        <v>1570</v>
      </c>
      <c r="M3348" s="72"/>
      <c r="O3348" s="96">
        <f t="shared" si="211"/>
        <v>1570</v>
      </c>
    </row>
    <row r="3349" spans="3:20" x14ac:dyDescent="0.2">
      <c r="C3349" s="96" t="str">
        <f t="shared" si="208"/>
        <v>1571</v>
      </c>
      <c r="D3349" s="73"/>
      <c r="E3349" s="100"/>
      <c r="F3349" s="101"/>
      <c r="G3349" s="96">
        <f t="shared" si="209"/>
        <v>1571</v>
      </c>
      <c r="I3349" s="96"/>
      <c r="K3349" t="str">
        <f t="shared" si="210"/>
        <v>1571</v>
      </c>
      <c r="M3349" s="72"/>
      <c r="O3349" s="96">
        <f t="shared" si="211"/>
        <v>1571</v>
      </c>
    </row>
    <row r="3350" spans="3:20" x14ac:dyDescent="0.2">
      <c r="C3350" s="96" t="str">
        <f t="shared" si="208"/>
        <v>1572</v>
      </c>
      <c r="D3350" s="73"/>
      <c r="E3350" s="100"/>
      <c r="F3350" s="101"/>
      <c r="G3350" s="96">
        <f t="shared" si="209"/>
        <v>1572</v>
      </c>
      <c r="I3350" s="96"/>
      <c r="K3350" t="str">
        <f t="shared" si="210"/>
        <v>1572</v>
      </c>
      <c r="M3350" s="72"/>
      <c r="O3350" s="96">
        <f t="shared" si="211"/>
        <v>1572</v>
      </c>
    </row>
    <row r="3351" spans="3:20" x14ac:dyDescent="0.2">
      <c r="C3351" s="96" t="str">
        <f t="shared" si="208"/>
        <v>1573</v>
      </c>
      <c r="D3351" s="73"/>
      <c r="E3351" s="100"/>
      <c r="F3351" s="101"/>
      <c r="G3351" s="96">
        <f t="shared" si="209"/>
        <v>1573</v>
      </c>
      <c r="I3351" s="96"/>
      <c r="K3351" t="str">
        <f t="shared" si="210"/>
        <v>1573</v>
      </c>
      <c r="M3351" s="72"/>
      <c r="O3351" s="96">
        <f t="shared" si="211"/>
        <v>1573</v>
      </c>
      <c r="T3351" s="110"/>
    </row>
    <row r="3352" spans="3:20" x14ac:dyDescent="0.2">
      <c r="C3352" s="96" t="str">
        <f t="shared" si="208"/>
        <v>1574</v>
      </c>
      <c r="D3352" s="73"/>
      <c r="E3352" s="100"/>
      <c r="F3352" s="101"/>
      <c r="G3352" s="96">
        <f t="shared" si="209"/>
        <v>1574</v>
      </c>
      <c r="I3352" s="96"/>
      <c r="K3352" t="str">
        <f t="shared" si="210"/>
        <v>1574</v>
      </c>
      <c r="M3352" s="72"/>
      <c r="O3352" s="96">
        <f t="shared" si="211"/>
        <v>1574</v>
      </c>
      <c r="T3352" s="110"/>
    </row>
    <row r="3353" spans="3:20" x14ac:dyDescent="0.2">
      <c r="C3353" s="96" t="str">
        <f t="shared" si="208"/>
        <v>1575</v>
      </c>
      <c r="D3353" s="73"/>
      <c r="E3353" s="100"/>
      <c r="F3353" s="101"/>
      <c r="G3353" s="96">
        <f t="shared" si="209"/>
        <v>1575</v>
      </c>
      <c r="I3353" s="96"/>
      <c r="K3353" t="str">
        <f t="shared" si="210"/>
        <v>1575</v>
      </c>
      <c r="M3353" s="72"/>
      <c r="O3353" s="96">
        <f t="shared" si="211"/>
        <v>1575</v>
      </c>
      <c r="T3353" s="110"/>
    </row>
    <row r="3354" spans="3:20" x14ac:dyDescent="0.2">
      <c r="C3354" s="96" t="str">
        <f t="shared" si="208"/>
        <v>1576</v>
      </c>
      <c r="D3354" s="73"/>
      <c r="E3354" s="100"/>
      <c r="F3354" s="101"/>
      <c r="G3354" s="96">
        <f t="shared" si="209"/>
        <v>1576</v>
      </c>
      <c r="I3354" s="96"/>
      <c r="K3354" t="str">
        <f t="shared" si="210"/>
        <v>1576</v>
      </c>
      <c r="M3354" s="72"/>
      <c r="O3354" s="96">
        <f t="shared" si="211"/>
        <v>1576</v>
      </c>
      <c r="T3354" s="110"/>
    </row>
    <row r="3355" spans="3:20" x14ac:dyDescent="0.2">
      <c r="C3355" s="96" t="str">
        <f t="shared" si="208"/>
        <v>1577</v>
      </c>
      <c r="D3355" s="73"/>
      <c r="E3355" s="100"/>
      <c r="F3355" s="101"/>
      <c r="G3355" s="96">
        <f t="shared" si="209"/>
        <v>1577</v>
      </c>
      <c r="I3355" s="96"/>
      <c r="K3355" t="str">
        <f t="shared" si="210"/>
        <v>1577</v>
      </c>
      <c r="M3355" s="72"/>
      <c r="O3355" s="96">
        <f t="shared" si="211"/>
        <v>1577</v>
      </c>
      <c r="T3355" s="110"/>
    </row>
    <row r="3356" spans="3:20" x14ac:dyDescent="0.2">
      <c r="C3356" s="96" t="str">
        <f t="shared" si="208"/>
        <v>1578</v>
      </c>
      <c r="D3356" s="73"/>
      <c r="E3356" s="100"/>
      <c r="F3356" s="101"/>
      <c r="G3356" s="96">
        <f t="shared" si="209"/>
        <v>1578</v>
      </c>
      <c r="I3356" s="96"/>
      <c r="K3356" t="str">
        <f t="shared" si="210"/>
        <v>1578</v>
      </c>
      <c r="M3356" s="72"/>
      <c r="O3356" s="96">
        <f t="shared" si="211"/>
        <v>1578</v>
      </c>
      <c r="T3356" s="110"/>
    </row>
    <row r="3357" spans="3:20" x14ac:dyDescent="0.2">
      <c r="C3357" s="96" t="str">
        <f t="shared" si="208"/>
        <v>1579</v>
      </c>
      <c r="D3357" s="73"/>
      <c r="E3357" s="100"/>
      <c r="F3357" s="101"/>
      <c r="G3357" s="96">
        <f t="shared" si="209"/>
        <v>1579</v>
      </c>
      <c r="I3357" s="96"/>
      <c r="K3357" t="str">
        <f t="shared" si="210"/>
        <v>1579</v>
      </c>
      <c r="M3357" s="72"/>
      <c r="O3357" s="96">
        <f t="shared" si="211"/>
        <v>1579</v>
      </c>
      <c r="T3357" s="110"/>
    </row>
    <row r="3358" spans="3:20" x14ac:dyDescent="0.2">
      <c r="C3358" s="96" t="str">
        <f t="shared" si="208"/>
        <v>1580</v>
      </c>
      <c r="D3358" s="73"/>
      <c r="E3358" s="100"/>
      <c r="F3358" s="101"/>
      <c r="G3358" s="96">
        <f t="shared" si="209"/>
        <v>1580</v>
      </c>
      <c r="I3358" s="96"/>
      <c r="K3358" t="str">
        <f t="shared" si="210"/>
        <v>1580</v>
      </c>
      <c r="M3358" s="72"/>
      <c r="O3358" s="96">
        <f t="shared" si="211"/>
        <v>1580</v>
      </c>
      <c r="T3358" s="110"/>
    </row>
    <row r="3359" spans="3:20" x14ac:dyDescent="0.2">
      <c r="C3359" s="96" t="str">
        <f t="shared" si="208"/>
        <v>1581</v>
      </c>
      <c r="D3359" s="73"/>
      <c r="E3359" s="100"/>
      <c r="F3359" s="101"/>
      <c r="G3359" s="96">
        <f t="shared" si="209"/>
        <v>1581</v>
      </c>
      <c r="I3359" s="96"/>
      <c r="K3359" t="str">
        <f t="shared" si="210"/>
        <v>1581</v>
      </c>
      <c r="M3359" s="72"/>
      <c r="O3359" s="96">
        <f t="shared" si="211"/>
        <v>1581</v>
      </c>
      <c r="T3359" s="110"/>
    </row>
    <row r="3360" spans="3:20" x14ac:dyDescent="0.2">
      <c r="C3360" s="96" t="str">
        <f t="shared" si="208"/>
        <v>1582</v>
      </c>
      <c r="D3360" s="73"/>
      <c r="E3360" s="100"/>
      <c r="F3360" s="101"/>
      <c r="G3360" s="96">
        <f t="shared" si="209"/>
        <v>1582</v>
      </c>
      <c r="I3360" s="96"/>
      <c r="K3360" t="str">
        <f t="shared" si="210"/>
        <v>1582</v>
      </c>
      <c r="M3360" s="72"/>
      <c r="O3360" s="96">
        <f t="shared" si="211"/>
        <v>1582</v>
      </c>
      <c r="T3360" s="110"/>
    </row>
    <row r="3361" spans="3:20" x14ac:dyDescent="0.2">
      <c r="C3361" s="96" t="str">
        <f t="shared" si="208"/>
        <v>1583</v>
      </c>
      <c r="D3361" s="73"/>
      <c r="E3361" s="100"/>
      <c r="F3361" s="101"/>
      <c r="G3361" s="96">
        <f t="shared" si="209"/>
        <v>1583</v>
      </c>
      <c r="I3361" s="96"/>
      <c r="K3361" t="str">
        <f t="shared" si="210"/>
        <v>1583</v>
      </c>
      <c r="M3361" s="72"/>
      <c r="O3361" s="96">
        <f t="shared" si="211"/>
        <v>1583</v>
      </c>
      <c r="T3361" s="110"/>
    </row>
    <row r="3362" spans="3:20" x14ac:dyDescent="0.2">
      <c r="C3362" s="96" t="str">
        <f t="shared" si="208"/>
        <v>1584</v>
      </c>
      <c r="D3362" s="73"/>
      <c r="E3362" s="100"/>
      <c r="F3362" s="101"/>
      <c r="G3362" s="96">
        <f t="shared" si="209"/>
        <v>1584</v>
      </c>
      <c r="I3362" s="96"/>
      <c r="K3362" t="str">
        <f t="shared" si="210"/>
        <v>1584</v>
      </c>
      <c r="M3362" s="72"/>
      <c r="O3362" s="96">
        <f t="shared" si="211"/>
        <v>1584</v>
      </c>
      <c r="T3362" s="110"/>
    </row>
    <row r="3363" spans="3:20" x14ac:dyDescent="0.2">
      <c r="C3363" s="96" t="str">
        <f t="shared" si="208"/>
        <v>1585</v>
      </c>
      <c r="D3363" s="73"/>
      <c r="E3363" s="100"/>
      <c r="F3363" s="101"/>
      <c r="G3363" s="96">
        <f t="shared" si="209"/>
        <v>1585</v>
      </c>
      <c r="I3363" s="96"/>
      <c r="K3363" t="str">
        <f t="shared" si="210"/>
        <v>1585</v>
      </c>
      <c r="M3363" s="72"/>
      <c r="O3363" s="96">
        <f t="shared" si="211"/>
        <v>1585</v>
      </c>
      <c r="T3363" s="110"/>
    </row>
    <row r="3364" spans="3:20" x14ac:dyDescent="0.2">
      <c r="C3364" s="96" t="str">
        <f t="shared" si="208"/>
        <v>1586</v>
      </c>
      <c r="D3364" s="73"/>
      <c r="E3364" s="100"/>
      <c r="F3364" s="101"/>
      <c r="G3364" s="96">
        <f t="shared" si="209"/>
        <v>1586</v>
      </c>
      <c r="I3364" s="96"/>
      <c r="K3364" t="str">
        <f t="shared" si="210"/>
        <v>1586</v>
      </c>
      <c r="M3364" s="72"/>
      <c r="O3364" s="96">
        <f t="shared" si="211"/>
        <v>1586</v>
      </c>
      <c r="T3364" s="110"/>
    </row>
    <row r="3365" spans="3:20" x14ac:dyDescent="0.2">
      <c r="C3365" s="96" t="str">
        <f t="shared" si="208"/>
        <v>1587</v>
      </c>
      <c r="D3365" s="73"/>
      <c r="E3365" s="100"/>
      <c r="F3365" s="101"/>
      <c r="G3365" s="96">
        <f t="shared" si="209"/>
        <v>1587</v>
      </c>
      <c r="I3365" s="96"/>
      <c r="K3365" t="str">
        <f t="shared" si="210"/>
        <v>1587</v>
      </c>
      <c r="M3365" s="72"/>
      <c r="O3365" s="96">
        <f t="shared" si="211"/>
        <v>1587</v>
      </c>
      <c r="T3365" s="110"/>
    </row>
    <row r="3366" spans="3:20" x14ac:dyDescent="0.2">
      <c r="C3366" s="96" t="str">
        <f t="shared" si="208"/>
        <v>1588</v>
      </c>
      <c r="D3366" s="73"/>
      <c r="E3366" s="100"/>
      <c r="F3366" s="101"/>
      <c r="G3366" s="96">
        <f t="shared" si="209"/>
        <v>1588</v>
      </c>
      <c r="I3366" s="96"/>
      <c r="K3366" t="str">
        <f t="shared" si="210"/>
        <v>1588</v>
      </c>
      <c r="M3366" s="72"/>
      <c r="O3366" s="96">
        <f t="shared" si="211"/>
        <v>1588</v>
      </c>
      <c r="T3366" s="110"/>
    </row>
    <row r="3367" spans="3:20" x14ac:dyDescent="0.2">
      <c r="C3367" s="96" t="str">
        <f t="shared" si="208"/>
        <v>1589</v>
      </c>
      <c r="D3367" s="73"/>
      <c r="E3367" s="100"/>
      <c r="F3367" s="101"/>
      <c r="G3367" s="96">
        <f t="shared" si="209"/>
        <v>1589</v>
      </c>
      <c r="I3367" s="96"/>
      <c r="K3367" t="str">
        <f t="shared" si="210"/>
        <v>1589</v>
      </c>
      <c r="M3367" s="72"/>
      <c r="O3367" s="96">
        <f t="shared" si="211"/>
        <v>1589</v>
      </c>
      <c r="T3367" s="110"/>
    </row>
    <row r="3368" spans="3:20" x14ac:dyDescent="0.2">
      <c r="C3368" s="96" t="str">
        <f t="shared" si="208"/>
        <v>1590</v>
      </c>
      <c r="D3368" s="73"/>
      <c r="E3368" s="100"/>
      <c r="F3368" s="101"/>
      <c r="G3368" s="96">
        <f t="shared" si="209"/>
        <v>1590</v>
      </c>
      <c r="I3368" s="96"/>
      <c r="K3368" t="str">
        <f t="shared" si="210"/>
        <v>1590</v>
      </c>
      <c r="M3368" s="72"/>
      <c r="O3368" s="96">
        <f t="shared" si="211"/>
        <v>1590</v>
      </c>
      <c r="T3368" s="110"/>
    </row>
    <row r="3369" spans="3:20" x14ac:dyDescent="0.2">
      <c r="C3369" s="96" t="str">
        <f t="shared" si="208"/>
        <v>1591</v>
      </c>
      <c r="D3369" s="73"/>
      <c r="E3369" s="100"/>
      <c r="F3369" s="101"/>
      <c r="G3369" s="96">
        <f t="shared" si="209"/>
        <v>1591</v>
      </c>
      <c r="I3369" s="96"/>
      <c r="K3369" t="str">
        <f t="shared" si="210"/>
        <v>1591</v>
      </c>
      <c r="M3369" s="72"/>
      <c r="O3369" s="96">
        <f t="shared" si="211"/>
        <v>1591</v>
      </c>
      <c r="T3369" s="110"/>
    </row>
    <row r="3370" spans="3:20" x14ac:dyDescent="0.2">
      <c r="C3370" s="96" t="str">
        <f t="shared" si="208"/>
        <v>1592</v>
      </c>
      <c r="D3370" s="73"/>
      <c r="E3370" s="100"/>
      <c r="F3370" s="101"/>
      <c r="G3370" s="96">
        <f t="shared" si="209"/>
        <v>1592</v>
      </c>
      <c r="I3370" s="96"/>
      <c r="K3370" t="str">
        <f t="shared" si="210"/>
        <v>1592</v>
      </c>
      <c r="M3370" s="72"/>
      <c r="O3370" s="96">
        <f t="shared" si="211"/>
        <v>1592</v>
      </c>
      <c r="T3370" s="110"/>
    </row>
    <row r="3371" spans="3:20" x14ac:dyDescent="0.2">
      <c r="C3371" s="96" t="str">
        <f t="shared" si="208"/>
        <v>1593</v>
      </c>
      <c r="D3371" s="73"/>
      <c r="E3371" s="100"/>
      <c r="F3371" s="101"/>
      <c r="G3371" s="96">
        <f t="shared" si="209"/>
        <v>1593</v>
      </c>
      <c r="I3371" s="96"/>
      <c r="K3371" t="str">
        <f t="shared" si="210"/>
        <v>1593</v>
      </c>
      <c r="M3371" s="72"/>
      <c r="O3371" s="96">
        <f t="shared" si="211"/>
        <v>1593</v>
      </c>
      <c r="T3371" s="110"/>
    </row>
    <row r="3372" spans="3:20" x14ac:dyDescent="0.2">
      <c r="C3372" s="96" t="str">
        <f t="shared" si="208"/>
        <v>1594</v>
      </c>
      <c r="D3372" s="73"/>
      <c r="E3372" s="100"/>
      <c r="F3372" s="101"/>
      <c r="G3372" s="96">
        <f t="shared" si="209"/>
        <v>1594</v>
      </c>
      <c r="I3372" s="96"/>
      <c r="K3372" t="str">
        <f t="shared" si="210"/>
        <v>1594</v>
      </c>
      <c r="M3372" s="72"/>
      <c r="O3372" s="96">
        <f t="shared" si="211"/>
        <v>1594</v>
      </c>
      <c r="T3372" s="110"/>
    </row>
    <row r="3373" spans="3:20" x14ac:dyDescent="0.2">
      <c r="C3373" s="96" t="str">
        <f t="shared" si="208"/>
        <v>1595</v>
      </c>
      <c r="D3373" s="73"/>
      <c r="E3373" s="100"/>
      <c r="F3373" s="101"/>
      <c r="G3373" s="96">
        <f t="shared" si="209"/>
        <v>1595</v>
      </c>
      <c r="I3373" s="96"/>
      <c r="K3373" t="str">
        <f t="shared" si="210"/>
        <v>1595</v>
      </c>
      <c r="M3373" s="72"/>
      <c r="O3373" s="96">
        <f t="shared" si="211"/>
        <v>1595</v>
      </c>
      <c r="T3373" s="110"/>
    </row>
    <row r="3374" spans="3:20" x14ac:dyDescent="0.2">
      <c r="C3374" s="96" t="str">
        <f t="shared" si="208"/>
        <v>1596</v>
      </c>
      <c r="D3374" s="73"/>
      <c r="E3374" s="100"/>
      <c r="F3374" s="101"/>
      <c r="G3374" s="96">
        <f t="shared" si="209"/>
        <v>1596</v>
      </c>
      <c r="I3374" s="96"/>
      <c r="K3374" t="str">
        <f t="shared" si="210"/>
        <v>1596</v>
      </c>
      <c r="M3374" s="72"/>
      <c r="O3374" s="96">
        <f t="shared" si="211"/>
        <v>1596</v>
      </c>
      <c r="T3374" s="110"/>
    </row>
    <row r="3375" spans="3:20" x14ac:dyDescent="0.2">
      <c r="C3375" s="96" t="str">
        <f t="shared" si="208"/>
        <v>1597</v>
      </c>
      <c r="D3375" s="73"/>
      <c r="E3375" s="100"/>
      <c r="F3375" s="101"/>
      <c r="G3375" s="96">
        <f t="shared" si="209"/>
        <v>1597</v>
      </c>
      <c r="I3375" s="96"/>
      <c r="K3375" t="str">
        <f t="shared" si="210"/>
        <v>1597</v>
      </c>
      <c r="M3375" s="72"/>
      <c r="O3375" s="96">
        <f t="shared" si="211"/>
        <v>1597</v>
      </c>
      <c r="T3375" s="110"/>
    </row>
    <row r="3376" spans="3:20" x14ac:dyDescent="0.2">
      <c r="C3376" s="96" t="str">
        <f t="shared" si="208"/>
        <v>1598</v>
      </c>
      <c r="D3376" s="73"/>
      <c r="E3376" s="100"/>
      <c r="F3376" s="101"/>
      <c r="G3376" s="96">
        <f t="shared" si="209"/>
        <v>1598</v>
      </c>
      <c r="I3376" s="96"/>
      <c r="K3376" t="str">
        <f t="shared" si="210"/>
        <v>1598</v>
      </c>
      <c r="M3376" s="72"/>
      <c r="O3376" s="96">
        <f t="shared" si="211"/>
        <v>1598</v>
      </c>
      <c r="T3376" s="110"/>
    </row>
    <row r="3377" spans="3:20" x14ac:dyDescent="0.2">
      <c r="C3377" s="96" t="str">
        <f t="shared" si="208"/>
        <v>1599</v>
      </c>
      <c r="D3377" s="73"/>
      <c r="E3377" s="100"/>
      <c r="F3377" s="101"/>
      <c r="G3377" s="96">
        <f t="shared" si="209"/>
        <v>1599</v>
      </c>
      <c r="I3377" s="96"/>
      <c r="K3377" t="str">
        <f t="shared" si="210"/>
        <v>1599</v>
      </c>
      <c r="M3377" s="72"/>
      <c r="O3377" s="96">
        <f t="shared" si="211"/>
        <v>1599</v>
      </c>
      <c r="T3377" s="110"/>
    </row>
    <row r="3378" spans="3:20" x14ac:dyDescent="0.2">
      <c r="C3378" s="96" t="str">
        <f t="shared" si="208"/>
        <v>1600</v>
      </c>
      <c r="D3378" s="73"/>
      <c r="E3378" s="100"/>
      <c r="F3378" s="101"/>
      <c r="G3378" s="96">
        <f t="shared" si="209"/>
        <v>1600</v>
      </c>
      <c r="I3378" s="96"/>
      <c r="K3378" t="str">
        <f t="shared" si="210"/>
        <v>1600</v>
      </c>
      <c r="M3378" s="72"/>
      <c r="O3378" s="96">
        <f t="shared" si="211"/>
        <v>1600</v>
      </c>
      <c r="T3378" s="110"/>
    </row>
    <row r="3379" spans="3:20" x14ac:dyDescent="0.2">
      <c r="C3379" s="96" t="str">
        <f t="shared" si="208"/>
        <v>1601</v>
      </c>
      <c r="D3379" s="73"/>
      <c r="E3379" s="100"/>
      <c r="F3379" s="101"/>
      <c r="G3379" s="96">
        <f t="shared" si="209"/>
        <v>1601</v>
      </c>
      <c r="I3379" s="96"/>
      <c r="K3379" t="str">
        <f t="shared" si="210"/>
        <v>1601</v>
      </c>
      <c r="M3379" s="72"/>
      <c r="O3379" s="96">
        <f t="shared" si="211"/>
        <v>1601</v>
      </c>
      <c r="T3379" s="110"/>
    </row>
    <row r="3380" spans="3:20" x14ac:dyDescent="0.2">
      <c r="C3380" s="96" t="str">
        <f t="shared" si="208"/>
        <v>1602</v>
      </c>
      <c r="D3380" s="73"/>
      <c r="E3380" s="100"/>
      <c r="F3380" s="101"/>
      <c r="G3380" s="96">
        <f t="shared" si="209"/>
        <v>1602</v>
      </c>
      <c r="I3380" s="96"/>
      <c r="K3380" t="str">
        <f t="shared" si="210"/>
        <v>1602</v>
      </c>
      <c r="M3380" s="72"/>
      <c r="O3380" s="96">
        <f t="shared" si="211"/>
        <v>1602</v>
      </c>
      <c r="T3380" s="110"/>
    </row>
    <row r="3381" spans="3:20" x14ac:dyDescent="0.2">
      <c r="C3381" s="96" t="str">
        <f t="shared" si="208"/>
        <v>1603</v>
      </c>
      <c r="D3381" s="73"/>
      <c r="E3381" s="100"/>
      <c r="F3381" s="101"/>
      <c r="G3381" s="96">
        <f t="shared" si="209"/>
        <v>1603</v>
      </c>
      <c r="I3381" s="96"/>
      <c r="K3381" t="str">
        <f t="shared" si="210"/>
        <v>1603</v>
      </c>
      <c r="M3381" s="72"/>
      <c r="O3381" s="96">
        <f t="shared" si="211"/>
        <v>1603</v>
      </c>
      <c r="T3381" s="110"/>
    </row>
    <row r="3382" spans="3:20" x14ac:dyDescent="0.2">
      <c r="C3382" s="96" t="str">
        <f t="shared" si="208"/>
        <v>1604</v>
      </c>
      <c r="D3382" s="73"/>
      <c r="E3382" s="100"/>
      <c r="F3382" s="101"/>
      <c r="G3382" s="96">
        <f t="shared" si="209"/>
        <v>1604</v>
      </c>
      <c r="I3382" s="96"/>
      <c r="K3382" t="str">
        <f t="shared" si="210"/>
        <v>1604</v>
      </c>
      <c r="M3382" s="72"/>
      <c r="O3382" s="96">
        <f t="shared" si="211"/>
        <v>1604</v>
      </c>
      <c r="T3382" s="110"/>
    </row>
    <row r="3383" spans="3:20" x14ac:dyDescent="0.2">
      <c r="C3383" s="96" t="str">
        <f t="shared" si="208"/>
        <v>1605</v>
      </c>
      <c r="D3383" s="73"/>
      <c r="E3383" s="100"/>
      <c r="F3383" s="101"/>
      <c r="G3383" s="96">
        <f t="shared" si="209"/>
        <v>1605</v>
      </c>
      <c r="I3383" s="96"/>
      <c r="K3383" t="str">
        <f t="shared" si="210"/>
        <v>1605</v>
      </c>
      <c r="M3383" s="72"/>
      <c r="O3383" s="96">
        <f t="shared" si="211"/>
        <v>1605</v>
      </c>
      <c r="T3383" s="110"/>
    </row>
    <row r="3384" spans="3:20" x14ac:dyDescent="0.2">
      <c r="C3384" s="96" t="str">
        <f t="shared" si="208"/>
        <v>1606</v>
      </c>
      <c r="D3384" s="73"/>
      <c r="E3384" s="100"/>
      <c r="F3384" s="101"/>
      <c r="G3384" s="96">
        <f t="shared" si="209"/>
        <v>1606</v>
      </c>
      <c r="I3384" s="96"/>
      <c r="K3384" t="str">
        <f t="shared" si="210"/>
        <v>1606</v>
      </c>
      <c r="M3384" s="72"/>
      <c r="O3384" s="96">
        <f t="shared" si="211"/>
        <v>1606</v>
      </c>
      <c r="T3384" s="110"/>
    </row>
    <row r="3385" spans="3:20" x14ac:dyDescent="0.2">
      <c r="C3385" s="96" t="str">
        <f t="shared" si="208"/>
        <v>1607</v>
      </c>
      <c r="D3385" s="73"/>
      <c r="E3385" s="100"/>
      <c r="F3385" s="101"/>
      <c r="G3385" s="96">
        <f t="shared" si="209"/>
        <v>1607</v>
      </c>
      <c r="I3385" s="96"/>
      <c r="K3385" t="str">
        <f t="shared" si="210"/>
        <v>1607</v>
      </c>
      <c r="M3385" s="72"/>
      <c r="O3385" s="96">
        <f t="shared" si="211"/>
        <v>1607</v>
      </c>
      <c r="T3385" s="110"/>
    </row>
    <row r="3386" spans="3:20" x14ac:dyDescent="0.2">
      <c r="C3386" s="96" t="str">
        <f t="shared" si="208"/>
        <v>1608</v>
      </c>
      <c r="D3386" s="73"/>
      <c r="E3386" s="100"/>
      <c r="F3386" s="101"/>
      <c r="G3386" s="96">
        <f t="shared" si="209"/>
        <v>1608</v>
      </c>
      <c r="I3386" s="96"/>
      <c r="K3386" t="str">
        <f t="shared" si="210"/>
        <v>1608</v>
      </c>
      <c r="M3386" s="72"/>
      <c r="O3386" s="96">
        <f t="shared" si="211"/>
        <v>1608</v>
      </c>
      <c r="T3386" s="110"/>
    </row>
    <row r="3387" spans="3:20" x14ac:dyDescent="0.2">
      <c r="C3387" s="96" t="str">
        <f t="shared" si="208"/>
        <v>1609</v>
      </c>
      <c r="D3387" s="73"/>
      <c r="E3387" s="100"/>
      <c r="F3387" s="101"/>
      <c r="G3387" s="96">
        <f t="shared" si="209"/>
        <v>1609</v>
      </c>
      <c r="I3387" s="96"/>
      <c r="K3387" t="str">
        <f t="shared" si="210"/>
        <v>1609</v>
      </c>
      <c r="M3387" s="72"/>
      <c r="O3387" s="96">
        <f t="shared" si="211"/>
        <v>1609</v>
      </c>
      <c r="T3387" s="110"/>
    </row>
    <row r="3388" spans="3:20" x14ac:dyDescent="0.2">
      <c r="C3388" s="96" t="str">
        <f t="shared" si="208"/>
        <v>1610</v>
      </c>
      <c r="D3388" s="73"/>
      <c r="E3388" s="100"/>
      <c r="F3388" s="101"/>
      <c r="G3388" s="96">
        <f t="shared" si="209"/>
        <v>1610</v>
      </c>
      <c r="I3388" s="96"/>
      <c r="K3388" t="str">
        <f t="shared" si="210"/>
        <v>1610</v>
      </c>
      <c r="M3388" s="72"/>
      <c r="O3388" s="96">
        <f t="shared" si="211"/>
        <v>1610</v>
      </c>
      <c r="T3388" s="110"/>
    </row>
    <row r="3389" spans="3:20" x14ac:dyDescent="0.2">
      <c r="C3389" s="96" t="str">
        <f t="shared" si="208"/>
        <v>1611</v>
      </c>
      <c r="D3389" s="73"/>
      <c r="E3389" s="100"/>
      <c r="F3389" s="101"/>
      <c r="G3389" s="96">
        <f t="shared" si="209"/>
        <v>1611</v>
      </c>
      <c r="I3389" s="96"/>
      <c r="K3389" t="str">
        <f t="shared" si="210"/>
        <v>1611</v>
      </c>
      <c r="M3389" s="72"/>
      <c r="O3389" s="96">
        <f t="shared" si="211"/>
        <v>1611</v>
      </c>
      <c r="T3389" s="110"/>
    </row>
    <row r="3390" spans="3:20" x14ac:dyDescent="0.2">
      <c r="C3390" s="96" t="str">
        <f t="shared" si="208"/>
        <v>1612</v>
      </c>
      <c r="D3390" s="73"/>
      <c r="E3390" s="100"/>
      <c r="F3390" s="101"/>
      <c r="G3390" s="96">
        <f t="shared" si="209"/>
        <v>1612</v>
      </c>
      <c r="I3390" s="96"/>
      <c r="K3390" t="str">
        <f t="shared" si="210"/>
        <v>1612</v>
      </c>
      <c r="M3390" s="72"/>
      <c r="O3390" s="96">
        <f t="shared" si="211"/>
        <v>1612</v>
      </c>
      <c r="T3390" s="110"/>
    </row>
    <row r="3391" spans="3:20" x14ac:dyDescent="0.2">
      <c r="C3391" s="96" t="str">
        <f t="shared" si="208"/>
        <v>1613</v>
      </c>
      <c r="D3391" s="73"/>
      <c r="E3391" s="100"/>
      <c r="F3391" s="101"/>
      <c r="G3391" s="96">
        <f t="shared" si="209"/>
        <v>1613</v>
      </c>
      <c r="I3391" s="96"/>
      <c r="K3391" t="str">
        <f t="shared" si="210"/>
        <v>1613</v>
      </c>
      <c r="M3391" s="72"/>
      <c r="O3391" s="96">
        <f t="shared" si="211"/>
        <v>1613</v>
      </c>
      <c r="T3391" s="110"/>
    </row>
    <row r="3392" spans="3:20" x14ac:dyDescent="0.2">
      <c r="C3392" s="96" t="str">
        <f t="shared" si="208"/>
        <v>1614</v>
      </c>
      <c r="D3392" s="73"/>
      <c r="E3392" s="100"/>
      <c r="F3392" s="101"/>
      <c r="G3392" s="96">
        <f t="shared" si="209"/>
        <v>1614</v>
      </c>
      <c r="I3392" s="96"/>
      <c r="K3392" t="str">
        <f t="shared" si="210"/>
        <v>1614</v>
      </c>
      <c r="M3392" s="72"/>
      <c r="O3392" s="96">
        <f t="shared" si="211"/>
        <v>1614</v>
      </c>
      <c r="T3392" s="110"/>
    </row>
    <row r="3393" spans="3:20" x14ac:dyDescent="0.2">
      <c r="C3393" s="96" t="str">
        <f t="shared" si="208"/>
        <v>1615</v>
      </c>
      <c r="D3393" s="73"/>
      <c r="E3393" s="100"/>
      <c r="F3393" s="101"/>
      <c r="G3393" s="96">
        <f t="shared" si="209"/>
        <v>1615</v>
      </c>
      <c r="I3393" s="96"/>
      <c r="K3393" t="str">
        <f t="shared" si="210"/>
        <v>1615</v>
      </c>
      <c r="M3393" s="72"/>
      <c r="O3393" s="96">
        <f t="shared" si="211"/>
        <v>1615</v>
      </c>
      <c r="T3393" s="110"/>
    </row>
    <row r="3394" spans="3:20" x14ac:dyDescent="0.2">
      <c r="C3394" s="96" t="str">
        <f t="shared" si="208"/>
        <v>1616</v>
      </c>
      <c r="D3394" s="73"/>
      <c r="E3394" s="100"/>
      <c r="F3394" s="101"/>
      <c r="G3394" s="96">
        <f t="shared" si="209"/>
        <v>1616</v>
      </c>
      <c r="I3394" s="96"/>
      <c r="K3394" t="str">
        <f t="shared" si="210"/>
        <v>1616</v>
      </c>
      <c r="M3394" s="72"/>
      <c r="O3394" s="96">
        <f t="shared" si="211"/>
        <v>1616</v>
      </c>
      <c r="T3394" s="110"/>
    </row>
    <row r="3395" spans="3:20" x14ac:dyDescent="0.2">
      <c r="C3395" s="96" t="str">
        <f t="shared" ref="C3395:C3458" si="212">D3395&amp;G3395</f>
        <v>1617</v>
      </c>
      <c r="D3395" s="73"/>
      <c r="E3395" s="100"/>
      <c r="F3395" s="101"/>
      <c r="G3395" s="96">
        <f t="shared" ref="G3395:G3458" si="213">IF(D3395&lt;&gt;D3394,1,G3394+1)</f>
        <v>1617</v>
      </c>
      <c r="I3395" s="96"/>
      <c r="K3395" t="str">
        <f t="shared" ref="K3395:K3458" si="214">L3395&amp;O3395</f>
        <v>1617</v>
      </c>
      <c r="M3395" s="72"/>
      <c r="O3395" s="96">
        <f t="shared" ref="O3395:O3458" si="215">IF(L3395&lt;&gt;L3394,1,O3394+1)</f>
        <v>1617</v>
      </c>
      <c r="T3395" s="110"/>
    </row>
    <row r="3396" spans="3:20" x14ac:dyDescent="0.2">
      <c r="C3396" s="96" t="str">
        <f t="shared" si="212"/>
        <v>1618</v>
      </c>
      <c r="D3396" s="73"/>
      <c r="E3396" s="100"/>
      <c r="F3396" s="101"/>
      <c r="G3396" s="96">
        <f t="shared" si="213"/>
        <v>1618</v>
      </c>
      <c r="I3396" s="96"/>
      <c r="K3396" t="str">
        <f t="shared" si="214"/>
        <v>1618</v>
      </c>
      <c r="M3396" s="72"/>
      <c r="O3396" s="96">
        <f t="shared" si="215"/>
        <v>1618</v>
      </c>
      <c r="T3396" s="110"/>
    </row>
    <row r="3397" spans="3:20" x14ac:dyDescent="0.2">
      <c r="C3397" s="96" t="str">
        <f t="shared" si="212"/>
        <v>1619</v>
      </c>
      <c r="D3397" s="73"/>
      <c r="E3397" s="100"/>
      <c r="F3397" s="101"/>
      <c r="G3397" s="96">
        <f t="shared" si="213"/>
        <v>1619</v>
      </c>
      <c r="I3397" s="96"/>
      <c r="K3397" t="str">
        <f t="shared" si="214"/>
        <v>1619</v>
      </c>
      <c r="M3397" s="72"/>
      <c r="O3397" s="96">
        <f t="shared" si="215"/>
        <v>1619</v>
      </c>
      <c r="T3397" s="110"/>
    </row>
    <row r="3398" spans="3:20" x14ac:dyDescent="0.2">
      <c r="C3398" s="96" t="str">
        <f t="shared" si="212"/>
        <v>1620</v>
      </c>
      <c r="D3398" s="73"/>
      <c r="E3398" s="100"/>
      <c r="F3398" s="101"/>
      <c r="G3398" s="96">
        <f t="shared" si="213"/>
        <v>1620</v>
      </c>
      <c r="I3398" s="96"/>
      <c r="K3398" t="str">
        <f t="shared" si="214"/>
        <v>1620</v>
      </c>
      <c r="M3398" s="72"/>
      <c r="O3398" s="96">
        <f t="shared" si="215"/>
        <v>1620</v>
      </c>
      <c r="T3398" s="110"/>
    </row>
    <row r="3399" spans="3:20" x14ac:dyDescent="0.2">
      <c r="C3399" s="96" t="str">
        <f t="shared" si="212"/>
        <v>1621</v>
      </c>
      <c r="D3399" s="73"/>
      <c r="E3399" s="100"/>
      <c r="F3399" s="101"/>
      <c r="G3399" s="96">
        <f t="shared" si="213"/>
        <v>1621</v>
      </c>
      <c r="I3399" s="96"/>
      <c r="K3399" t="str">
        <f t="shared" si="214"/>
        <v>1621</v>
      </c>
      <c r="M3399" s="72"/>
      <c r="O3399" s="96">
        <f t="shared" si="215"/>
        <v>1621</v>
      </c>
      <c r="T3399" s="110"/>
    </row>
    <row r="3400" spans="3:20" x14ac:dyDescent="0.2">
      <c r="C3400" s="96" t="str">
        <f t="shared" si="212"/>
        <v>1622</v>
      </c>
      <c r="D3400" s="73"/>
      <c r="E3400" s="100"/>
      <c r="F3400" s="101"/>
      <c r="G3400" s="96">
        <f t="shared" si="213"/>
        <v>1622</v>
      </c>
      <c r="I3400" s="96"/>
      <c r="K3400" t="str">
        <f t="shared" si="214"/>
        <v>1622</v>
      </c>
      <c r="M3400" s="72"/>
      <c r="O3400" s="96">
        <f t="shared" si="215"/>
        <v>1622</v>
      </c>
      <c r="T3400" s="110"/>
    </row>
    <row r="3401" spans="3:20" x14ac:dyDescent="0.2">
      <c r="C3401" s="96" t="str">
        <f t="shared" si="212"/>
        <v>1623</v>
      </c>
      <c r="D3401" s="73"/>
      <c r="E3401" s="100"/>
      <c r="F3401" s="101"/>
      <c r="G3401" s="96">
        <f t="shared" si="213"/>
        <v>1623</v>
      </c>
      <c r="I3401" s="96"/>
      <c r="K3401" t="str">
        <f t="shared" si="214"/>
        <v>1623</v>
      </c>
      <c r="M3401" s="72"/>
      <c r="O3401" s="96">
        <f t="shared" si="215"/>
        <v>1623</v>
      </c>
      <c r="T3401" s="110"/>
    </row>
    <row r="3402" spans="3:20" x14ac:dyDescent="0.2">
      <c r="C3402" s="96" t="str">
        <f t="shared" si="212"/>
        <v>1624</v>
      </c>
      <c r="D3402" s="73"/>
      <c r="E3402" s="100"/>
      <c r="F3402" s="101"/>
      <c r="G3402" s="96">
        <f t="shared" si="213"/>
        <v>1624</v>
      </c>
      <c r="I3402" s="96"/>
      <c r="K3402" t="str">
        <f t="shared" si="214"/>
        <v>1624</v>
      </c>
      <c r="M3402" s="72"/>
      <c r="O3402" s="96">
        <f t="shared" si="215"/>
        <v>1624</v>
      </c>
      <c r="T3402" s="110"/>
    </row>
    <row r="3403" spans="3:20" x14ac:dyDescent="0.2">
      <c r="C3403" s="96" t="str">
        <f t="shared" si="212"/>
        <v>1625</v>
      </c>
      <c r="D3403" s="73"/>
      <c r="E3403" s="100"/>
      <c r="F3403" s="101"/>
      <c r="G3403" s="96">
        <f t="shared" si="213"/>
        <v>1625</v>
      </c>
      <c r="I3403" s="96"/>
      <c r="K3403" t="str">
        <f t="shared" si="214"/>
        <v>1625</v>
      </c>
      <c r="M3403" s="72"/>
      <c r="O3403" s="96">
        <f t="shared" si="215"/>
        <v>1625</v>
      </c>
      <c r="T3403" s="110"/>
    </row>
    <row r="3404" spans="3:20" x14ac:dyDescent="0.2">
      <c r="C3404" s="96" t="str">
        <f t="shared" si="212"/>
        <v>1626</v>
      </c>
      <c r="D3404" s="73"/>
      <c r="E3404" s="100"/>
      <c r="F3404" s="101"/>
      <c r="G3404" s="96">
        <f t="shared" si="213"/>
        <v>1626</v>
      </c>
      <c r="I3404" s="96"/>
      <c r="K3404" t="str">
        <f t="shared" si="214"/>
        <v>1626</v>
      </c>
      <c r="M3404" s="72"/>
      <c r="O3404" s="96">
        <f t="shared" si="215"/>
        <v>1626</v>
      </c>
      <c r="T3404" s="110"/>
    </row>
    <row r="3405" spans="3:20" x14ac:dyDescent="0.2">
      <c r="C3405" s="96" t="str">
        <f t="shared" si="212"/>
        <v>1627</v>
      </c>
      <c r="D3405" s="73"/>
      <c r="E3405" s="100"/>
      <c r="F3405" s="101"/>
      <c r="G3405" s="96">
        <f t="shared" si="213"/>
        <v>1627</v>
      </c>
      <c r="I3405" s="96"/>
      <c r="K3405" t="str">
        <f t="shared" si="214"/>
        <v>1627</v>
      </c>
      <c r="M3405" s="72"/>
      <c r="O3405" s="96">
        <f t="shared" si="215"/>
        <v>1627</v>
      </c>
      <c r="T3405" s="110"/>
    </row>
    <row r="3406" spans="3:20" x14ac:dyDescent="0.2">
      <c r="C3406" s="96" t="str">
        <f t="shared" si="212"/>
        <v>1628</v>
      </c>
      <c r="D3406" s="73"/>
      <c r="E3406" s="100"/>
      <c r="F3406" s="101"/>
      <c r="G3406" s="96">
        <f t="shared" si="213"/>
        <v>1628</v>
      </c>
      <c r="I3406" s="96"/>
      <c r="K3406" t="str">
        <f t="shared" si="214"/>
        <v>1628</v>
      </c>
      <c r="M3406" s="72"/>
      <c r="O3406" s="96">
        <f t="shared" si="215"/>
        <v>1628</v>
      </c>
      <c r="T3406" s="110"/>
    </row>
    <row r="3407" spans="3:20" x14ac:dyDescent="0.2">
      <c r="C3407" s="96" t="str">
        <f t="shared" si="212"/>
        <v>1629</v>
      </c>
      <c r="D3407" s="73"/>
      <c r="E3407" s="100"/>
      <c r="F3407" s="101"/>
      <c r="G3407" s="96">
        <f t="shared" si="213"/>
        <v>1629</v>
      </c>
      <c r="I3407" s="96"/>
      <c r="K3407" t="str">
        <f t="shared" si="214"/>
        <v>1629</v>
      </c>
      <c r="M3407" s="72"/>
      <c r="O3407" s="96">
        <f t="shared" si="215"/>
        <v>1629</v>
      </c>
      <c r="T3407" s="110"/>
    </row>
    <row r="3408" spans="3:20" x14ac:dyDescent="0.2">
      <c r="C3408" s="96" t="str">
        <f t="shared" si="212"/>
        <v>1630</v>
      </c>
      <c r="D3408" s="73"/>
      <c r="E3408" s="100"/>
      <c r="F3408" s="101"/>
      <c r="G3408" s="96">
        <f t="shared" si="213"/>
        <v>1630</v>
      </c>
      <c r="I3408" s="96"/>
      <c r="K3408" t="str">
        <f t="shared" si="214"/>
        <v>1630</v>
      </c>
      <c r="M3408" s="72"/>
      <c r="O3408" s="96">
        <f t="shared" si="215"/>
        <v>1630</v>
      </c>
      <c r="T3408" s="110"/>
    </row>
    <row r="3409" spans="3:20" x14ac:dyDescent="0.2">
      <c r="C3409" s="96" t="str">
        <f t="shared" si="212"/>
        <v>1631</v>
      </c>
      <c r="D3409" s="73"/>
      <c r="E3409" s="100"/>
      <c r="F3409" s="101"/>
      <c r="G3409" s="96">
        <f t="shared" si="213"/>
        <v>1631</v>
      </c>
      <c r="I3409" s="96"/>
      <c r="K3409" t="str">
        <f t="shared" si="214"/>
        <v>1631</v>
      </c>
      <c r="M3409" s="72"/>
      <c r="O3409" s="96">
        <f t="shared" si="215"/>
        <v>1631</v>
      </c>
      <c r="T3409" s="110"/>
    </row>
    <row r="3410" spans="3:20" x14ac:dyDescent="0.2">
      <c r="C3410" s="96" t="str">
        <f t="shared" si="212"/>
        <v>1632</v>
      </c>
      <c r="D3410" s="73"/>
      <c r="E3410" s="100"/>
      <c r="F3410" s="101"/>
      <c r="G3410" s="96">
        <f t="shared" si="213"/>
        <v>1632</v>
      </c>
      <c r="I3410" s="96"/>
      <c r="K3410" t="str">
        <f t="shared" si="214"/>
        <v>1632</v>
      </c>
      <c r="M3410" s="72"/>
      <c r="O3410" s="96">
        <f t="shared" si="215"/>
        <v>1632</v>
      </c>
      <c r="T3410" s="110"/>
    </row>
    <row r="3411" spans="3:20" x14ac:dyDescent="0.2">
      <c r="C3411" s="96" t="str">
        <f t="shared" si="212"/>
        <v>1633</v>
      </c>
      <c r="D3411" s="73"/>
      <c r="E3411" s="100"/>
      <c r="F3411" s="101"/>
      <c r="G3411" s="96">
        <f t="shared" si="213"/>
        <v>1633</v>
      </c>
      <c r="I3411" s="96"/>
      <c r="K3411" t="str">
        <f t="shared" si="214"/>
        <v>1633</v>
      </c>
      <c r="M3411" s="72"/>
      <c r="O3411" s="96">
        <f t="shared" si="215"/>
        <v>1633</v>
      </c>
      <c r="T3411" s="110"/>
    </row>
    <row r="3412" spans="3:20" x14ac:dyDescent="0.2">
      <c r="C3412" s="96" t="str">
        <f t="shared" si="212"/>
        <v>1634</v>
      </c>
      <c r="D3412" s="73"/>
      <c r="E3412" s="100"/>
      <c r="F3412" s="101"/>
      <c r="G3412" s="96">
        <f t="shared" si="213"/>
        <v>1634</v>
      </c>
      <c r="I3412" s="96"/>
      <c r="K3412" t="str">
        <f t="shared" si="214"/>
        <v>1634</v>
      </c>
      <c r="M3412" s="72"/>
      <c r="O3412" s="96">
        <f t="shared" si="215"/>
        <v>1634</v>
      </c>
      <c r="T3412" s="110"/>
    </row>
    <row r="3413" spans="3:20" x14ac:dyDescent="0.2">
      <c r="C3413" s="96" t="str">
        <f t="shared" si="212"/>
        <v>1635</v>
      </c>
      <c r="D3413" s="73"/>
      <c r="E3413" s="100"/>
      <c r="F3413" s="101"/>
      <c r="G3413" s="96">
        <f t="shared" si="213"/>
        <v>1635</v>
      </c>
      <c r="I3413" s="96"/>
      <c r="K3413" t="str">
        <f t="shared" si="214"/>
        <v>1635</v>
      </c>
      <c r="M3413" s="72"/>
      <c r="O3413" s="96">
        <f t="shared" si="215"/>
        <v>1635</v>
      </c>
      <c r="T3413" s="110"/>
    </row>
    <row r="3414" spans="3:20" x14ac:dyDescent="0.2">
      <c r="C3414" s="96" t="str">
        <f t="shared" si="212"/>
        <v>1636</v>
      </c>
      <c r="D3414" s="73"/>
      <c r="E3414" s="100"/>
      <c r="F3414" s="101"/>
      <c r="G3414" s="96">
        <f t="shared" si="213"/>
        <v>1636</v>
      </c>
      <c r="I3414" s="96"/>
      <c r="K3414" t="str">
        <f t="shared" si="214"/>
        <v>1636</v>
      </c>
      <c r="M3414" s="72"/>
      <c r="O3414" s="96">
        <f t="shared" si="215"/>
        <v>1636</v>
      </c>
      <c r="T3414" s="110"/>
    </row>
    <row r="3415" spans="3:20" x14ac:dyDescent="0.2">
      <c r="C3415" s="96" t="str">
        <f t="shared" si="212"/>
        <v>1637</v>
      </c>
      <c r="D3415" s="73"/>
      <c r="E3415" s="100"/>
      <c r="F3415" s="101"/>
      <c r="G3415" s="96">
        <f t="shared" si="213"/>
        <v>1637</v>
      </c>
      <c r="I3415" s="96"/>
      <c r="K3415" t="str">
        <f t="shared" si="214"/>
        <v>1637</v>
      </c>
      <c r="M3415" s="72"/>
      <c r="O3415" s="96">
        <f t="shared" si="215"/>
        <v>1637</v>
      </c>
      <c r="T3415" s="110"/>
    </row>
    <row r="3416" spans="3:20" x14ac:dyDescent="0.2">
      <c r="C3416" s="96" t="str">
        <f t="shared" si="212"/>
        <v>1638</v>
      </c>
      <c r="D3416" s="73"/>
      <c r="E3416" s="100"/>
      <c r="F3416" s="101"/>
      <c r="G3416" s="96">
        <f t="shared" si="213"/>
        <v>1638</v>
      </c>
      <c r="I3416" s="96"/>
      <c r="K3416" t="str">
        <f t="shared" si="214"/>
        <v>1638</v>
      </c>
      <c r="M3416" s="72"/>
      <c r="O3416" s="96">
        <f t="shared" si="215"/>
        <v>1638</v>
      </c>
      <c r="T3416" s="110"/>
    </row>
    <row r="3417" spans="3:20" x14ac:dyDescent="0.2">
      <c r="C3417" s="96" t="str">
        <f t="shared" si="212"/>
        <v>1639</v>
      </c>
      <c r="D3417" s="73"/>
      <c r="E3417" s="100"/>
      <c r="F3417" s="101"/>
      <c r="G3417" s="96">
        <f t="shared" si="213"/>
        <v>1639</v>
      </c>
      <c r="I3417" s="96"/>
      <c r="K3417" t="str">
        <f t="shared" si="214"/>
        <v>1639</v>
      </c>
      <c r="M3417" s="72"/>
      <c r="O3417" s="96">
        <f t="shared" si="215"/>
        <v>1639</v>
      </c>
      <c r="T3417" s="110"/>
    </row>
    <row r="3418" spans="3:20" x14ac:dyDescent="0.2">
      <c r="C3418" s="96" t="str">
        <f t="shared" si="212"/>
        <v>1640</v>
      </c>
      <c r="D3418" s="73"/>
      <c r="E3418" s="100"/>
      <c r="F3418" s="101"/>
      <c r="G3418" s="96">
        <f t="shared" si="213"/>
        <v>1640</v>
      </c>
      <c r="I3418" s="96"/>
      <c r="K3418" t="str">
        <f t="shared" si="214"/>
        <v>1640</v>
      </c>
      <c r="M3418" s="72"/>
      <c r="O3418" s="96">
        <f t="shared" si="215"/>
        <v>1640</v>
      </c>
      <c r="T3418" s="110"/>
    </row>
    <row r="3419" spans="3:20" x14ac:dyDescent="0.2">
      <c r="C3419" s="96" t="str">
        <f t="shared" si="212"/>
        <v>1641</v>
      </c>
      <c r="D3419" s="73"/>
      <c r="E3419" s="100"/>
      <c r="F3419" s="101"/>
      <c r="G3419" s="96">
        <f t="shared" si="213"/>
        <v>1641</v>
      </c>
      <c r="I3419" s="96"/>
      <c r="K3419" t="str">
        <f t="shared" si="214"/>
        <v>1641</v>
      </c>
      <c r="M3419" s="72"/>
      <c r="O3419" s="96">
        <f t="shared" si="215"/>
        <v>1641</v>
      </c>
      <c r="T3419" s="110"/>
    </row>
    <row r="3420" spans="3:20" x14ac:dyDescent="0.2">
      <c r="C3420" s="96" t="str">
        <f t="shared" si="212"/>
        <v>1642</v>
      </c>
      <c r="D3420" s="73"/>
      <c r="E3420" s="100"/>
      <c r="F3420" s="101"/>
      <c r="G3420" s="96">
        <f t="shared" si="213"/>
        <v>1642</v>
      </c>
      <c r="I3420" s="96"/>
      <c r="K3420" t="str">
        <f t="shared" si="214"/>
        <v>1642</v>
      </c>
      <c r="M3420" s="72"/>
      <c r="O3420" s="96">
        <f t="shared" si="215"/>
        <v>1642</v>
      </c>
      <c r="T3420" s="110"/>
    </row>
    <row r="3421" spans="3:20" x14ac:dyDescent="0.2">
      <c r="C3421" s="96" t="str">
        <f t="shared" si="212"/>
        <v>1643</v>
      </c>
      <c r="D3421" s="73"/>
      <c r="E3421" s="100"/>
      <c r="F3421" s="101"/>
      <c r="G3421" s="96">
        <f t="shared" si="213"/>
        <v>1643</v>
      </c>
      <c r="I3421" s="96"/>
      <c r="K3421" t="str">
        <f t="shared" si="214"/>
        <v>1643</v>
      </c>
      <c r="M3421" s="72"/>
      <c r="O3421" s="96">
        <f t="shared" si="215"/>
        <v>1643</v>
      </c>
      <c r="T3421" s="110"/>
    </row>
    <row r="3422" spans="3:20" x14ac:dyDescent="0.2">
      <c r="C3422" s="96" t="str">
        <f t="shared" si="212"/>
        <v>1644</v>
      </c>
      <c r="D3422" s="73"/>
      <c r="E3422" s="100"/>
      <c r="F3422" s="101"/>
      <c r="G3422" s="96">
        <f t="shared" si="213"/>
        <v>1644</v>
      </c>
      <c r="I3422" s="96"/>
      <c r="K3422" t="str">
        <f t="shared" si="214"/>
        <v>1644</v>
      </c>
      <c r="M3422" s="72"/>
      <c r="O3422" s="96">
        <f t="shared" si="215"/>
        <v>1644</v>
      </c>
      <c r="T3422" s="110"/>
    </row>
    <row r="3423" spans="3:20" x14ac:dyDescent="0.2">
      <c r="C3423" s="96" t="str">
        <f t="shared" si="212"/>
        <v>1645</v>
      </c>
      <c r="D3423" s="73"/>
      <c r="E3423" s="100"/>
      <c r="F3423" s="101"/>
      <c r="G3423" s="96">
        <f t="shared" si="213"/>
        <v>1645</v>
      </c>
      <c r="I3423" s="96"/>
      <c r="K3423" t="str">
        <f t="shared" si="214"/>
        <v>1645</v>
      </c>
      <c r="M3423" s="72"/>
      <c r="O3423" s="96">
        <f t="shared" si="215"/>
        <v>1645</v>
      </c>
      <c r="T3423" s="110"/>
    </row>
    <row r="3424" spans="3:20" x14ac:dyDescent="0.2">
      <c r="C3424" s="96" t="str">
        <f t="shared" si="212"/>
        <v>1646</v>
      </c>
      <c r="D3424" s="73"/>
      <c r="E3424" s="100"/>
      <c r="F3424" s="101"/>
      <c r="G3424" s="96">
        <f t="shared" si="213"/>
        <v>1646</v>
      </c>
      <c r="I3424" s="96"/>
      <c r="K3424" t="str">
        <f t="shared" si="214"/>
        <v>1646</v>
      </c>
      <c r="M3424" s="72"/>
      <c r="O3424" s="96">
        <f t="shared" si="215"/>
        <v>1646</v>
      </c>
      <c r="T3424" s="110"/>
    </row>
    <row r="3425" spans="3:20" x14ac:dyDescent="0.2">
      <c r="C3425" s="96" t="str">
        <f t="shared" si="212"/>
        <v>1647</v>
      </c>
      <c r="D3425" s="73"/>
      <c r="E3425" s="100"/>
      <c r="F3425" s="101"/>
      <c r="G3425" s="96">
        <f t="shared" si="213"/>
        <v>1647</v>
      </c>
      <c r="I3425" s="96"/>
      <c r="K3425" t="str">
        <f t="shared" si="214"/>
        <v>1647</v>
      </c>
      <c r="M3425" s="72"/>
      <c r="O3425" s="96">
        <f t="shared" si="215"/>
        <v>1647</v>
      </c>
      <c r="T3425" s="110"/>
    </row>
    <row r="3426" spans="3:20" x14ac:dyDescent="0.2">
      <c r="C3426" s="96" t="str">
        <f t="shared" si="212"/>
        <v>1648</v>
      </c>
      <c r="D3426" s="73"/>
      <c r="E3426" s="100"/>
      <c r="F3426" s="101"/>
      <c r="G3426" s="96">
        <f t="shared" si="213"/>
        <v>1648</v>
      </c>
      <c r="I3426" s="96"/>
      <c r="K3426" t="str">
        <f t="shared" si="214"/>
        <v>1648</v>
      </c>
      <c r="M3426" s="72"/>
      <c r="O3426" s="96">
        <f t="shared" si="215"/>
        <v>1648</v>
      </c>
      <c r="T3426" s="110"/>
    </row>
    <row r="3427" spans="3:20" x14ac:dyDescent="0.2">
      <c r="C3427" s="96" t="str">
        <f t="shared" si="212"/>
        <v>1649</v>
      </c>
      <c r="D3427" s="73"/>
      <c r="E3427" s="100"/>
      <c r="F3427" s="101"/>
      <c r="G3427" s="96">
        <f t="shared" si="213"/>
        <v>1649</v>
      </c>
      <c r="I3427" s="96"/>
      <c r="K3427" t="str">
        <f t="shared" si="214"/>
        <v>1649</v>
      </c>
      <c r="M3427" s="72"/>
      <c r="O3427" s="96">
        <f t="shared" si="215"/>
        <v>1649</v>
      </c>
      <c r="T3427" s="110"/>
    </row>
    <row r="3428" spans="3:20" x14ac:dyDescent="0.2">
      <c r="C3428" s="96" t="str">
        <f t="shared" si="212"/>
        <v>1650</v>
      </c>
      <c r="D3428" s="73"/>
      <c r="E3428" s="100"/>
      <c r="F3428" s="101"/>
      <c r="G3428" s="96">
        <f t="shared" si="213"/>
        <v>1650</v>
      </c>
      <c r="I3428" s="96"/>
      <c r="K3428" t="str">
        <f t="shared" si="214"/>
        <v>1650</v>
      </c>
      <c r="M3428" s="72"/>
      <c r="O3428" s="96">
        <f t="shared" si="215"/>
        <v>1650</v>
      </c>
      <c r="T3428" s="110"/>
    </row>
    <row r="3429" spans="3:20" x14ac:dyDescent="0.2">
      <c r="C3429" s="96" t="str">
        <f t="shared" si="212"/>
        <v>1651</v>
      </c>
      <c r="D3429" s="73"/>
      <c r="E3429" s="100"/>
      <c r="F3429" s="101"/>
      <c r="G3429" s="96">
        <f t="shared" si="213"/>
        <v>1651</v>
      </c>
      <c r="I3429" s="96"/>
      <c r="K3429" t="str">
        <f t="shared" si="214"/>
        <v>1651</v>
      </c>
      <c r="M3429" s="72"/>
      <c r="O3429" s="96">
        <f t="shared" si="215"/>
        <v>1651</v>
      </c>
      <c r="T3429" s="110"/>
    </row>
    <row r="3430" spans="3:20" x14ac:dyDescent="0.2">
      <c r="C3430" s="96" t="str">
        <f t="shared" si="212"/>
        <v>1652</v>
      </c>
      <c r="D3430" s="73"/>
      <c r="E3430" s="100"/>
      <c r="F3430" s="101"/>
      <c r="G3430" s="96">
        <f t="shared" si="213"/>
        <v>1652</v>
      </c>
      <c r="I3430" s="96"/>
      <c r="K3430" t="str">
        <f t="shared" si="214"/>
        <v>1652</v>
      </c>
      <c r="M3430" s="72"/>
      <c r="O3430" s="96">
        <f t="shared" si="215"/>
        <v>1652</v>
      </c>
      <c r="T3430" s="110"/>
    </row>
    <row r="3431" spans="3:20" x14ac:dyDescent="0.2">
      <c r="C3431" s="96" t="str">
        <f t="shared" si="212"/>
        <v>1653</v>
      </c>
      <c r="D3431" s="73"/>
      <c r="E3431" s="100"/>
      <c r="F3431" s="101"/>
      <c r="G3431" s="96">
        <f t="shared" si="213"/>
        <v>1653</v>
      </c>
      <c r="I3431" s="96"/>
      <c r="K3431" t="str">
        <f t="shared" si="214"/>
        <v>1653</v>
      </c>
      <c r="M3431" s="72"/>
      <c r="O3431" s="96">
        <f t="shared" si="215"/>
        <v>1653</v>
      </c>
      <c r="T3431" s="110"/>
    </row>
    <row r="3432" spans="3:20" x14ac:dyDescent="0.2">
      <c r="C3432" s="96" t="str">
        <f t="shared" si="212"/>
        <v>1654</v>
      </c>
      <c r="D3432" s="73"/>
      <c r="E3432" s="100"/>
      <c r="F3432" s="101"/>
      <c r="G3432" s="96">
        <f t="shared" si="213"/>
        <v>1654</v>
      </c>
      <c r="I3432" s="96"/>
      <c r="K3432" t="str">
        <f t="shared" si="214"/>
        <v>1654</v>
      </c>
      <c r="M3432" s="72"/>
      <c r="O3432" s="96">
        <f t="shared" si="215"/>
        <v>1654</v>
      </c>
      <c r="T3432" s="110"/>
    </row>
    <row r="3433" spans="3:20" x14ac:dyDescent="0.2">
      <c r="C3433" s="96" t="str">
        <f t="shared" si="212"/>
        <v>1655</v>
      </c>
      <c r="D3433" s="73"/>
      <c r="E3433" s="100"/>
      <c r="F3433" s="101"/>
      <c r="G3433" s="96">
        <f t="shared" si="213"/>
        <v>1655</v>
      </c>
      <c r="I3433" s="96"/>
      <c r="K3433" t="str">
        <f t="shared" si="214"/>
        <v>1655</v>
      </c>
      <c r="M3433" s="72"/>
      <c r="O3433" s="96">
        <f t="shared" si="215"/>
        <v>1655</v>
      </c>
      <c r="T3433" s="110"/>
    </row>
    <row r="3434" spans="3:20" x14ac:dyDescent="0.2">
      <c r="C3434" s="96" t="str">
        <f t="shared" si="212"/>
        <v>1656</v>
      </c>
      <c r="D3434" s="73"/>
      <c r="E3434" s="100"/>
      <c r="F3434" s="101"/>
      <c r="G3434" s="96">
        <f t="shared" si="213"/>
        <v>1656</v>
      </c>
      <c r="I3434" s="96"/>
      <c r="K3434" t="str">
        <f t="shared" si="214"/>
        <v>1656</v>
      </c>
      <c r="M3434" s="72"/>
      <c r="O3434" s="96">
        <f t="shared" si="215"/>
        <v>1656</v>
      </c>
      <c r="T3434" s="110"/>
    </row>
    <row r="3435" spans="3:20" x14ac:dyDescent="0.2">
      <c r="C3435" s="96" t="str">
        <f t="shared" si="212"/>
        <v>1657</v>
      </c>
      <c r="D3435" s="73"/>
      <c r="E3435" s="100"/>
      <c r="F3435" s="101"/>
      <c r="G3435" s="96">
        <f t="shared" si="213"/>
        <v>1657</v>
      </c>
      <c r="I3435" s="96"/>
      <c r="K3435" t="str">
        <f t="shared" si="214"/>
        <v>1657</v>
      </c>
      <c r="M3435" s="72"/>
      <c r="O3435" s="96">
        <f t="shared" si="215"/>
        <v>1657</v>
      </c>
      <c r="T3435" s="110"/>
    </row>
    <row r="3436" spans="3:20" x14ac:dyDescent="0.2">
      <c r="C3436" s="96" t="str">
        <f t="shared" si="212"/>
        <v>1658</v>
      </c>
      <c r="D3436" s="73"/>
      <c r="E3436" s="100"/>
      <c r="F3436" s="101"/>
      <c r="G3436" s="96">
        <f t="shared" si="213"/>
        <v>1658</v>
      </c>
      <c r="I3436" s="96"/>
      <c r="K3436" t="str">
        <f t="shared" si="214"/>
        <v>1658</v>
      </c>
      <c r="M3436" s="72"/>
      <c r="O3436" s="96">
        <f t="shared" si="215"/>
        <v>1658</v>
      </c>
      <c r="T3436" s="110"/>
    </row>
    <row r="3437" spans="3:20" x14ac:dyDescent="0.2">
      <c r="C3437" s="96" t="str">
        <f t="shared" si="212"/>
        <v>1659</v>
      </c>
      <c r="D3437" s="73"/>
      <c r="E3437" s="100"/>
      <c r="F3437" s="101"/>
      <c r="G3437" s="96">
        <f t="shared" si="213"/>
        <v>1659</v>
      </c>
      <c r="I3437" s="96"/>
      <c r="K3437" t="str">
        <f t="shared" si="214"/>
        <v>1659</v>
      </c>
      <c r="M3437" s="72"/>
      <c r="O3437" s="96">
        <f t="shared" si="215"/>
        <v>1659</v>
      </c>
      <c r="T3437" s="110"/>
    </row>
    <row r="3438" spans="3:20" x14ac:dyDescent="0.2">
      <c r="C3438" s="96" t="str">
        <f t="shared" si="212"/>
        <v>1660</v>
      </c>
      <c r="D3438" s="73"/>
      <c r="E3438" s="100"/>
      <c r="F3438" s="101"/>
      <c r="G3438" s="96">
        <f t="shared" si="213"/>
        <v>1660</v>
      </c>
      <c r="I3438" s="96"/>
      <c r="K3438" t="str">
        <f t="shared" si="214"/>
        <v>1660</v>
      </c>
      <c r="M3438" s="72"/>
      <c r="O3438" s="96">
        <f t="shared" si="215"/>
        <v>1660</v>
      </c>
      <c r="T3438" s="110"/>
    </row>
    <row r="3439" spans="3:20" x14ac:dyDescent="0.2">
      <c r="C3439" s="96" t="str">
        <f t="shared" si="212"/>
        <v>1661</v>
      </c>
      <c r="D3439" s="73"/>
      <c r="E3439" s="100"/>
      <c r="F3439" s="101"/>
      <c r="G3439" s="96">
        <f t="shared" si="213"/>
        <v>1661</v>
      </c>
      <c r="I3439" s="96"/>
      <c r="K3439" t="str">
        <f t="shared" si="214"/>
        <v>1661</v>
      </c>
      <c r="M3439" s="72"/>
      <c r="O3439" s="96">
        <f t="shared" si="215"/>
        <v>1661</v>
      </c>
      <c r="T3439" s="110"/>
    </row>
    <row r="3440" spans="3:20" x14ac:dyDescent="0.2">
      <c r="C3440" s="96" t="str">
        <f t="shared" si="212"/>
        <v>1662</v>
      </c>
      <c r="D3440" s="73"/>
      <c r="E3440" s="100"/>
      <c r="F3440" s="101"/>
      <c r="G3440" s="96">
        <f t="shared" si="213"/>
        <v>1662</v>
      </c>
      <c r="I3440" s="96"/>
      <c r="K3440" t="str">
        <f t="shared" si="214"/>
        <v>1662</v>
      </c>
      <c r="M3440" s="72"/>
      <c r="O3440" s="96">
        <f t="shared" si="215"/>
        <v>1662</v>
      </c>
      <c r="T3440" s="110"/>
    </row>
    <row r="3441" spans="3:20" x14ac:dyDescent="0.2">
      <c r="C3441" s="96" t="str">
        <f t="shared" si="212"/>
        <v>1663</v>
      </c>
      <c r="D3441" s="73"/>
      <c r="E3441" s="100"/>
      <c r="F3441" s="101"/>
      <c r="G3441" s="96">
        <f t="shared" si="213"/>
        <v>1663</v>
      </c>
      <c r="I3441" s="96"/>
      <c r="K3441" t="str">
        <f t="shared" si="214"/>
        <v>1663</v>
      </c>
      <c r="M3441" s="72"/>
      <c r="O3441" s="96">
        <f t="shared" si="215"/>
        <v>1663</v>
      </c>
      <c r="T3441" s="110"/>
    </row>
    <row r="3442" spans="3:20" x14ac:dyDescent="0.2">
      <c r="C3442" s="96" t="str">
        <f t="shared" si="212"/>
        <v>1664</v>
      </c>
      <c r="D3442" s="73"/>
      <c r="E3442" s="100"/>
      <c r="F3442" s="101"/>
      <c r="G3442" s="96">
        <f t="shared" si="213"/>
        <v>1664</v>
      </c>
      <c r="I3442" s="96"/>
      <c r="K3442" t="str">
        <f t="shared" si="214"/>
        <v>1664</v>
      </c>
      <c r="M3442" s="72"/>
      <c r="O3442" s="96">
        <f t="shared" si="215"/>
        <v>1664</v>
      </c>
      <c r="T3442" s="110"/>
    </row>
    <row r="3443" spans="3:20" x14ac:dyDescent="0.2">
      <c r="C3443" s="96" t="str">
        <f t="shared" si="212"/>
        <v>1665</v>
      </c>
      <c r="D3443" s="73"/>
      <c r="E3443" s="100"/>
      <c r="F3443" s="101"/>
      <c r="G3443" s="96">
        <f t="shared" si="213"/>
        <v>1665</v>
      </c>
      <c r="I3443" s="96"/>
      <c r="K3443" t="str">
        <f t="shared" si="214"/>
        <v>1665</v>
      </c>
      <c r="M3443" s="72"/>
      <c r="O3443" s="96">
        <f t="shared" si="215"/>
        <v>1665</v>
      </c>
      <c r="T3443" s="110"/>
    </row>
    <row r="3444" spans="3:20" x14ac:dyDescent="0.2">
      <c r="C3444" s="96" t="str">
        <f t="shared" si="212"/>
        <v>1666</v>
      </c>
      <c r="D3444" s="73"/>
      <c r="E3444" s="100"/>
      <c r="F3444" s="101"/>
      <c r="G3444" s="96">
        <f t="shared" si="213"/>
        <v>1666</v>
      </c>
      <c r="I3444" s="96"/>
      <c r="K3444" t="str">
        <f t="shared" si="214"/>
        <v>1666</v>
      </c>
      <c r="M3444" s="72"/>
      <c r="O3444" s="96">
        <f t="shared" si="215"/>
        <v>1666</v>
      </c>
      <c r="T3444" s="110"/>
    </row>
    <row r="3445" spans="3:20" x14ac:dyDescent="0.2">
      <c r="C3445" s="96" t="str">
        <f t="shared" si="212"/>
        <v>1667</v>
      </c>
      <c r="D3445" s="73"/>
      <c r="E3445" s="100"/>
      <c r="F3445" s="101"/>
      <c r="G3445" s="96">
        <f t="shared" si="213"/>
        <v>1667</v>
      </c>
      <c r="I3445" s="96"/>
      <c r="K3445" t="str">
        <f t="shared" si="214"/>
        <v>1667</v>
      </c>
      <c r="M3445" s="72"/>
      <c r="O3445" s="96">
        <f t="shared" si="215"/>
        <v>1667</v>
      </c>
      <c r="T3445" s="110"/>
    </row>
    <row r="3446" spans="3:20" x14ac:dyDescent="0.2">
      <c r="C3446" s="96" t="str">
        <f t="shared" si="212"/>
        <v>1668</v>
      </c>
      <c r="D3446" s="73"/>
      <c r="E3446" s="100"/>
      <c r="F3446" s="101"/>
      <c r="G3446" s="96">
        <f t="shared" si="213"/>
        <v>1668</v>
      </c>
      <c r="I3446" s="96"/>
      <c r="K3446" t="str">
        <f t="shared" si="214"/>
        <v>1668</v>
      </c>
      <c r="M3446" s="72"/>
      <c r="O3446" s="96">
        <f t="shared" si="215"/>
        <v>1668</v>
      </c>
      <c r="T3446" s="110"/>
    </row>
    <row r="3447" spans="3:20" x14ac:dyDescent="0.2">
      <c r="C3447" s="96" t="str">
        <f t="shared" si="212"/>
        <v>1669</v>
      </c>
      <c r="D3447" s="73"/>
      <c r="E3447" s="100"/>
      <c r="F3447" s="101"/>
      <c r="G3447" s="96">
        <f t="shared" si="213"/>
        <v>1669</v>
      </c>
      <c r="I3447" s="96"/>
      <c r="K3447" t="str">
        <f t="shared" si="214"/>
        <v>1669</v>
      </c>
      <c r="M3447" s="72"/>
      <c r="O3447" s="96">
        <f t="shared" si="215"/>
        <v>1669</v>
      </c>
      <c r="T3447" s="110"/>
    </row>
    <row r="3448" spans="3:20" x14ac:dyDescent="0.2">
      <c r="C3448" s="96" t="str">
        <f t="shared" si="212"/>
        <v>1670</v>
      </c>
      <c r="D3448" s="73"/>
      <c r="E3448" s="100"/>
      <c r="F3448" s="101"/>
      <c r="G3448" s="96">
        <f t="shared" si="213"/>
        <v>1670</v>
      </c>
      <c r="I3448" s="96"/>
      <c r="K3448" t="str">
        <f t="shared" si="214"/>
        <v>1670</v>
      </c>
      <c r="M3448" s="72"/>
      <c r="O3448" s="96">
        <f t="shared" si="215"/>
        <v>1670</v>
      </c>
      <c r="T3448" s="110"/>
    </row>
    <row r="3449" spans="3:20" x14ac:dyDescent="0.2">
      <c r="C3449" s="96" t="str">
        <f t="shared" si="212"/>
        <v>1671</v>
      </c>
      <c r="D3449" s="73"/>
      <c r="E3449" s="100"/>
      <c r="F3449" s="101"/>
      <c r="G3449" s="96">
        <f t="shared" si="213"/>
        <v>1671</v>
      </c>
      <c r="I3449" s="96"/>
      <c r="K3449" t="str">
        <f t="shared" si="214"/>
        <v>1671</v>
      </c>
      <c r="M3449" s="72"/>
      <c r="O3449" s="96">
        <f t="shared" si="215"/>
        <v>1671</v>
      </c>
      <c r="T3449" s="110"/>
    </row>
    <row r="3450" spans="3:20" x14ac:dyDescent="0.2">
      <c r="C3450" s="96" t="str">
        <f t="shared" si="212"/>
        <v>1672</v>
      </c>
      <c r="D3450" s="73"/>
      <c r="E3450" s="100"/>
      <c r="F3450" s="101"/>
      <c r="G3450" s="96">
        <f t="shared" si="213"/>
        <v>1672</v>
      </c>
      <c r="I3450" s="96"/>
      <c r="K3450" t="str">
        <f t="shared" si="214"/>
        <v>1672</v>
      </c>
      <c r="M3450" s="72"/>
      <c r="O3450" s="96">
        <f t="shared" si="215"/>
        <v>1672</v>
      </c>
      <c r="T3450" s="110"/>
    </row>
    <row r="3451" spans="3:20" x14ac:dyDescent="0.2">
      <c r="C3451" s="96" t="str">
        <f t="shared" si="212"/>
        <v>1673</v>
      </c>
      <c r="D3451" s="73"/>
      <c r="E3451" s="100"/>
      <c r="F3451" s="101"/>
      <c r="G3451" s="96">
        <f t="shared" si="213"/>
        <v>1673</v>
      </c>
      <c r="I3451" s="96"/>
      <c r="K3451" t="str">
        <f t="shared" si="214"/>
        <v>1673</v>
      </c>
      <c r="M3451" s="72"/>
      <c r="O3451" s="96">
        <f t="shared" si="215"/>
        <v>1673</v>
      </c>
      <c r="T3451" s="110"/>
    </row>
    <row r="3452" spans="3:20" x14ac:dyDescent="0.2">
      <c r="C3452" s="96" t="str">
        <f t="shared" si="212"/>
        <v>1674</v>
      </c>
      <c r="D3452" s="73"/>
      <c r="E3452" s="100"/>
      <c r="F3452" s="101"/>
      <c r="G3452" s="96">
        <f t="shared" si="213"/>
        <v>1674</v>
      </c>
      <c r="I3452" s="96"/>
      <c r="K3452" t="str">
        <f t="shared" si="214"/>
        <v>1674</v>
      </c>
      <c r="M3452" s="72"/>
      <c r="O3452" s="96">
        <f t="shared" si="215"/>
        <v>1674</v>
      </c>
      <c r="T3452" s="110"/>
    </row>
    <row r="3453" spans="3:20" x14ac:dyDescent="0.2">
      <c r="C3453" s="96" t="str">
        <f t="shared" si="212"/>
        <v>1675</v>
      </c>
      <c r="D3453" s="73"/>
      <c r="E3453" s="100"/>
      <c r="F3453" s="101"/>
      <c r="G3453" s="96">
        <f t="shared" si="213"/>
        <v>1675</v>
      </c>
      <c r="I3453" s="96"/>
      <c r="K3453" t="str">
        <f t="shared" si="214"/>
        <v>1675</v>
      </c>
      <c r="M3453" s="72"/>
      <c r="O3453" s="96">
        <f t="shared" si="215"/>
        <v>1675</v>
      </c>
      <c r="T3453" s="110"/>
    </row>
    <row r="3454" spans="3:20" x14ac:dyDescent="0.2">
      <c r="C3454" s="96" t="str">
        <f t="shared" si="212"/>
        <v>1676</v>
      </c>
      <c r="D3454" s="73"/>
      <c r="E3454" s="100"/>
      <c r="F3454" s="101"/>
      <c r="G3454" s="96">
        <f t="shared" si="213"/>
        <v>1676</v>
      </c>
      <c r="I3454" s="96"/>
      <c r="K3454" t="str">
        <f t="shared" si="214"/>
        <v>1676</v>
      </c>
      <c r="M3454" s="72"/>
      <c r="O3454" s="96">
        <f t="shared" si="215"/>
        <v>1676</v>
      </c>
      <c r="T3454" s="110"/>
    </row>
    <row r="3455" spans="3:20" x14ac:dyDescent="0.2">
      <c r="C3455" s="96" t="str">
        <f t="shared" si="212"/>
        <v>1677</v>
      </c>
      <c r="D3455" s="73"/>
      <c r="E3455" s="100"/>
      <c r="F3455" s="101"/>
      <c r="G3455" s="96">
        <f t="shared" si="213"/>
        <v>1677</v>
      </c>
      <c r="I3455" s="96"/>
      <c r="K3455" t="str">
        <f t="shared" si="214"/>
        <v>1677</v>
      </c>
      <c r="M3455" s="72"/>
      <c r="O3455" s="96">
        <f t="shared" si="215"/>
        <v>1677</v>
      </c>
      <c r="T3455" s="110"/>
    </row>
    <row r="3456" spans="3:20" x14ac:dyDescent="0.2">
      <c r="C3456" s="96" t="str">
        <f t="shared" si="212"/>
        <v>1678</v>
      </c>
      <c r="D3456" s="73"/>
      <c r="E3456" s="100"/>
      <c r="F3456" s="101"/>
      <c r="G3456" s="96">
        <f t="shared" si="213"/>
        <v>1678</v>
      </c>
      <c r="I3456" s="96"/>
      <c r="K3456" t="str">
        <f t="shared" si="214"/>
        <v>1678</v>
      </c>
      <c r="M3456" s="72"/>
      <c r="O3456" s="96">
        <f t="shared" si="215"/>
        <v>1678</v>
      </c>
      <c r="T3456" s="110"/>
    </row>
    <row r="3457" spans="3:20" x14ac:dyDescent="0.2">
      <c r="C3457" s="96" t="str">
        <f t="shared" si="212"/>
        <v>1679</v>
      </c>
      <c r="D3457" s="73"/>
      <c r="E3457" s="100"/>
      <c r="F3457" s="101"/>
      <c r="G3457" s="96">
        <f t="shared" si="213"/>
        <v>1679</v>
      </c>
      <c r="I3457" s="96"/>
      <c r="K3457" t="str">
        <f t="shared" si="214"/>
        <v>1679</v>
      </c>
      <c r="M3457" s="72"/>
      <c r="O3457" s="96">
        <f t="shared" si="215"/>
        <v>1679</v>
      </c>
      <c r="T3457" s="110"/>
    </row>
    <row r="3458" spans="3:20" x14ac:dyDescent="0.2">
      <c r="C3458" s="96" t="str">
        <f t="shared" si="212"/>
        <v>1680</v>
      </c>
      <c r="D3458" s="73"/>
      <c r="E3458" s="100"/>
      <c r="F3458" s="101"/>
      <c r="G3458" s="96">
        <f t="shared" si="213"/>
        <v>1680</v>
      </c>
      <c r="I3458" s="96"/>
      <c r="K3458" t="str">
        <f t="shared" si="214"/>
        <v>1680</v>
      </c>
      <c r="M3458" s="72"/>
      <c r="O3458" s="96">
        <f t="shared" si="215"/>
        <v>1680</v>
      </c>
      <c r="T3458" s="110"/>
    </row>
    <row r="3459" spans="3:20" x14ac:dyDescent="0.2">
      <c r="C3459" s="96" t="str">
        <f t="shared" ref="C3459:C3522" si="216">D3459&amp;G3459</f>
        <v>1681</v>
      </c>
      <c r="D3459" s="73"/>
      <c r="E3459" s="100"/>
      <c r="F3459" s="101"/>
      <c r="G3459" s="96">
        <f t="shared" ref="G3459:G3522" si="217">IF(D3459&lt;&gt;D3458,1,G3458+1)</f>
        <v>1681</v>
      </c>
      <c r="I3459" s="96"/>
      <c r="K3459" t="str">
        <f t="shared" ref="K3459:K3522" si="218">L3459&amp;O3459</f>
        <v>1681</v>
      </c>
      <c r="M3459" s="72"/>
      <c r="O3459" s="96">
        <f t="shared" ref="O3459:O3522" si="219">IF(L3459&lt;&gt;L3458,1,O3458+1)</f>
        <v>1681</v>
      </c>
      <c r="T3459" s="110"/>
    </row>
    <row r="3460" spans="3:20" x14ac:dyDescent="0.2">
      <c r="C3460" s="96" t="str">
        <f t="shared" si="216"/>
        <v>1682</v>
      </c>
      <c r="D3460" s="73"/>
      <c r="E3460" s="100"/>
      <c r="F3460" s="101"/>
      <c r="G3460" s="96">
        <f t="shared" si="217"/>
        <v>1682</v>
      </c>
      <c r="I3460" s="96"/>
      <c r="K3460" t="str">
        <f t="shared" si="218"/>
        <v>1682</v>
      </c>
      <c r="M3460" s="72"/>
      <c r="O3460" s="96">
        <f t="shared" si="219"/>
        <v>1682</v>
      </c>
      <c r="T3460" s="110"/>
    </row>
    <row r="3461" spans="3:20" x14ac:dyDescent="0.2">
      <c r="C3461" s="96" t="str">
        <f t="shared" si="216"/>
        <v>1683</v>
      </c>
      <c r="D3461" s="73"/>
      <c r="E3461" s="100"/>
      <c r="F3461" s="101"/>
      <c r="G3461" s="96">
        <f t="shared" si="217"/>
        <v>1683</v>
      </c>
      <c r="I3461" s="96"/>
      <c r="K3461" t="str">
        <f t="shared" si="218"/>
        <v>1683</v>
      </c>
      <c r="M3461" s="72"/>
      <c r="O3461" s="96">
        <f t="shared" si="219"/>
        <v>1683</v>
      </c>
      <c r="T3461" s="110"/>
    </row>
    <row r="3462" spans="3:20" x14ac:dyDescent="0.2">
      <c r="C3462" s="96" t="str">
        <f t="shared" si="216"/>
        <v>1684</v>
      </c>
      <c r="D3462" s="73"/>
      <c r="E3462" s="100"/>
      <c r="F3462" s="101"/>
      <c r="G3462" s="96">
        <f t="shared" si="217"/>
        <v>1684</v>
      </c>
      <c r="I3462" s="96"/>
      <c r="K3462" t="str">
        <f t="shared" si="218"/>
        <v>1684</v>
      </c>
      <c r="M3462" s="72"/>
      <c r="O3462" s="96">
        <f t="shared" si="219"/>
        <v>1684</v>
      </c>
      <c r="T3462" s="110"/>
    </row>
    <row r="3463" spans="3:20" x14ac:dyDescent="0.2">
      <c r="C3463" s="96" t="str">
        <f t="shared" si="216"/>
        <v>1685</v>
      </c>
      <c r="D3463" s="73"/>
      <c r="E3463" s="100"/>
      <c r="F3463" s="101"/>
      <c r="G3463" s="96">
        <f t="shared" si="217"/>
        <v>1685</v>
      </c>
      <c r="I3463" s="96"/>
      <c r="K3463" t="str">
        <f t="shared" si="218"/>
        <v>1685</v>
      </c>
      <c r="M3463" s="72"/>
      <c r="O3463" s="96">
        <f t="shared" si="219"/>
        <v>1685</v>
      </c>
      <c r="T3463" s="110"/>
    </row>
    <row r="3464" spans="3:20" x14ac:dyDescent="0.2">
      <c r="C3464" s="96" t="str">
        <f t="shared" si="216"/>
        <v>1686</v>
      </c>
      <c r="D3464" s="73"/>
      <c r="E3464" s="100"/>
      <c r="F3464" s="101"/>
      <c r="G3464" s="96">
        <f t="shared" si="217"/>
        <v>1686</v>
      </c>
      <c r="I3464" s="96"/>
      <c r="K3464" t="str">
        <f t="shared" si="218"/>
        <v>1686</v>
      </c>
      <c r="M3464" s="72"/>
      <c r="O3464" s="96">
        <f t="shared" si="219"/>
        <v>1686</v>
      </c>
      <c r="T3464" s="110"/>
    </row>
    <row r="3465" spans="3:20" x14ac:dyDescent="0.2">
      <c r="C3465" s="96" t="str">
        <f t="shared" si="216"/>
        <v>1687</v>
      </c>
      <c r="D3465" s="73"/>
      <c r="E3465" s="100"/>
      <c r="F3465" s="101"/>
      <c r="G3465" s="96">
        <f t="shared" si="217"/>
        <v>1687</v>
      </c>
      <c r="I3465" s="96"/>
      <c r="K3465" t="str">
        <f t="shared" si="218"/>
        <v>1687</v>
      </c>
      <c r="M3465" s="72"/>
      <c r="O3465" s="96">
        <f t="shared" si="219"/>
        <v>1687</v>
      </c>
      <c r="T3465" s="110"/>
    </row>
    <row r="3466" spans="3:20" x14ac:dyDescent="0.2">
      <c r="C3466" s="96" t="str">
        <f t="shared" si="216"/>
        <v>1688</v>
      </c>
      <c r="D3466" s="73"/>
      <c r="E3466" s="100"/>
      <c r="F3466" s="101"/>
      <c r="G3466" s="96">
        <f t="shared" si="217"/>
        <v>1688</v>
      </c>
      <c r="I3466" s="96"/>
      <c r="K3466" t="str">
        <f t="shared" si="218"/>
        <v>1688</v>
      </c>
      <c r="M3466" s="72"/>
      <c r="O3466" s="96">
        <f t="shared" si="219"/>
        <v>1688</v>
      </c>
      <c r="T3466" s="110"/>
    </row>
    <row r="3467" spans="3:20" x14ac:dyDescent="0.2">
      <c r="C3467" s="96" t="str">
        <f t="shared" si="216"/>
        <v>1689</v>
      </c>
      <c r="D3467" s="73"/>
      <c r="E3467" s="100"/>
      <c r="F3467" s="101"/>
      <c r="G3467" s="96">
        <f t="shared" si="217"/>
        <v>1689</v>
      </c>
      <c r="I3467" s="96"/>
      <c r="K3467" t="str">
        <f t="shared" si="218"/>
        <v>1689</v>
      </c>
      <c r="M3467" s="72"/>
      <c r="O3467" s="96">
        <f t="shared" si="219"/>
        <v>1689</v>
      </c>
      <c r="T3467" s="110"/>
    </row>
    <row r="3468" spans="3:20" x14ac:dyDescent="0.2">
      <c r="C3468" s="96" t="str">
        <f t="shared" si="216"/>
        <v>1690</v>
      </c>
      <c r="D3468" s="73"/>
      <c r="E3468" s="100"/>
      <c r="F3468" s="101"/>
      <c r="G3468" s="96">
        <f t="shared" si="217"/>
        <v>1690</v>
      </c>
      <c r="I3468" s="96"/>
      <c r="K3468" t="str">
        <f t="shared" si="218"/>
        <v>1690</v>
      </c>
      <c r="M3468" s="72"/>
      <c r="O3468" s="96">
        <f t="shared" si="219"/>
        <v>1690</v>
      </c>
      <c r="T3468" s="110"/>
    </row>
    <row r="3469" spans="3:20" x14ac:dyDescent="0.2">
      <c r="C3469" s="96" t="str">
        <f t="shared" si="216"/>
        <v>1691</v>
      </c>
      <c r="D3469" s="73"/>
      <c r="E3469" s="100"/>
      <c r="F3469" s="101"/>
      <c r="G3469" s="96">
        <f t="shared" si="217"/>
        <v>1691</v>
      </c>
      <c r="I3469" s="96"/>
      <c r="K3469" t="str">
        <f t="shared" si="218"/>
        <v>1691</v>
      </c>
      <c r="M3469" s="72"/>
      <c r="O3469" s="96">
        <f t="shared" si="219"/>
        <v>1691</v>
      </c>
      <c r="T3469" s="110"/>
    </row>
    <row r="3470" spans="3:20" x14ac:dyDescent="0.2">
      <c r="C3470" s="96" t="str">
        <f t="shared" si="216"/>
        <v>1692</v>
      </c>
      <c r="D3470" s="73"/>
      <c r="E3470" s="100"/>
      <c r="F3470" s="101"/>
      <c r="G3470" s="96">
        <f t="shared" si="217"/>
        <v>1692</v>
      </c>
      <c r="I3470" s="96"/>
      <c r="K3470" t="str">
        <f t="shared" si="218"/>
        <v>1692</v>
      </c>
      <c r="M3470" s="72"/>
      <c r="O3470" s="96">
        <f t="shared" si="219"/>
        <v>1692</v>
      </c>
      <c r="T3470" s="110"/>
    </row>
    <row r="3471" spans="3:20" x14ac:dyDescent="0.2">
      <c r="C3471" s="96" t="str">
        <f t="shared" si="216"/>
        <v>1693</v>
      </c>
      <c r="D3471" s="73"/>
      <c r="E3471" s="100"/>
      <c r="F3471" s="101"/>
      <c r="G3471" s="96">
        <f t="shared" si="217"/>
        <v>1693</v>
      </c>
      <c r="I3471" s="96"/>
      <c r="K3471" t="str">
        <f t="shared" si="218"/>
        <v>1693</v>
      </c>
      <c r="M3471" s="72"/>
      <c r="O3471" s="96">
        <f t="shared" si="219"/>
        <v>1693</v>
      </c>
      <c r="T3471" s="110"/>
    </row>
    <row r="3472" spans="3:20" x14ac:dyDescent="0.2">
      <c r="C3472" s="96" t="str">
        <f t="shared" si="216"/>
        <v>1694</v>
      </c>
      <c r="D3472" s="73"/>
      <c r="E3472" s="100"/>
      <c r="F3472" s="101"/>
      <c r="G3472" s="96">
        <f t="shared" si="217"/>
        <v>1694</v>
      </c>
      <c r="I3472" s="96"/>
      <c r="K3472" t="str">
        <f t="shared" si="218"/>
        <v>1694</v>
      </c>
      <c r="M3472" s="72"/>
      <c r="O3472" s="96">
        <f t="shared" si="219"/>
        <v>1694</v>
      </c>
      <c r="T3472" s="110"/>
    </row>
    <row r="3473" spans="3:20" x14ac:dyDescent="0.2">
      <c r="C3473" s="96" t="str">
        <f t="shared" si="216"/>
        <v>1695</v>
      </c>
      <c r="D3473" s="73"/>
      <c r="E3473" s="100"/>
      <c r="F3473" s="101"/>
      <c r="G3473" s="96">
        <f t="shared" si="217"/>
        <v>1695</v>
      </c>
      <c r="I3473" s="96"/>
      <c r="K3473" t="str">
        <f t="shared" si="218"/>
        <v>1695</v>
      </c>
      <c r="M3473" s="72"/>
      <c r="O3473" s="96">
        <f t="shared" si="219"/>
        <v>1695</v>
      </c>
      <c r="T3473" s="110"/>
    </row>
    <row r="3474" spans="3:20" x14ac:dyDescent="0.2">
      <c r="C3474" s="96" t="str">
        <f t="shared" si="216"/>
        <v>1696</v>
      </c>
      <c r="D3474" s="73"/>
      <c r="E3474" s="100"/>
      <c r="F3474" s="101"/>
      <c r="G3474" s="96">
        <f t="shared" si="217"/>
        <v>1696</v>
      </c>
      <c r="I3474" s="96"/>
      <c r="K3474" t="str">
        <f t="shared" si="218"/>
        <v>1696</v>
      </c>
      <c r="M3474" s="72"/>
      <c r="O3474" s="96">
        <f t="shared" si="219"/>
        <v>1696</v>
      </c>
      <c r="T3474" s="110"/>
    </row>
    <row r="3475" spans="3:20" x14ac:dyDescent="0.2">
      <c r="C3475" s="96" t="str">
        <f t="shared" si="216"/>
        <v>1697</v>
      </c>
      <c r="D3475" s="73"/>
      <c r="E3475" s="100"/>
      <c r="F3475" s="101"/>
      <c r="G3475" s="96">
        <f t="shared" si="217"/>
        <v>1697</v>
      </c>
      <c r="I3475" s="96"/>
      <c r="K3475" t="str">
        <f t="shared" si="218"/>
        <v>1697</v>
      </c>
      <c r="M3475" s="72"/>
      <c r="O3475" s="96">
        <f t="shared" si="219"/>
        <v>1697</v>
      </c>
      <c r="T3475" s="110"/>
    </row>
    <row r="3476" spans="3:20" x14ac:dyDescent="0.2">
      <c r="C3476" s="96" t="str">
        <f t="shared" si="216"/>
        <v>1698</v>
      </c>
      <c r="D3476" s="73"/>
      <c r="E3476" s="100"/>
      <c r="F3476" s="101"/>
      <c r="G3476" s="96">
        <f t="shared" si="217"/>
        <v>1698</v>
      </c>
      <c r="I3476" s="96"/>
      <c r="K3476" t="str">
        <f t="shared" si="218"/>
        <v>1698</v>
      </c>
      <c r="M3476" s="72"/>
      <c r="O3476" s="96">
        <f t="shared" si="219"/>
        <v>1698</v>
      </c>
      <c r="T3476" s="110"/>
    </row>
    <row r="3477" spans="3:20" x14ac:dyDescent="0.2">
      <c r="C3477" s="96" t="str">
        <f t="shared" si="216"/>
        <v>1699</v>
      </c>
      <c r="D3477" s="73"/>
      <c r="E3477" s="100"/>
      <c r="F3477" s="101"/>
      <c r="G3477" s="96">
        <f t="shared" si="217"/>
        <v>1699</v>
      </c>
      <c r="I3477" s="96"/>
      <c r="K3477" t="str">
        <f t="shared" si="218"/>
        <v>1699</v>
      </c>
      <c r="M3477" s="72"/>
      <c r="O3477" s="96">
        <f t="shared" si="219"/>
        <v>1699</v>
      </c>
      <c r="T3477" s="110"/>
    </row>
    <row r="3478" spans="3:20" x14ac:dyDescent="0.2">
      <c r="C3478" s="96" t="str">
        <f t="shared" si="216"/>
        <v>1700</v>
      </c>
      <c r="D3478" s="73"/>
      <c r="E3478" s="100"/>
      <c r="F3478" s="101"/>
      <c r="G3478" s="96">
        <f t="shared" si="217"/>
        <v>1700</v>
      </c>
      <c r="I3478" s="96"/>
      <c r="K3478" t="str">
        <f t="shared" si="218"/>
        <v>1700</v>
      </c>
      <c r="M3478" s="72"/>
      <c r="O3478" s="96">
        <f t="shared" si="219"/>
        <v>1700</v>
      </c>
      <c r="T3478" s="110"/>
    </row>
    <row r="3479" spans="3:20" x14ac:dyDescent="0.2">
      <c r="C3479" s="96" t="str">
        <f t="shared" si="216"/>
        <v>1701</v>
      </c>
      <c r="D3479" s="73"/>
      <c r="E3479" s="100"/>
      <c r="F3479" s="101"/>
      <c r="G3479" s="96">
        <f t="shared" si="217"/>
        <v>1701</v>
      </c>
      <c r="I3479" s="96"/>
      <c r="K3479" t="str">
        <f t="shared" si="218"/>
        <v>1701</v>
      </c>
      <c r="M3479" s="72"/>
      <c r="O3479" s="96">
        <f t="shared" si="219"/>
        <v>1701</v>
      </c>
      <c r="T3479" s="110"/>
    </row>
    <row r="3480" spans="3:20" x14ac:dyDescent="0.2">
      <c r="C3480" s="96" t="str">
        <f t="shared" si="216"/>
        <v>1702</v>
      </c>
      <c r="D3480" s="73"/>
      <c r="E3480" s="100"/>
      <c r="F3480" s="101"/>
      <c r="G3480" s="96">
        <f t="shared" si="217"/>
        <v>1702</v>
      </c>
      <c r="I3480" s="96"/>
      <c r="K3480" t="str">
        <f t="shared" si="218"/>
        <v>1702</v>
      </c>
      <c r="M3480" s="72"/>
      <c r="O3480" s="96">
        <f t="shared" si="219"/>
        <v>1702</v>
      </c>
      <c r="T3480" s="110"/>
    </row>
    <row r="3481" spans="3:20" x14ac:dyDescent="0.2">
      <c r="C3481" s="96" t="str">
        <f t="shared" si="216"/>
        <v>1703</v>
      </c>
      <c r="D3481" s="73"/>
      <c r="E3481" s="100"/>
      <c r="F3481" s="101"/>
      <c r="G3481" s="96">
        <f t="shared" si="217"/>
        <v>1703</v>
      </c>
      <c r="I3481" s="96"/>
      <c r="K3481" t="str">
        <f t="shared" si="218"/>
        <v>1703</v>
      </c>
      <c r="M3481" s="72"/>
      <c r="O3481" s="96">
        <f t="shared" si="219"/>
        <v>1703</v>
      </c>
      <c r="T3481" s="110"/>
    </row>
    <row r="3482" spans="3:20" x14ac:dyDescent="0.2">
      <c r="C3482" s="96" t="str">
        <f t="shared" si="216"/>
        <v>1704</v>
      </c>
      <c r="D3482" s="73"/>
      <c r="E3482" s="100"/>
      <c r="F3482" s="101"/>
      <c r="G3482" s="96">
        <f t="shared" si="217"/>
        <v>1704</v>
      </c>
      <c r="I3482" s="96"/>
      <c r="K3482" t="str">
        <f t="shared" si="218"/>
        <v>1704</v>
      </c>
      <c r="M3482" s="72"/>
      <c r="O3482" s="96">
        <f t="shared" si="219"/>
        <v>1704</v>
      </c>
      <c r="T3482" s="110"/>
    </row>
    <row r="3483" spans="3:20" x14ac:dyDescent="0.2">
      <c r="C3483" s="96" t="str">
        <f t="shared" si="216"/>
        <v>1705</v>
      </c>
      <c r="D3483" s="73"/>
      <c r="E3483" s="100"/>
      <c r="F3483" s="101"/>
      <c r="G3483" s="96">
        <f t="shared" si="217"/>
        <v>1705</v>
      </c>
      <c r="I3483" s="96"/>
      <c r="K3483" t="str">
        <f t="shared" si="218"/>
        <v>1705</v>
      </c>
      <c r="M3483" s="72"/>
      <c r="O3483" s="96">
        <f t="shared" si="219"/>
        <v>1705</v>
      </c>
      <c r="T3483" s="110"/>
    </row>
    <row r="3484" spans="3:20" x14ac:dyDescent="0.2">
      <c r="C3484" s="96" t="str">
        <f t="shared" si="216"/>
        <v>1706</v>
      </c>
      <c r="D3484" s="73"/>
      <c r="E3484" s="100"/>
      <c r="F3484" s="101"/>
      <c r="G3484" s="96">
        <f t="shared" si="217"/>
        <v>1706</v>
      </c>
      <c r="I3484" s="96"/>
      <c r="K3484" t="str">
        <f t="shared" si="218"/>
        <v>1706</v>
      </c>
      <c r="M3484" s="72"/>
      <c r="O3484" s="96">
        <f t="shared" si="219"/>
        <v>1706</v>
      </c>
      <c r="T3484" s="110"/>
    </row>
    <row r="3485" spans="3:20" x14ac:dyDescent="0.2">
      <c r="C3485" s="96" t="str">
        <f t="shared" si="216"/>
        <v>1707</v>
      </c>
      <c r="D3485" s="73"/>
      <c r="E3485" s="100"/>
      <c r="F3485" s="101"/>
      <c r="G3485" s="96">
        <f t="shared" si="217"/>
        <v>1707</v>
      </c>
      <c r="I3485" s="96"/>
      <c r="K3485" t="str">
        <f t="shared" si="218"/>
        <v>1707</v>
      </c>
      <c r="M3485" s="72"/>
      <c r="O3485" s="96">
        <f t="shared" si="219"/>
        <v>1707</v>
      </c>
      <c r="T3485" s="110"/>
    </row>
    <row r="3486" spans="3:20" x14ac:dyDescent="0.2">
      <c r="C3486" s="96" t="str">
        <f t="shared" si="216"/>
        <v>1708</v>
      </c>
      <c r="D3486" s="73"/>
      <c r="E3486" s="100"/>
      <c r="F3486" s="101"/>
      <c r="G3486" s="96">
        <f t="shared" si="217"/>
        <v>1708</v>
      </c>
      <c r="I3486" s="96"/>
      <c r="K3486" t="str">
        <f t="shared" si="218"/>
        <v>1708</v>
      </c>
      <c r="M3486" s="72"/>
      <c r="O3486" s="96">
        <f t="shared" si="219"/>
        <v>1708</v>
      </c>
      <c r="T3486" s="110"/>
    </row>
    <row r="3487" spans="3:20" x14ac:dyDescent="0.2">
      <c r="C3487" s="96" t="str">
        <f t="shared" si="216"/>
        <v>1709</v>
      </c>
      <c r="D3487" s="73"/>
      <c r="E3487" s="100"/>
      <c r="F3487" s="101"/>
      <c r="G3487" s="96">
        <f t="shared" si="217"/>
        <v>1709</v>
      </c>
      <c r="I3487" s="96"/>
      <c r="K3487" t="str">
        <f t="shared" si="218"/>
        <v>1709</v>
      </c>
      <c r="M3487" s="72"/>
      <c r="O3487" s="96">
        <f t="shared" si="219"/>
        <v>1709</v>
      </c>
      <c r="T3487" s="110"/>
    </row>
    <row r="3488" spans="3:20" x14ac:dyDescent="0.2">
      <c r="C3488" s="96" t="str">
        <f t="shared" si="216"/>
        <v>1710</v>
      </c>
      <c r="D3488" s="73"/>
      <c r="E3488" s="100"/>
      <c r="F3488" s="101"/>
      <c r="G3488" s="96">
        <f t="shared" si="217"/>
        <v>1710</v>
      </c>
      <c r="I3488" s="96"/>
      <c r="K3488" t="str">
        <f t="shared" si="218"/>
        <v>1710</v>
      </c>
      <c r="M3488" s="72"/>
      <c r="O3488" s="96">
        <f t="shared" si="219"/>
        <v>1710</v>
      </c>
      <c r="T3488" s="110"/>
    </row>
    <row r="3489" spans="3:20" x14ac:dyDescent="0.2">
      <c r="C3489" s="96" t="str">
        <f t="shared" si="216"/>
        <v>1711</v>
      </c>
      <c r="D3489" s="73"/>
      <c r="E3489" s="100"/>
      <c r="F3489" s="101"/>
      <c r="G3489" s="96">
        <f t="shared" si="217"/>
        <v>1711</v>
      </c>
      <c r="I3489" s="96"/>
      <c r="K3489" t="str">
        <f t="shared" si="218"/>
        <v>1711</v>
      </c>
      <c r="M3489" s="72"/>
      <c r="O3489" s="96">
        <f t="shared" si="219"/>
        <v>1711</v>
      </c>
      <c r="T3489" s="110"/>
    </row>
    <row r="3490" spans="3:20" x14ac:dyDescent="0.2">
      <c r="C3490" s="96" t="str">
        <f t="shared" si="216"/>
        <v>1712</v>
      </c>
      <c r="D3490" s="73"/>
      <c r="E3490" s="100"/>
      <c r="F3490" s="101"/>
      <c r="G3490" s="96">
        <f t="shared" si="217"/>
        <v>1712</v>
      </c>
      <c r="I3490" s="96"/>
      <c r="K3490" t="str">
        <f t="shared" si="218"/>
        <v>1712</v>
      </c>
      <c r="M3490" s="72"/>
      <c r="O3490" s="96">
        <f t="shared" si="219"/>
        <v>1712</v>
      </c>
      <c r="T3490" s="110"/>
    </row>
    <row r="3491" spans="3:20" x14ac:dyDescent="0.2">
      <c r="C3491" s="96" t="str">
        <f t="shared" si="216"/>
        <v>1713</v>
      </c>
      <c r="D3491" s="73"/>
      <c r="E3491" s="100"/>
      <c r="F3491" s="101"/>
      <c r="G3491" s="96">
        <f t="shared" si="217"/>
        <v>1713</v>
      </c>
      <c r="I3491" s="96"/>
      <c r="K3491" t="str">
        <f t="shared" si="218"/>
        <v>1713</v>
      </c>
      <c r="M3491" s="72"/>
      <c r="O3491" s="96">
        <f t="shared" si="219"/>
        <v>1713</v>
      </c>
      <c r="T3491" s="110"/>
    </row>
    <row r="3492" spans="3:20" x14ac:dyDescent="0.2">
      <c r="C3492" s="96" t="str">
        <f t="shared" si="216"/>
        <v>1714</v>
      </c>
      <c r="D3492" s="73"/>
      <c r="E3492" s="100"/>
      <c r="F3492" s="101"/>
      <c r="G3492" s="96">
        <f t="shared" si="217"/>
        <v>1714</v>
      </c>
      <c r="I3492" s="96"/>
      <c r="K3492" t="str">
        <f t="shared" si="218"/>
        <v>1714</v>
      </c>
      <c r="M3492" s="72"/>
      <c r="O3492" s="96">
        <f t="shared" si="219"/>
        <v>1714</v>
      </c>
      <c r="T3492" s="110"/>
    </row>
    <row r="3493" spans="3:20" x14ac:dyDescent="0.2">
      <c r="C3493" s="96" t="str">
        <f t="shared" si="216"/>
        <v>1715</v>
      </c>
      <c r="D3493" s="73"/>
      <c r="E3493" s="100"/>
      <c r="F3493" s="101"/>
      <c r="G3493" s="96">
        <f t="shared" si="217"/>
        <v>1715</v>
      </c>
      <c r="I3493" s="96"/>
      <c r="K3493" t="str">
        <f t="shared" si="218"/>
        <v>1715</v>
      </c>
      <c r="M3493" s="72"/>
      <c r="O3493" s="96">
        <f t="shared" si="219"/>
        <v>1715</v>
      </c>
      <c r="T3493" s="110"/>
    </row>
    <row r="3494" spans="3:20" x14ac:dyDescent="0.2">
      <c r="C3494" s="96" t="str">
        <f t="shared" si="216"/>
        <v>1716</v>
      </c>
      <c r="D3494" s="73"/>
      <c r="E3494" s="100"/>
      <c r="F3494" s="101"/>
      <c r="G3494" s="96">
        <f t="shared" si="217"/>
        <v>1716</v>
      </c>
      <c r="I3494" s="96"/>
      <c r="K3494" t="str">
        <f t="shared" si="218"/>
        <v>1716</v>
      </c>
      <c r="M3494" s="72"/>
      <c r="O3494" s="96">
        <f t="shared" si="219"/>
        <v>1716</v>
      </c>
      <c r="T3494" s="110"/>
    </row>
    <row r="3495" spans="3:20" x14ac:dyDescent="0.2">
      <c r="C3495" s="96" t="str">
        <f t="shared" si="216"/>
        <v>1717</v>
      </c>
      <c r="D3495" s="73"/>
      <c r="E3495" s="100"/>
      <c r="F3495" s="101"/>
      <c r="G3495" s="96">
        <f t="shared" si="217"/>
        <v>1717</v>
      </c>
      <c r="I3495" s="96"/>
      <c r="K3495" t="str">
        <f t="shared" si="218"/>
        <v>1717</v>
      </c>
      <c r="M3495" s="72"/>
      <c r="O3495" s="96">
        <f t="shared" si="219"/>
        <v>1717</v>
      </c>
      <c r="T3495" s="110"/>
    </row>
    <row r="3496" spans="3:20" x14ac:dyDescent="0.2">
      <c r="C3496" s="96" t="str">
        <f t="shared" si="216"/>
        <v>1718</v>
      </c>
      <c r="D3496" s="73"/>
      <c r="E3496" s="100"/>
      <c r="F3496" s="101"/>
      <c r="G3496" s="96">
        <f t="shared" si="217"/>
        <v>1718</v>
      </c>
      <c r="I3496" s="96"/>
      <c r="K3496" t="str">
        <f t="shared" si="218"/>
        <v>1718</v>
      </c>
      <c r="M3496" s="72"/>
      <c r="O3496" s="96">
        <f t="shared" si="219"/>
        <v>1718</v>
      </c>
      <c r="T3496" s="110"/>
    </row>
    <row r="3497" spans="3:20" x14ac:dyDescent="0.2">
      <c r="C3497" s="96" t="str">
        <f t="shared" si="216"/>
        <v>1719</v>
      </c>
      <c r="D3497" s="73"/>
      <c r="E3497" s="100"/>
      <c r="F3497" s="101"/>
      <c r="G3497" s="96">
        <f t="shared" si="217"/>
        <v>1719</v>
      </c>
      <c r="I3497" s="96"/>
      <c r="K3497" t="str">
        <f t="shared" si="218"/>
        <v>1719</v>
      </c>
      <c r="M3497" s="72"/>
      <c r="O3497" s="96">
        <f t="shared" si="219"/>
        <v>1719</v>
      </c>
      <c r="T3497" s="110"/>
    </row>
    <row r="3498" spans="3:20" x14ac:dyDescent="0.2">
      <c r="C3498" s="96" t="str">
        <f t="shared" si="216"/>
        <v>1720</v>
      </c>
      <c r="D3498" s="73"/>
      <c r="E3498" s="100"/>
      <c r="F3498" s="101"/>
      <c r="G3498" s="96">
        <f t="shared" si="217"/>
        <v>1720</v>
      </c>
      <c r="I3498" s="96"/>
      <c r="K3498" t="str">
        <f t="shared" si="218"/>
        <v>1720</v>
      </c>
      <c r="M3498" s="72"/>
      <c r="O3498" s="96">
        <f t="shared" si="219"/>
        <v>1720</v>
      </c>
      <c r="T3498" s="110"/>
    </row>
    <row r="3499" spans="3:20" x14ac:dyDescent="0.2">
      <c r="C3499" s="96" t="str">
        <f t="shared" si="216"/>
        <v>1721</v>
      </c>
      <c r="D3499" s="73"/>
      <c r="E3499" s="100"/>
      <c r="F3499" s="101"/>
      <c r="G3499" s="96">
        <f t="shared" si="217"/>
        <v>1721</v>
      </c>
      <c r="I3499" s="96"/>
      <c r="K3499" t="str">
        <f t="shared" si="218"/>
        <v>1721</v>
      </c>
      <c r="M3499" s="72"/>
      <c r="O3499" s="96">
        <f t="shared" si="219"/>
        <v>1721</v>
      </c>
      <c r="T3499" s="110"/>
    </row>
    <row r="3500" spans="3:20" x14ac:dyDescent="0.2">
      <c r="C3500" s="96" t="str">
        <f t="shared" si="216"/>
        <v>1722</v>
      </c>
      <c r="D3500" s="73"/>
      <c r="E3500" s="100"/>
      <c r="F3500" s="101"/>
      <c r="G3500" s="96">
        <f t="shared" si="217"/>
        <v>1722</v>
      </c>
      <c r="I3500" s="96"/>
      <c r="K3500" t="str">
        <f t="shared" si="218"/>
        <v>1722</v>
      </c>
      <c r="M3500" s="72"/>
      <c r="O3500" s="96">
        <f t="shared" si="219"/>
        <v>1722</v>
      </c>
      <c r="T3500" s="110"/>
    </row>
    <row r="3501" spans="3:20" x14ac:dyDescent="0.2">
      <c r="C3501" s="96" t="str">
        <f t="shared" si="216"/>
        <v>1723</v>
      </c>
      <c r="D3501" s="73"/>
      <c r="E3501" s="100"/>
      <c r="F3501" s="101"/>
      <c r="G3501" s="96">
        <f t="shared" si="217"/>
        <v>1723</v>
      </c>
      <c r="I3501" s="96"/>
      <c r="K3501" t="str">
        <f t="shared" si="218"/>
        <v>1723</v>
      </c>
      <c r="M3501" s="72"/>
      <c r="O3501" s="96">
        <f t="shared" si="219"/>
        <v>1723</v>
      </c>
      <c r="T3501" s="110"/>
    </row>
    <row r="3502" spans="3:20" x14ac:dyDescent="0.2">
      <c r="C3502" s="96" t="str">
        <f t="shared" si="216"/>
        <v>1724</v>
      </c>
      <c r="D3502" s="73"/>
      <c r="E3502" s="100"/>
      <c r="F3502" s="101"/>
      <c r="G3502" s="96">
        <f t="shared" si="217"/>
        <v>1724</v>
      </c>
      <c r="I3502" s="96"/>
      <c r="K3502" t="str">
        <f t="shared" si="218"/>
        <v>1724</v>
      </c>
      <c r="M3502" s="72"/>
      <c r="O3502" s="96">
        <f t="shared" si="219"/>
        <v>1724</v>
      </c>
      <c r="T3502" s="110"/>
    </row>
    <row r="3503" spans="3:20" x14ac:dyDescent="0.2">
      <c r="C3503" s="96" t="str">
        <f t="shared" si="216"/>
        <v>1725</v>
      </c>
      <c r="D3503" s="73"/>
      <c r="E3503" s="100"/>
      <c r="F3503" s="101"/>
      <c r="G3503" s="96">
        <f t="shared" si="217"/>
        <v>1725</v>
      </c>
      <c r="I3503" s="96"/>
      <c r="K3503" t="str">
        <f t="shared" si="218"/>
        <v>1725</v>
      </c>
      <c r="M3503" s="72"/>
      <c r="O3503" s="96">
        <f t="shared" si="219"/>
        <v>1725</v>
      </c>
      <c r="T3503" s="110"/>
    </row>
    <row r="3504" spans="3:20" x14ac:dyDescent="0.2">
      <c r="C3504" s="96" t="str">
        <f t="shared" si="216"/>
        <v>1726</v>
      </c>
      <c r="D3504" s="73"/>
      <c r="E3504" s="100"/>
      <c r="F3504" s="101"/>
      <c r="G3504" s="96">
        <f t="shared" si="217"/>
        <v>1726</v>
      </c>
      <c r="I3504" s="96"/>
      <c r="K3504" t="str">
        <f t="shared" si="218"/>
        <v>1726</v>
      </c>
      <c r="M3504" s="72"/>
      <c r="O3504" s="96">
        <f t="shared" si="219"/>
        <v>1726</v>
      </c>
      <c r="T3504" s="110"/>
    </row>
    <row r="3505" spans="3:20" x14ac:dyDescent="0.2">
      <c r="C3505" s="96" t="str">
        <f t="shared" si="216"/>
        <v>1727</v>
      </c>
      <c r="D3505" s="73"/>
      <c r="E3505" s="100"/>
      <c r="F3505" s="101"/>
      <c r="G3505" s="96">
        <f t="shared" si="217"/>
        <v>1727</v>
      </c>
      <c r="I3505" s="96"/>
      <c r="K3505" t="str">
        <f t="shared" si="218"/>
        <v>1727</v>
      </c>
      <c r="M3505" s="72"/>
      <c r="O3505" s="96">
        <f t="shared" si="219"/>
        <v>1727</v>
      </c>
      <c r="T3505" s="110"/>
    </row>
    <row r="3506" spans="3:20" x14ac:dyDescent="0.2">
      <c r="C3506" s="96" t="str">
        <f t="shared" si="216"/>
        <v>1728</v>
      </c>
      <c r="D3506" s="73"/>
      <c r="E3506" s="100"/>
      <c r="F3506" s="101"/>
      <c r="G3506" s="96">
        <f t="shared" si="217"/>
        <v>1728</v>
      </c>
      <c r="I3506" s="96"/>
      <c r="K3506" t="str">
        <f t="shared" si="218"/>
        <v>1728</v>
      </c>
      <c r="M3506" s="72"/>
      <c r="O3506" s="96">
        <f t="shared" si="219"/>
        <v>1728</v>
      </c>
      <c r="T3506" s="110"/>
    </row>
    <row r="3507" spans="3:20" x14ac:dyDescent="0.2">
      <c r="C3507" s="96" t="str">
        <f t="shared" si="216"/>
        <v>1729</v>
      </c>
      <c r="D3507" s="73"/>
      <c r="E3507" s="100"/>
      <c r="F3507" s="101"/>
      <c r="G3507" s="96">
        <f t="shared" si="217"/>
        <v>1729</v>
      </c>
      <c r="I3507" s="96"/>
      <c r="K3507" t="str">
        <f t="shared" si="218"/>
        <v>1729</v>
      </c>
      <c r="M3507" s="72"/>
      <c r="O3507" s="96">
        <f t="shared" si="219"/>
        <v>1729</v>
      </c>
      <c r="T3507" s="110"/>
    </row>
    <row r="3508" spans="3:20" x14ac:dyDescent="0.2">
      <c r="C3508" s="96" t="str">
        <f t="shared" si="216"/>
        <v>1730</v>
      </c>
      <c r="D3508" s="73"/>
      <c r="E3508" s="100"/>
      <c r="F3508" s="101"/>
      <c r="G3508" s="96">
        <f t="shared" si="217"/>
        <v>1730</v>
      </c>
      <c r="I3508" s="96"/>
      <c r="K3508" t="str">
        <f t="shared" si="218"/>
        <v>1730</v>
      </c>
      <c r="M3508" s="72"/>
      <c r="O3508" s="96">
        <f t="shared" si="219"/>
        <v>1730</v>
      </c>
      <c r="T3508" s="110"/>
    </row>
    <row r="3509" spans="3:20" x14ac:dyDescent="0.2">
      <c r="C3509" s="96" t="str">
        <f t="shared" si="216"/>
        <v>1731</v>
      </c>
      <c r="D3509" s="73"/>
      <c r="E3509" s="100"/>
      <c r="F3509" s="101"/>
      <c r="G3509" s="96">
        <f t="shared" si="217"/>
        <v>1731</v>
      </c>
      <c r="I3509" s="96"/>
      <c r="K3509" t="str">
        <f t="shared" si="218"/>
        <v>1731</v>
      </c>
      <c r="M3509" s="72"/>
      <c r="O3509" s="96">
        <f t="shared" si="219"/>
        <v>1731</v>
      </c>
      <c r="T3509" s="110"/>
    </row>
    <row r="3510" spans="3:20" x14ac:dyDescent="0.2">
      <c r="C3510" s="96" t="str">
        <f t="shared" si="216"/>
        <v>1732</v>
      </c>
      <c r="D3510" s="73"/>
      <c r="E3510" s="100"/>
      <c r="F3510" s="101"/>
      <c r="G3510" s="96">
        <f t="shared" si="217"/>
        <v>1732</v>
      </c>
      <c r="I3510" s="96"/>
      <c r="K3510" t="str">
        <f t="shared" si="218"/>
        <v>1732</v>
      </c>
      <c r="M3510" s="72"/>
      <c r="O3510" s="96">
        <f t="shared" si="219"/>
        <v>1732</v>
      </c>
      <c r="T3510" s="110"/>
    </row>
    <row r="3511" spans="3:20" x14ac:dyDescent="0.2">
      <c r="C3511" s="96" t="str">
        <f t="shared" si="216"/>
        <v>1733</v>
      </c>
      <c r="D3511" s="73"/>
      <c r="E3511" s="100"/>
      <c r="F3511" s="101"/>
      <c r="G3511" s="96">
        <f t="shared" si="217"/>
        <v>1733</v>
      </c>
      <c r="I3511" s="96"/>
      <c r="K3511" t="str">
        <f t="shared" si="218"/>
        <v>1733</v>
      </c>
      <c r="M3511" s="72"/>
      <c r="O3511" s="96">
        <f t="shared" si="219"/>
        <v>1733</v>
      </c>
      <c r="T3511" s="110"/>
    </row>
    <row r="3512" spans="3:20" x14ac:dyDescent="0.2">
      <c r="C3512" s="96" t="str">
        <f t="shared" si="216"/>
        <v>1734</v>
      </c>
      <c r="D3512" s="73"/>
      <c r="E3512" s="100"/>
      <c r="F3512" s="101"/>
      <c r="G3512" s="96">
        <f t="shared" si="217"/>
        <v>1734</v>
      </c>
      <c r="I3512" s="96"/>
      <c r="K3512" t="str">
        <f t="shared" si="218"/>
        <v>1734</v>
      </c>
      <c r="M3512" s="72"/>
      <c r="O3512" s="96">
        <f t="shared" si="219"/>
        <v>1734</v>
      </c>
      <c r="T3512" s="110"/>
    </row>
    <row r="3513" spans="3:20" x14ac:dyDescent="0.2">
      <c r="C3513" s="96" t="str">
        <f t="shared" si="216"/>
        <v>1735</v>
      </c>
      <c r="D3513" s="73"/>
      <c r="E3513" s="100"/>
      <c r="F3513" s="101"/>
      <c r="G3513" s="96">
        <f t="shared" si="217"/>
        <v>1735</v>
      </c>
      <c r="I3513" s="96"/>
      <c r="K3513" t="str">
        <f t="shared" si="218"/>
        <v>1735</v>
      </c>
      <c r="M3513" s="72"/>
      <c r="O3513" s="96">
        <f t="shared" si="219"/>
        <v>1735</v>
      </c>
      <c r="T3513" s="110"/>
    </row>
    <row r="3514" spans="3:20" x14ac:dyDescent="0.2">
      <c r="C3514" s="96" t="str">
        <f t="shared" si="216"/>
        <v>1736</v>
      </c>
      <c r="D3514" s="73"/>
      <c r="E3514" s="100"/>
      <c r="F3514" s="101"/>
      <c r="G3514" s="96">
        <f t="shared" si="217"/>
        <v>1736</v>
      </c>
      <c r="I3514" s="96"/>
      <c r="K3514" t="str">
        <f t="shared" si="218"/>
        <v>1736</v>
      </c>
      <c r="M3514" s="72"/>
      <c r="O3514" s="96">
        <f t="shared" si="219"/>
        <v>1736</v>
      </c>
      <c r="T3514" s="110"/>
    </row>
    <row r="3515" spans="3:20" x14ac:dyDescent="0.2">
      <c r="C3515" s="96" t="str">
        <f t="shared" si="216"/>
        <v>1737</v>
      </c>
      <c r="D3515" s="73"/>
      <c r="E3515" s="100"/>
      <c r="F3515" s="101"/>
      <c r="G3515" s="96">
        <f t="shared" si="217"/>
        <v>1737</v>
      </c>
      <c r="I3515" s="96"/>
      <c r="K3515" t="str">
        <f t="shared" si="218"/>
        <v>1737</v>
      </c>
      <c r="M3515" s="72"/>
      <c r="O3515" s="96">
        <f t="shared" si="219"/>
        <v>1737</v>
      </c>
      <c r="T3515" s="110"/>
    </row>
    <row r="3516" spans="3:20" x14ac:dyDescent="0.2">
      <c r="C3516" s="96" t="str">
        <f t="shared" si="216"/>
        <v>1738</v>
      </c>
      <c r="D3516" s="73"/>
      <c r="E3516" s="100"/>
      <c r="F3516" s="101"/>
      <c r="G3516" s="96">
        <f t="shared" si="217"/>
        <v>1738</v>
      </c>
      <c r="I3516" s="96"/>
      <c r="K3516" t="str">
        <f t="shared" si="218"/>
        <v>1738</v>
      </c>
      <c r="M3516" s="72"/>
      <c r="O3516" s="96">
        <f t="shared" si="219"/>
        <v>1738</v>
      </c>
      <c r="T3516" s="110"/>
    </row>
    <row r="3517" spans="3:20" x14ac:dyDescent="0.2">
      <c r="C3517" s="96" t="str">
        <f t="shared" si="216"/>
        <v>1739</v>
      </c>
      <c r="D3517" s="73"/>
      <c r="E3517" s="100"/>
      <c r="F3517" s="101"/>
      <c r="G3517" s="96">
        <f t="shared" si="217"/>
        <v>1739</v>
      </c>
      <c r="I3517" s="96"/>
      <c r="K3517" t="str">
        <f t="shared" si="218"/>
        <v>1739</v>
      </c>
      <c r="M3517" s="72"/>
      <c r="O3517" s="96">
        <f t="shared" si="219"/>
        <v>1739</v>
      </c>
      <c r="T3517" s="110"/>
    </row>
    <row r="3518" spans="3:20" x14ac:dyDescent="0.2">
      <c r="C3518" s="96" t="str">
        <f t="shared" si="216"/>
        <v>1740</v>
      </c>
      <c r="D3518" s="73"/>
      <c r="E3518" s="100"/>
      <c r="F3518" s="101"/>
      <c r="G3518" s="96">
        <f t="shared" si="217"/>
        <v>1740</v>
      </c>
      <c r="I3518" s="96"/>
      <c r="K3518" t="str">
        <f t="shared" si="218"/>
        <v>1740</v>
      </c>
      <c r="M3518" s="72"/>
      <c r="O3518" s="96">
        <f t="shared" si="219"/>
        <v>1740</v>
      </c>
      <c r="T3518" s="110"/>
    </row>
    <row r="3519" spans="3:20" x14ac:dyDescent="0.2">
      <c r="C3519" s="96" t="str">
        <f t="shared" si="216"/>
        <v>1741</v>
      </c>
      <c r="D3519" s="73"/>
      <c r="E3519" s="100"/>
      <c r="F3519" s="101"/>
      <c r="G3519" s="96">
        <f t="shared" si="217"/>
        <v>1741</v>
      </c>
      <c r="I3519" s="96"/>
      <c r="K3519" t="str">
        <f t="shared" si="218"/>
        <v>1741</v>
      </c>
      <c r="M3519" s="72"/>
      <c r="O3519" s="96">
        <f t="shared" si="219"/>
        <v>1741</v>
      </c>
      <c r="T3519" s="110"/>
    </row>
    <row r="3520" spans="3:20" x14ac:dyDescent="0.2">
      <c r="C3520" s="96" t="str">
        <f t="shared" si="216"/>
        <v>1742</v>
      </c>
      <c r="D3520" s="73"/>
      <c r="E3520" s="100"/>
      <c r="F3520" s="101"/>
      <c r="G3520" s="96">
        <f t="shared" si="217"/>
        <v>1742</v>
      </c>
      <c r="I3520" s="96"/>
      <c r="K3520" t="str">
        <f t="shared" si="218"/>
        <v>1742</v>
      </c>
      <c r="M3520" s="72"/>
      <c r="O3520" s="96">
        <f t="shared" si="219"/>
        <v>1742</v>
      </c>
      <c r="T3520" s="110"/>
    </row>
    <row r="3521" spans="3:20" x14ac:dyDescent="0.2">
      <c r="C3521" s="96" t="str">
        <f t="shared" si="216"/>
        <v>1743</v>
      </c>
      <c r="D3521" s="73"/>
      <c r="E3521" s="100"/>
      <c r="F3521" s="101"/>
      <c r="G3521" s="96">
        <f t="shared" si="217"/>
        <v>1743</v>
      </c>
      <c r="I3521" s="96"/>
      <c r="K3521" t="str">
        <f t="shared" si="218"/>
        <v>1743</v>
      </c>
      <c r="M3521" s="72"/>
      <c r="O3521" s="96">
        <f t="shared" si="219"/>
        <v>1743</v>
      </c>
      <c r="T3521" s="110"/>
    </row>
    <row r="3522" spans="3:20" x14ac:dyDescent="0.2">
      <c r="C3522" s="96" t="str">
        <f t="shared" si="216"/>
        <v>1744</v>
      </c>
      <c r="D3522" s="73"/>
      <c r="E3522" s="100"/>
      <c r="F3522" s="101"/>
      <c r="G3522" s="96">
        <f t="shared" si="217"/>
        <v>1744</v>
      </c>
      <c r="I3522" s="96"/>
      <c r="K3522" t="str">
        <f t="shared" si="218"/>
        <v>1744</v>
      </c>
      <c r="M3522" s="72"/>
      <c r="O3522" s="96">
        <f t="shared" si="219"/>
        <v>1744</v>
      </c>
      <c r="T3522" s="110"/>
    </row>
    <row r="3523" spans="3:20" x14ac:dyDescent="0.2">
      <c r="C3523" s="96" t="str">
        <f t="shared" ref="C3523:C3586" si="220">D3523&amp;G3523</f>
        <v>1745</v>
      </c>
      <c r="D3523" s="73"/>
      <c r="E3523" s="100"/>
      <c r="F3523" s="101"/>
      <c r="G3523" s="96">
        <f t="shared" ref="G3523:G3586" si="221">IF(D3523&lt;&gt;D3522,1,G3522+1)</f>
        <v>1745</v>
      </c>
      <c r="I3523" s="96"/>
      <c r="K3523" t="str">
        <f t="shared" ref="K3523:K3586" si="222">L3523&amp;O3523</f>
        <v>1745</v>
      </c>
      <c r="M3523" s="72"/>
      <c r="O3523" s="96">
        <f t="shared" ref="O3523:O3586" si="223">IF(L3523&lt;&gt;L3522,1,O3522+1)</f>
        <v>1745</v>
      </c>
      <c r="T3523" s="110"/>
    </row>
    <row r="3524" spans="3:20" x14ac:dyDescent="0.2">
      <c r="C3524" s="96" t="str">
        <f t="shared" si="220"/>
        <v>1746</v>
      </c>
      <c r="D3524" s="73"/>
      <c r="E3524" s="100"/>
      <c r="F3524" s="101"/>
      <c r="G3524" s="96">
        <f t="shared" si="221"/>
        <v>1746</v>
      </c>
      <c r="I3524" s="96"/>
      <c r="K3524" t="str">
        <f t="shared" si="222"/>
        <v>1746</v>
      </c>
      <c r="M3524" s="72"/>
      <c r="O3524" s="96">
        <f t="shared" si="223"/>
        <v>1746</v>
      </c>
      <c r="T3524" s="110"/>
    </row>
    <row r="3525" spans="3:20" x14ac:dyDescent="0.2">
      <c r="C3525" s="96" t="str">
        <f t="shared" si="220"/>
        <v>1747</v>
      </c>
      <c r="D3525" s="73"/>
      <c r="E3525" s="100"/>
      <c r="F3525" s="101"/>
      <c r="G3525" s="96">
        <f t="shared" si="221"/>
        <v>1747</v>
      </c>
      <c r="I3525" s="96"/>
      <c r="K3525" t="str">
        <f t="shared" si="222"/>
        <v>1747</v>
      </c>
      <c r="M3525" s="72"/>
      <c r="O3525" s="96">
        <f t="shared" si="223"/>
        <v>1747</v>
      </c>
      <c r="T3525" s="110"/>
    </row>
    <row r="3526" spans="3:20" x14ac:dyDescent="0.2">
      <c r="C3526" s="96" t="str">
        <f t="shared" si="220"/>
        <v>1748</v>
      </c>
      <c r="D3526" s="73"/>
      <c r="E3526" s="100"/>
      <c r="F3526" s="101"/>
      <c r="G3526" s="96">
        <f t="shared" si="221"/>
        <v>1748</v>
      </c>
      <c r="I3526" s="96"/>
      <c r="K3526" t="str">
        <f t="shared" si="222"/>
        <v>1748</v>
      </c>
      <c r="M3526" s="72"/>
      <c r="O3526" s="96">
        <f t="shared" si="223"/>
        <v>1748</v>
      </c>
      <c r="T3526" s="110"/>
    </row>
    <row r="3527" spans="3:20" x14ac:dyDescent="0.2">
      <c r="C3527" s="96" t="str">
        <f t="shared" si="220"/>
        <v>1749</v>
      </c>
      <c r="D3527" s="73"/>
      <c r="E3527" s="100"/>
      <c r="F3527" s="101"/>
      <c r="G3527" s="96">
        <f t="shared" si="221"/>
        <v>1749</v>
      </c>
      <c r="I3527" s="96"/>
      <c r="K3527" t="str">
        <f t="shared" si="222"/>
        <v>1749</v>
      </c>
      <c r="M3527" s="72"/>
      <c r="O3527" s="96">
        <f t="shared" si="223"/>
        <v>1749</v>
      </c>
      <c r="T3527" s="110"/>
    </row>
    <row r="3528" spans="3:20" x14ac:dyDescent="0.2">
      <c r="C3528" s="96" t="str">
        <f t="shared" si="220"/>
        <v>1750</v>
      </c>
      <c r="D3528" s="73"/>
      <c r="E3528" s="100"/>
      <c r="F3528" s="101"/>
      <c r="G3528" s="96">
        <f t="shared" si="221"/>
        <v>1750</v>
      </c>
      <c r="I3528" s="96"/>
      <c r="K3528" t="str">
        <f t="shared" si="222"/>
        <v>1750</v>
      </c>
      <c r="M3528" s="72"/>
      <c r="O3528" s="96">
        <f t="shared" si="223"/>
        <v>1750</v>
      </c>
      <c r="T3528" s="110"/>
    </row>
    <row r="3529" spans="3:20" x14ac:dyDescent="0.2">
      <c r="C3529" s="96" t="str">
        <f t="shared" si="220"/>
        <v>1751</v>
      </c>
      <c r="D3529" s="73"/>
      <c r="E3529" s="100"/>
      <c r="F3529" s="101"/>
      <c r="G3529" s="96">
        <f t="shared" si="221"/>
        <v>1751</v>
      </c>
      <c r="I3529" s="96"/>
      <c r="K3529" t="str">
        <f t="shared" si="222"/>
        <v>1751</v>
      </c>
      <c r="M3529" s="72"/>
      <c r="O3529" s="96">
        <f t="shared" si="223"/>
        <v>1751</v>
      </c>
      <c r="T3529" s="110"/>
    </row>
    <row r="3530" spans="3:20" x14ac:dyDescent="0.2">
      <c r="C3530" s="96" t="str">
        <f t="shared" si="220"/>
        <v>1752</v>
      </c>
      <c r="D3530" s="73"/>
      <c r="E3530" s="100"/>
      <c r="F3530" s="101"/>
      <c r="G3530" s="96">
        <f t="shared" si="221"/>
        <v>1752</v>
      </c>
      <c r="I3530" s="96"/>
      <c r="K3530" t="str">
        <f t="shared" si="222"/>
        <v>1752</v>
      </c>
      <c r="M3530" s="72"/>
      <c r="O3530" s="96">
        <f t="shared" si="223"/>
        <v>1752</v>
      </c>
      <c r="T3530" s="110"/>
    </row>
    <row r="3531" spans="3:20" x14ac:dyDescent="0.2">
      <c r="C3531" s="96" t="str">
        <f t="shared" si="220"/>
        <v>1753</v>
      </c>
      <c r="D3531" s="73"/>
      <c r="E3531" s="100"/>
      <c r="F3531" s="101"/>
      <c r="G3531" s="96">
        <f t="shared" si="221"/>
        <v>1753</v>
      </c>
      <c r="I3531" s="96"/>
      <c r="K3531" t="str">
        <f t="shared" si="222"/>
        <v>1753</v>
      </c>
      <c r="M3531" s="72"/>
      <c r="O3531" s="96">
        <f t="shared" si="223"/>
        <v>1753</v>
      </c>
      <c r="T3531" s="110"/>
    </row>
    <row r="3532" spans="3:20" x14ac:dyDescent="0.2">
      <c r="C3532" s="96" t="str">
        <f t="shared" si="220"/>
        <v>1754</v>
      </c>
      <c r="D3532" s="73"/>
      <c r="E3532" s="100"/>
      <c r="F3532" s="101"/>
      <c r="G3532" s="96">
        <f t="shared" si="221"/>
        <v>1754</v>
      </c>
      <c r="I3532" s="96"/>
      <c r="K3532" t="str">
        <f t="shared" si="222"/>
        <v>1754</v>
      </c>
      <c r="M3532" s="72"/>
      <c r="O3532" s="96">
        <f t="shared" si="223"/>
        <v>1754</v>
      </c>
      <c r="T3532" s="110"/>
    </row>
    <row r="3533" spans="3:20" x14ac:dyDescent="0.2">
      <c r="C3533" s="96" t="str">
        <f t="shared" si="220"/>
        <v>1755</v>
      </c>
      <c r="D3533" s="73"/>
      <c r="E3533" s="100"/>
      <c r="F3533" s="101"/>
      <c r="G3533" s="96">
        <f t="shared" si="221"/>
        <v>1755</v>
      </c>
      <c r="I3533" s="96"/>
      <c r="K3533" t="str">
        <f t="shared" si="222"/>
        <v>1755</v>
      </c>
      <c r="M3533" s="72"/>
      <c r="O3533" s="96">
        <f t="shared" si="223"/>
        <v>1755</v>
      </c>
      <c r="T3533" s="110"/>
    </row>
    <row r="3534" spans="3:20" x14ac:dyDescent="0.2">
      <c r="C3534" s="96" t="str">
        <f t="shared" si="220"/>
        <v>1756</v>
      </c>
      <c r="D3534" s="73"/>
      <c r="E3534" s="100"/>
      <c r="F3534" s="101"/>
      <c r="G3534" s="96">
        <f t="shared" si="221"/>
        <v>1756</v>
      </c>
      <c r="I3534" s="96"/>
      <c r="K3534" t="str">
        <f t="shared" si="222"/>
        <v>1756</v>
      </c>
      <c r="M3534" s="72"/>
      <c r="O3534" s="96">
        <f t="shared" si="223"/>
        <v>1756</v>
      </c>
      <c r="T3534" s="110"/>
    </row>
    <row r="3535" spans="3:20" x14ac:dyDescent="0.2">
      <c r="C3535" s="96" t="str">
        <f t="shared" si="220"/>
        <v>1757</v>
      </c>
      <c r="D3535" s="73"/>
      <c r="E3535" s="100"/>
      <c r="F3535" s="101"/>
      <c r="G3535" s="96">
        <f t="shared" si="221"/>
        <v>1757</v>
      </c>
      <c r="I3535" s="96"/>
      <c r="K3535" t="str">
        <f t="shared" si="222"/>
        <v>1757</v>
      </c>
      <c r="M3535" s="72"/>
      <c r="O3535" s="96">
        <f t="shared" si="223"/>
        <v>1757</v>
      </c>
      <c r="T3535" s="110"/>
    </row>
    <row r="3536" spans="3:20" x14ac:dyDescent="0.2">
      <c r="C3536" s="96" t="str">
        <f t="shared" si="220"/>
        <v>1758</v>
      </c>
      <c r="D3536" s="73"/>
      <c r="E3536" s="100"/>
      <c r="F3536" s="101"/>
      <c r="G3536" s="96">
        <f t="shared" si="221"/>
        <v>1758</v>
      </c>
      <c r="I3536" s="96"/>
      <c r="K3536" t="str">
        <f t="shared" si="222"/>
        <v>1758</v>
      </c>
      <c r="M3536" s="72"/>
      <c r="O3536" s="96">
        <f t="shared" si="223"/>
        <v>1758</v>
      </c>
      <c r="T3536" s="110"/>
    </row>
    <row r="3537" spans="3:20" x14ac:dyDescent="0.2">
      <c r="C3537" s="96" t="str">
        <f t="shared" si="220"/>
        <v>1759</v>
      </c>
      <c r="D3537" s="73"/>
      <c r="E3537" s="100"/>
      <c r="F3537" s="101"/>
      <c r="G3537" s="96">
        <f t="shared" si="221"/>
        <v>1759</v>
      </c>
      <c r="I3537" s="96"/>
      <c r="K3537" t="str">
        <f t="shared" si="222"/>
        <v>1759</v>
      </c>
      <c r="M3537" s="72"/>
      <c r="O3537" s="96">
        <f t="shared" si="223"/>
        <v>1759</v>
      </c>
      <c r="T3537" s="110"/>
    </row>
    <row r="3538" spans="3:20" x14ac:dyDescent="0.2">
      <c r="C3538" s="96" t="str">
        <f t="shared" si="220"/>
        <v>1760</v>
      </c>
      <c r="D3538" s="73"/>
      <c r="E3538" s="100"/>
      <c r="F3538" s="101"/>
      <c r="G3538" s="96">
        <f t="shared" si="221"/>
        <v>1760</v>
      </c>
      <c r="I3538" s="96"/>
      <c r="K3538" t="str">
        <f t="shared" si="222"/>
        <v>1760</v>
      </c>
      <c r="M3538" s="72"/>
      <c r="O3538" s="96">
        <f t="shared" si="223"/>
        <v>1760</v>
      </c>
      <c r="T3538" s="110"/>
    </row>
    <row r="3539" spans="3:20" x14ac:dyDescent="0.2">
      <c r="C3539" s="96" t="str">
        <f t="shared" si="220"/>
        <v>1761</v>
      </c>
      <c r="D3539" s="73"/>
      <c r="E3539" s="100"/>
      <c r="F3539" s="101"/>
      <c r="G3539" s="96">
        <f t="shared" si="221"/>
        <v>1761</v>
      </c>
      <c r="I3539" s="96"/>
      <c r="K3539" t="str">
        <f t="shared" si="222"/>
        <v>1761</v>
      </c>
      <c r="M3539" s="72"/>
      <c r="O3539" s="96">
        <f t="shared" si="223"/>
        <v>1761</v>
      </c>
      <c r="T3539" s="110"/>
    </row>
    <row r="3540" spans="3:20" x14ac:dyDescent="0.2">
      <c r="C3540" s="96" t="str">
        <f t="shared" si="220"/>
        <v>1762</v>
      </c>
      <c r="D3540" s="73"/>
      <c r="E3540" s="100"/>
      <c r="F3540" s="101"/>
      <c r="G3540" s="96">
        <f t="shared" si="221"/>
        <v>1762</v>
      </c>
      <c r="I3540" s="96"/>
      <c r="K3540" t="str">
        <f t="shared" si="222"/>
        <v>1762</v>
      </c>
      <c r="M3540" s="72"/>
      <c r="O3540" s="96">
        <f t="shared" si="223"/>
        <v>1762</v>
      </c>
      <c r="T3540" s="110"/>
    </row>
    <row r="3541" spans="3:20" x14ac:dyDescent="0.2">
      <c r="C3541" s="96" t="str">
        <f t="shared" si="220"/>
        <v>1763</v>
      </c>
      <c r="D3541" s="73"/>
      <c r="E3541" s="100"/>
      <c r="F3541" s="101"/>
      <c r="G3541" s="96">
        <f t="shared" si="221"/>
        <v>1763</v>
      </c>
      <c r="I3541" s="96"/>
      <c r="K3541" t="str">
        <f t="shared" si="222"/>
        <v>1763</v>
      </c>
      <c r="M3541" s="72"/>
      <c r="O3541" s="96">
        <f t="shared" si="223"/>
        <v>1763</v>
      </c>
      <c r="T3541" s="110"/>
    </row>
    <row r="3542" spans="3:20" x14ac:dyDescent="0.2">
      <c r="C3542" s="96" t="str">
        <f t="shared" si="220"/>
        <v>1764</v>
      </c>
      <c r="D3542" s="73"/>
      <c r="E3542" s="100"/>
      <c r="F3542" s="101"/>
      <c r="G3542" s="96">
        <f t="shared" si="221"/>
        <v>1764</v>
      </c>
      <c r="I3542" s="96"/>
      <c r="K3542" t="str">
        <f t="shared" si="222"/>
        <v>1764</v>
      </c>
      <c r="M3542" s="72"/>
      <c r="O3542" s="96">
        <f t="shared" si="223"/>
        <v>1764</v>
      </c>
      <c r="T3542" s="110"/>
    </row>
    <row r="3543" spans="3:20" x14ac:dyDescent="0.2">
      <c r="C3543" s="96" t="str">
        <f t="shared" si="220"/>
        <v>1765</v>
      </c>
      <c r="D3543" s="73"/>
      <c r="E3543" s="100"/>
      <c r="F3543" s="101"/>
      <c r="G3543" s="96">
        <f t="shared" si="221"/>
        <v>1765</v>
      </c>
      <c r="I3543" s="96"/>
      <c r="K3543" t="str">
        <f t="shared" si="222"/>
        <v>1765</v>
      </c>
      <c r="M3543" s="72"/>
      <c r="O3543" s="96">
        <f t="shared" si="223"/>
        <v>1765</v>
      </c>
      <c r="T3543" s="110"/>
    </row>
    <row r="3544" spans="3:20" x14ac:dyDescent="0.2">
      <c r="C3544" s="96" t="str">
        <f t="shared" si="220"/>
        <v>1766</v>
      </c>
      <c r="D3544" s="73"/>
      <c r="E3544" s="100"/>
      <c r="F3544" s="101"/>
      <c r="G3544" s="96">
        <f t="shared" si="221"/>
        <v>1766</v>
      </c>
      <c r="I3544" s="96"/>
      <c r="K3544" t="str">
        <f t="shared" si="222"/>
        <v>1766</v>
      </c>
      <c r="M3544" s="72"/>
      <c r="O3544" s="96">
        <f t="shared" si="223"/>
        <v>1766</v>
      </c>
      <c r="T3544" s="110"/>
    </row>
    <row r="3545" spans="3:20" x14ac:dyDescent="0.2">
      <c r="C3545" s="96" t="str">
        <f t="shared" si="220"/>
        <v>1767</v>
      </c>
      <c r="D3545" s="73"/>
      <c r="E3545" s="100"/>
      <c r="F3545" s="101"/>
      <c r="G3545" s="96">
        <f t="shared" si="221"/>
        <v>1767</v>
      </c>
      <c r="I3545" s="96"/>
      <c r="K3545" t="str">
        <f t="shared" si="222"/>
        <v>1767</v>
      </c>
      <c r="M3545" s="72"/>
      <c r="O3545" s="96">
        <f t="shared" si="223"/>
        <v>1767</v>
      </c>
      <c r="T3545" s="110"/>
    </row>
    <row r="3546" spans="3:20" x14ac:dyDescent="0.2">
      <c r="C3546" s="96" t="str">
        <f t="shared" si="220"/>
        <v>1768</v>
      </c>
      <c r="D3546" s="73"/>
      <c r="E3546" s="100"/>
      <c r="F3546" s="101"/>
      <c r="G3546" s="96">
        <f t="shared" si="221"/>
        <v>1768</v>
      </c>
      <c r="I3546" s="96"/>
      <c r="K3546" t="str">
        <f t="shared" si="222"/>
        <v>1768</v>
      </c>
      <c r="M3546" s="72"/>
      <c r="O3546" s="96">
        <f t="shared" si="223"/>
        <v>1768</v>
      </c>
      <c r="T3546" s="110"/>
    </row>
    <row r="3547" spans="3:20" x14ac:dyDescent="0.2">
      <c r="C3547" s="96" t="str">
        <f t="shared" si="220"/>
        <v>1769</v>
      </c>
      <c r="D3547" s="73"/>
      <c r="E3547" s="100"/>
      <c r="F3547" s="101"/>
      <c r="G3547" s="96">
        <f t="shared" si="221"/>
        <v>1769</v>
      </c>
      <c r="I3547" s="96"/>
      <c r="K3547" t="str">
        <f t="shared" si="222"/>
        <v>1769</v>
      </c>
      <c r="M3547" s="72"/>
      <c r="O3547" s="96">
        <f t="shared" si="223"/>
        <v>1769</v>
      </c>
      <c r="T3547" s="110"/>
    </row>
    <row r="3548" spans="3:20" x14ac:dyDescent="0.2">
      <c r="C3548" s="96" t="str">
        <f t="shared" si="220"/>
        <v>1770</v>
      </c>
      <c r="D3548" s="73"/>
      <c r="E3548" s="100"/>
      <c r="F3548" s="101"/>
      <c r="G3548" s="96">
        <f t="shared" si="221"/>
        <v>1770</v>
      </c>
      <c r="I3548" s="96"/>
      <c r="K3548" t="str">
        <f t="shared" si="222"/>
        <v>1770</v>
      </c>
      <c r="M3548" s="72"/>
      <c r="O3548" s="96">
        <f t="shared" si="223"/>
        <v>1770</v>
      </c>
      <c r="T3548" s="110"/>
    </row>
    <row r="3549" spans="3:20" x14ac:dyDescent="0.2">
      <c r="C3549" s="96" t="str">
        <f t="shared" si="220"/>
        <v>1771</v>
      </c>
      <c r="D3549" s="73"/>
      <c r="E3549" s="100"/>
      <c r="F3549" s="101"/>
      <c r="G3549" s="96">
        <f t="shared" si="221"/>
        <v>1771</v>
      </c>
      <c r="I3549" s="96"/>
      <c r="K3549" t="str">
        <f t="shared" si="222"/>
        <v>1771</v>
      </c>
      <c r="M3549" s="72"/>
      <c r="O3549" s="96">
        <f t="shared" si="223"/>
        <v>1771</v>
      </c>
      <c r="T3549" s="110"/>
    </row>
    <row r="3550" spans="3:20" x14ac:dyDescent="0.2">
      <c r="C3550" s="96" t="str">
        <f t="shared" si="220"/>
        <v>1772</v>
      </c>
      <c r="D3550" s="73"/>
      <c r="E3550" s="100"/>
      <c r="F3550" s="101"/>
      <c r="G3550" s="96">
        <f t="shared" si="221"/>
        <v>1772</v>
      </c>
      <c r="I3550" s="96"/>
      <c r="K3550" t="str">
        <f t="shared" si="222"/>
        <v>1772</v>
      </c>
      <c r="M3550" s="72"/>
      <c r="O3550" s="96">
        <f t="shared" si="223"/>
        <v>1772</v>
      </c>
      <c r="T3550" s="110"/>
    </row>
    <row r="3551" spans="3:20" x14ac:dyDescent="0.2">
      <c r="C3551" s="96" t="str">
        <f t="shared" si="220"/>
        <v>1773</v>
      </c>
      <c r="D3551" s="73"/>
      <c r="E3551" s="100"/>
      <c r="F3551" s="101"/>
      <c r="G3551" s="96">
        <f t="shared" si="221"/>
        <v>1773</v>
      </c>
      <c r="I3551" s="96"/>
      <c r="K3551" t="str">
        <f t="shared" si="222"/>
        <v>1773</v>
      </c>
      <c r="M3551" s="72"/>
      <c r="O3551" s="96">
        <f t="shared" si="223"/>
        <v>1773</v>
      </c>
      <c r="T3551" s="110"/>
    </row>
    <row r="3552" spans="3:20" x14ac:dyDescent="0.2">
      <c r="C3552" s="96" t="str">
        <f t="shared" si="220"/>
        <v>1774</v>
      </c>
      <c r="D3552" s="73"/>
      <c r="E3552" s="100"/>
      <c r="F3552" s="101"/>
      <c r="G3552" s="96">
        <f t="shared" si="221"/>
        <v>1774</v>
      </c>
      <c r="I3552" s="96"/>
      <c r="K3552" t="str">
        <f t="shared" si="222"/>
        <v>1774</v>
      </c>
      <c r="M3552" s="72"/>
      <c r="O3552" s="96">
        <f t="shared" si="223"/>
        <v>1774</v>
      </c>
      <c r="T3552" s="110"/>
    </row>
    <row r="3553" spans="3:20" x14ac:dyDescent="0.2">
      <c r="C3553" s="96" t="str">
        <f t="shared" si="220"/>
        <v>1775</v>
      </c>
      <c r="D3553" s="73"/>
      <c r="E3553" s="100"/>
      <c r="F3553" s="101"/>
      <c r="G3553" s="96">
        <f t="shared" si="221"/>
        <v>1775</v>
      </c>
      <c r="I3553" s="96"/>
      <c r="K3553" t="str">
        <f t="shared" si="222"/>
        <v>1775</v>
      </c>
      <c r="M3553" s="72"/>
      <c r="O3553" s="96">
        <f t="shared" si="223"/>
        <v>1775</v>
      </c>
      <c r="T3553" s="110"/>
    </row>
    <row r="3554" spans="3:20" x14ac:dyDescent="0.2">
      <c r="C3554" s="96" t="str">
        <f t="shared" si="220"/>
        <v>1776</v>
      </c>
      <c r="D3554" s="73"/>
      <c r="E3554" s="100"/>
      <c r="F3554" s="101"/>
      <c r="G3554" s="96">
        <f t="shared" si="221"/>
        <v>1776</v>
      </c>
      <c r="I3554" s="96"/>
      <c r="K3554" t="str">
        <f t="shared" si="222"/>
        <v>1776</v>
      </c>
      <c r="M3554" s="72"/>
      <c r="O3554" s="96">
        <f t="shared" si="223"/>
        <v>1776</v>
      </c>
      <c r="T3554" s="110"/>
    </row>
    <row r="3555" spans="3:20" x14ac:dyDescent="0.2">
      <c r="C3555" s="96" t="str">
        <f t="shared" si="220"/>
        <v>1777</v>
      </c>
      <c r="D3555" s="73"/>
      <c r="E3555" s="100"/>
      <c r="F3555" s="101"/>
      <c r="G3555" s="96">
        <f t="shared" si="221"/>
        <v>1777</v>
      </c>
      <c r="I3555" s="96"/>
      <c r="K3555" t="str">
        <f t="shared" si="222"/>
        <v>1777</v>
      </c>
      <c r="M3555" s="72"/>
      <c r="O3555" s="96">
        <f t="shared" si="223"/>
        <v>1777</v>
      </c>
      <c r="T3555" s="110"/>
    </row>
    <row r="3556" spans="3:20" x14ac:dyDescent="0.2">
      <c r="C3556" s="96" t="str">
        <f t="shared" si="220"/>
        <v>1778</v>
      </c>
      <c r="D3556" s="73"/>
      <c r="E3556" s="100"/>
      <c r="F3556" s="101"/>
      <c r="G3556" s="96">
        <f t="shared" si="221"/>
        <v>1778</v>
      </c>
      <c r="I3556" s="96"/>
      <c r="K3556" t="str">
        <f t="shared" si="222"/>
        <v>1778</v>
      </c>
      <c r="M3556" s="72"/>
      <c r="O3556" s="96">
        <f t="shared" si="223"/>
        <v>1778</v>
      </c>
      <c r="T3556" s="110"/>
    </row>
    <row r="3557" spans="3:20" x14ac:dyDescent="0.2">
      <c r="C3557" s="96" t="str">
        <f t="shared" si="220"/>
        <v>1779</v>
      </c>
      <c r="D3557" s="73"/>
      <c r="E3557" s="100"/>
      <c r="F3557" s="101"/>
      <c r="G3557" s="96">
        <f t="shared" si="221"/>
        <v>1779</v>
      </c>
      <c r="I3557" s="96"/>
      <c r="K3557" t="str">
        <f t="shared" si="222"/>
        <v>1779</v>
      </c>
      <c r="M3557" s="72"/>
      <c r="O3557" s="96">
        <f t="shared" si="223"/>
        <v>1779</v>
      </c>
      <c r="T3557" s="110"/>
    </row>
    <row r="3558" spans="3:20" x14ac:dyDescent="0.2">
      <c r="C3558" s="96" t="str">
        <f t="shared" si="220"/>
        <v>1780</v>
      </c>
      <c r="D3558" s="73"/>
      <c r="E3558" s="100"/>
      <c r="F3558" s="101"/>
      <c r="G3558" s="96">
        <f t="shared" si="221"/>
        <v>1780</v>
      </c>
      <c r="I3558" s="96"/>
      <c r="K3558" t="str">
        <f t="shared" si="222"/>
        <v>1780</v>
      </c>
      <c r="M3558" s="72"/>
      <c r="O3558" s="96">
        <f t="shared" si="223"/>
        <v>1780</v>
      </c>
      <c r="T3558" s="110"/>
    </row>
    <row r="3559" spans="3:20" x14ac:dyDescent="0.2">
      <c r="C3559" s="96" t="str">
        <f t="shared" si="220"/>
        <v>1781</v>
      </c>
      <c r="D3559" s="73"/>
      <c r="E3559" s="100"/>
      <c r="F3559" s="101"/>
      <c r="G3559" s="96">
        <f t="shared" si="221"/>
        <v>1781</v>
      </c>
      <c r="I3559" s="96"/>
      <c r="K3559" t="str">
        <f t="shared" si="222"/>
        <v>1781</v>
      </c>
      <c r="M3559" s="72"/>
      <c r="O3559" s="96">
        <f t="shared" si="223"/>
        <v>1781</v>
      </c>
      <c r="T3559" s="110"/>
    </row>
    <row r="3560" spans="3:20" x14ac:dyDescent="0.2">
      <c r="C3560" s="96" t="str">
        <f t="shared" si="220"/>
        <v>1782</v>
      </c>
      <c r="D3560" s="73"/>
      <c r="E3560" s="100"/>
      <c r="F3560" s="101"/>
      <c r="G3560" s="96">
        <f t="shared" si="221"/>
        <v>1782</v>
      </c>
      <c r="I3560" s="96"/>
      <c r="K3560" t="str">
        <f t="shared" si="222"/>
        <v>1782</v>
      </c>
      <c r="M3560" s="72"/>
      <c r="O3560" s="96">
        <f t="shared" si="223"/>
        <v>1782</v>
      </c>
      <c r="T3560" s="110"/>
    </row>
    <row r="3561" spans="3:20" x14ac:dyDescent="0.2">
      <c r="C3561" s="96" t="str">
        <f t="shared" si="220"/>
        <v>1783</v>
      </c>
      <c r="D3561" s="73"/>
      <c r="E3561" s="100"/>
      <c r="F3561" s="101"/>
      <c r="G3561" s="96">
        <f t="shared" si="221"/>
        <v>1783</v>
      </c>
      <c r="I3561" s="96"/>
      <c r="K3561" t="str">
        <f t="shared" si="222"/>
        <v>1783</v>
      </c>
      <c r="M3561" s="72"/>
      <c r="O3561" s="96">
        <f t="shared" si="223"/>
        <v>1783</v>
      </c>
      <c r="T3561" s="110"/>
    </row>
    <row r="3562" spans="3:20" x14ac:dyDescent="0.2">
      <c r="C3562" s="96" t="str">
        <f t="shared" si="220"/>
        <v>1784</v>
      </c>
      <c r="D3562" s="73"/>
      <c r="E3562" s="100"/>
      <c r="F3562" s="101"/>
      <c r="G3562" s="96">
        <f t="shared" si="221"/>
        <v>1784</v>
      </c>
      <c r="I3562" s="96"/>
      <c r="K3562" t="str">
        <f t="shared" si="222"/>
        <v>1784</v>
      </c>
      <c r="M3562" s="72"/>
      <c r="O3562" s="96">
        <f t="shared" si="223"/>
        <v>1784</v>
      </c>
      <c r="T3562" s="110"/>
    </row>
    <row r="3563" spans="3:20" x14ac:dyDescent="0.2">
      <c r="C3563" s="96" t="str">
        <f t="shared" si="220"/>
        <v>1785</v>
      </c>
      <c r="D3563" s="73"/>
      <c r="E3563" s="100"/>
      <c r="F3563" s="101"/>
      <c r="G3563" s="96">
        <f t="shared" si="221"/>
        <v>1785</v>
      </c>
      <c r="I3563" s="96"/>
      <c r="K3563" t="str">
        <f t="shared" si="222"/>
        <v>1785</v>
      </c>
      <c r="M3563" s="72"/>
      <c r="O3563" s="96">
        <f t="shared" si="223"/>
        <v>1785</v>
      </c>
      <c r="T3563" s="110"/>
    </row>
    <row r="3564" spans="3:20" x14ac:dyDescent="0.2">
      <c r="C3564" s="96" t="str">
        <f t="shared" si="220"/>
        <v>1786</v>
      </c>
      <c r="D3564" s="73"/>
      <c r="E3564" s="100"/>
      <c r="F3564" s="101"/>
      <c r="G3564" s="96">
        <f t="shared" si="221"/>
        <v>1786</v>
      </c>
      <c r="I3564" s="96"/>
      <c r="K3564" t="str">
        <f t="shared" si="222"/>
        <v>1786</v>
      </c>
      <c r="M3564" s="72"/>
      <c r="O3564" s="96">
        <f t="shared" si="223"/>
        <v>1786</v>
      </c>
      <c r="T3564" s="110"/>
    </row>
    <row r="3565" spans="3:20" x14ac:dyDescent="0.2">
      <c r="C3565" s="96" t="str">
        <f t="shared" si="220"/>
        <v>1787</v>
      </c>
      <c r="D3565" s="73"/>
      <c r="E3565" s="100"/>
      <c r="F3565" s="101"/>
      <c r="G3565" s="96">
        <f t="shared" si="221"/>
        <v>1787</v>
      </c>
      <c r="I3565" s="96"/>
      <c r="K3565" t="str">
        <f t="shared" si="222"/>
        <v>1787</v>
      </c>
      <c r="M3565" s="72"/>
      <c r="O3565" s="96">
        <f t="shared" si="223"/>
        <v>1787</v>
      </c>
      <c r="T3565" s="110"/>
    </row>
    <row r="3566" spans="3:20" x14ac:dyDescent="0.2">
      <c r="C3566" s="96" t="str">
        <f t="shared" si="220"/>
        <v>1788</v>
      </c>
      <c r="D3566" s="73"/>
      <c r="E3566" s="100"/>
      <c r="F3566" s="101"/>
      <c r="G3566" s="96">
        <f t="shared" si="221"/>
        <v>1788</v>
      </c>
      <c r="I3566" s="96"/>
      <c r="K3566" t="str">
        <f t="shared" si="222"/>
        <v>1788</v>
      </c>
      <c r="M3566" s="72"/>
      <c r="O3566" s="96">
        <f t="shared" si="223"/>
        <v>1788</v>
      </c>
      <c r="T3566" s="110"/>
    </row>
    <row r="3567" spans="3:20" x14ac:dyDescent="0.2">
      <c r="C3567" s="96" t="str">
        <f t="shared" si="220"/>
        <v>1789</v>
      </c>
      <c r="D3567" s="73"/>
      <c r="E3567" s="100"/>
      <c r="F3567" s="101"/>
      <c r="G3567" s="96">
        <f t="shared" si="221"/>
        <v>1789</v>
      </c>
      <c r="I3567" s="96"/>
      <c r="K3567" t="str">
        <f t="shared" si="222"/>
        <v>1789</v>
      </c>
      <c r="M3567" s="72"/>
      <c r="O3567" s="96">
        <f t="shared" si="223"/>
        <v>1789</v>
      </c>
      <c r="T3567" s="110"/>
    </row>
    <row r="3568" spans="3:20" x14ac:dyDescent="0.2">
      <c r="C3568" s="96" t="str">
        <f t="shared" si="220"/>
        <v>1790</v>
      </c>
      <c r="D3568" s="73"/>
      <c r="E3568" s="100"/>
      <c r="F3568" s="101"/>
      <c r="G3568" s="96">
        <f t="shared" si="221"/>
        <v>1790</v>
      </c>
      <c r="I3568" s="96"/>
      <c r="K3568" t="str">
        <f t="shared" si="222"/>
        <v>1790</v>
      </c>
      <c r="M3568" s="72"/>
      <c r="O3568" s="96">
        <f t="shared" si="223"/>
        <v>1790</v>
      </c>
      <c r="T3568" s="110"/>
    </row>
    <row r="3569" spans="3:20" x14ac:dyDescent="0.2">
      <c r="C3569" s="96" t="str">
        <f t="shared" si="220"/>
        <v>1791</v>
      </c>
      <c r="D3569" s="73"/>
      <c r="E3569" s="100"/>
      <c r="F3569" s="101"/>
      <c r="G3569" s="96">
        <f t="shared" si="221"/>
        <v>1791</v>
      </c>
      <c r="I3569" s="96"/>
      <c r="K3569" t="str">
        <f t="shared" si="222"/>
        <v>1791</v>
      </c>
      <c r="M3569" s="72"/>
      <c r="O3569" s="96">
        <f t="shared" si="223"/>
        <v>1791</v>
      </c>
      <c r="T3569" s="110"/>
    </row>
    <row r="3570" spans="3:20" x14ac:dyDescent="0.2">
      <c r="C3570" s="96" t="str">
        <f t="shared" si="220"/>
        <v>1792</v>
      </c>
      <c r="D3570" s="73"/>
      <c r="E3570" s="100"/>
      <c r="F3570" s="101"/>
      <c r="G3570" s="96">
        <f t="shared" si="221"/>
        <v>1792</v>
      </c>
      <c r="I3570" s="96"/>
      <c r="K3570" t="str">
        <f t="shared" si="222"/>
        <v>1792</v>
      </c>
      <c r="M3570" s="72"/>
      <c r="O3570" s="96">
        <f t="shared" si="223"/>
        <v>1792</v>
      </c>
      <c r="T3570" s="110"/>
    </row>
    <row r="3571" spans="3:20" x14ac:dyDescent="0.2">
      <c r="C3571" s="96" t="str">
        <f t="shared" si="220"/>
        <v>1793</v>
      </c>
      <c r="D3571" s="73"/>
      <c r="E3571" s="100"/>
      <c r="F3571" s="101"/>
      <c r="G3571" s="96">
        <f t="shared" si="221"/>
        <v>1793</v>
      </c>
      <c r="I3571" s="96"/>
      <c r="K3571" t="str">
        <f t="shared" si="222"/>
        <v>1793</v>
      </c>
      <c r="M3571" s="72"/>
      <c r="O3571" s="96">
        <f t="shared" si="223"/>
        <v>1793</v>
      </c>
      <c r="T3571" s="110"/>
    </row>
    <row r="3572" spans="3:20" x14ac:dyDescent="0.2">
      <c r="C3572" s="96" t="str">
        <f t="shared" si="220"/>
        <v>1794</v>
      </c>
      <c r="D3572" s="73"/>
      <c r="E3572" s="100"/>
      <c r="F3572" s="101"/>
      <c r="G3572" s="96">
        <f t="shared" si="221"/>
        <v>1794</v>
      </c>
      <c r="I3572" s="96"/>
      <c r="K3572" t="str">
        <f t="shared" si="222"/>
        <v>1794</v>
      </c>
      <c r="M3572" s="72"/>
      <c r="O3572" s="96">
        <f t="shared" si="223"/>
        <v>1794</v>
      </c>
      <c r="T3572" s="110"/>
    </row>
    <row r="3573" spans="3:20" x14ac:dyDescent="0.2">
      <c r="C3573" s="96" t="str">
        <f t="shared" si="220"/>
        <v>1795</v>
      </c>
      <c r="D3573" s="73"/>
      <c r="E3573" s="100"/>
      <c r="F3573" s="101"/>
      <c r="G3573" s="96">
        <f t="shared" si="221"/>
        <v>1795</v>
      </c>
      <c r="I3573" s="96"/>
      <c r="K3573" t="str">
        <f t="shared" si="222"/>
        <v>1795</v>
      </c>
      <c r="M3573" s="72"/>
      <c r="O3573" s="96">
        <f t="shared" si="223"/>
        <v>1795</v>
      </c>
      <c r="T3573" s="110"/>
    </row>
    <row r="3574" spans="3:20" x14ac:dyDescent="0.2">
      <c r="C3574" s="96" t="str">
        <f t="shared" si="220"/>
        <v>1796</v>
      </c>
      <c r="D3574" s="73"/>
      <c r="E3574" s="100"/>
      <c r="F3574" s="101"/>
      <c r="G3574" s="96">
        <f t="shared" si="221"/>
        <v>1796</v>
      </c>
      <c r="I3574" s="96"/>
      <c r="K3574" t="str">
        <f t="shared" si="222"/>
        <v>1796</v>
      </c>
      <c r="M3574" s="72"/>
      <c r="O3574" s="96">
        <f t="shared" si="223"/>
        <v>1796</v>
      </c>
      <c r="T3574" s="110"/>
    </row>
    <row r="3575" spans="3:20" x14ac:dyDescent="0.2">
      <c r="C3575" s="96" t="str">
        <f t="shared" si="220"/>
        <v>1797</v>
      </c>
      <c r="D3575" s="73"/>
      <c r="E3575" s="100"/>
      <c r="F3575" s="101"/>
      <c r="G3575" s="96">
        <f t="shared" si="221"/>
        <v>1797</v>
      </c>
      <c r="I3575" s="96"/>
      <c r="K3575" t="str">
        <f t="shared" si="222"/>
        <v>1797</v>
      </c>
      <c r="M3575" s="72"/>
      <c r="O3575" s="96">
        <f t="shared" si="223"/>
        <v>1797</v>
      </c>
      <c r="T3575" s="110"/>
    </row>
    <row r="3576" spans="3:20" x14ac:dyDescent="0.2">
      <c r="C3576" s="96" t="str">
        <f t="shared" si="220"/>
        <v>1798</v>
      </c>
      <c r="D3576" s="73"/>
      <c r="E3576" s="100"/>
      <c r="F3576" s="101"/>
      <c r="G3576" s="96">
        <f t="shared" si="221"/>
        <v>1798</v>
      </c>
      <c r="I3576" s="96"/>
      <c r="K3576" t="str">
        <f t="shared" si="222"/>
        <v>1798</v>
      </c>
      <c r="M3576" s="72"/>
      <c r="O3576" s="96">
        <f t="shared" si="223"/>
        <v>1798</v>
      </c>
      <c r="T3576" s="110"/>
    </row>
    <row r="3577" spans="3:20" x14ac:dyDescent="0.2">
      <c r="C3577" s="96" t="str">
        <f t="shared" si="220"/>
        <v>1799</v>
      </c>
      <c r="D3577" s="73"/>
      <c r="E3577" s="100"/>
      <c r="F3577" s="101"/>
      <c r="G3577" s="96">
        <f t="shared" si="221"/>
        <v>1799</v>
      </c>
      <c r="I3577" s="96"/>
      <c r="K3577" t="str">
        <f t="shared" si="222"/>
        <v>1799</v>
      </c>
      <c r="M3577" s="72"/>
      <c r="O3577" s="96">
        <f t="shared" si="223"/>
        <v>1799</v>
      </c>
      <c r="T3577" s="110"/>
    </row>
    <row r="3578" spans="3:20" x14ac:dyDescent="0.2">
      <c r="C3578" s="96" t="str">
        <f t="shared" si="220"/>
        <v>1800</v>
      </c>
      <c r="D3578" s="73"/>
      <c r="E3578" s="100"/>
      <c r="F3578" s="101"/>
      <c r="G3578" s="96">
        <f t="shared" si="221"/>
        <v>1800</v>
      </c>
      <c r="I3578" s="96"/>
      <c r="K3578" t="str">
        <f t="shared" si="222"/>
        <v>1800</v>
      </c>
      <c r="M3578" s="72"/>
      <c r="O3578" s="96">
        <f t="shared" si="223"/>
        <v>1800</v>
      </c>
      <c r="T3578" s="110"/>
    </row>
    <row r="3579" spans="3:20" x14ac:dyDescent="0.2">
      <c r="C3579" s="96" t="str">
        <f t="shared" si="220"/>
        <v>1801</v>
      </c>
      <c r="D3579" s="73"/>
      <c r="E3579" s="100"/>
      <c r="F3579" s="101"/>
      <c r="G3579" s="96">
        <f t="shared" si="221"/>
        <v>1801</v>
      </c>
      <c r="I3579" s="96"/>
      <c r="K3579" t="str">
        <f t="shared" si="222"/>
        <v>1801</v>
      </c>
      <c r="M3579" s="72"/>
      <c r="O3579" s="96">
        <f t="shared" si="223"/>
        <v>1801</v>
      </c>
      <c r="T3579" s="110"/>
    </row>
    <row r="3580" spans="3:20" x14ac:dyDescent="0.2">
      <c r="C3580" s="96" t="str">
        <f t="shared" si="220"/>
        <v>1802</v>
      </c>
      <c r="D3580" s="73"/>
      <c r="E3580" s="100"/>
      <c r="F3580" s="101"/>
      <c r="G3580" s="96">
        <f t="shared" si="221"/>
        <v>1802</v>
      </c>
      <c r="I3580" s="96"/>
      <c r="K3580" t="str">
        <f t="shared" si="222"/>
        <v>1802</v>
      </c>
      <c r="M3580" s="72"/>
      <c r="O3580" s="96">
        <f t="shared" si="223"/>
        <v>1802</v>
      </c>
      <c r="T3580" s="110"/>
    </row>
    <row r="3581" spans="3:20" x14ac:dyDescent="0.2">
      <c r="C3581" s="96" t="str">
        <f t="shared" si="220"/>
        <v>1803</v>
      </c>
      <c r="D3581" s="73"/>
      <c r="E3581" s="100"/>
      <c r="F3581" s="101"/>
      <c r="G3581" s="96">
        <f t="shared" si="221"/>
        <v>1803</v>
      </c>
      <c r="I3581" s="96"/>
      <c r="K3581" t="str">
        <f t="shared" si="222"/>
        <v>1803</v>
      </c>
      <c r="M3581" s="72"/>
      <c r="O3581" s="96">
        <f t="shared" si="223"/>
        <v>1803</v>
      </c>
      <c r="T3581" s="110"/>
    </row>
    <row r="3582" spans="3:20" x14ac:dyDescent="0.2">
      <c r="C3582" s="96" t="str">
        <f t="shared" si="220"/>
        <v>1804</v>
      </c>
      <c r="D3582" s="73"/>
      <c r="E3582" s="100"/>
      <c r="F3582" s="101"/>
      <c r="G3582" s="96">
        <f t="shared" si="221"/>
        <v>1804</v>
      </c>
      <c r="I3582" s="96"/>
      <c r="K3582" t="str">
        <f t="shared" si="222"/>
        <v>1804</v>
      </c>
      <c r="M3582" s="72"/>
      <c r="O3582" s="96">
        <f t="shared" si="223"/>
        <v>1804</v>
      </c>
      <c r="T3582" s="110"/>
    </row>
    <row r="3583" spans="3:20" x14ac:dyDescent="0.2">
      <c r="C3583" s="96" t="str">
        <f t="shared" si="220"/>
        <v>1805</v>
      </c>
      <c r="D3583" s="73"/>
      <c r="E3583" s="100"/>
      <c r="F3583" s="101"/>
      <c r="G3583" s="96">
        <f t="shared" si="221"/>
        <v>1805</v>
      </c>
      <c r="I3583" s="96"/>
      <c r="K3583" t="str">
        <f t="shared" si="222"/>
        <v>1805</v>
      </c>
      <c r="M3583" s="72"/>
      <c r="O3583" s="96">
        <f t="shared" si="223"/>
        <v>1805</v>
      </c>
      <c r="T3583" s="110"/>
    </row>
    <row r="3584" spans="3:20" x14ac:dyDescent="0.2">
      <c r="C3584" s="96" t="str">
        <f t="shared" si="220"/>
        <v>1806</v>
      </c>
      <c r="D3584" s="73"/>
      <c r="E3584" s="100"/>
      <c r="F3584" s="101"/>
      <c r="G3584" s="96">
        <f t="shared" si="221"/>
        <v>1806</v>
      </c>
      <c r="I3584" s="96"/>
      <c r="K3584" t="str">
        <f t="shared" si="222"/>
        <v>1806</v>
      </c>
      <c r="M3584" s="72"/>
      <c r="O3584" s="96">
        <f t="shared" si="223"/>
        <v>1806</v>
      </c>
      <c r="T3584" s="110"/>
    </row>
    <row r="3585" spans="3:20" x14ac:dyDescent="0.2">
      <c r="C3585" s="96" t="str">
        <f t="shared" si="220"/>
        <v>1807</v>
      </c>
      <c r="D3585" s="73"/>
      <c r="E3585" s="100"/>
      <c r="F3585" s="101"/>
      <c r="G3585" s="96">
        <f t="shared" si="221"/>
        <v>1807</v>
      </c>
      <c r="I3585" s="96"/>
      <c r="K3585" t="str">
        <f t="shared" si="222"/>
        <v>1807</v>
      </c>
      <c r="M3585" s="72"/>
      <c r="O3585" s="96">
        <f t="shared" si="223"/>
        <v>1807</v>
      </c>
      <c r="T3585" s="110"/>
    </row>
    <row r="3586" spans="3:20" x14ac:dyDescent="0.2">
      <c r="C3586" s="96" t="str">
        <f t="shared" si="220"/>
        <v>1808</v>
      </c>
      <c r="D3586" s="73"/>
      <c r="E3586" s="100"/>
      <c r="F3586" s="101"/>
      <c r="G3586" s="96">
        <f t="shared" si="221"/>
        <v>1808</v>
      </c>
      <c r="I3586" s="96"/>
      <c r="K3586" t="str">
        <f t="shared" si="222"/>
        <v>1808</v>
      </c>
      <c r="M3586" s="72"/>
      <c r="O3586" s="96">
        <f t="shared" si="223"/>
        <v>1808</v>
      </c>
      <c r="T3586" s="110"/>
    </row>
    <row r="3587" spans="3:20" x14ac:dyDescent="0.2">
      <c r="C3587" s="96" t="str">
        <f t="shared" ref="C3587:C3650" si="224">D3587&amp;G3587</f>
        <v>1809</v>
      </c>
      <c r="D3587" s="73"/>
      <c r="E3587" s="100"/>
      <c r="F3587" s="101"/>
      <c r="G3587" s="96">
        <f t="shared" ref="G3587:G3650" si="225">IF(D3587&lt;&gt;D3586,1,G3586+1)</f>
        <v>1809</v>
      </c>
      <c r="I3587" s="96"/>
      <c r="K3587" t="str">
        <f t="shared" ref="K3587:K3650" si="226">L3587&amp;O3587</f>
        <v>1809</v>
      </c>
      <c r="M3587" s="72"/>
      <c r="O3587" s="96">
        <f t="shared" ref="O3587:O3650" si="227">IF(L3587&lt;&gt;L3586,1,O3586+1)</f>
        <v>1809</v>
      </c>
      <c r="T3587" s="110"/>
    </row>
    <row r="3588" spans="3:20" x14ac:dyDescent="0.2">
      <c r="C3588" s="96" t="str">
        <f t="shared" si="224"/>
        <v>1810</v>
      </c>
      <c r="D3588" s="73"/>
      <c r="E3588" s="100"/>
      <c r="F3588" s="101"/>
      <c r="G3588" s="96">
        <f t="shared" si="225"/>
        <v>1810</v>
      </c>
      <c r="I3588" s="96"/>
      <c r="K3588" t="str">
        <f t="shared" si="226"/>
        <v>1810</v>
      </c>
      <c r="M3588" s="72"/>
      <c r="O3588" s="96">
        <f t="shared" si="227"/>
        <v>1810</v>
      </c>
      <c r="T3588" s="110"/>
    </row>
    <row r="3589" spans="3:20" x14ac:dyDescent="0.2">
      <c r="C3589" s="96" t="str">
        <f t="shared" si="224"/>
        <v>1811</v>
      </c>
      <c r="D3589" s="73"/>
      <c r="E3589" s="100"/>
      <c r="F3589" s="101"/>
      <c r="G3589" s="96">
        <f t="shared" si="225"/>
        <v>1811</v>
      </c>
      <c r="I3589" s="96"/>
      <c r="K3589" t="str">
        <f t="shared" si="226"/>
        <v>1811</v>
      </c>
      <c r="M3589" s="72"/>
      <c r="O3589" s="96">
        <f t="shared" si="227"/>
        <v>1811</v>
      </c>
    </row>
    <row r="3590" spans="3:20" x14ac:dyDescent="0.2">
      <c r="C3590" s="96" t="str">
        <f t="shared" si="224"/>
        <v>1812</v>
      </c>
      <c r="D3590" s="73"/>
      <c r="E3590" s="100"/>
      <c r="F3590" s="101"/>
      <c r="G3590" s="96">
        <f t="shared" si="225"/>
        <v>1812</v>
      </c>
      <c r="I3590" s="96"/>
      <c r="K3590" t="str">
        <f t="shared" si="226"/>
        <v>1812</v>
      </c>
      <c r="M3590" s="72"/>
      <c r="O3590" s="96">
        <f t="shared" si="227"/>
        <v>1812</v>
      </c>
    </row>
    <row r="3591" spans="3:20" x14ac:dyDescent="0.2">
      <c r="C3591" s="96" t="str">
        <f t="shared" si="224"/>
        <v>1813</v>
      </c>
      <c r="D3591" s="73"/>
      <c r="E3591" s="100"/>
      <c r="F3591" s="101"/>
      <c r="G3591" s="96">
        <f t="shared" si="225"/>
        <v>1813</v>
      </c>
      <c r="I3591" s="96"/>
      <c r="K3591" t="str">
        <f t="shared" si="226"/>
        <v>1813</v>
      </c>
      <c r="M3591" s="72"/>
      <c r="O3591" s="96">
        <f t="shared" si="227"/>
        <v>1813</v>
      </c>
      <c r="T3591" s="110"/>
    </row>
    <row r="3592" spans="3:20" x14ac:dyDescent="0.2">
      <c r="C3592" s="96" t="str">
        <f t="shared" si="224"/>
        <v>1814</v>
      </c>
      <c r="D3592" s="73"/>
      <c r="E3592" s="100"/>
      <c r="F3592" s="101"/>
      <c r="G3592" s="96">
        <f t="shared" si="225"/>
        <v>1814</v>
      </c>
      <c r="I3592" s="96"/>
      <c r="K3592" t="str">
        <f t="shared" si="226"/>
        <v>1814</v>
      </c>
      <c r="M3592" s="72"/>
      <c r="O3592" s="96">
        <f t="shared" si="227"/>
        <v>1814</v>
      </c>
      <c r="T3592" s="110"/>
    </row>
    <row r="3593" spans="3:20" x14ac:dyDescent="0.2">
      <c r="C3593" s="96" t="str">
        <f t="shared" si="224"/>
        <v>1815</v>
      </c>
      <c r="D3593" s="73"/>
      <c r="E3593" s="100"/>
      <c r="F3593" s="101"/>
      <c r="G3593" s="96">
        <f t="shared" si="225"/>
        <v>1815</v>
      </c>
      <c r="I3593" s="96"/>
      <c r="K3593" t="str">
        <f t="shared" si="226"/>
        <v>1815</v>
      </c>
      <c r="M3593" s="72"/>
      <c r="O3593" s="96">
        <f t="shared" si="227"/>
        <v>1815</v>
      </c>
    </row>
    <row r="3594" spans="3:20" x14ac:dyDescent="0.2">
      <c r="C3594" s="96" t="str">
        <f t="shared" si="224"/>
        <v>1816</v>
      </c>
      <c r="D3594" s="73"/>
      <c r="E3594" s="100"/>
      <c r="F3594" s="101"/>
      <c r="G3594" s="96">
        <f t="shared" si="225"/>
        <v>1816</v>
      </c>
      <c r="I3594" s="96"/>
      <c r="K3594" t="str">
        <f t="shared" si="226"/>
        <v>1816</v>
      </c>
      <c r="M3594" s="72"/>
      <c r="O3594" s="96">
        <f t="shared" si="227"/>
        <v>1816</v>
      </c>
      <c r="T3594" s="110"/>
    </row>
    <row r="3595" spans="3:20" x14ac:dyDescent="0.2">
      <c r="C3595" s="96" t="str">
        <f t="shared" si="224"/>
        <v>1817</v>
      </c>
      <c r="D3595" s="73"/>
      <c r="E3595" s="100"/>
      <c r="F3595" s="101"/>
      <c r="G3595" s="96">
        <f t="shared" si="225"/>
        <v>1817</v>
      </c>
      <c r="I3595" s="96"/>
      <c r="K3595" t="str">
        <f t="shared" si="226"/>
        <v>1817</v>
      </c>
      <c r="M3595" s="72"/>
      <c r="O3595" s="96">
        <f t="shared" si="227"/>
        <v>1817</v>
      </c>
      <c r="T3595" s="110"/>
    </row>
    <row r="3596" spans="3:20" x14ac:dyDescent="0.2">
      <c r="C3596" s="96" t="str">
        <f t="shared" si="224"/>
        <v>1818</v>
      </c>
      <c r="D3596" s="73"/>
      <c r="E3596" s="100"/>
      <c r="F3596" s="101"/>
      <c r="G3596" s="96">
        <f t="shared" si="225"/>
        <v>1818</v>
      </c>
      <c r="I3596" s="96"/>
      <c r="K3596" t="str">
        <f t="shared" si="226"/>
        <v>1818</v>
      </c>
      <c r="M3596" s="72"/>
      <c r="O3596" s="96">
        <f t="shared" si="227"/>
        <v>1818</v>
      </c>
      <c r="T3596" s="110"/>
    </row>
    <row r="3597" spans="3:20" x14ac:dyDescent="0.2">
      <c r="C3597" s="96" t="str">
        <f t="shared" si="224"/>
        <v>1819</v>
      </c>
      <c r="D3597" s="73"/>
      <c r="E3597" s="100"/>
      <c r="F3597" s="101"/>
      <c r="G3597" s="96">
        <f t="shared" si="225"/>
        <v>1819</v>
      </c>
      <c r="I3597" s="96"/>
      <c r="K3597" t="str">
        <f t="shared" si="226"/>
        <v>1819</v>
      </c>
      <c r="M3597" s="72"/>
      <c r="O3597" s="96">
        <f t="shared" si="227"/>
        <v>1819</v>
      </c>
    </row>
    <row r="3598" spans="3:20" x14ac:dyDescent="0.2">
      <c r="C3598" s="96" t="str">
        <f t="shared" si="224"/>
        <v>1820</v>
      </c>
      <c r="D3598" s="73"/>
      <c r="E3598" s="100"/>
      <c r="F3598" s="101"/>
      <c r="G3598" s="96">
        <f t="shared" si="225"/>
        <v>1820</v>
      </c>
      <c r="I3598" s="96"/>
      <c r="K3598" t="str">
        <f t="shared" si="226"/>
        <v>1820</v>
      </c>
      <c r="M3598" s="72"/>
      <c r="O3598" s="96">
        <f t="shared" si="227"/>
        <v>1820</v>
      </c>
      <c r="T3598" s="110"/>
    </row>
    <row r="3599" spans="3:20" x14ac:dyDescent="0.2">
      <c r="C3599" s="96" t="str">
        <f t="shared" si="224"/>
        <v>1821</v>
      </c>
      <c r="D3599" s="73"/>
      <c r="E3599" s="100"/>
      <c r="F3599" s="101"/>
      <c r="G3599" s="96">
        <f t="shared" si="225"/>
        <v>1821</v>
      </c>
      <c r="I3599" s="96"/>
      <c r="K3599" t="str">
        <f t="shared" si="226"/>
        <v>1821</v>
      </c>
      <c r="M3599" s="72"/>
      <c r="O3599" s="96">
        <f t="shared" si="227"/>
        <v>1821</v>
      </c>
      <c r="T3599" s="110"/>
    </row>
    <row r="3600" spans="3:20" x14ac:dyDescent="0.2">
      <c r="C3600" s="96" t="str">
        <f t="shared" si="224"/>
        <v>1822</v>
      </c>
      <c r="D3600" s="73"/>
      <c r="E3600" s="100"/>
      <c r="F3600" s="101"/>
      <c r="G3600" s="96">
        <f t="shared" si="225"/>
        <v>1822</v>
      </c>
      <c r="I3600" s="96"/>
      <c r="K3600" t="str">
        <f t="shared" si="226"/>
        <v>1822</v>
      </c>
      <c r="M3600" s="72"/>
      <c r="O3600" s="96">
        <f t="shared" si="227"/>
        <v>1822</v>
      </c>
      <c r="T3600" s="110"/>
    </row>
    <row r="3601" spans="3:20" x14ac:dyDescent="0.2">
      <c r="C3601" s="96" t="str">
        <f t="shared" si="224"/>
        <v>1823</v>
      </c>
      <c r="D3601" s="73"/>
      <c r="E3601" s="100"/>
      <c r="F3601" s="101"/>
      <c r="G3601" s="96">
        <f t="shared" si="225"/>
        <v>1823</v>
      </c>
      <c r="I3601" s="96"/>
      <c r="K3601" t="str">
        <f t="shared" si="226"/>
        <v>1823</v>
      </c>
      <c r="M3601" s="72"/>
      <c r="O3601" s="96">
        <f t="shared" si="227"/>
        <v>1823</v>
      </c>
      <c r="T3601" s="110"/>
    </row>
    <row r="3602" spans="3:20" x14ac:dyDescent="0.2">
      <c r="C3602" s="96" t="str">
        <f t="shared" si="224"/>
        <v>1824</v>
      </c>
      <c r="D3602" s="73"/>
      <c r="E3602" s="100"/>
      <c r="F3602" s="101"/>
      <c r="G3602" s="96">
        <f t="shared" si="225"/>
        <v>1824</v>
      </c>
      <c r="I3602" s="96"/>
      <c r="K3602" t="str">
        <f t="shared" si="226"/>
        <v>1824</v>
      </c>
      <c r="M3602" s="72"/>
      <c r="O3602" s="96">
        <f t="shared" si="227"/>
        <v>1824</v>
      </c>
      <c r="T3602" s="110"/>
    </row>
    <row r="3603" spans="3:20" x14ac:dyDescent="0.2">
      <c r="C3603" s="96" t="str">
        <f t="shared" si="224"/>
        <v>1825</v>
      </c>
      <c r="D3603" s="73"/>
      <c r="E3603" s="100"/>
      <c r="F3603" s="101"/>
      <c r="G3603" s="96">
        <f t="shared" si="225"/>
        <v>1825</v>
      </c>
      <c r="I3603" s="96"/>
      <c r="K3603" t="str">
        <f t="shared" si="226"/>
        <v>1825</v>
      </c>
      <c r="M3603" s="72"/>
      <c r="O3603" s="96">
        <f t="shared" si="227"/>
        <v>1825</v>
      </c>
      <c r="T3603" s="110"/>
    </row>
    <row r="3604" spans="3:20" x14ac:dyDescent="0.2">
      <c r="C3604" s="96" t="str">
        <f t="shared" si="224"/>
        <v>1826</v>
      </c>
      <c r="D3604" s="73"/>
      <c r="E3604" s="100"/>
      <c r="F3604" s="101"/>
      <c r="G3604" s="96">
        <f t="shared" si="225"/>
        <v>1826</v>
      </c>
      <c r="I3604" s="96"/>
      <c r="K3604" t="str">
        <f t="shared" si="226"/>
        <v>1826</v>
      </c>
      <c r="M3604" s="72"/>
      <c r="O3604" s="96">
        <f t="shared" si="227"/>
        <v>1826</v>
      </c>
      <c r="T3604" s="110"/>
    </row>
    <row r="3605" spans="3:20" x14ac:dyDescent="0.2">
      <c r="C3605" s="96" t="str">
        <f t="shared" si="224"/>
        <v>1827</v>
      </c>
      <c r="D3605" s="73"/>
      <c r="E3605" s="100"/>
      <c r="F3605" s="101"/>
      <c r="G3605" s="96">
        <f t="shared" si="225"/>
        <v>1827</v>
      </c>
      <c r="I3605" s="96"/>
      <c r="K3605" t="str">
        <f t="shared" si="226"/>
        <v>1827</v>
      </c>
      <c r="M3605" s="72"/>
      <c r="O3605" s="96">
        <f t="shared" si="227"/>
        <v>1827</v>
      </c>
      <c r="T3605" s="110"/>
    </row>
    <row r="3606" spans="3:20" x14ac:dyDescent="0.2">
      <c r="C3606" s="96" t="str">
        <f t="shared" si="224"/>
        <v>1828</v>
      </c>
      <c r="D3606" s="73"/>
      <c r="E3606" s="100"/>
      <c r="F3606" s="101"/>
      <c r="G3606" s="96">
        <f t="shared" si="225"/>
        <v>1828</v>
      </c>
      <c r="I3606" s="96"/>
      <c r="K3606" t="str">
        <f t="shared" si="226"/>
        <v>1828</v>
      </c>
      <c r="M3606" s="72"/>
      <c r="O3606" s="96">
        <f t="shared" si="227"/>
        <v>1828</v>
      </c>
      <c r="T3606" s="110"/>
    </row>
    <row r="3607" spans="3:20" x14ac:dyDescent="0.2">
      <c r="C3607" s="96" t="str">
        <f t="shared" si="224"/>
        <v>1829</v>
      </c>
      <c r="D3607" s="73"/>
      <c r="E3607" s="100"/>
      <c r="F3607" s="101"/>
      <c r="G3607" s="96">
        <f t="shared" si="225"/>
        <v>1829</v>
      </c>
      <c r="I3607" s="96"/>
      <c r="K3607" t="str">
        <f t="shared" si="226"/>
        <v>1829</v>
      </c>
      <c r="M3607" s="72"/>
      <c r="O3607" s="96">
        <f t="shared" si="227"/>
        <v>1829</v>
      </c>
      <c r="T3607" s="110"/>
    </row>
    <row r="3608" spans="3:20" x14ac:dyDescent="0.2">
      <c r="C3608" s="96" t="str">
        <f t="shared" si="224"/>
        <v>1830</v>
      </c>
      <c r="D3608" s="73"/>
      <c r="E3608" s="100"/>
      <c r="F3608" s="101"/>
      <c r="G3608" s="96">
        <f t="shared" si="225"/>
        <v>1830</v>
      </c>
      <c r="I3608" s="96"/>
      <c r="K3608" t="str">
        <f t="shared" si="226"/>
        <v>1830</v>
      </c>
      <c r="M3608" s="72"/>
      <c r="O3608" s="96">
        <f t="shared" si="227"/>
        <v>1830</v>
      </c>
      <c r="T3608" s="110"/>
    </row>
    <row r="3609" spans="3:20" x14ac:dyDescent="0.2">
      <c r="C3609" s="96" t="str">
        <f t="shared" si="224"/>
        <v>1831</v>
      </c>
      <c r="D3609" s="73"/>
      <c r="E3609" s="100"/>
      <c r="F3609" s="101"/>
      <c r="G3609" s="96">
        <f t="shared" si="225"/>
        <v>1831</v>
      </c>
      <c r="I3609" s="96"/>
      <c r="K3609" t="str">
        <f t="shared" si="226"/>
        <v>1831</v>
      </c>
      <c r="M3609" s="72"/>
      <c r="O3609" s="96">
        <f t="shared" si="227"/>
        <v>1831</v>
      </c>
      <c r="T3609" s="110"/>
    </row>
    <row r="3610" spans="3:20" x14ac:dyDescent="0.2">
      <c r="C3610" s="96" t="str">
        <f t="shared" si="224"/>
        <v>1832</v>
      </c>
      <c r="D3610" s="73"/>
      <c r="E3610" s="100"/>
      <c r="F3610" s="101"/>
      <c r="G3610" s="96">
        <f t="shared" si="225"/>
        <v>1832</v>
      </c>
      <c r="I3610" s="96"/>
      <c r="K3610" t="str">
        <f t="shared" si="226"/>
        <v>1832</v>
      </c>
      <c r="M3610" s="72"/>
      <c r="O3610" s="96">
        <f t="shared" si="227"/>
        <v>1832</v>
      </c>
      <c r="T3610" s="110"/>
    </row>
    <row r="3611" spans="3:20" x14ac:dyDescent="0.2">
      <c r="C3611" s="96" t="str">
        <f t="shared" si="224"/>
        <v>1833</v>
      </c>
      <c r="D3611" s="73"/>
      <c r="E3611" s="100"/>
      <c r="F3611" s="101"/>
      <c r="G3611" s="96">
        <f t="shared" si="225"/>
        <v>1833</v>
      </c>
      <c r="I3611" s="96"/>
      <c r="K3611" t="str">
        <f t="shared" si="226"/>
        <v>1833</v>
      </c>
      <c r="M3611" s="72"/>
      <c r="O3611" s="96">
        <f t="shared" si="227"/>
        <v>1833</v>
      </c>
      <c r="T3611" s="110"/>
    </row>
    <row r="3612" spans="3:20" x14ac:dyDescent="0.2">
      <c r="C3612" s="96" t="str">
        <f t="shared" si="224"/>
        <v>1834</v>
      </c>
      <c r="D3612" s="73"/>
      <c r="E3612" s="100"/>
      <c r="F3612" s="101"/>
      <c r="G3612" s="96">
        <f t="shared" si="225"/>
        <v>1834</v>
      </c>
      <c r="I3612" s="96"/>
      <c r="K3612" t="str">
        <f t="shared" si="226"/>
        <v>1834</v>
      </c>
      <c r="M3612" s="72"/>
      <c r="O3612" s="96">
        <f t="shared" si="227"/>
        <v>1834</v>
      </c>
      <c r="T3612" s="110"/>
    </row>
    <row r="3613" spans="3:20" x14ac:dyDescent="0.2">
      <c r="C3613" s="96" t="str">
        <f t="shared" si="224"/>
        <v>1835</v>
      </c>
      <c r="D3613" s="73"/>
      <c r="E3613" s="100"/>
      <c r="F3613" s="101"/>
      <c r="G3613" s="96">
        <f t="shared" si="225"/>
        <v>1835</v>
      </c>
      <c r="I3613" s="96"/>
      <c r="K3613" t="str">
        <f t="shared" si="226"/>
        <v>1835</v>
      </c>
      <c r="M3613" s="72"/>
      <c r="O3613" s="96">
        <f t="shared" si="227"/>
        <v>1835</v>
      </c>
      <c r="T3613" s="110"/>
    </row>
    <row r="3614" spans="3:20" x14ac:dyDescent="0.2">
      <c r="C3614" s="96" t="str">
        <f t="shared" si="224"/>
        <v>1836</v>
      </c>
      <c r="D3614" s="73"/>
      <c r="E3614" s="100"/>
      <c r="F3614" s="101"/>
      <c r="G3614" s="96">
        <f t="shared" si="225"/>
        <v>1836</v>
      </c>
      <c r="I3614" s="96"/>
      <c r="K3614" t="str">
        <f t="shared" si="226"/>
        <v>1836</v>
      </c>
      <c r="M3614" s="72"/>
      <c r="O3614" s="96">
        <f t="shared" si="227"/>
        <v>1836</v>
      </c>
      <c r="T3614" s="110"/>
    </row>
    <row r="3615" spans="3:20" x14ac:dyDescent="0.2">
      <c r="C3615" s="96" t="str">
        <f t="shared" si="224"/>
        <v>1837</v>
      </c>
      <c r="D3615" s="73"/>
      <c r="E3615" s="100"/>
      <c r="F3615" s="101"/>
      <c r="G3615" s="96">
        <f t="shared" si="225"/>
        <v>1837</v>
      </c>
      <c r="I3615" s="96"/>
      <c r="K3615" t="str">
        <f t="shared" si="226"/>
        <v>1837</v>
      </c>
      <c r="M3615" s="72"/>
      <c r="O3615" s="96">
        <f t="shared" si="227"/>
        <v>1837</v>
      </c>
      <c r="T3615" s="110"/>
    </row>
    <row r="3616" spans="3:20" x14ac:dyDescent="0.2">
      <c r="C3616" s="96" t="str">
        <f t="shared" si="224"/>
        <v>1838</v>
      </c>
      <c r="D3616" s="73"/>
      <c r="E3616" s="100"/>
      <c r="F3616" s="101"/>
      <c r="G3616" s="96">
        <f t="shared" si="225"/>
        <v>1838</v>
      </c>
      <c r="I3616" s="96"/>
      <c r="K3616" t="str">
        <f t="shared" si="226"/>
        <v>1838</v>
      </c>
      <c r="M3616" s="72"/>
      <c r="O3616" s="96">
        <f t="shared" si="227"/>
        <v>1838</v>
      </c>
      <c r="T3616" s="110"/>
    </row>
    <row r="3617" spans="3:20" x14ac:dyDescent="0.2">
      <c r="C3617" s="96" t="str">
        <f t="shared" si="224"/>
        <v>1839</v>
      </c>
      <c r="D3617" s="73"/>
      <c r="E3617" s="100"/>
      <c r="F3617" s="101"/>
      <c r="G3617" s="96">
        <f t="shared" si="225"/>
        <v>1839</v>
      </c>
      <c r="I3617" s="96"/>
      <c r="K3617" t="str">
        <f t="shared" si="226"/>
        <v>1839</v>
      </c>
      <c r="M3617" s="72"/>
      <c r="O3617" s="96">
        <f t="shared" si="227"/>
        <v>1839</v>
      </c>
      <c r="T3617" s="110"/>
    </row>
    <row r="3618" spans="3:20" x14ac:dyDescent="0.2">
      <c r="C3618" s="96" t="str">
        <f t="shared" si="224"/>
        <v>1840</v>
      </c>
      <c r="D3618" s="73"/>
      <c r="E3618" s="100"/>
      <c r="F3618" s="101"/>
      <c r="G3618" s="96">
        <f t="shared" si="225"/>
        <v>1840</v>
      </c>
      <c r="I3618" s="96"/>
      <c r="K3618" t="str">
        <f t="shared" si="226"/>
        <v>1840</v>
      </c>
      <c r="M3618" s="72"/>
      <c r="O3618" s="96">
        <f t="shared" si="227"/>
        <v>1840</v>
      </c>
      <c r="T3618" s="110"/>
    </row>
    <row r="3619" spans="3:20" x14ac:dyDescent="0.2">
      <c r="C3619" s="96" t="str">
        <f t="shared" si="224"/>
        <v>1841</v>
      </c>
      <c r="D3619" s="73"/>
      <c r="E3619" s="100"/>
      <c r="F3619" s="101"/>
      <c r="G3619" s="96">
        <f t="shared" si="225"/>
        <v>1841</v>
      </c>
      <c r="I3619" s="96"/>
      <c r="K3619" t="str">
        <f t="shared" si="226"/>
        <v>1841</v>
      </c>
      <c r="M3619" s="72"/>
      <c r="O3619" s="96">
        <f t="shared" si="227"/>
        <v>1841</v>
      </c>
      <c r="T3619" s="110"/>
    </row>
    <row r="3620" spans="3:20" x14ac:dyDescent="0.2">
      <c r="C3620" s="96" t="str">
        <f t="shared" si="224"/>
        <v>1842</v>
      </c>
      <c r="D3620" s="73"/>
      <c r="E3620" s="100"/>
      <c r="F3620" s="101"/>
      <c r="G3620" s="96">
        <f t="shared" si="225"/>
        <v>1842</v>
      </c>
      <c r="I3620" s="96"/>
      <c r="K3620" t="str">
        <f t="shared" si="226"/>
        <v>1842</v>
      </c>
      <c r="M3620" s="72"/>
      <c r="O3620" s="96">
        <f t="shared" si="227"/>
        <v>1842</v>
      </c>
      <c r="T3620" s="110"/>
    </row>
    <row r="3621" spans="3:20" x14ac:dyDescent="0.2">
      <c r="C3621" s="96" t="str">
        <f t="shared" si="224"/>
        <v>1843</v>
      </c>
      <c r="D3621" s="73"/>
      <c r="E3621" s="100"/>
      <c r="F3621" s="101"/>
      <c r="G3621" s="96">
        <f t="shared" si="225"/>
        <v>1843</v>
      </c>
      <c r="I3621" s="96"/>
      <c r="K3621" t="str">
        <f t="shared" si="226"/>
        <v>1843</v>
      </c>
      <c r="M3621" s="72"/>
      <c r="O3621" s="96">
        <f t="shared" si="227"/>
        <v>1843</v>
      </c>
      <c r="T3621" s="110"/>
    </row>
    <row r="3622" spans="3:20" x14ac:dyDescent="0.2">
      <c r="C3622" s="96" t="str">
        <f t="shared" si="224"/>
        <v>1844</v>
      </c>
      <c r="D3622" s="73"/>
      <c r="E3622" s="100"/>
      <c r="F3622" s="101"/>
      <c r="G3622" s="96">
        <f t="shared" si="225"/>
        <v>1844</v>
      </c>
      <c r="I3622" s="96"/>
      <c r="K3622" t="str">
        <f t="shared" si="226"/>
        <v>1844</v>
      </c>
      <c r="M3622" s="72"/>
      <c r="O3622" s="96">
        <f t="shared" si="227"/>
        <v>1844</v>
      </c>
      <c r="T3622" s="110"/>
    </row>
    <row r="3623" spans="3:20" x14ac:dyDescent="0.2">
      <c r="C3623" s="96" t="str">
        <f t="shared" si="224"/>
        <v>1845</v>
      </c>
      <c r="D3623" s="73"/>
      <c r="E3623" s="100"/>
      <c r="F3623" s="101"/>
      <c r="G3623" s="96">
        <f t="shared" si="225"/>
        <v>1845</v>
      </c>
      <c r="I3623" s="96"/>
      <c r="K3623" t="str">
        <f t="shared" si="226"/>
        <v>1845</v>
      </c>
      <c r="M3623" s="72"/>
      <c r="O3623" s="96">
        <f t="shared" si="227"/>
        <v>1845</v>
      </c>
      <c r="T3623" s="110"/>
    </row>
    <row r="3624" spans="3:20" x14ac:dyDescent="0.2">
      <c r="C3624" s="96" t="str">
        <f t="shared" si="224"/>
        <v>1846</v>
      </c>
      <c r="D3624" s="73"/>
      <c r="E3624" s="100"/>
      <c r="F3624" s="101"/>
      <c r="G3624" s="96">
        <f t="shared" si="225"/>
        <v>1846</v>
      </c>
      <c r="I3624" s="96"/>
      <c r="K3624" t="str">
        <f t="shared" si="226"/>
        <v>1846</v>
      </c>
      <c r="M3624" s="72"/>
      <c r="O3624" s="96">
        <f t="shared" si="227"/>
        <v>1846</v>
      </c>
      <c r="T3624" s="110"/>
    </row>
    <row r="3625" spans="3:20" x14ac:dyDescent="0.2">
      <c r="C3625" s="96" t="str">
        <f t="shared" si="224"/>
        <v>1847</v>
      </c>
      <c r="D3625" s="73"/>
      <c r="E3625" s="100"/>
      <c r="F3625" s="101"/>
      <c r="G3625" s="96">
        <f t="shared" si="225"/>
        <v>1847</v>
      </c>
      <c r="I3625" s="96"/>
      <c r="K3625" t="str">
        <f t="shared" si="226"/>
        <v>1847</v>
      </c>
      <c r="M3625" s="72"/>
      <c r="O3625" s="96">
        <f t="shared" si="227"/>
        <v>1847</v>
      </c>
      <c r="T3625" s="110"/>
    </row>
    <row r="3626" spans="3:20" x14ac:dyDescent="0.2">
      <c r="C3626" s="96" t="str">
        <f t="shared" si="224"/>
        <v>1848</v>
      </c>
      <c r="D3626" s="73"/>
      <c r="E3626" s="100"/>
      <c r="F3626" s="101"/>
      <c r="G3626" s="96">
        <f t="shared" si="225"/>
        <v>1848</v>
      </c>
      <c r="I3626" s="96"/>
      <c r="K3626" t="str">
        <f t="shared" si="226"/>
        <v>1848</v>
      </c>
      <c r="M3626" s="72"/>
      <c r="O3626" s="96">
        <f t="shared" si="227"/>
        <v>1848</v>
      </c>
      <c r="T3626" s="110"/>
    </row>
    <row r="3627" spans="3:20" x14ac:dyDescent="0.2">
      <c r="C3627" s="96" t="str">
        <f t="shared" si="224"/>
        <v>1849</v>
      </c>
      <c r="D3627" s="73"/>
      <c r="E3627" s="100"/>
      <c r="F3627" s="101"/>
      <c r="G3627" s="96">
        <f t="shared" si="225"/>
        <v>1849</v>
      </c>
      <c r="I3627" s="96"/>
      <c r="K3627" t="str">
        <f t="shared" si="226"/>
        <v>1849</v>
      </c>
      <c r="M3627" s="72"/>
      <c r="O3627" s="96">
        <f t="shared" si="227"/>
        <v>1849</v>
      </c>
      <c r="T3627" s="110"/>
    </row>
    <row r="3628" spans="3:20" x14ac:dyDescent="0.2">
      <c r="C3628" s="96" t="str">
        <f t="shared" si="224"/>
        <v>1850</v>
      </c>
      <c r="D3628" s="73"/>
      <c r="E3628" s="100"/>
      <c r="F3628" s="101"/>
      <c r="G3628" s="96">
        <f t="shared" si="225"/>
        <v>1850</v>
      </c>
      <c r="I3628" s="96"/>
      <c r="K3628" t="str">
        <f t="shared" si="226"/>
        <v>1850</v>
      </c>
      <c r="M3628" s="72"/>
      <c r="O3628" s="96">
        <f t="shared" si="227"/>
        <v>1850</v>
      </c>
      <c r="T3628" s="110"/>
    </row>
    <row r="3629" spans="3:20" x14ac:dyDescent="0.2">
      <c r="C3629" s="96" t="str">
        <f t="shared" si="224"/>
        <v>1851</v>
      </c>
      <c r="D3629" s="73"/>
      <c r="E3629" s="100"/>
      <c r="F3629" s="101"/>
      <c r="G3629" s="96">
        <f t="shared" si="225"/>
        <v>1851</v>
      </c>
      <c r="I3629" s="96"/>
      <c r="K3629" t="str">
        <f t="shared" si="226"/>
        <v>1851</v>
      </c>
      <c r="M3629" s="72"/>
      <c r="O3629" s="96">
        <f t="shared" si="227"/>
        <v>1851</v>
      </c>
      <c r="T3629" s="110"/>
    </row>
    <row r="3630" spans="3:20" x14ac:dyDescent="0.2">
      <c r="C3630" s="96" t="str">
        <f t="shared" si="224"/>
        <v>1852</v>
      </c>
      <c r="D3630" s="73"/>
      <c r="E3630" s="100"/>
      <c r="F3630" s="101"/>
      <c r="G3630" s="96">
        <f t="shared" si="225"/>
        <v>1852</v>
      </c>
      <c r="I3630" s="96"/>
      <c r="K3630" t="str">
        <f t="shared" si="226"/>
        <v>1852</v>
      </c>
      <c r="M3630" s="72"/>
      <c r="O3630" s="96">
        <f t="shared" si="227"/>
        <v>1852</v>
      </c>
      <c r="T3630" s="110"/>
    </row>
    <row r="3631" spans="3:20" x14ac:dyDescent="0.2">
      <c r="C3631" s="96" t="str">
        <f t="shared" si="224"/>
        <v>1853</v>
      </c>
      <c r="D3631" s="73"/>
      <c r="E3631" s="100"/>
      <c r="F3631" s="101"/>
      <c r="G3631" s="96">
        <f t="shared" si="225"/>
        <v>1853</v>
      </c>
      <c r="I3631" s="96"/>
      <c r="K3631" t="str">
        <f t="shared" si="226"/>
        <v>1853</v>
      </c>
      <c r="M3631" s="72"/>
      <c r="O3631" s="96">
        <f t="shared" si="227"/>
        <v>1853</v>
      </c>
      <c r="T3631" s="110"/>
    </row>
    <row r="3632" spans="3:20" x14ac:dyDescent="0.2">
      <c r="C3632" s="96" t="str">
        <f t="shared" si="224"/>
        <v>1854</v>
      </c>
      <c r="D3632" s="73"/>
      <c r="E3632" s="100"/>
      <c r="F3632" s="101"/>
      <c r="G3632" s="96">
        <f t="shared" si="225"/>
        <v>1854</v>
      </c>
      <c r="I3632" s="96"/>
      <c r="K3632" t="str">
        <f t="shared" si="226"/>
        <v>1854</v>
      </c>
      <c r="M3632" s="72"/>
      <c r="O3632" s="96">
        <f t="shared" si="227"/>
        <v>1854</v>
      </c>
      <c r="T3632" s="110"/>
    </row>
    <row r="3633" spans="3:20" x14ac:dyDescent="0.2">
      <c r="C3633" s="96" t="str">
        <f t="shared" si="224"/>
        <v>1855</v>
      </c>
      <c r="D3633" s="73"/>
      <c r="E3633" s="100"/>
      <c r="F3633" s="101"/>
      <c r="G3633" s="96">
        <f t="shared" si="225"/>
        <v>1855</v>
      </c>
      <c r="I3633" s="96"/>
      <c r="K3633" t="str">
        <f t="shared" si="226"/>
        <v>1855</v>
      </c>
      <c r="M3633" s="72"/>
      <c r="O3633" s="96">
        <f t="shared" si="227"/>
        <v>1855</v>
      </c>
      <c r="T3633" s="110"/>
    </row>
    <row r="3634" spans="3:20" x14ac:dyDescent="0.2">
      <c r="C3634" s="96" t="str">
        <f t="shared" si="224"/>
        <v>1856</v>
      </c>
      <c r="D3634" s="73"/>
      <c r="E3634" s="100"/>
      <c r="F3634" s="101"/>
      <c r="G3634" s="96">
        <f t="shared" si="225"/>
        <v>1856</v>
      </c>
      <c r="I3634" s="96"/>
      <c r="K3634" t="str">
        <f t="shared" si="226"/>
        <v>1856</v>
      </c>
      <c r="M3634" s="72"/>
      <c r="O3634" s="96">
        <f t="shared" si="227"/>
        <v>1856</v>
      </c>
      <c r="T3634" s="110"/>
    </row>
    <row r="3635" spans="3:20" x14ac:dyDescent="0.2">
      <c r="C3635" s="96" t="str">
        <f t="shared" si="224"/>
        <v>1857</v>
      </c>
      <c r="D3635" s="73"/>
      <c r="E3635" s="100"/>
      <c r="F3635" s="101"/>
      <c r="G3635" s="96">
        <f t="shared" si="225"/>
        <v>1857</v>
      </c>
      <c r="I3635" s="96"/>
      <c r="K3635" t="str">
        <f t="shared" si="226"/>
        <v>1857</v>
      </c>
      <c r="M3635" s="72"/>
      <c r="O3635" s="96">
        <f t="shared" si="227"/>
        <v>1857</v>
      </c>
      <c r="T3635" s="110"/>
    </row>
    <row r="3636" spans="3:20" x14ac:dyDescent="0.2">
      <c r="C3636" s="96" t="str">
        <f t="shared" si="224"/>
        <v>1858</v>
      </c>
      <c r="D3636" s="73"/>
      <c r="E3636" s="100"/>
      <c r="F3636" s="101"/>
      <c r="G3636" s="96">
        <f t="shared" si="225"/>
        <v>1858</v>
      </c>
      <c r="I3636" s="96"/>
      <c r="K3636" t="str">
        <f t="shared" si="226"/>
        <v>1858</v>
      </c>
      <c r="M3636" s="72"/>
      <c r="O3636" s="96">
        <f t="shared" si="227"/>
        <v>1858</v>
      </c>
      <c r="T3636" s="110"/>
    </row>
    <row r="3637" spans="3:20" x14ac:dyDescent="0.2">
      <c r="C3637" s="96" t="str">
        <f t="shared" si="224"/>
        <v>1859</v>
      </c>
      <c r="D3637" s="73"/>
      <c r="E3637" s="100"/>
      <c r="F3637" s="101"/>
      <c r="G3637" s="96">
        <f t="shared" si="225"/>
        <v>1859</v>
      </c>
      <c r="I3637" s="96"/>
      <c r="K3637" t="str">
        <f t="shared" si="226"/>
        <v>1859</v>
      </c>
      <c r="M3637" s="72"/>
      <c r="O3637" s="96">
        <f t="shared" si="227"/>
        <v>1859</v>
      </c>
      <c r="T3637" s="110"/>
    </row>
    <row r="3638" spans="3:20" x14ac:dyDescent="0.2">
      <c r="C3638" s="96" t="str">
        <f t="shared" si="224"/>
        <v>1860</v>
      </c>
      <c r="D3638" s="73"/>
      <c r="E3638" s="100"/>
      <c r="F3638" s="101"/>
      <c r="G3638" s="96">
        <f t="shared" si="225"/>
        <v>1860</v>
      </c>
      <c r="I3638" s="96"/>
      <c r="K3638" t="str">
        <f t="shared" si="226"/>
        <v>1860</v>
      </c>
      <c r="M3638" s="72"/>
      <c r="O3638" s="96">
        <f t="shared" si="227"/>
        <v>1860</v>
      </c>
      <c r="T3638" s="110"/>
    </row>
    <row r="3639" spans="3:20" x14ac:dyDescent="0.2">
      <c r="C3639" s="96" t="str">
        <f t="shared" si="224"/>
        <v>1861</v>
      </c>
      <c r="D3639" s="73"/>
      <c r="E3639" s="100"/>
      <c r="F3639" s="101"/>
      <c r="G3639" s="96">
        <f t="shared" si="225"/>
        <v>1861</v>
      </c>
      <c r="I3639" s="96"/>
      <c r="K3639" t="str">
        <f t="shared" si="226"/>
        <v>1861</v>
      </c>
      <c r="M3639" s="72"/>
      <c r="O3639" s="96">
        <f t="shared" si="227"/>
        <v>1861</v>
      </c>
      <c r="T3639" s="110"/>
    </row>
    <row r="3640" spans="3:20" x14ac:dyDescent="0.2">
      <c r="C3640" s="96" t="str">
        <f t="shared" si="224"/>
        <v>1862</v>
      </c>
      <c r="D3640" s="73"/>
      <c r="E3640" s="100"/>
      <c r="F3640" s="101"/>
      <c r="G3640" s="96">
        <f t="shared" si="225"/>
        <v>1862</v>
      </c>
      <c r="I3640" s="96"/>
      <c r="K3640" t="str">
        <f t="shared" si="226"/>
        <v>1862</v>
      </c>
      <c r="M3640" s="72"/>
      <c r="O3640" s="96">
        <f t="shared" si="227"/>
        <v>1862</v>
      </c>
      <c r="T3640" s="110"/>
    </row>
    <row r="3641" spans="3:20" x14ac:dyDescent="0.2">
      <c r="C3641" s="96" t="str">
        <f t="shared" si="224"/>
        <v>1863</v>
      </c>
      <c r="D3641" s="73"/>
      <c r="E3641" s="100"/>
      <c r="F3641" s="101"/>
      <c r="G3641" s="96">
        <f t="shared" si="225"/>
        <v>1863</v>
      </c>
      <c r="I3641" s="96"/>
      <c r="K3641" t="str">
        <f t="shared" si="226"/>
        <v>1863</v>
      </c>
      <c r="M3641" s="72"/>
      <c r="O3641" s="96">
        <f t="shared" si="227"/>
        <v>1863</v>
      </c>
      <c r="T3641" s="110"/>
    </row>
    <row r="3642" spans="3:20" x14ac:dyDescent="0.2">
      <c r="C3642" s="96" t="str">
        <f t="shared" si="224"/>
        <v>1864</v>
      </c>
      <c r="D3642" s="73"/>
      <c r="E3642" s="100"/>
      <c r="F3642" s="101"/>
      <c r="G3642" s="96">
        <f t="shared" si="225"/>
        <v>1864</v>
      </c>
      <c r="I3642" s="96"/>
      <c r="K3642" t="str">
        <f t="shared" si="226"/>
        <v>1864</v>
      </c>
      <c r="M3642" s="72"/>
      <c r="O3642" s="96">
        <f t="shared" si="227"/>
        <v>1864</v>
      </c>
      <c r="T3642" s="110"/>
    </row>
    <row r="3643" spans="3:20" x14ac:dyDescent="0.2">
      <c r="C3643" s="96" t="str">
        <f t="shared" si="224"/>
        <v>1865</v>
      </c>
      <c r="D3643" s="73"/>
      <c r="E3643" s="100"/>
      <c r="F3643" s="101"/>
      <c r="G3643" s="96">
        <f t="shared" si="225"/>
        <v>1865</v>
      </c>
      <c r="I3643" s="96"/>
      <c r="K3643" t="str">
        <f t="shared" si="226"/>
        <v>1865</v>
      </c>
      <c r="M3643" s="72"/>
      <c r="O3643" s="96">
        <f t="shared" si="227"/>
        <v>1865</v>
      </c>
      <c r="T3643" s="110"/>
    </row>
    <row r="3644" spans="3:20" x14ac:dyDescent="0.2">
      <c r="C3644" s="96" t="str">
        <f t="shared" si="224"/>
        <v>1866</v>
      </c>
      <c r="D3644" s="73"/>
      <c r="E3644" s="100"/>
      <c r="F3644" s="101"/>
      <c r="G3644" s="96">
        <f t="shared" si="225"/>
        <v>1866</v>
      </c>
      <c r="I3644" s="96"/>
      <c r="K3644" t="str">
        <f t="shared" si="226"/>
        <v>1866</v>
      </c>
      <c r="M3644" s="72"/>
      <c r="O3644" s="96">
        <f t="shared" si="227"/>
        <v>1866</v>
      </c>
      <c r="T3644" s="110"/>
    </row>
    <row r="3645" spans="3:20" x14ac:dyDescent="0.2">
      <c r="C3645" s="96" t="str">
        <f t="shared" si="224"/>
        <v>1867</v>
      </c>
      <c r="D3645" s="73"/>
      <c r="E3645" s="100"/>
      <c r="F3645" s="101"/>
      <c r="G3645" s="96">
        <f t="shared" si="225"/>
        <v>1867</v>
      </c>
      <c r="I3645" s="96"/>
      <c r="K3645" t="str">
        <f t="shared" si="226"/>
        <v>1867</v>
      </c>
      <c r="M3645" s="72"/>
      <c r="O3645" s="96">
        <f t="shared" si="227"/>
        <v>1867</v>
      </c>
      <c r="T3645" s="110"/>
    </row>
    <row r="3646" spans="3:20" x14ac:dyDescent="0.2">
      <c r="C3646" s="96" t="str">
        <f t="shared" si="224"/>
        <v>1868</v>
      </c>
      <c r="D3646" s="73"/>
      <c r="E3646" s="100"/>
      <c r="F3646" s="101"/>
      <c r="G3646" s="96">
        <f t="shared" si="225"/>
        <v>1868</v>
      </c>
      <c r="I3646" s="96"/>
      <c r="K3646" t="str">
        <f t="shared" si="226"/>
        <v>1868</v>
      </c>
      <c r="M3646" s="72"/>
      <c r="O3646" s="96">
        <f t="shared" si="227"/>
        <v>1868</v>
      </c>
      <c r="T3646" s="110"/>
    </row>
    <row r="3647" spans="3:20" x14ac:dyDescent="0.2">
      <c r="C3647" s="96" t="str">
        <f t="shared" si="224"/>
        <v>1869</v>
      </c>
      <c r="D3647" s="73"/>
      <c r="E3647" s="100"/>
      <c r="F3647" s="101"/>
      <c r="G3647" s="96">
        <f t="shared" si="225"/>
        <v>1869</v>
      </c>
      <c r="I3647" s="96"/>
      <c r="K3647" t="str">
        <f t="shared" si="226"/>
        <v>1869</v>
      </c>
      <c r="M3647" s="72"/>
      <c r="O3647" s="96">
        <f t="shared" si="227"/>
        <v>1869</v>
      </c>
      <c r="T3647" s="110"/>
    </row>
    <row r="3648" spans="3:20" x14ac:dyDescent="0.2">
      <c r="C3648" s="96" t="str">
        <f t="shared" si="224"/>
        <v>1870</v>
      </c>
      <c r="D3648" s="73"/>
      <c r="E3648" s="100"/>
      <c r="F3648" s="101"/>
      <c r="G3648" s="96">
        <f t="shared" si="225"/>
        <v>1870</v>
      </c>
      <c r="I3648" s="96"/>
      <c r="K3648" t="str">
        <f t="shared" si="226"/>
        <v>1870</v>
      </c>
      <c r="M3648" s="72"/>
      <c r="O3648" s="96">
        <f t="shared" si="227"/>
        <v>1870</v>
      </c>
      <c r="T3648" s="110"/>
    </row>
    <row r="3649" spans="3:20" x14ac:dyDescent="0.2">
      <c r="C3649" s="96" t="str">
        <f t="shared" si="224"/>
        <v>1871</v>
      </c>
      <c r="D3649" s="73"/>
      <c r="E3649" s="100"/>
      <c r="F3649" s="101"/>
      <c r="G3649" s="96">
        <f t="shared" si="225"/>
        <v>1871</v>
      </c>
      <c r="I3649" s="96"/>
      <c r="K3649" t="str">
        <f t="shared" si="226"/>
        <v>1871</v>
      </c>
      <c r="M3649" s="72"/>
      <c r="O3649" s="96">
        <f t="shared" si="227"/>
        <v>1871</v>
      </c>
      <c r="T3649" s="110"/>
    </row>
    <row r="3650" spans="3:20" x14ac:dyDescent="0.2">
      <c r="C3650" s="96" t="str">
        <f t="shared" si="224"/>
        <v>1872</v>
      </c>
      <c r="D3650" s="73"/>
      <c r="E3650" s="100"/>
      <c r="F3650" s="101"/>
      <c r="G3650" s="96">
        <f t="shared" si="225"/>
        <v>1872</v>
      </c>
      <c r="I3650" s="96"/>
      <c r="K3650" t="str">
        <f t="shared" si="226"/>
        <v>1872</v>
      </c>
      <c r="M3650" s="72"/>
      <c r="O3650" s="96">
        <f t="shared" si="227"/>
        <v>1872</v>
      </c>
      <c r="T3650" s="110"/>
    </row>
    <row r="3651" spans="3:20" x14ac:dyDescent="0.2">
      <c r="C3651" s="96" t="str">
        <f t="shared" ref="C3651:C3714" si="228">D3651&amp;G3651</f>
        <v>1873</v>
      </c>
      <c r="D3651" s="73"/>
      <c r="E3651" s="100"/>
      <c r="F3651" s="101"/>
      <c r="G3651" s="96">
        <f t="shared" ref="G3651:G3714" si="229">IF(D3651&lt;&gt;D3650,1,G3650+1)</f>
        <v>1873</v>
      </c>
      <c r="I3651" s="96"/>
      <c r="K3651" t="str">
        <f t="shared" ref="K3651:K3714" si="230">L3651&amp;O3651</f>
        <v>1873</v>
      </c>
      <c r="M3651" s="72"/>
      <c r="O3651" s="96">
        <f t="shared" ref="O3651:O3714" si="231">IF(L3651&lt;&gt;L3650,1,O3650+1)</f>
        <v>1873</v>
      </c>
      <c r="T3651" s="110"/>
    </row>
    <row r="3652" spans="3:20" x14ac:dyDescent="0.2">
      <c r="C3652" s="96" t="str">
        <f t="shared" si="228"/>
        <v>1874</v>
      </c>
      <c r="D3652" s="73"/>
      <c r="E3652" s="100"/>
      <c r="F3652" s="101"/>
      <c r="G3652" s="96">
        <f t="shared" si="229"/>
        <v>1874</v>
      </c>
      <c r="I3652" s="96"/>
      <c r="K3652" t="str">
        <f t="shared" si="230"/>
        <v>1874</v>
      </c>
      <c r="M3652" s="72"/>
      <c r="O3652" s="96">
        <f t="shared" si="231"/>
        <v>1874</v>
      </c>
      <c r="T3652" s="110"/>
    </row>
    <row r="3653" spans="3:20" x14ac:dyDescent="0.2">
      <c r="C3653" s="96" t="str">
        <f t="shared" si="228"/>
        <v>1875</v>
      </c>
      <c r="D3653" s="73"/>
      <c r="E3653" s="100"/>
      <c r="F3653" s="101"/>
      <c r="G3653" s="96">
        <f t="shared" si="229"/>
        <v>1875</v>
      </c>
      <c r="I3653" s="96"/>
      <c r="K3653" t="str">
        <f t="shared" si="230"/>
        <v>1875</v>
      </c>
      <c r="M3653" s="72"/>
      <c r="O3653" s="96">
        <f t="shared" si="231"/>
        <v>1875</v>
      </c>
      <c r="T3653" s="110"/>
    </row>
    <row r="3654" spans="3:20" x14ac:dyDescent="0.2">
      <c r="C3654" s="96" t="str">
        <f t="shared" si="228"/>
        <v>1876</v>
      </c>
      <c r="D3654" s="73"/>
      <c r="E3654" s="100"/>
      <c r="F3654" s="101"/>
      <c r="G3654" s="96">
        <f t="shared" si="229"/>
        <v>1876</v>
      </c>
      <c r="I3654" s="96"/>
      <c r="K3654" t="str">
        <f t="shared" si="230"/>
        <v>1876</v>
      </c>
      <c r="M3654" s="72"/>
      <c r="O3654" s="96">
        <f t="shared" si="231"/>
        <v>1876</v>
      </c>
      <c r="T3654" s="110"/>
    </row>
    <row r="3655" spans="3:20" x14ac:dyDescent="0.2">
      <c r="C3655" s="96" t="str">
        <f t="shared" si="228"/>
        <v>1877</v>
      </c>
      <c r="D3655" s="73"/>
      <c r="E3655" s="100"/>
      <c r="F3655" s="101"/>
      <c r="G3655" s="96">
        <f t="shared" si="229"/>
        <v>1877</v>
      </c>
      <c r="I3655" s="96"/>
      <c r="K3655" t="str">
        <f t="shared" si="230"/>
        <v>1877</v>
      </c>
      <c r="M3655" s="72"/>
      <c r="O3655" s="96">
        <f t="shared" si="231"/>
        <v>1877</v>
      </c>
      <c r="T3655" s="110"/>
    </row>
    <row r="3656" spans="3:20" x14ac:dyDescent="0.2">
      <c r="C3656" s="96" t="str">
        <f t="shared" si="228"/>
        <v>1878</v>
      </c>
      <c r="D3656" s="73"/>
      <c r="E3656" s="100"/>
      <c r="F3656" s="101"/>
      <c r="G3656" s="96">
        <f t="shared" si="229"/>
        <v>1878</v>
      </c>
      <c r="I3656" s="96"/>
      <c r="K3656" t="str">
        <f t="shared" si="230"/>
        <v>1878</v>
      </c>
      <c r="M3656" s="72"/>
      <c r="O3656" s="96">
        <f t="shared" si="231"/>
        <v>1878</v>
      </c>
      <c r="T3656" s="110"/>
    </row>
    <row r="3657" spans="3:20" x14ac:dyDescent="0.2">
      <c r="C3657" s="96" t="str">
        <f t="shared" si="228"/>
        <v>1879</v>
      </c>
      <c r="D3657" s="73"/>
      <c r="E3657" s="100"/>
      <c r="F3657" s="101"/>
      <c r="G3657" s="96">
        <f t="shared" si="229"/>
        <v>1879</v>
      </c>
      <c r="I3657" s="96"/>
      <c r="K3657" t="str">
        <f t="shared" si="230"/>
        <v>1879</v>
      </c>
      <c r="M3657" s="72"/>
      <c r="O3657" s="96">
        <f t="shared" si="231"/>
        <v>1879</v>
      </c>
      <c r="T3657" s="110"/>
    </row>
    <row r="3658" spans="3:20" x14ac:dyDescent="0.2">
      <c r="C3658" s="96" t="str">
        <f t="shared" si="228"/>
        <v>1880</v>
      </c>
      <c r="D3658" s="73"/>
      <c r="E3658" s="100"/>
      <c r="F3658" s="101"/>
      <c r="G3658" s="96">
        <f t="shared" si="229"/>
        <v>1880</v>
      </c>
      <c r="I3658" s="96"/>
      <c r="K3658" t="str">
        <f t="shared" si="230"/>
        <v>1880</v>
      </c>
      <c r="M3658" s="72"/>
      <c r="O3658" s="96">
        <f t="shared" si="231"/>
        <v>1880</v>
      </c>
      <c r="T3658" s="110"/>
    </row>
    <row r="3659" spans="3:20" x14ac:dyDescent="0.2">
      <c r="C3659" s="96" t="str">
        <f t="shared" si="228"/>
        <v>1881</v>
      </c>
      <c r="D3659" s="73"/>
      <c r="E3659" s="100"/>
      <c r="F3659" s="101"/>
      <c r="G3659" s="96">
        <f t="shared" si="229"/>
        <v>1881</v>
      </c>
      <c r="I3659" s="96"/>
      <c r="K3659" t="str">
        <f t="shared" si="230"/>
        <v>1881</v>
      </c>
      <c r="M3659" s="72"/>
      <c r="O3659" s="96">
        <f t="shared" si="231"/>
        <v>1881</v>
      </c>
      <c r="T3659" s="110"/>
    </row>
    <row r="3660" spans="3:20" x14ac:dyDescent="0.2">
      <c r="C3660" s="96" t="str">
        <f t="shared" si="228"/>
        <v>1882</v>
      </c>
      <c r="D3660" s="73"/>
      <c r="E3660" s="100"/>
      <c r="F3660" s="101"/>
      <c r="G3660" s="96">
        <f t="shared" si="229"/>
        <v>1882</v>
      </c>
      <c r="I3660" s="96"/>
      <c r="K3660" t="str">
        <f t="shared" si="230"/>
        <v>1882</v>
      </c>
      <c r="M3660" s="72"/>
      <c r="O3660" s="96">
        <f t="shared" si="231"/>
        <v>1882</v>
      </c>
      <c r="T3660" s="110"/>
    </row>
    <row r="3661" spans="3:20" x14ac:dyDescent="0.2">
      <c r="C3661" s="96" t="str">
        <f t="shared" si="228"/>
        <v>1883</v>
      </c>
      <c r="D3661" s="73"/>
      <c r="E3661" s="100"/>
      <c r="F3661" s="101"/>
      <c r="G3661" s="96">
        <f t="shared" si="229"/>
        <v>1883</v>
      </c>
      <c r="I3661" s="96"/>
      <c r="K3661" t="str">
        <f t="shared" si="230"/>
        <v>1883</v>
      </c>
      <c r="M3661" s="72"/>
      <c r="O3661" s="96">
        <f t="shared" si="231"/>
        <v>1883</v>
      </c>
      <c r="T3661" s="110"/>
    </row>
    <row r="3662" spans="3:20" x14ac:dyDescent="0.2">
      <c r="C3662" s="96" t="str">
        <f t="shared" si="228"/>
        <v>1884</v>
      </c>
      <c r="D3662" s="73"/>
      <c r="E3662" s="100"/>
      <c r="F3662" s="101"/>
      <c r="G3662" s="96">
        <f t="shared" si="229"/>
        <v>1884</v>
      </c>
      <c r="I3662" s="96"/>
      <c r="K3662" t="str">
        <f t="shared" si="230"/>
        <v>1884</v>
      </c>
      <c r="M3662" s="72"/>
      <c r="O3662" s="96">
        <f t="shared" si="231"/>
        <v>1884</v>
      </c>
      <c r="T3662" s="110"/>
    </row>
    <row r="3663" spans="3:20" x14ac:dyDescent="0.2">
      <c r="C3663" s="96" t="str">
        <f t="shared" si="228"/>
        <v>1885</v>
      </c>
      <c r="D3663" s="73"/>
      <c r="E3663" s="100"/>
      <c r="F3663" s="101"/>
      <c r="G3663" s="96">
        <f t="shared" si="229"/>
        <v>1885</v>
      </c>
      <c r="I3663" s="96"/>
      <c r="K3663" t="str">
        <f t="shared" si="230"/>
        <v>1885</v>
      </c>
      <c r="M3663" s="72"/>
      <c r="O3663" s="96">
        <f t="shared" si="231"/>
        <v>1885</v>
      </c>
      <c r="T3663" s="110"/>
    </row>
    <row r="3664" spans="3:20" x14ac:dyDescent="0.2">
      <c r="C3664" s="96" t="str">
        <f t="shared" si="228"/>
        <v>1886</v>
      </c>
      <c r="D3664" s="73"/>
      <c r="E3664" s="100"/>
      <c r="F3664" s="101"/>
      <c r="G3664" s="96">
        <f t="shared" si="229"/>
        <v>1886</v>
      </c>
      <c r="I3664" s="96"/>
      <c r="K3664" t="str">
        <f t="shared" si="230"/>
        <v>1886</v>
      </c>
      <c r="M3664" s="72"/>
      <c r="O3664" s="96">
        <f t="shared" si="231"/>
        <v>1886</v>
      </c>
      <c r="T3664" s="110"/>
    </row>
    <row r="3665" spans="3:20" x14ac:dyDescent="0.2">
      <c r="C3665" s="96" t="str">
        <f t="shared" si="228"/>
        <v>1887</v>
      </c>
      <c r="D3665" s="73"/>
      <c r="E3665" s="100"/>
      <c r="F3665" s="101"/>
      <c r="G3665" s="96">
        <f t="shared" si="229"/>
        <v>1887</v>
      </c>
      <c r="I3665" s="96"/>
      <c r="K3665" t="str">
        <f t="shared" si="230"/>
        <v>1887</v>
      </c>
      <c r="M3665" s="72"/>
      <c r="O3665" s="96">
        <f t="shared" si="231"/>
        <v>1887</v>
      </c>
      <c r="T3665" s="110"/>
    </row>
    <row r="3666" spans="3:20" x14ac:dyDescent="0.2">
      <c r="C3666" s="96" t="str">
        <f t="shared" si="228"/>
        <v>1888</v>
      </c>
      <c r="D3666" s="73"/>
      <c r="E3666" s="100"/>
      <c r="F3666" s="101"/>
      <c r="G3666" s="96">
        <f t="shared" si="229"/>
        <v>1888</v>
      </c>
      <c r="I3666" s="96"/>
      <c r="K3666" t="str">
        <f t="shared" si="230"/>
        <v>1888</v>
      </c>
      <c r="M3666" s="72"/>
      <c r="O3666" s="96">
        <f t="shared" si="231"/>
        <v>1888</v>
      </c>
      <c r="T3666" s="110"/>
    </row>
    <row r="3667" spans="3:20" x14ac:dyDescent="0.2">
      <c r="C3667" s="96" t="str">
        <f t="shared" si="228"/>
        <v>1889</v>
      </c>
      <c r="D3667" s="73"/>
      <c r="E3667" s="100"/>
      <c r="F3667" s="101"/>
      <c r="G3667" s="96">
        <f t="shared" si="229"/>
        <v>1889</v>
      </c>
      <c r="I3667" s="96"/>
      <c r="K3667" t="str">
        <f t="shared" si="230"/>
        <v>1889</v>
      </c>
      <c r="M3667" s="72"/>
      <c r="O3667" s="96">
        <f t="shared" si="231"/>
        <v>1889</v>
      </c>
      <c r="T3667" s="110"/>
    </row>
    <row r="3668" spans="3:20" x14ac:dyDescent="0.2">
      <c r="C3668" s="96" t="str">
        <f t="shared" si="228"/>
        <v>1890</v>
      </c>
      <c r="D3668" s="73"/>
      <c r="E3668" s="100"/>
      <c r="F3668" s="101"/>
      <c r="G3668" s="96">
        <f t="shared" si="229"/>
        <v>1890</v>
      </c>
      <c r="I3668" s="96"/>
      <c r="K3668" t="str">
        <f t="shared" si="230"/>
        <v>1890</v>
      </c>
      <c r="M3668" s="72"/>
      <c r="O3668" s="96">
        <f t="shared" si="231"/>
        <v>1890</v>
      </c>
      <c r="T3668" s="110"/>
    </row>
    <row r="3669" spans="3:20" x14ac:dyDescent="0.2">
      <c r="C3669" s="96" t="str">
        <f t="shared" si="228"/>
        <v>1891</v>
      </c>
      <c r="D3669" s="73"/>
      <c r="E3669" s="100"/>
      <c r="F3669" s="101"/>
      <c r="G3669" s="96">
        <f t="shared" si="229"/>
        <v>1891</v>
      </c>
      <c r="I3669" s="96"/>
      <c r="K3669" t="str">
        <f t="shared" si="230"/>
        <v>1891</v>
      </c>
      <c r="M3669" s="72"/>
      <c r="O3669" s="96">
        <f t="shared" si="231"/>
        <v>1891</v>
      </c>
      <c r="T3669" s="110"/>
    </row>
    <row r="3670" spans="3:20" x14ac:dyDescent="0.2">
      <c r="C3670" s="96" t="str">
        <f t="shared" si="228"/>
        <v>1892</v>
      </c>
      <c r="D3670" s="73"/>
      <c r="E3670" s="100"/>
      <c r="F3670" s="101"/>
      <c r="G3670" s="96">
        <f t="shared" si="229"/>
        <v>1892</v>
      </c>
      <c r="I3670" s="96"/>
      <c r="K3670" t="str">
        <f t="shared" si="230"/>
        <v>1892</v>
      </c>
      <c r="M3670" s="72"/>
      <c r="O3670" s="96">
        <f t="shared" si="231"/>
        <v>1892</v>
      </c>
      <c r="T3670" s="110"/>
    </row>
    <row r="3671" spans="3:20" x14ac:dyDescent="0.2">
      <c r="C3671" s="96" t="str">
        <f t="shared" si="228"/>
        <v>1893</v>
      </c>
      <c r="D3671" s="73"/>
      <c r="E3671" s="100"/>
      <c r="F3671" s="101"/>
      <c r="G3671" s="96">
        <f t="shared" si="229"/>
        <v>1893</v>
      </c>
      <c r="I3671" s="96"/>
      <c r="K3671" t="str">
        <f t="shared" si="230"/>
        <v>1893</v>
      </c>
      <c r="M3671" s="72"/>
      <c r="O3671" s="96">
        <f t="shared" si="231"/>
        <v>1893</v>
      </c>
      <c r="T3671" s="110"/>
    </row>
    <row r="3672" spans="3:20" x14ac:dyDescent="0.2">
      <c r="C3672" s="96" t="str">
        <f t="shared" si="228"/>
        <v>1894</v>
      </c>
      <c r="D3672" s="73"/>
      <c r="E3672" s="100"/>
      <c r="F3672" s="101"/>
      <c r="G3672" s="96">
        <f t="shared" si="229"/>
        <v>1894</v>
      </c>
      <c r="I3672" s="96"/>
      <c r="K3672" t="str">
        <f t="shared" si="230"/>
        <v>1894</v>
      </c>
      <c r="M3672" s="72"/>
      <c r="O3672" s="96">
        <f t="shared" si="231"/>
        <v>1894</v>
      </c>
      <c r="T3672" s="110"/>
    </row>
    <row r="3673" spans="3:20" x14ac:dyDescent="0.2">
      <c r="C3673" s="96" t="str">
        <f t="shared" si="228"/>
        <v>1895</v>
      </c>
      <c r="D3673" s="73"/>
      <c r="E3673" s="100"/>
      <c r="F3673" s="101"/>
      <c r="G3673" s="96">
        <f t="shared" si="229"/>
        <v>1895</v>
      </c>
      <c r="I3673" s="96"/>
      <c r="K3673" t="str">
        <f t="shared" si="230"/>
        <v>1895</v>
      </c>
      <c r="M3673" s="72"/>
      <c r="O3673" s="96">
        <f t="shared" si="231"/>
        <v>1895</v>
      </c>
      <c r="T3673" s="110"/>
    </row>
    <row r="3674" spans="3:20" x14ac:dyDescent="0.2">
      <c r="C3674" s="96" t="str">
        <f t="shared" si="228"/>
        <v>1896</v>
      </c>
      <c r="D3674" s="73"/>
      <c r="E3674" s="100"/>
      <c r="F3674" s="101"/>
      <c r="G3674" s="96">
        <f t="shared" si="229"/>
        <v>1896</v>
      </c>
      <c r="I3674" s="96"/>
      <c r="K3674" t="str">
        <f t="shared" si="230"/>
        <v>1896</v>
      </c>
      <c r="M3674" s="72"/>
      <c r="O3674" s="96">
        <f t="shared" si="231"/>
        <v>1896</v>
      </c>
      <c r="T3674" s="110"/>
    </row>
    <row r="3675" spans="3:20" x14ac:dyDescent="0.2">
      <c r="C3675" s="96" t="str">
        <f t="shared" si="228"/>
        <v>1897</v>
      </c>
      <c r="D3675" s="73"/>
      <c r="E3675" s="100"/>
      <c r="F3675" s="101"/>
      <c r="G3675" s="96">
        <f t="shared" si="229"/>
        <v>1897</v>
      </c>
      <c r="I3675" s="96"/>
      <c r="K3675" t="str">
        <f t="shared" si="230"/>
        <v>1897</v>
      </c>
      <c r="M3675" s="72"/>
      <c r="O3675" s="96">
        <f t="shared" si="231"/>
        <v>1897</v>
      </c>
      <c r="T3675" s="110"/>
    </row>
    <row r="3676" spans="3:20" x14ac:dyDescent="0.2">
      <c r="C3676" s="96" t="str">
        <f t="shared" si="228"/>
        <v>1898</v>
      </c>
      <c r="D3676" s="73"/>
      <c r="E3676" s="100"/>
      <c r="F3676" s="101"/>
      <c r="G3676" s="96">
        <f t="shared" si="229"/>
        <v>1898</v>
      </c>
      <c r="I3676" s="96"/>
      <c r="K3676" t="str">
        <f t="shared" si="230"/>
        <v>1898</v>
      </c>
      <c r="M3676" s="72"/>
      <c r="O3676" s="96">
        <f t="shared" si="231"/>
        <v>1898</v>
      </c>
      <c r="T3676" s="110"/>
    </row>
    <row r="3677" spans="3:20" x14ac:dyDescent="0.2">
      <c r="C3677" s="96" t="str">
        <f t="shared" si="228"/>
        <v>1899</v>
      </c>
      <c r="D3677" s="73"/>
      <c r="E3677" s="100"/>
      <c r="F3677" s="101"/>
      <c r="G3677" s="96">
        <f t="shared" si="229"/>
        <v>1899</v>
      </c>
      <c r="I3677" s="96"/>
      <c r="K3677" t="str">
        <f t="shared" si="230"/>
        <v>1899</v>
      </c>
      <c r="M3677" s="72"/>
      <c r="O3677" s="96">
        <f t="shared" si="231"/>
        <v>1899</v>
      </c>
      <c r="T3677" s="110"/>
    </row>
    <row r="3678" spans="3:20" x14ac:dyDescent="0.2">
      <c r="C3678" s="96" t="str">
        <f t="shared" si="228"/>
        <v>1900</v>
      </c>
      <c r="D3678" s="73"/>
      <c r="E3678" s="100"/>
      <c r="F3678" s="101"/>
      <c r="G3678" s="96">
        <f t="shared" si="229"/>
        <v>1900</v>
      </c>
      <c r="I3678" s="96"/>
      <c r="K3678" t="str">
        <f t="shared" si="230"/>
        <v>1900</v>
      </c>
      <c r="M3678" s="72"/>
      <c r="O3678" s="96">
        <f t="shared" si="231"/>
        <v>1900</v>
      </c>
      <c r="T3678" s="110"/>
    </row>
    <row r="3679" spans="3:20" x14ac:dyDescent="0.2">
      <c r="C3679" s="96" t="str">
        <f t="shared" si="228"/>
        <v>1901</v>
      </c>
      <c r="D3679" s="73"/>
      <c r="E3679" s="100"/>
      <c r="F3679" s="101"/>
      <c r="G3679" s="96">
        <f t="shared" si="229"/>
        <v>1901</v>
      </c>
      <c r="I3679" s="96"/>
      <c r="K3679" t="str">
        <f t="shared" si="230"/>
        <v>1901</v>
      </c>
      <c r="M3679" s="72"/>
      <c r="O3679" s="96">
        <f t="shared" si="231"/>
        <v>1901</v>
      </c>
      <c r="T3679" s="110"/>
    </row>
    <row r="3680" spans="3:20" x14ac:dyDescent="0.2">
      <c r="C3680" s="96" t="str">
        <f t="shared" si="228"/>
        <v>1902</v>
      </c>
      <c r="D3680" s="73"/>
      <c r="E3680" s="100"/>
      <c r="F3680" s="101"/>
      <c r="G3680" s="96">
        <f t="shared" si="229"/>
        <v>1902</v>
      </c>
      <c r="I3680" s="96"/>
      <c r="K3680" t="str">
        <f t="shared" si="230"/>
        <v>1902</v>
      </c>
      <c r="M3680" s="72"/>
      <c r="O3680" s="96">
        <f t="shared" si="231"/>
        <v>1902</v>
      </c>
      <c r="T3680" s="110"/>
    </row>
    <row r="3681" spans="3:20" x14ac:dyDescent="0.2">
      <c r="C3681" s="96" t="str">
        <f t="shared" si="228"/>
        <v>1903</v>
      </c>
      <c r="D3681" s="73"/>
      <c r="E3681" s="100"/>
      <c r="F3681" s="101"/>
      <c r="G3681" s="96">
        <f t="shared" si="229"/>
        <v>1903</v>
      </c>
      <c r="I3681" s="96"/>
      <c r="K3681" t="str">
        <f t="shared" si="230"/>
        <v>1903</v>
      </c>
      <c r="M3681" s="72"/>
      <c r="O3681" s="96">
        <f t="shared" si="231"/>
        <v>1903</v>
      </c>
      <c r="T3681" s="110"/>
    </row>
    <row r="3682" spans="3:20" x14ac:dyDescent="0.2">
      <c r="C3682" s="96" t="str">
        <f t="shared" si="228"/>
        <v>1904</v>
      </c>
      <c r="D3682" s="73"/>
      <c r="E3682" s="100"/>
      <c r="F3682" s="101"/>
      <c r="G3682" s="96">
        <f t="shared" si="229"/>
        <v>1904</v>
      </c>
      <c r="I3682" s="96"/>
      <c r="K3682" t="str">
        <f t="shared" si="230"/>
        <v>1904</v>
      </c>
      <c r="M3682" s="72"/>
      <c r="O3682" s="96">
        <f t="shared" si="231"/>
        <v>1904</v>
      </c>
      <c r="T3682" s="110"/>
    </row>
    <row r="3683" spans="3:20" x14ac:dyDescent="0.2">
      <c r="C3683" s="96" t="str">
        <f t="shared" si="228"/>
        <v>1905</v>
      </c>
      <c r="D3683" s="73"/>
      <c r="E3683" s="100"/>
      <c r="F3683" s="101"/>
      <c r="G3683" s="96">
        <f t="shared" si="229"/>
        <v>1905</v>
      </c>
      <c r="I3683" s="96"/>
      <c r="K3683" t="str">
        <f t="shared" si="230"/>
        <v>1905</v>
      </c>
      <c r="M3683" s="72"/>
      <c r="O3683" s="96">
        <f t="shared" si="231"/>
        <v>1905</v>
      </c>
      <c r="T3683" s="110"/>
    </row>
    <row r="3684" spans="3:20" x14ac:dyDescent="0.2">
      <c r="C3684" s="96" t="str">
        <f t="shared" si="228"/>
        <v>1906</v>
      </c>
      <c r="D3684" s="73"/>
      <c r="E3684" s="100"/>
      <c r="F3684" s="101"/>
      <c r="G3684" s="96">
        <f t="shared" si="229"/>
        <v>1906</v>
      </c>
      <c r="I3684" s="96"/>
      <c r="K3684" t="str">
        <f t="shared" si="230"/>
        <v>1906</v>
      </c>
      <c r="M3684" s="72"/>
      <c r="O3684" s="96">
        <f t="shared" si="231"/>
        <v>1906</v>
      </c>
      <c r="T3684" s="110"/>
    </row>
    <row r="3685" spans="3:20" x14ac:dyDescent="0.2">
      <c r="C3685" s="96" t="str">
        <f t="shared" si="228"/>
        <v>1907</v>
      </c>
      <c r="D3685" s="73"/>
      <c r="E3685" s="100"/>
      <c r="F3685" s="101"/>
      <c r="G3685" s="96">
        <f t="shared" si="229"/>
        <v>1907</v>
      </c>
      <c r="I3685" s="96"/>
      <c r="K3685" t="str">
        <f t="shared" si="230"/>
        <v>1907</v>
      </c>
      <c r="M3685" s="72"/>
      <c r="O3685" s="96">
        <f t="shared" si="231"/>
        <v>1907</v>
      </c>
      <c r="T3685" s="110"/>
    </row>
    <row r="3686" spans="3:20" x14ac:dyDescent="0.2">
      <c r="C3686" s="96" t="str">
        <f t="shared" si="228"/>
        <v>1908</v>
      </c>
      <c r="D3686" s="73"/>
      <c r="E3686" s="100"/>
      <c r="F3686" s="101"/>
      <c r="G3686" s="96">
        <f t="shared" si="229"/>
        <v>1908</v>
      </c>
      <c r="I3686" s="96"/>
      <c r="K3686" t="str">
        <f t="shared" si="230"/>
        <v>1908</v>
      </c>
      <c r="M3686" s="72"/>
      <c r="O3686" s="96">
        <f t="shared" si="231"/>
        <v>1908</v>
      </c>
      <c r="T3686" s="110"/>
    </row>
    <row r="3687" spans="3:20" x14ac:dyDescent="0.2">
      <c r="C3687" s="96" t="str">
        <f t="shared" si="228"/>
        <v>1909</v>
      </c>
      <c r="D3687" s="73"/>
      <c r="E3687" s="100"/>
      <c r="F3687" s="101"/>
      <c r="G3687" s="96">
        <f t="shared" si="229"/>
        <v>1909</v>
      </c>
      <c r="I3687" s="96"/>
      <c r="K3687" t="str">
        <f t="shared" si="230"/>
        <v>1909</v>
      </c>
      <c r="M3687" s="72"/>
      <c r="O3687" s="96">
        <f t="shared" si="231"/>
        <v>1909</v>
      </c>
      <c r="T3687" s="110"/>
    </row>
    <row r="3688" spans="3:20" x14ac:dyDescent="0.2">
      <c r="C3688" s="96" t="str">
        <f t="shared" si="228"/>
        <v>1910</v>
      </c>
      <c r="D3688" s="73"/>
      <c r="E3688" s="100"/>
      <c r="F3688" s="101"/>
      <c r="G3688" s="96">
        <f t="shared" si="229"/>
        <v>1910</v>
      </c>
      <c r="I3688" s="96"/>
      <c r="K3688" t="str">
        <f t="shared" si="230"/>
        <v>1910</v>
      </c>
      <c r="M3688" s="72"/>
      <c r="O3688" s="96">
        <f t="shared" si="231"/>
        <v>1910</v>
      </c>
      <c r="T3688" s="110"/>
    </row>
    <row r="3689" spans="3:20" x14ac:dyDescent="0.2">
      <c r="C3689" s="96" t="str">
        <f t="shared" si="228"/>
        <v>1911</v>
      </c>
      <c r="D3689" s="73"/>
      <c r="E3689" s="100"/>
      <c r="F3689" s="101"/>
      <c r="G3689" s="96">
        <f t="shared" si="229"/>
        <v>1911</v>
      </c>
      <c r="I3689" s="96"/>
      <c r="K3689" t="str">
        <f t="shared" si="230"/>
        <v>1911</v>
      </c>
      <c r="M3689" s="72"/>
      <c r="O3689" s="96">
        <f t="shared" si="231"/>
        <v>1911</v>
      </c>
      <c r="T3689" s="110"/>
    </row>
    <row r="3690" spans="3:20" x14ac:dyDescent="0.2">
      <c r="C3690" s="96" t="str">
        <f t="shared" si="228"/>
        <v>1912</v>
      </c>
      <c r="D3690" s="73"/>
      <c r="E3690" s="100"/>
      <c r="F3690" s="101"/>
      <c r="G3690" s="96">
        <f t="shared" si="229"/>
        <v>1912</v>
      </c>
      <c r="I3690" s="96"/>
      <c r="K3690" t="str">
        <f t="shared" si="230"/>
        <v>1912</v>
      </c>
      <c r="M3690" s="72"/>
      <c r="O3690" s="96">
        <f t="shared" si="231"/>
        <v>1912</v>
      </c>
      <c r="T3690" s="110"/>
    </row>
    <row r="3691" spans="3:20" x14ac:dyDescent="0.2">
      <c r="C3691" s="96" t="str">
        <f t="shared" si="228"/>
        <v>1913</v>
      </c>
      <c r="D3691" s="73"/>
      <c r="E3691" s="100"/>
      <c r="F3691" s="101"/>
      <c r="G3691" s="96">
        <f t="shared" si="229"/>
        <v>1913</v>
      </c>
      <c r="I3691" s="96"/>
      <c r="K3691" t="str">
        <f t="shared" si="230"/>
        <v>1913</v>
      </c>
      <c r="M3691" s="72"/>
      <c r="O3691" s="96">
        <f t="shared" si="231"/>
        <v>1913</v>
      </c>
      <c r="T3691" s="110"/>
    </row>
    <row r="3692" spans="3:20" x14ac:dyDescent="0.2">
      <c r="C3692" s="96" t="str">
        <f t="shared" si="228"/>
        <v>1914</v>
      </c>
      <c r="D3692" s="73"/>
      <c r="E3692" s="100"/>
      <c r="F3692" s="101"/>
      <c r="G3692" s="96">
        <f t="shared" si="229"/>
        <v>1914</v>
      </c>
      <c r="I3692" s="96"/>
      <c r="K3692" t="str">
        <f t="shared" si="230"/>
        <v>1914</v>
      </c>
      <c r="M3692" s="72"/>
      <c r="O3692" s="96">
        <f t="shared" si="231"/>
        <v>1914</v>
      </c>
      <c r="T3692" s="110"/>
    </row>
    <row r="3693" spans="3:20" x14ac:dyDescent="0.2">
      <c r="C3693" s="96" t="str">
        <f t="shared" si="228"/>
        <v>1915</v>
      </c>
      <c r="D3693" s="73"/>
      <c r="E3693" s="100"/>
      <c r="F3693" s="101"/>
      <c r="G3693" s="96">
        <f t="shared" si="229"/>
        <v>1915</v>
      </c>
      <c r="I3693" s="96"/>
      <c r="K3693" t="str">
        <f t="shared" si="230"/>
        <v>1915</v>
      </c>
      <c r="M3693" s="72"/>
      <c r="O3693" s="96">
        <f t="shared" si="231"/>
        <v>1915</v>
      </c>
      <c r="T3693" s="110"/>
    </row>
    <row r="3694" spans="3:20" x14ac:dyDescent="0.2">
      <c r="C3694" s="96" t="str">
        <f t="shared" si="228"/>
        <v>1916</v>
      </c>
      <c r="D3694" s="73"/>
      <c r="E3694" s="100"/>
      <c r="F3694" s="101"/>
      <c r="G3694" s="96">
        <f t="shared" si="229"/>
        <v>1916</v>
      </c>
      <c r="I3694" s="96"/>
      <c r="K3694" t="str">
        <f t="shared" si="230"/>
        <v>1916</v>
      </c>
      <c r="M3694" s="72"/>
      <c r="O3694" s="96">
        <f t="shared" si="231"/>
        <v>1916</v>
      </c>
      <c r="T3694" s="110"/>
    </row>
    <row r="3695" spans="3:20" x14ac:dyDescent="0.2">
      <c r="C3695" s="96" t="str">
        <f t="shared" si="228"/>
        <v>1917</v>
      </c>
      <c r="D3695" s="73"/>
      <c r="E3695" s="100"/>
      <c r="F3695" s="101"/>
      <c r="G3695" s="96">
        <f t="shared" si="229"/>
        <v>1917</v>
      </c>
      <c r="I3695" s="96"/>
      <c r="K3695" t="str">
        <f t="shared" si="230"/>
        <v>1917</v>
      </c>
      <c r="M3695" s="72"/>
      <c r="O3695" s="96">
        <f t="shared" si="231"/>
        <v>1917</v>
      </c>
      <c r="T3695" s="83"/>
    </row>
    <row r="3696" spans="3:20" x14ac:dyDescent="0.2">
      <c r="C3696" s="96" t="str">
        <f t="shared" si="228"/>
        <v>1918</v>
      </c>
      <c r="D3696" s="73"/>
      <c r="E3696" s="100"/>
      <c r="F3696" s="101"/>
      <c r="G3696" s="96">
        <f t="shared" si="229"/>
        <v>1918</v>
      </c>
      <c r="I3696" s="96"/>
      <c r="K3696" t="str">
        <f t="shared" si="230"/>
        <v>1918</v>
      </c>
      <c r="M3696" s="72"/>
      <c r="O3696" s="96">
        <f t="shared" si="231"/>
        <v>1918</v>
      </c>
    </row>
    <row r="3697" spans="3:20" x14ac:dyDescent="0.2">
      <c r="C3697" s="96" t="str">
        <f t="shared" si="228"/>
        <v>1919</v>
      </c>
      <c r="D3697" s="73"/>
      <c r="E3697" s="100"/>
      <c r="F3697" s="101"/>
      <c r="G3697" s="96">
        <f t="shared" si="229"/>
        <v>1919</v>
      </c>
      <c r="I3697" s="96"/>
      <c r="K3697" t="str">
        <f t="shared" si="230"/>
        <v>1919</v>
      </c>
      <c r="M3697" s="72"/>
      <c r="O3697" s="96">
        <f t="shared" si="231"/>
        <v>1919</v>
      </c>
      <c r="T3697" s="83"/>
    </row>
    <row r="3698" spans="3:20" x14ac:dyDescent="0.2">
      <c r="C3698" s="96" t="str">
        <f t="shared" si="228"/>
        <v>1920</v>
      </c>
      <c r="D3698" s="73"/>
      <c r="E3698" s="100"/>
      <c r="F3698" s="101"/>
      <c r="G3698" s="96">
        <f t="shared" si="229"/>
        <v>1920</v>
      </c>
      <c r="I3698" s="96"/>
      <c r="K3698" t="str">
        <f t="shared" si="230"/>
        <v>1920</v>
      </c>
      <c r="M3698" s="72"/>
      <c r="O3698" s="96">
        <f t="shared" si="231"/>
        <v>1920</v>
      </c>
      <c r="T3698" s="83"/>
    </row>
    <row r="3699" spans="3:20" x14ac:dyDescent="0.2">
      <c r="C3699" s="96" t="str">
        <f t="shared" si="228"/>
        <v>1921</v>
      </c>
      <c r="D3699" s="73"/>
      <c r="E3699" s="100"/>
      <c r="F3699" s="101"/>
      <c r="G3699" s="96">
        <f t="shared" si="229"/>
        <v>1921</v>
      </c>
      <c r="I3699" s="96"/>
      <c r="K3699" t="str">
        <f t="shared" si="230"/>
        <v>1921</v>
      </c>
      <c r="M3699" s="72"/>
      <c r="O3699" s="96">
        <f t="shared" si="231"/>
        <v>1921</v>
      </c>
      <c r="T3699" s="83"/>
    </row>
    <row r="3700" spans="3:20" x14ac:dyDescent="0.2">
      <c r="C3700" s="96" t="str">
        <f t="shared" si="228"/>
        <v>1922</v>
      </c>
      <c r="D3700" s="73"/>
      <c r="E3700" s="100"/>
      <c r="F3700" s="101"/>
      <c r="G3700" s="96">
        <f t="shared" si="229"/>
        <v>1922</v>
      </c>
      <c r="I3700" s="96"/>
      <c r="K3700" t="str">
        <f t="shared" si="230"/>
        <v>1922</v>
      </c>
      <c r="M3700" s="72"/>
      <c r="O3700" s="96">
        <f t="shared" si="231"/>
        <v>1922</v>
      </c>
      <c r="T3700" s="83"/>
    </row>
    <row r="3701" spans="3:20" x14ac:dyDescent="0.2">
      <c r="C3701" s="96" t="str">
        <f t="shared" si="228"/>
        <v>1923</v>
      </c>
      <c r="D3701" s="73"/>
      <c r="E3701" s="100"/>
      <c r="F3701" s="101"/>
      <c r="G3701" s="96">
        <f t="shared" si="229"/>
        <v>1923</v>
      </c>
      <c r="I3701" s="96"/>
      <c r="K3701" t="str">
        <f t="shared" si="230"/>
        <v>1923</v>
      </c>
      <c r="M3701" s="72"/>
      <c r="O3701" s="96">
        <f t="shared" si="231"/>
        <v>1923</v>
      </c>
      <c r="T3701" s="110"/>
    </row>
    <row r="3702" spans="3:20" x14ac:dyDescent="0.2">
      <c r="C3702" s="96" t="str">
        <f t="shared" si="228"/>
        <v>1924</v>
      </c>
      <c r="D3702" s="73"/>
      <c r="E3702" s="100"/>
      <c r="F3702" s="101"/>
      <c r="G3702" s="96">
        <f t="shared" si="229"/>
        <v>1924</v>
      </c>
      <c r="I3702" s="96"/>
      <c r="K3702" t="str">
        <f t="shared" si="230"/>
        <v>1924</v>
      </c>
      <c r="M3702" s="72"/>
      <c r="O3702" s="96">
        <f t="shared" si="231"/>
        <v>1924</v>
      </c>
      <c r="T3702" s="110"/>
    </row>
    <row r="3703" spans="3:20" x14ac:dyDescent="0.2">
      <c r="C3703" s="96" t="str">
        <f t="shared" si="228"/>
        <v>1925</v>
      </c>
      <c r="D3703" s="73"/>
      <c r="E3703" s="100"/>
      <c r="F3703" s="101"/>
      <c r="G3703" s="96">
        <f t="shared" si="229"/>
        <v>1925</v>
      </c>
      <c r="I3703" s="96"/>
      <c r="K3703" t="str">
        <f t="shared" si="230"/>
        <v>1925</v>
      </c>
      <c r="M3703" s="72"/>
      <c r="O3703" s="96">
        <f t="shared" si="231"/>
        <v>1925</v>
      </c>
      <c r="T3703" s="110"/>
    </row>
    <row r="3704" spans="3:20" x14ac:dyDescent="0.2">
      <c r="C3704" s="96" t="str">
        <f t="shared" si="228"/>
        <v>1926</v>
      </c>
      <c r="D3704" s="73"/>
      <c r="E3704" s="100"/>
      <c r="F3704" s="101"/>
      <c r="G3704" s="96">
        <f t="shared" si="229"/>
        <v>1926</v>
      </c>
      <c r="I3704" s="96"/>
      <c r="K3704" t="str">
        <f t="shared" si="230"/>
        <v>1926</v>
      </c>
      <c r="M3704" s="72"/>
      <c r="O3704" s="96">
        <f t="shared" si="231"/>
        <v>1926</v>
      </c>
      <c r="T3704" s="110"/>
    </row>
    <row r="3705" spans="3:20" x14ac:dyDescent="0.2">
      <c r="C3705" s="96" t="str">
        <f t="shared" si="228"/>
        <v>1927</v>
      </c>
      <c r="D3705" s="73"/>
      <c r="E3705" s="100"/>
      <c r="F3705" s="101"/>
      <c r="G3705" s="96">
        <f t="shared" si="229"/>
        <v>1927</v>
      </c>
      <c r="I3705" s="96"/>
      <c r="K3705" t="str">
        <f t="shared" si="230"/>
        <v>1927</v>
      </c>
      <c r="M3705" s="72"/>
      <c r="O3705" s="96">
        <f t="shared" si="231"/>
        <v>1927</v>
      </c>
      <c r="T3705" s="110"/>
    </row>
    <row r="3706" spans="3:20" x14ac:dyDescent="0.2">
      <c r="C3706" s="96" t="str">
        <f t="shared" si="228"/>
        <v>1928</v>
      </c>
      <c r="D3706" s="73"/>
      <c r="E3706" s="100"/>
      <c r="F3706" s="101"/>
      <c r="G3706" s="96">
        <f t="shared" si="229"/>
        <v>1928</v>
      </c>
      <c r="I3706" s="96"/>
      <c r="K3706" t="str">
        <f t="shared" si="230"/>
        <v>1928</v>
      </c>
      <c r="M3706" s="72"/>
      <c r="O3706" s="96">
        <f t="shared" si="231"/>
        <v>1928</v>
      </c>
      <c r="T3706" s="110"/>
    </row>
    <row r="3707" spans="3:20" x14ac:dyDescent="0.2">
      <c r="C3707" s="96" t="str">
        <f t="shared" si="228"/>
        <v>1929</v>
      </c>
      <c r="D3707" s="73"/>
      <c r="E3707" s="100"/>
      <c r="F3707" s="101"/>
      <c r="G3707" s="96">
        <f t="shared" si="229"/>
        <v>1929</v>
      </c>
      <c r="I3707" s="96"/>
      <c r="K3707" t="str">
        <f t="shared" si="230"/>
        <v>1929</v>
      </c>
      <c r="M3707" s="72"/>
      <c r="O3707" s="96">
        <f t="shared" si="231"/>
        <v>1929</v>
      </c>
      <c r="T3707" s="110"/>
    </row>
    <row r="3708" spans="3:20" x14ac:dyDescent="0.2">
      <c r="C3708" s="96" t="str">
        <f t="shared" si="228"/>
        <v>1930</v>
      </c>
      <c r="D3708" s="73"/>
      <c r="E3708" s="100"/>
      <c r="F3708" s="101"/>
      <c r="G3708" s="96">
        <f t="shared" si="229"/>
        <v>1930</v>
      </c>
      <c r="I3708" s="96"/>
      <c r="K3708" t="str">
        <f t="shared" si="230"/>
        <v>1930</v>
      </c>
      <c r="M3708" s="72"/>
      <c r="O3708" s="96">
        <f t="shared" si="231"/>
        <v>1930</v>
      </c>
      <c r="T3708" s="110"/>
    </row>
    <row r="3709" spans="3:20" x14ac:dyDescent="0.2">
      <c r="C3709" s="96" t="str">
        <f t="shared" si="228"/>
        <v>1931</v>
      </c>
      <c r="D3709" s="73"/>
      <c r="E3709" s="100"/>
      <c r="F3709" s="101"/>
      <c r="G3709" s="96">
        <f t="shared" si="229"/>
        <v>1931</v>
      </c>
      <c r="I3709" s="96"/>
      <c r="K3709" t="str">
        <f t="shared" si="230"/>
        <v>1931</v>
      </c>
      <c r="M3709" s="72"/>
      <c r="O3709" s="96">
        <f t="shared" si="231"/>
        <v>1931</v>
      </c>
      <c r="T3709" s="83"/>
    </row>
    <row r="3710" spans="3:20" x14ac:dyDescent="0.2">
      <c r="C3710" s="96" t="str">
        <f t="shared" si="228"/>
        <v>1932</v>
      </c>
      <c r="D3710" s="73"/>
      <c r="E3710" s="100"/>
      <c r="F3710" s="101"/>
      <c r="G3710" s="96">
        <f t="shared" si="229"/>
        <v>1932</v>
      </c>
      <c r="I3710" s="96"/>
      <c r="K3710" t="str">
        <f t="shared" si="230"/>
        <v>1932</v>
      </c>
      <c r="M3710" s="72"/>
      <c r="O3710" s="96">
        <f t="shared" si="231"/>
        <v>1932</v>
      </c>
      <c r="T3710" s="110"/>
    </row>
    <row r="3711" spans="3:20" x14ac:dyDescent="0.2">
      <c r="C3711" s="96" t="str">
        <f t="shared" si="228"/>
        <v>1933</v>
      </c>
      <c r="D3711" s="73"/>
      <c r="E3711" s="100"/>
      <c r="F3711" s="101"/>
      <c r="G3711" s="96">
        <f t="shared" si="229"/>
        <v>1933</v>
      </c>
      <c r="I3711" s="96"/>
      <c r="K3711" t="str">
        <f t="shared" si="230"/>
        <v>1933</v>
      </c>
      <c r="M3711" s="72"/>
      <c r="O3711" s="96">
        <f t="shared" si="231"/>
        <v>1933</v>
      </c>
      <c r="T3711" s="110"/>
    </row>
    <row r="3712" spans="3:20" x14ac:dyDescent="0.2">
      <c r="C3712" s="96" t="str">
        <f t="shared" si="228"/>
        <v>1934</v>
      </c>
      <c r="D3712" s="73"/>
      <c r="E3712" s="100"/>
      <c r="F3712" s="101"/>
      <c r="G3712" s="96">
        <f t="shared" si="229"/>
        <v>1934</v>
      </c>
      <c r="I3712" s="96"/>
      <c r="K3712" t="str">
        <f t="shared" si="230"/>
        <v>1934</v>
      </c>
      <c r="M3712" s="72"/>
      <c r="O3712" s="96">
        <f t="shared" si="231"/>
        <v>1934</v>
      </c>
      <c r="T3712" s="110"/>
    </row>
    <row r="3713" spans="3:20" x14ac:dyDescent="0.2">
      <c r="C3713" s="96" t="str">
        <f t="shared" si="228"/>
        <v>1935</v>
      </c>
      <c r="D3713" s="73"/>
      <c r="E3713" s="100"/>
      <c r="F3713" s="101"/>
      <c r="G3713" s="96">
        <f t="shared" si="229"/>
        <v>1935</v>
      </c>
      <c r="I3713" s="96"/>
      <c r="K3713" t="str">
        <f t="shared" si="230"/>
        <v>1935</v>
      </c>
      <c r="M3713" s="72"/>
      <c r="O3713" s="96">
        <f t="shared" si="231"/>
        <v>1935</v>
      </c>
      <c r="T3713" s="110"/>
    </row>
    <row r="3714" spans="3:20" x14ac:dyDescent="0.2">
      <c r="C3714" s="96" t="str">
        <f t="shared" si="228"/>
        <v>1936</v>
      </c>
      <c r="D3714" s="73"/>
      <c r="E3714" s="100"/>
      <c r="F3714" s="101"/>
      <c r="G3714" s="96">
        <f t="shared" si="229"/>
        <v>1936</v>
      </c>
      <c r="I3714" s="96"/>
      <c r="K3714" t="str">
        <f t="shared" si="230"/>
        <v>1936</v>
      </c>
      <c r="M3714" s="72"/>
      <c r="O3714" s="96">
        <f t="shared" si="231"/>
        <v>1936</v>
      </c>
      <c r="T3714" s="110"/>
    </row>
    <row r="3715" spans="3:20" x14ac:dyDescent="0.2">
      <c r="C3715" s="96" t="str">
        <f t="shared" ref="C3715:C3778" si="232">D3715&amp;G3715</f>
        <v>1937</v>
      </c>
      <c r="D3715" s="73"/>
      <c r="E3715" s="100"/>
      <c r="F3715" s="101"/>
      <c r="G3715" s="96">
        <f t="shared" ref="G3715:G3778" si="233">IF(D3715&lt;&gt;D3714,1,G3714+1)</f>
        <v>1937</v>
      </c>
      <c r="I3715" s="96"/>
      <c r="K3715" t="str">
        <f t="shared" ref="K3715:K3778" si="234">L3715&amp;O3715</f>
        <v>1937</v>
      </c>
      <c r="M3715" s="72"/>
      <c r="O3715" s="96">
        <f t="shared" ref="O3715:O3778" si="235">IF(L3715&lt;&gt;L3714,1,O3714+1)</f>
        <v>1937</v>
      </c>
      <c r="T3715" s="110"/>
    </row>
    <row r="3716" spans="3:20" x14ac:dyDescent="0.2">
      <c r="C3716" s="96" t="str">
        <f t="shared" si="232"/>
        <v>1938</v>
      </c>
      <c r="D3716" s="73"/>
      <c r="E3716" s="100"/>
      <c r="F3716" s="101"/>
      <c r="G3716" s="96">
        <f t="shared" si="233"/>
        <v>1938</v>
      </c>
      <c r="I3716" s="96"/>
      <c r="K3716" t="str">
        <f t="shared" si="234"/>
        <v>1938</v>
      </c>
      <c r="M3716" s="72"/>
      <c r="O3716" s="96">
        <f t="shared" si="235"/>
        <v>1938</v>
      </c>
      <c r="T3716" s="110"/>
    </row>
    <row r="3717" spans="3:20" x14ac:dyDescent="0.2">
      <c r="C3717" s="96" t="str">
        <f t="shared" si="232"/>
        <v>1939</v>
      </c>
      <c r="D3717" s="73"/>
      <c r="E3717" s="100"/>
      <c r="F3717" s="101"/>
      <c r="G3717" s="96">
        <f t="shared" si="233"/>
        <v>1939</v>
      </c>
      <c r="I3717" s="96"/>
      <c r="K3717" t="str">
        <f t="shared" si="234"/>
        <v>1939</v>
      </c>
      <c r="M3717" s="72"/>
      <c r="O3717" s="96">
        <f t="shared" si="235"/>
        <v>1939</v>
      </c>
      <c r="T3717" s="110"/>
    </row>
    <row r="3718" spans="3:20" x14ac:dyDescent="0.2">
      <c r="C3718" s="96" t="str">
        <f t="shared" si="232"/>
        <v>1940</v>
      </c>
      <c r="D3718" s="73"/>
      <c r="E3718" s="100"/>
      <c r="F3718" s="101"/>
      <c r="G3718" s="96">
        <f t="shared" si="233"/>
        <v>1940</v>
      </c>
      <c r="I3718" s="96"/>
      <c r="K3718" t="str">
        <f t="shared" si="234"/>
        <v>1940</v>
      </c>
      <c r="M3718" s="72"/>
      <c r="O3718" s="96">
        <f t="shared" si="235"/>
        <v>1940</v>
      </c>
      <c r="T3718" s="110"/>
    </row>
    <row r="3719" spans="3:20" x14ac:dyDescent="0.2">
      <c r="C3719" s="96" t="str">
        <f t="shared" si="232"/>
        <v>1941</v>
      </c>
      <c r="D3719" s="73"/>
      <c r="E3719" s="100"/>
      <c r="F3719" s="101"/>
      <c r="G3719" s="96">
        <f t="shared" si="233"/>
        <v>1941</v>
      </c>
      <c r="I3719" s="96"/>
      <c r="K3719" t="str">
        <f t="shared" si="234"/>
        <v>1941</v>
      </c>
      <c r="M3719" s="72"/>
      <c r="O3719" s="96">
        <f t="shared" si="235"/>
        <v>1941</v>
      </c>
      <c r="T3719" s="110"/>
    </row>
    <row r="3720" spans="3:20" x14ac:dyDescent="0.2">
      <c r="C3720" s="96" t="str">
        <f t="shared" si="232"/>
        <v>1942</v>
      </c>
      <c r="D3720" s="73"/>
      <c r="E3720" s="100"/>
      <c r="F3720" s="101"/>
      <c r="G3720" s="96">
        <f t="shared" si="233"/>
        <v>1942</v>
      </c>
      <c r="I3720" s="96"/>
      <c r="K3720" t="str">
        <f t="shared" si="234"/>
        <v>1942</v>
      </c>
      <c r="M3720" s="72"/>
      <c r="O3720" s="96">
        <f t="shared" si="235"/>
        <v>1942</v>
      </c>
      <c r="T3720" s="110"/>
    </row>
    <row r="3721" spans="3:20" x14ac:dyDescent="0.2">
      <c r="C3721" s="96" t="str">
        <f t="shared" si="232"/>
        <v>1943</v>
      </c>
      <c r="D3721" s="73"/>
      <c r="E3721" s="100"/>
      <c r="F3721" s="101"/>
      <c r="G3721" s="96">
        <f t="shared" si="233"/>
        <v>1943</v>
      </c>
      <c r="I3721" s="96"/>
      <c r="K3721" t="str">
        <f t="shared" si="234"/>
        <v>1943</v>
      </c>
      <c r="M3721" s="72"/>
      <c r="O3721" s="96">
        <f t="shared" si="235"/>
        <v>1943</v>
      </c>
      <c r="T3721" s="110"/>
    </row>
    <row r="3722" spans="3:20" x14ac:dyDescent="0.2">
      <c r="C3722" s="96" t="str">
        <f t="shared" si="232"/>
        <v>1944</v>
      </c>
      <c r="D3722" s="73"/>
      <c r="E3722" s="100"/>
      <c r="F3722" s="101"/>
      <c r="G3722" s="96">
        <f t="shared" si="233"/>
        <v>1944</v>
      </c>
      <c r="I3722" s="96"/>
      <c r="K3722" t="str">
        <f t="shared" si="234"/>
        <v>1944</v>
      </c>
      <c r="M3722" s="72"/>
      <c r="O3722" s="96">
        <f t="shared" si="235"/>
        <v>1944</v>
      </c>
      <c r="T3722" s="110"/>
    </row>
    <row r="3723" spans="3:20" x14ac:dyDescent="0.2">
      <c r="C3723" s="96" t="str">
        <f t="shared" si="232"/>
        <v>1945</v>
      </c>
      <c r="D3723" s="73"/>
      <c r="E3723" s="100"/>
      <c r="F3723" s="101"/>
      <c r="G3723" s="96">
        <f t="shared" si="233"/>
        <v>1945</v>
      </c>
      <c r="I3723" s="96"/>
      <c r="K3723" t="str">
        <f t="shared" si="234"/>
        <v>1945</v>
      </c>
      <c r="M3723" s="72"/>
      <c r="O3723" s="96">
        <f t="shared" si="235"/>
        <v>1945</v>
      </c>
      <c r="T3723" s="110"/>
    </row>
    <row r="3724" spans="3:20" x14ac:dyDescent="0.2">
      <c r="C3724" s="96" t="str">
        <f t="shared" si="232"/>
        <v>1946</v>
      </c>
      <c r="D3724" s="73"/>
      <c r="E3724" s="100"/>
      <c r="F3724" s="101"/>
      <c r="G3724" s="96">
        <f t="shared" si="233"/>
        <v>1946</v>
      </c>
      <c r="I3724" s="96"/>
      <c r="K3724" t="str">
        <f t="shared" si="234"/>
        <v>1946</v>
      </c>
      <c r="M3724" s="72"/>
      <c r="O3724" s="96">
        <f t="shared" si="235"/>
        <v>1946</v>
      </c>
      <c r="T3724" s="110"/>
    </row>
    <row r="3725" spans="3:20" x14ac:dyDescent="0.2">
      <c r="C3725" s="96" t="str">
        <f t="shared" si="232"/>
        <v>1947</v>
      </c>
      <c r="D3725" s="73"/>
      <c r="E3725" s="100"/>
      <c r="F3725" s="101"/>
      <c r="G3725" s="96">
        <f t="shared" si="233"/>
        <v>1947</v>
      </c>
      <c r="I3725" s="96"/>
      <c r="K3725" t="str">
        <f t="shared" si="234"/>
        <v>1947</v>
      </c>
      <c r="M3725" s="72"/>
      <c r="O3725" s="96">
        <f t="shared" si="235"/>
        <v>1947</v>
      </c>
      <c r="T3725" s="110"/>
    </row>
    <row r="3726" spans="3:20" x14ac:dyDescent="0.2">
      <c r="C3726" s="96" t="str">
        <f t="shared" si="232"/>
        <v>1948</v>
      </c>
      <c r="D3726" s="73"/>
      <c r="E3726" s="100"/>
      <c r="F3726" s="101"/>
      <c r="G3726" s="96">
        <f t="shared" si="233"/>
        <v>1948</v>
      </c>
      <c r="I3726" s="96"/>
      <c r="K3726" t="str">
        <f t="shared" si="234"/>
        <v>1948</v>
      </c>
      <c r="M3726" s="72"/>
      <c r="O3726" s="96">
        <f t="shared" si="235"/>
        <v>1948</v>
      </c>
      <c r="T3726" s="110"/>
    </row>
    <row r="3727" spans="3:20" x14ac:dyDescent="0.2">
      <c r="C3727" s="96" t="str">
        <f t="shared" si="232"/>
        <v>1949</v>
      </c>
      <c r="D3727" s="73"/>
      <c r="E3727" s="100"/>
      <c r="F3727" s="101"/>
      <c r="G3727" s="96">
        <f t="shared" si="233"/>
        <v>1949</v>
      </c>
      <c r="I3727" s="96"/>
      <c r="K3727" t="str">
        <f t="shared" si="234"/>
        <v>1949</v>
      </c>
      <c r="M3727" s="72"/>
      <c r="O3727" s="96">
        <f t="shared" si="235"/>
        <v>1949</v>
      </c>
      <c r="T3727" s="110"/>
    </row>
    <row r="3728" spans="3:20" x14ac:dyDescent="0.2">
      <c r="C3728" s="96" t="str">
        <f t="shared" si="232"/>
        <v>1950</v>
      </c>
      <c r="D3728" s="73"/>
      <c r="E3728" s="100"/>
      <c r="F3728" s="101"/>
      <c r="G3728" s="96">
        <f t="shared" si="233"/>
        <v>1950</v>
      </c>
      <c r="I3728" s="96"/>
      <c r="K3728" t="str">
        <f t="shared" si="234"/>
        <v>1950</v>
      </c>
      <c r="M3728" s="72"/>
      <c r="O3728" s="96">
        <f t="shared" si="235"/>
        <v>1950</v>
      </c>
      <c r="T3728" s="110"/>
    </row>
    <row r="3729" spans="3:20" x14ac:dyDescent="0.2">
      <c r="C3729" s="96" t="str">
        <f t="shared" si="232"/>
        <v>1951</v>
      </c>
      <c r="D3729" s="73"/>
      <c r="E3729" s="100"/>
      <c r="F3729" s="101"/>
      <c r="G3729" s="96">
        <f t="shared" si="233"/>
        <v>1951</v>
      </c>
      <c r="I3729" s="96"/>
      <c r="K3729" t="str">
        <f t="shared" si="234"/>
        <v>1951</v>
      </c>
      <c r="M3729" s="72"/>
      <c r="O3729" s="96">
        <f t="shared" si="235"/>
        <v>1951</v>
      </c>
      <c r="T3729" s="110"/>
    </row>
    <row r="3730" spans="3:20" x14ac:dyDescent="0.2">
      <c r="C3730" s="96" t="str">
        <f t="shared" si="232"/>
        <v>1952</v>
      </c>
      <c r="D3730" s="73"/>
      <c r="E3730" s="100"/>
      <c r="F3730" s="101"/>
      <c r="G3730" s="96">
        <f t="shared" si="233"/>
        <v>1952</v>
      </c>
      <c r="I3730" s="96"/>
      <c r="K3730" t="str">
        <f t="shared" si="234"/>
        <v>1952</v>
      </c>
      <c r="M3730" s="72"/>
      <c r="O3730" s="96">
        <f t="shared" si="235"/>
        <v>1952</v>
      </c>
      <c r="T3730" s="110"/>
    </row>
    <row r="3731" spans="3:20" x14ac:dyDescent="0.2">
      <c r="C3731" s="96" t="str">
        <f t="shared" si="232"/>
        <v>1953</v>
      </c>
      <c r="D3731" s="73"/>
      <c r="E3731" s="100"/>
      <c r="F3731" s="101"/>
      <c r="G3731" s="96">
        <f t="shared" si="233"/>
        <v>1953</v>
      </c>
      <c r="I3731" s="96"/>
      <c r="K3731" t="str">
        <f t="shared" si="234"/>
        <v>1953</v>
      </c>
      <c r="M3731" s="72"/>
      <c r="O3731" s="96">
        <f t="shared" si="235"/>
        <v>1953</v>
      </c>
      <c r="T3731" s="110"/>
    </row>
    <row r="3732" spans="3:20" x14ac:dyDescent="0.2">
      <c r="C3732" s="96" t="str">
        <f t="shared" si="232"/>
        <v>1954</v>
      </c>
      <c r="D3732" s="73"/>
      <c r="E3732" s="100"/>
      <c r="F3732" s="101"/>
      <c r="G3732" s="96">
        <f t="shared" si="233"/>
        <v>1954</v>
      </c>
      <c r="I3732" s="96"/>
      <c r="K3732" t="str">
        <f t="shared" si="234"/>
        <v>1954</v>
      </c>
      <c r="M3732" s="72"/>
      <c r="O3732" s="96">
        <f t="shared" si="235"/>
        <v>1954</v>
      </c>
      <c r="T3732" s="110"/>
    </row>
    <row r="3733" spans="3:20" x14ac:dyDescent="0.2">
      <c r="C3733" s="96" t="str">
        <f t="shared" si="232"/>
        <v>1955</v>
      </c>
      <c r="D3733" s="73"/>
      <c r="E3733" s="100"/>
      <c r="F3733" s="101"/>
      <c r="G3733" s="96">
        <f t="shared" si="233"/>
        <v>1955</v>
      </c>
      <c r="I3733" s="96"/>
      <c r="K3733" t="str">
        <f t="shared" si="234"/>
        <v>1955</v>
      </c>
      <c r="M3733" s="72"/>
      <c r="O3733" s="96">
        <f t="shared" si="235"/>
        <v>1955</v>
      </c>
      <c r="T3733" s="110"/>
    </row>
    <row r="3734" spans="3:20" x14ac:dyDescent="0.2">
      <c r="C3734" s="96" t="str">
        <f t="shared" si="232"/>
        <v>1956</v>
      </c>
      <c r="D3734" s="73"/>
      <c r="E3734" s="100"/>
      <c r="F3734" s="101"/>
      <c r="G3734" s="96">
        <f t="shared" si="233"/>
        <v>1956</v>
      </c>
      <c r="I3734" s="96"/>
      <c r="K3734" t="str">
        <f t="shared" si="234"/>
        <v>1956</v>
      </c>
      <c r="M3734" s="72"/>
      <c r="O3734" s="96">
        <f t="shared" si="235"/>
        <v>1956</v>
      </c>
      <c r="T3734" s="110"/>
    </row>
    <row r="3735" spans="3:20" x14ac:dyDescent="0.2">
      <c r="C3735" s="96" t="str">
        <f t="shared" si="232"/>
        <v>1957</v>
      </c>
      <c r="D3735" s="73"/>
      <c r="E3735" s="100"/>
      <c r="F3735" s="101"/>
      <c r="G3735" s="96">
        <f t="shared" si="233"/>
        <v>1957</v>
      </c>
      <c r="I3735" s="96"/>
      <c r="K3735" t="str">
        <f t="shared" si="234"/>
        <v>1957</v>
      </c>
      <c r="M3735" s="72"/>
      <c r="O3735" s="96">
        <f t="shared" si="235"/>
        <v>1957</v>
      </c>
      <c r="T3735" s="110"/>
    </row>
    <row r="3736" spans="3:20" x14ac:dyDescent="0.2">
      <c r="C3736" s="96" t="str">
        <f t="shared" si="232"/>
        <v>1958</v>
      </c>
      <c r="D3736" s="73"/>
      <c r="E3736" s="100"/>
      <c r="F3736" s="101"/>
      <c r="G3736" s="96">
        <f t="shared" si="233"/>
        <v>1958</v>
      </c>
      <c r="I3736" s="96"/>
      <c r="K3736" t="str">
        <f t="shared" si="234"/>
        <v>1958</v>
      </c>
      <c r="M3736" s="72"/>
      <c r="O3736" s="96">
        <f t="shared" si="235"/>
        <v>1958</v>
      </c>
      <c r="T3736" s="110"/>
    </row>
    <row r="3737" spans="3:20" x14ac:dyDescent="0.2">
      <c r="C3737" s="96" t="str">
        <f t="shared" si="232"/>
        <v>1959</v>
      </c>
      <c r="D3737" s="73"/>
      <c r="E3737" s="100"/>
      <c r="F3737" s="101"/>
      <c r="G3737" s="96">
        <f t="shared" si="233"/>
        <v>1959</v>
      </c>
      <c r="I3737" s="96"/>
      <c r="K3737" t="str">
        <f t="shared" si="234"/>
        <v>1959</v>
      </c>
      <c r="M3737" s="72"/>
      <c r="O3737" s="96">
        <f t="shared" si="235"/>
        <v>1959</v>
      </c>
      <c r="T3737" s="110"/>
    </row>
    <row r="3738" spans="3:20" x14ac:dyDescent="0.2">
      <c r="C3738" s="96" t="str">
        <f t="shared" si="232"/>
        <v>1960</v>
      </c>
      <c r="D3738" s="73"/>
      <c r="E3738" s="100"/>
      <c r="F3738" s="101"/>
      <c r="G3738" s="96">
        <f t="shared" si="233"/>
        <v>1960</v>
      </c>
      <c r="I3738" s="96"/>
      <c r="K3738" t="str">
        <f t="shared" si="234"/>
        <v>1960</v>
      </c>
      <c r="M3738" s="72"/>
      <c r="O3738" s="96">
        <f t="shared" si="235"/>
        <v>1960</v>
      </c>
      <c r="T3738" s="110"/>
    </row>
    <row r="3739" spans="3:20" x14ac:dyDescent="0.2">
      <c r="C3739" s="96" t="str">
        <f t="shared" si="232"/>
        <v>1961</v>
      </c>
      <c r="D3739" s="73"/>
      <c r="E3739" s="100"/>
      <c r="F3739" s="101"/>
      <c r="G3739" s="96">
        <f t="shared" si="233"/>
        <v>1961</v>
      </c>
      <c r="I3739" s="96"/>
      <c r="K3739" t="str">
        <f t="shared" si="234"/>
        <v>1961</v>
      </c>
      <c r="M3739" s="72"/>
      <c r="O3739" s="96">
        <f t="shared" si="235"/>
        <v>1961</v>
      </c>
      <c r="T3739" s="110"/>
    </row>
    <row r="3740" spans="3:20" x14ac:dyDescent="0.2">
      <c r="C3740" s="96" t="str">
        <f t="shared" si="232"/>
        <v>1962</v>
      </c>
      <c r="D3740" s="73"/>
      <c r="E3740" s="100"/>
      <c r="F3740" s="101"/>
      <c r="G3740" s="96">
        <f t="shared" si="233"/>
        <v>1962</v>
      </c>
      <c r="I3740" s="96"/>
      <c r="K3740" t="str">
        <f t="shared" si="234"/>
        <v>1962</v>
      </c>
      <c r="M3740" s="72"/>
      <c r="O3740" s="96">
        <f t="shared" si="235"/>
        <v>1962</v>
      </c>
      <c r="T3740" s="110"/>
    </row>
    <row r="3741" spans="3:20" x14ac:dyDescent="0.2">
      <c r="C3741" s="96" t="str">
        <f t="shared" si="232"/>
        <v>1963</v>
      </c>
      <c r="D3741" s="73"/>
      <c r="E3741" s="100"/>
      <c r="F3741" s="101"/>
      <c r="G3741" s="96">
        <f t="shared" si="233"/>
        <v>1963</v>
      </c>
      <c r="I3741" s="96"/>
      <c r="K3741" t="str">
        <f t="shared" si="234"/>
        <v>1963</v>
      </c>
      <c r="M3741" s="72"/>
      <c r="O3741" s="96">
        <f t="shared" si="235"/>
        <v>1963</v>
      </c>
      <c r="T3741" s="110"/>
    </row>
    <row r="3742" spans="3:20" x14ac:dyDescent="0.2">
      <c r="C3742" s="96" t="str">
        <f t="shared" si="232"/>
        <v>1964</v>
      </c>
      <c r="D3742" s="73"/>
      <c r="E3742" s="100"/>
      <c r="F3742" s="101"/>
      <c r="G3742" s="96">
        <f t="shared" si="233"/>
        <v>1964</v>
      </c>
      <c r="I3742" s="96"/>
      <c r="K3742" t="str">
        <f t="shared" si="234"/>
        <v>1964</v>
      </c>
      <c r="M3742" s="72"/>
      <c r="O3742" s="96">
        <f t="shared" si="235"/>
        <v>1964</v>
      </c>
      <c r="T3742" s="110"/>
    </row>
    <row r="3743" spans="3:20" x14ac:dyDescent="0.2">
      <c r="C3743" s="96" t="str">
        <f t="shared" si="232"/>
        <v>1965</v>
      </c>
      <c r="D3743" s="73"/>
      <c r="E3743" s="100"/>
      <c r="F3743" s="101"/>
      <c r="G3743" s="96">
        <f t="shared" si="233"/>
        <v>1965</v>
      </c>
      <c r="I3743" s="96"/>
      <c r="K3743" t="str">
        <f t="shared" si="234"/>
        <v>1965</v>
      </c>
      <c r="M3743" s="72"/>
      <c r="O3743" s="96">
        <f t="shared" si="235"/>
        <v>1965</v>
      </c>
      <c r="T3743" s="110"/>
    </row>
    <row r="3744" spans="3:20" x14ac:dyDescent="0.2">
      <c r="C3744" s="96" t="str">
        <f t="shared" si="232"/>
        <v>1966</v>
      </c>
      <c r="D3744" s="73"/>
      <c r="E3744" s="100"/>
      <c r="F3744" s="101"/>
      <c r="G3744" s="96">
        <f t="shared" si="233"/>
        <v>1966</v>
      </c>
      <c r="I3744" s="96"/>
      <c r="K3744" t="str">
        <f t="shared" si="234"/>
        <v>1966</v>
      </c>
      <c r="M3744" s="72"/>
      <c r="O3744" s="96">
        <f t="shared" si="235"/>
        <v>1966</v>
      </c>
      <c r="T3744" s="110"/>
    </row>
    <row r="3745" spans="3:20" x14ac:dyDescent="0.2">
      <c r="C3745" s="96" t="str">
        <f t="shared" si="232"/>
        <v>1967</v>
      </c>
      <c r="D3745" s="73"/>
      <c r="E3745" s="100"/>
      <c r="F3745" s="101"/>
      <c r="G3745" s="96">
        <f t="shared" si="233"/>
        <v>1967</v>
      </c>
      <c r="I3745" s="96"/>
      <c r="K3745" t="str">
        <f t="shared" si="234"/>
        <v>1967</v>
      </c>
      <c r="M3745" s="72"/>
      <c r="O3745" s="96">
        <f t="shared" si="235"/>
        <v>1967</v>
      </c>
      <c r="T3745" s="110"/>
    </row>
    <row r="3746" spans="3:20" x14ac:dyDescent="0.2">
      <c r="C3746" s="96" t="str">
        <f t="shared" si="232"/>
        <v>1968</v>
      </c>
      <c r="D3746" s="73"/>
      <c r="E3746" s="100"/>
      <c r="F3746" s="101"/>
      <c r="G3746" s="96">
        <f t="shared" si="233"/>
        <v>1968</v>
      </c>
      <c r="I3746" s="96"/>
      <c r="K3746" t="str">
        <f t="shared" si="234"/>
        <v>1968</v>
      </c>
      <c r="M3746" s="72"/>
      <c r="O3746" s="96">
        <f t="shared" si="235"/>
        <v>1968</v>
      </c>
      <c r="T3746" s="110"/>
    </row>
    <row r="3747" spans="3:20" x14ac:dyDescent="0.2">
      <c r="C3747" s="96" t="str">
        <f t="shared" si="232"/>
        <v>1969</v>
      </c>
      <c r="D3747" s="73"/>
      <c r="E3747" s="100"/>
      <c r="F3747" s="101"/>
      <c r="G3747" s="96">
        <f t="shared" si="233"/>
        <v>1969</v>
      </c>
      <c r="I3747" s="96"/>
      <c r="K3747" t="str">
        <f t="shared" si="234"/>
        <v>1969</v>
      </c>
      <c r="M3747" s="72"/>
      <c r="O3747" s="96">
        <f t="shared" si="235"/>
        <v>1969</v>
      </c>
      <c r="T3747" s="110"/>
    </row>
    <row r="3748" spans="3:20" x14ac:dyDescent="0.2">
      <c r="C3748" s="96" t="str">
        <f t="shared" si="232"/>
        <v>1970</v>
      </c>
      <c r="D3748" s="73"/>
      <c r="E3748" s="100"/>
      <c r="F3748" s="101"/>
      <c r="G3748" s="96">
        <f t="shared" si="233"/>
        <v>1970</v>
      </c>
      <c r="I3748" s="96"/>
      <c r="K3748" t="str">
        <f t="shared" si="234"/>
        <v>1970</v>
      </c>
      <c r="M3748" s="72"/>
      <c r="O3748" s="96">
        <f t="shared" si="235"/>
        <v>1970</v>
      </c>
      <c r="T3748" s="110"/>
    </row>
    <row r="3749" spans="3:20" x14ac:dyDescent="0.2">
      <c r="C3749" s="96" t="str">
        <f t="shared" si="232"/>
        <v>1971</v>
      </c>
      <c r="D3749" s="73"/>
      <c r="E3749" s="100"/>
      <c r="F3749" s="101"/>
      <c r="G3749" s="96">
        <f t="shared" si="233"/>
        <v>1971</v>
      </c>
      <c r="I3749" s="96"/>
      <c r="K3749" t="str">
        <f t="shared" si="234"/>
        <v>1971</v>
      </c>
      <c r="M3749" s="72"/>
      <c r="O3749" s="96">
        <f t="shared" si="235"/>
        <v>1971</v>
      </c>
      <c r="T3749" s="110"/>
    </row>
    <row r="3750" spans="3:20" x14ac:dyDescent="0.2">
      <c r="C3750" s="96" t="str">
        <f t="shared" si="232"/>
        <v>1972</v>
      </c>
      <c r="D3750" s="73"/>
      <c r="E3750" s="100"/>
      <c r="F3750" s="101"/>
      <c r="G3750" s="96">
        <f t="shared" si="233"/>
        <v>1972</v>
      </c>
      <c r="I3750" s="96"/>
      <c r="K3750" t="str">
        <f t="shared" si="234"/>
        <v>1972</v>
      </c>
      <c r="M3750" s="72"/>
      <c r="O3750" s="96">
        <f t="shared" si="235"/>
        <v>1972</v>
      </c>
      <c r="T3750" s="110"/>
    </row>
    <row r="3751" spans="3:20" x14ac:dyDescent="0.2">
      <c r="C3751" s="96" t="str">
        <f t="shared" si="232"/>
        <v>1973</v>
      </c>
      <c r="D3751" s="73"/>
      <c r="E3751" s="100"/>
      <c r="F3751" s="101"/>
      <c r="G3751" s="96">
        <f t="shared" si="233"/>
        <v>1973</v>
      </c>
      <c r="I3751" s="96"/>
      <c r="K3751" t="str">
        <f t="shared" si="234"/>
        <v>1973</v>
      </c>
      <c r="M3751" s="72"/>
      <c r="O3751" s="96">
        <f t="shared" si="235"/>
        <v>1973</v>
      </c>
      <c r="T3751" s="110"/>
    </row>
    <row r="3752" spans="3:20" x14ac:dyDescent="0.2">
      <c r="C3752" s="96" t="str">
        <f t="shared" si="232"/>
        <v>1974</v>
      </c>
      <c r="D3752" s="73"/>
      <c r="E3752" s="100"/>
      <c r="F3752" s="101"/>
      <c r="G3752" s="96">
        <f t="shared" si="233"/>
        <v>1974</v>
      </c>
      <c r="I3752" s="96"/>
      <c r="K3752" t="str">
        <f t="shared" si="234"/>
        <v>1974</v>
      </c>
      <c r="M3752" s="72"/>
      <c r="O3752" s="96">
        <f t="shared" si="235"/>
        <v>1974</v>
      </c>
      <c r="T3752" s="110"/>
    </row>
    <row r="3753" spans="3:20" x14ac:dyDescent="0.2">
      <c r="C3753" s="96" t="str">
        <f t="shared" si="232"/>
        <v>1975</v>
      </c>
      <c r="D3753" s="73"/>
      <c r="E3753" s="100"/>
      <c r="F3753" s="101"/>
      <c r="G3753" s="96">
        <f t="shared" si="233"/>
        <v>1975</v>
      </c>
      <c r="I3753" s="96"/>
      <c r="K3753" t="str">
        <f t="shared" si="234"/>
        <v>1975</v>
      </c>
      <c r="M3753" s="72"/>
      <c r="O3753" s="96">
        <f t="shared" si="235"/>
        <v>1975</v>
      </c>
      <c r="T3753" s="110"/>
    </row>
    <row r="3754" spans="3:20" x14ac:dyDescent="0.2">
      <c r="C3754" s="96" t="str">
        <f t="shared" si="232"/>
        <v>1976</v>
      </c>
      <c r="D3754" s="73"/>
      <c r="E3754" s="100"/>
      <c r="F3754" s="101"/>
      <c r="G3754" s="96">
        <f t="shared" si="233"/>
        <v>1976</v>
      </c>
      <c r="I3754" s="96"/>
      <c r="K3754" t="str">
        <f t="shared" si="234"/>
        <v>1976</v>
      </c>
      <c r="M3754" s="72"/>
      <c r="O3754" s="96">
        <f t="shared" si="235"/>
        <v>1976</v>
      </c>
      <c r="T3754" s="110"/>
    </row>
    <row r="3755" spans="3:20" x14ac:dyDescent="0.2">
      <c r="C3755" s="96" t="str">
        <f t="shared" si="232"/>
        <v>1977</v>
      </c>
      <c r="D3755" s="73"/>
      <c r="E3755" s="100"/>
      <c r="F3755" s="101"/>
      <c r="G3755" s="96">
        <f t="shared" si="233"/>
        <v>1977</v>
      </c>
      <c r="I3755" s="96"/>
      <c r="K3755" t="str">
        <f t="shared" si="234"/>
        <v>1977</v>
      </c>
      <c r="M3755" s="72"/>
      <c r="O3755" s="96">
        <f t="shared" si="235"/>
        <v>1977</v>
      </c>
      <c r="T3755" s="110"/>
    </row>
    <row r="3756" spans="3:20" x14ac:dyDescent="0.2">
      <c r="C3756" s="96" t="str">
        <f t="shared" si="232"/>
        <v>1978</v>
      </c>
      <c r="D3756" s="73"/>
      <c r="E3756" s="100"/>
      <c r="F3756" s="101"/>
      <c r="G3756" s="96">
        <f t="shared" si="233"/>
        <v>1978</v>
      </c>
      <c r="I3756" s="96"/>
      <c r="K3756" t="str">
        <f t="shared" si="234"/>
        <v>1978</v>
      </c>
      <c r="M3756" s="72"/>
      <c r="O3756" s="96">
        <f t="shared" si="235"/>
        <v>1978</v>
      </c>
      <c r="T3756" s="110"/>
    </row>
    <row r="3757" spans="3:20" x14ac:dyDescent="0.2">
      <c r="C3757" s="96" t="str">
        <f t="shared" si="232"/>
        <v>1979</v>
      </c>
      <c r="D3757" s="73"/>
      <c r="E3757" s="100"/>
      <c r="F3757" s="101"/>
      <c r="G3757" s="96">
        <f t="shared" si="233"/>
        <v>1979</v>
      </c>
      <c r="I3757" s="96"/>
      <c r="K3757" t="str">
        <f t="shared" si="234"/>
        <v>1979</v>
      </c>
      <c r="M3757" s="72"/>
      <c r="O3757" s="96">
        <f t="shared" si="235"/>
        <v>1979</v>
      </c>
      <c r="T3757" s="110"/>
    </row>
    <row r="3758" spans="3:20" x14ac:dyDescent="0.2">
      <c r="C3758" s="96" t="str">
        <f t="shared" si="232"/>
        <v>1980</v>
      </c>
      <c r="D3758" s="73"/>
      <c r="E3758" s="100"/>
      <c r="F3758" s="101"/>
      <c r="G3758" s="96">
        <f t="shared" si="233"/>
        <v>1980</v>
      </c>
      <c r="I3758" s="96"/>
      <c r="K3758" t="str">
        <f t="shared" si="234"/>
        <v>1980</v>
      </c>
      <c r="M3758" s="72"/>
      <c r="O3758" s="96">
        <f t="shared" si="235"/>
        <v>1980</v>
      </c>
      <c r="T3758" s="110"/>
    </row>
    <row r="3759" spans="3:20" x14ac:dyDescent="0.2">
      <c r="C3759" s="96" t="str">
        <f t="shared" si="232"/>
        <v>1981</v>
      </c>
      <c r="D3759" s="73"/>
      <c r="E3759" s="100"/>
      <c r="F3759" s="101"/>
      <c r="G3759" s="96">
        <f t="shared" si="233"/>
        <v>1981</v>
      </c>
      <c r="I3759" s="96"/>
      <c r="K3759" t="str">
        <f t="shared" si="234"/>
        <v>1981</v>
      </c>
      <c r="M3759" s="72"/>
      <c r="O3759" s="96">
        <f t="shared" si="235"/>
        <v>1981</v>
      </c>
      <c r="T3759" s="110"/>
    </row>
    <row r="3760" spans="3:20" x14ac:dyDescent="0.2">
      <c r="C3760" s="96" t="str">
        <f t="shared" si="232"/>
        <v>1982</v>
      </c>
      <c r="D3760" s="73"/>
      <c r="E3760" s="100"/>
      <c r="F3760" s="101"/>
      <c r="G3760" s="96">
        <f t="shared" si="233"/>
        <v>1982</v>
      </c>
      <c r="I3760" s="96"/>
      <c r="K3760" t="str">
        <f t="shared" si="234"/>
        <v>1982</v>
      </c>
      <c r="M3760" s="72"/>
      <c r="O3760" s="96">
        <f t="shared" si="235"/>
        <v>1982</v>
      </c>
      <c r="T3760" s="110"/>
    </row>
    <row r="3761" spans="3:20" x14ac:dyDescent="0.2">
      <c r="C3761" s="96" t="str">
        <f t="shared" si="232"/>
        <v>1983</v>
      </c>
      <c r="D3761" s="73"/>
      <c r="E3761" s="100"/>
      <c r="F3761" s="101"/>
      <c r="G3761" s="96">
        <f t="shared" si="233"/>
        <v>1983</v>
      </c>
      <c r="I3761" s="96"/>
      <c r="K3761" t="str">
        <f t="shared" si="234"/>
        <v>1983</v>
      </c>
      <c r="M3761" s="72"/>
      <c r="O3761" s="96">
        <f t="shared" si="235"/>
        <v>1983</v>
      </c>
      <c r="T3761" s="110"/>
    </row>
    <row r="3762" spans="3:20" x14ac:dyDescent="0.2">
      <c r="C3762" s="96" t="str">
        <f t="shared" si="232"/>
        <v>1984</v>
      </c>
      <c r="D3762" s="73"/>
      <c r="E3762" s="100"/>
      <c r="F3762" s="101"/>
      <c r="G3762" s="96">
        <f t="shared" si="233"/>
        <v>1984</v>
      </c>
      <c r="I3762" s="96"/>
      <c r="K3762" t="str">
        <f t="shared" si="234"/>
        <v>1984</v>
      </c>
      <c r="M3762" s="72"/>
      <c r="O3762" s="96">
        <f t="shared" si="235"/>
        <v>1984</v>
      </c>
      <c r="T3762" s="110"/>
    </row>
    <row r="3763" spans="3:20" x14ac:dyDescent="0.2">
      <c r="C3763" s="96" t="str">
        <f t="shared" si="232"/>
        <v>1985</v>
      </c>
      <c r="D3763" s="73"/>
      <c r="E3763" s="100"/>
      <c r="F3763" s="101"/>
      <c r="G3763" s="96">
        <f t="shared" si="233"/>
        <v>1985</v>
      </c>
      <c r="I3763" s="96"/>
      <c r="K3763" t="str">
        <f t="shared" si="234"/>
        <v>1985</v>
      </c>
      <c r="M3763" s="72"/>
      <c r="O3763" s="96">
        <f t="shared" si="235"/>
        <v>1985</v>
      </c>
      <c r="T3763" s="110"/>
    </row>
    <row r="3764" spans="3:20" x14ac:dyDescent="0.2">
      <c r="C3764" s="96" t="str">
        <f t="shared" si="232"/>
        <v>1986</v>
      </c>
      <c r="D3764" s="73"/>
      <c r="E3764" s="100"/>
      <c r="F3764" s="101"/>
      <c r="G3764" s="96">
        <f t="shared" si="233"/>
        <v>1986</v>
      </c>
      <c r="I3764" s="96"/>
      <c r="K3764" t="str">
        <f t="shared" si="234"/>
        <v>1986</v>
      </c>
      <c r="M3764" s="72"/>
      <c r="O3764" s="96">
        <f t="shared" si="235"/>
        <v>1986</v>
      </c>
      <c r="T3764" s="110"/>
    </row>
    <row r="3765" spans="3:20" x14ac:dyDescent="0.2">
      <c r="C3765" s="96" t="str">
        <f t="shared" si="232"/>
        <v>1987</v>
      </c>
      <c r="D3765" s="73"/>
      <c r="E3765" s="100"/>
      <c r="F3765" s="101"/>
      <c r="G3765" s="96">
        <f t="shared" si="233"/>
        <v>1987</v>
      </c>
      <c r="I3765" s="96"/>
      <c r="K3765" t="str">
        <f t="shared" si="234"/>
        <v>1987</v>
      </c>
      <c r="M3765" s="72"/>
      <c r="O3765" s="96">
        <f t="shared" si="235"/>
        <v>1987</v>
      </c>
      <c r="T3765" s="110"/>
    </row>
    <row r="3766" spans="3:20" x14ac:dyDescent="0.2">
      <c r="C3766" s="96" t="str">
        <f t="shared" si="232"/>
        <v>1988</v>
      </c>
      <c r="D3766" s="73"/>
      <c r="E3766" s="100"/>
      <c r="F3766" s="101"/>
      <c r="G3766" s="96">
        <f t="shared" si="233"/>
        <v>1988</v>
      </c>
      <c r="I3766" s="96"/>
      <c r="K3766" t="str">
        <f t="shared" si="234"/>
        <v>1988</v>
      </c>
      <c r="M3766" s="72"/>
      <c r="O3766" s="96">
        <f t="shared" si="235"/>
        <v>1988</v>
      </c>
      <c r="T3766" s="110"/>
    </row>
    <row r="3767" spans="3:20" x14ac:dyDescent="0.2">
      <c r="C3767" s="96" t="str">
        <f t="shared" si="232"/>
        <v>1989</v>
      </c>
      <c r="D3767" s="73"/>
      <c r="E3767" s="100"/>
      <c r="F3767" s="101"/>
      <c r="G3767" s="96">
        <f t="shared" si="233"/>
        <v>1989</v>
      </c>
      <c r="I3767" s="96"/>
      <c r="K3767" t="str">
        <f t="shared" si="234"/>
        <v>1989</v>
      </c>
      <c r="M3767" s="72"/>
      <c r="O3767" s="96">
        <f t="shared" si="235"/>
        <v>1989</v>
      </c>
      <c r="T3767" s="110"/>
    </row>
    <row r="3768" spans="3:20" x14ac:dyDescent="0.2">
      <c r="C3768" s="96" t="str">
        <f t="shared" si="232"/>
        <v>1990</v>
      </c>
      <c r="D3768" s="73"/>
      <c r="E3768" s="100"/>
      <c r="F3768" s="101"/>
      <c r="G3768" s="96">
        <f t="shared" si="233"/>
        <v>1990</v>
      </c>
      <c r="I3768" s="96"/>
      <c r="K3768" t="str">
        <f t="shared" si="234"/>
        <v>1990</v>
      </c>
      <c r="M3768" s="72"/>
      <c r="O3768" s="96">
        <f t="shared" si="235"/>
        <v>1990</v>
      </c>
      <c r="T3768" s="110"/>
    </row>
    <row r="3769" spans="3:20" x14ac:dyDescent="0.2">
      <c r="C3769" s="96" t="str">
        <f t="shared" si="232"/>
        <v>1991</v>
      </c>
      <c r="D3769" s="73"/>
      <c r="E3769" s="100"/>
      <c r="F3769" s="101"/>
      <c r="G3769" s="96">
        <f t="shared" si="233"/>
        <v>1991</v>
      </c>
      <c r="I3769" s="96"/>
      <c r="K3769" t="str">
        <f t="shared" si="234"/>
        <v>1991</v>
      </c>
      <c r="M3769" s="72"/>
      <c r="O3769" s="96">
        <f t="shared" si="235"/>
        <v>1991</v>
      </c>
      <c r="T3769" s="110"/>
    </row>
    <row r="3770" spans="3:20" x14ac:dyDescent="0.2">
      <c r="C3770" s="96" t="str">
        <f t="shared" si="232"/>
        <v>1992</v>
      </c>
      <c r="D3770" s="73"/>
      <c r="E3770" s="100"/>
      <c r="F3770" s="101"/>
      <c r="G3770" s="96">
        <f t="shared" si="233"/>
        <v>1992</v>
      </c>
      <c r="I3770" s="96"/>
      <c r="K3770" t="str">
        <f t="shared" si="234"/>
        <v>1992</v>
      </c>
      <c r="M3770" s="72"/>
      <c r="O3770" s="96">
        <f t="shared" si="235"/>
        <v>1992</v>
      </c>
      <c r="T3770" s="110"/>
    </row>
    <row r="3771" spans="3:20" x14ac:dyDescent="0.2">
      <c r="C3771" s="96" t="str">
        <f t="shared" si="232"/>
        <v>1993</v>
      </c>
      <c r="D3771" s="73"/>
      <c r="E3771" s="100"/>
      <c r="F3771" s="101"/>
      <c r="G3771" s="96">
        <f t="shared" si="233"/>
        <v>1993</v>
      </c>
      <c r="I3771" s="96"/>
      <c r="K3771" t="str">
        <f t="shared" si="234"/>
        <v>1993</v>
      </c>
      <c r="M3771" s="72"/>
      <c r="O3771" s="96">
        <f t="shared" si="235"/>
        <v>1993</v>
      </c>
      <c r="T3771" s="110"/>
    </row>
    <row r="3772" spans="3:20" x14ac:dyDescent="0.2">
      <c r="C3772" s="96" t="str">
        <f t="shared" si="232"/>
        <v>1994</v>
      </c>
      <c r="D3772" s="73"/>
      <c r="E3772" s="100"/>
      <c r="F3772" s="101"/>
      <c r="G3772" s="96">
        <f t="shared" si="233"/>
        <v>1994</v>
      </c>
      <c r="I3772" s="96"/>
      <c r="K3772" t="str">
        <f t="shared" si="234"/>
        <v>1994</v>
      </c>
      <c r="M3772" s="72"/>
      <c r="O3772" s="96">
        <f t="shared" si="235"/>
        <v>1994</v>
      </c>
      <c r="T3772" s="110"/>
    </row>
    <row r="3773" spans="3:20" x14ac:dyDescent="0.2">
      <c r="C3773" s="96" t="str">
        <f t="shared" si="232"/>
        <v>1995</v>
      </c>
      <c r="D3773" s="73"/>
      <c r="E3773" s="100"/>
      <c r="F3773" s="101"/>
      <c r="G3773" s="96">
        <f t="shared" si="233"/>
        <v>1995</v>
      </c>
      <c r="I3773" s="96"/>
      <c r="K3773" t="str">
        <f t="shared" si="234"/>
        <v>1995</v>
      </c>
      <c r="M3773" s="72"/>
      <c r="O3773" s="96">
        <f t="shared" si="235"/>
        <v>1995</v>
      </c>
      <c r="T3773" s="110"/>
    </row>
    <row r="3774" spans="3:20" x14ac:dyDescent="0.2">
      <c r="C3774" s="96" t="str">
        <f t="shared" si="232"/>
        <v>1996</v>
      </c>
      <c r="D3774" s="73"/>
      <c r="E3774" s="100"/>
      <c r="F3774" s="101"/>
      <c r="G3774" s="96">
        <f t="shared" si="233"/>
        <v>1996</v>
      </c>
      <c r="I3774" s="96"/>
      <c r="K3774" t="str">
        <f t="shared" si="234"/>
        <v>1996</v>
      </c>
      <c r="M3774" s="72"/>
      <c r="O3774" s="96">
        <f t="shared" si="235"/>
        <v>1996</v>
      </c>
      <c r="T3774" s="110"/>
    </row>
    <row r="3775" spans="3:20" x14ac:dyDescent="0.2">
      <c r="C3775" s="96" t="str">
        <f t="shared" si="232"/>
        <v>1997</v>
      </c>
      <c r="D3775" s="73"/>
      <c r="E3775" s="100"/>
      <c r="F3775" s="101"/>
      <c r="G3775" s="96">
        <f t="shared" si="233"/>
        <v>1997</v>
      </c>
      <c r="I3775" s="96"/>
      <c r="K3775" t="str">
        <f t="shared" si="234"/>
        <v>1997</v>
      </c>
      <c r="M3775" s="72"/>
      <c r="O3775" s="96">
        <f t="shared" si="235"/>
        <v>1997</v>
      </c>
      <c r="T3775" s="110"/>
    </row>
    <row r="3776" spans="3:20" x14ac:dyDescent="0.2">
      <c r="C3776" s="96" t="str">
        <f t="shared" si="232"/>
        <v>1998</v>
      </c>
      <c r="D3776" s="73"/>
      <c r="E3776" s="100"/>
      <c r="F3776" s="101"/>
      <c r="G3776" s="96">
        <f t="shared" si="233"/>
        <v>1998</v>
      </c>
      <c r="I3776" s="96"/>
      <c r="K3776" t="str">
        <f t="shared" si="234"/>
        <v>1998</v>
      </c>
      <c r="M3776" s="72"/>
      <c r="O3776" s="96">
        <f t="shared" si="235"/>
        <v>1998</v>
      </c>
      <c r="T3776" s="110"/>
    </row>
    <row r="3777" spans="3:20" x14ac:dyDescent="0.2">
      <c r="C3777" s="96" t="str">
        <f t="shared" si="232"/>
        <v>1999</v>
      </c>
      <c r="D3777" s="73"/>
      <c r="E3777" s="100"/>
      <c r="F3777" s="101"/>
      <c r="G3777" s="96">
        <f t="shared" si="233"/>
        <v>1999</v>
      </c>
      <c r="I3777" s="96"/>
      <c r="K3777" t="str">
        <f t="shared" si="234"/>
        <v>1999</v>
      </c>
      <c r="M3777" s="72"/>
      <c r="O3777" s="96">
        <f t="shared" si="235"/>
        <v>1999</v>
      </c>
      <c r="T3777" s="110"/>
    </row>
    <row r="3778" spans="3:20" x14ac:dyDescent="0.2">
      <c r="C3778" s="96" t="str">
        <f t="shared" si="232"/>
        <v>2000</v>
      </c>
      <c r="D3778" s="73"/>
      <c r="E3778" s="100"/>
      <c r="F3778" s="101"/>
      <c r="G3778" s="96">
        <f t="shared" si="233"/>
        <v>2000</v>
      </c>
      <c r="I3778" s="96"/>
      <c r="K3778" t="str">
        <f t="shared" si="234"/>
        <v>2000</v>
      </c>
      <c r="M3778" s="72"/>
      <c r="O3778" s="96">
        <f t="shared" si="235"/>
        <v>2000</v>
      </c>
      <c r="T3778" s="110"/>
    </row>
    <row r="3779" spans="3:20" x14ac:dyDescent="0.2">
      <c r="C3779" s="96" t="str">
        <f t="shared" ref="C3779:C3842" si="236">D3779&amp;G3779</f>
        <v>2001</v>
      </c>
      <c r="D3779" s="73"/>
      <c r="E3779" s="100"/>
      <c r="F3779" s="101"/>
      <c r="G3779" s="96">
        <f t="shared" ref="G3779:G3842" si="237">IF(D3779&lt;&gt;D3778,1,G3778+1)</f>
        <v>2001</v>
      </c>
      <c r="I3779" s="96"/>
      <c r="K3779" t="str">
        <f t="shared" ref="K3779:K3842" si="238">L3779&amp;O3779</f>
        <v>2001</v>
      </c>
      <c r="M3779" s="72"/>
      <c r="O3779" s="96">
        <f t="shared" ref="O3779:O3842" si="239">IF(L3779&lt;&gt;L3778,1,O3778+1)</f>
        <v>2001</v>
      </c>
      <c r="T3779" s="110"/>
    </row>
    <row r="3780" spans="3:20" x14ac:dyDescent="0.2">
      <c r="C3780" s="96" t="str">
        <f t="shared" si="236"/>
        <v>2002</v>
      </c>
      <c r="D3780" s="73"/>
      <c r="E3780" s="100"/>
      <c r="F3780" s="101"/>
      <c r="G3780" s="96">
        <f t="shared" si="237"/>
        <v>2002</v>
      </c>
      <c r="I3780" s="96"/>
      <c r="K3780" t="str">
        <f t="shared" si="238"/>
        <v>2002</v>
      </c>
      <c r="M3780" s="72"/>
      <c r="O3780" s="96">
        <f t="shared" si="239"/>
        <v>2002</v>
      </c>
      <c r="T3780" s="110"/>
    </row>
    <row r="3781" spans="3:20" x14ac:dyDescent="0.2">
      <c r="C3781" s="96" t="str">
        <f t="shared" si="236"/>
        <v>2003</v>
      </c>
      <c r="D3781" s="73"/>
      <c r="E3781" s="100"/>
      <c r="F3781" s="101"/>
      <c r="G3781" s="96">
        <f t="shared" si="237"/>
        <v>2003</v>
      </c>
      <c r="I3781" s="96"/>
      <c r="K3781" t="str">
        <f t="shared" si="238"/>
        <v>2003</v>
      </c>
      <c r="M3781" s="72"/>
      <c r="O3781" s="96">
        <f t="shared" si="239"/>
        <v>2003</v>
      </c>
      <c r="T3781" s="110"/>
    </row>
    <row r="3782" spans="3:20" x14ac:dyDescent="0.2">
      <c r="C3782" s="96" t="str">
        <f t="shared" si="236"/>
        <v>2004</v>
      </c>
      <c r="D3782" s="73"/>
      <c r="E3782" s="100"/>
      <c r="F3782" s="101"/>
      <c r="G3782" s="96">
        <f t="shared" si="237"/>
        <v>2004</v>
      </c>
      <c r="I3782" s="96"/>
      <c r="K3782" t="str">
        <f t="shared" si="238"/>
        <v>2004</v>
      </c>
      <c r="M3782" s="72"/>
      <c r="O3782" s="96">
        <f t="shared" si="239"/>
        <v>2004</v>
      </c>
      <c r="T3782" s="110"/>
    </row>
    <row r="3783" spans="3:20" x14ac:dyDescent="0.2">
      <c r="C3783" s="96" t="str">
        <f t="shared" si="236"/>
        <v>2005</v>
      </c>
      <c r="D3783" s="73"/>
      <c r="E3783" s="100"/>
      <c r="F3783" s="101"/>
      <c r="G3783" s="96">
        <f t="shared" si="237"/>
        <v>2005</v>
      </c>
      <c r="I3783" s="96"/>
      <c r="K3783" t="str">
        <f t="shared" si="238"/>
        <v>2005</v>
      </c>
      <c r="M3783" s="72"/>
      <c r="O3783" s="96">
        <f t="shared" si="239"/>
        <v>2005</v>
      </c>
      <c r="T3783" s="110"/>
    </row>
    <row r="3784" spans="3:20" x14ac:dyDescent="0.2">
      <c r="C3784" s="96" t="str">
        <f t="shared" si="236"/>
        <v>2006</v>
      </c>
      <c r="D3784" s="73"/>
      <c r="E3784" s="100"/>
      <c r="F3784" s="101"/>
      <c r="G3784" s="96">
        <f t="shared" si="237"/>
        <v>2006</v>
      </c>
      <c r="I3784" s="96"/>
      <c r="K3784" t="str">
        <f t="shared" si="238"/>
        <v>2006</v>
      </c>
      <c r="M3784" s="72"/>
      <c r="O3784" s="96">
        <f t="shared" si="239"/>
        <v>2006</v>
      </c>
      <c r="T3784" s="110"/>
    </row>
    <row r="3785" spans="3:20" x14ac:dyDescent="0.2">
      <c r="C3785" s="96" t="str">
        <f t="shared" si="236"/>
        <v>2007</v>
      </c>
      <c r="D3785" s="73"/>
      <c r="E3785" s="100"/>
      <c r="F3785" s="101"/>
      <c r="G3785" s="96">
        <f t="shared" si="237"/>
        <v>2007</v>
      </c>
      <c r="I3785" s="96"/>
      <c r="K3785" t="str">
        <f t="shared" si="238"/>
        <v>2007</v>
      </c>
      <c r="M3785" s="72"/>
      <c r="O3785" s="96">
        <f t="shared" si="239"/>
        <v>2007</v>
      </c>
      <c r="T3785" s="110"/>
    </row>
    <row r="3786" spans="3:20" x14ac:dyDescent="0.2">
      <c r="C3786" s="96" t="str">
        <f t="shared" si="236"/>
        <v>2008</v>
      </c>
      <c r="D3786" s="73"/>
      <c r="E3786" s="100"/>
      <c r="F3786" s="101"/>
      <c r="G3786" s="96">
        <f t="shared" si="237"/>
        <v>2008</v>
      </c>
      <c r="I3786" s="96"/>
      <c r="K3786" t="str">
        <f t="shared" si="238"/>
        <v>2008</v>
      </c>
      <c r="M3786" s="72"/>
      <c r="O3786" s="96">
        <f t="shared" si="239"/>
        <v>2008</v>
      </c>
      <c r="T3786" s="110"/>
    </row>
    <row r="3787" spans="3:20" x14ac:dyDescent="0.2">
      <c r="C3787" s="96" t="str">
        <f t="shared" si="236"/>
        <v>2009</v>
      </c>
      <c r="D3787" s="73"/>
      <c r="E3787" s="100"/>
      <c r="F3787" s="101"/>
      <c r="G3787" s="96">
        <f t="shared" si="237"/>
        <v>2009</v>
      </c>
      <c r="I3787" s="96"/>
      <c r="K3787" t="str">
        <f t="shared" si="238"/>
        <v>2009</v>
      </c>
      <c r="M3787" s="72"/>
      <c r="O3787" s="96">
        <f t="shared" si="239"/>
        <v>2009</v>
      </c>
      <c r="T3787" s="110"/>
    </row>
    <row r="3788" spans="3:20" x14ac:dyDescent="0.2">
      <c r="C3788" s="96" t="str">
        <f t="shared" si="236"/>
        <v>2010</v>
      </c>
      <c r="D3788" s="73"/>
      <c r="E3788" s="100"/>
      <c r="F3788" s="101"/>
      <c r="G3788" s="96">
        <f t="shared" si="237"/>
        <v>2010</v>
      </c>
      <c r="I3788" s="96"/>
      <c r="K3788" t="str">
        <f t="shared" si="238"/>
        <v>2010</v>
      </c>
      <c r="M3788" s="72"/>
      <c r="O3788" s="96">
        <f t="shared" si="239"/>
        <v>2010</v>
      </c>
      <c r="T3788" s="110"/>
    </row>
    <row r="3789" spans="3:20" x14ac:dyDescent="0.2">
      <c r="C3789" s="96" t="str">
        <f t="shared" si="236"/>
        <v>2011</v>
      </c>
      <c r="D3789" s="73"/>
      <c r="E3789" s="100"/>
      <c r="F3789" s="101"/>
      <c r="G3789" s="96">
        <f t="shared" si="237"/>
        <v>2011</v>
      </c>
      <c r="I3789" s="96"/>
      <c r="K3789" t="str">
        <f t="shared" si="238"/>
        <v>2011</v>
      </c>
      <c r="M3789" s="72"/>
      <c r="O3789" s="96">
        <f t="shared" si="239"/>
        <v>2011</v>
      </c>
      <c r="T3789" s="110"/>
    </row>
    <row r="3790" spans="3:20" x14ac:dyDescent="0.2">
      <c r="C3790" s="96" t="str">
        <f t="shared" si="236"/>
        <v>2012</v>
      </c>
      <c r="D3790" s="73"/>
      <c r="E3790" s="100"/>
      <c r="F3790" s="101"/>
      <c r="G3790" s="96">
        <f t="shared" si="237"/>
        <v>2012</v>
      </c>
      <c r="I3790" s="96"/>
      <c r="K3790" t="str">
        <f t="shared" si="238"/>
        <v>2012</v>
      </c>
      <c r="M3790" s="72"/>
      <c r="O3790" s="96">
        <f t="shared" si="239"/>
        <v>2012</v>
      </c>
      <c r="T3790" s="110"/>
    </row>
    <row r="3791" spans="3:20" x14ac:dyDescent="0.2">
      <c r="C3791" s="96" t="str">
        <f t="shared" si="236"/>
        <v>2013</v>
      </c>
      <c r="D3791" s="73"/>
      <c r="E3791" s="100"/>
      <c r="F3791" s="101"/>
      <c r="G3791" s="96">
        <f t="shared" si="237"/>
        <v>2013</v>
      </c>
      <c r="I3791" s="96"/>
      <c r="K3791" t="str">
        <f t="shared" si="238"/>
        <v>2013</v>
      </c>
      <c r="M3791" s="72"/>
      <c r="O3791" s="96">
        <f t="shared" si="239"/>
        <v>2013</v>
      </c>
      <c r="T3791" s="110"/>
    </row>
    <row r="3792" spans="3:20" x14ac:dyDescent="0.2">
      <c r="C3792" s="96" t="str">
        <f t="shared" si="236"/>
        <v>2014</v>
      </c>
      <c r="D3792" s="73"/>
      <c r="E3792" s="100"/>
      <c r="F3792" s="101"/>
      <c r="G3792" s="96">
        <f t="shared" si="237"/>
        <v>2014</v>
      </c>
      <c r="I3792" s="96"/>
      <c r="K3792" t="str">
        <f t="shared" si="238"/>
        <v>2014</v>
      </c>
      <c r="M3792" s="72"/>
      <c r="O3792" s="96">
        <f t="shared" si="239"/>
        <v>2014</v>
      </c>
      <c r="T3792" s="110"/>
    </row>
    <row r="3793" spans="3:20" x14ac:dyDescent="0.2">
      <c r="C3793" s="96" t="str">
        <f t="shared" si="236"/>
        <v>2015</v>
      </c>
      <c r="D3793" s="73"/>
      <c r="E3793" s="100"/>
      <c r="F3793" s="101"/>
      <c r="G3793" s="96">
        <f t="shared" si="237"/>
        <v>2015</v>
      </c>
      <c r="I3793" s="96"/>
      <c r="K3793" t="str">
        <f t="shared" si="238"/>
        <v>2015</v>
      </c>
      <c r="M3793" s="72"/>
      <c r="O3793" s="96">
        <f t="shared" si="239"/>
        <v>2015</v>
      </c>
      <c r="T3793" s="110"/>
    </row>
    <row r="3794" spans="3:20" x14ac:dyDescent="0.2">
      <c r="C3794" s="96" t="str">
        <f t="shared" si="236"/>
        <v>2016</v>
      </c>
      <c r="D3794" s="73"/>
      <c r="E3794" s="100"/>
      <c r="F3794" s="101"/>
      <c r="G3794" s="96">
        <f t="shared" si="237"/>
        <v>2016</v>
      </c>
      <c r="I3794" s="96"/>
      <c r="K3794" t="str">
        <f t="shared" si="238"/>
        <v>2016</v>
      </c>
      <c r="M3794" s="72"/>
      <c r="O3794" s="96">
        <f t="shared" si="239"/>
        <v>2016</v>
      </c>
      <c r="T3794" s="110"/>
    </row>
    <row r="3795" spans="3:20" x14ac:dyDescent="0.2">
      <c r="C3795" s="96" t="str">
        <f t="shared" si="236"/>
        <v>2017</v>
      </c>
      <c r="D3795" s="73"/>
      <c r="E3795" s="100"/>
      <c r="F3795" s="101"/>
      <c r="G3795" s="96">
        <f t="shared" si="237"/>
        <v>2017</v>
      </c>
      <c r="I3795" s="96"/>
      <c r="K3795" t="str">
        <f t="shared" si="238"/>
        <v>2017</v>
      </c>
      <c r="M3795" s="72"/>
      <c r="O3795" s="96">
        <f t="shared" si="239"/>
        <v>2017</v>
      </c>
      <c r="T3795" s="110"/>
    </row>
    <row r="3796" spans="3:20" x14ac:dyDescent="0.2">
      <c r="C3796" s="96" t="str">
        <f t="shared" si="236"/>
        <v>2018</v>
      </c>
      <c r="D3796" s="73"/>
      <c r="E3796" s="100"/>
      <c r="F3796" s="101"/>
      <c r="G3796" s="96">
        <f t="shared" si="237"/>
        <v>2018</v>
      </c>
      <c r="I3796" s="96"/>
      <c r="K3796" t="str">
        <f t="shared" si="238"/>
        <v>2018</v>
      </c>
      <c r="M3796" s="72"/>
      <c r="O3796" s="96">
        <f t="shared" si="239"/>
        <v>2018</v>
      </c>
      <c r="T3796" s="110"/>
    </row>
    <row r="3797" spans="3:20" x14ac:dyDescent="0.2">
      <c r="C3797" s="96" t="str">
        <f t="shared" si="236"/>
        <v>2019</v>
      </c>
      <c r="D3797" s="73"/>
      <c r="E3797" s="100"/>
      <c r="F3797" s="101"/>
      <c r="G3797" s="96">
        <f t="shared" si="237"/>
        <v>2019</v>
      </c>
      <c r="I3797" s="96"/>
      <c r="K3797" t="str">
        <f t="shared" si="238"/>
        <v>2019</v>
      </c>
      <c r="M3797" s="72"/>
      <c r="O3797" s="96">
        <f t="shared" si="239"/>
        <v>2019</v>
      </c>
      <c r="T3797" s="110"/>
    </row>
    <row r="3798" spans="3:20" x14ac:dyDescent="0.2">
      <c r="C3798" s="96" t="str">
        <f t="shared" si="236"/>
        <v>2020</v>
      </c>
      <c r="D3798" s="73"/>
      <c r="E3798" s="100"/>
      <c r="F3798" s="101"/>
      <c r="G3798" s="96">
        <f t="shared" si="237"/>
        <v>2020</v>
      </c>
      <c r="I3798" s="96"/>
      <c r="K3798" t="str">
        <f t="shared" si="238"/>
        <v>2020</v>
      </c>
      <c r="M3798" s="72"/>
      <c r="O3798" s="96">
        <f t="shared" si="239"/>
        <v>2020</v>
      </c>
      <c r="T3798" s="110"/>
    </row>
    <row r="3799" spans="3:20" x14ac:dyDescent="0.2">
      <c r="C3799" s="96" t="str">
        <f t="shared" si="236"/>
        <v>2021</v>
      </c>
      <c r="D3799" s="73"/>
      <c r="E3799" s="100"/>
      <c r="F3799" s="101"/>
      <c r="G3799" s="96">
        <f t="shared" si="237"/>
        <v>2021</v>
      </c>
      <c r="I3799" s="96"/>
      <c r="K3799" t="str">
        <f t="shared" si="238"/>
        <v>2021</v>
      </c>
      <c r="M3799" s="72"/>
      <c r="O3799" s="96">
        <f t="shared" si="239"/>
        <v>2021</v>
      </c>
      <c r="T3799" s="110"/>
    </row>
    <row r="3800" spans="3:20" x14ac:dyDescent="0.2">
      <c r="C3800" s="96" t="str">
        <f t="shared" si="236"/>
        <v>2022</v>
      </c>
      <c r="D3800" s="73"/>
      <c r="E3800" s="100"/>
      <c r="F3800" s="101"/>
      <c r="G3800" s="96">
        <f t="shared" si="237"/>
        <v>2022</v>
      </c>
      <c r="I3800" s="96"/>
      <c r="K3800" t="str">
        <f t="shared" si="238"/>
        <v>2022</v>
      </c>
      <c r="M3800" s="72"/>
      <c r="O3800" s="96">
        <f t="shared" si="239"/>
        <v>2022</v>
      </c>
      <c r="T3800" s="110"/>
    </row>
    <row r="3801" spans="3:20" x14ac:dyDescent="0.2">
      <c r="C3801" s="96" t="str">
        <f t="shared" si="236"/>
        <v>2023</v>
      </c>
      <c r="D3801" s="73"/>
      <c r="E3801" s="100"/>
      <c r="F3801" s="101"/>
      <c r="G3801" s="96">
        <f t="shared" si="237"/>
        <v>2023</v>
      </c>
      <c r="I3801" s="96"/>
      <c r="K3801" t="str">
        <f t="shared" si="238"/>
        <v>2023</v>
      </c>
      <c r="M3801" s="72"/>
      <c r="O3801" s="96">
        <f t="shared" si="239"/>
        <v>2023</v>
      </c>
      <c r="T3801" s="110"/>
    </row>
    <row r="3802" spans="3:20" x14ac:dyDescent="0.2">
      <c r="C3802" s="96" t="str">
        <f t="shared" si="236"/>
        <v>2024</v>
      </c>
      <c r="D3802" s="73"/>
      <c r="E3802" s="100"/>
      <c r="F3802" s="101"/>
      <c r="G3802" s="96">
        <f t="shared" si="237"/>
        <v>2024</v>
      </c>
      <c r="I3802" s="96"/>
      <c r="K3802" t="str">
        <f t="shared" si="238"/>
        <v>2024</v>
      </c>
      <c r="M3802" s="72"/>
      <c r="O3802" s="96">
        <f t="shared" si="239"/>
        <v>2024</v>
      </c>
      <c r="T3802" s="110"/>
    </row>
    <row r="3803" spans="3:20" x14ac:dyDescent="0.2">
      <c r="C3803" s="96" t="str">
        <f t="shared" si="236"/>
        <v>2025</v>
      </c>
      <c r="D3803" s="73"/>
      <c r="E3803" s="100"/>
      <c r="F3803" s="101"/>
      <c r="G3803" s="96">
        <f t="shared" si="237"/>
        <v>2025</v>
      </c>
      <c r="I3803" s="96"/>
      <c r="K3803" t="str">
        <f t="shared" si="238"/>
        <v>2025</v>
      </c>
      <c r="M3803" s="72"/>
      <c r="O3803" s="96">
        <f t="shared" si="239"/>
        <v>2025</v>
      </c>
      <c r="T3803" s="110"/>
    </row>
    <row r="3804" spans="3:20" x14ac:dyDescent="0.2">
      <c r="C3804" s="96" t="str">
        <f t="shared" si="236"/>
        <v>2026</v>
      </c>
      <c r="D3804" s="73"/>
      <c r="E3804" s="100"/>
      <c r="F3804" s="101"/>
      <c r="G3804" s="96">
        <f t="shared" si="237"/>
        <v>2026</v>
      </c>
      <c r="I3804" s="96"/>
      <c r="K3804" t="str">
        <f t="shared" si="238"/>
        <v>2026</v>
      </c>
      <c r="M3804" s="72"/>
      <c r="O3804" s="96">
        <f t="shared" si="239"/>
        <v>2026</v>
      </c>
      <c r="T3804" s="110"/>
    </row>
    <row r="3805" spans="3:20" x14ac:dyDescent="0.2">
      <c r="C3805" s="96" t="str">
        <f t="shared" si="236"/>
        <v>2027</v>
      </c>
      <c r="D3805" s="73"/>
      <c r="E3805" s="100"/>
      <c r="F3805" s="101"/>
      <c r="G3805" s="96">
        <f t="shared" si="237"/>
        <v>2027</v>
      </c>
      <c r="I3805" s="96"/>
      <c r="K3805" t="str">
        <f t="shared" si="238"/>
        <v>2027</v>
      </c>
      <c r="M3805" s="72"/>
      <c r="O3805" s="96">
        <f t="shared" si="239"/>
        <v>2027</v>
      </c>
      <c r="T3805" s="110"/>
    </row>
    <row r="3806" spans="3:20" x14ac:dyDescent="0.2">
      <c r="C3806" s="96" t="str">
        <f t="shared" si="236"/>
        <v>2028</v>
      </c>
      <c r="D3806" s="73"/>
      <c r="E3806" s="100"/>
      <c r="F3806" s="101"/>
      <c r="G3806" s="96">
        <f t="shared" si="237"/>
        <v>2028</v>
      </c>
      <c r="I3806" s="96"/>
      <c r="K3806" t="str">
        <f t="shared" si="238"/>
        <v>2028</v>
      </c>
      <c r="M3806" s="72"/>
      <c r="O3806" s="96">
        <f t="shared" si="239"/>
        <v>2028</v>
      </c>
      <c r="T3806" s="110"/>
    </row>
    <row r="3807" spans="3:20" x14ac:dyDescent="0.2">
      <c r="C3807" s="96" t="str">
        <f t="shared" si="236"/>
        <v>2029</v>
      </c>
      <c r="D3807" s="73"/>
      <c r="E3807" s="100"/>
      <c r="F3807" s="101"/>
      <c r="G3807" s="96">
        <f t="shared" si="237"/>
        <v>2029</v>
      </c>
      <c r="I3807" s="96"/>
      <c r="K3807" t="str">
        <f t="shared" si="238"/>
        <v>2029</v>
      </c>
      <c r="M3807" s="72"/>
      <c r="O3807" s="96">
        <f t="shared" si="239"/>
        <v>2029</v>
      </c>
      <c r="T3807" s="110"/>
    </row>
    <row r="3808" spans="3:20" x14ac:dyDescent="0.2">
      <c r="C3808" s="96" t="str">
        <f t="shared" si="236"/>
        <v>2030</v>
      </c>
      <c r="D3808" s="73"/>
      <c r="E3808" s="100"/>
      <c r="F3808" s="101"/>
      <c r="G3808" s="96">
        <f t="shared" si="237"/>
        <v>2030</v>
      </c>
      <c r="I3808" s="96"/>
      <c r="K3808" t="str">
        <f t="shared" si="238"/>
        <v>2030</v>
      </c>
      <c r="M3808" s="72"/>
      <c r="O3808" s="96">
        <f t="shared" si="239"/>
        <v>2030</v>
      </c>
      <c r="T3808" s="110"/>
    </row>
    <row r="3809" spans="3:20" x14ac:dyDescent="0.2">
      <c r="C3809" s="96" t="str">
        <f t="shared" si="236"/>
        <v>2031</v>
      </c>
      <c r="D3809" s="73"/>
      <c r="E3809" s="100"/>
      <c r="F3809" s="101"/>
      <c r="G3809" s="96">
        <f t="shared" si="237"/>
        <v>2031</v>
      </c>
      <c r="I3809" s="96"/>
      <c r="K3809" t="str">
        <f t="shared" si="238"/>
        <v>2031</v>
      </c>
      <c r="M3809" s="72"/>
      <c r="O3809" s="96">
        <f t="shared" si="239"/>
        <v>2031</v>
      </c>
      <c r="T3809" s="110"/>
    </row>
    <row r="3810" spans="3:20" x14ac:dyDescent="0.2">
      <c r="C3810" s="96" t="str">
        <f t="shared" si="236"/>
        <v>2032</v>
      </c>
      <c r="D3810" s="73"/>
      <c r="E3810" s="100"/>
      <c r="F3810" s="101"/>
      <c r="G3810" s="96">
        <f t="shared" si="237"/>
        <v>2032</v>
      </c>
      <c r="I3810" s="96"/>
      <c r="K3810" t="str">
        <f t="shared" si="238"/>
        <v>2032</v>
      </c>
      <c r="M3810" s="72"/>
      <c r="O3810" s="96">
        <f t="shared" si="239"/>
        <v>2032</v>
      </c>
      <c r="T3810" s="110"/>
    </row>
    <row r="3811" spans="3:20" x14ac:dyDescent="0.2">
      <c r="C3811" s="96" t="str">
        <f t="shared" si="236"/>
        <v>2033</v>
      </c>
      <c r="D3811" s="73"/>
      <c r="E3811" s="100"/>
      <c r="F3811" s="101"/>
      <c r="G3811" s="96">
        <f t="shared" si="237"/>
        <v>2033</v>
      </c>
      <c r="I3811" s="96"/>
      <c r="K3811" t="str">
        <f t="shared" si="238"/>
        <v>2033</v>
      </c>
      <c r="M3811" s="72"/>
      <c r="O3811" s="96">
        <f t="shared" si="239"/>
        <v>2033</v>
      </c>
      <c r="T3811" s="110"/>
    </row>
    <row r="3812" spans="3:20" x14ac:dyDescent="0.2">
      <c r="C3812" s="96" t="str">
        <f t="shared" si="236"/>
        <v>2034</v>
      </c>
      <c r="D3812" s="73"/>
      <c r="E3812" s="100"/>
      <c r="F3812" s="101"/>
      <c r="G3812" s="96">
        <f t="shared" si="237"/>
        <v>2034</v>
      </c>
      <c r="I3812" s="96"/>
      <c r="K3812" t="str">
        <f t="shared" si="238"/>
        <v>2034</v>
      </c>
      <c r="M3812" s="72"/>
      <c r="O3812" s="96">
        <f t="shared" si="239"/>
        <v>2034</v>
      </c>
      <c r="T3812" s="110"/>
    </row>
    <row r="3813" spans="3:20" x14ac:dyDescent="0.2">
      <c r="C3813" s="96" t="str">
        <f t="shared" si="236"/>
        <v>2035</v>
      </c>
      <c r="D3813" s="73"/>
      <c r="E3813" s="100"/>
      <c r="F3813" s="101"/>
      <c r="G3813" s="96">
        <f t="shared" si="237"/>
        <v>2035</v>
      </c>
      <c r="I3813" s="96"/>
      <c r="K3813" t="str">
        <f t="shared" si="238"/>
        <v>2035</v>
      </c>
      <c r="M3813" s="72"/>
      <c r="O3813" s="96">
        <f t="shared" si="239"/>
        <v>2035</v>
      </c>
      <c r="T3813" s="110"/>
    </row>
    <row r="3814" spans="3:20" x14ac:dyDescent="0.2">
      <c r="C3814" s="96" t="str">
        <f t="shared" si="236"/>
        <v>2036</v>
      </c>
      <c r="D3814" s="73"/>
      <c r="E3814" s="100"/>
      <c r="F3814" s="101"/>
      <c r="G3814" s="96">
        <f t="shared" si="237"/>
        <v>2036</v>
      </c>
      <c r="I3814" s="96"/>
      <c r="K3814" t="str">
        <f t="shared" si="238"/>
        <v>2036</v>
      </c>
      <c r="M3814" s="72"/>
      <c r="O3814" s="96">
        <f t="shared" si="239"/>
        <v>2036</v>
      </c>
      <c r="T3814" s="110"/>
    </row>
    <row r="3815" spans="3:20" x14ac:dyDescent="0.2">
      <c r="C3815" s="96" t="str">
        <f t="shared" si="236"/>
        <v>2037</v>
      </c>
      <c r="D3815" s="73"/>
      <c r="E3815" s="100"/>
      <c r="F3815" s="101"/>
      <c r="G3815" s="96">
        <f t="shared" si="237"/>
        <v>2037</v>
      </c>
      <c r="I3815" s="96"/>
      <c r="K3815" t="str">
        <f t="shared" si="238"/>
        <v>2037</v>
      </c>
      <c r="M3815" s="72"/>
      <c r="O3815" s="96">
        <f t="shared" si="239"/>
        <v>2037</v>
      </c>
      <c r="T3815" s="110"/>
    </row>
    <row r="3816" spans="3:20" x14ac:dyDescent="0.2">
      <c r="C3816" s="96" t="str">
        <f t="shared" si="236"/>
        <v>2038</v>
      </c>
      <c r="D3816" s="73"/>
      <c r="E3816" s="100"/>
      <c r="F3816" s="101"/>
      <c r="G3816" s="96">
        <f t="shared" si="237"/>
        <v>2038</v>
      </c>
      <c r="I3816" s="96"/>
      <c r="K3816" t="str">
        <f t="shared" si="238"/>
        <v>2038</v>
      </c>
      <c r="M3816" s="72"/>
      <c r="O3816" s="96">
        <f t="shared" si="239"/>
        <v>2038</v>
      </c>
      <c r="T3816" s="110"/>
    </row>
    <row r="3817" spans="3:20" x14ac:dyDescent="0.2">
      <c r="C3817" s="96" t="str">
        <f t="shared" si="236"/>
        <v>2039</v>
      </c>
      <c r="D3817" s="73"/>
      <c r="E3817" s="100"/>
      <c r="F3817" s="101"/>
      <c r="G3817" s="96">
        <f t="shared" si="237"/>
        <v>2039</v>
      </c>
      <c r="I3817" s="96"/>
      <c r="K3817" t="str">
        <f t="shared" si="238"/>
        <v>2039</v>
      </c>
      <c r="M3817" s="72"/>
      <c r="O3817" s="96">
        <f t="shared" si="239"/>
        <v>2039</v>
      </c>
      <c r="T3817" s="110"/>
    </row>
    <row r="3818" spans="3:20" x14ac:dyDescent="0.2">
      <c r="C3818" s="96" t="str">
        <f t="shared" si="236"/>
        <v>2040</v>
      </c>
      <c r="D3818" s="73"/>
      <c r="E3818" s="100"/>
      <c r="F3818" s="101"/>
      <c r="G3818" s="96">
        <f t="shared" si="237"/>
        <v>2040</v>
      </c>
      <c r="I3818" s="96"/>
      <c r="K3818" t="str">
        <f t="shared" si="238"/>
        <v>2040</v>
      </c>
      <c r="M3818" s="72"/>
      <c r="O3818" s="96">
        <f t="shared" si="239"/>
        <v>2040</v>
      </c>
      <c r="T3818" s="110"/>
    </row>
    <row r="3819" spans="3:20" x14ac:dyDescent="0.2">
      <c r="C3819" s="96" t="str">
        <f t="shared" si="236"/>
        <v>2041</v>
      </c>
      <c r="D3819" s="73"/>
      <c r="E3819" s="100"/>
      <c r="F3819" s="101"/>
      <c r="G3819" s="96">
        <f t="shared" si="237"/>
        <v>2041</v>
      </c>
      <c r="I3819" s="96"/>
      <c r="K3819" t="str">
        <f t="shared" si="238"/>
        <v>2041</v>
      </c>
      <c r="M3819" s="72"/>
      <c r="O3819" s="96">
        <f t="shared" si="239"/>
        <v>2041</v>
      </c>
      <c r="T3819" s="110"/>
    </row>
    <row r="3820" spans="3:20" x14ac:dyDescent="0.2">
      <c r="C3820" s="96" t="str">
        <f t="shared" si="236"/>
        <v>2042</v>
      </c>
      <c r="D3820" s="73"/>
      <c r="E3820" s="100"/>
      <c r="F3820" s="101"/>
      <c r="G3820" s="96">
        <f t="shared" si="237"/>
        <v>2042</v>
      </c>
      <c r="I3820" s="96"/>
      <c r="K3820" t="str">
        <f t="shared" si="238"/>
        <v>2042</v>
      </c>
      <c r="M3820" s="72"/>
      <c r="O3820" s="96">
        <f t="shared" si="239"/>
        <v>2042</v>
      </c>
      <c r="T3820" s="110"/>
    </row>
    <row r="3821" spans="3:20" x14ac:dyDescent="0.2">
      <c r="C3821" s="96" t="str">
        <f t="shared" si="236"/>
        <v>2043</v>
      </c>
      <c r="D3821" s="73"/>
      <c r="E3821" s="100"/>
      <c r="F3821" s="101"/>
      <c r="G3821" s="96">
        <f t="shared" si="237"/>
        <v>2043</v>
      </c>
      <c r="I3821" s="96"/>
      <c r="K3821" t="str">
        <f t="shared" si="238"/>
        <v>2043</v>
      </c>
      <c r="M3821" s="72"/>
      <c r="O3821" s="96">
        <f t="shared" si="239"/>
        <v>2043</v>
      </c>
      <c r="T3821" s="110"/>
    </row>
    <row r="3822" spans="3:20" x14ac:dyDescent="0.2">
      <c r="C3822" s="96" t="str">
        <f t="shared" si="236"/>
        <v>2044</v>
      </c>
      <c r="D3822" s="73"/>
      <c r="E3822" s="100"/>
      <c r="F3822" s="101"/>
      <c r="G3822" s="96">
        <f t="shared" si="237"/>
        <v>2044</v>
      </c>
      <c r="I3822" s="96"/>
      <c r="K3822" t="str">
        <f t="shared" si="238"/>
        <v>2044</v>
      </c>
      <c r="M3822" s="72"/>
      <c r="O3822" s="96">
        <f t="shared" si="239"/>
        <v>2044</v>
      </c>
      <c r="T3822" s="110"/>
    </row>
    <row r="3823" spans="3:20" x14ac:dyDescent="0.2">
      <c r="C3823" s="96" t="str">
        <f t="shared" si="236"/>
        <v>2045</v>
      </c>
      <c r="D3823" s="73"/>
      <c r="E3823" s="100"/>
      <c r="F3823" s="101"/>
      <c r="G3823" s="96">
        <f t="shared" si="237"/>
        <v>2045</v>
      </c>
      <c r="I3823" s="96"/>
      <c r="K3823" t="str">
        <f t="shared" si="238"/>
        <v>2045</v>
      </c>
      <c r="M3823" s="72"/>
      <c r="O3823" s="96">
        <f t="shared" si="239"/>
        <v>2045</v>
      </c>
      <c r="T3823" s="110"/>
    </row>
    <row r="3824" spans="3:20" x14ac:dyDescent="0.2">
      <c r="C3824" s="96" t="str">
        <f t="shared" si="236"/>
        <v>2046</v>
      </c>
      <c r="D3824" s="73"/>
      <c r="E3824" s="100"/>
      <c r="F3824" s="101"/>
      <c r="G3824" s="96">
        <f t="shared" si="237"/>
        <v>2046</v>
      </c>
      <c r="I3824" s="96"/>
      <c r="K3824" t="str">
        <f t="shared" si="238"/>
        <v>2046</v>
      </c>
      <c r="M3824" s="72"/>
      <c r="O3824" s="96">
        <f t="shared" si="239"/>
        <v>2046</v>
      </c>
      <c r="T3824" s="110"/>
    </row>
    <row r="3825" spans="3:20" x14ac:dyDescent="0.2">
      <c r="C3825" s="96" t="str">
        <f t="shared" si="236"/>
        <v>2047</v>
      </c>
      <c r="D3825" s="73"/>
      <c r="E3825" s="100"/>
      <c r="F3825" s="101"/>
      <c r="G3825" s="96">
        <f t="shared" si="237"/>
        <v>2047</v>
      </c>
      <c r="I3825" s="96"/>
      <c r="K3825" t="str">
        <f t="shared" si="238"/>
        <v>2047</v>
      </c>
      <c r="M3825" s="72"/>
      <c r="O3825" s="96">
        <f t="shared" si="239"/>
        <v>2047</v>
      </c>
      <c r="T3825" s="110"/>
    </row>
    <row r="3826" spans="3:20" x14ac:dyDescent="0.2">
      <c r="C3826" s="96" t="str">
        <f t="shared" si="236"/>
        <v>2048</v>
      </c>
      <c r="D3826" s="73"/>
      <c r="E3826" s="100"/>
      <c r="F3826" s="101"/>
      <c r="G3826" s="96">
        <f t="shared" si="237"/>
        <v>2048</v>
      </c>
      <c r="I3826" s="96"/>
      <c r="K3826" t="str">
        <f t="shared" si="238"/>
        <v>2048</v>
      </c>
      <c r="M3826" s="72"/>
      <c r="O3826" s="96">
        <f t="shared" si="239"/>
        <v>2048</v>
      </c>
      <c r="T3826" s="110"/>
    </row>
    <row r="3827" spans="3:20" x14ac:dyDescent="0.2">
      <c r="C3827" s="96" t="str">
        <f t="shared" si="236"/>
        <v>2049</v>
      </c>
      <c r="D3827" s="73"/>
      <c r="E3827" s="100"/>
      <c r="F3827" s="101"/>
      <c r="G3827" s="96">
        <f t="shared" si="237"/>
        <v>2049</v>
      </c>
      <c r="I3827" s="96"/>
      <c r="K3827" t="str">
        <f t="shared" si="238"/>
        <v>2049</v>
      </c>
      <c r="M3827" s="72"/>
      <c r="O3827" s="96">
        <f t="shared" si="239"/>
        <v>2049</v>
      </c>
      <c r="T3827" s="110"/>
    </row>
    <row r="3828" spans="3:20" x14ac:dyDescent="0.2">
      <c r="C3828" s="96" t="str">
        <f t="shared" si="236"/>
        <v>2050</v>
      </c>
      <c r="D3828" s="73"/>
      <c r="E3828" s="100"/>
      <c r="F3828" s="101"/>
      <c r="G3828" s="96">
        <f t="shared" si="237"/>
        <v>2050</v>
      </c>
      <c r="I3828" s="96"/>
      <c r="K3828" t="str">
        <f t="shared" si="238"/>
        <v>2050</v>
      </c>
      <c r="M3828" s="72"/>
      <c r="O3828" s="96">
        <f t="shared" si="239"/>
        <v>2050</v>
      </c>
      <c r="T3828" s="110"/>
    </row>
    <row r="3829" spans="3:20" x14ac:dyDescent="0.2">
      <c r="C3829" s="96" t="str">
        <f t="shared" si="236"/>
        <v>2051</v>
      </c>
      <c r="D3829" s="73"/>
      <c r="E3829" s="100"/>
      <c r="F3829" s="101"/>
      <c r="G3829" s="96">
        <f t="shared" si="237"/>
        <v>2051</v>
      </c>
      <c r="I3829" s="96"/>
      <c r="K3829" t="str">
        <f t="shared" si="238"/>
        <v>2051</v>
      </c>
      <c r="M3829" s="72"/>
      <c r="O3829" s="96">
        <f t="shared" si="239"/>
        <v>2051</v>
      </c>
      <c r="T3829" s="110"/>
    </row>
    <row r="3830" spans="3:20" x14ac:dyDescent="0.2">
      <c r="C3830" s="96" t="str">
        <f t="shared" si="236"/>
        <v>2052</v>
      </c>
      <c r="D3830" s="73"/>
      <c r="E3830" s="100"/>
      <c r="F3830" s="101"/>
      <c r="G3830" s="96">
        <f t="shared" si="237"/>
        <v>2052</v>
      </c>
      <c r="I3830" s="96"/>
      <c r="K3830" t="str">
        <f t="shared" si="238"/>
        <v>2052</v>
      </c>
      <c r="M3830" s="72"/>
      <c r="O3830" s="96">
        <f t="shared" si="239"/>
        <v>2052</v>
      </c>
      <c r="T3830" s="83"/>
    </row>
    <row r="3831" spans="3:20" x14ac:dyDescent="0.2">
      <c r="C3831" s="96" t="str">
        <f t="shared" si="236"/>
        <v>2053</v>
      </c>
      <c r="D3831" s="73"/>
      <c r="E3831" s="100"/>
      <c r="F3831" s="101"/>
      <c r="G3831" s="96">
        <f t="shared" si="237"/>
        <v>2053</v>
      </c>
      <c r="I3831" s="96"/>
      <c r="K3831" t="str">
        <f t="shared" si="238"/>
        <v>2053</v>
      </c>
      <c r="M3831" s="72"/>
      <c r="O3831" s="96">
        <f t="shared" si="239"/>
        <v>2053</v>
      </c>
      <c r="T3831" s="83"/>
    </row>
    <row r="3832" spans="3:20" x14ac:dyDescent="0.2">
      <c r="C3832" s="96" t="str">
        <f t="shared" si="236"/>
        <v>2054</v>
      </c>
      <c r="D3832" s="73"/>
      <c r="E3832" s="100"/>
      <c r="F3832" s="101"/>
      <c r="G3832" s="96">
        <f t="shared" si="237"/>
        <v>2054</v>
      </c>
      <c r="I3832" s="96"/>
      <c r="K3832" t="str">
        <f t="shared" si="238"/>
        <v>2054</v>
      </c>
      <c r="M3832" s="72"/>
      <c r="O3832" s="96">
        <f t="shared" si="239"/>
        <v>2054</v>
      </c>
      <c r="T3832" s="83"/>
    </row>
    <row r="3833" spans="3:20" x14ac:dyDescent="0.2">
      <c r="C3833" s="96" t="str">
        <f t="shared" si="236"/>
        <v>2055</v>
      </c>
      <c r="D3833" s="73"/>
      <c r="E3833" s="100"/>
      <c r="F3833" s="101"/>
      <c r="G3833" s="96">
        <f t="shared" si="237"/>
        <v>2055</v>
      </c>
      <c r="I3833" s="96"/>
      <c r="K3833" t="str">
        <f t="shared" si="238"/>
        <v>2055</v>
      </c>
      <c r="M3833" s="72"/>
      <c r="O3833" s="96">
        <f t="shared" si="239"/>
        <v>2055</v>
      </c>
      <c r="T3833" s="110"/>
    </row>
    <row r="3834" spans="3:20" x14ac:dyDescent="0.2">
      <c r="C3834" s="96" t="str">
        <f t="shared" si="236"/>
        <v>2056</v>
      </c>
      <c r="D3834" s="73"/>
      <c r="E3834" s="100"/>
      <c r="F3834" s="101"/>
      <c r="G3834" s="96">
        <f t="shared" si="237"/>
        <v>2056</v>
      </c>
      <c r="I3834" s="96"/>
      <c r="K3834" t="str">
        <f t="shared" si="238"/>
        <v>2056</v>
      </c>
      <c r="M3834" s="72"/>
      <c r="O3834" s="96">
        <f t="shared" si="239"/>
        <v>2056</v>
      </c>
    </row>
    <row r="3835" spans="3:20" x14ac:dyDescent="0.2">
      <c r="C3835" s="96" t="str">
        <f t="shared" si="236"/>
        <v>2057</v>
      </c>
      <c r="D3835" s="73"/>
      <c r="E3835" s="100"/>
      <c r="F3835" s="101"/>
      <c r="G3835" s="96">
        <f t="shared" si="237"/>
        <v>2057</v>
      </c>
      <c r="I3835" s="96"/>
      <c r="K3835" t="str">
        <f t="shared" si="238"/>
        <v>2057</v>
      </c>
      <c r="M3835" s="72"/>
      <c r="O3835" s="96">
        <f t="shared" si="239"/>
        <v>2057</v>
      </c>
      <c r="T3835" s="83"/>
    </row>
    <row r="3836" spans="3:20" x14ac:dyDescent="0.2">
      <c r="C3836" s="96" t="str">
        <f t="shared" si="236"/>
        <v>2058</v>
      </c>
      <c r="D3836" s="73"/>
      <c r="E3836" s="100"/>
      <c r="F3836" s="101"/>
      <c r="G3836" s="96">
        <f t="shared" si="237"/>
        <v>2058</v>
      </c>
      <c r="I3836" s="96"/>
      <c r="K3836" t="str">
        <f t="shared" si="238"/>
        <v>2058</v>
      </c>
      <c r="M3836" s="72"/>
      <c r="O3836" s="96">
        <f t="shared" si="239"/>
        <v>2058</v>
      </c>
      <c r="T3836" s="110"/>
    </row>
    <row r="3837" spans="3:20" x14ac:dyDescent="0.2">
      <c r="C3837" s="96" t="str">
        <f t="shared" si="236"/>
        <v>2059</v>
      </c>
      <c r="D3837" s="73"/>
      <c r="E3837" s="100"/>
      <c r="F3837" s="101"/>
      <c r="G3837" s="96">
        <f t="shared" si="237"/>
        <v>2059</v>
      </c>
      <c r="I3837" s="96"/>
      <c r="K3837" t="str">
        <f t="shared" si="238"/>
        <v>2059</v>
      </c>
      <c r="M3837" s="72"/>
      <c r="O3837" s="96">
        <f t="shared" si="239"/>
        <v>2059</v>
      </c>
      <c r="T3837" s="110"/>
    </row>
    <row r="3838" spans="3:20" x14ac:dyDescent="0.2">
      <c r="C3838" s="96" t="str">
        <f t="shared" si="236"/>
        <v>2060</v>
      </c>
      <c r="D3838" s="73"/>
      <c r="E3838" s="100"/>
      <c r="F3838" s="101"/>
      <c r="G3838" s="96">
        <f t="shared" si="237"/>
        <v>2060</v>
      </c>
      <c r="I3838" s="96"/>
      <c r="K3838" t="str">
        <f t="shared" si="238"/>
        <v>2060</v>
      </c>
      <c r="M3838" s="72"/>
      <c r="O3838" s="96">
        <f t="shared" si="239"/>
        <v>2060</v>
      </c>
      <c r="T3838" s="110"/>
    </row>
    <row r="3839" spans="3:20" x14ac:dyDescent="0.2">
      <c r="C3839" s="96" t="str">
        <f t="shared" si="236"/>
        <v>2061</v>
      </c>
      <c r="D3839" s="73"/>
      <c r="E3839" s="100"/>
      <c r="F3839" s="101"/>
      <c r="G3839" s="96">
        <f t="shared" si="237"/>
        <v>2061</v>
      </c>
      <c r="I3839" s="96"/>
      <c r="K3839" t="str">
        <f t="shared" si="238"/>
        <v>2061</v>
      </c>
      <c r="M3839" s="72"/>
      <c r="O3839" s="96">
        <f t="shared" si="239"/>
        <v>2061</v>
      </c>
      <c r="T3839" s="110"/>
    </row>
    <row r="3840" spans="3:20" x14ac:dyDescent="0.2">
      <c r="C3840" s="96" t="str">
        <f t="shared" si="236"/>
        <v>2062</v>
      </c>
      <c r="D3840" s="73"/>
      <c r="E3840" s="100"/>
      <c r="F3840" s="101"/>
      <c r="G3840" s="96">
        <f t="shared" si="237"/>
        <v>2062</v>
      </c>
      <c r="I3840" s="96"/>
      <c r="K3840" t="str">
        <f t="shared" si="238"/>
        <v>2062</v>
      </c>
      <c r="M3840" s="72"/>
      <c r="O3840" s="96">
        <f t="shared" si="239"/>
        <v>2062</v>
      </c>
      <c r="T3840" s="110"/>
    </row>
    <row r="3841" spans="3:20" x14ac:dyDescent="0.2">
      <c r="C3841" s="96" t="str">
        <f t="shared" si="236"/>
        <v>2063</v>
      </c>
      <c r="D3841" s="73"/>
      <c r="E3841" s="100"/>
      <c r="F3841" s="101"/>
      <c r="G3841" s="96">
        <f t="shared" si="237"/>
        <v>2063</v>
      </c>
      <c r="I3841" s="96"/>
      <c r="K3841" t="str">
        <f t="shared" si="238"/>
        <v>2063</v>
      </c>
      <c r="M3841" s="72"/>
      <c r="O3841" s="96">
        <f t="shared" si="239"/>
        <v>2063</v>
      </c>
      <c r="T3841" s="110"/>
    </row>
    <row r="3842" spans="3:20" x14ac:dyDescent="0.2">
      <c r="C3842" s="96" t="str">
        <f t="shared" si="236"/>
        <v>2064</v>
      </c>
      <c r="D3842" s="73"/>
      <c r="E3842" s="100"/>
      <c r="F3842" s="101"/>
      <c r="G3842" s="96">
        <f t="shared" si="237"/>
        <v>2064</v>
      </c>
      <c r="I3842" s="96"/>
      <c r="K3842" t="str">
        <f t="shared" si="238"/>
        <v>2064</v>
      </c>
      <c r="M3842" s="72"/>
      <c r="O3842" s="96">
        <f t="shared" si="239"/>
        <v>2064</v>
      </c>
      <c r="T3842" s="110"/>
    </row>
    <row r="3843" spans="3:20" x14ac:dyDescent="0.2">
      <c r="C3843" s="96" t="str">
        <f t="shared" ref="C3843:C3906" si="240">D3843&amp;G3843</f>
        <v>2065</v>
      </c>
      <c r="D3843" s="73"/>
      <c r="E3843" s="100"/>
      <c r="F3843" s="101"/>
      <c r="G3843" s="96">
        <f t="shared" ref="G3843:G3906" si="241">IF(D3843&lt;&gt;D3842,1,G3842+1)</f>
        <v>2065</v>
      </c>
      <c r="I3843" s="96"/>
      <c r="K3843" t="str">
        <f t="shared" ref="K3843:K3906" si="242">L3843&amp;O3843</f>
        <v>2065</v>
      </c>
      <c r="M3843" s="72"/>
      <c r="O3843" s="96">
        <f t="shared" ref="O3843:O3906" si="243">IF(L3843&lt;&gt;L3842,1,O3842+1)</f>
        <v>2065</v>
      </c>
      <c r="T3843" s="110"/>
    </row>
    <row r="3844" spans="3:20" x14ac:dyDescent="0.2">
      <c r="C3844" s="96" t="str">
        <f t="shared" si="240"/>
        <v>2066</v>
      </c>
      <c r="D3844" s="73"/>
      <c r="E3844" s="100"/>
      <c r="F3844" s="101"/>
      <c r="G3844" s="96">
        <f t="shared" si="241"/>
        <v>2066</v>
      </c>
      <c r="I3844" s="96"/>
      <c r="K3844" t="str">
        <f t="shared" si="242"/>
        <v>2066</v>
      </c>
      <c r="M3844" s="72"/>
      <c r="O3844" s="96">
        <f t="shared" si="243"/>
        <v>2066</v>
      </c>
      <c r="T3844" s="110"/>
    </row>
    <row r="3845" spans="3:20" x14ac:dyDescent="0.2">
      <c r="C3845" s="96" t="str">
        <f t="shared" si="240"/>
        <v>2067</v>
      </c>
      <c r="D3845" s="73"/>
      <c r="E3845" s="100"/>
      <c r="F3845" s="101"/>
      <c r="G3845" s="96">
        <f t="shared" si="241"/>
        <v>2067</v>
      </c>
      <c r="I3845" s="96"/>
      <c r="K3845" t="str">
        <f t="shared" si="242"/>
        <v>2067</v>
      </c>
      <c r="M3845" s="72"/>
      <c r="O3845" s="96">
        <f t="shared" si="243"/>
        <v>2067</v>
      </c>
      <c r="T3845" s="110"/>
    </row>
    <row r="3846" spans="3:20" x14ac:dyDescent="0.2">
      <c r="C3846" s="96" t="str">
        <f t="shared" si="240"/>
        <v>2068</v>
      </c>
      <c r="D3846" s="73"/>
      <c r="E3846" s="100"/>
      <c r="F3846" s="101"/>
      <c r="G3846" s="96">
        <f t="shared" si="241"/>
        <v>2068</v>
      </c>
      <c r="I3846" s="96"/>
      <c r="K3846" t="str">
        <f t="shared" si="242"/>
        <v>2068</v>
      </c>
      <c r="M3846" s="72"/>
      <c r="O3846" s="96">
        <f t="shared" si="243"/>
        <v>2068</v>
      </c>
    </row>
    <row r="3847" spans="3:20" x14ac:dyDescent="0.2">
      <c r="C3847" s="96" t="str">
        <f t="shared" si="240"/>
        <v>2069</v>
      </c>
      <c r="D3847" s="73"/>
      <c r="E3847" s="100"/>
      <c r="F3847" s="101"/>
      <c r="G3847" s="96">
        <f t="shared" si="241"/>
        <v>2069</v>
      </c>
      <c r="I3847" s="96"/>
      <c r="K3847" t="str">
        <f t="shared" si="242"/>
        <v>2069</v>
      </c>
      <c r="M3847" s="72"/>
      <c r="O3847" s="96">
        <f t="shared" si="243"/>
        <v>2069</v>
      </c>
      <c r="T3847" s="110"/>
    </row>
    <row r="3848" spans="3:20" x14ac:dyDescent="0.2">
      <c r="C3848" s="96" t="str">
        <f t="shared" si="240"/>
        <v>2070</v>
      </c>
      <c r="D3848" s="73"/>
      <c r="E3848" s="100"/>
      <c r="F3848" s="101"/>
      <c r="G3848" s="96">
        <f t="shared" si="241"/>
        <v>2070</v>
      </c>
      <c r="I3848" s="96"/>
      <c r="K3848" t="str">
        <f t="shared" si="242"/>
        <v>2070</v>
      </c>
      <c r="M3848" s="72"/>
      <c r="O3848" s="96">
        <f t="shared" si="243"/>
        <v>2070</v>
      </c>
      <c r="T3848" s="110"/>
    </row>
    <row r="3849" spans="3:20" x14ac:dyDescent="0.2">
      <c r="C3849" s="96" t="str">
        <f t="shared" si="240"/>
        <v>2071</v>
      </c>
      <c r="D3849" s="73"/>
      <c r="E3849" s="100"/>
      <c r="F3849" s="101"/>
      <c r="G3849" s="96">
        <f t="shared" si="241"/>
        <v>2071</v>
      </c>
      <c r="I3849" s="96"/>
      <c r="K3849" t="str">
        <f t="shared" si="242"/>
        <v>2071</v>
      </c>
      <c r="M3849" s="72"/>
      <c r="O3849" s="96">
        <f t="shared" si="243"/>
        <v>2071</v>
      </c>
      <c r="T3849" s="110"/>
    </row>
    <row r="3850" spans="3:20" x14ac:dyDescent="0.2">
      <c r="C3850" s="96" t="str">
        <f t="shared" si="240"/>
        <v>2072</v>
      </c>
      <c r="D3850" s="73"/>
      <c r="E3850" s="100"/>
      <c r="F3850" s="101"/>
      <c r="G3850" s="96">
        <f t="shared" si="241"/>
        <v>2072</v>
      </c>
      <c r="I3850" s="96"/>
      <c r="K3850" t="str">
        <f t="shared" si="242"/>
        <v>2072</v>
      </c>
      <c r="M3850" s="72"/>
      <c r="O3850" s="96">
        <f t="shared" si="243"/>
        <v>2072</v>
      </c>
      <c r="T3850" s="110"/>
    </row>
    <row r="3851" spans="3:20" x14ac:dyDescent="0.2">
      <c r="C3851" s="96" t="str">
        <f t="shared" si="240"/>
        <v>2073</v>
      </c>
      <c r="D3851" s="73"/>
      <c r="E3851" s="100"/>
      <c r="F3851" s="101"/>
      <c r="G3851" s="96">
        <f t="shared" si="241"/>
        <v>2073</v>
      </c>
      <c r="I3851" s="96"/>
      <c r="K3851" t="str">
        <f t="shared" si="242"/>
        <v>2073</v>
      </c>
      <c r="M3851" s="72"/>
      <c r="O3851" s="96">
        <f t="shared" si="243"/>
        <v>2073</v>
      </c>
      <c r="T3851" s="110"/>
    </row>
    <row r="3852" spans="3:20" x14ac:dyDescent="0.2">
      <c r="C3852" s="96" t="str">
        <f t="shared" si="240"/>
        <v>2074</v>
      </c>
      <c r="D3852" s="73"/>
      <c r="E3852" s="100"/>
      <c r="F3852" s="101"/>
      <c r="G3852" s="96">
        <f t="shared" si="241"/>
        <v>2074</v>
      </c>
      <c r="I3852" s="96"/>
      <c r="K3852" t="str">
        <f t="shared" si="242"/>
        <v>2074</v>
      </c>
      <c r="M3852" s="72"/>
      <c r="O3852" s="96">
        <f t="shared" si="243"/>
        <v>2074</v>
      </c>
      <c r="T3852" s="110"/>
    </row>
    <row r="3853" spans="3:20" x14ac:dyDescent="0.2">
      <c r="C3853" s="96" t="str">
        <f t="shared" si="240"/>
        <v>2075</v>
      </c>
      <c r="D3853" s="73"/>
      <c r="E3853" s="100"/>
      <c r="F3853" s="101"/>
      <c r="G3853" s="96">
        <f t="shared" si="241"/>
        <v>2075</v>
      </c>
      <c r="I3853" s="96"/>
      <c r="K3853" t="str">
        <f t="shared" si="242"/>
        <v>2075</v>
      </c>
      <c r="M3853" s="72"/>
      <c r="O3853" s="96">
        <f t="shared" si="243"/>
        <v>2075</v>
      </c>
      <c r="T3853" s="110"/>
    </row>
    <row r="3854" spans="3:20" x14ac:dyDescent="0.2">
      <c r="C3854" s="96" t="str">
        <f t="shared" si="240"/>
        <v>2076</v>
      </c>
      <c r="D3854" s="73"/>
      <c r="E3854" s="100"/>
      <c r="F3854" s="101"/>
      <c r="G3854" s="96">
        <f t="shared" si="241"/>
        <v>2076</v>
      </c>
      <c r="I3854" s="96"/>
      <c r="K3854" t="str">
        <f t="shared" si="242"/>
        <v>2076</v>
      </c>
      <c r="M3854" s="72"/>
      <c r="O3854" s="96">
        <f t="shared" si="243"/>
        <v>2076</v>
      </c>
      <c r="T3854" s="110"/>
    </row>
    <row r="3855" spans="3:20" x14ac:dyDescent="0.2">
      <c r="C3855" s="96" t="str">
        <f t="shared" si="240"/>
        <v>2077</v>
      </c>
      <c r="D3855" s="73"/>
      <c r="E3855" s="100"/>
      <c r="F3855" s="101"/>
      <c r="G3855" s="96">
        <f t="shared" si="241"/>
        <v>2077</v>
      </c>
      <c r="I3855" s="96"/>
      <c r="K3855" t="str">
        <f t="shared" si="242"/>
        <v>2077</v>
      </c>
      <c r="M3855" s="72"/>
      <c r="O3855" s="96">
        <f t="shared" si="243"/>
        <v>2077</v>
      </c>
      <c r="T3855" s="110"/>
    </row>
    <row r="3856" spans="3:20" x14ac:dyDescent="0.2">
      <c r="C3856" s="96" t="str">
        <f t="shared" si="240"/>
        <v>2078</v>
      </c>
      <c r="D3856" s="73"/>
      <c r="E3856" s="100"/>
      <c r="F3856" s="101"/>
      <c r="G3856" s="96">
        <f t="shared" si="241"/>
        <v>2078</v>
      </c>
      <c r="I3856" s="96"/>
      <c r="K3856" t="str">
        <f t="shared" si="242"/>
        <v>2078</v>
      </c>
      <c r="M3856" s="72"/>
      <c r="O3856" s="96">
        <f t="shared" si="243"/>
        <v>2078</v>
      </c>
      <c r="T3856" s="110"/>
    </row>
    <row r="3857" spans="3:20" x14ac:dyDescent="0.2">
      <c r="C3857" s="96" t="str">
        <f t="shared" si="240"/>
        <v>2079</v>
      </c>
      <c r="D3857" s="73"/>
      <c r="E3857" s="100"/>
      <c r="F3857" s="101"/>
      <c r="G3857" s="96">
        <f t="shared" si="241"/>
        <v>2079</v>
      </c>
      <c r="I3857" s="96"/>
      <c r="K3857" t="str">
        <f t="shared" si="242"/>
        <v>2079</v>
      </c>
      <c r="M3857" s="72"/>
      <c r="O3857" s="96">
        <f t="shared" si="243"/>
        <v>2079</v>
      </c>
      <c r="T3857" s="110"/>
    </row>
    <row r="3858" spans="3:20" x14ac:dyDescent="0.2">
      <c r="C3858" s="96" t="str">
        <f t="shared" si="240"/>
        <v>2080</v>
      </c>
      <c r="D3858" s="73"/>
      <c r="E3858" s="100"/>
      <c r="F3858" s="101"/>
      <c r="G3858" s="96">
        <f t="shared" si="241"/>
        <v>2080</v>
      </c>
      <c r="I3858" s="96"/>
      <c r="K3858" t="str">
        <f t="shared" si="242"/>
        <v>2080</v>
      </c>
      <c r="M3858" s="72"/>
      <c r="O3858" s="96">
        <f t="shared" si="243"/>
        <v>2080</v>
      </c>
      <c r="T3858" s="110"/>
    </row>
    <row r="3859" spans="3:20" x14ac:dyDescent="0.2">
      <c r="C3859" s="96" t="str">
        <f t="shared" si="240"/>
        <v>2081</v>
      </c>
      <c r="D3859" s="73"/>
      <c r="E3859" s="100"/>
      <c r="F3859" s="101"/>
      <c r="G3859" s="96">
        <f t="shared" si="241"/>
        <v>2081</v>
      </c>
      <c r="I3859" s="96"/>
      <c r="K3859" t="str">
        <f t="shared" si="242"/>
        <v>2081</v>
      </c>
      <c r="M3859" s="72"/>
      <c r="O3859" s="96">
        <f t="shared" si="243"/>
        <v>2081</v>
      </c>
      <c r="T3859" s="110"/>
    </row>
    <row r="3860" spans="3:20" x14ac:dyDescent="0.2">
      <c r="C3860" s="96" t="str">
        <f t="shared" si="240"/>
        <v>2082</v>
      </c>
      <c r="D3860" s="73"/>
      <c r="E3860" s="100"/>
      <c r="F3860" s="101"/>
      <c r="G3860" s="96">
        <f t="shared" si="241"/>
        <v>2082</v>
      </c>
      <c r="I3860" s="96"/>
      <c r="K3860" t="str">
        <f t="shared" si="242"/>
        <v>2082</v>
      </c>
      <c r="M3860" s="72"/>
      <c r="O3860" s="96">
        <f t="shared" si="243"/>
        <v>2082</v>
      </c>
      <c r="T3860" s="110"/>
    </row>
    <row r="3861" spans="3:20" x14ac:dyDescent="0.2">
      <c r="C3861" s="96" t="str">
        <f t="shared" si="240"/>
        <v>2083</v>
      </c>
      <c r="D3861" s="73"/>
      <c r="E3861" s="100"/>
      <c r="F3861" s="101"/>
      <c r="G3861" s="96">
        <f t="shared" si="241"/>
        <v>2083</v>
      </c>
      <c r="I3861" s="96"/>
      <c r="K3861" t="str">
        <f t="shared" si="242"/>
        <v>2083</v>
      </c>
      <c r="M3861" s="72"/>
      <c r="O3861" s="96">
        <f t="shared" si="243"/>
        <v>2083</v>
      </c>
      <c r="T3861" s="110"/>
    </row>
    <row r="3862" spans="3:20" x14ac:dyDescent="0.2">
      <c r="C3862" s="96" t="str">
        <f t="shared" si="240"/>
        <v>2084</v>
      </c>
      <c r="D3862" s="73"/>
      <c r="E3862" s="100"/>
      <c r="F3862" s="101"/>
      <c r="G3862" s="96">
        <f t="shared" si="241"/>
        <v>2084</v>
      </c>
      <c r="I3862" s="96"/>
      <c r="K3862" t="str">
        <f t="shared" si="242"/>
        <v>2084</v>
      </c>
      <c r="M3862" s="72"/>
      <c r="O3862" s="96">
        <f t="shared" si="243"/>
        <v>2084</v>
      </c>
      <c r="T3862" s="110"/>
    </row>
    <row r="3863" spans="3:20" x14ac:dyDescent="0.2">
      <c r="C3863" s="96" t="str">
        <f t="shared" si="240"/>
        <v>2085</v>
      </c>
      <c r="D3863" s="73"/>
      <c r="E3863" s="100"/>
      <c r="F3863" s="101"/>
      <c r="G3863" s="96">
        <f t="shared" si="241"/>
        <v>2085</v>
      </c>
      <c r="I3863" s="96"/>
      <c r="K3863" t="str">
        <f t="shared" si="242"/>
        <v>2085</v>
      </c>
      <c r="M3863" s="72"/>
      <c r="O3863" s="96">
        <f t="shared" si="243"/>
        <v>2085</v>
      </c>
      <c r="T3863" s="110"/>
    </row>
    <row r="3864" spans="3:20" x14ac:dyDescent="0.2">
      <c r="C3864" s="96" t="str">
        <f t="shared" si="240"/>
        <v>2086</v>
      </c>
      <c r="D3864" s="73"/>
      <c r="E3864" s="100"/>
      <c r="F3864" s="101"/>
      <c r="G3864" s="96">
        <f t="shared" si="241"/>
        <v>2086</v>
      </c>
      <c r="I3864" s="96"/>
      <c r="K3864" t="str">
        <f t="shared" si="242"/>
        <v>2086</v>
      </c>
      <c r="M3864" s="72"/>
      <c r="O3864" s="96">
        <f t="shared" si="243"/>
        <v>2086</v>
      </c>
      <c r="T3864" s="110"/>
    </row>
    <row r="3865" spans="3:20" x14ac:dyDescent="0.2">
      <c r="C3865" s="96" t="str">
        <f t="shared" si="240"/>
        <v>2087</v>
      </c>
      <c r="D3865" s="73"/>
      <c r="E3865" s="100"/>
      <c r="F3865" s="101"/>
      <c r="G3865" s="96">
        <f t="shared" si="241"/>
        <v>2087</v>
      </c>
      <c r="I3865" s="96"/>
      <c r="K3865" t="str">
        <f t="shared" si="242"/>
        <v>2087</v>
      </c>
      <c r="M3865" s="72"/>
      <c r="O3865" s="96">
        <f t="shared" si="243"/>
        <v>2087</v>
      </c>
      <c r="T3865" s="110"/>
    </row>
    <row r="3866" spans="3:20" x14ac:dyDescent="0.2">
      <c r="C3866" s="96" t="str">
        <f t="shared" si="240"/>
        <v>2088</v>
      </c>
      <c r="D3866" s="73"/>
      <c r="E3866" s="100"/>
      <c r="F3866" s="101"/>
      <c r="G3866" s="96">
        <f t="shared" si="241"/>
        <v>2088</v>
      </c>
      <c r="I3866" s="96"/>
      <c r="K3866" t="str">
        <f t="shared" si="242"/>
        <v>2088</v>
      </c>
      <c r="M3866" s="72"/>
      <c r="O3866" s="96">
        <f t="shared" si="243"/>
        <v>2088</v>
      </c>
      <c r="T3866" s="110"/>
    </row>
    <row r="3867" spans="3:20" x14ac:dyDescent="0.2">
      <c r="C3867" s="96" t="str">
        <f t="shared" si="240"/>
        <v>2089</v>
      </c>
      <c r="D3867" s="73"/>
      <c r="E3867" s="100"/>
      <c r="F3867" s="101"/>
      <c r="G3867" s="96">
        <f t="shared" si="241"/>
        <v>2089</v>
      </c>
      <c r="I3867" s="96"/>
      <c r="K3867" t="str">
        <f t="shared" si="242"/>
        <v>2089</v>
      </c>
      <c r="M3867" s="72"/>
      <c r="O3867" s="96">
        <f t="shared" si="243"/>
        <v>2089</v>
      </c>
      <c r="T3867" s="110"/>
    </row>
    <row r="3868" spans="3:20" x14ac:dyDescent="0.2">
      <c r="C3868" s="96" t="str">
        <f t="shared" si="240"/>
        <v>2090</v>
      </c>
      <c r="D3868" s="73"/>
      <c r="E3868" s="100"/>
      <c r="F3868" s="101"/>
      <c r="G3868" s="96">
        <f t="shared" si="241"/>
        <v>2090</v>
      </c>
      <c r="I3868" s="96"/>
      <c r="K3868" t="str">
        <f t="shared" si="242"/>
        <v>2090</v>
      </c>
      <c r="M3868" s="72"/>
      <c r="O3868" s="96">
        <f t="shared" si="243"/>
        <v>2090</v>
      </c>
      <c r="T3868" s="110"/>
    </row>
    <row r="3869" spans="3:20" x14ac:dyDescent="0.2">
      <c r="C3869" s="96" t="str">
        <f t="shared" si="240"/>
        <v>2091</v>
      </c>
      <c r="D3869" s="73"/>
      <c r="E3869" s="100"/>
      <c r="F3869" s="101"/>
      <c r="G3869" s="96">
        <f t="shared" si="241"/>
        <v>2091</v>
      </c>
      <c r="I3869" s="96"/>
      <c r="K3869" t="str">
        <f t="shared" si="242"/>
        <v>2091</v>
      </c>
      <c r="M3869" s="72"/>
      <c r="O3869" s="96">
        <f t="shared" si="243"/>
        <v>2091</v>
      </c>
      <c r="T3869" s="110"/>
    </row>
    <row r="3870" spans="3:20" x14ac:dyDescent="0.2">
      <c r="C3870" s="96" t="str">
        <f t="shared" si="240"/>
        <v>2092</v>
      </c>
      <c r="D3870" s="73"/>
      <c r="E3870" s="100"/>
      <c r="F3870" s="101"/>
      <c r="G3870" s="96">
        <f t="shared" si="241"/>
        <v>2092</v>
      </c>
      <c r="I3870" s="96"/>
      <c r="K3870" t="str">
        <f t="shared" si="242"/>
        <v>2092</v>
      </c>
      <c r="M3870" s="72"/>
      <c r="O3870" s="96">
        <f t="shared" si="243"/>
        <v>2092</v>
      </c>
      <c r="T3870" s="110"/>
    </row>
    <row r="3871" spans="3:20" x14ac:dyDescent="0.2">
      <c r="C3871" s="96" t="str">
        <f t="shared" si="240"/>
        <v>2093</v>
      </c>
      <c r="D3871" s="73"/>
      <c r="E3871" s="100"/>
      <c r="F3871" s="101"/>
      <c r="G3871" s="96">
        <f t="shared" si="241"/>
        <v>2093</v>
      </c>
      <c r="I3871" s="96"/>
      <c r="K3871" t="str">
        <f t="shared" si="242"/>
        <v>2093</v>
      </c>
      <c r="M3871" s="72"/>
      <c r="O3871" s="96">
        <f t="shared" si="243"/>
        <v>2093</v>
      </c>
      <c r="T3871" s="110"/>
    </row>
    <row r="3872" spans="3:20" x14ac:dyDescent="0.2">
      <c r="C3872" s="96" t="str">
        <f t="shared" si="240"/>
        <v>2094</v>
      </c>
      <c r="D3872" s="73"/>
      <c r="E3872" s="100"/>
      <c r="F3872" s="101"/>
      <c r="G3872" s="96">
        <f t="shared" si="241"/>
        <v>2094</v>
      </c>
      <c r="I3872" s="96"/>
      <c r="K3872" t="str">
        <f t="shared" si="242"/>
        <v>2094</v>
      </c>
      <c r="M3872" s="72"/>
      <c r="O3872" s="96">
        <f t="shared" si="243"/>
        <v>2094</v>
      </c>
      <c r="T3872" s="110"/>
    </row>
    <row r="3873" spans="3:20" x14ac:dyDescent="0.2">
      <c r="C3873" s="96" t="str">
        <f t="shared" si="240"/>
        <v>2095</v>
      </c>
      <c r="D3873" s="73"/>
      <c r="E3873" s="100"/>
      <c r="F3873" s="101"/>
      <c r="G3873" s="96">
        <f t="shared" si="241"/>
        <v>2095</v>
      </c>
      <c r="I3873" s="96"/>
      <c r="K3873" t="str">
        <f t="shared" si="242"/>
        <v>2095</v>
      </c>
      <c r="M3873" s="72"/>
      <c r="O3873" s="96">
        <f t="shared" si="243"/>
        <v>2095</v>
      </c>
      <c r="T3873" s="110"/>
    </row>
    <row r="3874" spans="3:20" x14ac:dyDescent="0.2">
      <c r="C3874" s="96" t="str">
        <f t="shared" si="240"/>
        <v>2096</v>
      </c>
      <c r="D3874" s="73"/>
      <c r="E3874" s="100"/>
      <c r="F3874" s="101"/>
      <c r="G3874" s="96">
        <f t="shared" si="241"/>
        <v>2096</v>
      </c>
      <c r="I3874" s="96"/>
      <c r="K3874" t="str">
        <f t="shared" si="242"/>
        <v>2096</v>
      </c>
      <c r="M3874" s="72"/>
      <c r="O3874" s="96">
        <f t="shared" si="243"/>
        <v>2096</v>
      </c>
      <c r="T3874" s="110"/>
    </row>
    <row r="3875" spans="3:20" x14ac:dyDescent="0.2">
      <c r="C3875" s="96" t="str">
        <f t="shared" si="240"/>
        <v>2097</v>
      </c>
      <c r="D3875" s="73"/>
      <c r="E3875" s="100"/>
      <c r="F3875" s="101"/>
      <c r="G3875" s="96">
        <f t="shared" si="241"/>
        <v>2097</v>
      </c>
      <c r="I3875" s="96"/>
      <c r="K3875" t="str">
        <f t="shared" si="242"/>
        <v>2097</v>
      </c>
      <c r="M3875" s="72"/>
      <c r="O3875" s="96">
        <f t="shared" si="243"/>
        <v>2097</v>
      </c>
      <c r="T3875" s="110"/>
    </row>
    <row r="3876" spans="3:20" x14ac:dyDescent="0.2">
      <c r="C3876" s="96" t="str">
        <f t="shared" si="240"/>
        <v>2098</v>
      </c>
      <c r="D3876" s="73"/>
      <c r="E3876" s="100"/>
      <c r="F3876" s="101"/>
      <c r="G3876" s="96">
        <f t="shared" si="241"/>
        <v>2098</v>
      </c>
      <c r="I3876" s="96"/>
      <c r="K3876" t="str">
        <f t="shared" si="242"/>
        <v>2098</v>
      </c>
      <c r="M3876" s="72"/>
      <c r="O3876" s="96">
        <f t="shared" si="243"/>
        <v>2098</v>
      </c>
      <c r="T3876" s="110"/>
    </row>
    <row r="3877" spans="3:20" x14ac:dyDescent="0.2">
      <c r="C3877" s="96" t="str">
        <f t="shared" si="240"/>
        <v>2099</v>
      </c>
      <c r="D3877" s="73"/>
      <c r="E3877" s="100"/>
      <c r="F3877" s="101"/>
      <c r="G3877" s="96">
        <f t="shared" si="241"/>
        <v>2099</v>
      </c>
      <c r="I3877" s="96"/>
      <c r="K3877" t="str">
        <f t="shared" si="242"/>
        <v>2099</v>
      </c>
      <c r="M3877" s="72"/>
      <c r="O3877" s="96">
        <f t="shared" si="243"/>
        <v>2099</v>
      </c>
      <c r="T3877" s="110"/>
    </row>
    <row r="3878" spans="3:20" x14ac:dyDescent="0.2">
      <c r="C3878" s="96" t="str">
        <f t="shared" si="240"/>
        <v>2100</v>
      </c>
      <c r="D3878" s="73"/>
      <c r="E3878" s="100"/>
      <c r="F3878" s="101"/>
      <c r="G3878" s="96">
        <f t="shared" si="241"/>
        <v>2100</v>
      </c>
      <c r="I3878" s="96"/>
      <c r="K3878" t="str">
        <f t="shared" si="242"/>
        <v>2100</v>
      </c>
      <c r="M3878" s="72"/>
      <c r="O3878" s="96">
        <f t="shared" si="243"/>
        <v>2100</v>
      </c>
      <c r="T3878" s="110"/>
    </row>
    <row r="3879" spans="3:20" x14ac:dyDescent="0.2">
      <c r="C3879" s="96" t="str">
        <f t="shared" si="240"/>
        <v>2101</v>
      </c>
      <c r="D3879" s="73"/>
      <c r="E3879" s="100"/>
      <c r="F3879" s="101"/>
      <c r="G3879" s="96">
        <f t="shared" si="241"/>
        <v>2101</v>
      </c>
      <c r="I3879" s="96"/>
      <c r="K3879" t="str">
        <f t="shared" si="242"/>
        <v>2101</v>
      </c>
      <c r="M3879" s="72"/>
      <c r="O3879" s="96">
        <f t="shared" si="243"/>
        <v>2101</v>
      </c>
      <c r="T3879" s="110"/>
    </row>
    <row r="3880" spans="3:20" x14ac:dyDescent="0.2">
      <c r="C3880" s="96" t="str">
        <f t="shared" si="240"/>
        <v>2102</v>
      </c>
      <c r="D3880" s="73"/>
      <c r="E3880" s="100"/>
      <c r="F3880" s="101"/>
      <c r="G3880" s="96">
        <f t="shared" si="241"/>
        <v>2102</v>
      </c>
      <c r="I3880" s="96"/>
      <c r="K3880" t="str">
        <f t="shared" si="242"/>
        <v>2102</v>
      </c>
      <c r="M3880" s="72"/>
      <c r="O3880" s="96">
        <f t="shared" si="243"/>
        <v>2102</v>
      </c>
      <c r="T3880" s="110"/>
    </row>
    <row r="3881" spans="3:20" x14ac:dyDescent="0.2">
      <c r="C3881" s="96" t="str">
        <f t="shared" si="240"/>
        <v>2103</v>
      </c>
      <c r="D3881" s="73"/>
      <c r="E3881" s="100"/>
      <c r="F3881" s="101"/>
      <c r="G3881" s="96">
        <f t="shared" si="241"/>
        <v>2103</v>
      </c>
      <c r="I3881" s="96"/>
      <c r="K3881" t="str">
        <f t="shared" si="242"/>
        <v>2103</v>
      </c>
      <c r="M3881" s="72"/>
      <c r="O3881" s="96">
        <f t="shared" si="243"/>
        <v>2103</v>
      </c>
      <c r="T3881" s="110"/>
    </row>
    <row r="3882" spans="3:20" x14ac:dyDescent="0.2">
      <c r="C3882" s="96" t="str">
        <f t="shared" si="240"/>
        <v>2104</v>
      </c>
      <c r="D3882" s="73"/>
      <c r="E3882" s="100"/>
      <c r="F3882" s="101"/>
      <c r="G3882" s="96">
        <f t="shared" si="241"/>
        <v>2104</v>
      </c>
      <c r="I3882" s="96"/>
      <c r="K3882" t="str">
        <f t="shared" si="242"/>
        <v>2104</v>
      </c>
      <c r="M3882" s="72"/>
      <c r="O3882" s="96">
        <f t="shared" si="243"/>
        <v>2104</v>
      </c>
      <c r="T3882" s="110"/>
    </row>
    <row r="3883" spans="3:20" x14ac:dyDescent="0.2">
      <c r="C3883" s="96" t="str">
        <f t="shared" si="240"/>
        <v>2105</v>
      </c>
      <c r="D3883" s="73"/>
      <c r="E3883" s="100"/>
      <c r="F3883" s="101"/>
      <c r="G3883" s="96">
        <f t="shared" si="241"/>
        <v>2105</v>
      </c>
      <c r="I3883" s="96"/>
      <c r="K3883" t="str">
        <f t="shared" si="242"/>
        <v>2105</v>
      </c>
      <c r="M3883" s="72"/>
      <c r="O3883" s="96">
        <f t="shared" si="243"/>
        <v>2105</v>
      </c>
      <c r="T3883" s="110"/>
    </row>
    <row r="3884" spans="3:20" x14ac:dyDescent="0.2">
      <c r="C3884" s="96" t="str">
        <f t="shared" si="240"/>
        <v>2106</v>
      </c>
      <c r="D3884" s="73"/>
      <c r="E3884" s="100"/>
      <c r="F3884" s="101"/>
      <c r="G3884" s="96">
        <f t="shared" si="241"/>
        <v>2106</v>
      </c>
      <c r="I3884" s="96"/>
      <c r="K3884" t="str">
        <f t="shared" si="242"/>
        <v>2106</v>
      </c>
      <c r="M3884" s="72"/>
      <c r="O3884" s="96">
        <f t="shared" si="243"/>
        <v>2106</v>
      </c>
      <c r="T3884" s="110"/>
    </row>
    <row r="3885" spans="3:20" x14ac:dyDescent="0.2">
      <c r="C3885" s="96" t="str">
        <f t="shared" si="240"/>
        <v>2107</v>
      </c>
      <c r="D3885" s="73"/>
      <c r="E3885" s="100"/>
      <c r="F3885" s="101"/>
      <c r="G3885" s="96">
        <f t="shared" si="241"/>
        <v>2107</v>
      </c>
      <c r="I3885" s="96"/>
      <c r="K3885" t="str">
        <f t="shared" si="242"/>
        <v>2107</v>
      </c>
      <c r="M3885" s="72"/>
      <c r="O3885" s="96">
        <f t="shared" si="243"/>
        <v>2107</v>
      </c>
      <c r="T3885" s="110"/>
    </row>
    <row r="3886" spans="3:20" x14ac:dyDescent="0.2">
      <c r="C3886" s="96" t="str">
        <f t="shared" si="240"/>
        <v>2108</v>
      </c>
      <c r="D3886" s="73"/>
      <c r="E3886" s="100"/>
      <c r="F3886" s="101"/>
      <c r="G3886" s="96">
        <f t="shared" si="241"/>
        <v>2108</v>
      </c>
      <c r="I3886" s="96"/>
      <c r="K3886" t="str">
        <f t="shared" si="242"/>
        <v>2108</v>
      </c>
      <c r="M3886" s="72"/>
      <c r="O3886" s="96">
        <f t="shared" si="243"/>
        <v>2108</v>
      </c>
      <c r="T3886" s="110"/>
    </row>
    <row r="3887" spans="3:20" x14ac:dyDescent="0.2">
      <c r="C3887" s="96" t="str">
        <f t="shared" si="240"/>
        <v>2109</v>
      </c>
      <c r="D3887" s="73"/>
      <c r="E3887" s="100"/>
      <c r="F3887" s="101"/>
      <c r="G3887" s="96">
        <f t="shared" si="241"/>
        <v>2109</v>
      </c>
      <c r="I3887" s="96"/>
      <c r="K3887" t="str">
        <f t="shared" si="242"/>
        <v>2109</v>
      </c>
      <c r="M3887" s="72"/>
      <c r="O3887" s="96">
        <f t="shared" si="243"/>
        <v>2109</v>
      </c>
      <c r="T3887" s="110"/>
    </row>
    <row r="3888" spans="3:20" x14ac:dyDescent="0.2">
      <c r="C3888" s="96" t="str">
        <f t="shared" si="240"/>
        <v>2110</v>
      </c>
      <c r="D3888" s="73"/>
      <c r="E3888" s="100"/>
      <c r="F3888" s="101"/>
      <c r="G3888" s="96">
        <f t="shared" si="241"/>
        <v>2110</v>
      </c>
      <c r="I3888" s="96"/>
      <c r="K3888" t="str">
        <f t="shared" si="242"/>
        <v>2110</v>
      </c>
      <c r="M3888" s="72"/>
      <c r="O3888" s="96">
        <f t="shared" si="243"/>
        <v>2110</v>
      </c>
      <c r="T3888" s="110"/>
    </row>
    <row r="3889" spans="3:20" x14ac:dyDescent="0.2">
      <c r="C3889" s="96" t="str">
        <f t="shared" si="240"/>
        <v>2111</v>
      </c>
      <c r="D3889" s="73"/>
      <c r="E3889" s="100"/>
      <c r="F3889" s="101"/>
      <c r="G3889" s="96">
        <f t="shared" si="241"/>
        <v>2111</v>
      </c>
      <c r="I3889" s="96"/>
      <c r="K3889" t="str">
        <f t="shared" si="242"/>
        <v>2111</v>
      </c>
      <c r="M3889" s="72"/>
      <c r="O3889" s="96">
        <f t="shared" si="243"/>
        <v>2111</v>
      </c>
      <c r="T3889" s="110"/>
    </row>
    <row r="3890" spans="3:20" x14ac:dyDescent="0.2">
      <c r="C3890" s="96" t="str">
        <f t="shared" si="240"/>
        <v>2112</v>
      </c>
      <c r="D3890" s="73"/>
      <c r="E3890" s="100"/>
      <c r="F3890" s="101"/>
      <c r="G3890" s="96">
        <f t="shared" si="241"/>
        <v>2112</v>
      </c>
      <c r="I3890" s="96"/>
      <c r="K3890" t="str">
        <f t="shared" si="242"/>
        <v>2112</v>
      </c>
      <c r="M3890" s="72"/>
      <c r="O3890" s="96">
        <f t="shared" si="243"/>
        <v>2112</v>
      </c>
      <c r="T3890" s="110"/>
    </row>
    <row r="3891" spans="3:20" x14ac:dyDescent="0.2">
      <c r="C3891" s="96" t="str">
        <f t="shared" si="240"/>
        <v>2113</v>
      </c>
      <c r="D3891" s="73"/>
      <c r="E3891" s="100"/>
      <c r="F3891" s="101"/>
      <c r="G3891" s="96">
        <f t="shared" si="241"/>
        <v>2113</v>
      </c>
      <c r="I3891" s="96"/>
      <c r="K3891" t="str">
        <f t="shared" si="242"/>
        <v>2113</v>
      </c>
      <c r="M3891" s="72"/>
      <c r="O3891" s="96">
        <f t="shared" si="243"/>
        <v>2113</v>
      </c>
      <c r="T3891" s="110"/>
    </row>
    <row r="3892" spans="3:20" x14ac:dyDescent="0.2">
      <c r="C3892" s="96" t="str">
        <f t="shared" si="240"/>
        <v>2114</v>
      </c>
      <c r="D3892" s="73"/>
      <c r="E3892" s="100"/>
      <c r="F3892" s="101"/>
      <c r="G3892" s="96">
        <f t="shared" si="241"/>
        <v>2114</v>
      </c>
      <c r="I3892" s="96"/>
      <c r="K3892" t="str">
        <f t="shared" si="242"/>
        <v>2114</v>
      </c>
      <c r="M3892" s="72"/>
      <c r="O3892" s="96">
        <f t="shared" si="243"/>
        <v>2114</v>
      </c>
      <c r="T3892" s="110"/>
    </row>
    <row r="3893" spans="3:20" x14ac:dyDescent="0.2">
      <c r="C3893" s="96" t="str">
        <f t="shared" si="240"/>
        <v>2115</v>
      </c>
      <c r="D3893" s="73"/>
      <c r="E3893" s="100"/>
      <c r="F3893" s="101"/>
      <c r="G3893" s="96">
        <f t="shared" si="241"/>
        <v>2115</v>
      </c>
      <c r="I3893" s="96"/>
      <c r="K3893" t="str">
        <f t="shared" si="242"/>
        <v>2115</v>
      </c>
      <c r="M3893" s="72"/>
      <c r="O3893" s="96">
        <f t="shared" si="243"/>
        <v>2115</v>
      </c>
      <c r="T3893" s="110"/>
    </row>
    <row r="3894" spans="3:20" x14ac:dyDescent="0.2">
      <c r="C3894" s="96" t="str">
        <f t="shared" si="240"/>
        <v>2116</v>
      </c>
      <c r="D3894" s="73"/>
      <c r="E3894" s="100"/>
      <c r="F3894" s="101"/>
      <c r="G3894" s="96">
        <f t="shared" si="241"/>
        <v>2116</v>
      </c>
      <c r="I3894" s="96"/>
      <c r="K3894" t="str">
        <f t="shared" si="242"/>
        <v>2116</v>
      </c>
      <c r="M3894" s="72"/>
      <c r="O3894" s="96">
        <f t="shared" si="243"/>
        <v>2116</v>
      </c>
      <c r="T3894" s="110"/>
    </row>
    <row r="3895" spans="3:20" x14ac:dyDescent="0.2">
      <c r="C3895" s="96" t="str">
        <f t="shared" si="240"/>
        <v>2117</v>
      </c>
      <c r="D3895" s="73"/>
      <c r="E3895" s="100"/>
      <c r="F3895" s="101"/>
      <c r="G3895" s="96">
        <f t="shared" si="241"/>
        <v>2117</v>
      </c>
      <c r="I3895" s="96"/>
      <c r="K3895" t="str">
        <f t="shared" si="242"/>
        <v>2117</v>
      </c>
      <c r="M3895" s="72"/>
      <c r="O3895" s="96">
        <f t="shared" si="243"/>
        <v>2117</v>
      </c>
      <c r="T3895" s="110"/>
    </row>
    <row r="3896" spans="3:20" x14ac:dyDescent="0.2">
      <c r="C3896" s="96" t="str">
        <f t="shared" si="240"/>
        <v>2118</v>
      </c>
      <c r="D3896" s="73"/>
      <c r="E3896" s="100"/>
      <c r="F3896" s="101"/>
      <c r="G3896" s="96">
        <f t="shared" si="241"/>
        <v>2118</v>
      </c>
      <c r="I3896" s="96"/>
      <c r="K3896" t="str">
        <f t="shared" si="242"/>
        <v>2118</v>
      </c>
      <c r="M3896" s="72"/>
      <c r="O3896" s="96">
        <f t="shared" si="243"/>
        <v>2118</v>
      </c>
      <c r="T3896" s="110"/>
    </row>
    <row r="3897" spans="3:20" x14ac:dyDescent="0.2">
      <c r="C3897" s="96" t="str">
        <f t="shared" si="240"/>
        <v>2119</v>
      </c>
      <c r="D3897" s="73"/>
      <c r="E3897" s="100"/>
      <c r="F3897" s="101"/>
      <c r="G3897" s="96">
        <f t="shared" si="241"/>
        <v>2119</v>
      </c>
      <c r="I3897" s="96"/>
      <c r="K3897" t="str">
        <f t="shared" si="242"/>
        <v>2119</v>
      </c>
      <c r="M3897" s="72"/>
      <c r="O3897" s="96">
        <f t="shared" si="243"/>
        <v>2119</v>
      </c>
      <c r="T3897" s="110"/>
    </row>
    <row r="3898" spans="3:20" x14ac:dyDescent="0.2">
      <c r="C3898" s="96" t="str">
        <f t="shared" si="240"/>
        <v>2120</v>
      </c>
      <c r="D3898" s="73"/>
      <c r="E3898" s="100"/>
      <c r="F3898" s="101"/>
      <c r="G3898" s="96">
        <f t="shared" si="241"/>
        <v>2120</v>
      </c>
      <c r="I3898" s="96"/>
      <c r="K3898" t="str">
        <f t="shared" si="242"/>
        <v>2120</v>
      </c>
      <c r="M3898" s="72"/>
      <c r="O3898" s="96">
        <f t="shared" si="243"/>
        <v>2120</v>
      </c>
      <c r="T3898" s="110"/>
    </row>
    <row r="3899" spans="3:20" x14ac:dyDescent="0.2">
      <c r="C3899" s="96" t="str">
        <f t="shared" si="240"/>
        <v>2121</v>
      </c>
      <c r="D3899" s="73"/>
      <c r="E3899" s="100"/>
      <c r="F3899" s="101"/>
      <c r="G3899" s="96">
        <f t="shared" si="241"/>
        <v>2121</v>
      </c>
      <c r="I3899" s="96"/>
      <c r="K3899" t="str">
        <f t="shared" si="242"/>
        <v>2121</v>
      </c>
      <c r="M3899" s="72"/>
      <c r="O3899" s="96">
        <f t="shared" si="243"/>
        <v>2121</v>
      </c>
      <c r="T3899" s="110"/>
    </row>
    <row r="3900" spans="3:20" x14ac:dyDescent="0.2">
      <c r="C3900" s="96" t="str">
        <f t="shared" si="240"/>
        <v>2122</v>
      </c>
      <c r="D3900" s="73"/>
      <c r="E3900" s="100"/>
      <c r="F3900" s="101"/>
      <c r="G3900" s="96">
        <f t="shared" si="241"/>
        <v>2122</v>
      </c>
      <c r="I3900" s="96"/>
      <c r="K3900" t="str">
        <f t="shared" si="242"/>
        <v>2122</v>
      </c>
      <c r="M3900" s="72"/>
      <c r="O3900" s="96">
        <f t="shared" si="243"/>
        <v>2122</v>
      </c>
      <c r="T3900" s="110"/>
    </row>
    <row r="3901" spans="3:20" x14ac:dyDescent="0.2">
      <c r="C3901" s="96" t="str">
        <f t="shared" si="240"/>
        <v>2123</v>
      </c>
      <c r="D3901" s="73"/>
      <c r="E3901" s="100"/>
      <c r="F3901" s="101"/>
      <c r="G3901" s="96">
        <f t="shared" si="241"/>
        <v>2123</v>
      </c>
      <c r="I3901" s="96"/>
      <c r="K3901" t="str">
        <f t="shared" si="242"/>
        <v>2123</v>
      </c>
      <c r="M3901" s="72"/>
      <c r="O3901" s="96">
        <f t="shared" si="243"/>
        <v>2123</v>
      </c>
      <c r="T3901" s="110"/>
    </row>
    <row r="3902" spans="3:20" x14ac:dyDescent="0.2">
      <c r="C3902" s="96" t="str">
        <f t="shared" si="240"/>
        <v>2124</v>
      </c>
      <c r="D3902" s="73"/>
      <c r="E3902" s="100"/>
      <c r="F3902" s="101"/>
      <c r="G3902" s="96">
        <f t="shared" si="241"/>
        <v>2124</v>
      </c>
      <c r="I3902" s="96"/>
      <c r="K3902" t="str">
        <f t="shared" si="242"/>
        <v>2124</v>
      </c>
      <c r="M3902" s="72"/>
      <c r="O3902" s="96">
        <f t="shared" si="243"/>
        <v>2124</v>
      </c>
      <c r="T3902" s="110"/>
    </row>
    <row r="3903" spans="3:20" x14ac:dyDescent="0.2">
      <c r="C3903" s="96" t="str">
        <f t="shared" si="240"/>
        <v>2125</v>
      </c>
      <c r="D3903" s="73"/>
      <c r="E3903" s="100"/>
      <c r="F3903" s="101"/>
      <c r="G3903" s="96">
        <f t="shared" si="241"/>
        <v>2125</v>
      </c>
      <c r="I3903" s="96"/>
      <c r="K3903" t="str">
        <f t="shared" si="242"/>
        <v>2125</v>
      </c>
      <c r="M3903" s="72"/>
      <c r="O3903" s="96">
        <f t="shared" si="243"/>
        <v>2125</v>
      </c>
      <c r="T3903" s="110"/>
    </row>
    <row r="3904" spans="3:20" x14ac:dyDescent="0.2">
      <c r="C3904" s="96" t="str">
        <f t="shared" si="240"/>
        <v>2126</v>
      </c>
      <c r="D3904" s="73"/>
      <c r="E3904" s="100"/>
      <c r="F3904" s="101"/>
      <c r="G3904" s="96">
        <f t="shared" si="241"/>
        <v>2126</v>
      </c>
      <c r="I3904" s="96"/>
      <c r="K3904" t="str">
        <f t="shared" si="242"/>
        <v>2126</v>
      </c>
      <c r="M3904" s="72"/>
      <c r="O3904" s="96">
        <f t="shared" si="243"/>
        <v>2126</v>
      </c>
      <c r="T3904" s="110"/>
    </row>
    <row r="3905" spans="3:20" x14ac:dyDescent="0.2">
      <c r="C3905" s="96" t="str">
        <f t="shared" si="240"/>
        <v>2127</v>
      </c>
      <c r="D3905" s="73"/>
      <c r="E3905" s="100"/>
      <c r="F3905" s="101"/>
      <c r="G3905" s="96">
        <f t="shared" si="241"/>
        <v>2127</v>
      </c>
      <c r="I3905" s="96"/>
      <c r="K3905" t="str">
        <f t="shared" si="242"/>
        <v>2127</v>
      </c>
      <c r="M3905" s="72"/>
      <c r="O3905" s="96">
        <f t="shared" si="243"/>
        <v>2127</v>
      </c>
      <c r="T3905" s="110"/>
    </row>
    <row r="3906" spans="3:20" x14ac:dyDescent="0.2">
      <c r="C3906" s="96" t="str">
        <f t="shared" si="240"/>
        <v>2128</v>
      </c>
      <c r="D3906" s="73"/>
      <c r="E3906" s="100"/>
      <c r="F3906" s="101"/>
      <c r="G3906" s="96">
        <f t="shared" si="241"/>
        <v>2128</v>
      </c>
      <c r="I3906" s="96"/>
      <c r="K3906" t="str">
        <f t="shared" si="242"/>
        <v>2128</v>
      </c>
      <c r="M3906" s="72"/>
      <c r="O3906" s="96">
        <f t="shared" si="243"/>
        <v>2128</v>
      </c>
      <c r="T3906" s="110"/>
    </row>
    <row r="3907" spans="3:20" x14ac:dyDescent="0.2">
      <c r="C3907" s="96" t="str">
        <f t="shared" ref="C3907:C3970" si="244">D3907&amp;G3907</f>
        <v>2129</v>
      </c>
      <c r="D3907" s="73"/>
      <c r="E3907" s="100"/>
      <c r="F3907" s="101"/>
      <c r="G3907" s="96">
        <f t="shared" ref="G3907:G3970" si="245">IF(D3907&lt;&gt;D3906,1,G3906+1)</f>
        <v>2129</v>
      </c>
      <c r="I3907" s="96"/>
      <c r="K3907" t="str">
        <f t="shared" ref="K3907:K3970" si="246">L3907&amp;O3907</f>
        <v>2129</v>
      </c>
      <c r="M3907" s="72"/>
      <c r="O3907" s="96">
        <f t="shared" ref="O3907:O3970" si="247">IF(L3907&lt;&gt;L3906,1,O3906+1)</f>
        <v>2129</v>
      </c>
      <c r="T3907" s="110"/>
    </row>
    <row r="3908" spans="3:20" x14ac:dyDescent="0.2">
      <c r="C3908" s="96" t="str">
        <f t="shared" si="244"/>
        <v>2130</v>
      </c>
      <c r="D3908" s="73"/>
      <c r="E3908" s="100"/>
      <c r="F3908" s="101"/>
      <c r="G3908" s="96">
        <f t="shared" si="245"/>
        <v>2130</v>
      </c>
      <c r="I3908" s="96"/>
      <c r="K3908" t="str">
        <f t="shared" si="246"/>
        <v>2130</v>
      </c>
      <c r="M3908" s="72"/>
      <c r="O3908" s="96">
        <f t="shared" si="247"/>
        <v>2130</v>
      </c>
      <c r="T3908" s="110"/>
    </row>
    <row r="3909" spans="3:20" x14ac:dyDescent="0.2">
      <c r="C3909" s="96" t="str">
        <f t="shared" si="244"/>
        <v>2131</v>
      </c>
      <c r="D3909" s="73"/>
      <c r="E3909" s="100"/>
      <c r="F3909" s="101"/>
      <c r="G3909" s="96">
        <f t="shared" si="245"/>
        <v>2131</v>
      </c>
      <c r="I3909" s="96"/>
      <c r="K3909" t="str">
        <f t="shared" si="246"/>
        <v>2131</v>
      </c>
      <c r="M3909" s="72"/>
      <c r="O3909" s="96">
        <f t="shared" si="247"/>
        <v>2131</v>
      </c>
      <c r="T3909" s="110"/>
    </row>
    <row r="3910" spans="3:20" x14ac:dyDescent="0.2">
      <c r="C3910" s="96" t="str">
        <f t="shared" si="244"/>
        <v>2132</v>
      </c>
      <c r="D3910" s="73"/>
      <c r="E3910" s="100"/>
      <c r="F3910" s="101"/>
      <c r="G3910" s="96">
        <f t="shared" si="245"/>
        <v>2132</v>
      </c>
      <c r="I3910" s="96"/>
      <c r="K3910" t="str">
        <f t="shared" si="246"/>
        <v>2132</v>
      </c>
      <c r="M3910" s="72"/>
      <c r="O3910" s="96">
        <f t="shared" si="247"/>
        <v>2132</v>
      </c>
      <c r="T3910" s="110"/>
    </row>
    <row r="3911" spans="3:20" x14ac:dyDescent="0.2">
      <c r="C3911" s="96" t="str">
        <f t="shared" si="244"/>
        <v>2133</v>
      </c>
      <c r="D3911" s="73"/>
      <c r="E3911" s="100"/>
      <c r="F3911" s="101"/>
      <c r="G3911" s="96">
        <f t="shared" si="245"/>
        <v>2133</v>
      </c>
      <c r="I3911" s="96"/>
      <c r="K3911" t="str">
        <f t="shared" si="246"/>
        <v>2133</v>
      </c>
      <c r="M3911" s="72"/>
      <c r="O3911" s="96">
        <f t="shared" si="247"/>
        <v>2133</v>
      </c>
      <c r="T3911" s="110"/>
    </row>
    <row r="3912" spans="3:20" x14ac:dyDescent="0.2">
      <c r="C3912" s="96" t="str">
        <f t="shared" si="244"/>
        <v>2134</v>
      </c>
      <c r="D3912" s="73"/>
      <c r="E3912" s="100"/>
      <c r="F3912" s="101"/>
      <c r="G3912" s="96">
        <f t="shared" si="245"/>
        <v>2134</v>
      </c>
      <c r="I3912" s="96"/>
      <c r="K3912" t="str">
        <f t="shared" si="246"/>
        <v>2134</v>
      </c>
      <c r="M3912" s="72"/>
      <c r="O3912" s="96">
        <f t="shared" si="247"/>
        <v>2134</v>
      </c>
      <c r="T3912" s="110"/>
    </row>
    <row r="3913" spans="3:20" x14ac:dyDescent="0.2">
      <c r="C3913" s="96" t="str">
        <f t="shared" si="244"/>
        <v>2135</v>
      </c>
      <c r="D3913" s="73"/>
      <c r="E3913" s="100"/>
      <c r="F3913" s="101"/>
      <c r="G3913" s="96">
        <f t="shared" si="245"/>
        <v>2135</v>
      </c>
      <c r="I3913" s="96"/>
      <c r="K3913" t="str">
        <f t="shared" si="246"/>
        <v>2135</v>
      </c>
      <c r="M3913" s="72"/>
      <c r="O3913" s="96">
        <f t="shared" si="247"/>
        <v>2135</v>
      </c>
      <c r="T3913" s="110"/>
    </row>
    <row r="3914" spans="3:20" x14ac:dyDescent="0.2">
      <c r="C3914" s="96" t="str">
        <f t="shared" si="244"/>
        <v>2136</v>
      </c>
      <c r="D3914" s="73"/>
      <c r="E3914" s="100"/>
      <c r="F3914" s="101"/>
      <c r="G3914" s="96">
        <f t="shared" si="245"/>
        <v>2136</v>
      </c>
      <c r="I3914" s="96"/>
      <c r="K3914" t="str">
        <f t="shared" si="246"/>
        <v>2136</v>
      </c>
      <c r="M3914" s="72"/>
      <c r="O3914" s="96">
        <f t="shared" si="247"/>
        <v>2136</v>
      </c>
      <c r="T3914" s="110"/>
    </row>
    <row r="3915" spans="3:20" x14ac:dyDescent="0.2">
      <c r="C3915" s="96" t="str">
        <f t="shared" si="244"/>
        <v>2137</v>
      </c>
      <c r="D3915" s="73"/>
      <c r="E3915" s="100"/>
      <c r="F3915" s="101"/>
      <c r="G3915" s="96">
        <f t="shared" si="245"/>
        <v>2137</v>
      </c>
      <c r="I3915" s="96"/>
      <c r="K3915" t="str">
        <f t="shared" si="246"/>
        <v>2137</v>
      </c>
      <c r="M3915" s="72"/>
      <c r="O3915" s="96">
        <f t="shared" si="247"/>
        <v>2137</v>
      </c>
      <c r="T3915" s="110"/>
    </row>
    <row r="3916" spans="3:20" x14ac:dyDescent="0.2">
      <c r="C3916" s="96" t="str">
        <f t="shared" si="244"/>
        <v>2138</v>
      </c>
      <c r="D3916" s="73"/>
      <c r="E3916" s="100"/>
      <c r="F3916" s="101"/>
      <c r="G3916" s="96">
        <f t="shared" si="245"/>
        <v>2138</v>
      </c>
      <c r="I3916" s="96"/>
      <c r="K3916" t="str">
        <f t="shared" si="246"/>
        <v>2138</v>
      </c>
      <c r="M3916" s="72"/>
      <c r="O3916" s="96">
        <f t="shared" si="247"/>
        <v>2138</v>
      </c>
      <c r="T3916" s="110"/>
    </row>
    <row r="3917" spans="3:20" x14ac:dyDescent="0.2">
      <c r="C3917" s="96" t="str">
        <f t="shared" si="244"/>
        <v>2139</v>
      </c>
      <c r="D3917" s="73"/>
      <c r="E3917" s="100"/>
      <c r="F3917" s="101"/>
      <c r="G3917" s="96">
        <f t="shared" si="245"/>
        <v>2139</v>
      </c>
      <c r="I3917" s="96"/>
      <c r="K3917" t="str">
        <f t="shared" si="246"/>
        <v>2139</v>
      </c>
      <c r="M3917" s="72"/>
      <c r="O3917" s="96">
        <f t="shared" si="247"/>
        <v>2139</v>
      </c>
      <c r="T3917" s="110"/>
    </row>
    <row r="3918" spans="3:20" x14ac:dyDescent="0.2">
      <c r="C3918" s="96" t="str">
        <f t="shared" si="244"/>
        <v>2140</v>
      </c>
      <c r="D3918" s="73"/>
      <c r="E3918" s="100"/>
      <c r="F3918" s="101"/>
      <c r="G3918" s="96">
        <f t="shared" si="245"/>
        <v>2140</v>
      </c>
      <c r="I3918" s="96"/>
      <c r="K3918" t="str">
        <f t="shared" si="246"/>
        <v>2140</v>
      </c>
      <c r="M3918" s="72"/>
      <c r="O3918" s="96">
        <f t="shared" si="247"/>
        <v>2140</v>
      </c>
      <c r="T3918" s="110"/>
    </row>
    <row r="3919" spans="3:20" x14ac:dyDescent="0.2">
      <c r="C3919" s="96" t="str">
        <f t="shared" si="244"/>
        <v>2141</v>
      </c>
      <c r="D3919" s="73"/>
      <c r="E3919" s="100"/>
      <c r="F3919" s="101"/>
      <c r="G3919" s="96">
        <f t="shared" si="245"/>
        <v>2141</v>
      </c>
      <c r="I3919" s="96"/>
      <c r="K3919" t="str">
        <f t="shared" si="246"/>
        <v>2141</v>
      </c>
      <c r="M3919" s="72"/>
      <c r="O3919" s="96">
        <f t="shared" si="247"/>
        <v>2141</v>
      </c>
      <c r="T3919" s="110"/>
    </row>
    <row r="3920" spans="3:20" x14ac:dyDescent="0.2">
      <c r="C3920" s="96" t="str">
        <f t="shared" si="244"/>
        <v>2142</v>
      </c>
      <c r="D3920" s="73"/>
      <c r="E3920" s="100"/>
      <c r="F3920" s="101"/>
      <c r="G3920" s="96">
        <f t="shared" si="245"/>
        <v>2142</v>
      </c>
      <c r="I3920" s="96"/>
      <c r="K3920" t="str">
        <f t="shared" si="246"/>
        <v>2142</v>
      </c>
      <c r="M3920" s="72"/>
      <c r="O3920" s="96">
        <f t="shared" si="247"/>
        <v>2142</v>
      </c>
      <c r="T3920" s="110"/>
    </row>
    <row r="3921" spans="3:20" x14ac:dyDescent="0.2">
      <c r="C3921" s="96" t="str">
        <f t="shared" si="244"/>
        <v>2143</v>
      </c>
      <c r="D3921" s="73"/>
      <c r="E3921" s="100"/>
      <c r="F3921" s="101"/>
      <c r="G3921" s="96">
        <f t="shared" si="245"/>
        <v>2143</v>
      </c>
      <c r="I3921" s="96"/>
      <c r="K3921" t="str">
        <f t="shared" si="246"/>
        <v>2143</v>
      </c>
      <c r="M3921" s="72"/>
      <c r="O3921" s="96">
        <f t="shared" si="247"/>
        <v>2143</v>
      </c>
      <c r="T3921" s="110"/>
    </row>
    <row r="3922" spans="3:20" x14ac:dyDescent="0.2">
      <c r="C3922" s="96" t="str">
        <f t="shared" si="244"/>
        <v>2144</v>
      </c>
      <c r="D3922" s="73"/>
      <c r="E3922" s="100"/>
      <c r="F3922" s="101"/>
      <c r="G3922" s="96">
        <f t="shared" si="245"/>
        <v>2144</v>
      </c>
      <c r="I3922" s="96"/>
      <c r="K3922" t="str">
        <f t="shared" si="246"/>
        <v>2144</v>
      </c>
      <c r="M3922" s="72"/>
      <c r="O3922" s="96">
        <f t="shared" si="247"/>
        <v>2144</v>
      </c>
      <c r="T3922" s="110"/>
    </row>
    <row r="3923" spans="3:20" x14ac:dyDescent="0.2">
      <c r="C3923" s="96" t="str">
        <f t="shared" si="244"/>
        <v>2145</v>
      </c>
      <c r="D3923" s="73"/>
      <c r="E3923" s="100"/>
      <c r="F3923" s="101"/>
      <c r="G3923" s="96">
        <f t="shared" si="245"/>
        <v>2145</v>
      </c>
      <c r="I3923" s="96"/>
      <c r="K3923" t="str">
        <f t="shared" si="246"/>
        <v>2145</v>
      </c>
      <c r="M3923" s="72"/>
      <c r="O3923" s="96">
        <f t="shared" si="247"/>
        <v>2145</v>
      </c>
      <c r="T3923" s="110"/>
    </row>
    <row r="3924" spans="3:20" x14ac:dyDescent="0.2">
      <c r="C3924" s="96" t="str">
        <f t="shared" si="244"/>
        <v>2146</v>
      </c>
      <c r="D3924" s="73"/>
      <c r="E3924" s="100"/>
      <c r="F3924" s="101"/>
      <c r="G3924" s="96">
        <f t="shared" si="245"/>
        <v>2146</v>
      </c>
      <c r="I3924" s="96"/>
      <c r="K3924" t="str">
        <f t="shared" si="246"/>
        <v>2146</v>
      </c>
      <c r="M3924" s="72"/>
      <c r="O3924" s="96">
        <f t="shared" si="247"/>
        <v>2146</v>
      </c>
      <c r="T3924" s="110"/>
    </row>
    <row r="3925" spans="3:20" x14ac:dyDescent="0.2">
      <c r="C3925" s="96" t="str">
        <f t="shared" si="244"/>
        <v>2147</v>
      </c>
      <c r="D3925" s="73"/>
      <c r="E3925" s="100"/>
      <c r="F3925" s="101"/>
      <c r="G3925" s="96">
        <f t="shared" si="245"/>
        <v>2147</v>
      </c>
      <c r="I3925" s="96"/>
      <c r="K3925" t="str">
        <f t="shared" si="246"/>
        <v>2147</v>
      </c>
      <c r="M3925" s="72"/>
      <c r="O3925" s="96">
        <f t="shared" si="247"/>
        <v>2147</v>
      </c>
      <c r="T3925" s="110"/>
    </row>
    <row r="3926" spans="3:20" x14ac:dyDescent="0.2">
      <c r="C3926" s="96" t="str">
        <f t="shared" si="244"/>
        <v>2148</v>
      </c>
      <c r="D3926" s="73"/>
      <c r="E3926" s="100"/>
      <c r="F3926" s="101"/>
      <c r="G3926" s="96">
        <f t="shared" si="245"/>
        <v>2148</v>
      </c>
      <c r="I3926" s="96"/>
      <c r="K3926" t="str">
        <f t="shared" si="246"/>
        <v>2148</v>
      </c>
      <c r="M3926" s="72"/>
      <c r="O3926" s="96">
        <f t="shared" si="247"/>
        <v>2148</v>
      </c>
      <c r="T3926" s="110"/>
    </row>
    <row r="3927" spans="3:20" x14ac:dyDescent="0.2">
      <c r="C3927" s="96" t="str">
        <f t="shared" si="244"/>
        <v>2149</v>
      </c>
      <c r="D3927" s="73"/>
      <c r="E3927" s="100"/>
      <c r="F3927" s="101"/>
      <c r="G3927" s="96">
        <f t="shared" si="245"/>
        <v>2149</v>
      </c>
      <c r="I3927" s="96"/>
      <c r="K3927" t="str">
        <f t="shared" si="246"/>
        <v>2149</v>
      </c>
      <c r="M3927" s="72"/>
      <c r="O3927" s="96">
        <f t="shared" si="247"/>
        <v>2149</v>
      </c>
      <c r="T3927" s="110"/>
    </row>
    <row r="3928" spans="3:20" x14ac:dyDescent="0.2">
      <c r="C3928" s="96" t="str">
        <f t="shared" si="244"/>
        <v>2150</v>
      </c>
      <c r="D3928" s="73"/>
      <c r="E3928" s="100"/>
      <c r="F3928" s="101"/>
      <c r="G3928" s="96">
        <f t="shared" si="245"/>
        <v>2150</v>
      </c>
      <c r="I3928" s="96"/>
      <c r="K3928" t="str">
        <f t="shared" si="246"/>
        <v>2150</v>
      </c>
      <c r="M3928" s="72"/>
      <c r="O3928" s="96">
        <f t="shared" si="247"/>
        <v>2150</v>
      </c>
      <c r="T3928" s="110"/>
    </row>
    <row r="3929" spans="3:20" x14ac:dyDescent="0.2">
      <c r="C3929" s="96" t="str">
        <f t="shared" si="244"/>
        <v>2151</v>
      </c>
      <c r="D3929" s="73"/>
      <c r="E3929" s="100"/>
      <c r="F3929" s="101"/>
      <c r="G3929" s="96">
        <f t="shared" si="245"/>
        <v>2151</v>
      </c>
      <c r="I3929" s="96"/>
      <c r="K3929" t="str">
        <f t="shared" si="246"/>
        <v>2151</v>
      </c>
      <c r="M3929" s="72"/>
      <c r="O3929" s="96">
        <f t="shared" si="247"/>
        <v>2151</v>
      </c>
      <c r="T3929" s="110"/>
    </row>
    <row r="3930" spans="3:20" x14ac:dyDescent="0.2">
      <c r="C3930" s="96" t="str">
        <f t="shared" si="244"/>
        <v>2152</v>
      </c>
      <c r="D3930" s="73"/>
      <c r="E3930" s="100"/>
      <c r="F3930" s="101"/>
      <c r="G3930" s="96">
        <f t="shared" si="245"/>
        <v>2152</v>
      </c>
      <c r="I3930" s="96"/>
      <c r="K3930" t="str">
        <f t="shared" si="246"/>
        <v>2152</v>
      </c>
      <c r="M3930" s="72"/>
      <c r="O3930" s="96">
        <f t="shared" si="247"/>
        <v>2152</v>
      </c>
      <c r="T3930" s="110"/>
    </row>
    <row r="3931" spans="3:20" x14ac:dyDescent="0.2">
      <c r="C3931" s="96" t="str">
        <f t="shared" si="244"/>
        <v>2153</v>
      </c>
      <c r="D3931" s="73"/>
      <c r="E3931" s="100"/>
      <c r="F3931" s="101"/>
      <c r="G3931" s="96">
        <f t="shared" si="245"/>
        <v>2153</v>
      </c>
      <c r="I3931" s="96"/>
      <c r="K3931" t="str">
        <f t="shared" si="246"/>
        <v>2153</v>
      </c>
      <c r="M3931" s="72"/>
      <c r="O3931" s="96">
        <f t="shared" si="247"/>
        <v>2153</v>
      </c>
      <c r="T3931" s="110"/>
    </row>
    <row r="3932" spans="3:20" x14ac:dyDescent="0.2">
      <c r="C3932" s="96" t="str">
        <f t="shared" si="244"/>
        <v>2154</v>
      </c>
      <c r="D3932" s="73"/>
      <c r="E3932" s="100"/>
      <c r="F3932" s="101"/>
      <c r="G3932" s="96">
        <f t="shared" si="245"/>
        <v>2154</v>
      </c>
      <c r="I3932" s="96"/>
      <c r="K3932" t="str">
        <f t="shared" si="246"/>
        <v>2154</v>
      </c>
      <c r="M3932" s="72"/>
      <c r="O3932" s="96">
        <f t="shared" si="247"/>
        <v>2154</v>
      </c>
      <c r="T3932" s="110"/>
    </row>
    <row r="3933" spans="3:20" x14ac:dyDescent="0.2">
      <c r="C3933" s="96" t="str">
        <f t="shared" si="244"/>
        <v>2155</v>
      </c>
      <c r="D3933" s="73"/>
      <c r="E3933" s="100"/>
      <c r="F3933" s="101"/>
      <c r="G3933" s="96">
        <f t="shared" si="245"/>
        <v>2155</v>
      </c>
      <c r="I3933" s="96"/>
      <c r="K3933" t="str">
        <f t="shared" si="246"/>
        <v>2155</v>
      </c>
      <c r="M3933" s="72"/>
      <c r="O3933" s="96">
        <f t="shared" si="247"/>
        <v>2155</v>
      </c>
      <c r="T3933" s="110"/>
    </row>
    <row r="3934" spans="3:20" x14ac:dyDescent="0.2">
      <c r="C3934" s="96" t="str">
        <f t="shared" si="244"/>
        <v>2156</v>
      </c>
      <c r="D3934" s="73"/>
      <c r="E3934" s="100"/>
      <c r="F3934" s="101"/>
      <c r="G3934" s="96">
        <f t="shared" si="245"/>
        <v>2156</v>
      </c>
      <c r="I3934" s="96"/>
      <c r="K3934" t="str">
        <f t="shared" si="246"/>
        <v>2156</v>
      </c>
      <c r="M3934" s="72"/>
      <c r="O3934" s="96">
        <f t="shared" si="247"/>
        <v>2156</v>
      </c>
      <c r="T3934" s="110"/>
    </row>
    <row r="3935" spans="3:20" x14ac:dyDescent="0.2">
      <c r="C3935" s="96" t="str">
        <f t="shared" si="244"/>
        <v>2157</v>
      </c>
      <c r="D3935" s="73"/>
      <c r="E3935" s="100"/>
      <c r="F3935" s="101"/>
      <c r="G3935" s="96">
        <f t="shared" si="245"/>
        <v>2157</v>
      </c>
      <c r="I3935" s="96"/>
      <c r="K3935" t="str">
        <f t="shared" si="246"/>
        <v>2157</v>
      </c>
      <c r="M3935" s="72"/>
      <c r="O3935" s="96">
        <f t="shared" si="247"/>
        <v>2157</v>
      </c>
      <c r="T3935" s="110"/>
    </row>
    <row r="3936" spans="3:20" x14ac:dyDescent="0.2">
      <c r="C3936" s="96" t="str">
        <f t="shared" si="244"/>
        <v>2158</v>
      </c>
      <c r="D3936" s="73"/>
      <c r="E3936" s="100"/>
      <c r="F3936" s="101"/>
      <c r="G3936" s="96">
        <f t="shared" si="245"/>
        <v>2158</v>
      </c>
      <c r="I3936" s="96"/>
      <c r="K3936" t="str">
        <f t="shared" si="246"/>
        <v>2158</v>
      </c>
      <c r="M3936" s="72"/>
      <c r="O3936" s="96">
        <f t="shared" si="247"/>
        <v>2158</v>
      </c>
      <c r="T3936" s="110"/>
    </row>
    <row r="3937" spans="3:20" x14ac:dyDescent="0.2">
      <c r="C3937" s="96" t="str">
        <f t="shared" si="244"/>
        <v>2159</v>
      </c>
      <c r="D3937" s="73"/>
      <c r="E3937" s="100"/>
      <c r="F3937" s="101"/>
      <c r="G3937" s="96">
        <f t="shared" si="245"/>
        <v>2159</v>
      </c>
      <c r="I3937" s="96"/>
      <c r="K3937" t="str">
        <f t="shared" si="246"/>
        <v>2159</v>
      </c>
      <c r="M3937" s="72"/>
      <c r="O3937" s="96">
        <f t="shared" si="247"/>
        <v>2159</v>
      </c>
      <c r="T3937" s="110"/>
    </row>
    <row r="3938" spans="3:20" x14ac:dyDescent="0.2">
      <c r="C3938" s="96" t="str">
        <f t="shared" si="244"/>
        <v>2160</v>
      </c>
      <c r="D3938" s="73"/>
      <c r="E3938" s="100"/>
      <c r="F3938" s="101"/>
      <c r="G3938" s="96">
        <f t="shared" si="245"/>
        <v>2160</v>
      </c>
      <c r="I3938" s="96"/>
      <c r="K3938" t="str">
        <f t="shared" si="246"/>
        <v>2160</v>
      </c>
      <c r="M3938" s="72"/>
      <c r="O3938" s="96">
        <f t="shared" si="247"/>
        <v>2160</v>
      </c>
      <c r="T3938" s="110"/>
    </row>
    <row r="3939" spans="3:20" x14ac:dyDescent="0.2">
      <c r="C3939" s="96" t="str">
        <f t="shared" si="244"/>
        <v>2161</v>
      </c>
      <c r="D3939" s="73"/>
      <c r="E3939" s="100"/>
      <c r="F3939" s="101"/>
      <c r="G3939" s="96">
        <f t="shared" si="245"/>
        <v>2161</v>
      </c>
      <c r="I3939" s="96"/>
      <c r="K3939" t="str">
        <f t="shared" si="246"/>
        <v>2161</v>
      </c>
      <c r="M3939" s="72"/>
      <c r="O3939" s="96">
        <f t="shared" si="247"/>
        <v>2161</v>
      </c>
      <c r="T3939" s="110"/>
    </row>
    <row r="3940" spans="3:20" x14ac:dyDescent="0.2">
      <c r="C3940" s="96" t="str">
        <f t="shared" si="244"/>
        <v>2162</v>
      </c>
      <c r="D3940" s="73"/>
      <c r="E3940" s="100"/>
      <c r="F3940" s="101"/>
      <c r="G3940" s="96">
        <f t="shared" si="245"/>
        <v>2162</v>
      </c>
      <c r="I3940" s="96"/>
      <c r="K3940" t="str">
        <f t="shared" si="246"/>
        <v>2162</v>
      </c>
      <c r="M3940" s="72"/>
      <c r="O3940" s="96">
        <f t="shared" si="247"/>
        <v>2162</v>
      </c>
      <c r="T3940" s="110"/>
    </row>
    <row r="3941" spans="3:20" x14ac:dyDescent="0.2">
      <c r="C3941" s="96" t="str">
        <f t="shared" si="244"/>
        <v>2163</v>
      </c>
      <c r="D3941" s="73"/>
      <c r="E3941" s="100"/>
      <c r="F3941" s="101"/>
      <c r="G3941" s="96">
        <f t="shared" si="245"/>
        <v>2163</v>
      </c>
      <c r="I3941" s="96"/>
      <c r="K3941" t="str">
        <f t="shared" si="246"/>
        <v>2163</v>
      </c>
      <c r="M3941" s="72"/>
      <c r="O3941" s="96">
        <f t="shared" si="247"/>
        <v>2163</v>
      </c>
      <c r="T3941" s="110"/>
    </row>
    <row r="3942" spans="3:20" x14ac:dyDescent="0.2">
      <c r="C3942" s="96" t="str">
        <f t="shared" si="244"/>
        <v>2164</v>
      </c>
      <c r="D3942" s="73"/>
      <c r="E3942" s="100"/>
      <c r="F3942" s="101"/>
      <c r="G3942" s="96">
        <f t="shared" si="245"/>
        <v>2164</v>
      </c>
      <c r="I3942" s="96"/>
      <c r="K3942" t="str">
        <f t="shared" si="246"/>
        <v>2164</v>
      </c>
      <c r="M3942" s="72"/>
      <c r="O3942" s="96">
        <f t="shared" si="247"/>
        <v>2164</v>
      </c>
      <c r="T3942" s="110"/>
    </row>
    <row r="3943" spans="3:20" x14ac:dyDescent="0.2">
      <c r="C3943" s="96" t="str">
        <f t="shared" si="244"/>
        <v>2165</v>
      </c>
      <c r="D3943" s="73"/>
      <c r="E3943" s="100"/>
      <c r="F3943" s="101"/>
      <c r="G3943" s="96">
        <f t="shared" si="245"/>
        <v>2165</v>
      </c>
      <c r="I3943" s="96"/>
      <c r="K3943" t="str">
        <f t="shared" si="246"/>
        <v>2165</v>
      </c>
      <c r="M3943" s="72"/>
      <c r="O3943" s="96">
        <f t="shared" si="247"/>
        <v>2165</v>
      </c>
      <c r="T3943" s="110"/>
    </row>
    <row r="3944" spans="3:20" x14ac:dyDescent="0.2">
      <c r="C3944" s="96" t="str">
        <f t="shared" si="244"/>
        <v>2166</v>
      </c>
      <c r="D3944" s="73"/>
      <c r="E3944" s="100"/>
      <c r="F3944" s="101"/>
      <c r="G3944" s="96">
        <f t="shared" si="245"/>
        <v>2166</v>
      </c>
      <c r="I3944" s="96"/>
      <c r="K3944" t="str">
        <f t="shared" si="246"/>
        <v>2166</v>
      </c>
      <c r="M3944" s="72"/>
      <c r="O3944" s="96">
        <f t="shared" si="247"/>
        <v>2166</v>
      </c>
      <c r="T3944" s="110"/>
    </row>
    <row r="3945" spans="3:20" x14ac:dyDescent="0.2">
      <c r="C3945" s="96" t="str">
        <f t="shared" si="244"/>
        <v>2167</v>
      </c>
      <c r="D3945" s="73"/>
      <c r="E3945" s="100"/>
      <c r="F3945" s="101"/>
      <c r="G3945" s="96">
        <f t="shared" si="245"/>
        <v>2167</v>
      </c>
      <c r="I3945" s="96"/>
      <c r="K3945" t="str">
        <f t="shared" si="246"/>
        <v>2167</v>
      </c>
      <c r="M3945" s="72"/>
      <c r="O3945" s="96">
        <f t="shared" si="247"/>
        <v>2167</v>
      </c>
      <c r="T3945" s="110"/>
    </row>
    <row r="3946" spans="3:20" x14ac:dyDescent="0.2">
      <c r="C3946" s="96" t="str">
        <f t="shared" si="244"/>
        <v>2168</v>
      </c>
      <c r="D3946" s="73"/>
      <c r="E3946" s="100"/>
      <c r="F3946" s="101"/>
      <c r="G3946" s="96">
        <f t="shared" si="245"/>
        <v>2168</v>
      </c>
      <c r="I3946" s="96"/>
      <c r="K3946" t="str">
        <f t="shared" si="246"/>
        <v>2168</v>
      </c>
      <c r="M3946" s="72"/>
      <c r="O3946" s="96">
        <f t="shared" si="247"/>
        <v>2168</v>
      </c>
      <c r="T3946" s="110"/>
    </row>
    <row r="3947" spans="3:20" x14ac:dyDescent="0.2">
      <c r="C3947" s="96" t="str">
        <f t="shared" si="244"/>
        <v>2169</v>
      </c>
      <c r="D3947" s="73"/>
      <c r="E3947" s="100"/>
      <c r="F3947" s="101"/>
      <c r="G3947" s="96">
        <f t="shared" si="245"/>
        <v>2169</v>
      </c>
      <c r="I3947" s="96"/>
      <c r="K3947" t="str">
        <f t="shared" si="246"/>
        <v>2169</v>
      </c>
      <c r="M3947" s="72"/>
      <c r="O3947" s="96">
        <f t="shared" si="247"/>
        <v>2169</v>
      </c>
      <c r="T3947" s="110"/>
    </row>
    <row r="3948" spans="3:20" x14ac:dyDescent="0.2">
      <c r="C3948" s="96" t="str">
        <f t="shared" si="244"/>
        <v>2170</v>
      </c>
      <c r="D3948" s="73"/>
      <c r="E3948" s="100"/>
      <c r="F3948" s="101"/>
      <c r="G3948" s="96">
        <f t="shared" si="245"/>
        <v>2170</v>
      </c>
      <c r="I3948" s="96"/>
      <c r="K3948" t="str">
        <f t="shared" si="246"/>
        <v>2170</v>
      </c>
      <c r="M3948" s="72"/>
      <c r="O3948" s="96">
        <f t="shared" si="247"/>
        <v>2170</v>
      </c>
      <c r="T3948" s="110"/>
    </row>
    <row r="3949" spans="3:20" x14ac:dyDescent="0.2">
      <c r="C3949" s="96" t="str">
        <f t="shared" si="244"/>
        <v>2171</v>
      </c>
      <c r="D3949" s="73"/>
      <c r="E3949" s="100"/>
      <c r="F3949" s="101"/>
      <c r="G3949" s="96">
        <f t="shared" si="245"/>
        <v>2171</v>
      </c>
      <c r="I3949" s="96"/>
      <c r="K3949" t="str">
        <f t="shared" si="246"/>
        <v>2171</v>
      </c>
      <c r="M3949" s="72"/>
      <c r="O3949" s="96">
        <f t="shared" si="247"/>
        <v>2171</v>
      </c>
      <c r="T3949" s="110"/>
    </row>
    <row r="3950" spans="3:20" x14ac:dyDescent="0.2">
      <c r="C3950" s="96" t="str">
        <f t="shared" si="244"/>
        <v>2172</v>
      </c>
      <c r="D3950" s="73"/>
      <c r="E3950" s="100"/>
      <c r="F3950" s="101"/>
      <c r="G3950" s="96">
        <f t="shared" si="245"/>
        <v>2172</v>
      </c>
      <c r="I3950" s="96"/>
      <c r="K3950" t="str">
        <f t="shared" si="246"/>
        <v>2172</v>
      </c>
      <c r="M3950" s="72"/>
      <c r="O3950" s="96">
        <f t="shared" si="247"/>
        <v>2172</v>
      </c>
      <c r="T3950" s="110"/>
    </row>
    <row r="3951" spans="3:20" x14ac:dyDescent="0.2">
      <c r="C3951" s="96" t="str">
        <f t="shared" si="244"/>
        <v>2173</v>
      </c>
      <c r="D3951" s="73"/>
      <c r="E3951" s="100"/>
      <c r="F3951" s="101"/>
      <c r="G3951" s="96">
        <f t="shared" si="245"/>
        <v>2173</v>
      </c>
      <c r="I3951" s="96"/>
      <c r="K3951" t="str">
        <f t="shared" si="246"/>
        <v>2173</v>
      </c>
      <c r="M3951" s="72"/>
      <c r="O3951" s="96">
        <f t="shared" si="247"/>
        <v>2173</v>
      </c>
      <c r="T3951" s="83"/>
    </row>
    <row r="3952" spans="3:20" x14ac:dyDescent="0.2">
      <c r="C3952" s="96" t="str">
        <f t="shared" si="244"/>
        <v>2174</v>
      </c>
      <c r="D3952" s="73"/>
      <c r="E3952" s="100"/>
      <c r="F3952" s="101"/>
      <c r="G3952" s="96">
        <f t="shared" si="245"/>
        <v>2174</v>
      </c>
      <c r="I3952" s="96"/>
      <c r="K3952" t="str">
        <f t="shared" si="246"/>
        <v>2174</v>
      </c>
      <c r="M3952" s="72"/>
      <c r="O3952" s="96">
        <f t="shared" si="247"/>
        <v>2174</v>
      </c>
      <c r="T3952" s="110"/>
    </row>
    <row r="3953" spans="3:20" x14ac:dyDescent="0.2">
      <c r="C3953" s="96" t="str">
        <f t="shared" si="244"/>
        <v>2175</v>
      </c>
      <c r="D3953" s="73"/>
      <c r="E3953" s="100"/>
      <c r="F3953" s="101"/>
      <c r="G3953" s="96">
        <f t="shared" si="245"/>
        <v>2175</v>
      </c>
      <c r="I3953" s="96"/>
      <c r="K3953" t="str">
        <f t="shared" si="246"/>
        <v>2175</v>
      </c>
      <c r="M3953" s="72"/>
      <c r="O3953" s="96">
        <f t="shared" si="247"/>
        <v>2175</v>
      </c>
      <c r="T3953" s="110"/>
    </row>
    <row r="3954" spans="3:20" x14ac:dyDescent="0.2">
      <c r="C3954" s="96" t="str">
        <f t="shared" si="244"/>
        <v>2176</v>
      </c>
      <c r="D3954" s="73"/>
      <c r="E3954" s="100"/>
      <c r="F3954" s="101"/>
      <c r="G3954" s="96">
        <f t="shared" si="245"/>
        <v>2176</v>
      </c>
      <c r="I3954" s="96"/>
      <c r="K3954" t="str">
        <f t="shared" si="246"/>
        <v>2176</v>
      </c>
      <c r="M3954" s="72"/>
      <c r="O3954" s="96">
        <f t="shared" si="247"/>
        <v>2176</v>
      </c>
      <c r="T3954" s="110"/>
    </row>
    <row r="3955" spans="3:20" x14ac:dyDescent="0.2">
      <c r="C3955" s="96" t="str">
        <f t="shared" si="244"/>
        <v>2177</v>
      </c>
      <c r="D3955" s="73"/>
      <c r="E3955" s="100"/>
      <c r="F3955" s="101"/>
      <c r="G3955" s="96">
        <f t="shared" si="245"/>
        <v>2177</v>
      </c>
      <c r="I3955" s="96"/>
      <c r="K3955" t="str">
        <f t="shared" si="246"/>
        <v>2177</v>
      </c>
      <c r="M3955" s="72"/>
      <c r="O3955" s="96">
        <f t="shared" si="247"/>
        <v>2177</v>
      </c>
      <c r="T3955" s="110"/>
    </row>
    <row r="3956" spans="3:20" x14ac:dyDescent="0.2">
      <c r="C3956" s="96" t="str">
        <f t="shared" si="244"/>
        <v>2178</v>
      </c>
      <c r="D3956" s="73"/>
      <c r="E3956" s="100"/>
      <c r="F3956" s="101"/>
      <c r="G3956" s="96">
        <f t="shared" si="245"/>
        <v>2178</v>
      </c>
      <c r="I3956" s="96"/>
      <c r="K3956" t="str">
        <f t="shared" si="246"/>
        <v>2178</v>
      </c>
      <c r="M3956" s="72"/>
      <c r="O3956" s="96">
        <f t="shared" si="247"/>
        <v>2178</v>
      </c>
      <c r="T3956" s="110"/>
    </row>
    <row r="3957" spans="3:20" x14ac:dyDescent="0.2">
      <c r="C3957" s="96" t="str">
        <f t="shared" si="244"/>
        <v>2179</v>
      </c>
      <c r="D3957" s="73"/>
      <c r="E3957" s="100"/>
      <c r="F3957" s="101"/>
      <c r="G3957" s="96">
        <f t="shared" si="245"/>
        <v>2179</v>
      </c>
      <c r="I3957" s="96"/>
      <c r="K3957" t="str">
        <f t="shared" si="246"/>
        <v>2179</v>
      </c>
      <c r="M3957" s="72"/>
      <c r="O3957" s="96">
        <f t="shared" si="247"/>
        <v>2179</v>
      </c>
      <c r="T3957" s="110"/>
    </row>
    <row r="3958" spans="3:20" x14ac:dyDescent="0.2">
      <c r="C3958" s="96" t="str">
        <f t="shared" si="244"/>
        <v>2180</v>
      </c>
      <c r="D3958" s="73"/>
      <c r="E3958" s="100"/>
      <c r="F3958" s="101"/>
      <c r="G3958" s="96">
        <f t="shared" si="245"/>
        <v>2180</v>
      </c>
      <c r="I3958" s="96"/>
      <c r="K3958" t="str">
        <f t="shared" si="246"/>
        <v>2180</v>
      </c>
      <c r="M3958" s="72"/>
      <c r="O3958" s="96">
        <f t="shared" si="247"/>
        <v>2180</v>
      </c>
      <c r="T3958" s="110"/>
    </row>
    <row r="3959" spans="3:20" x14ac:dyDescent="0.2">
      <c r="C3959" s="96" t="str">
        <f t="shared" si="244"/>
        <v>2181</v>
      </c>
      <c r="D3959" s="73"/>
      <c r="E3959" s="100"/>
      <c r="F3959" s="101"/>
      <c r="G3959" s="96">
        <f t="shared" si="245"/>
        <v>2181</v>
      </c>
      <c r="I3959" s="96"/>
      <c r="K3959" t="str">
        <f t="shared" si="246"/>
        <v>2181</v>
      </c>
      <c r="M3959" s="72"/>
      <c r="O3959" s="96">
        <f t="shared" si="247"/>
        <v>2181</v>
      </c>
      <c r="T3959" s="110"/>
    </row>
    <row r="3960" spans="3:20" x14ac:dyDescent="0.2">
      <c r="C3960" s="96" t="str">
        <f t="shared" si="244"/>
        <v>2182</v>
      </c>
      <c r="D3960" s="73"/>
      <c r="E3960" s="100"/>
      <c r="F3960" s="101"/>
      <c r="G3960" s="96">
        <f t="shared" si="245"/>
        <v>2182</v>
      </c>
      <c r="I3960" s="96"/>
      <c r="K3960" t="str">
        <f t="shared" si="246"/>
        <v>2182</v>
      </c>
      <c r="M3960" s="72"/>
      <c r="O3960" s="96">
        <f t="shared" si="247"/>
        <v>2182</v>
      </c>
      <c r="T3960" s="110"/>
    </row>
    <row r="3961" spans="3:20" x14ac:dyDescent="0.2">
      <c r="C3961" s="96" t="str">
        <f t="shared" si="244"/>
        <v>2183</v>
      </c>
      <c r="D3961" s="73"/>
      <c r="E3961" s="100"/>
      <c r="F3961" s="101"/>
      <c r="G3961" s="96">
        <f t="shared" si="245"/>
        <v>2183</v>
      </c>
      <c r="I3961" s="96"/>
      <c r="K3961" t="str">
        <f t="shared" si="246"/>
        <v>2183</v>
      </c>
      <c r="M3961" s="72"/>
      <c r="O3961" s="96">
        <f t="shared" si="247"/>
        <v>2183</v>
      </c>
      <c r="T3961" s="110"/>
    </row>
    <row r="3962" spans="3:20" x14ac:dyDescent="0.2">
      <c r="C3962" s="96" t="str">
        <f t="shared" si="244"/>
        <v>2184</v>
      </c>
      <c r="D3962" s="73"/>
      <c r="E3962" s="100"/>
      <c r="F3962" s="101"/>
      <c r="G3962" s="96">
        <f t="shared" si="245"/>
        <v>2184</v>
      </c>
      <c r="I3962" s="96"/>
      <c r="K3962" t="str">
        <f t="shared" si="246"/>
        <v>2184</v>
      </c>
      <c r="M3962" s="72"/>
      <c r="O3962" s="96">
        <f t="shared" si="247"/>
        <v>2184</v>
      </c>
      <c r="T3962" s="110"/>
    </row>
    <row r="3963" spans="3:20" x14ac:dyDescent="0.2">
      <c r="C3963" s="96" t="str">
        <f t="shared" si="244"/>
        <v>2185</v>
      </c>
      <c r="D3963" s="73"/>
      <c r="E3963" s="100"/>
      <c r="F3963" s="101"/>
      <c r="G3963" s="96">
        <f t="shared" si="245"/>
        <v>2185</v>
      </c>
      <c r="I3963" s="96"/>
      <c r="K3963" t="str">
        <f t="shared" si="246"/>
        <v>2185</v>
      </c>
      <c r="M3963" s="72"/>
      <c r="O3963" s="96">
        <f t="shared" si="247"/>
        <v>2185</v>
      </c>
      <c r="T3963" s="110"/>
    </row>
    <row r="3964" spans="3:20" x14ac:dyDescent="0.2">
      <c r="C3964" s="96" t="str">
        <f t="shared" si="244"/>
        <v>2186</v>
      </c>
      <c r="D3964" s="73"/>
      <c r="E3964" s="100"/>
      <c r="F3964" s="101"/>
      <c r="G3964" s="96">
        <f t="shared" si="245"/>
        <v>2186</v>
      </c>
      <c r="I3964" s="96"/>
      <c r="K3964" t="str">
        <f t="shared" si="246"/>
        <v>2186</v>
      </c>
      <c r="M3964" s="72"/>
      <c r="O3964" s="96">
        <f t="shared" si="247"/>
        <v>2186</v>
      </c>
      <c r="T3964" s="110"/>
    </row>
    <row r="3965" spans="3:20" x14ac:dyDescent="0.2">
      <c r="C3965" s="96" t="str">
        <f t="shared" si="244"/>
        <v>2187</v>
      </c>
      <c r="D3965" s="73"/>
      <c r="E3965" s="100"/>
      <c r="F3965" s="101"/>
      <c r="G3965" s="96">
        <f t="shared" si="245"/>
        <v>2187</v>
      </c>
      <c r="I3965" s="96"/>
      <c r="K3965" t="str">
        <f t="shared" si="246"/>
        <v>2187</v>
      </c>
      <c r="M3965" s="72"/>
      <c r="O3965" s="96">
        <f t="shared" si="247"/>
        <v>2187</v>
      </c>
      <c r="T3965" s="110"/>
    </row>
    <row r="3966" spans="3:20" x14ac:dyDescent="0.2">
      <c r="C3966" s="96" t="str">
        <f t="shared" si="244"/>
        <v>2188</v>
      </c>
      <c r="D3966" s="73"/>
      <c r="E3966" s="100"/>
      <c r="F3966" s="101"/>
      <c r="G3966" s="96">
        <f t="shared" si="245"/>
        <v>2188</v>
      </c>
      <c r="I3966" s="96"/>
      <c r="K3966" t="str">
        <f t="shared" si="246"/>
        <v>2188</v>
      </c>
      <c r="M3966" s="72"/>
      <c r="O3966" s="96">
        <f t="shared" si="247"/>
        <v>2188</v>
      </c>
      <c r="T3966" s="83"/>
    </row>
    <row r="3967" spans="3:20" x14ac:dyDescent="0.2">
      <c r="C3967" s="96" t="str">
        <f t="shared" si="244"/>
        <v>2189</v>
      </c>
      <c r="D3967" s="73"/>
      <c r="E3967" s="100"/>
      <c r="F3967" s="101"/>
      <c r="G3967" s="96">
        <f t="shared" si="245"/>
        <v>2189</v>
      </c>
      <c r="I3967" s="96"/>
      <c r="K3967" t="str">
        <f t="shared" si="246"/>
        <v>2189</v>
      </c>
      <c r="M3967" s="72"/>
      <c r="O3967" s="96">
        <f t="shared" si="247"/>
        <v>2189</v>
      </c>
      <c r="T3967" s="83"/>
    </row>
    <row r="3968" spans="3:20" x14ac:dyDescent="0.2">
      <c r="C3968" s="96" t="str">
        <f t="shared" si="244"/>
        <v>2190</v>
      </c>
      <c r="D3968" s="73"/>
      <c r="E3968" s="100"/>
      <c r="F3968" s="101"/>
      <c r="G3968" s="96">
        <f t="shared" si="245"/>
        <v>2190</v>
      </c>
      <c r="I3968" s="96"/>
      <c r="K3968" t="str">
        <f t="shared" si="246"/>
        <v>2190</v>
      </c>
      <c r="M3968" s="72"/>
      <c r="O3968" s="96">
        <f t="shared" si="247"/>
        <v>2190</v>
      </c>
      <c r="T3968" s="83"/>
    </row>
    <row r="3969" spans="3:20" x14ac:dyDescent="0.2">
      <c r="C3969" s="96" t="str">
        <f t="shared" si="244"/>
        <v>2191</v>
      </c>
      <c r="D3969" s="73"/>
      <c r="E3969" s="100"/>
      <c r="F3969" s="101"/>
      <c r="G3969" s="96">
        <f t="shared" si="245"/>
        <v>2191</v>
      </c>
      <c r="I3969" s="96"/>
      <c r="K3969" t="str">
        <f t="shared" si="246"/>
        <v>2191</v>
      </c>
      <c r="M3969" s="72"/>
      <c r="O3969" s="96">
        <f t="shared" si="247"/>
        <v>2191</v>
      </c>
      <c r="T3969" s="110"/>
    </row>
    <row r="3970" spans="3:20" x14ac:dyDescent="0.2">
      <c r="C3970" s="96" t="str">
        <f t="shared" si="244"/>
        <v>2192</v>
      </c>
      <c r="D3970" s="73"/>
      <c r="E3970" s="100"/>
      <c r="F3970" s="101"/>
      <c r="G3970" s="96">
        <f t="shared" si="245"/>
        <v>2192</v>
      </c>
      <c r="I3970" s="96"/>
      <c r="K3970" t="str">
        <f t="shared" si="246"/>
        <v>2192</v>
      </c>
      <c r="M3970" s="72"/>
      <c r="O3970" s="96">
        <f t="shared" si="247"/>
        <v>2192</v>
      </c>
    </row>
    <row r="3971" spans="3:20" x14ac:dyDescent="0.2">
      <c r="C3971" s="96" t="str">
        <f t="shared" ref="C3971:C4034" si="248">D3971&amp;G3971</f>
        <v>2193</v>
      </c>
      <c r="D3971" s="73"/>
      <c r="E3971" s="100"/>
      <c r="F3971" s="101"/>
      <c r="G3971" s="96">
        <f t="shared" ref="G3971:G4034" si="249">IF(D3971&lt;&gt;D3970,1,G3970+1)</f>
        <v>2193</v>
      </c>
      <c r="I3971" s="96"/>
      <c r="K3971" t="str">
        <f t="shared" ref="K3971:K4034" si="250">L3971&amp;O3971</f>
        <v>2193</v>
      </c>
      <c r="M3971" s="72"/>
      <c r="O3971" s="96">
        <f t="shared" ref="O3971:O4034" si="251">IF(L3971&lt;&gt;L3970,1,O3970+1)</f>
        <v>2193</v>
      </c>
      <c r="T3971" s="110"/>
    </row>
    <row r="3972" spans="3:20" x14ac:dyDescent="0.2">
      <c r="C3972" s="96" t="str">
        <f t="shared" si="248"/>
        <v>2194</v>
      </c>
      <c r="D3972" s="73"/>
      <c r="E3972" s="100"/>
      <c r="F3972" s="101"/>
      <c r="G3972" s="96">
        <f t="shared" si="249"/>
        <v>2194</v>
      </c>
      <c r="I3972" s="96"/>
      <c r="K3972" t="str">
        <f t="shared" si="250"/>
        <v>2194</v>
      </c>
      <c r="M3972" s="72"/>
      <c r="O3972" s="96">
        <f t="shared" si="251"/>
        <v>2194</v>
      </c>
      <c r="T3972" s="110"/>
    </row>
    <row r="3973" spans="3:20" x14ac:dyDescent="0.2">
      <c r="C3973" s="96" t="str">
        <f t="shared" si="248"/>
        <v>2195</v>
      </c>
      <c r="D3973" s="73"/>
      <c r="E3973" s="100"/>
      <c r="F3973" s="101"/>
      <c r="G3973" s="96">
        <f t="shared" si="249"/>
        <v>2195</v>
      </c>
      <c r="I3973" s="96"/>
      <c r="K3973" t="str">
        <f t="shared" si="250"/>
        <v>2195</v>
      </c>
      <c r="M3973" s="72"/>
      <c r="O3973" s="96">
        <f t="shared" si="251"/>
        <v>2195</v>
      </c>
      <c r="T3973" s="110"/>
    </row>
    <row r="3974" spans="3:20" x14ac:dyDescent="0.2">
      <c r="C3974" s="96" t="str">
        <f t="shared" si="248"/>
        <v>2196</v>
      </c>
      <c r="D3974" s="73"/>
      <c r="E3974" s="100"/>
      <c r="F3974" s="101"/>
      <c r="G3974" s="96">
        <f t="shared" si="249"/>
        <v>2196</v>
      </c>
      <c r="I3974" s="96"/>
      <c r="K3974" t="str">
        <f t="shared" si="250"/>
        <v>2196</v>
      </c>
      <c r="M3974" s="72"/>
      <c r="O3974" s="96">
        <f t="shared" si="251"/>
        <v>2196</v>
      </c>
      <c r="T3974" s="110"/>
    </row>
    <row r="3975" spans="3:20" x14ac:dyDescent="0.2">
      <c r="C3975" s="96" t="str">
        <f t="shared" si="248"/>
        <v>2197</v>
      </c>
      <c r="D3975" s="73"/>
      <c r="E3975" s="100"/>
      <c r="F3975" s="101"/>
      <c r="G3975" s="96">
        <f t="shared" si="249"/>
        <v>2197</v>
      </c>
      <c r="I3975" s="96"/>
      <c r="K3975" t="str">
        <f t="shared" si="250"/>
        <v>2197</v>
      </c>
      <c r="M3975" s="72"/>
      <c r="O3975" s="96">
        <f t="shared" si="251"/>
        <v>2197</v>
      </c>
      <c r="T3975" s="110"/>
    </row>
    <row r="3976" spans="3:20" x14ac:dyDescent="0.2">
      <c r="C3976" s="96" t="str">
        <f t="shared" si="248"/>
        <v>2198</v>
      </c>
      <c r="D3976" s="73"/>
      <c r="E3976" s="100"/>
      <c r="F3976" s="101"/>
      <c r="G3976" s="96">
        <f t="shared" si="249"/>
        <v>2198</v>
      </c>
      <c r="I3976" s="96"/>
      <c r="K3976" t="str">
        <f t="shared" si="250"/>
        <v>2198</v>
      </c>
      <c r="M3976" s="72"/>
      <c r="O3976" s="96">
        <f t="shared" si="251"/>
        <v>2198</v>
      </c>
      <c r="T3976" s="110"/>
    </row>
    <row r="3977" spans="3:20" x14ac:dyDescent="0.2">
      <c r="C3977" s="96" t="str">
        <f t="shared" si="248"/>
        <v>2199</v>
      </c>
      <c r="D3977" s="73"/>
      <c r="E3977" s="100"/>
      <c r="F3977" s="101"/>
      <c r="G3977" s="96">
        <f t="shared" si="249"/>
        <v>2199</v>
      </c>
      <c r="I3977" s="96"/>
      <c r="K3977" t="str">
        <f t="shared" si="250"/>
        <v>2199</v>
      </c>
      <c r="M3977" s="72"/>
      <c r="O3977" s="96">
        <f t="shared" si="251"/>
        <v>2199</v>
      </c>
      <c r="T3977" s="110"/>
    </row>
    <row r="3978" spans="3:20" x14ac:dyDescent="0.2">
      <c r="C3978" s="96" t="str">
        <f t="shared" si="248"/>
        <v>2200</v>
      </c>
      <c r="D3978" s="73"/>
      <c r="E3978" s="100"/>
      <c r="F3978" s="101"/>
      <c r="G3978" s="96">
        <f t="shared" si="249"/>
        <v>2200</v>
      </c>
      <c r="I3978" s="96"/>
      <c r="K3978" t="str">
        <f t="shared" si="250"/>
        <v>2200</v>
      </c>
      <c r="M3978" s="72"/>
      <c r="O3978" s="96">
        <f t="shared" si="251"/>
        <v>2200</v>
      </c>
      <c r="T3978" s="110"/>
    </row>
    <row r="3979" spans="3:20" x14ac:dyDescent="0.2">
      <c r="C3979" s="96" t="str">
        <f t="shared" si="248"/>
        <v>2201</v>
      </c>
      <c r="D3979" s="73"/>
      <c r="E3979" s="100"/>
      <c r="F3979" s="101"/>
      <c r="G3979" s="96">
        <f t="shared" si="249"/>
        <v>2201</v>
      </c>
      <c r="I3979" s="96"/>
      <c r="K3979" t="str">
        <f t="shared" si="250"/>
        <v>2201</v>
      </c>
      <c r="M3979" s="72"/>
      <c r="O3979" s="96">
        <f t="shared" si="251"/>
        <v>2201</v>
      </c>
      <c r="T3979" s="110"/>
    </row>
    <row r="3980" spans="3:20" x14ac:dyDescent="0.2">
      <c r="C3980" s="96" t="str">
        <f t="shared" si="248"/>
        <v>2202</v>
      </c>
      <c r="D3980" s="73"/>
      <c r="E3980" s="100"/>
      <c r="F3980" s="101"/>
      <c r="G3980" s="96">
        <f t="shared" si="249"/>
        <v>2202</v>
      </c>
      <c r="I3980" s="96"/>
      <c r="K3980" t="str">
        <f t="shared" si="250"/>
        <v>2202</v>
      </c>
      <c r="M3980" s="72"/>
      <c r="O3980" s="96">
        <f t="shared" si="251"/>
        <v>2202</v>
      </c>
      <c r="T3980" s="110"/>
    </row>
    <row r="3981" spans="3:20" x14ac:dyDescent="0.2">
      <c r="C3981" s="96" t="str">
        <f t="shared" si="248"/>
        <v>2203</v>
      </c>
      <c r="D3981" s="73"/>
      <c r="E3981" s="100"/>
      <c r="F3981" s="101"/>
      <c r="G3981" s="96">
        <f t="shared" si="249"/>
        <v>2203</v>
      </c>
      <c r="I3981" s="96"/>
      <c r="K3981" t="str">
        <f t="shared" si="250"/>
        <v>2203</v>
      </c>
      <c r="M3981" s="72"/>
      <c r="O3981" s="96">
        <f t="shared" si="251"/>
        <v>2203</v>
      </c>
      <c r="T3981" s="110"/>
    </row>
    <row r="3982" spans="3:20" x14ac:dyDescent="0.2">
      <c r="C3982" s="96" t="str">
        <f t="shared" si="248"/>
        <v>2204</v>
      </c>
      <c r="D3982" s="73"/>
      <c r="E3982" s="100"/>
      <c r="F3982" s="101"/>
      <c r="G3982" s="96">
        <f t="shared" si="249"/>
        <v>2204</v>
      </c>
      <c r="I3982" s="96"/>
      <c r="K3982" t="str">
        <f t="shared" si="250"/>
        <v>2204</v>
      </c>
      <c r="M3982" s="72"/>
      <c r="O3982" s="96">
        <f t="shared" si="251"/>
        <v>2204</v>
      </c>
      <c r="T3982" s="110"/>
    </row>
    <row r="3983" spans="3:20" x14ac:dyDescent="0.2">
      <c r="C3983" s="96" t="str">
        <f t="shared" si="248"/>
        <v>2205</v>
      </c>
      <c r="D3983" s="73"/>
      <c r="E3983" s="100"/>
      <c r="F3983" s="101"/>
      <c r="G3983" s="96">
        <f t="shared" si="249"/>
        <v>2205</v>
      </c>
      <c r="I3983" s="96"/>
      <c r="K3983" t="str">
        <f t="shared" si="250"/>
        <v>2205</v>
      </c>
      <c r="M3983" s="72"/>
      <c r="O3983" s="96">
        <f t="shared" si="251"/>
        <v>2205</v>
      </c>
      <c r="T3983" s="110"/>
    </row>
    <row r="3984" spans="3:20" x14ac:dyDescent="0.2">
      <c r="C3984" s="96" t="str">
        <f t="shared" si="248"/>
        <v>2206</v>
      </c>
      <c r="D3984" s="73"/>
      <c r="E3984" s="100"/>
      <c r="F3984" s="101"/>
      <c r="G3984" s="96">
        <f t="shared" si="249"/>
        <v>2206</v>
      </c>
      <c r="I3984" s="96"/>
      <c r="K3984" t="str">
        <f t="shared" si="250"/>
        <v>2206</v>
      </c>
      <c r="M3984" s="72"/>
      <c r="O3984" s="96">
        <f t="shared" si="251"/>
        <v>2206</v>
      </c>
      <c r="T3984" s="110"/>
    </row>
    <row r="3985" spans="3:20" x14ac:dyDescent="0.2">
      <c r="C3985" s="96" t="str">
        <f t="shared" si="248"/>
        <v>2207</v>
      </c>
      <c r="D3985" s="73"/>
      <c r="E3985" s="100"/>
      <c r="F3985" s="101"/>
      <c r="G3985" s="96">
        <f t="shared" si="249"/>
        <v>2207</v>
      </c>
      <c r="I3985" s="96"/>
      <c r="K3985" t="str">
        <f t="shared" si="250"/>
        <v>2207</v>
      </c>
      <c r="M3985" s="72"/>
      <c r="O3985" s="96">
        <f t="shared" si="251"/>
        <v>2207</v>
      </c>
      <c r="T3985" s="110"/>
    </row>
    <row r="3986" spans="3:20" x14ac:dyDescent="0.2">
      <c r="C3986" s="96" t="str">
        <f t="shared" si="248"/>
        <v>2208</v>
      </c>
      <c r="D3986" s="73"/>
      <c r="E3986" s="100"/>
      <c r="F3986" s="101"/>
      <c r="G3986" s="96">
        <f t="shared" si="249"/>
        <v>2208</v>
      </c>
      <c r="I3986" s="96"/>
      <c r="K3986" t="str">
        <f t="shared" si="250"/>
        <v>2208</v>
      </c>
      <c r="M3986" s="72"/>
      <c r="O3986" s="96">
        <f t="shared" si="251"/>
        <v>2208</v>
      </c>
      <c r="T3986" s="110"/>
    </row>
    <row r="3987" spans="3:20" x14ac:dyDescent="0.2">
      <c r="C3987" s="96" t="str">
        <f t="shared" si="248"/>
        <v>2209</v>
      </c>
      <c r="D3987" s="73"/>
      <c r="E3987" s="100"/>
      <c r="F3987" s="101"/>
      <c r="G3987" s="96">
        <f t="shared" si="249"/>
        <v>2209</v>
      </c>
      <c r="I3987" s="96"/>
      <c r="K3987" t="str">
        <f t="shared" si="250"/>
        <v>2209</v>
      </c>
      <c r="M3987" s="72"/>
      <c r="O3987" s="96">
        <f t="shared" si="251"/>
        <v>2209</v>
      </c>
      <c r="T3987" s="110"/>
    </row>
    <row r="3988" spans="3:20" x14ac:dyDescent="0.2">
      <c r="C3988" s="96" t="str">
        <f t="shared" si="248"/>
        <v>2210</v>
      </c>
      <c r="D3988" s="73"/>
      <c r="E3988" s="100"/>
      <c r="F3988" s="101"/>
      <c r="G3988" s="96">
        <f t="shared" si="249"/>
        <v>2210</v>
      </c>
      <c r="I3988" s="96"/>
      <c r="K3988" t="str">
        <f t="shared" si="250"/>
        <v>2210</v>
      </c>
      <c r="M3988" s="72"/>
      <c r="O3988" s="96">
        <f t="shared" si="251"/>
        <v>2210</v>
      </c>
      <c r="T3988" s="110"/>
    </row>
    <row r="3989" spans="3:20" x14ac:dyDescent="0.2">
      <c r="C3989" s="96" t="str">
        <f t="shared" si="248"/>
        <v>2211</v>
      </c>
      <c r="D3989" s="73"/>
      <c r="E3989" s="100"/>
      <c r="F3989" s="101"/>
      <c r="G3989" s="96">
        <f t="shared" si="249"/>
        <v>2211</v>
      </c>
      <c r="I3989" s="96"/>
      <c r="K3989" t="str">
        <f t="shared" si="250"/>
        <v>2211</v>
      </c>
      <c r="M3989" s="72"/>
      <c r="O3989" s="96">
        <f t="shared" si="251"/>
        <v>2211</v>
      </c>
      <c r="T3989" s="110"/>
    </row>
    <row r="3990" spans="3:20" x14ac:dyDescent="0.2">
      <c r="C3990" s="96" t="str">
        <f t="shared" si="248"/>
        <v>2212</v>
      </c>
      <c r="D3990" s="73"/>
      <c r="E3990" s="100"/>
      <c r="F3990" s="101"/>
      <c r="G3990" s="96">
        <f t="shared" si="249"/>
        <v>2212</v>
      </c>
      <c r="I3990" s="96"/>
      <c r="K3990" t="str">
        <f t="shared" si="250"/>
        <v>2212</v>
      </c>
      <c r="M3990" s="72"/>
      <c r="O3990" s="96">
        <f t="shared" si="251"/>
        <v>2212</v>
      </c>
      <c r="T3990" s="110"/>
    </row>
    <row r="3991" spans="3:20" x14ac:dyDescent="0.2">
      <c r="C3991" s="96" t="str">
        <f t="shared" si="248"/>
        <v>2213</v>
      </c>
      <c r="D3991" s="73"/>
      <c r="E3991" s="100"/>
      <c r="F3991" s="101"/>
      <c r="G3991" s="96">
        <f t="shared" si="249"/>
        <v>2213</v>
      </c>
      <c r="I3991" s="96"/>
      <c r="K3991" t="str">
        <f t="shared" si="250"/>
        <v>2213</v>
      </c>
      <c r="M3991" s="72"/>
      <c r="O3991" s="96">
        <f t="shared" si="251"/>
        <v>2213</v>
      </c>
      <c r="T3991" s="110"/>
    </row>
    <row r="3992" spans="3:20" x14ac:dyDescent="0.2">
      <c r="C3992" s="96" t="str">
        <f t="shared" si="248"/>
        <v>2214</v>
      </c>
      <c r="D3992" s="73"/>
      <c r="E3992" s="100"/>
      <c r="F3992" s="101"/>
      <c r="G3992" s="96">
        <f t="shared" si="249"/>
        <v>2214</v>
      </c>
      <c r="I3992" s="96"/>
      <c r="K3992" t="str">
        <f t="shared" si="250"/>
        <v>2214</v>
      </c>
      <c r="M3992" s="72"/>
      <c r="O3992" s="96">
        <f t="shared" si="251"/>
        <v>2214</v>
      </c>
      <c r="T3992" s="110"/>
    </row>
    <row r="3993" spans="3:20" x14ac:dyDescent="0.2">
      <c r="C3993" s="96" t="str">
        <f t="shared" si="248"/>
        <v>2215</v>
      </c>
      <c r="D3993" s="73"/>
      <c r="E3993" s="100"/>
      <c r="F3993" s="101"/>
      <c r="G3993" s="96">
        <f t="shared" si="249"/>
        <v>2215</v>
      </c>
      <c r="I3993" s="96"/>
      <c r="K3993" t="str">
        <f t="shared" si="250"/>
        <v>2215</v>
      </c>
      <c r="M3993" s="72"/>
      <c r="O3993" s="96">
        <f t="shared" si="251"/>
        <v>2215</v>
      </c>
      <c r="T3993" s="110"/>
    </row>
    <row r="3994" spans="3:20" x14ac:dyDescent="0.2">
      <c r="C3994" s="96" t="str">
        <f t="shared" si="248"/>
        <v>2216</v>
      </c>
      <c r="D3994" s="73"/>
      <c r="E3994" s="100"/>
      <c r="F3994" s="101"/>
      <c r="G3994" s="96">
        <f t="shared" si="249"/>
        <v>2216</v>
      </c>
      <c r="I3994" s="96"/>
      <c r="K3994" t="str">
        <f t="shared" si="250"/>
        <v>2216</v>
      </c>
      <c r="M3994" s="72"/>
      <c r="O3994" s="96">
        <f t="shared" si="251"/>
        <v>2216</v>
      </c>
      <c r="T3994" s="110"/>
    </row>
    <row r="3995" spans="3:20" x14ac:dyDescent="0.2">
      <c r="C3995" s="96" t="str">
        <f t="shared" si="248"/>
        <v>2217</v>
      </c>
      <c r="D3995" s="73"/>
      <c r="E3995" s="100"/>
      <c r="F3995" s="101"/>
      <c r="G3995" s="96">
        <f t="shared" si="249"/>
        <v>2217</v>
      </c>
      <c r="I3995" s="96"/>
      <c r="K3995" t="str">
        <f t="shared" si="250"/>
        <v>2217</v>
      </c>
      <c r="M3995" s="72"/>
      <c r="O3995" s="96">
        <f t="shared" si="251"/>
        <v>2217</v>
      </c>
      <c r="T3995" s="110"/>
    </row>
    <row r="3996" spans="3:20" x14ac:dyDescent="0.2">
      <c r="C3996" s="96" t="str">
        <f t="shared" si="248"/>
        <v>2218</v>
      </c>
      <c r="D3996" s="73"/>
      <c r="E3996" s="100"/>
      <c r="F3996" s="101"/>
      <c r="G3996" s="96">
        <f t="shared" si="249"/>
        <v>2218</v>
      </c>
      <c r="I3996" s="96"/>
      <c r="K3996" t="str">
        <f t="shared" si="250"/>
        <v>2218</v>
      </c>
      <c r="M3996" s="72"/>
      <c r="O3996" s="96">
        <f t="shared" si="251"/>
        <v>2218</v>
      </c>
      <c r="T3996" s="110"/>
    </row>
    <row r="3997" spans="3:20" x14ac:dyDescent="0.2">
      <c r="C3997" s="96" t="str">
        <f t="shared" si="248"/>
        <v>2219</v>
      </c>
      <c r="D3997" s="73"/>
      <c r="E3997" s="100"/>
      <c r="F3997" s="101"/>
      <c r="G3997" s="96">
        <f t="shared" si="249"/>
        <v>2219</v>
      </c>
      <c r="I3997" s="96"/>
      <c r="K3997" t="str">
        <f t="shared" si="250"/>
        <v>2219</v>
      </c>
      <c r="M3997" s="72"/>
      <c r="O3997" s="96">
        <f t="shared" si="251"/>
        <v>2219</v>
      </c>
      <c r="T3997" s="110"/>
    </row>
    <row r="3998" spans="3:20" x14ac:dyDescent="0.2">
      <c r="C3998" s="96" t="str">
        <f t="shared" si="248"/>
        <v>2220</v>
      </c>
      <c r="D3998" s="73"/>
      <c r="E3998" s="100"/>
      <c r="F3998" s="101"/>
      <c r="G3998" s="96">
        <f t="shared" si="249"/>
        <v>2220</v>
      </c>
      <c r="I3998" s="96"/>
      <c r="K3998" t="str">
        <f t="shared" si="250"/>
        <v>2220</v>
      </c>
      <c r="M3998" s="72"/>
      <c r="O3998" s="96">
        <f t="shared" si="251"/>
        <v>2220</v>
      </c>
      <c r="T3998" s="110"/>
    </row>
    <row r="3999" spans="3:20" x14ac:dyDescent="0.2">
      <c r="C3999" s="96" t="str">
        <f t="shared" si="248"/>
        <v>2221</v>
      </c>
      <c r="D3999" s="73"/>
      <c r="E3999" s="100"/>
      <c r="F3999" s="101"/>
      <c r="G3999" s="96">
        <f t="shared" si="249"/>
        <v>2221</v>
      </c>
      <c r="I3999" s="96"/>
      <c r="K3999" t="str">
        <f t="shared" si="250"/>
        <v>2221</v>
      </c>
      <c r="M3999" s="72"/>
      <c r="O3999" s="96">
        <f t="shared" si="251"/>
        <v>2221</v>
      </c>
      <c r="T3999" s="110"/>
    </row>
    <row r="4000" spans="3:20" x14ac:dyDescent="0.2">
      <c r="C4000" s="96" t="str">
        <f t="shared" si="248"/>
        <v>2222</v>
      </c>
      <c r="D4000" s="73"/>
      <c r="E4000" s="100"/>
      <c r="F4000" s="101"/>
      <c r="G4000" s="96">
        <f t="shared" si="249"/>
        <v>2222</v>
      </c>
      <c r="I4000" s="96"/>
      <c r="K4000" t="str">
        <f t="shared" si="250"/>
        <v>2222</v>
      </c>
      <c r="M4000" s="72"/>
      <c r="O4000" s="96">
        <f t="shared" si="251"/>
        <v>2222</v>
      </c>
      <c r="T4000" s="110"/>
    </row>
    <row r="4001" spans="3:20" x14ac:dyDescent="0.2">
      <c r="C4001" s="96" t="str">
        <f t="shared" si="248"/>
        <v>2223</v>
      </c>
      <c r="D4001" s="73"/>
      <c r="E4001" s="100"/>
      <c r="F4001" s="101"/>
      <c r="G4001" s="96">
        <f t="shared" si="249"/>
        <v>2223</v>
      </c>
      <c r="I4001" s="96"/>
      <c r="K4001" t="str">
        <f t="shared" si="250"/>
        <v>2223</v>
      </c>
      <c r="M4001" s="72"/>
      <c r="O4001" s="96">
        <f t="shared" si="251"/>
        <v>2223</v>
      </c>
      <c r="T4001" s="110"/>
    </row>
    <row r="4002" spans="3:20" x14ac:dyDescent="0.2">
      <c r="C4002" s="96" t="str">
        <f t="shared" si="248"/>
        <v>2224</v>
      </c>
      <c r="D4002" s="73"/>
      <c r="E4002" s="100"/>
      <c r="F4002" s="101"/>
      <c r="G4002" s="96">
        <f t="shared" si="249"/>
        <v>2224</v>
      </c>
      <c r="I4002" s="96"/>
      <c r="K4002" t="str">
        <f t="shared" si="250"/>
        <v>2224</v>
      </c>
      <c r="M4002" s="72"/>
      <c r="O4002" s="96">
        <f t="shared" si="251"/>
        <v>2224</v>
      </c>
      <c r="T4002" s="110"/>
    </row>
    <row r="4003" spans="3:20" x14ac:dyDescent="0.2">
      <c r="C4003" s="96" t="str">
        <f t="shared" si="248"/>
        <v>2225</v>
      </c>
      <c r="D4003" s="73"/>
      <c r="E4003" s="100"/>
      <c r="F4003" s="101"/>
      <c r="G4003" s="96">
        <f t="shared" si="249"/>
        <v>2225</v>
      </c>
      <c r="I4003" s="96"/>
      <c r="K4003" t="str">
        <f t="shared" si="250"/>
        <v>2225</v>
      </c>
      <c r="M4003" s="72"/>
      <c r="O4003" s="96">
        <f t="shared" si="251"/>
        <v>2225</v>
      </c>
      <c r="T4003" s="110"/>
    </row>
    <row r="4004" spans="3:20" x14ac:dyDescent="0.2">
      <c r="C4004" s="96" t="str">
        <f t="shared" si="248"/>
        <v>2226</v>
      </c>
      <c r="D4004" s="73"/>
      <c r="E4004" s="100"/>
      <c r="F4004" s="101"/>
      <c r="G4004" s="96">
        <f t="shared" si="249"/>
        <v>2226</v>
      </c>
      <c r="I4004" s="96"/>
      <c r="K4004" t="str">
        <f t="shared" si="250"/>
        <v>2226</v>
      </c>
      <c r="M4004" s="72"/>
      <c r="O4004" s="96">
        <f t="shared" si="251"/>
        <v>2226</v>
      </c>
      <c r="T4004" s="110"/>
    </row>
    <row r="4005" spans="3:20" x14ac:dyDescent="0.2">
      <c r="C4005" s="96" t="str">
        <f t="shared" si="248"/>
        <v>2227</v>
      </c>
      <c r="D4005" s="73"/>
      <c r="E4005" s="100"/>
      <c r="F4005" s="101"/>
      <c r="G4005" s="96">
        <f t="shared" si="249"/>
        <v>2227</v>
      </c>
      <c r="I4005" s="96"/>
      <c r="K4005" t="str">
        <f t="shared" si="250"/>
        <v>2227</v>
      </c>
      <c r="M4005" s="72"/>
      <c r="O4005" s="96">
        <f t="shared" si="251"/>
        <v>2227</v>
      </c>
      <c r="T4005" s="110"/>
    </row>
    <row r="4006" spans="3:20" x14ac:dyDescent="0.2">
      <c r="C4006" s="96" t="str">
        <f t="shared" si="248"/>
        <v>2228</v>
      </c>
      <c r="D4006" s="73"/>
      <c r="E4006" s="100"/>
      <c r="F4006" s="101"/>
      <c r="G4006" s="96">
        <f t="shared" si="249"/>
        <v>2228</v>
      </c>
      <c r="I4006" s="96"/>
      <c r="K4006" t="str">
        <f t="shared" si="250"/>
        <v>2228</v>
      </c>
      <c r="M4006" s="72"/>
      <c r="O4006" s="96">
        <f t="shared" si="251"/>
        <v>2228</v>
      </c>
      <c r="T4006" s="110"/>
    </row>
    <row r="4007" spans="3:20" x14ac:dyDescent="0.2">
      <c r="C4007" s="96" t="str">
        <f t="shared" si="248"/>
        <v>2229</v>
      </c>
      <c r="D4007" s="73"/>
      <c r="E4007" s="100"/>
      <c r="F4007" s="101"/>
      <c r="G4007" s="96">
        <f t="shared" si="249"/>
        <v>2229</v>
      </c>
      <c r="I4007" s="96"/>
      <c r="K4007" t="str">
        <f t="shared" si="250"/>
        <v>2229</v>
      </c>
      <c r="M4007" s="72"/>
      <c r="O4007" s="96">
        <f t="shared" si="251"/>
        <v>2229</v>
      </c>
      <c r="T4007" s="110"/>
    </row>
    <row r="4008" spans="3:20" x14ac:dyDescent="0.2">
      <c r="C4008" s="96" t="str">
        <f t="shared" si="248"/>
        <v>2230</v>
      </c>
      <c r="D4008" s="73"/>
      <c r="E4008" s="100"/>
      <c r="F4008" s="101"/>
      <c r="G4008" s="96">
        <f t="shared" si="249"/>
        <v>2230</v>
      </c>
      <c r="I4008" s="96"/>
      <c r="K4008" t="str">
        <f t="shared" si="250"/>
        <v>2230</v>
      </c>
      <c r="M4008" s="72"/>
      <c r="O4008" s="96">
        <f t="shared" si="251"/>
        <v>2230</v>
      </c>
      <c r="T4008" s="110"/>
    </row>
    <row r="4009" spans="3:20" x14ac:dyDescent="0.2">
      <c r="C4009" s="96" t="str">
        <f t="shared" si="248"/>
        <v>2231</v>
      </c>
      <c r="D4009" s="73"/>
      <c r="E4009" s="100"/>
      <c r="F4009" s="101"/>
      <c r="G4009" s="96">
        <f t="shared" si="249"/>
        <v>2231</v>
      </c>
      <c r="I4009" s="96"/>
      <c r="K4009" t="str">
        <f t="shared" si="250"/>
        <v>2231</v>
      </c>
      <c r="M4009" s="72"/>
      <c r="O4009" s="96">
        <f t="shared" si="251"/>
        <v>2231</v>
      </c>
      <c r="T4009" s="110"/>
    </row>
    <row r="4010" spans="3:20" x14ac:dyDescent="0.2">
      <c r="C4010" s="96" t="str">
        <f t="shared" si="248"/>
        <v>2232</v>
      </c>
      <c r="D4010" s="73"/>
      <c r="E4010" s="100"/>
      <c r="F4010" s="101"/>
      <c r="G4010" s="96">
        <f t="shared" si="249"/>
        <v>2232</v>
      </c>
      <c r="I4010" s="96"/>
      <c r="K4010" t="str">
        <f t="shared" si="250"/>
        <v>2232</v>
      </c>
      <c r="M4010" s="72"/>
      <c r="O4010" s="96">
        <f t="shared" si="251"/>
        <v>2232</v>
      </c>
      <c r="T4010" s="110"/>
    </row>
    <row r="4011" spans="3:20" x14ac:dyDescent="0.2">
      <c r="C4011" s="96" t="str">
        <f t="shared" si="248"/>
        <v>2233</v>
      </c>
      <c r="D4011" s="73"/>
      <c r="E4011" s="100"/>
      <c r="F4011" s="101"/>
      <c r="G4011" s="96">
        <f t="shared" si="249"/>
        <v>2233</v>
      </c>
      <c r="I4011" s="96"/>
      <c r="K4011" t="str">
        <f t="shared" si="250"/>
        <v>2233</v>
      </c>
      <c r="M4011" s="72"/>
      <c r="O4011" s="96">
        <f t="shared" si="251"/>
        <v>2233</v>
      </c>
      <c r="T4011" s="110"/>
    </row>
    <row r="4012" spans="3:20" x14ac:dyDescent="0.2">
      <c r="C4012" s="96" t="str">
        <f t="shared" si="248"/>
        <v>2234</v>
      </c>
      <c r="D4012" s="73"/>
      <c r="E4012" s="100"/>
      <c r="F4012" s="101"/>
      <c r="G4012" s="96">
        <f t="shared" si="249"/>
        <v>2234</v>
      </c>
      <c r="I4012" s="96"/>
      <c r="K4012" t="str">
        <f t="shared" si="250"/>
        <v>2234</v>
      </c>
      <c r="M4012" s="72"/>
      <c r="O4012" s="96">
        <f t="shared" si="251"/>
        <v>2234</v>
      </c>
      <c r="T4012" s="110"/>
    </row>
    <row r="4013" spans="3:20" x14ac:dyDescent="0.2">
      <c r="C4013" s="96" t="str">
        <f t="shared" si="248"/>
        <v>2235</v>
      </c>
      <c r="D4013" s="73"/>
      <c r="E4013" s="100"/>
      <c r="F4013" s="101"/>
      <c r="G4013" s="96">
        <f t="shared" si="249"/>
        <v>2235</v>
      </c>
      <c r="I4013" s="96"/>
      <c r="K4013" t="str">
        <f t="shared" si="250"/>
        <v>2235</v>
      </c>
      <c r="M4013" s="72"/>
      <c r="O4013" s="96">
        <f t="shared" si="251"/>
        <v>2235</v>
      </c>
      <c r="T4013" s="110"/>
    </row>
    <row r="4014" spans="3:20" x14ac:dyDescent="0.2">
      <c r="C4014" s="96" t="str">
        <f t="shared" si="248"/>
        <v>2236</v>
      </c>
      <c r="D4014" s="73"/>
      <c r="E4014" s="100"/>
      <c r="F4014" s="101"/>
      <c r="G4014" s="96">
        <f t="shared" si="249"/>
        <v>2236</v>
      </c>
      <c r="I4014" s="96"/>
      <c r="K4014" t="str">
        <f t="shared" si="250"/>
        <v>2236</v>
      </c>
      <c r="M4014" s="72"/>
      <c r="O4014" s="96">
        <f t="shared" si="251"/>
        <v>2236</v>
      </c>
      <c r="T4014" s="110"/>
    </row>
    <row r="4015" spans="3:20" x14ac:dyDescent="0.2">
      <c r="C4015" s="96" t="str">
        <f t="shared" si="248"/>
        <v>2237</v>
      </c>
      <c r="D4015" s="73"/>
      <c r="E4015" s="100"/>
      <c r="F4015" s="101"/>
      <c r="G4015" s="96">
        <f t="shared" si="249"/>
        <v>2237</v>
      </c>
      <c r="I4015" s="96"/>
      <c r="K4015" t="str">
        <f t="shared" si="250"/>
        <v>2237</v>
      </c>
      <c r="M4015" s="72"/>
      <c r="O4015" s="96">
        <f t="shared" si="251"/>
        <v>2237</v>
      </c>
      <c r="T4015" s="110"/>
    </row>
    <row r="4016" spans="3:20" x14ac:dyDescent="0.2">
      <c r="C4016" s="96" t="str">
        <f t="shared" si="248"/>
        <v>2238</v>
      </c>
      <c r="D4016" s="73"/>
      <c r="E4016" s="100"/>
      <c r="F4016" s="101"/>
      <c r="G4016" s="96">
        <f t="shared" si="249"/>
        <v>2238</v>
      </c>
      <c r="I4016" s="96"/>
      <c r="K4016" t="str">
        <f t="shared" si="250"/>
        <v>2238</v>
      </c>
      <c r="M4016" s="72"/>
      <c r="O4016" s="96">
        <f t="shared" si="251"/>
        <v>2238</v>
      </c>
      <c r="T4016" s="110"/>
    </row>
    <row r="4017" spans="3:20" x14ac:dyDescent="0.2">
      <c r="C4017" s="96" t="str">
        <f t="shared" si="248"/>
        <v>2239</v>
      </c>
      <c r="D4017" s="73"/>
      <c r="E4017" s="100"/>
      <c r="F4017" s="101"/>
      <c r="G4017" s="96">
        <f t="shared" si="249"/>
        <v>2239</v>
      </c>
      <c r="I4017" s="96"/>
      <c r="K4017" t="str">
        <f t="shared" si="250"/>
        <v>2239</v>
      </c>
      <c r="M4017" s="72"/>
      <c r="O4017" s="96">
        <f t="shared" si="251"/>
        <v>2239</v>
      </c>
      <c r="T4017" s="110"/>
    </row>
    <row r="4018" spans="3:20" x14ac:dyDescent="0.2">
      <c r="C4018" s="96" t="str">
        <f t="shared" si="248"/>
        <v>2240</v>
      </c>
      <c r="D4018" s="73"/>
      <c r="E4018" s="100"/>
      <c r="F4018" s="101"/>
      <c r="G4018" s="96">
        <f t="shared" si="249"/>
        <v>2240</v>
      </c>
      <c r="I4018" s="96"/>
      <c r="K4018" t="str">
        <f t="shared" si="250"/>
        <v>2240</v>
      </c>
      <c r="M4018" s="72"/>
      <c r="O4018" s="96">
        <f t="shared" si="251"/>
        <v>2240</v>
      </c>
      <c r="T4018" s="110"/>
    </row>
    <row r="4019" spans="3:20" x14ac:dyDescent="0.2">
      <c r="C4019" s="96" t="str">
        <f t="shared" si="248"/>
        <v>2241</v>
      </c>
      <c r="D4019" s="73"/>
      <c r="E4019" s="100"/>
      <c r="F4019" s="101"/>
      <c r="G4019" s="96">
        <f t="shared" si="249"/>
        <v>2241</v>
      </c>
      <c r="I4019" s="96"/>
      <c r="K4019" t="str">
        <f t="shared" si="250"/>
        <v>2241</v>
      </c>
      <c r="M4019" s="72"/>
      <c r="O4019" s="96">
        <f t="shared" si="251"/>
        <v>2241</v>
      </c>
      <c r="T4019" s="110"/>
    </row>
    <row r="4020" spans="3:20" x14ac:dyDescent="0.2">
      <c r="C4020" s="96" t="str">
        <f t="shared" si="248"/>
        <v>2242</v>
      </c>
      <c r="D4020" s="73"/>
      <c r="E4020" s="100"/>
      <c r="F4020" s="101"/>
      <c r="G4020" s="96">
        <f t="shared" si="249"/>
        <v>2242</v>
      </c>
      <c r="I4020" s="96"/>
      <c r="K4020" t="str">
        <f t="shared" si="250"/>
        <v>2242</v>
      </c>
      <c r="M4020" s="72"/>
      <c r="O4020" s="96">
        <f t="shared" si="251"/>
        <v>2242</v>
      </c>
      <c r="T4020" s="110"/>
    </row>
    <row r="4021" spans="3:20" x14ac:dyDescent="0.2">
      <c r="C4021" s="96" t="str">
        <f t="shared" si="248"/>
        <v>2243</v>
      </c>
      <c r="D4021" s="73"/>
      <c r="E4021" s="100"/>
      <c r="F4021" s="101"/>
      <c r="G4021" s="96">
        <f t="shared" si="249"/>
        <v>2243</v>
      </c>
      <c r="I4021" s="96"/>
      <c r="K4021" t="str">
        <f t="shared" si="250"/>
        <v>2243</v>
      </c>
      <c r="M4021" s="72"/>
      <c r="O4021" s="96">
        <f t="shared" si="251"/>
        <v>2243</v>
      </c>
      <c r="T4021" s="110"/>
    </row>
    <row r="4022" spans="3:20" x14ac:dyDescent="0.2">
      <c r="C4022" s="96" t="str">
        <f t="shared" si="248"/>
        <v>2244</v>
      </c>
      <c r="D4022" s="73"/>
      <c r="E4022" s="100"/>
      <c r="F4022" s="101"/>
      <c r="G4022" s="96">
        <f t="shared" si="249"/>
        <v>2244</v>
      </c>
      <c r="I4022" s="96"/>
      <c r="K4022" t="str">
        <f t="shared" si="250"/>
        <v>2244</v>
      </c>
      <c r="M4022" s="72"/>
      <c r="O4022" s="96">
        <f t="shared" si="251"/>
        <v>2244</v>
      </c>
      <c r="T4022" s="110"/>
    </row>
    <row r="4023" spans="3:20" x14ac:dyDescent="0.2">
      <c r="C4023" s="96" t="str">
        <f t="shared" si="248"/>
        <v>2245</v>
      </c>
      <c r="D4023" s="73"/>
      <c r="E4023" s="100"/>
      <c r="F4023" s="101"/>
      <c r="G4023" s="96">
        <f t="shared" si="249"/>
        <v>2245</v>
      </c>
      <c r="I4023" s="96"/>
      <c r="K4023" t="str">
        <f t="shared" si="250"/>
        <v>2245</v>
      </c>
      <c r="M4023" s="72"/>
      <c r="O4023" s="96">
        <f t="shared" si="251"/>
        <v>2245</v>
      </c>
      <c r="T4023" s="110"/>
    </row>
    <row r="4024" spans="3:20" x14ac:dyDescent="0.2">
      <c r="C4024" s="96" t="str">
        <f t="shared" si="248"/>
        <v>2246</v>
      </c>
      <c r="D4024" s="73"/>
      <c r="E4024" s="100"/>
      <c r="F4024" s="101"/>
      <c r="G4024" s="96">
        <f t="shared" si="249"/>
        <v>2246</v>
      </c>
      <c r="I4024" s="96"/>
      <c r="K4024" t="str">
        <f t="shared" si="250"/>
        <v>2246</v>
      </c>
      <c r="M4024" s="72"/>
      <c r="O4024" s="96">
        <f t="shared" si="251"/>
        <v>2246</v>
      </c>
      <c r="T4024" s="110"/>
    </row>
    <row r="4025" spans="3:20" x14ac:dyDescent="0.2">
      <c r="C4025" s="96" t="str">
        <f t="shared" si="248"/>
        <v>2247</v>
      </c>
      <c r="D4025" s="73"/>
      <c r="E4025" s="100"/>
      <c r="F4025" s="101"/>
      <c r="G4025" s="96">
        <f t="shared" si="249"/>
        <v>2247</v>
      </c>
      <c r="I4025" s="96"/>
      <c r="K4025" t="str">
        <f t="shared" si="250"/>
        <v>2247</v>
      </c>
      <c r="M4025" s="72"/>
      <c r="O4025" s="96">
        <f t="shared" si="251"/>
        <v>2247</v>
      </c>
      <c r="T4025" s="110"/>
    </row>
    <row r="4026" spans="3:20" x14ac:dyDescent="0.2">
      <c r="C4026" s="96" t="str">
        <f t="shared" si="248"/>
        <v>2248</v>
      </c>
      <c r="D4026" s="73"/>
      <c r="E4026" s="100"/>
      <c r="F4026" s="101"/>
      <c r="G4026" s="96">
        <f t="shared" si="249"/>
        <v>2248</v>
      </c>
      <c r="I4026" s="96"/>
      <c r="K4026" t="str">
        <f t="shared" si="250"/>
        <v>2248</v>
      </c>
      <c r="M4026" s="72"/>
      <c r="O4026" s="96">
        <f t="shared" si="251"/>
        <v>2248</v>
      </c>
      <c r="T4026" s="110"/>
    </row>
    <row r="4027" spans="3:20" x14ac:dyDescent="0.2">
      <c r="C4027" s="96" t="str">
        <f t="shared" si="248"/>
        <v>2249</v>
      </c>
      <c r="D4027" s="73"/>
      <c r="E4027" s="100"/>
      <c r="F4027" s="101"/>
      <c r="G4027" s="96">
        <f t="shared" si="249"/>
        <v>2249</v>
      </c>
      <c r="I4027" s="96"/>
      <c r="K4027" t="str">
        <f t="shared" si="250"/>
        <v>2249</v>
      </c>
      <c r="M4027" s="72"/>
      <c r="O4027" s="96">
        <f t="shared" si="251"/>
        <v>2249</v>
      </c>
      <c r="T4027" s="110"/>
    </row>
    <row r="4028" spans="3:20" x14ac:dyDescent="0.2">
      <c r="C4028" s="96" t="str">
        <f t="shared" si="248"/>
        <v>2250</v>
      </c>
      <c r="D4028" s="73"/>
      <c r="E4028" s="100"/>
      <c r="F4028" s="101"/>
      <c r="G4028" s="96">
        <f t="shared" si="249"/>
        <v>2250</v>
      </c>
      <c r="I4028" s="96"/>
      <c r="K4028" t="str">
        <f t="shared" si="250"/>
        <v>2250</v>
      </c>
      <c r="M4028" s="72"/>
      <c r="O4028" s="96">
        <f t="shared" si="251"/>
        <v>2250</v>
      </c>
      <c r="T4028" s="110"/>
    </row>
    <row r="4029" spans="3:20" x14ac:dyDescent="0.2">
      <c r="C4029" s="96" t="str">
        <f t="shared" si="248"/>
        <v>2251</v>
      </c>
      <c r="D4029" s="73"/>
      <c r="E4029" s="100"/>
      <c r="F4029" s="101"/>
      <c r="G4029" s="96">
        <f t="shared" si="249"/>
        <v>2251</v>
      </c>
      <c r="I4029" s="96"/>
      <c r="K4029" t="str">
        <f t="shared" si="250"/>
        <v>2251</v>
      </c>
      <c r="M4029" s="72"/>
      <c r="O4029" s="96">
        <f t="shared" si="251"/>
        <v>2251</v>
      </c>
      <c r="T4029" s="110"/>
    </row>
    <row r="4030" spans="3:20" x14ac:dyDescent="0.2">
      <c r="C4030" s="96" t="str">
        <f t="shared" si="248"/>
        <v>2252</v>
      </c>
      <c r="D4030" s="73"/>
      <c r="E4030" s="100"/>
      <c r="F4030" s="101"/>
      <c r="G4030" s="96">
        <f t="shared" si="249"/>
        <v>2252</v>
      </c>
      <c r="I4030" s="96"/>
      <c r="K4030" t="str">
        <f t="shared" si="250"/>
        <v>2252</v>
      </c>
      <c r="M4030" s="72"/>
      <c r="O4030" s="96">
        <f t="shared" si="251"/>
        <v>2252</v>
      </c>
      <c r="T4030" s="110"/>
    </row>
    <row r="4031" spans="3:20" x14ac:dyDescent="0.2">
      <c r="C4031" s="96" t="str">
        <f t="shared" si="248"/>
        <v>2253</v>
      </c>
      <c r="D4031" s="73"/>
      <c r="E4031" s="100"/>
      <c r="F4031" s="101"/>
      <c r="G4031" s="96">
        <f t="shared" si="249"/>
        <v>2253</v>
      </c>
      <c r="I4031" s="96"/>
      <c r="K4031" t="str">
        <f t="shared" si="250"/>
        <v>2253</v>
      </c>
      <c r="M4031" s="72"/>
      <c r="O4031" s="96">
        <f t="shared" si="251"/>
        <v>2253</v>
      </c>
      <c r="T4031" s="110"/>
    </row>
    <row r="4032" spans="3:20" x14ac:dyDescent="0.2">
      <c r="C4032" s="96" t="str">
        <f t="shared" si="248"/>
        <v>2254</v>
      </c>
      <c r="D4032" s="73"/>
      <c r="E4032" s="100"/>
      <c r="F4032" s="101"/>
      <c r="G4032" s="96">
        <f t="shared" si="249"/>
        <v>2254</v>
      </c>
      <c r="I4032" s="96"/>
      <c r="K4032" t="str">
        <f t="shared" si="250"/>
        <v>2254</v>
      </c>
      <c r="M4032" s="72"/>
      <c r="O4032" s="96">
        <f t="shared" si="251"/>
        <v>2254</v>
      </c>
      <c r="T4032" s="110"/>
    </row>
    <row r="4033" spans="3:20" x14ac:dyDescent="0.2">
      <c r="C4033" s="96" t="str">
        <f t="shared" si="248"/>
        <v>2255</v>
      </c>
      <c r="D4033" s="73"/>
      <c r="E4033" s="100"/>
      <c r="F4033" s="101"/>
      <c r="G4033" s="96">
        <f t="shared" si="249"/>
        <v>2255</v>
      </c>
      <c r="I4033" s="96"/>
      <c r="K4033" t="str">
        <f t="shared" si="250"/>
        <v>2255</v>
      </c>
      <c r="M4033" s="72"/>
      <c r="O4033" s="96">
        <f t="shared" si="251"/>
        <v>2255</v>
      </c>
      <c r="T4033" s="110"/>
    </row>
    <row r="4034" spans="3:20" x14ac:dyDescent="0.2">
      <c r="C4034" s="96" t="str">
        <f t="shared" si="248"/>
        <v>2256</v>
      </c>
      <c r="D4034" s="73"/>
      <c r="E4034" s="100"/>
      <c r="F4034" s="101"/>
      <c r="G4034" s="96">
        <f t="shared" si="249"/>
        <v>2256</v>
      </c>
      <c r="I4034" s="96"/>
      <c r="K4034" t="str">
        <f t="shared" si="250"/>
        <v>2256</v>
      </c>
      <c r="M4034" s="72"/>
      <c r="O4034" s="96">
        <f t="shared" si="251"/>
        <v>2256</v>
      </c>
      <c r="T4034" s="110"/>
    </row>
    <row r="4035" spans="3:20" x14ac:dyDescent="0.2">
      <c r="C4035" s="96" t="str">
        <f t="shared" ref="C4035:C4098" si="252">D4035&amp;G4035</f>
        <v>2257</v>
      </c>
      <c r="D4035" s="73"/>
      <c r="E4035" s="100"/>
      <c r="F4035" s="101"/>
      <c r="G4035" s="96">
        <f t="shared" ref="G4035:G4098" si="253">IF(D4035&lt;&gt;D4034,1,G4034+1)</f>
        <v>2257</v>
      </c>
      <c r="I4035" s="96"/>
      <c r="K4035" t="str">
        <f t="shared" ref="K4035:K4098" si="254">L4035&amp;O4035</f>
        <v>2257</v>
      </c>
      <c r="M4035" s="72"/>
      <c r="O4035" s="96">
        <f t="shared" ref="O4035:O4098" si="255">IF(L4035&lt;&gt;L4034,1,O4034+1)</f>
        <v>2257</v>
      </c>
      <c r="T4035" s="110"/>
    </row>
    <row r="4036" spans="3:20" x14ac:dyDescent="0.2">
      <c r="C4036" s="96" t="str">
        <f t="shared" si="252"/>
        <v>2258</v>
      </c>
      <c r="D4036" s="73"/>
      <c r="E4036" s="100"/>
      <c r="F4036" s="101"/>
      <c r="G4036" s="96">
        <f t="shared" si="253"/>
        <v>2258</v>
      </c>
      <c r="I4036" s="96"/>
      <c r="K4036" t="str">
        <f t="shared" si="254"/>
        <v>2258</v>
      </c>
      <c r="M4036" s="72"/>
      <c r="O4036" s="96">
        <f t="shared" si="255"/>
        <v>2258</v>
      </c>
      <c r="T4036" s="110"/>
    </row>
    <row r="4037" spans="3:20" x14ac:dyDescent="0.2">
      <c r="C4037" s="96" t="str">
        <f t="shared" si="252"/>
        <v>2259</v>
      </c>
      <c r="D4037" s="73"/>
      <c r="E4037" s="100"/>
      <c r="F4037" s="101"/>
      <c r="G4037" s="96">
        <f t="shared" si="253"/>
        <v>2259</v>
      </c>
      <c r="I4037" s="96"/>
      <c r="K4037" t="str">
        <f t="shared" si="254"/>
        <v>2259</v>
      </c>
      <c r="M4037" s="72"/>
      <c r="O4037" s="96">
        <f t="shared" si="255"/>
        <v>2259</v>
      </c>
      <c r="T4037" s="110"/>
    </row>
    <row r="4038" spans="3:20" x14ac:dyDescent="0.2">
      <c r="C4038" s="96" t="str">
        <f t="shared" si="252"/>
        <v>2260</v>
      </c>
      <c r="D4038" s="73"/>
      <c r="E4038" s="100"/>
      <c r="F4038" s="101"/>
      <c r="G4038" s="96">
        <f t="shared" si="253"/>
        <v>2260</v>
      </c>
      <c r="I4038" s="96"/>
      <c r="K4038" t="str">
        <f t="shared" si="254"/>
        <v>2260</v>
      </c>
      <c r="M4038" s="72"/>
      <c r="O4038" s="96">
        <f t="shared" si="255"/>
        <v>2260</v>
      </c>
      <c r="T4038" s="110"/>
    </row>
    <row r="4039" spans="3:20" x14ac:dyDescent="0.2">
      <c r="C4039" s="96" t="str">
        <f t="shared" si="252"/>
        <v>2261</v>
      </c>
      <c r="D4039" s="73"/>
      <c r="E4039" s="100"/>
      <c r="F4039" s="101"/>
      <c r="G4039" s="96">
        <f t="shared" si="253"/>
        <v>2261</v>
      </c>
      <c r="I4039" s="96"/>
      <c r="K4039" t="str">
        <f t="shared" si="254"/>
        <v>2261</v>
      </c>
      <c r="M4039" s="72"/>
      <c r="O4039" s="96">
        <f t="shared" si="255"/>
        <v>2261</v>
      </c>
      <c r="T4039" s="110"/>
    </row>
    <row r="4040" spans="3:20" x14ac:dyDescent="0.2">
      <c r="C4040" s="96" t="str">
        <f t="shared" si="252"/>
        <v>2262</v>
      </c>
      <c r="D4040" s="73"/>
      <c r="E4040" s="100"/>
      <c r="F4040" s="101"/>
      <c r="G4040" s="96">
        <f t="shared" si="253"/>
        <v>2262</v>
      </c>
      <c r="I4040" s="96"/>
      <c r="K4040" t="str">
        <f t="shared" si="254"/>
        <v>2262</v>
      </c>
      <c r="M4040" s="72"/>
      <c r="O4040" s="96">
        <f t="shared" si="255"/>
        <v>2262</v>
      </c>
      <c r="T4040" s="110"/>
    </row>
    <row r="4041" spans="3:20" x14ac:dyDescent="0.2">
      <c r="C4041" s="96" t="str">
        <f t="shared" si="252"/>
        <v>2263</v>
      </c>
      <c r="D4041" s="73"/>
      <c r="E4041" s="100"/>
      <c r="F4041" s="101"/>
      <c r="G4041" s="96">
        <f t="shared" si="253"/>
        <v>2263</v>
      </c>
      <c r="I4041" s="96"/>
      <c r="K4041" t="str">
        <f t="shared" si="254"/>
        <v>2263</v>
      </c>
      <c r="M4041" s="72"/>
      <c r="O4041" s="96">
        <f t="shared" si="255"/>
        <v>2263</v>
      </c>
      <c r="T4041" s="110"/>
    </row>
    <row r="4042" spans="3:20" x14ac:dyDescent="0.2">
      <c r="C4042" s="96" t="str">
        <f t="shared" si="252"/>
        <v>2264</v>
      </c>
      <c r="D4042" s="73"/>
      <c r="E4042" s="100"/>
      <c r="F4042" s="101"/>
      <c r="G4042" s="96">
        <f t="shared" si="253"/>
        <v>2264</v>
      </c>
      <c r="I4042" s="96"/>
      <c r="K4042" t="str">
        <f t="shared" si="254"/>
        <v>2264</v>
      </c>
      <c r="M4042" s="72"/>
      <c r="O4042" s="96">
        <f t="shared" si="255"/>
        <v>2264</v>
      </c>
      <c r="T4042" s="110"/>
    </row>
    <row r="4043" spans="3:20" x14ac:dyDescent="0.2">
      <c r="C4043" s="96" t="str">
        <f t="shared" si="252"/>
        <v>2265</v>
      </c>
      <c r="D4043" s="73"/>
      <c r="E4043" s="100"/>
      <c r="F4043" s="101"/>
      <c r="G4043" s="96">
        <f t="shared" si="253"/>
        <v>2265</v>
      </c>
      <c r="I4043" s="96"/>
      <c r="K4043" t="str">
        <f t="shared" si="254"/>
        <v>2265</v>
      </c>
      <c r="M4043" s="72"/>
      <c r="O4043" s="96">
        <f t="shared" si="255"/>
        <v>2265</v>
      </c>
      <c r="T4043" s="110"/>
    </row>
    <row r="4044" spans="3:20" x14ac:dyDescent="0.2">
      <c r="C4044" s="96" t="str">
        <f t="shared" si="252"/>
        <v>2266</v>
      </c>
      <c r="D4044" s="73"/>
      <c r="E4044" s="100"/>
      <c r="F4044" s="101"/>
      <c r="G4044" s="96">
        <f t="shared" si="253"/>
        <v>2266</v>
      </c>
      <c r="I4044" s="96"/>
      <c r="K4044" t="str">
        <f t="shared" si="254"/>
        <v>2266</v>
      </c>
      <c r="M4044" s="72"/>
      <c r="O4044" s="96">
        <f t="shared" si="255"/>
        <v>2266</v>
      </c>
      <c r="T4044" s="110"/>
    </row>
    <row r="4045" spans="3:20" x14ac:dyDescent="0.2">
      <c r="C4045" s="96" t="str">
        <f t="shared" si="252"/>
        <v>2267</v>
      </c>
      <c r="D4045" s="73"/>
      <c r="E4045" s="100"/>
      <c r="F4045" s="101"/>
      <c r="G4045" s="96">
        <f t="shared" si="253"/>
        <v>2267</v>
      </c>
      <c r="I4045" s="96"/>
      <c r="K4045" t="str">
        <f t="shared" si="254"/>
        <v>2267</v>
      </c>
      <c r="M4045" s="72"/>
      <c r="O4045" s="96">
        <f t="shared" si="255"/>
        <v>2267</v>
      </c>
      <c r="T4045" s="110"/>
    </row>
    <row r="4046" spans="3:20" x14ac:dyDescent="0.2">
      <c r="C4046" s="96" t="str">
        <f t="shared" si="252"/>
        <v>2268</v>
      </c>
      <c r="D4046" s="73"/>
      <c r="E4046" s="100"/>
      <c r="F4046" s="101"/>
      <c r="G4046" s="96">
        <f t="shared" si="253"/>
        <v>2268</v>
      </c>
      <c r="I4046" s="96"/>
      <c r="K4046" t="str">
        <f t="shared" si="254"/>
        <v>2268</v>
      </c>
      <c r="M4046" s="72"/>
      <c r="O4046" s="96">
        <f t="shared" si="255"/>
        <v>2268</v>
      </c>
      <c r="T4046" s="110"/>
    </row>
    <row r="4047" spans="3:20" x14ac:dyDescent="0.2">
      <c r="C4047" s="96" t="str">
        <f t="shared" si="252"/>
        <v>2269</v>
      </c>
      <c r="D4047" s="73"/>
      <c r="E4047" s="100"/>
      <c r="F4047" s="101"/>
      <c r="G4047" s="96">
        <f t="shared" si="253"/>
        <v>2269</v>
      </c>
      <c r="I4047" s="96"/>
      <c r="K4047" t="str">
        <f t="shared" si="254"/>
        <v>2269</v>
      </c>
      <c r="M4047" s="72"/>
      <c r="O4047" s="96">
        <f t="shared" si="255"/>
        <v>2269</v>
      </c>
      <c r="T4047" s="110"/>
    </row>
    <row r="4048" spans="3:20" x14ac:dyDescent="0.2">
      <c r="C4048" s="96" t="str">
        <f t="shared" si="252"/>
        <v>2270</v>
      </c>
      <c r="D4048" s="73"/>
      <c r="E4048" s="100"/>
      <c r="F4048" s="101"/>
      <c r="G4048" s="96">
        <f t="shared" si="253"/>
        <v>2270</v>
      </c>
      <c r="I4048" s="96"/>
      <c r="K4048" t="str">
        <f t="shared" si="254"/>
        <v>2270</v>
      </c>
      <c r="M4048" s="72"/>
      <c r="O4048" s="96">
        <f t="shared" si="255"/>
        <v>2270</v>
      </c>
      <c r="T4048" s="110"/>
    </row>
    <row r="4049" spans="3:20" x14ac:dyDescent="0.2">
      <c r="C4049" s="96" t="str">
        <f t="shared" si="252"/>
        <v>2271</v>
      </c>
      <c r="D4049" s="73"/>
      <c r="E4049" s="100"/>
      <c r="F4049" s="101"/>
      <c r="G4049" s="96">
        <f t="shared" si="253"/>
        <v>2271</v>
      </c>
      <c r="I4049" s="96"/>
      <c r="K4049" t="str">
        <f t="shared" si="254"/>
        <v>2271</v>
      </c>
      <c r="M4049" s="72"/>
      <c r="O4049" s="96">
        <f t="shared" si="255"/>
        <v>2271</v>
      </c>
      <c r="T4049" s="110"/>
    </row>
    <row r="4050" spans="3:20" x14ac:dyDescent="0.2">
      <c r="C4050" s="96" t="str">
        <f t="shared" si="252"/>
        <v>2272</v>
      </c>
      <c r="D4050" s="73"/>
      <c r="E4050" s="100"/>
      <c r="F4050" s="101"/>
      <c r="G4050" s="96">
        <f t="shared" si="253"/>
        <v>2272</v>
      </c>
      <c r="I4050" s="96"/>
      <c r="K4050" t="str">
        <f t="shared" si="254"/>
        <v>2272</v>
      </c>
      <c r="M4050" s="72"/>
      <c r="O4050" s="96">
        <f t="shared" si="255"/>
        <v>2272</v>
      </c>
      <c r="T4050" s="110"/>
    </row>
    <row r="4051" spans="3:20" x14ac:dyDescent="0.2">
      <c r="C4051" s="96" t="str">
        <f t="shared" si="252"/>
        <v>2273</v>
      </c>
      <c r="D4051" s="73"/>
      <c r="E4051" s="100"/>
      <c r="F4051" s="101"/>
      <c r="G4051" s="96">
        <f t="shared" si="253"/>
        <v>2273</v>
      </c>
      <c r="I4051" s="96"/>
      <c r="K4051" t="str">
        <f t="shared" si="254"/>
        <v>2273</v>
      </c>
      <c r="M4051" s="72"/>
      <c r="O4051" s="96">
        <f t="shared" si="255"/>
        <v>2273</v>
      </c>
      <c r="T4051" s="110"/>
    </row>
    <row r="4052" spans="3:20" x14ac:dyDescent="0.2">
      <c r="C4052" s="96" t="str">
        <f t="shared" si="252"/>
        <v>2274</v>
      </c>
      <c r="D4052" s="73"/>
      <c r="E4052" s="100"/>
      <c r="F4052" s="101"/>
      <c r="G4052" s="96">
        <f t="shared" si="253"/>
        <v>2274</v>
      </c>
      <c r="I4052" s="96"/>
      <c r="K4052" t="str">
        <f t="shared" si="254"/>
        <v>2274</v>
      </c>
      <c r="M4052" s="72"/>
      <c r="O4052" s="96">
        <f t="shared" si="255"/>
        <v>2274</v>
      </c>
      <c r="T4052" s="110"/>
    </row>
    <row r="4053" spans="3:20" x14ac:dyDescent="0.2">
      <c r="C4053" s="96" t="str">
        <f t="shared" si="252"/>
        <v>2275</v>
      </c>
      <c r="D4053" s="73"/>
      <c r="E4053" s="100"/>
      <c r="F4053" s="101"/>
      <c r="G4053" s="96">
        <f t="shared" si="253"/>
        <v>2275</v>
      </c>
      <c r="I4053" s="96"/>
      <c r="K4053" t="str">
        <f t="shared" si="254"/>
        <v>2275</v>
      </c>
      <c r="M4053" s="72"/>
      <c r="O4053" s="96">
        <f t="shared" si="255"/>
        <v>2275</v>
      </c>
      <c r="T4053" s="110"/>
    </row>
    <row r="4054" spans="3:20" x14ac:dyDescent="0.2">
      <c r="C4054" s="96" t="str">
        <f t="shared" si="252"/>
        <v>2276</v>
      </c>
      <c r="D4054" s="73"/>
      <c r="E4054" s="100"/>
      <c r="F4054" s="101"/>
      <c r="G4054" s="96">
        <f t="shared" si="253"/>
        <v>2276</v>
      </c>
      <c r="I4054" s="96"/>
      <c r="K4054" t="str">
        <f t="shared" si="254"/>
        <v>2276</v>
      </c>
      <c r="M4054" s="72"/>
      <c r="O4054" s="96">
        <f t="shared" si="255"/>
        <v>2276</v>
      </c>
      <c r="T4054" s="110"/>
    </row>
    <row r="4055" spans="3:20" x14ac:dyDescent="0.2">
      <c r="C4055" s="96" t="str">
        <f t="shared" si="252"/>
        <v>2277</v>
      </c>
      <c r="D4055" s="73"/>
      <c r="E4055" s="100"/>
      <c r="F4055" s="101"/>
      <c r="G4055" s="96">
        <f t="shared" si="253"/>
        <v>2277</v>
      </c>
      <c r="I4055" s="96"/>
      <c r="K4055" t="str">
        <f t="shared" si="254"/>
        <v>2277</v>
      </c>
      <c r="M4055" s="72"/>
      <c r="O4055" s="96">
        <f t="shared" si="255"/>
        <v>2277</v>
      </c>
      <c r="T4055" s="110"/>
    </row>
    <row r="4056" spans="3:20" x14ac:dyDescent="0.2">
      <c r="C4056" s="96" t="str">
        <f t="shared" si="252"/>
        <v>2278</v>
      </c>
      <c r="D4056" s="73"/>
      <c r="E4056" s="100"/>
      <c r="F4056" s="101"/>
      <c r="G4056" s="96">
        <f t="shared" si="253"/>
        <v>2278</v>
      </c>
      <c r="I4056" s="96"/>
      <c r="K4056" t="str">
        <f t="shared" si="254"/>
        <v>2278</v>
      </c>
      <c r="M4056" s="72"/>
      <c r="O4056" s="96">
        <f t="shared" si="255"/>
        <v>2278</v>
      </c>
      <c r="T4056" s="110"/>
    </row>
    <row r="4057" spans="3:20" x14ac:dyDescent="0.2">
      <c r="C4057" s="96" t="str">
        <f t="shared" si="252"/>
        <v>2279</v>
      </c>
      <c r="D4057" s="73"/>
      <c r="E4057" s="100"/>
      <c r="F4057" s="101"/>
      <c r="G4057" s="96">
        <f t="shared" si="253"/>
        <v>2279</v>
      </c>
      <c r="I4057" s="96"/>
      <c r="K4057" t="str">
        <f t="shared" si="254"/>
        <v>2279</v>
      </c>
      <c r="M4057" s="72"/>
      <c r="O4057" s="96">
        <f t="shared" si="255"/>
        <v>2279</v>
      </c>
      <c r="T4057" s="110"/>
    </row>
    <row r="4058" spans="3:20" x14ac:dyDescent="0.2">
      <c r="C4058" s="96" t="str">
        <f t="shared" si="252"/>
        <v>2280</v>
      </c>
      <c r="D4058" s="73"/>
      <c r="E4058" s="100"/>
      <c r="F4058" s="101"/>
      <c r="G4058" s="96">
        <f t="shared" si="253"/>
        <v>2280</v>
      </c>
      <c r="I4058" s="96"/>
      <c r="K4058" t="str">
        <f t="shared" si="254"/>
        <v>2280</v>
      </c>
      <c r="M4058" s="72"/>
      <c r="O4058" s="96">
        <f t="shared" si="255"/>
        <v>2280</v>
      </c>
      <c r="T4058" s="110"/>
    </row>
    <row r="4059" spans="3:20" x14ac:dyDescent="0.2">
      <c r="C4059" s="96" t="str">
        <f t="shared" si="252"/>
        <v>2281</v>
      </c>
      <c r="D4059" s="73"/>
      <c r="E4059" s="100"/>
      <c r="F4059" s="101"/>
      <c r="G4059" s="96">
        <f t="shared" si="253"/>
        <v>2281</v>
      </c>
      <c r="I4059" s="96"/>
      <c r="K4059" t="str">
        <f t="shared" si="254"/>
        <v>2281</v>
      </c>
      <c r="M4059" s="72"/>
      <c r="O4059" s="96">
        <f t="shared" si="255"/>
        <v>2281</v>
      </c>
      <c r="T4059" s="110"/>
    </row>
    <row r="4060" spans="3:20" x14ac:dyDescent="0.2">
      <c r="C4060" s="96" t="str">
        <f t="shared" si="252"/>
        <v>2282</v>
      </c>
      <c r="D4060" s="73"/>
      <c r="E4060" s="100"/>
      <c r="F4060" s="101"/>
      <c r="G4060" s="96">
        <f t="shared" si="253"/>
        <v>2282</v>
      </c>
      <c r="I4060" s="96"/>
      <c r="K4060" t="str">
        <f t="shared" si="254"/>
        <v>2282</v>
      </c>
      <c r="M4060" s="72"/>
      <c r="O4060" s="96">
        <f t="shared" si="255"/>
        <v>2282</v>
      </c>
      <c r="T4060" s="110"/>
    </row>
    <row r="4061" spans="3:20" x14ac:dyDescent="0.2">
      <c r="C4061" s="96" t="str">
        <f t="shared" si="252"/>
        <v>2283</v>
      </c>
      <c r="D4061" s="73"/>
      <c r="E4061" s="100"/>
      <c r="F4061" s="101"/>
      <c r="G4061" s="96">
        <f t="shared" si="253"/>
        <v>2283</v>
      </c>
      <c r="I4061" s="96"/>
      <c r="K4061" t="str">
        <f t="shared" si="254"/>
        <v>2283</v>
      </c>
      <c r="M4061" s="72"/>
      <c r="O4061" s="96">
        <f t="shared" si="255"/>
        <v>2283</v>
      </c>
      <c r="T4061" s="110"/>
    </row>
    <row r="4062" spans="3:20" x14ac:dyDescent="0.2">
      <c r="C4062" s="96" t="str">
        <f t="shared" si="252"/>
        <v>2284</v>
      </c>
      <c r="D4062" s="73"/>
      <c r="E4062" s="100"/>
      <c r="F4062" s="101"/>
      <c r="G4062" s="96">
        <f t="shared" si="253"/>
        <v>2284</v>
      </c>
      <c r="I4062" s="96"/>
      <c r="K4062" t="str">
        <f t="shared" si="254"/>
        <v>2284</v>
      </c>
      <c r="M4062" s="72"/>
      <c r="O4062" s="96">
        <f t="shared" si="255"/>
        <v>2284</v>
      </c>
      <c r="T4062" s="110"/>
    </row>
    <row r="4063" spans="3:20" x14ac:dyDescent="0.2">
      <c r="C4063" s="96" t="str">
        <f t="shared" si="252"/>
        <v>2285</v>
      </c>
      <c r="D4063" s="73"/>
      <c r="E4063" s="100"/>
      <c r="F4063" s="101"/>
      <c r="G4063" s="96">
        <f t="shared" si="253"/>
        <v>2285</v>
      </c>
      <c r="I4063" s="96"/>
      <c r="K4063" t="str">
        <f t="shared" si="254"/>
        <v>2285</v>
      </c>
      <c r="M4063" s="72"/>
      <c r="O4063" s="96">
        <f t="shared" si="255"/>
        <v>2285</v>
      </c>
      <c r="T4063" s="110"/>
    </row>
    <row r="4064" spans="3:20" x14ac:dyDescent="0.2">
      <c r="C4064" s="96" t="str">
        <f t="shared" si="252"/>
        <v>2286</v>
      </c>
      <c r="D4064" s="73"/>
      <c r="E4064" s="100"/>
      <c r="F4064" s="101"/>
      <c r="G4064" s="96">
        <f t="shared" si="253"/>
        <v>2286</v>
      </c>
      <c r="I4064" s="96"/>
      <c r="K4064" t="str">
        <f t="shared" si="254"/>
        <v>2286</v>
      </c>
      <c r="M4064" s="72"/>
      <c r="O4064" s="96">
        <f t="shared" si="255"/>
        <v>2286</v>
      </c>
      <c r="T4064" s="110"/>
    </row>
    <row r="4065" spans="3:20" x14ac:dyDescent="0.2">
      <c r="C4065" s="96" t="str">
        <f t="shared" si="252"/>
        <v>2287</v>
      </c>
      <c r="D4065" s="73"/>
      <c r="E4065" s="100"/>
      <c r="F4065" s="101"/>
      <c r="G4065" s="96">
        <f t="shared" si="253"/>
        <v>2287</v>
      </c>
      <c r="I4065" s="96"/>
      <c r="K4065" t="str">
        <f t="shared" si="254"/>
        <v>2287</v>
      </c>
      <c r="M4065" s="72"/>
      <c r="O4065" s="96">
        <f t="shared" si="255"/>
        <v>2287</v>
      </c>
      <c r="T4065" s="110"/>
    </row>
    <row r="4066" spans="3:20" x14ac:dyDescent="0.2">
      <c r="C4066" s="96" t="str">
        <f t="shared" si="252"/>
        <v>2288</v>
      </c>
      <c r="D4066" s="73"/>
      <c r="E4066" s="100"/>
      <c r="F4066" s="101"/>
      <c r="G4066" s="96">
        <f t="shared" si="253"/>
        <v>2288</v>
      </c>
      <c r="I4066" s="96"/>
      <c r="K4066" t="str">
        <f t="shared" si="254"/>
        <v>2288</v>
      </c>
      <c r="M4066" s="72"/>
      <c r="O4066" s="96">
        <f t="shared" si="255"/>
        <v>2288</v>
      </c>
      <c r="T4066" s="110"/>
    </row>
    <row r="4067" spans="3:20" x14ac:dyDescent="0.2">
      <c r="C4067" s="96" t="str">
        <f t="shared" si="252"/>
        <v>2289</v>
      </c>
      <c r="D4067" s="73"/>
      <c r="E4067" s="100"/>
      <c r="F4067" s="101"/>
      <c r="G4067" s="96">
        <f t="shared" si="253"/>
        <v>2289</v>
      </c>
      <c r="I4067" s="96"/>
      <c r="K4067" t="str">
        <f t="shared" si="254"/>
        <v>2289</v>
      </c>
      <c r="M4067" s="72"/>
      <c r="O4067" s="96">
        <f t="shared" si="255"/>
        <v>2289</v>
      </c>
      <c r="T4067" s="110"/>
    </row>
    <row r="4068" spans="3:20" x14ac:dyDescent="0.2">
      <c r="C4068" s="96" t="str">
        <f t="shared" si="252"/>
        <v>2290</v>
      </c>
      <c r="D4068" s="73"/>
      <c r="E4068" s="100"/>
      <c r="F4068" s="101"/>
      <c r="G4068" s="96">
        <f t="shared" si="253"/>
        <v>2290</v>
      </c>
      <c r="I4068" s="96"/>
      <c r="K4068" t="str">
        <f t="shared" si="254"/>
        <v>2290</v>
      </c>
      <c r="M4068" s="72"/>
      <c r="O4068" s="96">
        <f t="shared" si="255"/>
        <v>2290</v>
      </c>
      <c r="T4068" s="110"/>
    </row>
    <row r="4069" spans="3:20" x14ac:dyDescent="0.2">
      <c r="C4069" s="96" t="str">
        <f t="shared" si="252"/>
        <v>2291</v>
      </c>
      <c r="D4069" s="73"/>
      <c r="E4069" s="100"/>
      <c r="F4069" s="101"/>
      <c r="G4069" s="96">
        <f t="shared" si="253"/>
        <v>2291</v>
      </c>
      <c r="I4069" s="96"/>
      <c r="K4069" t="str">
        <f t="shared" si="254"/>
        <v>2291</v>
      </c>
      <c r="M4069" s="72"/>
      <c r="O4069" s="96">
        <f t="shared" si="255"/>
        <v>2291</v>
      </c>
      <c r="T4069" s="110"/>
    </row>
    <row r="4070" spans="3:20" x14ac:dyDescent="0.2">
      <c r="C4070" s="96" t="str">
        <f t="shared" si="252"/>
        <v>2292</v>
      </c>
      <c r="D4070" s="73"/>
      <c r="E4070" s="100"/>
      <c r="F4070" s="101"/>
      <c r="G4070" s="96">
        <f t="shared" si="253"/>
        <v>2292</v>
      </c>
      <c r="I4070" s="96"/>
      <c r="K4070" t="str">
        <f t="shared" si="254"/>
        <v>2292</v>
      </c>
      <c r="M4070" s="72"/>
      <c r="O4070" s="96">
        <f t="shared" si="255"/>
        <v>2292</v>
      </c>
      <c r="T4070" s="110"/>
    </row>
    <row r="4071" spans="3:20" x14ac:dyDescent="0.2">
      <c r="C4071" s="96" t="str">
        <f t="shared" si="252"/>
        <v>2293</v>
      </c>
      <c r="D4071" s="73"/>
      <c r="E4071" s="100"/>
      <c r="F4071" s="101"/>
      <c r="G4071" s="96">
        <f t="shared" si="253"/>
        <v>2293</v>
      </c>
      <c r="I4071" s="96"/>
      <c r="K4071" t="str">
        <f t="shared" si="254"/>
        <v>2293</v>
      </c>
      <c r="M4071" s="72"/>
      <c r="O4071" s="96">
        <f t="shared" si="255"/>
        <v>2293</v>
      </c>
      <c r="T4071" s="110"/>
    </row>
    <row r="4072" spans="3:20" x14ac:dyDescent="0.2">
      <c r="C4072" s="96" t="str">
        <f t="shared" si="252"/>
        <v>2294</v>
      </c>
      <c r="D4072" s="73"/>
      <c r="E4072" s="100"/>
      <c r="F4072" s="101"/>
      <c r="G4072" s="96">
        <f t="shared" si="253"/>
        <v>2294</v>
      </c>
      <c r="I4072" s="96"/>
      <c r="K4072" t="str">
        <f t="shared" si="254"/>
        <v>2294</v>
      </c>
      <c r="M4072" s="72"/>
      <c r="O4072" s="96">
        <f t="shared" si="255"/>
        <v>2294</v>
      </c>
      <c r="T4072" s="110"/>
    </row>
    <row r="4073" spans="3:20" x14ac:dyDescent="0.2">
      <c r="C4073" s="96" t="str">
        <f t="shared" si="252"/>
        <v>2295</v>
      </c>
      <c r="D4073" s="73"/>
      <c r="E4073" s="100"/>
      <c r="F4073" s="101"/>
      <c r="G4073" s="96">
        <f t="shared" si="253"/>
        <v>2295</v>
      </c>
      <c r="I4073" s="96"/>
      <c r="K4073" t="str">
        <f t="shared" si="254"/>
        <v>2295</v>
      </c>
      <c r="M4073" s="72"/>
      <c r="O4073" s="96">
        <f t="shared" si="255"/>
        <v>2295</v>
      </c>
      <c r="T4073" s="110"/>
    </row>
    <row r="4074" spans="3:20" x14ac:dyDescent="0.2">
      <c r="C4074" s="96" t="str">
        <f t="shared" si="252"/>
        <v>2296</v>
      </c>
      <c r="D4074" s="73"/>
      <c r="E4074" s="100"/>
      <c r="F4074" s="101"/>
      <c r="G4074" s="96">
        <f t="shared" si="253"/>
        <v>2296</v>
      </c>
      <c r="I4074" s="96"/>
      <c r="K4074" t="str">
        <f t="shared" si="254"/>
        <v>2296</v>
      </c>
      <c r="M4074" s="72"/>
      <c r="O4074" s="96">
        <f t="shared" si="255"/>
        <v>2296</v>
      </c>
      <c r="T4074" s="110"/>
    </row>
    <row r="4075" spans="3:20" x14ac:dyDescent="0.2">
      <c r="C4075" s="96" t="str">
        <f t="shared" si="252"/>
        <v>2297</v>
      </c>
      <c r="D4075" s="73"/>
      <c r="E4075" s="100"/>
      <c r="F4075" s="101"/>
      <c r="G4075" s="96">
        <f t="shared" si="253"/>
        <v>2297</v>
      </c>
      <c r="I4075" s="96"/>
      <c r="K4075" t="str">
        <f t="shared" si="254"/>
        <v>2297</v>
      </c>
      <c r="M4075" s="72"/>
      <c r="O4075" s="96">
        <f t="shared" si="255"/>
        <v>2297</v>
      </c>
      <c r="T4075" s="110"/>
    </row>
    <row r="4076" spans="3:20" x14ac:dyDescent="0.2">
      <c r="C4076" s="96" t="str">
        <f t="shared" si="252"/>
        <v>2298</v>
      </c>
      <c r="D4076" s="73"/>
      <c r="E4076" s="100"/>
      <c r="F4076" s="101"/>
      <c r="G4076" s="96">
        <f t="shared" si="253"/>
        <v>2298</v>
      </c>
      <c r="I4076" s="96"/>
      <c r="K4076" t="str">
        <f t="shared" si="254"/>
        <v>2298</v>
      </c>
      <c r="M4076" s="72"/>
      <c r="O4076" s="96">
        <f t="shared" si="255"/>
        <v>2298</v>
      </c>
      <c r="T4076" s="110"/>
    </row>
    <row r="4077" spans="3:20" x14ac:dyDescent="0.2">
      <c r="C4077" s="96" t="str">
        <f t="shared" si="252"/>
        <v>2299</v>
      </c>
      <c r="D4077" s="73"/>
      <c r="E4077" s="100"/>
      <c r="F4077" s="101"/>
      <c r="G4077" s="96">
        <f t="shared" si="253"/>
        <v>2299</v>
      </c>
      <c r="I4077" s="96"/>
      <c r="K4077" t="str">
        <f t="shared" si="254"/>
        <v>2299</v>
      </c>
      <c r="M4077" s="72"/>
      <c r="O4077" s="96">
        <f t="shared" si="255"/>
        <v>2299</v>
      </c>
      <c r="T4077" s="110"/>
    </row>
    <row r="4078" spans="3:20" x14ac:dyDescent="0.2">
      <c r="C4078" s="96" t="str">
        <f t="shared" si="252"/>
        <v>2300</v>
      </c>
      <c r="D4078" s="73"/>
      <c r="E4078" s="100"/>
      <c r="F4078" s="101"/>
      <c r="G4078" s="96">
        <f t="shared" si="253"/>
        <v>2300</v>
      </c>
      <c r="I4078" s="96"/>
      <c r="K4078" t="str">
        <f t="shared" si="254"/>
        <v>2300</v>
      </c>
      <c r="M4078" s="72"/>
      <c r="O4078" s="96">
        <f t="shared" si="255"/>
        <v>2300</v>
      </c>
      <c r="T4078" s="110"/>
    </row>
    <row r="4079" spans="3:20" x14ac:dyDescent="0.2">
      <c r="C4079" s="96" t="str">
        <f t="shared" si="252"/>
        <v>2301</v>
      </c>
      <c r="D4079" s="73"/>
      <c r="E4079" s="100"/>
      <c r="F4079" s="101"/>
      <c r="G4079" s="96">
        <f t="shared" si="253"/>
        <v>2301</v>
      </c>
      <c r="I4079" s="96"/>
      <c r="K4079" t="str">
        <f t="shared" si="254"/>
        <v>2301</v>
      </c>
      <c r="M4079" s="72"/>
      <c r="O4079" s="96">
        <f t="shared" si="255"/>
        <v>2301</v>
      </c>
      <c r="T4079" s="110"/>
    </row>
    <row r="4080" spans="3:20" x14ac:dyDescent="0.2">
      <c r="C4080" s="96" t="str">
        <f t="shared" si="252"/>
        <v>2302</v>
      </c>
      <c r="D4080" s="73"/>
      <c r="E4080" s="100"/>
      <c r="F4080" s="101"/>
      <c r="G4080" s="96">
        <f t="shared" si="253"/>
        <v>2302</v>
      </c>
      <c r="I4080" s="96"/>
      <c r="K4080" t="str">
        <f t="shared" si="254"/>
        <v>2302</v>
      </c>
      <c r="M4080" s="72"/>
      <c r="O4080" s="96">
        <f t="shared" si="255"/>
        <v>2302</v>
      </c>
      <c r="T4080" s="110"/>
    </row>
    <row r="4081" spans="3:20" x14ac:dyDescent="0.2">
      <c r="C4081" s="96" t="str">
        <f t="shared" si="252"/>
        <v>2303</v>
      </c>
      <c r="D4081" s="73"/>
      <c r="E4081" s="100"/>
      <c r="F4081" s="101"/>
      <c r="G4081" s="96">
        <f t="shared" si="253"/>
        <v>2303</v>
      </c>
      <c r="I4081" s="96"/>
      <c r="K4081" t="str">
        <f t="shared" si="254"/>
        <v>2303</v>
      </c>
      <c r="M4081" s="72"/>
      <c r="O4081" s="96">
        <f t="shared" si="255"/>
        <v>2303</v>
      </c>
      <c r="T4081" s="110"/>
    </row>
    <row r="4082" spans="3:20" x14ac:dyDescent="0.2">
      <c r="C4082" s="96" t="str">
        <f t="shared" si="252"/>
        <v>2304</v>
      </c>
      <c r="D4082" s="73"/>
      <c r="E4082" s="100"/>
      <c r="F4082" s="101"/>
      <c r="G4082" s="96">
        <f t="shared" si="253"/>
        <v>2304</v>
      </c>
      <c r="I4082" s="96"/>
      <c r="K4082" t="str">
        <f t="shared" si="254"/>
        <v>2304</v>
      </c>
      <c r="M4082" s="72"/>
      <c r="O4082" s="96">
        <f t="shared" si="255"/>
        <v>2304</v>
      </c>
      <c r="T4082" s="110"/>
    </row>
    <row r="4083" spans="3:20" x14ac:dyDescent="0.2">
      <c r="C4083" s="96" t="str">
        <f t="shared" si="252"/>
        <v>2305</v>
      </c>
      <c r="D4083" s="73"/>
      <c r="E4083" s="100"/>
      <c r="F4083" s="101"/>
      <c r="G4083" s="96">
        <f t="shared" si="253"/>
        <v>2305</v>
      </c>
      <c r="I4083" s="96"/>
      <c r="K4083" t="str">
        <f t="shared" si="254"/>
        <v>2305</v>
      </c>
      <c r="M4083" s="72"/>
      <c r="O4083" s="96">
        <f t="shared" si="255"/>
        <v>2305</v>
      </c>
      <c r="T4083" s="110"/>
    </row>
    <row r="4084" spans="3:20" x14ac:dyDescent="0.2">
      <c r="C4084" s="96" t="str">
        <f t="shared" si="252"/>
        <v>2306</v>
      </c>
      <c r="D4084" s="73"/>
      <c r="E4084" s="100"/>
      <c r="F4084" s="101"/>
      <c r="G4084" s="96">
        <f t="shared" si="253"/>
        <v>2306</v>
      </c>
      <c r="I4084" s="96"/>
      <c r="K4084" t="str">
        <f t="shared" si="254"/>
        <v>2306</v>
      </c>
      <c r="M4084" s="72"/>
      <c r="O4084" s="96">
        <f t="shared" si="255"/>
        <v>2306</v>
      </c>
      <c r="T4084" s="110"/>
    </row>
    <row r="4085" spans="3:20" x14ac:dyDescent="0.2">
      <c r="C4085" s="96" t="str">
        <f t="shared" si="252"/>
        <v>2307</v>
      </c>
      <c r="D4085" s="73"/>
      <c r="E4085" s="100"/>
      <c r="F4085" s="101"/>
      <c r="G4085" s="96">
        <f t="shared" si="253"/>
        <v>2307</v>
      </c>
      <c r="I4085" s="96"/>
      <c r="K4085" t="str">
        <f t="shared" si="254"/>
        <v>2307</v>
      </c>
      <c r="M4085" s="72"/>
      <c r="O4085" s="96">
        <f t="shared" si="255"/>
        <v>2307</v>
      </c>
      <c r="T4085" s="110"/>
    </row>
    <row r="4086" spans="3:20" x14ac:dyDescent="0.2">
      <c r="C4086" s="96" t="str">
        <f t="shared" si="252"/>
        <v>2308</v>
      </c>
      <c r="D4086" s="73"/>
      <c r="E4086" s="100"/>
      <c r="F4086" s="101"/>
      <c r="G4086" s="96">
        <f t="shared" si="253"/>
        <v>2308</v>
      </c>
      <c r="I4086" s="96"/>
      <c r="K4086" t="str">
        <f t="shared" si="254"/>
        <v>2308</v>
      </c>
      <c r="M4086" s="72"/>
      <c r="O4086" s="96">
        <f t="shared" si="255"/>
        <v>2308</v>
      </c>
      <c r="T4086" s="110"/>
    </row>
    <row r="4087" spans="3:20" x14ac:dyDescent="0.2">
      <c r="C4087" s="96" t="str">
        <f t="shared" si="252"/>
        <v>2309</v>
      </c>
      <c r="D4087" s="73"/>
      <c r="E4087" s="100"/>
      <c r="F4087" s="101"/>
      <c r="G4087" s="96">
        <f t="shared" si="253"/>
        <v>2309</v>
      </c>
      <c r="I4087" s="96"/>
      <c r="K4087" t="str">
        <f t="shared" si="254"/>
        <v>2309</v>
      </c>
      <c r="M4087" s="72"/>
      <c r="O4087" s="96">
        <f t="shared" si="255"/>
        <v>2309</v>
      </c>
      <c r="T4087" s="110"/>
    </row>
    <row r="4088" spans="3:20" x14ac:dyDescent="0.2">
      <c r="C4088" s="96" t="str">
        <f t="shared" si="252"/>
        <v>2310</v>
      </c>
      <c r="D4088" s="73"/>
      <c r="E4088" s="100"/>
      <c r="F4088" s="101"/>
      <c r="G4088" s="96">
        <f t="shared" si="253"/>
        <v>2310</v>
      </c>
      <c r="I4088" s="96"/>
      <c r="K4088" t="str">
        <f t="shared" si="254"/>
        <v>2310</v>
      </c>
      <c r="M4088" s="72"/>
      <c r="O4088" s="96">
        <f t="shared" si="255"/>
        <v>2310</v>
      </c>
      <c r="T4088" s="110"/>
    </row>
    <row r="4089" spans="3:20" x14ac:dyDescent="0.2">
      <c r="C4089" s="96" t="str">
        <f t="shared" si="252"/>
        <v>2311</v>
      </c>
      <c r="D4089" s="73"/>
      <c r="E4089" s="100"/>
      <c r="F4089" s="101"/>
      <c r="G4089" s="96">
        <f t="shared" si="253"/>
        <v>2311</v>
      </c>
      <c r="I4089" s="96"/>
      <c r="K4089" t="str">
        <f t="shared" si="254"/>
        <v>2311</v>
      </c>
      <c r="M4089" s="72"/>
      <c r="O4089" s="96">
        <f t="shared" si="255"/>
        <v>2311</v>
      </c>
      <c r="T4089" s="110"/>
    </row>
    <row r="4090" spans="3:20" x14ac:dyDescent="0.2">
      <c r="C4090" s="96" t="str">
        <f t="shared" si="252"/>
        <v>2312</v>
      </c>
      <c r="D4090" s="73"/>
      <c r="E4090" s="100"/>
      <c r="F4090" s="101"/>
      <c r="G4090" s="96">
        <f t="shared" si="253"/>
        <v>2312</v>
      </c>
      <c r="I4090" s="96"/>
      <c r="K4090" t="str">
        <f t="shared" si="254"/>
        <v>2312</v>
      </c>
      <c r="M4090" s="72"/>
      <c r="O4090" s="96">
        <f t="shared" si="255"/>
        <v>2312</v>
      </c>
      <c r="T4090" s="110"/>
    </row>
    <row r="4091" spans="3:20" x14ac:dyDescent="0.2">
      <c r="C4091" s="96" t="str">
        <f t="shared" si="252"/>
        <v>2313</v>
      </c>
      <c r="D4091" s="73"/>
      <c r="E4091" s="100"/>
      <c r="F4091" s="101"/>
      <c r="G4091" s="96">
        <f t="shared" si="253"/>
        <v>2313</v>
      </c>
      <c r="I4091" s="96"/>
      <c r="K4091" t="str">
        <f t="shared" si="254"/>
        <v>2313</v>
      </c>
      <c r="M4091" s="72"/>
      <c r="O4091" s="96">
        <f t="shared" si="255"/>
        <v>2313</v>
      </c>
      <c r="T4091" s="110"/>
    </row>
    <row r="4092" spans="3:20" x14ac:dyDescent="0.2">
      <c r="C4092" s="96" t="str">
        <f t="shared" si="252"/>
        <v>2314</v>
      </c>
      <c r="D4092" s="73"/>
      <c r="E4092" s="100"/>
      <c r="F4092" s="101"/>
      <c r="G4092" s="96">
        <f t="shared" si="253"/>
        <v>2314</v>
      </c>
      <c r="I4092" s="96"/>
      <c r="K4092" t="str">
        <f t="shared" si="254"/>
        <v>2314</v>
      </c>
      <c r="M4092" s="72"/>
      <c r="O4092" s="96">
        <f t="shared" si="255"/>
        <v>2314</v>
      </c>
      <c r="T4092" s="110"/>
    </row>
    <row r="4093" spans="3:20" x14ac:dyDescent="0.2">
      <c r="C4093" s="96" t="str">
        <f t="shared" si="252"/>
        <v>2315</v>
      </c>
      <c r="D4093" s="73"/>
      <c r="E4093" s="100"/>
      <c r="F4093" s="101"/>
      <c r="G4093" s="96">
        <f t="shared" si="253"/>
        <v>2315</v>
      </c>
      <c r="I4093" s="96"/>
      <c r="K4093" t="str">
        <f t="shared" si="254"/>
        <v>2315</v>
      </c>
      <c r="M4093" s="72"/>
      <c r="O4093" s="96">
        <f t="shared" si="255"/>
        <v>2315</v>
      </c>
      <c r="T4093" s="110"/>
    </row>
    <row r="4094" spans="3:20" x14ac:dyDescent="0.2">
      <c r="C4094" s="96" t="str">
        <f t="shared" si="252"/>
        <v>2316</v>
      </c>
      <c r="D4094" s="73"/>
      <c r="E4094" s="100"/>
      <c r="F4094" s="101"/>
      <c r="G4094" s="96">
        <f t="shared" si="253"/>
        <v>2316</v>
      </c>
      <c r="I4094" s="96"/>
      <c r="K4094" t="str">
        <f t="shared" si="254"/>
        <v>2316</v>
      </c>
      <c r="M4094" s="72"/>
      <c r="O4094" s="96">
        <f t="shared" si="255"/>
        <v>2316</v>
      </c>
      <c r="T4094" s="110"/>
    </row>
    <row r="4095" spans="3:20" x14ac:dyDescent="0.2">
      <c r="C4095" s="96" t="str">
        <f t="shared" si="252"/>
        <v>2317</v>
      </c>
      <c r="D4095" s="73"/>
      <c r="E4095" s="100"/>
      <c r="F4095" s="101"/>
      <c r="G4095" s="96">
        <f t="shared" si="253"/>
        <v>2317</v>
      </c>
      <c r="I4095" s="96"/>
      <c r="K4095" t="str">
        <f t="shared" si="254"/>
        <v>2317</v>
      </c>
      <c r="M4095" s="72"/>
      <c r="O4095" s="96">
        <f t="shared" si="255"/>
        <v>2317</v>
      </c>
      <c r="T4095" s="110"/>
    </row>
    <row r="4096" spans="3:20" x14ac:dyDescent="0.2">
      <c r="C4096" s="96" t="str">
        <f t="shared" si="252"/>
        <v>2318</v>
      </c>
      <c r="D4096" s="73"/>
      <c r="E4096" s="100"/>
      <c r="F4096" s="101"/>
      <c r="G4096" s="96">
        <f t="shared" si="253"/>
        <v>2318</v>
      </c>
      <c r="I4096" s="96"/>
      <c r="K4096" t="str">
        <f t="shared" si="254"/>
        <v>2318</v>
      </c>
      <c r="M4096" s="72"/>
      <c r="O4096" s="96">
        <f t="shared" si="255"/>
        <v>2318</v>
      </c>
      <c r="T4096" s="110"/>
    </row>
    <row r="4097" spans="3:20" x14ac:dyDescent="0.2">
      <c r="C4097" s="96" t="str">
        <f t="shared" si="252"/>
        <v>2319</v>
      </c>
      <c r="D4097" s="73"/>
      <c r="E4097" s="100"/>
      <c r="F4097" s="101"/>
      <c r="G4097" s="96">
        <f t="shared" si="253"/>
        <v>2319</v>
      </c>
      <c r="I4097" s="96"/>
      <c r="K4097" t="str">
        <f t="shared" si="254"/>
        <v>2319</v>
      </c>
      <c r="M4097" s="72"/>
      <c r="O4097" s="96">
        <f t="shared" si="255"/>
        <v>2319</v>
      </c>
      <c r="T4097" s="110"/>
    </row>
    <row r="4098" spans="3:20" x14ac:dyDescent="0.2">
      <c r="C4098" s="96" t="str">
        <f t="shared" si="252"/>
        <v>2320</v>
      </c>
      <c r="D4098" s="73"/>
      <c r="E4098" s="100"/>
      <c r="F4098" s="101"/>
      <c r="G4098" s="96">
        <f t="shared" si="253"/>
        <v>2320</v>
      </c>
      <c r="I4098" s="96"/>
      <c r="K4098" t="str">
        <f t="shared" si="254"/>
        <v>2320</v>
      </c>
      <c r="M4098" s="72"/>
      <c r="O4098" s="96">
        <f t="shared" si="255"/>
        <v>2320</v>
      </c>
      <c r="T4098" s="110"/>
    </row>
    <row r="4099" spans="3:20" x14ac:dyDescent="0.2">
      <c r="C4099" s="96" t="str">
        <f t="shared" ref="C4099:C4162" si="256">D4099&amp;G4099</f>
        <v>2321</v>
      </c>
      <c r="D4099" s="73"/>
      <c r="E4099" s="100"/>
      <c r="F4099" s="101"/>
      <c r="G4099" s="96">
        <f t="shared" ref="G4099:G4162" si="257">IF(D4099&lt;&gt;D4098,1,G4098+1)</f>
        <v>2321</v>
      </c>
      <c r="I4099" s="96"/>
      <c r="K4099" t="str">
        <f t="shared" ref="K4099:K4162" si="258">L4099&amp;O4099</f>
        <v>2321</v>
      </c>
      <c r="M4099" s="72"/>
      <c r="O4099" s="96">
        <f t="shared" ref="O4099:O4162" si="259">IF(L4099&lt;&gt;L4098,1,O4098+1)</f>
        <v>2321</v>
      </c>
      <c r="T4099" s="110"/>
    </row>
    <row r="4100" spans="3:20" x14ac:dyDescent="0.2">
      <c r="C4100" s="96" t="str">
        <f t="shared" si="256"/>
        <v>2322</v>
      </c>
      <c r="D4100" s="73"/>
      <c r="E4100" s="100"/>
      <c r="F4100" s="101"/>
      <c r="G4100" s="96">
        <f t="shared" si="257"/>
        <v>2322</v>
      </c>
      <c r="I4100" s="96"/>
      <c r="K4100" t="str">
        <f t="shared" si="258"/>
        <v>2322</v>
      </c>
      <c r="M4100" s="72"/>
      <c r="O4100" s="96">
        <f t="shared" si="259"/>
        <v>2322</v>
      </c>
      <c r="T4100" s="110"/>
    </row>
    <row r="4101" spans="3:20" x14ac:dyDescent="0.2">
      <c r="C4101" s="96" t="str">
        <f t="shared" si="256"/>
        <v>2323</v>
      </c>
      <c r="D4101" s="73"/>
      <c r="E4101" s="100"/>
      <c r="F4101" s="101"/>
      <c r="G4101" s="96">
        <f t="shared" si="257"/>
        <v>2323</v>
      </c>
      <c r="I4101" s="96"/>
      <c r="K4101" t="str">
        <f t="shared" si="258"/>
        <v>2323</v>
      </c>
      <c r="M4101" s="72"/>
      <c r="O4101" s="96">
        <f t="shared" si="259"/>
        <v>2323</v>
      </c>
      <c r="T4101" s="110"/>
    </row>
    <row r="4102" spans="3:20" x14ac:dyDescent="0.2">
      <c r="C4102" s="96" t="str">
        <f t="shared" si="256"/>
        <v>2324</v>
      </c>
      <c r="D4102" s="73"/>
      <c r="E4102" s="100"/>
      <c r="F4102" s="101"/>
      <c r="G4102" s="96">
        <f t="shared" si="257"/>
        <v>2324</v>
      </c>
      <c r="I4102" s="96"/>
      <c r="K4102" t="str">
        <f t="shared" si="258"/>
        <v>2324</v>
      </c>
      <c r="M4102" s="72"/>
      <c r="O4102" s="96">
        <f t="shared" si="259"/>
        <v>2324</v>
      </c>
      <c r="T4102" s="110"/>
    </row>
    <row r="4103" spans="3:20" x14ac:dyDescent="0.2">
      <c r="C4103" s="96" t="str">
        <f t="shared" si="256"/>
        <v>2325</v>
      </c>
      <c r="D4103" s="73"/>
      <c r="E4103" s="100"/>
      <c r="F4103" s="101"/>
      <c r="G4103" s="96">
        <f t="shared" si="257"/>
        <v>2325</v>
      </c>
      <c r="I4103" s="96"/>
      <c r="K4103" t="str">
        <f t="shared" si="258"/>
        <v>2325</v>
      </c>
      <c r="M4103" s="72"/>
      <c r="O4103" s="96">
        <f t="shared" si="259"/>
        <v>2325</v>
      </c>
      <c r="T4103" s="110"/>
    </row>
    <row r="4104" spans="3:20" x14ac:dyDescent="0.2">
      <c r="C4104" s="96" t="str">
        <f t="shared" si="256"/>
        <v>2326</v>
      </c>
      <c r="D4104" s="73"/>
      <c r="E4104" s="100"/>
      <c r="F4104" s="101"/>
      <c r="G4104" s="96">
        <f t="shared" si="257"/>
        <v>2326</v>
      </c>
      <c r="I4104" s="96"/>
      <c r="K4104" t="str">
        <f t="shared" si="258"/>
        <v>2326</v>
      </c>
      <c r="M4104" s="72"/>
      <c r="O4104" s="96">
        <f t="shared" si="259"/>
        <v>2326</v>
      </c>
      <c r="T4104" s="110"/>
    </row>
    <row r="4105" spans="3:20" x14ac:dyDescent="0.2">
      <c r="C4105" s="96" t="str">
        <f t="shared" si="256"/>
        <v>2327</v>
      </c>
      <c r="D4105" s="73"/>
      <c r="E4105" s="100"/>
      <c r="F4105" s="101"/>
      <c r="G4105" s="96">
        <f t="shared" si="257"/>
        <v>2327</v>
      </c>
      <c r="I4105" s="96"/>
      <c r="K4105" t="str">
        <f t="shared" si="258"/>
        <v>2327</v>
      </c>
      <c r="M4105" s="72"/>
      <c r="O4105" s="96">
        <f t="shared" si="259"/>
        <v>2327</v>
      </c>
      <c r="T4105" s="110"/>
    </row>
    <row r="4106" spans="3:20" x14ac:dyDescent="0.2">
      <c r="C4106" s="96" t="str">
        <f t="shared" si="256"/>
        <v>2328</v>
      </c>
      <c r="D4106" s="73"/>
      <c r="E4106" s="100"/>
      <c r="F4106" s="101"/>
      <c r="G4106" s="96">
        <f t="shared" si="257"/>
        <v>2328</v>
      </c>
      <c r="I4106" s="96"/>
      <c r="K4106" t="str">
        <f t="shared" si="258"/>
        <v>2328</v>
      </c>
      <c r="M4106" s="72"/>
      <c r="O4106" s="96">
        <f t="shared" si="259"/>
        <v>2328</v>
      </c>
      <c r="T4106" s="110"/>
    </row>
    <row r="4107" spans="3:20" x14ac:dyDescent="0.2">
      <c r="C4107" s="96" t="str">
        <f t="shared" si="256"/>
        <v>2329</v>
      </c>
      <c r="D4107" s="73"/>
      <c r="E4107" s="100"/>
      <c r="F4107" s="101"/>
      <c r="G4107" s="96">
        <f t="shared" si="257"/>
        <v>2329</v>
      </c>
      <c r="I4107" s="96"/>
      <c r="K4107" t="str">
        <f t="shared" si="258"/>
        <v>2329</v>
      </c>
      <c r="M4107" s="72"/>
      <c r="O4107" s="96">
        <f t="shared" si="259"/>
        <v>2329</v>
      </c>
      <c r="T4107" s="110"/>
    </row>
    <row r="4108" spans="3:20" x14ac:dyDescent="0.2">
      <c r="C4108" s="96" t="str">
        <f t="shared" si="256"/>
        <v>2330</v>
      </c>
      <c r="D4108" s="73"/>
      <c r="E4108" s="100"/>
      <c r="F4108" s="101"/>
      <c r="G4108" s="96">
        <f t="shared" si="257"/>
        <v>2330</v>
      </c>
      <c r="I4108" s="96"/>
      <c r="K4108" t="str">
        <f t="shared" si="258"/>
        <v>2330</v>
      </c>
      <c r="M4108" s="72"/>
      <c r="O4108" s="96">
        <f t="shared" si="259"/>
        <v>2330</v>
      </c>
      <c r="T4108" s="110"/>
    </row>
    <row r="4109" spans="3:20" x14ac:dyDescent="0.2">
      <c r="C4109" s="96" t="str">
        <f t="shared" si="256"/>
        <v>2331</v>
      </c>
      <c r="D4109" s="73"/>
      <c r="E4109" s="100"/>
      <c r="F4109" s="101"/>
      <c r="G4109" s="96">
        <f t="shared" si="257"/>
        <v>2331</v>
      </c>
      <c r="I4109" s="96"/>
      <c r="K4109" t="str">
        <f t="shared" si="258"/>
        <v>2331</v>
      </c>
      <c r="M4109" s="72"/>
      <c r="O4109" s="96">
        <f t="shared" si="259"/>
        <v>2331</v>
      </c>
      <c r="T4109" s="110"/>
    </row>
    <row r="4110" spans="3:20" x14ac:dyDescent="0.2">
      <c r="C4110" s="96" t="str">
        <f t="shared" si="256"/>
        <v>2332</v>
      </c>
      <c r="D4110" s="73"/>
      <c r="E4110" s="100"/>
      <c r="F4110" s="101"/>
      <c r="G4110" s="96">
        <f t="shared" si="257"/>
        <v>2332</v>
      </c>
      <c r="I4110" s="96"/>
      <c r="K4110" t="str">
        <f t="shared" si="258"/>
        <v>2332</v>
      </c>
      <c r="M4110" s="72"/>
      <c r="O4110" s="96">
        <f t="shared" si="259"/>
        <v>2332</v>
      </c>
      <c r="T4110" s="110"/>
    </row>
    <row r="4111" spans="3:20" x14ac:dyDescent="0.2">
      <c r="C4111" s="96" t="str">
        <f t="shared" si="256"/>
        <v>2333</v>
      </c>
      <c r="D4111" s="73"/>
      <c r="E4111" s="100"/>
      <c r="F4111" s="101"/>
      <c r="G4111" s="96">
        <f t="shared" si="257"/>
        <v>2333</v>
      </c>
      <c r="I4111" s="96"/>
      <c r="K4111" t="str">
        <f t="shared" si="258"/>
        <v>2333</v>
      </c>
      <c r="M4111" s="72"/>
      <c r="O4111" s="96">
        <f t="shared" si="259"/>
        <v>2333</v>
      </c>
      <c r="T4111" s="110"/>
    </row>
    <row r="4112" spans="3:20" x14ac:dyDescent="0.2">
      <c r="C4112" s="96" t="str">
        <f t="shared" si="256"/>
        <v>2334</v>
      </c>
      <c r="D4112" s="73"/>
      <c r="E4112" s="100"/>
      <c r="F4112" s="101"/>
      <c r="G4112" s="96">
        <f t="shared" si="257"/>
        <v>2334</v>
      </c>
      <c r="I4112" s="96"/>
      <c r="K4112" t="str">
        <f t="shared" si="258"/>
        <v>2334</v>
      </c>
      <c r="M4112" s="72"/>
      <c r="O4112" s="96">
        <f t="shared" si="259"/>
        <v>2334</v>
      </c>
      <c r="T4112" s="110"/>
    </row>
    <row r="4113" spans="3:20" x14ac:dyDescent="0.2">
      <c r="C4113" s="96" t="str">
        <f t="shared" si="256"/>
        <v>2335</v>
      </c>
      <c r="D4113" s="73"/>
      <c r="E4113" s="100"/>
      <c r="F4113" s="101"/>
      <c r="G4113" s="96">
        <f t="shared" si="257"/>
        <v>2335</v>
      </c>
      <c r="I4113" s="96"/>
      <c r="K4113" t="str">
        <f t="shared" si="258"/>
        <v>2335</v>
      </c>
      <c r="M4113" s="72"/>
      <c r="O4113" s="96">
        <f t="shared" si="259"/>
        <v>2335</v>
      </c>
      <c r="T4113" s="110"/>
    </row>
    <row r="4114" spans="3:20" x14ac:dyDescent="0.2">
      <c r="C4114" s="96" t="str">
        <f t="shared" si="256"/>
        <v>2336</v>
      </c>
      <c r="D4114" s="73"/>
      <c r="E4114" s="100"/>
      <c r="F4114" s="101"/>
      <c r="G4114" s="96">
        <f t="shared" si="257"/>
        <v>2336</v>
      </c>
      <c r="I4114" s="96"/>
      <c r="K4114" t="str">
        <f t="shared" si="258"/>
        <v>2336</v>
      </c>
      <c r="M4114" s="72"/>
      <c r="O4114" s="96">
        <f t="shared" si="259"/>
        <v>2336</v>
      </c>
      <c r="T4114" s="110"/>
    </row>
    <row r="4115" spans="3:20" x14ac:dyDescent="0.2">
      <c r="C4115" s="96" t="str">
        <f t="shared" si="256"/>
        <v>2337</v>
      </c>
      <c r="D4115" s="73"/>
      <c r="E4115" s="100"/>
      <c r="F4115" s="101"/>
      <c r="G4115" s="96">
        <f t="shared" si="257"/>
        <v>2337</v>
      </c>
      <c r="I4115" s="96"/>
      <c r="K4115" t="str">
        <f t="shared" si="258"/>
        <v>2337</v>
      </c>
      <c r="M4115" s="72"/>
      <c r="O4115" s="96">
        <f t="shared" si="259"/>
        <v>2337</v>
      </c>
      <c r="T4115" s="110"/>
    </row>
    <row r="4116" spans="3:20" x14ac:dyDescent="0.2">
      <c r="C4116" s="96" t="str">
        <f t="shared" si="256"/>
        <v>2338</v>
      </c>
      <c r="D4116" s="73"/>
      <c r="E4116" s="100"/>
      <c r="F4116" s="101"/>
      <c r="G4116" s="96">
        <f t="shared" si="257"/>
        <v>2338</v>
      </c>
      <c r="I4116" s="96"/>
      <c r="K4116" t="str">
        <f t="shared" si="258"/>
        <v>2338</v>
      </c>
      <c r="M4116" s="72"/>
      <c r="O4116" s="96">
        <f t="shared" si="259"/>
        <v>2338</v>
      </c>
      <c r="T4116" s="110"/>
    </row>
    <row r="4117" spans="3:20" x14ac:dyDescent="0.2">
      <c r="C4117" s="96" t="str">
        <f t="shared" si="256"/>
        <v>2339</v>
      </c>
      <c r="D4117" s="73"/>
      <c r="E4117" s="100"/>
      <c r="F4117" s="101"/>
      <c r="G4117" s="96">
        <f t="shared" si="257"/>
        <v>2339</v>
      </c>
      <c r="I4117" s="96"/>
      <c r="K4117" t="str">
        <f t="shared" si="258"/>
        <v>2339</v>
      </c>
      <c r="M4117" s="72"/>
      <c r="O4117" s="96">
        <f t="shared" si="259"/>
        <v>2339</v>
      </c>
      <c r="T4117" s="110"/>
    </row>
    <row r="4118" spans="3:20" x14ac:dyDescent="0.2">
      <c r="C4118" s="96" t="str">
        <f t="shared" si="256"/>
        <v>2340</v>
      </c>
      <c r="D4118" s="73"/>
      <c r="E4118" s="100"/>
      <c r="F4118" s="101"/>
      <c r="G4118" s="96">
        <f t="shared" si="257"/>
        <v>2340</v>
      </c>
      <c r="I4118" s="96"/>
      <c r="K4118" t="str">
        <f t="shared" si="258"/>
        <v>2340</v>
      </c>
      <c r="M4118" s="72"/>
      <c r="O4118" s="96">
        <f t="shared" si="259"/>
        <v>2340</v>
      </c>
      <c r="T4118" s="110"/>
    </row>
    <row r="4119" spans="3:20" x14ac:dyDescent="0.2">
      <c r="C4119" s="96" t="str">
        <f t="shared" si="256"/>
        <v>2341</v>
      </c>
      <c r="D4119" s="73"/>
      <c r="E4119" s="100"/>
      <c r="F4119" s="101"/>
      <c r="G4119" s="96">
        <f t="shared" si="257"/>
        <v>2341</v>
      </c>
      <c r="I4119" s="96"/>
      <c r="K4119" t="str">
        <f t="shared" si="258"/>
        <v>2341</v>
      </c>
      <c r="M4119" s="72"/>
      <c r="O4119" s="96">
        <f t="shared" si="259"/>
        <v>2341</v>
      </c>
      <c r="T4119" s="110"/>
    </row>
    <row r="4120" spans="3:20" x14ac:dyDescent="0.2">
      <c r="C4120" s="96" t="str">
        <f t="shared" si="256"/>
        <v>2342</v>
      </c>
      <c r="D4120" s="73"/>
      <c r="E4120" s="100"/>
      <c r="F4120" s="101"/>
      <c r="G4120" s="96">
        <f t="shared" si="257"/>
        <v>2342</v>
      </c>
      <c r="I4120" s="96"/>
      <c r="K4120" t="str">
        <f t="shared" si="258"/>
        <v>2342</v>
      </c>
      <c r="M4120" s="72"/>
      <c r="O4120" s="96">
        <f t="shared" si="259"/>
        <v>2342</v>
      </c>
      <c r="T4120" s="110"/>
    </row>
    <row r="4121" spans="3:20" x14ac:dyDescent="0.2">
      <c r="C4121" s="96" t="str">
        <f t="shared" si="256"/>
        <v>2343</v>
      </c>
      <c r="D4121" s="73"/>
      <c r="E4121" s="100"/>
      <c r="F4121" s="101"/>
      <c r="G4121" s="96">
        <f t="shared" si="257"/>
        <v>2343</v>
      </c>
      <c r="I4121" s="96"/>
      <c r="K4121" t="str">
        <f t="shared" si="258"/>
        <v>2343</v>
      </c>
      <c r="M4121" s="72"/>
      <c r="O4121" s="96">
        <f t="shared" si="259"/>
        <v>2343</v>
      </c>
      <c r="T4121" s="110"/>
    </row>
    <row r="4122" spans="3:20" x14ac:dyDescent="0.2">
      <c r="C4122" s="96" t="str">
        <f t="shared" si="256"/>
        <v>2344</v>
      </c>
      <c r="D4122" s="73"/>
      <c r="E4122" s="100"/>
      <c r="F4122" s="101"/>
      <c r="G4122" s="96">
        <f t="shared" si="257"/>
        <v>2344</v>
      </c>
      <c r="I4122" s="96"/>
      <c r="K4122" t="str">
        <f t="shared" si="258"/>
        <v>2344</v>
      </c>
      <c r="M4122" s="72"/>
      <c r="O4122" s="96">
        <f t="shared" si="259"/>
        <v>2344</v>
      </c>
      <c r="T4122" s="110"/>
    </row>
    <row r="4123" spans="3:20" x14ac:dyDescent="0.2">
      <c r="C4123" s="96" t="str">
        <f t="shared" si="256"/>
        <v>2345</v>
      </c>
      <c r="D4123" s="73"/>
      <c r="E4123" s="100"/>
      <c r="F4123" s="101"/>
      <c r="G4123" s="96">
        <f t="shared" si="257"/>
        <v>2345</v>
      </c>
      <c r="I4123" s="96"/>
      <c r="K4123" t="str">
        <f t="shared" si="258"/>
        <v>2345</v>
      </c>
      <c r="M4123" s="72"/>
      <c r="O4123" s="96">
        <f t="shared" si="259"/>
        <v>2345</v>
      </c>
      <c r="T4123" s="110"/>
    </row>
    <row r="4124" spans="3:20" x14ac:dyDescent="0.2">
      <c r="C4124" s="96" t="str">
        <f t="shared" si="256"/>
        <v>2346</v>
      </c>
      <c r="D4124" s="73"/>
      <c r="E4124" s="100"/>
      <c r="F4124" s="101"/>
      <c r="G4124" s="96">
        <f t="shared" si="257"/>
        <v>2346</v>
      </c>
      <c r="I4124" s="96"/>
      <c r="K4124" t="str">
        <f t="shared" si="258"/>
        <v>2346</v>
      </c>
      <c r="M4124" s="72"/>
      <c r="O4124" s="96">
        <f t="shared" si="259"/>
        <v>2346</v>
      </c>
      <c r="T4124" s="110"/>
    </row>
    <row r="4125" spans="3:20" x14ac:dyDescent="0.2">
      <c r="C4125" s="96" t="str">
        <f t="shared" si="256"/>
        <v>2347</v>
      </c>
      <c r="D4125" s="73"/>
      <c r="E4125" s="100"/>
      <c r="F4125" s="101"/>
      <c r="G4125" s="96">
        <f t="shared" si="257"/>
        <v>2347</v>
      </c>
      <c r="I4125" s="96"/>
      <c r="K4125" t="str">
        <f t="shared" si="258"/>
        <v>2347</v>
      </c>
      <c r="M4125" s="72"/>
      <c r="O4125" s="96">
        <f t="shared" si="259"/>
        <v>2347</v>
      </c>
      <c r="T4125" s="110"/>
    </row>
    <row r="4126" spans="3:20" x14ac:dyDescent="0.2">
      <c r="C4126" s="96" t="str">
        <f t="shared" si="256"/>
        <v>2348</v>
      </c>
      <c r="D4126" s="73"/>
      <c r="E4126" s="100"/>
      <c r="F4126" s="101"/>
      <c r="G4126" s="96">
        <f t="shared" si="257"/>
        <v>2348</v>
      </c>
      <c r="I4126" s="96"/>
      <c r="K4126" t="str">
        <f t="shared" si="258"/>
        <v>2348</v>
      </c>
      <c r="M4126" s="72"/>
      <c r="O4126" s="96">
        <f t="shared" si="259"/>
        <v>2348</v>
      </c>
      <c r="T4126" s="110"/>
    </row>
    <row r="4127" spans="3:20" x14ac:dyDescent="0.2">
      <c r="C4127" s="96" t="str">
        <f t="shared" si="256"/>
        <v>2349</v>
      </c>
      <c r="D4127" s="73"/>
      <c r="E4127" s="100"/>
      <c r="F4127" s="101"/>
      <c r="G4127" s="96">
        <f t="shared" si="257"/>
        <v>2349</v>
      </c>
      <c r="I4127" s="96"/>
      <c r="K4127" t="str">
        <f t="shared" si="258"/>
        <v>2349</v>
      </c>
      <c r="M4127" s="72"/>
      <c r="O4127" s="96">
        <f t="shared" si="259"/>
        <v>2349</v>
      </c>
      <c r="T4127" s="110"/>
    </row>
    <row r="4128" spans="3:20" x14ac:dyDescent="0.2">
      <c r="C4128" s="96" t="str">
        <f t="shared" si="256"/>
        <v>2350</v>
      </c>
      <c r="D4128" s="73"/>
      <c r="E4128" s="100"/>
      <c r="F4128" s="101"/>
      <c r="G4128" s="96">
        <f t="shared" si="257"/>
        <v>2350</v>
      </c>
      <c r="I4128" s="96"/>
      <c r="K4128" t="str">
        <f t="shared" si="258"/>
        <v>2350</v>
      </c>
      <c r="M4128" s="72"/>
      <c r="O4128" s="96">
        <f t="shared" si="259"/>
        <v>2350</v>
      </c>
      <c r="T4128" s="110"/>
    </row>
    <row r="4129" spans="3:20" x14ac:dyDescent="0.2">
      <c r="C4129" s="96" t="str">
        <f t="shared" si="256"/>
        <v>2351</v>
      </c>
      <c r="D4129" s="73"/>
      <c r="E4129" s="100"/>
      <c r="F4129" s="101"/>
      <c r="G4129" s="96">
        <f t="shared" si="257"/>
        <v>2351</v>
      </c>
      <c r="I4129" s="96"/>
      <c r="K4129" t="str">
        <f t="shared" si="258"/>
        <v>2351</v>
      </c>
      <c r="M4129" s="72"/>
      <c r="O4129" s="96">
        <f t="shared" si="259"/>
        <v>2351</v>
      </c>
      <c r="T4129" s="110"/>
    </row>
    <row r="4130" spans="3:20" x14ac:dyDescent="0.2">
      <c r="C4130" s="96" t="str">
        <f t="shared" si="256"/>
        <v>2352</v>
      </c>
      <c r="D4130" s="73"/>
      <c r="E4130" s="100"/>
      <c r="F4130" s="101"/>
      <c r="G4130" s="96">
        <f t="shared" si="257"/>
        <v>2352</v>
      </c>
      <c r="I4130" s="96"/>
      <c r="K4130" t="str">
        <f t="shared" si="258"/>
        <v>2352</v>
      </c>
      <c r="M4130" s="72"/>
      <c r="O4130" s="96">
        <f t="shared" si="259"/>
        <v>2352</v>
      </c>
      <c r="T4130" s="110"/>
    </row>
    <row r="4131" spans="3:20" x14ac:dyDescent="0.2">
      <c r="C4131" s="96" t="str">
        <f t="shared" si="256"/>
        <v>2353</v>
      </c>
      <c r="D4131" s="73"/>
      <c r="E4131" s="100"/>
      <c r="F4131" s="101"/>
      <c r="G4131" s="96">
        <f t="shared" si="257"/>
        <v>2353</v>
      </c>
      <c r="I4131" s="96"/>
      <c r="K4131" t="str">
        <f t="shared" si="258"/>
        <v>2353</v>
      </c>
      <c r="M4131" s="72"/>
      <c r="O4131" s="96">
        <f t="shared" si="259"/>
        <v>2353</v>
      </c>
      <c r="T4131" s="110"/>
    </row>
    <row r="4132" spans="3:20" x14ac:dyDescent="0.2">
      <c r="C4132" s="96" t="str">
        <f t="shared" si="256"/>
        <v>2354</v>
      </c>
      <c r="D4132" s="73"/>
      <c r="E4132" s="100"/>
      <c r="F4132" s="101"/>
      <c r="G4132" s="96">
        <f t="shared" si="257"/>
        <v>2354</v>
      </c>
      <c r="I4132" s="96"/>
      <c r="K4132" t="str">
        <f t="shared" si="258"/>
        <v>2354</v>
      </c>
      <c r="M4132" s="72"/>
      <c r="O4132" s="96">
        <f t="shared" si="259"/>
        <v>2354</v>
      </c>
      <c r="T4132" s="110"/>
    </row>
    <row r="4133" spans="3:20" x14ac:dyDescent="0.2">
      <c r="C4133" s="96" t="str">
        <f t="shared" si="256"/>
        <v>2355</v>
      </c>
      <c r="D4133" s="73"/>
      <c r="E4133" s="100"/>
      <c r="F4133" s="101"/>
      <c r="G4133" s="96">
        <f t="shared" si="257"/>
        <v>2355</v>
      </c>
      <c r="I4133" s="96"/>
      <c r="K4133" t="str">
        <f t="shared" si="258"/>
        <v>2355</v>
      </c>
      <c r="M4133" s="72"/>
      <c r="O4133" s="96">
        <f t="shared" si="259"/>
        <v>2355</v>
      </c>
      <c r="T4133" s="110"/>
    </row>
    <row r="4134" spans="3:20" x14ac:dyDescent="0.2">
      <c r="C4134" s="96" t="str">
        <f t="shared" si="256"/>
        <v>2356</v>
      </c>
      <c r="D4134" s="73"/>
      <c r="E4134" s="100"/>
      <c r="F4134" s="101"/>
      <c r="G4134" s="96">
        <f t="shared" si="257"/>
        <v>2356</v>
      </c>
      <c r="I4134" s="96"/>
      <c r="K4134" t="str">
        <f t="shared" si="258"/>
        <v>2356</v>
      </c>
      <c r="M4134" s="72"/>
      <c r="O4134" s="96">
        <f t="shared" si="259"/>
        <v>2356</v>
      </c>
      <c r="T4134" s="110"/>
    </row>
    <row r="4135" spans="3:20" x14ac:dyDescent="0.2">
      <c r="C4135" s="96" t="str">
        <f t="shared" si="256"/>
        <v>2357</v>
      </c>
      <c r="D4135" s="73"/>
      <c r="E4135" s="100"/>
      <c r="F4135" s="101"/>
      <c r="G4135" s="96">
        <f t="shared" si="257"/>
        <v>2357</v>
      </c>
      <c r="I4135" s="96"/>
      <c r="K4135" t="str">
        <f t="shared" si="258"/>
        <v>2357</v>
      </c>
      <c r="M4135" s="72"/>
      <c r="O4135" s="96">
        <f t="shared" si="259"/>
        <v>2357</v>
      </c>
      <c r="T4135" s="110"/>
    </row>
    <row r="4136" spans="3:20" x14ac:dyDescent="0.2">
      <c r="C4136" s="96" t="str">
        <f t="shared" si="256"/>
        <v>2358</v>
      </c>
      <c r="D4136" s="73"/>
      <c r="E4136" s="100"/>
      <c r="F4136" s="101"/>
      <c r="G4136" s="96">
        <f t="shared" si="257"/>
        <v>2358</v>
      </c>
      <c r="I4136" s="96"/>
      <c r="K4136" t="str">
        <f t="shared" si="258"/>
        <v>2358</v>
      </c>
      <c r="M4136" s="72"/>
      <c r="O4136" s="96">
        <f t="shared" si="259"/>
        <v>2358</v>
      </c>
      <c r="T4136" s="110"/>
    </row>
    <row r="4137" spans="3:20" x14ac:dyDescent="0.2">
      <c r="C4137" s="96" t="str">
        <f t="shared" si="256"/>
        <v>2359</v>
      </c>
      <c r="D4137" s="73"/>
      <c r="E4137" s="100"/>
      <c r="F4137" s="101"/>
      <c r="G4137" s="96">
        <f t="shared" si="257"/>
        <v>2359</v>
      </c>
      <c r="I4137" s="96"/>
      <c r="K4137" t="str">
        <f t="shared" si="258"/>
        <v>2359</v>
      </c>
      <c r="M4137" s="72"/>
      <c r="O4137" s="96">
        <f t="shared" si="259"/>
        <v>2359</v>
      </c>
      <c r="T4137" s="110"/>
    </row>
    <row r="4138" spans="3:20" x14ac:dyDescent="0.2">
      <c r="C4138" s="96" t="str">
        <f t="shared" si="256"/>
        <v>2360</v>
      </c>
      <c r="D4138" s="73"/>
      <c r="E4138" s="100"/>
      <c r="F4138" s="101"/>
      <c r="G4138" s="96">
        <f t="shared" si="257"/>
        <v>2360</v>
      </c>
      <c r="I4138" s="96"/>
      <c r="K4138" t="str">
        <f t="shared" si="258"/>
        <v>2360</v>
      </c>
      <c r="M4138" s="72"/>
      <c r="O4138" s="96">
        <f t="shared" si="259"/>
        <v>2360</v>
      </c>
      <c r="T4138" s="110"/>
    </row>
    <row r="4139" spans="3:20" x14ac:dyDescent="0.2">
      <c r="C4139" s="96" t="str">
        <f t="shared" si="256"/>
        <v>2361</v>
      </c>
      <c r="D4139" s="73"/>
      <c r="E4139" s="100"/>
      <c r="F4139" s="101"/>
      <c r="G4139" s="96">
        <f t="shared" si="257"/>
        <v>2361</v>
      </c>
      <c r="I4139" s="96"/>
      <c r="K4139" t="str">
        <f t="shared" si="258"/>
        <v>2361</v>
      </c>
      <c r="M4139" s="72"/>
      <c r="O4139" s="96">
        <f t="shared" si="259"/>
        <v>2361</v>
      </c>
      <c r="T4139" s="110"/>
    </row>
    <row r="4140" spans="3:20" x14ac:dyDescent="0.2">
      <c r="C4140" s="96" t="str">
        <f t="shared" si="256"/>
        <v>2362</v>
      </c>
      <c r="D4140" s="73"/>
      <c r="E4140" s="100"/>
      <c r="F4140" s="101"/>
      <c r="G4140" s="96">
        <f t="shared" si="257"/>
        <v>2362</v>
      </c>
      <c r="I4140" s="96"/>
      <c r="K4140" t="str">
        <f t="shared" si="258"/>
        <v>2362</v>
      </c>
      <c r="M4140" s="72"/>
      <c r="O4140" s="96">
        <f t="shared" si="259"/>
        <v>2362</v>
      </c>
      <c r="T4140" s="110"/>
    </row>
    <row r="4141" spans="3:20" x14ac:dyDescent="0.2">
      <c r="C4141" s="96" t="str">
        <f t="shared" si="256"/>
        <v>2363</v>
      </c>
      <c r="D4141" s="73"/>
      <c r="E4141" s="100"/>
      <c r="F4141" s="101"/>
      <c r="G4141" s="96">
        <f t="shared" si="257"/>
        <v>2363</v>
      </c>
      <c r="I4141" s="96"/>
      <c r="K4141" t="str">
        <f t="shared" si="258"/>
        <v>2363</v>
      </c>
      <c r="M4141" s="72"/>
      <c r="O4141" s="96">
        <f t="shared" si="259"/>
        <v>2363</v>
      </c>
      <c r="T4141" s="110"/>
    </row>
    <row r="4142" spans="3:20" x14ac:dyDescent="0.2">
      <c r="C4142" s="96" t="str">
        <f t="shared" si="256"/>
        <v>2364</v>
      </c>
      <c r="D4142" s="73"/>
      <c r="E4142" s="100"/>
      <c r="F4142" s="101"/>
      <c r="G4142" s="96">
        <f t="shared" si="257"/>
        <v>2364</v>
      </c>
      <c r="I4142" s="96"/>
      <c r="K4142" t="str">
        <f t="shared" si="258"/>
        <v>2364</v>
      </c>
      <c r="M4142" s="72"/>
      <c r="O4142" s="96">
        <f t="shared" si="259"/>
        <v>2364</v>
      </c>
      <c r="T4142" s="110"/>
    </row>
    <row r="4143" spans="3:20" x14ac:dyDescent="0.2">
      <c r="C4143" s="96" t="str">
        <f t="shared" si="256"/>
        <v>2365</v>
      </c>
      <c r="D4143" s="73"/>
      <c r="E4143" s="100"/>
      <c r="F4143" s="101"/>
      <c r="G4143" s="96">
        <f t="shared" si="257"/>
        <v>2365</v>
      </c>
      <c r="I4143" s="96"/>
      <c r="K4143" t="str">
        <f t="shared" si="258"/>
        <v>2365</v>
      </c>
      <c r="M4143" s="72"/>
      <c r="O4143" s="96">
        <f t="shared" si="259"/>
        <v>2365</v>
      </c>
      <c r="T4143" s="110"/>
    </row>
    <row r="4144" spans="3:20" x14ac:dyDescent="0.2">
      <c r="C4144" s="96" t="str">
        <f t="shared" si="256"/>
        <v>2366</v>
      </c>
      <c r="D4144" s="73"/>
      <c r="E4144" s="100"/>
      <c r="F4144" s="101"/>
      <c r="G4144" s="96">
        <f t="shared" si="257"/>
        <v>2366</v>
      </c>
      <c r="I4144" s="96"/>
      <c r="K4144" t="str">
        <f t="shared" si="258"/>
        <v>2366</v>
      </c>
      <c r="M4144" s="72"/>
      <c r="O4144" s="96">
        <f t="shared" si="259"/>
        <v>2366</v>
      </c>
      <c r="T4144" s="110"/>
    </row>
    <row r="4145" spans="3:20" x14ac:dyDescent="0.2">
      <c r="C4145" s="96" t="str">
        <f t="shared" si="256"/>
        <v>2367</v>
      </c>
      <c r="D4145" s="73"/>
      <c r="E4145" s="100"/>
      <c r="F4145" s="101"/>
      <c r="G4145" s="96">
        <f t="shared" si="257"/>
        <v>2367</v>
      </c>
      <c r="I4145" s="96"/>
      <c r="K4145" t="str">
        <f t="shared" si="258"/>
        <v>2367</v>
      </c>
      <c r="M4145" s="72"/>
      <c r="O4145" s="96">
        <f t="shared" si="259"/>
        <v>2367</v>
      </c>
      <c r="T4145" s="110"/>
    </row>
    <row r="4146" spans="3:20" x14ac:dyDescent="0.2">
      <c r="C4146" s="96" t="str">
        <f t="shared" si="256"/>
        <v>2368</v>
      </c>
      <c r="D4146" s="73"/>
      <c r="E4146" s="100"/>
      <c r="F4146" s="101"/>
      <c r="G4146" s="96">
        <f t="shared" si="257"/>
        <v>2368</v>
      </c>
      <c r="I4146" s="96"/>
      <c r="K4146" t="str">
        <f t="shared" si="258"/>
        <v>2368</v>
      </c>
      <c r="M4146" s="72"/>
      <c r="O4146" s="96">
        <f t="shared" si="259"/>
        <v>2368</v>
      </c>
      <c r="T4146" s="110"/>
    </row>
    <row r="4147" spans="3:20" x14ac:dyDescent="0.2">
      <c r="C4147" s="96" t="str">
        <f t="shared" si="256"/>
        <v>2369</v>
      </c>
      <c r="D4147" s="73"/>
      <c r="E4147" s="100"/>
      <c r="F4147" s="101"/>
      <c r="G4147" s="96">
        <f t="shared" si="257"/>
        <v>2369</v>
      </c>
      <c r="I4147" s="96"/>
      <c r="K4147" t="str">
        <f t="shared" si="258"/>
        <v>2369</v>
      </c>
      <c r="M4147" s="72"/>
      <c r="O4147" s="96">
        <f t="shared" si="259"/>
        <v>2369</v>
      </c>
      <c r="T4147" s="110"/>
    </row>
    <row r="4148" spans="3:20" x14ac:dyDescent="0.2">
      <c r="C4148" s="96" t="str">
        <f t="shared" si="256"/>
        <v>2370</v>
      </c>
      <c r="D4148" s="73"/>
      <c r="E4148" s="100"/>
      <c r="F4148" s="101"/>
      <c r="G4148" s="96">
        <f t="shared" si="257"/>
        <v>2370</v>
      </c>
      <c r="I4148" s="96"/>
      <c r="K4148" t="str">
        <f t="shared" si="258"/>
        <v>2370</v>
      </c>
      <c r="M4148" s="72"/>
      <c r="O4148" s="96">
        <f t="shared" si="259"/>
        <v>2370</v>
      </c>
      <c r="T4148" s="110"/>
    </row>
    <row r="4149" spans="3:20" x14ac:dyDescent="0.2">
      <c r="C4149" s="96" t="str">
        <f t="shared" si="256"/>
        <v>2371</v>
      </c>
      <c r="D4149" s="73"/>
      <c r="E4149" s="100"/>
      <c r="F4149" s="101"/>
      <c r="G4149" s="96">
        <f t="shared" si="257"/>
        <v>2371</v>
      </c>
      <c r="I4149" s="96"/>
      <c r="K4149" t="str">
        <f t="shared" si="258"/>
        <v>2371</v>
      </c>
      <c r="M4149" s="72"/>
      <c r="O4149" s="96">
        <f t="shared" si="259"/>
        <v>2371</v>
      </c>
      <c r="T4149" s="110"/>
    </row>
    <row r="4150" spans="3:20" x14ac:dyDescent="0.2">
      <c r="C4150" s="96" t="str">
        <f t="shared" si="256"/>
        <v>2372</v>
      </c>
      <c r="D4150" s="73"/>
      <c r="E4150" s="100"/>
      <c r="F4150" s="101"/>
      <c r="G4150" s="96">
        <f t="shared" si="257"/>
        <v>2372</v>
      </c>
      <c r="I4150" s="96"/>
      <c r="K4150" t="str">
        <f t="shared" si="258"/>
        <v>2372</v>
      </c>
      <c r="M4150" s="72"/>
      <c r="O4150" s="96">
        <f t="shared" si="259"/>
        <v>2372</v>
      </c>
      <c r="T4150" s="110"/>
    </row>
    <row r="4151" spans="3:20" x14ac:dyDescent="0.2">
      <c r="C4151" s="96" t="str">
        <f t="shared" si="256"/>
        <v>2373</v>
      </c>
      <c r="D4151" s="73"/>
      <c r="E4151" s="100"/>
      <c r="F4151" s="101"/>
      <c r="G4151" s="96">
        <f t="shared" si="257"/>
        <v>2373</v>
      </c>
      <c r="I4151" s="96"/>
      <c r="K4151" t="str">
        <f t="shared" si="258"/>
        <v>2373</v>
      </c>
      <c r="M4151" s="72"/>
      <c r="O4151" s="96">
        <f t="shared" si="259"/>
        <v>2373</v>
      </c>
      <c r="T4151" s="110"/>
    </row>
    <row r="4152" spans="3:20" x14ac:dyDescent="0.2">
      <c r="C4152" s="96" t="str">
        <f t="shared" si="256"/>
        <v>2374</v>
      </c>
      <c r="D4152" s="73"/>
      <c r="E4152" s="100"/>
      <c r="F4152" s="101"/>
      <c r="G4152" s="96">
        <f t="shared" si="257"/>
        <v>2374</v>
      </c>
      <c r="I4152" s="96"/>
      <c r="K4152" t="str">
        <f t="shared" si="258"/>
        <v>2374</v>
      </c>
      <c r="M4152" s="72"/>
      <c r="O4152" s="96">
        <f t="shared" si="259"/>
        <v>2374</v>
      </c>
      <c r="T4152" s="110"/>
    </row>
    <row r="4153" spans="3:20" x14ac:dyDescent="0.2">
      <c r="C4153" s="96" t="str">
        <f t="shared" si="256"/>
        <v>2375</v>
      </c>
      <c r="D4153" s="73"/>
      <c r="E4153" s="100"/>
      <c r="F4153" s="101"/>
      <c r="G4153" s="96">
        <f t="shared" si="257"/>
        <v>2375</v>
      </c>
      <c r="I4153" s="96"/>
      <c r="K4153" t="str">
        <f t="shared" si="258"/>
        <v>2375</v>
      </c>
      <c r="M4153" s="72"/>
      <c r="O4153" s="96">
        <f t="shared" si="259"/>
        <v>2375</v>
      </c>
      <c r="T4153" s="110"/>
    </row>
    <row r="4154" spans="3:20" x14ac:dyDescent="0.2">
      <c r="C4154" s="96" t="str">
        <f t="shared" si="256"/>
        <v>2376</v>
      </c>
      <c r="D4154" s="73"/>
      <c r="E4154" s="100"/>
      <c r="F4154" s="101"/>
      <c r="G4154" s="96">
        <f t="shared" si="257"/>
        <v>2376</v>
      </c>
      <c r="I4154" s="96"/>
      <c r="K4154" t="str">
        <f t="shared" si="258"/>
        <v>2376</v>
      </c>
      <c r="M4154" s="72"/>
      <c r="O4154" s="96">
        <f t="shared" si="259"/>
        <v>2376</v>
      </c>
      <c r="T4154" s="110"/>
    </row>
    <row r="4155" spans="3:20" x14ac:dyDescent="0.2">
      <c r="C4155" s="96" t="str">
        <f t="shared" si="256"/>
        <v>2377</v>
      </c>
      <c r="D4155" s="73"/>
      <c r="E4155" s="100"/>
      <c r="F4155" s="101"/>
      <c r="G4155" s="96">
        <f t="shared" si="257"/>
        <v>2377</v>
      </c>
      <c r="I4155" s="96"/>
      <c r="K4155" t="str">
        <f t="shared" si="258"/>
        <v>2377</v>
      </c>
      <c r="M4155" s="72"/>
      <c r="O4155" s="96">
        <f t="shared" si="259"/>
        <v>2377</v>
      </c>
      <c r="T4155" s="110"/>
    </row>
    <row r="4156" spans="3:20" x14ac:dyDescent="0.2">
      <c r="C4156" s="96" t="str">
        <f t="shared" si="256"/>
        <v>2378</v>
      </c>
      <c r="D4156" s="73"/>
      <c r="E4156" s="100"/>
      <c r="F4156" s="101"/>
      <c r="G4156" s="96">
        <f t="shared" si="257"/>
        <v>2378</v>
      </c>
      <c r="I4156" s="96"/>
      <c r="K4156" t="str">
        <f t="shared" si="258"/>
        <v>2378</v>
      </c>
      <c r="M4156" s="72"/>
      <c r="O4156" s="96">
        <f t="shared" si="259"/>
        <v>2378</v>
      </c>
      <c r="T4156" s="110"/>
    </row>
    <row r="4157" spans="3:20" x14ac:dyDescent="0.2">
      <c r="C4157" s="96" t="str">
        <f t="shared" si="256"/>
        <v>2379</v>
      </c>
      <c r="D4157" s="73"/>
      <c r="E4157" s="100"/>
      <c r="F4157" s="101"/>
      <c r="G4157" s="96">
        <f t="shared" si="257"/>
        <v>2379</v>
      </c>
      <c r="I4157" s="96"/>
      <c r="K4157" t="str">
        <f t="shared" si="258"/>
        <v>2379</v>
      </c>
      <c r="M4157" s="72"/>
      <c r="O4157" s="96">
        <f t="shared" si="259"/>
        <v>2379</v>
      </c>
      <c r="T4157" s="110"/>
    </row>
    <row r="4158" spans="3:20" x14ac:dyDescent="0.2">
      <c r="C4158" s="96" t="str">
        <f t="shared" si="256"/>
        <v>2380</v>
      </c>
      <c r="D4158" s="73"/>
      <c r="E4158" s="100"/>
      <c r="F4158" s="101"/>
      <c r="G4158" s="96">
        <f t="shared" si="257"/>
        <v>2380</v>
      </c>
      <c r="I4158" s="96"/>
      <c r="K4158" t="str">
        <f t="shared" si="258"/>
        <v>2380</v>
      </c>
      <c r="M4158" s="72"/>
      <c r="O4158" s="96">
        <f t="shared" si="259"/>
        <v>2380</v>
      </c>
      <c r="T4158" s="110"/>
    </row>
    <row r="4159" spans="3:20" x14ac:dyDescent="0.2">
      <c r="C4159" s="96" t="str">
        <f t="shared" si="256"/>
        <v>2381</v>
      </c>
      <c r="D4159" s="73"/>
      <c r="E4159" s="100"/>
      <c r="F4159" s="101"/>
      <c r="G4159" s="96">
        <f t="shared" si="257"/>
        <v>2381</v>
      </c>
      <c r="I4159" s="96"/>
      <c r="K4159" t="str">
        <f t="shared" si="258"/>
        <v>2381</v>
      </c>
      <c r="M4159" s="72"/>
      <c r="O4159" s="96">
        <f t="shared" si="259"/>
        <v>2381</v>
      </c>
    </row>
    <row r="4160" spans="3:20" x14ac:dyDescent="0.2">
      <c r="C4160" s="96" t="str">
        <f t="shared" si="256"/>
        <v>2382</v>
      </c>
      <c r="D4160" s="73"/>
      <c r="E4160" s="100"/>
      <c r="F4160" s="101"/>
      <c r="G4160" s="96">
        <f t="shared" si="257"/>
        <v>2382</v>
      </c>
      <c r="I4160" s="96"/>
      <c r="K4160" t="str">
        <f t="shared" si="258"/>
        <v>2382</v>
      </c>
      <c r="M4160" s="72"/>
      <c r="O4160" s="96">
        <f t="shared" si="259"/>
        <v>2382</v>
      </c>
      <c r="T4160" s="110"/>
    </row>
    <row r="4161" spans="3:20" x14ac:dyDescent="0.2">
      <c r="C4161" s="96" t="str">
        <f t="shared" si="256"/>
        <v>2383</v>
      </c>
      <c r="D4161" s="73"/>
      <c r="E4161" s="100"/>
      <c r="F4161" s="101"/>
      <c r="G4161" s="96">
        <f t="shared" si="257"/>
        <v>2383</v>
      </c>
      <c r="I4161" s="96"/>
      <c r="K4161" t="str">
        <f t="shared" si="258"/>
        <v>2383</v>
      </c>
      <c r="M4161" s="72"/>
      <c r="O4161" s="96">
        <f t="shared" si="259"/>
        <v>2383</v>
      </c>
      <c r="T4161" s="110"/>
    </row>
    <row r="4162" spans="3:20" x14ac:dyDescent="0.2">
      <c r="C4162" s="96" t="str">
        <f t="shared" si="256"/>
        <v>2384</v>
      </c>
      <c r="D4162" s="73"/>
      <c r="E4162" s="100"/>
      <c r="F4162" s="101"/>
      <c r="G4162" s="96">
        <f t="shared" si="257"/>
        <v>2384</v>
      </c>
      <c r="I4162" s="96"/>
      <c r="K4162" t="str">
        <f t="shared" si="258"/>
        <v>2384</v>
      </c>
      <c r="M4162" s="72"/>
      <c r="O4162" s="96">
        <f t="shared" si="259"/>
        <v>2384</v>
      </c>
      <c r="T4162" s="110"/>
    </row>
    <row r="4163" spans="3:20" x14ac:dyDescent="0.2">
      <c r="C4163" s="96" t="str">
        <f t="shared" ref="C4163:C4226" si="260">D4163&amp;G4163</f>
        <v>2385</v>
      </c>
      <c r="D4163" s="73"/>
      <c r="E4163" s="100"/>
      <c r="F4163" s="101"/>
      <c r="G4163" s="96">
        <f t="shared" ref="G4163:G4226" si="261">IF(D4163&lt;&gt;D4162,1,G4162+1)</f>
        <v>2385</v>
      </c>
      <c r="I4163" s="96"/>
      <c r="K4163" t="str">
        <f t="shared" ref="K4163:K4226" si="262">L4163&amp;O4163</f>
        <v>2385</v>
      </c>
      <c r="M4163" s="72"/>
      <c r="O4163" s="96">
        <f t="shared" ref="O4163:O4226" si="263">IF(L4163&lt;&gt;L4162,1,O4162+1)</f>
        <v>2385</v>
      </c>
      <c r="T4163" s="110"/>
    </row>
    <row r="4164" spans="3:20" x14ac:dyDescent="0.2">
      <c r="C4164" s="96" t="str">
        <f t="shared" si="260"/>
        <v>2386</v>
      </c>
      <c r="D4164" s="73"/>
      <c r="E4164" s="100"/>
      <c r="F4164" s="101"/>
      <c r="G4164" s="96">
        <f t="shared" si="261"/>
        <v>2386</v>
      </c>
      <c r="I4164" s="96"/>
      <c r="K4164" t="str">
        <f t="shared" si="262"/>
        <v>2386</v>
      </c>
      <c r="M4164" s="72"/>
      <c r="O4164" s="96">
        <f t="shared" si="263"/>
        <v>2386</v>
      </c>
      <c r="T4164" s="110"/>
    </row>
    <row r="4165" spans="3:20" x14ac:dyDescent="0.2">
      <c r="C4165" s="96" t="str">
        <f t="shared" si="260"/>
        <v>2387</v>
      </c>
      <c r="D4165" s="73"/>
      <c r="E4165" s="100"/>
      <c r="F4165" s="101"/>
      <c r="G4165" s="96">
        <f t="shared" si="261"/>
        <v>2387</v>
      </c>
      <c r="I4165" s="96"/>
      <c r="K4165" t="str">
        <f t="shared" si="262"/>
        <v>2387</v>
      </c>
      <c r="M4165" s="72"/>
      <c r="O4165" s="96">
        <f t="shared" si="263"/>
        <v>2387</v>
      </c>
      <c r="T4165" s="110"/>
    </row>
    <row r="4166" spans="3:20" x14ac:dyDescent="0.2">
      <c r="C4166" s="96" t="str">
        <f t="shared" si="260"/>
        <v>2388</v>
      </c>
      <c r="D4166" s="73"/>
      <c r="E4166" s="100"/>
      <c r="F4166" s="101"/>
      <c r="G4166" s="96">
        <f t="shared" si="261"/>
        <v>2388</v>
      </c>
      <c r="I4166" s="96"/>
      <c r="K4166" t="str">
        <f t="shared" si="262"/>
        <v>2388</v>
      </c>
      <c r="M4166" s="72"/>
      <c r="O4166" s="96">
        <f t="shared" si="263"/>
        <v>2388</v>
      </c>
      <c r="T4166" s="110"/>
    </row>
    <row r="4167" spans="3:20" x14ac:dyDescent="0.2">
      <c r="C4167" s="96" t="str">
        <f t="shared" si="260"/>
        <v>2389</v>
      </c>
      <c r="D4167" s="73"/>
      <c r="E4167" s="100"/>
      <c r="F4167" s="101"/>
      <c r="G4167" s="96">
        <f t="shared" si="261"/>
        <v>2389</v>
      </c>
      <c r="I4167" s="96"/>
      <c r="K4167" t="str">
        <f t="shared" si="262"/>
        <v>2389</v>
      </c>
      <c r="M4167" s="72"/>
      <c r="O4167" s="96">
        <f t="shared" si="263"/>
        <v>2389</v>
      </c>
      <c r="T4167" s="110"/>
    </row>
    <row r="4168" spans="3:20" x14ac:dyDescent="0.2">
      <c r="C4168" s="96" t="str">
        <f t="shared" si="260"/>
        <v>2390</v>
      </c>
      <c r="D4168" s="73"/>
      <c r="E4168" s="100"/>
      <c r="F4168" s="101"/>
      <c r="G4168" s="96">
        <f t="shared" si="261"/>
        <v>2390</v>
      </c>
      <c r="I4168" s="96"/>
      <c r="K4168" t="str">
        <f t="shared" si="262"/>
        <v>2390</v>
      </c>
      <c r="M4168" s="72"/>
      <c r="O4168" s="96">
        <f t="shared" si="263"/>
        <v>2390</v>
      </c>
      <c r="T4168" s="110"/>
    </row>
    <row r="4169" spans="3:20" x14ac:dyDescent="0.2">
      <c r="C4169" s="96" t="str">
        <f t="shared" si="260"/>
        <v>2391</v>
      </c>
      <c r="D4169" s="73"/>
      <c r="E4169" s="100"/>
      <c r="F4169" s="101"/>
      <c r="G4169" s="96">
        <f t="shared" si="261"/>
        <v>2391</v>
      </c>
      <c r="I4169" s="96"/>
      <c r="K4169" t="str">
        <f t="shared" si="262"/>
        <v>2391</v>
      </c>
      <c r="M4169" s="72"/>
      <c r="O4169" s="96">
        <f t="shared" si="263"/>
        <v>2391</v>
      </c>
      <c r="T4169" s="110"/>
    </row>
    <row r="4170" spans="3:20" x14ac:dyDescent="0.2">
      <c r="C4170" s="96" t="str">
        <f t="shared" si="260"/>
        <v>2392</v>
      </c>
      <c r="D4170" s="73"/>
      <c r="E4170" s="100"/>
      <c r="F4170" s="101"/>
      <c r="G4170" s="96">
        <f t="shared" si="261"/>
        <v>2392</v>
      </c>
      <c r="I4170" s="96"/>
      <c r="K4170" t="str">
        <f t="shared" si="262"/>
        <v>2392</v>
      </c>
      <c r="M4170" s="72"/>
      <c r="O4170" s="96">
        <f t="shared" si="263"/>
        <v>2392</v>
      </c>
      <c r="T4170" s="110"/>
    </row>
    <row r="4171" spans="3:20" x14ac:dyDescent="0.2">
      <c r="C4171" s="96" t="str">
        <f t="shared" si="260"/>
        <v>2393</v>
      </c>
      <c r="D4171" s="73"/>
      <c r="E4171" s="100"/>
      <c r="F4171" s="101"/>
      <c r="G4171" s="96">
        <f t="shared" si="261"/>
        <v>2393</v>
      </c>
      <c r="I4171" s="96"/>
      <c r="K4171" t="str">
        <f t="shared" si="262"/>
        <v>2393</v>
      </c>
      <c r="M4171" s="72"/>
      <c r="O4171" s="96">
        <f t="shared" si="263"/>
        <v>2393</v>
      </c>
      <c r="T4171" s="110"/>
    </row>
    <row r="4172" spans="3:20" x14ac:dyDescent="0.2">
      <c r="C4172" s="96" t="str">
        <f t="shared" si="260"/>
        <v>2394</v>
      </c>
      <c r="D4172" s="73"/>
      <c r="E4172" s="100"/>
      <c r="F4172" s="101"/>
      <c r="G4172" s="96">
        <f t="shared" si="261"/>
        <v>2394</v>
      </c>
      <c r="I4172" s="96"/>
      <c r="K4172" t="str">
        <f t="shared" si="262"/>
        <v>2394</v>
      </c>
      <c r="M4172" s="72"/>
      <c r="O4172" s="96">
        <f t="shared" si="263"/>
        <v>2394</v>
      </c>
      <c r="T4172" s="110"/>
    </row>
    <row r="4173" spans="3:20" x14ac:dyDescent="0.2">
      <c r="C4173" s="96" t="str">
        <f t="shared" si="260"/>
        <v>2395</v>
      </c>
      <c r="D4173" s="73"/>
      <c r="E4173" s="100"/>
      <c r="F4173" s="101"/>
      <c r="G4173" s="96">
        <f t="shared" si="261"/>
        <v>2395</v>
      </c>
      <c r="I4173" s="96"/>
      <c r="K4173" t="str">
        <f t="shared" si="262"/>
        <v>2395</v>
      </c>
      <c r="M4173" s="72"/>
      <c r="O4173" s="96">
        <f t="shared" si="263"/>
        <v>2395</v>
      </c>
      <c r="T4173" s="110"/>
    </row>
    <row r="4174" spans="3:20" x14ac:dyDescent="0.2">
      <c r="C4174" s="96" t="str">
        <f t="shared" si="260"/>
        <v>2396</v>
      </c>
      <c r="D4174" s="73"/>
      <c r="E4174" s="100"/>
      <c r="F4174" s="101"/>
      <c r="G4174" s="96">
        <f t="shared" si="261"/>
        <v>2396</v>
      </c>
      <c r="I4174" s="96"/>
      <c r="K4174" t="str">
        <f t="shared" si="262"/>
        <v>2396</v>
      </c>
      <c r="M4174" s="72"/>
      <c r="O4174" s="96">
        <f t="shared" si="263"/>
        <v>2396</v>
      </c>
      <c r="T4174" s="110"/>
    </row>
    <row r="4175" spans="3:20" x14ac:dyDescent="0.2">
      <c r="C4175" s="96" t="str">
        <f t="shared" si="260"/>
        <v>2397</v>
      </c>
      <c r="D4175" s="73"/>
      <c r="E4175" s="100"/>
      <c r="F4175" s="101"/>
      <c r="G4175" s="96">
        <f t="shared" si="261"/>
        <v>2397</v>
      </c>
      <c r="I4175" s="96"/>
      <c r="K4175" t="str">
        <f t="shared" si="262"/>
        <v>2397</v>
      </c>
      <c r="M4175" s="72"/>
      <c r="O4175" s="96">
        <f t="shared" si="263"/>
        <v>2397</v>
      </c>
      <c r="T4175" s="110"/>
    </row>
    <row r="4176" spans="3:20" x14ac:dyDescent="0.2">
      <c r="C4176" s="96" t="str">
        <f t="shared" si="260"/>
        <v>2398</v>
      </c>
      <c r="D4176" s="73"/>
      <c r="E4176" s="100"/>
      <c r="F4176" s="101"/>
      <c r="G4176" s="96">
        <f t="shared" si="261"/>
        <v>2398</v>
      </c>
      <c r="I4176" s="96"/>
      <c r="K4176" t="str">
        <f t="shared" si="262"/>
        <v>2398</v>
      </c>
      <c r="M4176" s="72"/>
      <c r="O4176" s="96">
        <f t="shared" si="263"/>
        <v>2398</v>
      </c>
      <c r="T4176" s="110"/>
    </row>
    <row r="4177" spans="3:20" x14ac:dyDescent="0.2">
      <c r="C4177" s="96" t="str">
        <f t="shared" si="260"/>
        <v>2399</v>
      </c>
      <c r="D4177" s="73"/>
      <c r="E4177" s="100"/>
      <c r="F4177" s="101"/>
      <c r="G4177" s="96">
        <f t="shared" si="261"/>
        <v>2399</v>
      </c>
      <c r="I4177" s="96"/>
      <c r="K4177" t="str">
        <f t="shared" si="262"/>
        <v>2399</v>
      </c>
      <c r="M4177" s="72"/>
      <c r="O4177" s="96">
        <f t="shared" si="263"/>
        <v>2399</v>
      </c>
      <c r="T4177" s="110"/>
    </row>
    <row r="4178" spans="3:20" x14ac:dyDescent="0.2">
      <c r="C4178" s="96" t="str">
        <f t="shared" si="260"/>
        <v>2400</v>
      </c>
      <c r="D4178" s="73"/>
      <c r="E4178" s="100"/>
      <c r="F4178" s="101"/>
      <c r="G4178" s="96">
        <f t="shared" si="261"/>
        <v>2400</v>
      </c>
      <c r="I4178" s="96"/>
      <c r="K4178" t="str">
        <f t="shared" si="262"/>
        <v>2400</v>
      </c>
      <c r="M4178" s="72"/>
      <c r="O4178" s="96">
        <f t="shared" si="263"/>
        <v>2400</v>
      </c>
      <c r="T4178" s="110"/>
    </row>
    <row r="4179" spans="3:20" x14ac:dyDescent="0.2">
      <c r="C4179" s="96" t="str">
        <f t="shared" si="260"/>
        <v>2401</v>
      </c>
      <c r="D4179" s="73"/>
      <c r="E4179" s="100"/>
      <c r="F4179" s="101"/>
      <c r="G4179" s="96">
        <f t="shared" si="261"/>
        <v>2401</v>
      </c>
      <c r="I4179" s="96"/>
      <c r="K4179" t="str">
        <f t="shared" si="262"/>
        <v>2401</v>
      </c>
      <c r="M4179" s="72"/>
      <c r="O4179" s="96">
        <f t="shared" si="263"/>
        <v>2401</v>
      </c>
      <c r="T4179" s="110"/>
    </row>
    <row r="4180" spans="3:20" x14ac:dyDescent="0.2">
      <c r="C4180" s="96" t="str">
        <f t="shared" si="260"/>
        <v>2402</v>
      </c>
      <c r="D4180" s="73"/>
      <c r="E4180" s="100"/>
      <c r="F4180" s="101"/>
      <c r="G4180" s="96">
        <f t="shared" si="261"/>
        <v>2402</v>
      </c>
      <c r="I4180" s="96"/>
      <c r="K4180" t="str">
        <f t="shared" si="262"/>
        <v>2402</v>
      </c>
      <c r="M4180" s="72"/>
      <c r="O4180" s="96">
        <f t="shared" si="263"/>
        <v>2402</v>
      </c>
      <c r="T4180" s="110"/>
    </row>
    <row r="4181" spans="3:20" x14ac:dyDescent="0.2">
      <c r="C4181" s="96" t="str">
        <f t="shared" si="260"/>
        <v>2403</v>
      </c>
      <c r="D4181" s="73"/>
      <c r="E4181" s="100"/>
      <c r="F4181" s="101"/>
      <c r="G4181" s="96">
        <f t="shared" si="261"/>
        <v>2403</v>
      </c>
      <c r="I4181" s="96"/>
      <c r="K4181" t="str">
        <f t="shared" si="262"/>
        <v>2403</v>
      </c>
      <c r="M4181" s="72"/>
      <c r="O4181" s="96">
        <f t="shared" si="263"/>
        <v>2403</v>
      </c>
      <c r="T4181" s="110"/>
    </row>
    <row r="4182" spans="3:20" x14ac:dyDescent="0.2">
      <c r="C4182" s="96" t="str">
        <f t="shared" si="260"/>
        <v>2404</v>
      </c>
      <c r="D4182" s="73"/>
      <c r="E4182" s="100"/>
      <c r="F4182" s="101"/>
      <c r="G4182" s="96">
        <f t="shared" si="261"/>
        <v>2404</v>
      </c>
      <c r="I4182" s="96"/>
      <c r="K4182" t="str">
        <f t="shared" si="262"/>
        <v>2404</v>
      </c>
      <c r="M4182" s="72"/>
      <c r="O4182" s="96">
        <f t="shared" si="263"/>
        <v>2404</v>
      </c>
      <c r="T4182" s="110"/>
    </row>
    <row r="4183" spans="3:20" x14ac:dyDescent="0.2">
      <c r="C4183" s="96" t="str">
        <f t="shared" si="260"/>
        <v>2405</v>
      </c>
      <c r="D4183" s="73"/>
      <c r="E4183" s="100"/>
      <c r="F4183" s="101"/>
      <c r="G4183" s="96">
        <f t="shared" si="261"/>
        <v>2405</v>
      </c>
      <c r="I4183" s="96"/>
      <c r="K4183" t="str">
        <f t="shared" si="262"/>
        <v>2405</v>
      </c>
      <c r="M4183" s="72"/>
      <c r="O4183" s="96">
        <f t="shared" si="263"/>
        <v>2405</v>
      </c>
      <c r="T4183" s="110"/>
    </row>
    <row r="4184" spans="3:20" x14ac:dyDescent="0.2">
      <c r="C4184" s="96" t="str">
        <f t="shared" si="260"/>
        <v>2406</v>
      </c>
      <c r="D4184" s="73"/>
      <c r="E4184" s="100"/>
      <c r="F4184" s="101"/>
      <c r="G4184" s="96">
        <f t="shared" si="261"/>
        <v>2406</v>
      </c>
      <c r="I4184" s="96"/>
      <c r="K4184" t="str">
        <f t="shared" si="262"/>
        <v>2406</v>
      </c>
      <c r="M4184" s="72"/>
      <c r="O4184" s="96">
        <f t="shared" si="263"/>
        <v>2406</v>
      </c>
      <c r="T4184" s="110"/>
    </row>
    <row r="4185" spans="3:20" x14ac:dyDescent="0.2">
      <c r="C4185" s="96" t="str">
        <f t="shared" si="260"/>
        <v>2407</v>
      </c>
      <c r="D4185" s="73"/>
      <c r="E4185" s="100"/>
      <c r="F4185" s="101"/>
      <c r="G4185" s="96">
        <f t="shared" si="261"/>
        <v>2407</v>
      </c>
      <c r="I4185" s="96"/>
      <c r="K4185" t="str">
        <f t="shared" si="262"/>
        <v>2407</v>
      </c>
      <c r="M4185" s="72"/>
      <c r="O4185" s="96">
        <f t="shared" si="263"/>
        <v>2407</v>
      </c>
      <c r="T4185" s="110"/>
    </row>
    <row r="4186" spans="3:20" x14ac:dyDescent="0.2">
      <c r="C4186" s="96" t="str">
        <f t="shared" si="260"/>
        <v>2408</v>
      </c>
      <c r="D4186" s="73"/>
      <c r="E4186" s="100"/>
      <c r="F4186" s="101"/>
      <c r="G4186" s="96">
        <f t="shared" si="261"/>
        <v>2408</v>
      </c>
      <c r="I4186" s="96"/>
      <c r="K4186" t="str">
        <f t="shared" si="262"/>
        <v>2408</v>
      </c>
      <c r="M4186" s="72"/>
      <c r="O4186" s="96">
        <f t="shared" si="263"/>
        <v>2408</v>
      </c>
      <c r="T4186" s="110"/>
    </row>
    <row r="4187" spans="3:20" x14ac:dyDescent="0.2">
      <c r="C4187" s="96" t="str">
        <f t="shared" si="260"/>
        <v>2409</v>
      </c>
      <c r="D4187" s="73"/>
      <c r="E4187" s="100"/>
      <c r="F4187" s="101"/>
      <c r="G4187" s="96">
        <f t="shared" si="261"/>
        <v>2409</v>
      </c>
      <c r="I4187" s="96"/>
      <c r="K4187" t="str">
        <f t="shared" si="262"/>
        <v>2409</v>
      </c>
      <c r="M4187" s="72"/>
      <c r="O4187" s="96">
        <f t="shared" si="263"/>
        <v>2409</v>
      </c>
      <c r="T4187" s="110"/>
    </row>
    <row r="4188" spans="3:20" x14ac:dyDescent="0.2">
      <c r="C4188" s="96" t="str">
        <f t="shared" si="260"/>
        <v>2410</v>
      </c>
      <c r="D4188" s="73"/>
      <c r="E4188" s="100"/>
      <c r="F4188" s="101"/>
      <c r="G4188" s="96">
        <f t="shared" si="261"/>
        <v>2410</v>
      </c>
      <c r="I4188" s="96"/>
      <c r="K4188" t="str">
        <f t="shared" si="262"/>
        <v>2410</v>
      </c>
      <c r="M4188" s="72"/>
      <c r="O4188" s="96">
        <f t="shared" si="263"/>
        <v>2410</v>
      </c>
      <c r="T4188" s="110"/>
    </row>
    <row r="4189" spans="3:20" x14ac:dyDescent="0.2">
      <c r="C4189" s="96" t="str">
        <f t="shared" si="260"/>
        <v>2411</v>
      </c>
      <c r="D4189" s="73"/>
      <c r="E4189" s="100"/>
      <c r="F4189" s="101"/>
      <c r="G4189" s="96">
        <f t="shared" si="261"/>
        <v>2411</v>
      </c>
      <c r="I4189" s="96"/>
      <c r="K4189" t="str">
        <f t="shared" si="262"/>
        <v>2411</v>
      </c>
      <c r="M4189" s="72"/>
      <c r="O4189" s="96">
        <f t="shared" si="263"/>
        <v>2411</v>
      </c>
      <c r="T4189" s="110"/>
    </row>
    <row r="4190" spans="3:20" x14ac:dyDescent="0.2">
      <c r="C4190" s="96" t="str">
        <f t="shared" si="260"/>
        <v>2412</v>
      </c>
      <c r="D4190" s="73"/>
      <c r="E4190" s="100"/>
      <c r="F4190" s="101"/>
      <c r="G4190" s="96">
        <f t="shared" si="261"/>
        <v>2412</v>
      </c>
      <c r="I4190" s="96"/>
      <c r="K4190" t="str">
        <f t="shared" si="262"/>
        <v>2412</v>
      </c>
      <c r="M4190" s="72"/>
      <c r="O4190" s="96">
        <f t="shared" si="263"/>
        <v>2412</v>
      </c>
      <c r="T4190" s="110"/>
    </row>
    <row r="4191" spans="3:20" x14ac:dyDescent="0.2">
      <c r="C4191" s="96" t="str">
        <f t="shared" si="260"/>
        <v>2413</v>
      </c>
      <c r="D4191" s="73"/>
      <c r="E4191" s="100"/>
      <c r="F4191" s="101"/>
      <c r="G4191" s="96">
        <f t="shared" si="261"/>
        <v>2413</v>
      </c>
      <c r="I4191" s="96"/>
      <c r="K4191" t="str">
        <f t="shared" si="262"/>
        <v>2413</v>
      </c>
      <c r="M4191" s="72"/>
      <c r="O4191" s="96">
        <f t="shared" si="263"/>
        <v>2413</v>
      </c>
      <c r="T4191" s="110"/>
    </row>
    <row r="4192" spans="3:20" x14ac:dyDescent="0.2">
      <c r="C4192" s="96" t="str">
        <f t="shared" si="260"/>
        <v>2414</v>
      </c>
      <c r="D4192" s="73"/>
      <c r="E4192" s="100"/>
      <c r="F4192" s="101"/>
      <c r="G4192" s="96">
        <f t="shared" si="261"/>
        <v>2414</v>
      </c>
      <c r="I4192" s="96"/>
      <c r="K4192" t="str">
        <f t="shared" si="262"/>
        <v>2414</v>
      </c>
      <c r="M4192" s="72"/>
      <c r="O4192" s="96">
        <f t="shared" si="263"/>
        <v>2414</v>
      </c>
      <c r="T4192" s="110"/>
    </row>
    <row r="4193" spans="3:20" x14ac:dyDescent="0.2">
      <c r="C4193" s="96" t="str">
        <f t="shared" si="260"/>
        <v>2415</v>
      </c>
      <c r="D4193" s="73"/>
      <c r="E4193" s="100"/>
      <c r="F4193" s="101"/>
      <c r="G4193" s="96">
        <f t="shared" si="261"/>
        <v>2415</v>
      </c>
      <c r="I4193" s="96"/>
      <c r="K4193" t="str">
        <f t="shared" si="262"/>
        <v>2415</v>
      </c>
      <c r="M4193" s="72"/>
      <c r="O4193" s="96">
        <f t="shared" si="263"/>
        <v>2415</v>
      </c>
      <c r="T4193" s="110"/>
    </row>
    <row r="4194" spans="3:20" x14ac:dyDescent="0.2">
      <c r="C4194" s="96" t="str">
        <f t="shared" si="260"/>
        <v>2416</v>
      </c>
      <c r="D4194" s="73"/>
      <c r="E4194" s="100"/>
      <c r="F4194" s="101"/>
      <c r="G4194" s="96">
        <f t="shared" si="261"/>
        <v>2416</v>
      </c>
      <c r="I4194" s="96"/>
      <c r="K4194" t="str">
        <f t="shared" si="262"/>
        <v>2416</v>
      </c>
      <c r="M4194" s="72"/>
      <c r="O4194" s="96">
        <f t="shared" si="263"/>
        <v>2416</v>
      </c>
      <c r="T4194" s="110"/>
    </row>
    <row r="4195" spans="3:20" x14ac:dyDescent="0.2">
      <c r="C4195" s="96" t="str">
        <f t="shared" si="260"/>
        <v>2417</v>
      </c>
      <c r="D4195" s="73"/>
      <c r="E4195" s="100"/>
      <c r="F4195" s="101"/>
      <c r="G4195" s="96">
        <f t="shared" si="261"/>
        <v>2417</v>
      </c>
      <c r="I4195" s="96"/>
      <c r="K4195" t="str">
        <f t="shared" si="262"/>
        <v>2417</v>
      </c>
      <c r="M4195" s="72"/>
      <c r="O4195" s="96">
        <f t="shared" si="263"/>
        <v>2417</v>
      </c>
      <c r="T4195" s="110"/>
    </row>
    <row r="4196" spans="3:20" x14ac:dyDescent="0.2">
      <c r="C4196" s="96" t="str">
        <f t="shared" si="260"/>
        <v>2418</v>
      </c>
      <c r="D4196" s="73"/>
      <c r="E4196" s="100"/>
      <c r="F4196" s="101"/>
      <c r="G4196" s="96">
        <f t="shared" si="261"/>
        <v>2418</v>
      </c>
      <c r="I4196" s="96"/>
      <c r="K4196" t="str">
        <f t="shared" si="262"/>
        <v>2418</v>
      </c>
      <c r="M4196" s="72"/>
      <c r="O4196" s="96">
        <f t="shared" si="263"/>
        <v>2418</v>
      </c>
      <c r="T4196" s="110"/>
    </row>
    <row r="4197" spans="3:20" x14ac:dyDescent="0.2">
      <c r="C4197" s="96" t="str">
        <f t="shared" si="260"/>
        <v>2419</v>
      </c>
      <c r="D4197" s="73"/>
      <c r="E4197" s="100"/>
      <c r="F4197" s="101"/>
      <c r="G4197" s="96">
        <f t="shared" si="261"/>
        <v>2419</v>
      </c>
      <c r="I4197" s="96"/>
      <c r="K4197" t="str">
        <f t="shared" si="262"/>
        <v>2419</v>
      </c>
      <c r="M4197" s="72"/>
      <c r="O4197" s="96">
        <f t="shared" si="263"/>
        <v>2419</v>
      </c>
      <c r="T4197" s="110"/>
    </row>
    <row r="4198" spans="3:20" x14ac:dyDescent="0.2">
      <c r="C4198" s="96" t="str">
        <f t="shared" si="260"/>
        <v>2420</v>
      </c>
      <c r="D4198" s="73"/>
      <c r="E4198" s="100"/>
      <c r="F4198" s="101"/>
      <c r="G4198" s="96">
        <f t="shared" si="261"/>
        <v>2420</v>
      </c>
      <c r="I4198" s="96"/>
      <c r="K4198" t="str">
        <f t="shared" si="262"/>
        <v>2420</v>
      </c>
      <c r="M4198" s="72"/>
      <c r="O4198" s="96">
        <f t="shared" si="263"/>
        <v>2420</v>
      </c>
      <c r="T4198" s="110"/>
    </row>
    <row r="4199" spans="3:20" x14ac:dyDescent="0.2">
      <c r="C4199" s="96" t="str">
        <f t="shared" si="260"/>
        <v>2421</v>
      </c>
      <c r="D4199" s="73"/>
      <c r="E4199" s="100"/>
      <c r="F4199" s="101"/>
      <c r="G4199" s="96">
        <f t="shared" si="261"/>
        <v>2421</v>
      </c>
      <c r="I4199" s="96"/>
      <c r="K4199" t="str">
        <f t="shared" si="262"/>
        <v>2421</v>
      </c>
      <c r="M4199" s="72"/>
      <c r="O4199" s="96">
        <f t="shared" si="263"/>
        <v>2421</v>
      </c>
      <c r="T4199" s="110"/>
    </row>
    <row r="4200" spans="3:20" x14ac:dyDescent="0.2">
      <c r="C4200" s="96" t="str">
        <f t="shared" si="260"/>
        <v>2422</v>
      </c>
      <c r="D4200" s="73"/>
      <c r="E4200" s="100"/>
      <c r="F4200" s="101"/>
      <c r="G4200" s="96">
        <f t="shared" si="261"/>
        <v>2422</v>
      </c>
      <c r="I4200" s="96"/>
      <c r="K4200" t="str">
        <f t="shared" si="262"/>
        <v>2422</v>
      </c>
      <c r="M4200" s="72"/>
      <c r="O4200" s="96">
        <f t="shared" si="263"/>
        <v>2422</v>
      </c>
      <c r="T4200" s="110"/>
    </row>
    <row r="4201" spans="3:20" x14ac:dyDescent="0.2">
      <c r="C4201" s="96" t="str">
        <f t="shared" si="260"/>
        <v>2423</v>
      </c>
      <c r="D4201" s="73"/>
      <c r="E4201" s="100"/>
      <c r="F4201" s="101"/>
      <c r="G4201" s="96">
        <f t="shared" si="261"/>
        <v>2423</v>
      </c>
      <c r="I4201" s="96"/>
      <c r="K4201" t="str">
        <f t="shared" si="262"/>
        <v>2423</v>
      </c>
      <c r="M4201" s="72"/>
      <c r="O4201" s="96">
        <f t="shared" si="263"/>
        <v>2423</v>
      </c>
      <c r="T4201" s="110"/>
    </row>
    <row r="4202" spans="3:20" x14ac:dyDescent="0.2">
      <c r="C4202" s="96" t="str">
        <f t="shared" si="260"/>
        <v>2424</v>
      </c>
      <c r="D4202" s="73"/>
      <c r="E4202" s="100"/>
      <c r="F4202" s="101"/>
      <c r="G4202" s="96">
        <f t="shared" si="261"/>
        <v>2424</v>
      </c>
      <c r="I4202" s="96"/>
      <c r="K4202" t="str">
        <f t="shared" si="262"/>
        <v>2424</v>
      </c>
      <c r="M4202" s="72"/>
      <c r="O4202" s="96">
        <f t="shared" si="263"/>
        <v>2424</v>
      </c>
      <c r="T4202" s="110"/>
    </row>
    <row r="4203" spans="3:20" x14ac:dyDescent="0.2">
      <c r="C4203" s="96" t="str">
        <f t="shared" si="260"/>
        <v>2425</v>
      </c>
      <c r="D4203" s="73"/>
      <c r="E4203" s="100"/>
      <c r="F4203" s="101"/>
      <c r="G4203" s="96">
        <f t="shared" si="261"/>
        <v>2425</v>
      </c>
      <c r="I4203" s="96"/>
      <c r="K4203" t="str">
        <f t="shared" si="262"/>
        <v>2425</v>
      </c>
      <c r="M4203" s="72"/>
      <c r="O4203" s="96">
        <f t="shared" si="263"/>
        <v>2425</v>
      </c>
      <c r="T4203" s="110"/>
    </row>
    <row r="4204" spans="3:20" x14ac:dyDescent="0.2">
      <c r="C4204" s="96" t="str">
        <f t="shared" si="260"/>
        <v>2426</v>
      </c>
      <c r="D4204" s="73"/>
      <c r="E4204" s="100"/>
      <c r="F4204" s="101"/>
      <c r="G4204" s="96">
        <f t="shared" si="261"/>
        <v>2426</v>
      </c>
      <c r="I4204" s="96"/>
      <c r="K4204" t="str">
        <f t="shared" si="262"/>
        <v>2426</v>
      </c>
      <c r="M4204" s="72"/>
      <c r="O4204" s="96">
        <f t="shared" si="263"/>
        <v>2426</v>
      </c>
      <c r="T4204" s="110"/>
    </row>
    <row r="4205" spans="3:20" x14ac:dyDescent="0.2">
      <c r="C4205" s="96" t="str">
        <f t="shared" si="260"/>
        <v>2427</v>
      </c>
      <c r="D4205" s="73"/>
      <c r="E4205" s="100"/>
      <c r="F4205" s="101"/>
      <c r="G4205" s="96">
        <f t="shared" si="261"/>
        <v>2427</v>
      </c>
      <c r="I4205" s="96"/>
      <c r="K4205" t="str">
        <f t="shared" si="262"/>
        <v>2427</v>
      </c>
      <c r="M4205" s="72"/>
      <c r="O4205" s="96">
        <f t="shared" si="263"/>
        <v>2427</v>
      </c>
      <c r="T4205" s="110"/>
    </row>
    <row r="4206" spans="3:20" x14ac:dyDescent="0.2">
      <c r="C4206" s="96" t="str">
        <f t="shared" si="260"/>
        <v>2428</v>
      </c>
      <c r="D4206" s="73"/>
      <c r="E4206" s="100"/>
      <c r="F4206" s="101"/>
      <c r="G4206" s="96">
        <f t="shared" si="261"/>
        <v>2428</v>
      </c>
      <c r="I4206" s="96"/>
      <c r="K4206" t="str">
        <f t="shared" si="262"/>
        <v>2428</v>
      </c>
      <c r="M4206" s="72"/>
      <c r="O4206" s="96">
        <f t="shared" si="263"/>
        <v>2428</v>
      </c>
      <c r="T4206" s="110"/>
    </row>
    <row r="4207" spans="3:20" x14ac:dyDescent="0.2">
      <c r="C4207" s="96" t="str">
        <f t="shared" si="260"/>
        <v>2429</v>
      </c>
      <c r="D4207" s="73"/>
      <c r="E4207" s="100"/>
      <c r="F4207" s="101"/>
      <c r="G4207" s="96">
        <f t="shared" si="261"/>
        <v>2429</v>
      </c>
      <c r="I4207" s="96"/>
      <c r="K4207" t="str">
        <f t="shared" si="262"/>
        <v>2429</v>
      </c>
      <c r="M4207" s="72"/>
      <c r="O4207" s="96">
        <f t="shared" si="263"/>
        <v>2429</v>
      </c>
      <c r="T4207" s="110"/>
    </row>
    <row r="4208" spans="3:20" x14ac:dyDescent="0.2">
      <c r="C4208" s="96" t="str">
        <f t="shared" si="260"/>
        <v>2430</v>
      </c>
      <c r="D4208" s="73"/>
      <c r="E4208" s="100"/>
      <c r="F4208" s="101"/>
      <c r="G4208" s="96">
        <f t="shared" si="261"/>
        <v>2430</v>
      </c>
      <c r="I4208" s="96"/>
      <c r="K4208" t="str">
        <f t="shared" si="262"/>
        <v>2430</v>
      </c>
      <c r="M4208" s="72"/>
      <c r="O4208" s="96">
        <f t="shared" si="263"/>
        <v>2430</v>
      </c>
      <c r="T4208" s="110"/>
    </row>
    <row r="4209" spans="3:20" x14ac:dyDescent="0.2">
      <c r="C4209" s="96" t="str">
        <f t="shared" si="260"/>
        <v>2431</v>
      </c>
      <c r="D4209" s="73"/>
      <c r="E4209" s="100"/>
      <c r="F4209" s="101"/>
      <c r="G4209" s="96">
        <f t="shared" si="261"/>
        <v>2431</v>
      </c>
      <c r="I4209" s="96"/>
      <c r="K4209" t="str">
        <f t="shared" si="262"/>
        <v>2431</v>
      </c>
      <c r="M4209" s="72"/>
      <c r="O4209" s="96">
        <f t="shared" si="263"/>
        <v>2431</v>
      </c>
      <c r="T4209" s="110"/>
    </row>
    <row r="4210" spans="3:20" x14ac:dyDescent="0.2">
      <c r="C4210" s="96" t="str">
        <f t="shared" si="260"/>
        <v>2432</v>
      </c>
      <c r="D4210" s="73"/>
      <c r="E4210" s="100"/>
      <c r="F4210" s="101"/>
      <c r="G4210" s="96">
        <f t="shared" si="261"/>
        <v>2432</v>
      </c>
      <c r="I4210" s="96"/>
      <c r="K4210" t="str">
        <f t="shared" si="262"/>
        <v>2432</v>
      </c>
      <c r="M4210" s="72"/>
      <c r="O4210" s="96">
        <f t="shared" si="263"/>
        <v>2432</v>
      </c>
      <c r="T4210" s="110"/>
    </row>
    <row r="4211" spans="3:20" x14ac:dyDescent="0.2">
      <c r="C4211" s="96" t="str">
        <f t="shared" si="260"/>
        <v>2433</v>
      </c>
      <c r="D4211" s="73"/>
      <c r="E4211" s="100"/>
      <c r="F4211" s="101"/>
      <c r="G4211" s="96">
        <f t="shared" si="261"/>
        <v>2433</v>
      </c>
      <c r="I4211" s="96"/>
      <c r="K4211" t="str">
        <f t="shared" si="262"/>
        <v>2433</v>
      </c>
      <c r="M4211" s="72"/>
      <c r="O4211" s="96">
        <f t="shared" si="263"/>
        <v>2433</v>
      </c>
      <c r="T4211" s="110"/>
    </row>
    <row r="4212" spans="3:20" x14ac:dyDescent="0.2">
      <c r="C4212" s="96" t="str">
        <f t="shared" si="260"/>
        <v>2434</v>
      </c>
      <c r="D4212" s="73"/>
      <c r="E4212" s="100"/>
      <c r="F4212" s="101"/>
      <c r="G4212" s="96">
        <f t="shared" si="261"/>
        <v>2434</v>
      </c>
      <c r="I4212" s="96"/>
      <c r="K4212" t="str">
        <f t="shared" si="262"/>
        <v>2434</v>
      </c>
      <c r="M4212" s="72"/>
      <c r="O4212" s="96">
        <f t="shared" si="263"/>
        <v>2434</v>
      </c>
      <c r="T4212" s="110"/>
    </row>
    <row r="4213" spans="3:20" x14ac:dyDescent="0.2">
      <c r="C4213" s="96" t="str">
        <f t="shared" si="260"/>
        <v>2435</v>
      </c>
      <c r="D4213" s="73"/>
      <c r="E4213" s="100"/>
      <c r="F4213" s="101"/>
      <c r="G4213" s="96">
        <f t="shared" si="261"/>
        <v>2435</v>
      </c>
      <c r="I4213" s="96"/>
      <c r="K4213" t="str">
        <f t="shared" si="262"/>
        <v>2435</v>
      </c>
      <c r="M4213" s="72"/>
      <c r="O4213" s="96">
        <f t="shared" si="263"/>
        <v>2435</v>
      </c>
      <c r="T4213" s="110"/>
    </row>
    <row r="4214" spans="3:20" x14ac:dyDescent="0.2">
      <c r="C4214" s="96" t="str">
        <f t="shared" si="260"/>
        <v>2436</v>
      </c>
      <c r="D4214" s="73"/>
      <c r="E4214" s="100"/>
      <c r="F4214" s="101"/>
      <c r="G4214" s="96">
        <f t="shared" si="261"/>
        <v>2436</v>
      </c>
      <c r="I4214" s="96"/>
      <c r="K4214" t="str">
        <f t="shared" si="262"/>
        <v>2436</v>
      </c>
      <c r="M4214" s="72"/>
      <c r="O4214" s="96">
        <f t="shared" si="263"/>
        <v>2436</v>
      </c>
      <c r="T4214" s="110"/>
    </row>
    <row r="4215" spans="3:20" x14ac:dyDescent="0.2">
      <c r="C4215" s="96" t="str">
        <f t="shared" si="260"/>
        <v>2437</v>
      </c>
      <c r="D4215" s="73"/>
      <c r="E4215" s="100"/>
      <c r="F4215" s="101"/>
      <c r="G4215" s="96">
        <f t="shared" si="261"/>
        <v>2437</v>
      </c>
      <c r="I4215" s="96"/>
      <c r="K4215" t="str">
        <f t="shared" si="262"/>
        <v>2437</v>
      </c>
      <c r="M4215" s="72"/>
      <c r="O4215" s="96">
        <f t="shared" si="263"/>
        <v>2437</v>
      </c>
      <c r="T4215" s="110"/>
    </row>
    <row r="4216" spans="3:20" x14ac:dyDescent="0.2">
      <c r="C4216" s="96" t="str">
        <f t="shared" si="260"/>
        <v>2438</v>
      </c>
      <c r="D4216" s="73"/>
      <c r="E4216" s="100"/>
      <c r="F4216" s="101"/>
      <c r="G4216" s="96">
        <f t="shared" si="261"/>
        <v>2438</v>
      </c>
      <c r="I4216" s="96"/>
      <c r="K4216" t="str">
        <f t="shared" si="262"/>
        <v>2438</v>
      </c>
      <c r="M4216" s="72"/>
      <c r="O4216" s="96">
        <f t="shared" si="263"/>
        <v>2438</v>
      </c>
      <c r="T4216" s="110"/>
    </row>
    <row r="4217" spans="3:20" x14ac:dyDescent="0.2">
      <c r="C4217" s="96" t="str">
        <f t="shared" si="260"/>
        <v>2439</v>
      </c>
      <c r="D4217" s="73"/>
      <c r="E4217" s="100"/>
      <c r="F4217" s="101"/>
      <c r="G4217" s="96">
        <f t="shared" si="261"/>
        <v>2439</v>
      </c>
      <c r="I4217" s="96"/>
      <c r="K4217" t="str">
        <f t="shared" si="262"/>
        <v>2439</v>
      </c>
      <c r="M4217" s="72"/>
      <c r="O4217" s="96">
        <f t="shared" si="263"/>
        <v>2439</v>
      </c>
      <c r="T4217" s="110"/>
    </row>
    <row r="4218" spans="3:20" x14ac:dyDescent="0.2">
      <c r="C4218" s="96" t="str">
        <f t="shared" si="260"/>
        <v>2440</v>
      </c>
      <c r="D4218" s="73"/>
      <c r="E4218" s="100"/>
      <c r="F4218" s="101"/>
      <c r="G4218" s="96">
        <f t="shared" si="261"/>
        <v>2440</v>
      </c>
      <c r="I4218" s="96"/>
      <c r="K4218" t="str">
        <f t="shared" si="262"/>
        <v>2440</v>
      </c>
      <c r="M4218" s="72"/>
      <c r="O4218" s="96">
        <f t="shared" si="263"/>
        <v>2440</v>
      </c>
      <c r="T4218" s="110"/>
    </row>
    <row r="4219" spans="3:20" x14ac:dyDescent="0.2">
      <c r="C4219" s="96" t="str">
        <f t="shared" si="260"/>
        <v>2441</v>
      </c>
      <c r="D4219" s="73"/>
      <c r="E4219" s="100"/>
      <c r="F4219" s="101"/>
      <c r="G4219" s="96">
        <f t="shared" si="261"/>
        <v>2441</v>
      </c>
      <c r="I4219" s="96"/>
      <c r="K4219" t="str">
        <f t="shared" si="262"/>
        <v>2441</v>
      </c>
      <c r="M4219" s="72"/>
      <c r="O4219" s="96">
        <f t="shared" si="263"/>
        <v>2441</v>
      </c>
      <c r="T4219" s="110"/>
    </row>
    <row r="4220" spans="3:20" x14ac:dyDescent="0.2">
      <c r="C4220" s="96" t="str">
        <f t="shared" si="260"/>
        <v>2442</v>
      </c>
      <c r="D4220" s="73"/>
      <c r="E4220" s="100"/>
      <c r="F4220" s="101"/>
      <c r="G4220" s="96">
        <f t="shared" si="261"/>
        <v>2442</v>
      </c>
      <c r="I4220" s="96"/>
      <c r="K4220" t="str">
        <f t="shared" si="262"/>
        <v>2442</v>
      </c>
      <c r="M4220" s="72"/>
      <c r="O4220" s="96">
        <f t="shared" si="263"/>
        <v>2442</v>
      </c>
      <c r="T4220" s="110"/>
    </row>
    <row r="4221" spans="3:20" x14ac:dyDescent="0.2">
      <c r="C4221" s="96" t="str">
        <f t="shared" si="260"/>
        <v>2443</v>
      </c>
      <c r="D4221" s="73"/>
      <c r="E4221" s="100"/>
      <c r="F4221" s="101"/>
      <c r="G4221" s="96">
        <f t="shared" si="261"/>
        <v>2443</v>
      </c>
      <c r="I4221" s="96"/>
      <c r="K4221" t="str">
        <f t="shared" si="262"/>
        <v>2443</v>
      </c>
      <c r="M4221" s="72"/>
      <c r="O4221" s="96">
        <f t="shared" si="263"/>
        <v>2443</v>
      </c>
      <c r="T4221" s="110"/>
    </row>
    <row r="4222" spans="3:20" x14ac:dyDescent="0.2">
      <c r="C4222" s="96" t="str">
        <f t="shared" si="260"/>
        <v>2444</v>
      </c>
      <c r="D4222" s="73"/>
      <c r="E4222" s="100"/>
      <c r="F4222" s="101"/>
      <c r="G4222" s="96">
        <f t="shared" si="261"/>
        <v>2444</v>
      </c>
      <c r="I4222" s="96"/>
      <c r="K4222" t="str">
        <f t="shared" si="262"/>
        <v>2444</v>
      </c>
      <c r="M4222" s="72"/>
      <c r="O4222" s="96">
        <f t="shared" si="263"/>
        <v>2444</v>
      </c>
      <c r="T4222" s="110"/>
    </row>
    <row r="4223" spans="3:20" x14ac:dyDescent="0.2">
      <c r="C4223" s="96" t="str">
        <f t="shared" si="260"/>
        <v>2445</v>
      </c>
      <c r="D4223" s="73"/>
      <c r="E4223" s="100"/>
      <c r="F4223" s="101"/>
      <c r="G4223" s="96">
        <f t="shared" si="261"/>
        <v>2445</v>
      </c>
      <c r="I4223" s="96"/>
      <c r="K4223" t="str">
        <f t="shared" si="262"/>
        <v>2445</v>
      </c>
      <c r="M4223" s="72"/>
      <c r="O4223" s="96">
        <f t="shared" si="263"/>
        <v>2445</v>
      </c>
      <c r="T4223" s="110"/>
    </row>
    <row r="4224" spans="3:20" x14ac:dyDescent="0.2">
      <c r="C4224" s="96" t="str">
        <f t="shared" si="260"/>
        <v>2446</v>
      </c>
      <c r="D4224" s="73"/>
      <c r="E4224" s="100"/>
      <c r="F4224" s="101"/>
      <c r="G4224" s="96">
        <f t="shared" si="261"/>
        <v>2446</v>
      </c>
      <c r="I4224" s="96"/>
      <c r="K4224" t="str">
        <f t="shared" si="262"/>
        <v>2446</v>
      </c>
      <c r="M4224" s="72"/>
      <c r="O4224" s="96">
        <f t="shared" si="263"/>
        <v>2446</v>
      </c>
      <c r="T4224" s="110"/>
    </row>
    <row r="4225" spans="3:20" x14ac:dyDescent="0.2">
      <c r="C4225" s="96" t="str">
        <f t="shared" si="260"/>
        <v>2447</v>
      </c>
      <c r="D4225" s="73"/>
      <c r="E4225" s="100"/>
      <c r="F4225" s="101"/>
      <c r="G4225" s="96">
        <f t="shared" si="261"/>
        <v>2447</v>
      </c>
      <c r="I4225" s="96"/>
      <c r="K4225" t="str">
        <f t="shared" si="262"/>
        <v>2447</v>
      </c>
      <c r="M4225" s="72"/>
      <c r="O4225" s="96">
        <f t="shared" si="263"/>
        <v>2447</v>
      </c>
      <c r="T4225" s="110"/>
    </row>
    <row r="4226" spans="3:20" x14ac:dyDescent="0.2">
      <c r="C4226" s="96" t="str">
        <f t="shared" si="260"/>
        <v>2448</v>
      </c>
      <c r="D4226" s="73"/>
      <c r="E4226" s="100"/>
      <c r="F4226" s="101"/>
      <c r="G4226" s="96">
        <f t="shared" si="261"/>
        <v>2448</v>
      </c>
      <c r="I4226" s="96"/>
      <c r="K4226" t="str">
        <f t="shared" si="262"/>
        <v>2448</v>
      </c>
      <c r="M4226" s="72"/>
      <c r="O4226" s="96">
        <f t="shared" si="263"/>
        <v>2448</v>
      </c>
      <c r="T4226" s="110"/>
    </row>
    <row r="4227" spans="3:20" x14ac:dyDescent="0.2">
      <c r="C4227" s="96" t="str">
        <f t="shared" ref="C4227:C4290" si="264">D4227&amp;G4227</f>
        <v>2449</v>
      </c>
      <c r="D4227" s="73"/>
      <c r="E4227" s="100"/>
      <c r="F4227" s="101"/>
      <c r="G4227" s="96">
        <f t="shared" ref="G4227:G4290" si="265">IF(D4227&lt;&gt;D4226,1,G4226+1)</f>
        <v>2449</v>
      </c>
      <c r="I4227" s="96"/>
      <c r="K4227" t="str">
        <f t="shared" ref="K4227:K4290" si="266">L4227&amp;O4227</f>
        <v>2449</v>
      </c>
      <c r="M4227" s="72"/>
      <c r="O4227" s="96">
        <f t="shared" ref="O4227:O4290" si="267">IF(L4227&lt;&gt;L4226,1,O4226+1)</f>
        <v>2449</v>
      </c>
      <c r="T4227" s="110"/>
    </row>
    <row r="4228" spans="3:20" x14ac:dyDescent="0.2">
      <c r="C4228" s="96" t="str">
        <f t="shared" si="264"/>
        <v>2450</v>
      </c>
      <c r="D4228" s="73"/>
      <c r="E4228" s="100"/>
      <c r="F4228" s="101"/>
      <c r="G4228" s="96">
        <f t="shared" si="265"/>
        <v>2450</v>
      </c>
      <c r="I4228" s="96"/>
      <c r="K4228" t="str">
        <f t="shared" si="266"/>
        <v>2450</v>
      </c>
      <c r="M4228" s="72"/>
      <c r="O4228" s="96">
        <f t="shared" si="267"/>
        <v>2450</v>
      </c>
      <c r="T4228" s="110"/>
    </row>
    <row r="4229" spans="3:20" x14ac:dyDescent="0.2">
      <c r="C4229" s="96" t="str">
        <f t="shared" si="264"/>
        <v>2451</v>
      </c>
      <c r="D4229" s="73"/>
      <c r="E4229" s="100"/>
      <c r="F4229" s="101"/>
      <c r="G4229" s="96">
        <f t="shared" si="265"/>
        <v>2451</v>
      </c>
      <c r="I4229" s="96"/>
      <c r="K4229" t="str">
        <f t="shared" si="266"/>
        <v>2451</v>
      </c>
      <c r="M4229" s="72"/>
      <c r="O4229" s="96">
        <f t="shared" si="267"/>
        <v>2451</v>
      </c>
      <c r="T4229" s="110"/>
    </row>
    <row r="4230" spans="3:20" x14ac:dyDescent="0.2">
      <c r="C4230" s="96" t="str">
        <f t="shared" si="264"/>
        <v>2452</v>
      </c>
      <c r="D4230" s="73"/>
      <c r="E4230" s="100"/>
      <c r="F4230" s="101"/>
      <c r="G4230" s="96">
        <f t="shared" si="265"/>
        <v>2452</v>
      </c>
      <c r="I4230" s="96"/>
      <c r="K4230" t="str">
        <f t="shared" si="266"/>
        <v>2452</v>
      </c>
      <c r="M4230" s="72"/>
      <c r="O4230" s="96">
        <f t="shared" si="267"/>
        <v>2452</v>
      </c>
      <c r="T4230" s="110"/>
    </row>
    <row r="4231" spans="3:20" x14ac:dyDescent="0.2">
      <c r="C4231" s="96" t="str">
        <f t="shared" si="264"/>
        <v>2453</v>
      </c>
      <c r="D4231" s="73"/>
      <c r="E4231" s="100"/>
      <c r="F4231" s="101"/>
      <c r="G4231" s="96">
        <f t="shared" si="265"/>
        <v>2453</v>
      </c>
      <c r="I4231" s="96"/>
      <c r="K4231" t="str">
        <f t="shared" si="266"/>
        <v>2453</v>
      </c>
      <c r="M4231" s="72"/>
      <c r="O4231" s="96">
        <f t="shared" si="267"/>
        <v>2453</v>
      </c>
      <c r="T4231" s="110"/>
    </row>
    <row r="4232" spans="3:20" x14ac:dyDescent="0.2">
      <c r="C4232" s="96" t="str">
        <f t="shared" si="264"/>
        <v>2454</v>
      </c>
      <c r="D4232" s="73"/>
      <c r="E4232" s="100"/>
      <c r="F4232" s="101"/>
      <c r="G4232" s="96">
        <f t="shared" si="265"/>
        <v>2454</v>
      </c>
      <c r="I4232" s="96"/>
      <c r="K4232" t="str">
        <f t="shared" si="266"/>
        <v>2454</v>
      </c>
      <c r="M4232" s="72"/>
      <c r="O4232" s="96">
        <f t="shared" si="267"/>
        <v>2454</v>
      </c>
      <c r="T4232" s="110"/>
    </row>
    <row r="4233" spans="3:20" x14ac:dyDescent="0.2">
      <c r="C4233" s="96" t="str">
        <f t="shared" si="264"/>
        <v>2455</v>
      </c>
      <c r="D4233" s="73"/>
      <c r="E4233" s="100"/>
      <c r="F4233" s="101"/>
      <c r="G4233" s="96">
        <f t="shared" si="265"/>
        <v>2455</v>
      </c>
      <c r="I4233" s="96"/>
      <c r="K4233" t="str">
        <f t="shared" si="266"/>
        <v>2455</v>
      </c>
      <c r="M4233" s="72"/>
      <c r="O4233" s="96">
        <f t="shared" si="267"/>
        <v>2455</v>
      </c>
      <c r="T4233" s="110"/>
    </row>
    <row r="4234" spans="3:20" x14ac:dyDescent="0.2">
      <c r="C4234" s="96" t="str">
        <f t="shared" si="264"/>
        <v>2456</v>
      </c>
      <c r="D4234" s="73"/>
      <c r="E4234" s="100"/>
      <c r="F4234" s="101"/>
      <c r="G4234" s="96">
        <f t="shared" si="265"/>
        <v>2456</v>
      </c>
      <c r="I4234" s="96"/>
      <c r="K4234" t="str">
        <f t="shared" si="266"/>
        <v>2456</v>
      </c>
      <c r="M4234" s="72"/>
      <c r="O4234" s="96">
        <f t="shared" si="267"/>
        <v>2456</v>
      </c>
      <c r="T4234" s="110"/>
    </row>
    <row r="4235" spans="3:20" x14ac:dyDescent="0.2">
      <c r="C4235" s="96" t="str">
        <f t="shared" si="264"/>
        <v>2457</v>
      </c>
      <c r="D4235" s="73"/>
      <c r="E4235" s="100"/>
      <c r="F4235" s="101"/>
      <c r="G4235" s="96">
        <f t="shared" si="265"/>
        <v>2457</v>
      </c>
      <c r="I4235" s="96"/>
      <c r="K4235" t="str">
        <f t="shared" si="266"/>
        <v>2457</v>
      </c>
      <c r="M4235" s="72"/>
      <c r="O4235" s="96">
        <f t="shared" si="267"/>
        <v>2457</v>
      </c>
      <c r="T4235" s="110"/>
    </row>
    <row r="4236" spans="3:20" x14ac:dyDescent="0.2">
      <c r="C4236" s="96" t="str">
        <f t="shared" si="264"/>
        <v>2458</v>
      </c>
      <c r="D4236" s="73"/>
      <c r="E4236" s="100"/>
      <c r="F4236" s="101"/>
      <c r="G4236" s="96">
        <f t="shared" si="265"/>
        <v>2458</v>
      </c>
      <c r="I4236" s="96"/>
      <c r="K4236" t="str">
        <f t="shared" si="266"/>
        <v>2458</v>
      </c>
      <c r="M4236" s="72"/>
      <c r="O4236" s="96">
        <f t="shared" si="267"/>
        <v>2458</v>
      </c>
      <c r="T4236" s="110"/>
    </row>
    <row r="4237" spans="3:20" x14ac:dyDescent="0.2">
      <c r="C4237" s="96" t="str">
        <f t="shared" si="264"/>
        <v>2459</v>
      </c>
      <c r="D4237" s="73"/>
      <c r="E4237" s="100"/>
      <c r="F4237" s="101"/>
      <c r="G4237" s="96">
        <f t="shared" si="265"/>
        <v>2459</v>
      </c>
      <c r="I4237" s="96"/>
      <c r="K4237" t="str">
        <f t="shared" si="266"/>
        <v>2459</v>
      </c>
      <c r="M4237" s="72"/>
      <c r="O4237" s="96">
        <f t="shared" si="267"/>
        <v>2459</v>
      </c>
      <c r="T4237" s="110"/>
    </row>
    <row r="4238" spans="3:20" x14ac:dyDescent="0.2">
      <c r="C4238" s="96" t="str">
        <f t="shared" si="264"/>
        <v>2460</v>
      </c>
      <c r="D4238" s="73"/>
      <c r="E4238" s="100"/>
      <c r="F4238" s="101"/>
      <c r="G4238" s="96">
        <f t="shared" si="265"/>
        <v>2460</v>
      </c>
      <c r="I4238" s="96"/>
      <c r="K4238" t="str">
        <f t="shared" si="266"/>
        <v>2460</v>
      </c>
      <c r="M4238" s="72"/>
      <c r="O4238" s="96">
        <f t="shared" si="267"/>
        <v>2460</v>
      </c>
    </row>
    <row r="4239" spans="3:20" x14ac:dyDescent="0.2">
      <c r="C4239" s="96" t="str">
        <f t="shared" si="264"/>
        <v>2461</v>
      </c>
      <c r="D4239" s="73"/>
      <c r="E4239" s="100"/>
      <c r="F4239" s="101"/>
      <c r="G4239" s="96">
        <f t="shared" si="265"/>
        <v>2461</v>
      </c>
      <c r="I4239" s="96"/>
      <c r="K4239" t="str">
        <f t="shared" si="266"/>
        <v>2461</v>
      </c>
      <c r="M4239" s="72"/>
      <c r="O4239" s="96">
        <f t="shared" si="267"/>
        <v>2461</v>
      </c>
    </row>
    <row r="4240" spans="3:20" x14ac:dyDescent="0.2">
      <c r="C4240" s="96" t="str">
        <f t="shared" si="264"/>
        <v>2462</v>
      </c>
      <c r="D4240" s="73"/>
      <c r="E4240" s="100"/>
      <c r="F4240" s="101"/>
      <c r="G4240" s="96">
        <f t="shared" si="265"/>
        <v>2462</v>
      </c>
      <c r="I4240" s="96"/>
      <c r="K4240" t="str">
        <f t="shared" si="266"/>
        <v>2462</v>
      </c>
      <c r="M4240" s="72"/>
      <c r="O4240" s="96">
        <f t="shared" si="267"/>
        <v>2462</v>
      </c>
      <c r="T4240" s="110"/>
    </row>
    <row r="4241" spans="3:20" x14ac:dyDescent="0.2">
      <c r="C4241" s="96" t="str">
        <f t="shared" si="264"/>
        <v>2463</v>
      </c>
      <c r="D4241" s="73"/>
      <c r="E4241" s="100"/>
      <c r="F4241" s="101"/>
      <c r="G4241" s="96">
        <f t="shared" si="265"/>
        <v>2463</v>
      </c>
      <c r="I4241" s="96"/>
      <c r="K4241" t="str">
        <f t="shared" si="266"/>
        <v>2463</v>
      </c>
      <c r="M4241" s="72"/>
      <c r="O4241" s="96">
        <f t="shared" si="267"/>
        <v>2463</v>
      </c>
      <c r="T4241" s="110"/>
    </row>
    <row r="4242" spans="3:20" x14ac:dyDescent="0.2">
      <c r="C4242" s="96" t="str">
        <f t="shared" si="264"/>
        <v>2464</v>
      </c>
      <c r="D4242" s="73"/>
      <c r="E4242" s="100"/>
      <c r="F4242" s="101"/>
      <c r="G4242" s="96">
        <f t="shared" si="265"/>
        <v>2464</v>
      </c>
      <c r="I4242" s="96"/>
      <c r="K4242" t="str">
        <f t="shared" si="266"/>
        <v>2464</v>
      </c>
      <c r="M4242" s="72"/>
      <c r="O4242" s="96">
        <f t="shared" si="267"/>
        <v>2464</v>
      </c>
      <c r="T4242" s="110"/>
    </row>
    <row r="4243" spans="3:20" x14ac:dyDescent="0.2">
      <c r="C4243" s="96" t="str">
        <f t="shared" si="264"/>
        <v>2465</v>
      </c>
      <c r="D4243" s="73"/>
      <c r="E4243" s="100"/>
      <c r="F4243" s="101"/>
      <c r="G4243" s="96">
        <f t="shared" si="265"/>
        <v>2465</v>
      </c>
      <c r="I4243" s="96"/>
      <c r="K4243" t="str">
        <f t="shared" si="266"/>
        <v>2465</v>
      </c>
      <c r="M4243" s="72"/>
      <c r="O4243" s="96">
        <f t="shared" si="267"/>
        <v>2465</v>
      </c>
      <c r="T4243" s="110"/>
    </row>
    <row r="4244" spans="3:20" x14ac:dyDescent="0.2">
      <c r="C4244" s="96" t="str">
        <f t="shared" si="264"/>
        <v>2466</v>
      </c>
      <c r="D4244" s="73"/>
      <c r="E4244" s="100"/>
      <c r="F4244" s="101"/>
      <c r="G4244" s="96">
        <f t="shared" si="265"/>
        <v>2466</v>
      </c>
      <c r="I4244" s="96"/>
      <c r="K4244" t="str">
        <f t="shared" si="266"/>
        <v>2466</v>
      </c>
      <c r="M4244" s="72"/>
      <c r="O4244" s="96">
        <f t="shared" si="267"/>
        <v>2466</v>
      </c>
      <c r="T4244" s="110"/>
    </row>
    <row r="4245" spans="3:20" x14ac:dyDescent="0.2">
      <c r="C4245" s="96" t="str">
        <f t="shared" si="264"/>
        <v>2467</v>
      </c>
      <c r="D4245" s="73"/>
      <c r="E4245" s="100"/>
      <c r="F4245" s="101"/>
      <c r="G4245" s="96">
        <f t="shared" si="265"/>
        <v>2467</v>
      </c>
      <c r="I4245" s="96"/>
      <c r="K4245" t="str">
        <f t="shared" si="266"/>
        <v>2467</v>
      </c>
      <c r="M4245" s="72"/>
      <c r="O4245" s="96">
        <f t="shared" si="267"/>
        <v>2467</v>
      </c>
      <c r="T4245" s="110"/>
    </row>
    <row r="4246" spans="3:20" x14ac:dyDescent="0.2">
      <c r="C4246" s="96" t="str">
        <f t="shared" si="264"/>
        <v>2468</v>
      </c>
      <c r="D4246" s="73"/>
      <c r="E4246" s="100"/>
      <c r="F4246" s="101"/>
      <c r="G4246" s="96">
        <f t="shared" si="265"/>
        <v>2468</v>
      </c>
      <c r="I4246" s="96"/>
      <c r="K4246" t="str">
        <f t="shared" si="266"/>
        <v>2468</v>
      </c>
      <c r="M4246" s="72"/>
      <c r="O4246" s="96">
        <f t="shared" si="267"/>
        <v>2468</v>
      </c>
      <c r="T4246" s="110"/>
    </row>
    <row r="4247" spans="3:20" x14ac:dyDescent="0.2">
      <c r="C4247" s="96" t="str">
        <f t="shared" si="264"/>
        <v>2469</v>
      </c>
      <c r="D4247" s="73"/>
      <c r="E4247" s="100"/>
      <c r="F4247" s="101"/>
      <c r="G4247" s="96">
        <f t="shared" si="265"/>
        <v>2469</v>
      </c>
      <c r="I4247" s="96"/>
      <c r="K4247" t="str">
        <f t="shared" si="266"/>
        <v>2469</v>
      </c>
      <c r="M4247" s="72"/>
      <c r="O4247" s="96">
        <f t="shared" si="267"/>
        <v>2469</v>
      </c>
      <c r="T4247" s="110"/>
    </row>
    <row r="4248" spans="3:20" x14ac:dyDescent="0.2">
      <c r="C4248" s="96" t="str">
        <f t="shared" si="264"/>
        <v>2470</v>
      </c>
      <c r="D4248" s="73"/>
      <c r="E4248" s="100"/>
      <c r="F4248" s="101"/>
      <c r="G4248" s="96">
        <f t="shared" si="265"/>
        <v>2470</v>
      </c>
      <c r="I4248" s="96"/>
      <c r="K4248" t="str">
        <f t="shared" si="266"/>
        <v>2470</v>
      </c>
      <c r="M4248" s="72"/>
      <c r="O4248" s="96">
        <f t="shared" si="267"/>
        <v>2470</v>
      </c>
      <c r="T4248" s="110"/>
    </row>
    <row r="4249" spans="3:20" x14ac:dyDescent="0.2">
      <c r="C4249" s="96" t="str">
        <f t="shared" si="264"/>
        <v>2471</v>
      </c>
      <c r="D4249" s="73"/>
      <c r="E4249" s="100"/>
      <c r="F4249" s="101"/>
      <c r="G4249" s="96">
        <f t="shared" si="265"/>
        <v>2471</v>
      </c>
      <c r="I4249" s="96"/>
      <c r="K4249" t="str">
        <f t="shared" si="266"/>
        <v>2471</v>
      </c>
      <c r="M4249" s="72"/>
      <c r="O4249" s="96">
        <f t="shared" si="267"/>
        <v>2471</v>
      </c>
      <c r="T4249" s="110"/>
    </row>
    <row r="4250" spans="3:20" x14ac:dyDescent="0.2">
      <c r="C4250" s="96" t="str">
        <f t="shared" si="264"/>
        <v>2472</v>
      </c>
      <c r="D4250" s="73"/>
      <c r="E4250" s="100"/>
      <c r="F4250" s="101"/>
      <c r="G4250" s="96">
        <f t="shared" si="265"/>
        <v>2472</v>
      </c>
      <c r="I4250" s="96"/>
      <c r="K4250" t="str">
        <f t="shared" si="266"/>
        <v>2472</v>
      </c>
      <c r="M4250" s="72"/>
      <c r="O4250" s="96">
        <f t="shared" si="267"/>
        <v>2472</v>
      </c>
      <c r="T4250" s="110"/>
    </row>
    <row r="4251" spans="3:20" x14ac:dyDescent="0.2">
      <c r="C4251" s="96" t="str">
        <f t="shared" si="264"/>
        <v>2473</v>
      </c>
      <c r="D4251" s="73"/>
      <c r="E4251" s="100"/>
      <c r="F4251" s="101"/>
      <c r="G4251" s="96">
        <f t="shared" si="265"/>
        <v>2473</v>
      </c>
      <c r="I4251" s="96"/>
      <c r="K4251" t="str">
        <f t="shared" si="266"/>
        <v>2473</v>
      </c>
      <c r="M4251" s="72"/>
      <c r="O4251" s="96">
        <f t="shared" si="267"/>
        <v>2473</v>
      </c>
      <c r="T4251" s="110"/>
    </row>
    <row r="4252" spans="3:20" x14ac:dyDescent="0.2">
      <c r="C4252" s="96" t="str">
        <f t="shared" si="264"/>
        <v>2474</v>
      </c>
      <c r="D4252" s="73"/>
      <c r="E4252" s="100"/>
      <c r="F4252" s="101"/>
      <c r="G4252" s="96">
        <f t="shared" si="265"/>
        <v>2474</v>
      </c>
      <c r="I4252" s="96"/>
      <c r="K4252" t="str">
        <f t="shared" si="266"/>
        <v>2474</v>
      </c>
      <c r="M4252" s="72"/>
      <c r="O4252" s="96">
        <f t="shared" si="267"/>
        <v>2474</v>
      </c>
      <c r="T4252" s="110"/>
    </row>
    <row r="4253" spans="3:20" x14ac:dyDescent="0.2">
      <c r="C4253" s="96" t="str">
        <f t="shared" si="264"/>
        <v>2475</v>
      </c>
      <c r="D4253" s="73"/>
      <c r="E4253" s="100"/>
      <c r="F4253" s="101"/>
      <c r="G4253" s="96">
        <f t="shared" si="265"/>
        <v>2475</v>
      </c>
      <c r="I4253" s="96"/>
      <c r="K4253" t="str">
        <f t="shared" si="266"/>
        <v>2475</v>
      </c>
      <c r="M4253" s="72"/>
      <c r="O4253" s="96">
        <f t="shared" si="267"/>
        <v>2475</v>
      </c>
      <c r="T4253" s="110"/>
    </row>
    <row r="4254" spans="3:20" x14ac:dyDescent="0.2">
      <c r="C4254" s="96" t="str">
        <f t="shared" si="264"/>
        <v>2476</v>
      </c>
      <c r="D4254" s="73"/>
      <c r="E4254" s="100"/>
      <c r="F4254" s="101"/>
      <c r="G4254" s="96">
        <f t="shared" si="265"/>
        <v>2476</v>
      </c>
      <c r="I4254" s="96"/>
      <c r="K4254" t="str">
        <f t="shared" si="266"/>
        <v>2476</v>
      </c>
      <c r="M4254" s="72"/>
      <c r="O4254" s="96">
        <f t="shared" si="267"/>
        <v>2476</v>
      </c>
      <c r="T4254" s="110"/>
    </row>
    <row r="4255" spans="3:20" x14ac:dyDescent="0.2">
      <c r="C4255" s="96" t="str">
        <f t="shared" si="264"/>
        <v>2477</v>
      </c>
      <c r="D4255" s="73"/>
      <c r="E4255" s="100"/>
      <c r="F4255" s="101"/>
      <c r="G4255" s="96">
        <f t="shared" si="265"/>
        <v>2477</v>
      </c>
      <c r="I4255" s="96"/>
      <c r="K4255" t="str">
        <f t="shared" si="266"/>
        <v>2477</v>
      </c>
      <c r="M4255" s="72"/>
      <c r="O4255" s="96">
        <f t="shared" si="267"/>
        <v>2477</v>
      </c>
      <c r="T4255" s="110"/>
    </row>
    <row r="4256" spans="3:20" x14ac:dyDescent="0.2">
      <c r="C4256" s="96" t="str">
        <f t="shared" si="264"/>
        <v>2478</v>
      </c>
      <c r="D4256" s="73"/>
      <c r="E4256" s="100"/>
      <c r="F4256" s="101"/>
      <c r="G4256" s="96">
        <f t="shared" si="265"/>
        <v>2478</v>
      </c>
      <c r="I4256" s="96"/>
      <c r="K4256" t="str">
        <f t="shared" si="266"/>
        <v>2478</v>
      </c>
      <c r="M4256" s="72"/>
      <c r="O4256" s="96">
        <f t="shared" si="267"/>
        <v>2478</v>
      </c>
      <c r="T4256" s="110"/>
    </row>
    <row r="4257" spans="3:20" x14ac:dyDescent="0.2">
      <c r="C4257" s="96" t="str">
        <f t="shared" si="264"/>
        <v>2479</v>
      </c>
      <c r="D4257" s="73"/>
      <c r="E4257" s="100"/>
      <c r="F4257" s="101"/>
      <c r="G4257" s="96">
        <f t="shared" si="265"/>
        <v>2479</v>
      </c>
      <c r="I4257" s="96"/>
      <c r="K4257" t="str">
        <f t="shared" si="266"/>
        <v>2479</v>
      </c>
      <c r="M4257" s="72"/>
      <c r="O4257" s="96">
        <f t="shared" si="267"/>
        <v>2479</v>
      </c>
      <c r="T4257" s="110"/>
    </row>
    <row r="4258" spans="3:20" x14ac:dyDescent="0.2">
      <c r="C4258" s="96" t="str">
        <f t="shared" si="264"/>
        <v>2480</v>
      </c>
      <c r="D4258" s="73"/>
      <c r="E4258" s="100"/>
      <c r="F4258" s="101"/>
      <c r="G4258" s="96">
        <f t="shared" si="265"/>
        <v>2480</v>
      </c>
      <c r="I4258" s="96"/>
      <c r="K4258" t="str">
        <f t="shared" si="266"/>
        <v>2480</v>
      </c>
      <c r="M4258" s="72"/>
      <c r="O4258" s="96">
        <f t="shared" si="267"/>
        <v>2480</v>
      </c>
      <c r="T4258" s="110"/>
    </row>
    <row r="4259" spans="3:20" x14ac:dyDescent="0.2">
      <c r="C4259" s="96" t="str">
        <f t="shared" si="264"/>
        <v>2481</v>
      </c>
      <c r="D4259" s="73"/>
      <c r="E4259" s="100"/>
      <c r="F4259" s="101"/>
      <c r="G4259" s="96">
        <f t="shared" si="265"/>
        <v>2481</v>
      </c>
      <c r="I4259" s="96"/>
      <c r="K4259" t="str">
        <f t="shared" si="266"/>
        <v>2481</v>
      </c>
      <c r="M4259" s="72"/>
      <c r="O4259" s="96">
        <f t="shared" si="267"/>
        <v>2481</v>
      </c>
      <c r="T4259" s="110"/>
    </row>
    <row r="4260" spans="3:20" x14ac:dyDescent="0.2">
      <c r="C4260" s="96" t="str">
        <f t="shared" si="264"/>
        <v>2482</v>
      </c>
      <c r="D4260" s="73"/>
      <c r="E4260" s="100"/>
      <c r="F4260" s="101"/>
      <c r="G4260" s="96">
        <f t="shared" si="265"/>
        <v>2482</v>
      </c>
      <c r="I4260" s="96"/>
      <c r="K4260" t="str">
        <f t="shared" si="266"/>
        <v>2482</v>
      </c>
      <c r="M4260" s="72"/>
      <c r="O4260" s="96">
        <f t="shared" si="267"/>
        <v>2482</v>
      </c>
      <c r="T4260" s="110"/>
    </row>
    <row r="4261" spans="3:20" x14ac:dyDescent="0.2">
      <c r="C4261" s="96" t="str">
        <f t="shared" si="264"/>
        <v>2483</v>
      </c>
      <c r="D4261" s="73"/>
      <c r="E4261" s="100"/>
      <c r="F4261" s="101"/>
      <c r="G4261" s="96">
        <f t="shared" si="265"/>
        <v>2483</v>
      </c>
      <c r="I4261" s="96"/>
      <c r="K4261" t="str">
        <f t="shared" si="266"/>
        <v>2483</v>
      </c>
      <c r="M4261" s="72"/>
      <c r="O4261" s="96">
        <f t="shared" si="267"/>
        <v>2483</v>
      </c>
      <c r="T4261" s="110"/>
    </row>
    <row r="4262" spans="3:20" x14ac:dyDescent="0.2">
      <c r="C4262" s="96" t="str">
        <f t="shared" si="264"/>
        <v>2484</v>
      </c>
      <c r="D4262" s="73"/>
      <c r="E4262" s="100"/>
      <c r="F4262" s="101"/>
      <c r="G4262" s="96">
        <f t="shared" si="265"/>
        <v>2484</v>
      </c>
      <c r="I4262" s="96"/>
      <c r="K4262" t="str">
        <f t="shared" si="266"/>
        <v>2484</v>
      </c>
      <c r="M4262" s="72"/>
      <c r="O4262" s="96">
        <f t="shared" si="267"/>
        <v>2484</v>
      </c>
      <c r="T4262" s="110"/>
    </row>
    <row r="4263" spans="3:20" x14ac:dyDescent="0.2">
      <c r="C4263" s="96" t="str">
        <f t="shared" si="264"/>
        <v>2485</v>
      </c>
      <c r="D4263" s="73"/>
      <c r="E4263" s="100"/>
      <c r="F4263" s="101"/>
      <c r="G4263" s="96">
        <f t="shared" si="265"/>
        <v>2485</v>
      </c>
      <c r="I4263" s="96"/>
      <c r="K4263" t="str">
        <f t="shared" si="266"/>
        <v>2485</v>
      </c>
      <c r="M4263" s="72"/>
      <c r="O4263" s="96">
        <f t="shared" si="267"/>
        <v>2485</v>
      </c>
      <c r="T4263" s="110"/>
    </row>
    <row r="4264" spans="3:20" x14ac:dyDescent="0.2">
      <c r="C4264" s="96" t="str">
        <f t="shared" si="264"/>
        <v>2486</v>
      </c>
      <c r="D4264" s="73"/>
      <c r="E4264" s="100"/>
      <c r="F4264" s="101"/>
      <c r="G4264" s="96">
        <f t="shared" si="265"/>
        <v>2486</v>
      </c>
      <c r="I4264" s="96"/>
      <c r="K4264" t="str">
        <f t="shared" si="266"/>
        <v>2486</v>
      </c>
      <c r="M4264" s="72"/>
      <c r="O4264" s="96">
        <f t="shared" si="267"/>
        <v>2486</v>
      </c>
      <c r="T4264" s="110"/>
    </row>
    <row r="4265" spans="3:20" x14ac:dyDescent="0.2">
      <c r="C4265" s="96" t="str">
        <f t="shared" si="264"/>
        <v>2487</v>
      </c>
      <c r="D4265" s="73"/>
      <c r="E4265" s="100"/>
      <c r="F4265" s="101"/>
      <c r="G4265" s="96">
        <f t="shared" si="265"/>
        <v>2487</v>
      </c>
      <c r="I4265" s="96"/>
      <c r="K4265" t="str">
        <f t="shared" si="266"/>
        <v>2487</v>
      </c>
      <c r="M4265" s="72"/>
      <c r="O4265" s="96">
        <f t="shared" si="267"/>
        <v>2487</v>
      </c>
      <c r="T4265" s="110"/>
    </row>
    <row r="4266" spans="3:20" x14ac:dyDescent="0.2">
      <c r="C4266" s="96" t="str">
        <f t="shared" si="264"/>
        <v>2488</v>
      </c>
      <c r="D4266" s="73"/>
      <c r="E4266" s="100"/>
      <c r="F4266" s="101"/>
      <c r="G4266" s="96">
        <f t="shared" si="265"/>
        <v>2488</v>
      </c>
      <c r="I4266" s="96"/>
      <c r="K4266" t="str">
        <f t="shared" si="266"/>
        <v>2488</v>
      </c>
      <c r="M4266" s="72"/>
      <c r="O4266" s="96">
        <f t="shared" si="267"/>
        <v>2488</v>
      </c>
      <c r="T4266" s="110"/>
    </row>
    <row r="4267" spans="3:20" x14ac:dyDescent="0.2">
      <c r="C4267" s="96" t="str">
        <f t="shared" si="264"/>
        <v>2489</v>
      </c>
      <c r="D4267" s="73"/>
      <c r="E4267" s="100"/>
      <c r="F4267" s="101"/>
      <c r="G4267" s="96">
        <f t="shared" si="265"/>
        <v>2489</v>
      </c>
      <c r="I4267" s="96"/>
      <c r="K4267" t="str">
        <f t="shared" si="266"/>
        <v>2489</v>
      </c>
      <c r="M4267" s="72"/>
      <c r="O4267" s="96">
        <f t="shared" si="267"/>
        <v>2489</v>
      </c>
      <c r="T4267" s="110"/>
    </row>
    <row r="4268" spans="3:20" x14ac:dyDescent="0.2">
      <c r="C4268" s="96" t="str">
        <f t="shared" si="264"/>
        <v>2490</v>
      </c>
      <c r="D4268" s="73"/>
      <c r="E4268" s="100"/>
      <c r="F4268" s="101"/>
      <c r="G4268" s="96">
        <f t="shared" si="265"/>
        <v>2490</v>
      </c>
      <c r="I4268" s="96"/>
      <c r="K4268" t="str">
        <f t="shared" si="266"/>
        <v>2490</v>
      </c>
      <c r="M4268" s="72"/>
      <c r="O4268" s="96">
        <f t="shared" si="267"/>
        <v>2490</v>
      </c>
      <c r="T4268" s="110"/>
    </row>
    <row r="4269" spans="3:20" x14ac:dyDescent="0.2">
      <c r="C4269" s="96" t="str">
        <f t="shared" si="264"/>
        <v>2491</v>
      </c>
      <c r="D4269" s="73"/>
      <c r="E4269" s="100"/>
      <c r="F4269" s="101"/>
      <c r="G4269" s="96">
        <f t="shared" si="265"/>
        <v>2491</v>
      </c>
      <c r="I4269" s="96"/>
      <c r="K4269" t="str">
        <f t="shared" si="266"/>
        <v>2491</v>
      </c>
      <c r="M4269" s="72"/>
      <c r="O4269" s="96">
        <f t="shared" si="267"/>
        <v>2491</v>
      </c>
      <c r="T4269" s="110"/>
    </row>
    <row r="4270" spans="3:20" x14ac:dyDescent="0.2">
      <c r="C4270" s="96" t="str">
        <f t="shared" si="264"/>
        <v>2492</v>
      </c>
      <c r="D4270" s="73"/>
      <c r="E4270" s="100"/>
      <c r="F4270" s="101"/>
      <c r="G4270" s="96">
        <f t="shared" si="265"/>
        <v>2492</v>
      </c>
      <c r="I4270" s="96"/>
      <c r="K4270" t="str">
        <f t="shared" si="266"/>
        <v>2492</v>
      </c>
      <c r="M4270" s="72"/>
      <c r="O4270" s="96">
        <f t="shared" si="267"/>
        <v>2492</v>
      </c>
      <c r="T4270" s="110"/>
    </row>
    <row r="4271" spans="3:20" x14ac:dyDescent="0.2">
      <c r="C4271" s="96" t="str">
        <f t="shared" si="264"/>
        <v>2493</v>
      </c>
      <c r="D4271" s="73"/>
      <c r="E4271" s="100"/>
      <c r="F4271" s="101"/>
      <c r="G4271" s="96">
        <f t="shared" si="265"/>
        <v>2493</v>
      </c>
      <c r="I4271" s="96"/>
      <c r="K4271" t="str">
        <f t="shared" si="266"/>
        <v>2493</v>
      </c>
      <c r="M4271" s="72"/>
      <c r="O4271" s="96">
        <f t="shared" si="267"/>
        <v>2493</v>
      </c>
      <c r="T4271" s="110"/>
    </row>
    <row r="4272" spans="3:20" x14ac:dyDescent="0.2">
      <c r="C4272" s="96" t="str">
        <f t="shared" si="264"/>
        <v>2494</v>
      </c>
      <c r="D4272" s="73"/>
      <c r="E4272" s="100"/>
      <c r="F4272" s="101"/>
      <c r="G4272" s="96">
        <f t="shared" si="265"/>
        <v>2494</v>
      </c>
      <c r="I4272" s="96"/>
      <c r="K4272" t="str">
        <f t="shared" si="266"/>
        <v>2494</v>
      </c>
      <c r="M4272" s="72"/>
      <c r="O4272" s="96">
        <f t="shared" si="267"/>
        <v>2494</v>
      </c>
      <c r="T4272" s="110"/>
    </row>
    <row r="4273" spans="3:20" x14ac:dyDescent="0.2">
      <c r="C4273" s="96" t="str">
        <f t="shared" si="264"/>
        <v>2495</v>
      </c>
      <c r="D4273" s="73"/>
      <c r="E4273" s="100"/>
      <c r="F4273" s="101"/>
      <c r="G4273" s="96">
        <f t="shared" si="265"/>
        <v>2495</v>
      </c>
      <c r="I4273" s="96"/>
      <c r="K4273" t="str">
        <f t="shared" si="266"/>
        <v>2495</v>
      </c>
      <c r="M4273" s="72"/>
      <c r="O4273" s="96">
        <f t="shared" si="267"/>
        <v>2495</v>
      </c>
      <c r="T4273" s="110"/>
    </row>
    <row r="4274" spans="3:20" x14ac:dyDescent="0.2">
      <c r="C4274" s="96" t="str">
        <f t="shared" si="264"/>
        <v>2496</v>
      </c>
      <c r="D4274" s="73"/>
      <c r="E4274" s="100"/>
      <c r="F4274" s="101"/>
      <c r="G4274" s="96">
        <f t="shared" si="265"/>
        <v>2496</v>
      </c>
      <c r="I4274" s="96"/>
      <c r="K4274" t="str">
        <f t="shared" si="266"/>
        <v>2496</v>
      </c>
      <c r="M4274" s="72"/>
      <c r="O4274" s="96">
        <f t="shared" si="267"/>
        <v>2496</v>
      </c>
      <c r="T4274" s="110"/>
    </row>
    <row r="4275" spans="3:20" x14ac:dyDescent="0.2">
      <c r="C4275" s="96" t="str">
        <f t="shared" si="264"/>
        <v>2497</v>
      </c>
      <c r="D4275" s="73"/>
      <c r="E4275" s="100"/>
      <c r="F4275" s="101"/>
      <c r="G4275" s="96">
        <f t="shared" si="265"/>
        <v>2497</v>
      </c>
      <c r="I4275" s="96"/>
      <c r="K4275" t="str">
        <f t="shared" si="266"/>
        <v>2497</v>
      </c>
      <c r="M4275" s="72"/>
      <c r="O4275" s="96">
        <f t="shared" si="267"/>
        <v>2497</v>
      </c>
      <c r="T4275" s="110"/>
    </row>
    <row r="4276" spans="3:20" x14ac:dyDescent="0.2">
      <c r="C4276" t="str">
        <f t="shared" si="264"/>
        <v>2498</v>
      </c>
      <c r="D4276" s="73"/>
      <c r="E4276" s="72"/>
      <c r="F4276" s="101"/>
      <c r="G4276" s="96">
        <f t="shared" si="265"/>
        <v>2498</v>
      </c>
      <c r="K4276" t="str">
        <f t="shared" si="266"/>
        <v>2498</v>
      </c>
      <c r="M4276" s="72"/>
      <c r="O4276" s="96">
        <f t="shared" si="267"/>
        <v>2498</v>
      </c>
      <c r="T4276" s="110"/>
    </row>
    <row r="4277" spans="3:20" x14ac:dyDescent="0.2">
      <c r="C4277" t="str">
        <f t="shared" si="264"/>
        <v>2499</v>
      </c>
      <c r="D4277" s="73"/>
      <c r="E4277" s="72"/>
      <c r="F4277" s="101"/>
      <c r="G4277" s="96">
        <f t="shared" si="265"/>
        <v>2499</v>
      </c>
      <c r="K4277" t="str">
        <f t="shared" si="266"/>
        <v>2499</v>
      </c>
      <c r="M4277" s="72"/>
      <c r="O4277" s="96">
        <f t="shared" si="267"/>
        <v>2499</v>
      </c>
      <c r="T4277" s="110"/>
    </row>
    <row r="4278" spans="3:20" x14ac:dyDescent="0.2">
      <c r="C4278" t="str">
        <f t="shared" si="264"/>
        <v>2500</v>
      </c>
      <c r="D4278" s="73"/>
      <c r="E4278" s="72"/>
      <c r="F4278" s="101"/>
      <c r="G4278" s="96">
        <f t="shared" si="265"/>
        <v>2500</v>
      </c>
      <c r="K4278" t="str">
        <f t="shared" si="266"/>
        <v>2500</v>
      </c>
      <c r="M4278" s="72"/>
      <c r="O4278" s="96">
        <f t="shared" si="267"/>
        <v>2500</v>
      </c>
      <c r="T4278" s="110"/>
    </row>
    <row r="4279" spans="3:20" x14ac:dyDescent="0.2">
      <c r="C4279" t="str">
        <f t="shared" si="264"/>
        <v>2501</v>
      </c>
      <c r="D4279" s="73"/>
      <c r="E4279" s="72"/>
      <c r="F4279" s="101"/>
      <c r="G4279" s="96">
        <f t="shared" si="265"/>
        <v>2501</v>
      </c>
      <c r="K4279" t="str">
        <f t="shared" si="266"/>
        <v>2501</v>
      </c>
      <c r="M4279" s="72"/>
      <c r="O4279" s="96">
        <f t="shared" si="267"/>
        <v>2501</v>
      </c>
      <c r="T4279" s="110"/>
    </row>
    <row r="4280" spans="3:20" x14ac:dyDescent="0.2">
      <c r="C4280" t="str">
        <f t="shared" si="264"/>
        <v>2502</v>
      </c>
      <c r="D4280" s="73"/>
      <c r="E4280" s="72"/>
      <c r="F4280" s="101"/>
      <c r="G4280" s="96">
        <f t="shared" si="265"/>
        <v>2502</v>
      </c>
      <c r="K4280" t="str">
        <f t="shared" si="266"/>
        <v>2502</v>
      </c>
      <c r="M4280" s="72"/>
      <c r="O4280" s="96">
        <f t="shared" si="267"/>
        <v>2502</v>
      </c>
      <c r="T4280" s="110"/>
    </row>
    <row r="4281" spans="3:20" x14ac:dyDescent="0.2">
      <c r="C4281" t="str">
        <f t="shared" si="264"/>
        <v>2503</v>
      </c>
      <c r="D4281" s="73"/>
      <c r="E4281" s="72"/>
      <c r="F4281" s="101"/>
      <c r="G4281" s="96">
        <f t="shared" si="265"/>
        <v>2503</v>
      </c>
      <c r="K4281" t="str">
        <f t="shared" si="266"/>
        <v>2503</v>
      </c>
      <c r="M4281" s="72"/>
      <c r="O4281" s="96">
        <f t="shared" si="267"/>
        <v>2503</v>
      </c>
      <c r="T4281" s="110"/>
    </row>
    <row r="4282" spans="3:20" x14ac:dyDescent="0.2">
      <c r="C4282" t="str">
        <f t="shared" si="264"/>
        <v>2504</v>
      </c>
      <c r="D4282" s="73"/>
      <c r="E4282" s="72"/>
      <c r="F4282" s="101"/>
      <c r="G4282" s="96">
        <f t="shared" si="265"/>
        <v>2504</v>
      </c>
      <c r="K4282" t="str">
        <f t="shared" si="266"/>
        <v>2504</v>
      </c>
      <c r="M4282" s="72"/>
      <c r="O4282" s="96">
        <f t="shared" si="267"/>
        <v>2504</v>
      </c>
      <c r="T4282" s="110"/>
    </row>
    <row r="4283" spans="3:20" x14ac:dyDescent="0.2">
      <c r="C4283" t="str">
        <f t="shared" si="264"/>
        <v>2505</v>
      </c>
      <c r="D4283" s="73"/>
      <c r="E4283" s="72"/>
      <c r="F4283" s="101"/>
      <c r="G4283" s="96">
        <f t="shared" si="265"/>
        <v>2505</v>
      </c>
      <c r="K4283" t="str">
        <f t="shared" si="266"/>
        <v>2505</v>
      </c>
      <c r="M4283" s="72"/>
      <c r="O4283" s="96">
        <f t="shared" si="267"/>
        <v>2505</v>
      </c>
      <c r="T4283" s="110"/>
    </row>
    <row r="4284" spans="3:20" x14ac:dyDescent="0.2">
      <c r="C4284" t="str">
        <f t="shared" si="264"/>
        <v>2506</v>
      </c>
      <c r="D4284" s="73"/>
      <c r="E4284" s="72"/>
      <c r="F4284" s="101"/>
      <c r="G4284" s="96">
        <f t="shared" si="265"/>
        <v>2506</v>
      </c>
      <c r="K4284" t="str">
        <f t="shared" si="266"/>
        <v>2506</v>
      </c>
      <c r="M4284" s="72"/>
      <c r="O4284" s="96">
        <f t="shared" si="267"/>
        <v>2506</v>
      </c>
      <c r="T4284" s="110"/>
    </row>
    <row r="4285" spans="3:20" x14ac:dyDescent="0.2">
      <c r="C4285" t="str">
        <f t="shared" si="264"/>
        <v>2507</v>
      </c>
      <c r="D4285" s="73"/>
      <c r="E4285" s="72"/>
      <c r="F4285" s="101"/>
      <c r="G4285" s="96">
        <f t="shared" si="265"/>
        <v>2507</v>
      </c>
      <c r="K4285" t="str">
        <f t="shared" si="266"/>
        <v>2507</v>
      </c>
      <c r="M4285" s="72"/>
      <c r="O4285" s="96">
        <f t="shared" si="267"/>
        <v>2507</v>
      </c>
      <c r="T4285" s="110"/>
    </row>
    <row r="4286" spans="3:20" x14ac:dyDescent="0.2">
      <c r="C4286" t="str">
        <f t="shared" si="264"/>
        <v>2508</v>
      </c>
      <c r="D4286" s="73"/>
      <c r="E4286" s="72"/>
      <c r="F4286" s="101"/>
      <c r="G4286" s="96">
        <f t="shared" si="265"/>
        <v>2508</v>
      </c>
      <c r="K4286" t="str">
        <f t="shared" si="266"/>
        <v>2508</v>
      </c>
      <c r="M4286" s="72"/>
      <c r="O4286" s="96">
        <f t="shared" si="267"/>
        <v>2508</v>
      </c>
      <c r="T4286" s="110"/>
    </row>
    <row r="4287" spans="3:20" x14ac:dyDescent="0.2">
      <c r="C4287" t="str">
        <f t="shared" si="264"/>
        <v>2509</v>
      </c>
      <c r="D4287" s="73"/>
      <c r="E4287" s="72"/>
      <c r="F4287" s="101"/>
      <c r="G4287" s="96">
        <f t="shared" si="265"/>
        <v>2509</v>
      </c>
      <c r="K4287" t="str">
        <f t="shared" si="266"/>
        <v>2509</v>
      </c>
      <c r="M4287" s="72"/>
      <c r="O4287" s="96">
        <f t="shared" si="267"/>
        <v>2509</v>
      </c>
      <c r="T4287" s="110"/>
    </row>
    <row r="4288" spans="3:20" x14ac:dyDescent="0.2">
      <c r="C4288" t="str">
        <f t="shared" si="264"/>
        <v>2510</v>
      </c>
      <c r="D4288" s="73"/>
      <c r="E4288" s="72"/>
      <c r="F4288" s="101"/>
      <c r="G4288" s="96">
        <f t="shared" si="265"/>
        <v>2510</v>
      </c>
      <c r="K4288" t="str">
        <f t="shared" si="266"/>
        <v>2510</v>
      </c>
      <c r="M4288" s="72"/>
      <c r="O4288" s="96">
        <f t="shared" si="267"/>
        <v>2510</v>
      </c>
      <c r="T4288" s="110"/>
    </row>
    <row r="4289" spans="3:20" x14ac:dyDescent="0.2">
      <c r="C4289" t="str">
        <f t="shared" si="264"/>
        <v>2511</v>
      </c>
      <c r="D4289" s="73"/>
      <c r="E4289" s="72"/>
      <c r="F4289" s="101"/>
      <c r="G4289" s="96">
        <f t="shared" si="265"/>
        <v>2511</v>
      </c>
      <c r="K4289" t="str">
        <f t="shared" si="266"/>
        <v>2511</v>
      </c>
      <c r="M4289" s="72"/>
      <c r="O4289" s="96">
        <f t="shared" si="267"/>
        <v>2511</v>
      </c>
      <c r="T4289" s="110"/>
    </row>
    <row r="4290" spans="3:20" x14ac:dyDescent="0.2">
      <c r="C4290" t="str">
        <f t="shared" si="264"/>
        <v>2512</v>
      </c>
      <c r="D4290" s="73"/>
      <c r="E4290" s="72"/>
      <c r="F4290" s="101"/>
      <c r="G4290" s="96">
        <f t="shared" si="265"/>
        <v>2512</v>
      </c>
      <c r="K4290" t="str">
        <f t="shared" si="266"/>
        <v>2512</v>
      </c>
      <c r="M4290" s="72"/>
      <c r="O4290" s="96">
        <f t="shared" si="267"/>
        <v>2512</v>
      </c>
      <c r="T4290" s="110"/>
    </row>
    <row r="4291" spans="3:20" x14ac:dyDescent="0.2">
      <c r="C4291" t="str">
        <f t="shared" ref="C4291:C4354" si="268">D4291&amp;G4291</f>
        <v>2513</v>
      </c>
      <c r="D4291" s="73"/>
      <c r="E4291" s="72"/>
      <c r="F4291" s="101"/>
      <c r="G4291" s="96">
        <f t="shared" ref="G4291:G4354" si="269">IF(D4291&lt;&gt;D4290,1,G4290+1)</f>
        <v>2513</v>
      </c>
      <c r="K4291" t="str">
        <f t="shared" ref="K4291:K4354" si="270">L4291&amp;O4291</f>
        <v>2513</v>
      </c>
      <c r="M4291" s="72"/>
      <c r="O4291" s="96">
        <f t="shared" ref="O4291:O4354" si="271">IF(L4291&lt;&gt;L4290,1,O4290+1)</f>
        <v>2513</v>
      </c>
      <c r="T4291" s="110"/>
    </row>
    <row r="4292" spans="3:20" x14ac:dyDescent="0.2">
      <c r="C4292" t="str">
        <f t="shared" si="268"/>
        <v>2514</v>
      </c>
      <c r="D4292" s="73"/>
      <c r="E4292" s="72"/>
      <c r="F4292" s="101"/>
      <c r="G4292" s="96">
        <f t="shared" si="269"/>
        <v>2514</v>
      </c>
      <c r="K4292" t="str">
        <f t="shared" si="270"/>
        <v>2514</v>
      </c>
      <c r="M4292" s="72"/>
      <c r="O4292" s="96">
        <f t="shared" si="271"/>
        <v>2514</v>
      </c>
      <c r="T4292" s="110"/>
    </row>
    <row r="4293" spans="3:20" x14ac:dyDescent="0.2">
      <c r="C4293" t="str">
        <f t="shared" si="268"/>
        <v>2515</v>
      </c>
      <c r="D4293" s="73"/>
      <c r="E4293" s="72"/>
      <c r="F4293" s="101"/>
      <c r="G4293" s="96">
        <f t="shared" si="269"/>
        <v>2515</v>
      </c>
      <c r="K4293" t="str">
        <f t="shared" si="270"/>
        <v>2515</v>
      </c>
      <c r="M4293" s="72"/>
      <c r="O4293" s="96">
        <f t="shared" si="271"/>
        <v>2515</v>
      </c>
      <c r="T4293" s="110"/>
    </row>
    <row r="4294" spans="3:20" x14ac:dyDescent="0.2">
      <c r="C4294" t="str">
        <f t="shared" si="268"/>
        <v>2516</v>
      </c>
      <c r="D4294" s="73"/>
      <c r="E4294" s="72"/>
      <c r="F4294" s="101"/>
      <c r="G4294" s="96">
        <f t="shared" si="269"/>
        <v>2516</v>
      </c>
      <c r="K4294" t="str">
        <f t="shared" si="270"/>
        <v>2516</v>
      </c>
      <c r="M4294" s="72"/>
      <c r="O4294" s="96">
        <f t="shared" si="271"/>
        <v>2516</v>
      </c>
      <c r="T4294" s="110"/>
    </row>
    <row r="4295" spans="3:20" x14ac:dyDescent="0.2">
      <c r="C4295" t="str">
        <f t="shared" si="268"/>
        <v>2517</v>
      </c>
      <c r="D4295" s="73"/>
      <c r="E4295" s="72"/>
      <c r="F4295" s="101"/>
      <c r="G4295" s="96">
        <f t="shared" si="269"/>
        <v>2517</v>
      </c>
      <c r="K4295" t="str">
        <f t="shared" si="270"/>
        <v>2517</v>
      </c>
      <c r="M4295" s="72"/>
      <c r="O4295" s="96">
        <f t="shared" si="271"/>
        <v>2517</v>
      </c>
      <c r="T4295" s="110"/>
    </row>
    <row r="4296" spans="3:20" x14ac:dyDescent="0.2">
      <c r="C4296" t="str">
        <f t="shared" si="268"/>
        <v>2518</v>
      </c>
      <c r="D4296" s="73"/>
      <c r="E4296" s="72"/>
      <c r="F4296" s="101"/>
      <c r="G4296" s="96">
        <f t="shared" si="269"/>
        <v>2518</v>
      </c>
      <c r="K4296" t="str">
        <f t="shared" si="270"/>
        <v>2518</v>
      </c>
      <c r="M4296" s="72"/>
      <c r="O4296" s="96">
        <f t="shared" si="271"/>
        <v>2518</v>
      </c>
      <c r="T4296" s="110"/>
    </row>
    <row r="4297" spans="3:20" x14ac:dyDescent="0.2">
      <c r="C4297" t="str">
        <f t="shared" si="268"/>
        <v>2519</v>
      </c>
      <c r="D4297" s="73"/>
      <c r="E4297" s="72"/>
      <c r="F4297" s="101"/>
      <c r="G4297" s="96">
        <f t="shared" si="269"/>
        <v>2519</v>
      </c>
      <c r="K4297" t="str">
        <f t="shared" si="270"/>
        <v>2519</v>
      </c>
      <c r="M4297" s="72"/>
      <c r="O4297" s="96">
        <f t="shared" si="271"/>
        <v>2519</v>
      </c>
      <c r="T4297" s="110"/>
    </row>
    <row r="4298" spans="3:20" x14ac:dyDescent="0.2">
      <c r="C4298" t="str">
        <f t="shared" si="268"/>
        <v>2520</v>
      </c>
      <c r="D4298" s="73"/>
      <c r="E4298" s="72"/>
      <c r="F4298" s="101"/>
      <c r="G4298" s="96">
        <f t="shared" si="269"/>
        <v>2520</v>
      </c>
      <c r="K4298" t="str">
        <f t="shared" si="270"/>
        <v>2520</v>
      </c>
      <c r="M4298" s="72"/>
      <c r="O4298" s="96">
        <f t="shared" si="271"/>
        <v>2520</v>
      </c>
      <c r="T4298" s="110"/>
    </row>
    <row r="4299" spans="3:20" x14ac:dyDescent="0.2">
      <c r="C4299" t="str">
        <f t="shared" si="268"/>
        <v>2521</v>
      </c>
      <c r="D4299" s="73"/>
      <c r="E4299" s="72"/>
      <c r="F4299" s="101"/>
      <c r="G4299" s="96">
        <f t="shared" si="269"/>
        <v>2521</v>
      </c>
      <c r="K4299" t="str">
        <f t="shared" si="270"/>
        <v>2521</v>
      </c>
      <c r="M4299" s="72"/>
      <c r="O4299" s="96">
        <f t="shared" si="271"/>
        <v>2521</v>
      </c>
      <c r="T4299" s="110"/>
    </row>
    <row r="4300" spans="3:20" x14ac:dyDescent="0.2">
      <c r="C4300" t="str">
        <f t="shared" si="268"/>
        <v>2522</v>
      </c>
      <c r="D4300" s="73"/>
      <c r="E4300" s="72"/>
      <c r="F4300" s="101"/>
      <c r="G4300" s="96">
        <f t="shared" si="269"/>
        <v>2522</v>
      </c>
      <c r="K4300" t="str">
        <f t="shared" si="270"/>
        <v>2522</v>
      </c>
      <c r="M4300" s="72"/>
      <c r="O4300" s="96">
        <f t="shared" si="271"/>
        <v>2522</v>
      </c>
      <c r="T4300" s="110"/>
    </row>
    <row r="4301" spans="3:20" x14ac:dyDescent="0.2">
      <c r="C4301" t="str">
        <f t="shared" si="268"/>
        <v>2523</v>
      </c>
      <c r="D4301" s="73"/>
      <c r="E4301" s="72"/>
      <c r="F4301" s="101"/>
      <c r="G4301" s="96">
        <f t="shared" si="269"/>
        <v>2523</v>
      </c>
      <c r="K4301" t="str">
        <f t="shared" si="270"/>
        <v>2523</v>
      </c>
      <c r="M4301" s="72"/>
      <c r="O4301" s="96">
        <f t="shared" si="271"/>
        <v>2523</v>
      </c>
      <c r="T4301" s="110"/>
    </row>
    <row r="4302" spans="3:20" x14ac:dyDescent="0.2">
      <c r="C4302" t="str">
        <f t="shared" si="268"/>
        <v>2524</v>
      </c>
      <c r="D4302" s="73"/>
      <c r="E4302" s="72"/>
      <c r="F4302" s="101"/>
      <c r="G4302" s="96">
        <f t="shared" si="269"/>
        <v>2524</v>
      </c>
      <c r="K4302" t="str">
        <f t="shared" si="270"/>
        <v>2524</v>
      </c>
      <c r="M4302" s="72"/>
      <c r="O4302" s="96">
        <f t="shared" si="271"/>
        <v>2524</v>
      </c>
      <c r="T4302" s="110"/>
    </row>
    <row r="4303" spans="3:20" x14ac:dyDescent="0.2">
      <c r="C4303" t="str">
        <f t="shared" si="268"/>
        <v>2525</v>
      </c>
      <c r="D4303" s="73"/>
      <c r="E4303" s="72"/>
      <c r="F4303" s="101"/>
      <c r="G4303" s="96">
        <f t="shared" si="269"/>
        <v>2525</v>
      </c>
      <c r="K4303" t="str">
        <f t="shared" si="270"/>
        <v>2525</v>
      </c>
      <c r="M4303" s="72"/>
      <c r="O4303" s="96">
        <f t="shared" si="271"/>
        <v>2525</v>
      </c>
      <c r="T4303" s="110"/>
    </row>
    <row r="4304" spans="3:20" x14ac:dyDescent="0.2">
      <c r="C4304" t="str">
        <f t="shared" si="268"/>
        <v>2526</v>
      </c>
      <c r="D4304" s="73"/>
      <c r="E4304" s="72"/>
      <c r="F4304" s="101"/>
      <c r="G4304" s="96">
        <f t="shared" si="269"/>
        <v>2526</v>
      </c>
      <c r="K4304" t="str">
        <f t="shared" si="270"/>
        <v>2526</v>
      </c>
      <c r="M4304" s="72"/>
      <c r="O4304" s="96">
        <f t="shared" si="271"/>
        <v>2526</v>
      </c>
      <c r="T4304" s="110"/>
    </row>
    <row r="4305" spans="3:20" x14ac:dyDescent="0.2">
      <c r="C4305" t="str">
        <f t="shared" si="268"/>
        <v>2527</v>
      </c>
      <c r="D4305" s="73"/>
      <c r="E4305" s="72"/>
      <c r="F4305" s="101"/>
      <c r="G4305" s="96">
        <f t="shared" si="269"/>
        <v>2527</v>
      </c>
      <c r="K4305" t="str">
        <f t="shared" si="270"/>
        <v>2527</v>
      </c>
      <c r="M4305" s="72"/>
      <c r="O4305" s="96">
        <f t="shared" si="271"/>
        <v>2527</v>
      </c>
      <c r="T4305" s="110"/>
    </row>
    <row r="4306" spans="3:20" x14ac:dyDescent="0.2">
      <c r="C4306" t="str">
        <f t="shared" si="268"/>
        <v>2528</v>
      </c>
      <c r="D4306" s="73"/>
      <c r="E4306" s="72"/>
      <c r="F4306" s="101"/>
      <c r="G4306" s="96">
        <f t="shared" si="269"/>
        <v>2528</v>
      </c>
      <c r="K4306" t="str">
        <f t="shared" si="270"/>
        <v>2528</v>
      </c>
      <c r="M4306" s="72"/>
      <c r="O4306" s="96">
        <f t="shared" si="271"/>
        <v>2528</v>
      </c>
      <c r="T4306" s="110"/>
    </row>
    <row r="4307" spans="3:20" x14ac:dyDescent="0.2">
      <c r="C4307" t="str">
        <f t="shared" si="268"/>
        <v>2529</v>
      </c>
      <c r="D4307" s="73"/>
      <c r="E4307" s="72"/>
      <c r="F4307" s="101"/>
      <c r="G4307" s="96">
        <f t="shared" si="269"/>
        <v>2529</v>
      </c>
      <c r="K4307" t="str">
        <f t="shared" si="270"/>
        <v>2529</v>
      </c>
      <c r="M4307" s="72"/>
      <c r="O4307" s="96">
        <f t="shared" si="271"/>
        <v>2529</v>
      </c>
      <c r="T4307" s="110"/>
    </row>
    <row r="4308" spans="3:20" x14ac:dyDescent="0.2">
      <c r="C4308" t="str">
        <f t="shared" si="268"/>
        <v>2530</v>
      </c>
      <c r="D4308" s="73"/>
      <c r="E4308" s="72"/>
      <c r="F4308" s="101"/>
      <c r="G4308" s="96">
        <f t="shared" si="269"/>
        <v>2530</v>
      </c>
      <c r="K4308" t="str">
        <f t="shared" si="270"/>
        <v>2530</v>
      </c>
      <c r="M4308" s="72"/>
      <c r="O4308" s="96">
        <f t="shared" si="271"/>
        <v>2530</v>
      </c>
      <c r="T4308" s="110"/>
    </row>
    <row r="4309" spans="3:20" x14ac:dyDescent="0.2">
      <c r="C4309" t="str">
        <f t="shared" si="268"/>
        <v>2531</v>
      </c>
      <c r="D4309" s="73"/>
      <c r="E4309" s="72"/>
      <c r="F4309" s="101"/>
      <c r="G4309" s="96">
        <f t="shared" si="269"/>
        <v>2531</v>
      </c>
      <c r="K4309" t="str">
        <f t="shared" si="270"/>
        <v>2531</v>
      </c>
      <c r="M4309" s="72"/>
      <c r="O4309" s="96">
        <f t="shared" si="271"/>
        <v>2531</v>
      </c>
      <c r="T4309" s="110"/>
    </row>
    <row r="4310" spans="3:20" x14ac:dyDescent="0.2">
      <c r="C4310" t="str">
        <f t="shared" si="268"/>
        <v>2532</v>
      </c>
      <c r="D4310" s="73"/>
      <c r="E4310" s="72"/>
      <c r="F4310" s="101"/>
      <c r="G4310" s="96">
        <f t="shared" si="269"/>
        <v>2532</v>
      </c>
      <c r="K4310" t="str">
        <f t="shared" si="270"/>
        <v>2532</v>
      </c>
      <c r="M4310" s="72"/>
      <c r="O4310" s="96">
        <f t="shared" si="271"/>
        <v>2532</v>
      </c>
      <c r="T4310" s="110"/>
    </row>
    <row r="4311" spans="3:20" x14ac:dyDescent="0.2">
      <c r="C4311" t="str">
        <f t="shared" si="268"/>
        <v>2533</v>
      </c>
      <c r="D4311" s="73"/>
      <c r="E4311" s="72"/>
      <c r="F4311" s="101"/>
      <c r="G4311" s="96">
        <f t="shared" si="269"/>
        <v>2533</v>
      </c>
      <c r="K4311" t="str">
        <f t="shared" si="270"/>
        <v>2533</v>
      </c>
      <c r="M4311" s="72"/>
      <c r="O4311" s="96">
        <f t="shared" si="271"/>
        <v>2533</v>
      </c>
      <c r="T4311" s="110"/>
    </row>
    <row r="4312" spans="3:20" x14ac:dyDescent="0.2">
      <c r="C4312" t="str">
        <f t="shared" si="268"/>
        <v>2534</v>
      </c>
      <c r="D4312" s="73"/>
      <c r="E4312" s="72"/>
      <c r="F4312" s="101"/>
      <c r="G4312" s="96">
        <f t="shared" si="269"/>
        <v>2534</v>
      </c>
      <c r="K4312" t="str">
        <f t="shared" si="270"/>
        <v>2534</v>
      </c>
      <c r="M4312" s="72"/>
      <c r="O4312" s="96">
        <f t="shared" si="271"/>
        <v>2534</v>
      </c>
      <c r="T4312" s="110"/>
    </row>
    <row r="4313" spans="3:20" x14ac:dyDescent="0.2">
      <c r="C4313" t="str">
        <f t="shared" si="268"/>
        <v>2535</v>
      </c>
      <c r="D4313" s="73"/>
      <c r="E4313" s="72"/>
      <c r="F4313" s="101"/>
      <c r="G4313" s="96">
        <f t="shared" si="269"/>
        <v>2535</v>
      </c>
      <c r="K4313" t="str">
        <f t="shared" si="270"/>
        <v>2535</v>
      </c>
      <c r="M4313" s="72"/>
      <c r="O4313" s="96">
        <f t="shared" si="271"/>
        <v>2535</v>
      </c>
      <c r="T4313" s="110"/>
    </row>
    <row r="4314" spans="3:20" x14ac:dyDescent="0.2">
      <c r="C4314" t="str">
        <f t="shared" si="268"/>
        <v>2536</v>
      </c>
      <c r="D4314" s="73"/>
      <c r="E4314" s="72"/>
      <c r="F4314" s="101"/>
      <c r="G4314" s="96">
        <f t="shared" si="269"/>
        <v>2536</v>
      </c>
      <c r="K4314" t="str">
        <f t="shared" si="270"/>
        <v>2536</v>
      </c>
      <c r="M4314" s="72"/>
      <c r="O4314" s="96">
        <f t="shared" si="271"/>
        <v>2536</v>
      </c>
      <c r="T4314" s="110"/>
    </row>
    <row r="4315" spans="3:20" x14ac:dyDescent="0.2">
      <c r="C4315" t="str">
        <f t="shared" si="268"/>
        <v>2537</v>
      </c>
      <c r="D4315" s="73"/>
      <c r="E4315" s="72"/>
      <c r="F4315" s="101"/>
      <c r="G4315" s="96">
        <f t="shared" si="269"/>
        <v>2537</v>
      </c>
      <c r="K4315" t="str">
        <f t="shared" si="270"/>
        <v>2537</v>
      </c>
      <c r="M4315" s="72"/>
      <c r="O4315" s="96">
        <f t="shared" si="271"/>
        <v>2537</v>
      </c>
      <c r="T4315" s="110"/>
    </row>
    <row r="4316" spans="3:20" x14ac:dyDescent="0.2">
      <c r="C4316" t="str">
        <f t="shared" si="268"/>
        <v>2538</v>
      </c>
      <c r="D4316" s="73"/>
      <c r="E4316" s="72"/>
      <c r="F4316" s="101"/>
      <c r="G4316" s="96">
        <f t="shared" si="269"/>
        <v>2538</v>
      </c>
      <c r="K4316" t="str">
        <f t="shared" si="270"/>
        <v>2538</v>
      </c>
      <c r="M4316" s="72"/>
      <c r="O4316" s="96">
        <f t="shared" si="271"/>
        <v>2538</v>
      </c>
      <c r="T4316" s="110"/>
    </row>
    <row r="4317" spans="3:20" x14ac:dyDescent="0.2">
      <c r="C4317" t="str">
        <f t="shared" si="268"/>
        <v>2539</v>
      </c>
      <c r="D4317" s="73"/>
      <c r="E4317" s="72"/>
      <c r="F4317" s="101"/>
      <c r="G4317" s="96">
        <f t="shared" si="269"/>
        <v>2539</v>
      </c>
      <c r="K4317" t="str">
        <f t="shared" si="270"/>
        <v>2539</v>
      </c>
      <c r="M4317" s="72"/>
      <c r="O4317" s="96">
        <f t="shared" si="271"/>
        <v>2539</v>
      </c>
      <c r="T4317" s="110"/>
    </row>
    <row r="4318" spans="3:20" x14ac:dyDescent="0.2">
      <c r="C4318" t="str">
        <f t="shared" si="268"/>
        <v>2540</v>
      </c>
      <c r="D4318" s="73"/>
      <c r="E4318" s="72"/>
      <c r="F4318" s="101"/>
      <c r="G4318" s="96">
        <f t="shared" si="269"/>
        <v>2540</v>
      </c>
      <c r="K4318" t="str">
        <f t="shared" si="270"/>
        <v>2540</v>
      </c>
      <c r="M4318" s="72"/>
      <c r="O4318" s="96">
        <f t="shared" si="271"/>
        <v>2540</v>
      </c>
      <c r="T4318" s="110"/>
    </row>
    <row r="4319" spans="3:20" x14ac:dyDescent="0.2">
      <c r="C4319" t="str">
        <f t="shared" si="268"/>
        <v>2541</v>
      </c>
      <c r="D4319" s="73"/>
      <c r="E4319" s="72"/>
      <c r="F4319" s="101"/>
      <c r="G4319" s="96">
        <f t="shared" si="269"/>
        <v>2541</v>
      </c>
      <c r="K4319" t="str">
        <f t="shared" si="270"/>
        <v>2541</v>
      </c>
      <c r="M4319" s="72"/>
      <c r="O4319" s="96">
        <f t="shared" si="271"/>
        <v>2541</v>
      </c>
      <c r="T4319" s="110"/>
    </row>
    <row r="4320" spans="3:20" x14ac:dyDescent="0.2">
      <c r="C4320" t="str">
        <f t="shared" si="268"/>
        <v>2542</v>
      </c>
      <c r="D4320" s="73"/>
      <c r="E4320" s="72"/>
      <c r="F4320" s="101"/>
      <c r="G4320" s="96">
        <f t="shared" si="269"/>
        <v>2542</v>
      </c>
      <c r="K4320" t="str">
        <f t="shared" si="270"/>
        <v>2542</v>
      </c>
      <c r="M4320" s="72"/>
      <c r="O4320" s="96">
        <f t="shared" si="271"/>
        <v>2542</v>
      </c>
      <c r="T4320" s="110"/>
    </row>
    <row r="4321" spans="3:20" x14ac:dyDescent="0.2">
      <c r="C4321" t="str">
        <f t="shared" si="268"/>
        <v>2543</v>
      </c>
      <c r="D4321" s="73"/>
      <c r="E4321" s="72"/>
      <c r="F4321" s="101"/>
      <c r="G4321" s="96">
        <f t="shared" si="269"/>
        <v>2543</v>
      </c>
      <c r="K4321" t="str">
        <f t="shared" si="270"/>
        <v>2543</v>
      </c>
      <c r="M4321" s="72"/>
      <c r="O4321" s="96">
        <f t="shared" si="271"/>
        <v>2543</v>
      </c>
      <c r="T4321" s="110"/>
    </row>
    <row r="4322" spans="3:20" x14ac:dyDescent="0.2">
      <c r="C4322" t="str">
        <f t="shared" si="268"/>
        <v>2544</v>
      </c>
      <c r="D4322" s="73"/>
      <c r="E4322" s="72"/>
      <c r="F4322" s="101"/>
      <c r="G4322" s="96">
        <f t="shared" si="269"/>
        <v>2544</v>
      </c>
      <c r="K4322" t="str">
        <f t="shared" si="270"/>
        <v>2544</v>
      </c>
      <c r="M4322" s="72"/>
      <c r="O4322" s="96">
        <f t="shared" si="271"/>
        <v>2544</v>
      </c>
      <c r="T4322" s="110"/>
    </row>
    <row r="4323" spans="3:20" x14ac:dyDescent="0.2">
      <c r="C4323" t="str">
        <f t="shared" si="268"/>
        <v>2545</v>
      </c>
      <c r="D4323" s="73"/>
      <c r="E4323" s="72"/>
      <c r="F4323" s="101"/>
      <c r="G4323" s="96">
        <f t="shared" si="269"/>
        <v>2545</v>
      </c>
      <c r="K4323" t="str">
        <f t="shared" si="270"/>
        <v>2545</v>
      </c>
      <c r="M4323" s="72"/>
      <c r="O4323" s="96">
        <f t="shared" si="271"/>
        <v>2545</v>
      </c>
      <c r="T4323" s="110"/>
    </row>
    <row r="4324" spans="3:20" x14ac:dyDescent="0.2">
      <c r="C4324" t="str">
        <f t="shared" si="268"/>
        <v>2546</v>
      </c>
      <c r="D4324" s="73"/>
      <c r="E4324" s="72"/>
      <c r="F4324" s="101"/>
      <c r="G4324" s="96">
        <f t="shared" si="269"/>
        <v>2546</v>
      </c>
      <c r="K4324" t="str">
        <f t="shared" si="270"/>
        <v>2546</v>
      </c>
      <c r="M4324" s="72"/>
      <c r="O4324" s="96">
        <f t="shared" si="271"/>
        <v>2546</v>
      </c>
      <c r="T4324" s="110"/>
    </row>
    <row r="4325" spans="3:20" x14ac:dyDescent="0.2">
      <c r="C4325" t="str">
        <f t="shared" si="268"/>
        <v>2547</v>
      </c>
      <c r="D4325" s="73"/>
      <c r="E4325" s="72"/>
      <c r="F4325" s="101"/>
      <c r="G4325" s="96">
        <f t="shared" si="269"/>
        <v>2547</v>
      </c>
      <c r="K4325" t="str">
        <f t="shared" si="270"/>
        <v>2547</v>
      </c>
      <c r="M4325" s="72"/>
      <c r="O4325" s="96">
        <f t="shared" si="271"/>
        <v>2547</v>
      </c>
      <c r="T4325" s="110"/>
    </row>
    <row r="4326" spans="3:20" x14ac:dyDescent="0.2">
      <c r="C4326" t="str">
        <f t="shared" si="268"/>
        <v>2548</v>
      </c>
      <c r="D4326" s="73"/>
      <c r="E4326" s="72"/>
      <c r="F4326" s="101"/>
      <c r="G4326" s="96">
        <f t="shared" si="269"/>
        <v>2548</v>
      </c>
      <c r="K4326" t="str">
        <f t="shared" si="270"/>
        <v>2548</v>
      </c>
      <c r="M4326" s="72"/>
      <c r="O4326" s="96">
        <f t="shared" si="271"/>
        <v>2548</v>
      </c>
      <c r="T4326" s="110"/>
    </row>
    <row r="4327" spans="3:20" x14ac:dyDescent="0.2">
      <c r="C4327" t="str">
        <f t="shared" si="268"/>
        <v>2549</v>
      </c>
      <c r="D4327" s="73"/>
      <c r="E4327" s="72"/>
      <c r="F4327" s="101"/>
      <c r="G4327" s="96">
        <f t="shared" si="269"/>
        <v>2549</v>
      </c>
      <c r="K4327" t="str">
        <f t="shared" si="270"/>
        <v>2549</v>
      </c>
      <c r="M4327" s="72"/>
      <c r="O4327" s="96">
        <f t="shared" si="271"/>
        <v>2549</v>
      </c>
      <c r="T4327" s="110"/>
    </row>
    <row r="4328" spans="3:20" x14ac:dyDescent="0.2">
      <c r="C4328" t="str">
        <f t="shared" si="268"/>
        <v>2550</v>
      </c>
      <c r="D4328" s="73"/>
      <c r="E4328" s="72"/>
      <c r="F4328" s="101"/>
      <c r="G4328" s="96">
        <f t="shared" si="269"/>
        <v>2550</v>
      </c>
      <c r="K4328" t="str">
        <f t="shared" si="270"/>
        <v>2550</v>
      </c>
      <c r="M4328" s="72"/>
      <c r="O4328" s="96">
        <f t="shared" si="271"/>
        <v>2550</v>
      </c>
      <c r="T4328" s="110"/>
    </row>
    <row r="4329" spans="3:20" x14ac:dyDescent="0.2">
      <c r="C4329" t="str">
        <f t="shared" si="268"/>
        <v>2551</v>
      </c>
      <c r="D4329" s="73"/>
      <c r="E4329" s="72"/>
      <c r="F4329" s="101"/>
      <c r="G4329" s="96">
        <f t="shared" si="269"/>
        <v>2551</v>
      </c>
      <c r="K4329" t="str">
        <f t="shared" si="270"/>
        <v>2551</v>
      </c>
      <c r="M4329" s="72"/>
      <c r="O4329" s="96">
        <f t="shared" si="271"/>
        <v>2551</v>
      </c>
      <c r="T4329" s="110"/>
    </row>
    <row r="4330" spans="3:20" x14ac:dyDescent="0.2">
      <c r="C4330" t="str">
        <f t="shared" si="268"/>
        <v>2552</v>
      </c>
      <c r="D4330" s="73"/>
      <c r="E4330" s="72"/>
      <c r="F4330" s="101"/>
      <c r="G4330" s="96">
        <f t="shared" si="269"/>
        <v>2552</v>
      </c>
      <c r="K4330" t="str">
        <f t="shared" si="270"/>
        <v>2552</v>
      </c>
      <c r="M4330" s="72"/>
      <c r="O4330" s="96">
        <f t="shared" si="271"/>
        <v>2552</v>
      </c>
      <c r="T4330" s="110"/>
    </row>
    <row r="4331" spans="3:20" x14ac:dyDescent="0.2">
      <c r="C4331" t="str">
        <f t="shared" si="268"/>
        <v>2553</v>
      </c>
      <c r="D4331" s="73"/>
      <c r="E4331" s="72"/>
      <c r="F4331" s="101"/>
      <c r="G4331" s="96">
        <f t="shared" si="269"/>
        <v>2553</v>
      </c>
      <c r="K4331" t="str">
        <f t="shared" si="270"/>
        <v>2553</v>
      </c>
      <c r="M4331" s="72"/>
      <c r="O4331" s="96">
        <f t="shared" si="271"/>
        <v>2553</v>
      </c>
      <c r="T4331" s="110"/>
    </row>
    <row r="4332" spans="3:20" x14ac:dyDescent="0.2">
      <c r="C4332" t="str">
        <f t="shared" si="268"/>
        <v>2554</v>
      </c>
      <c r="D4332" s="73"/>
      <c r="E4332" s="72"/>
      <c r="F4332" s="101"/>
      <c r="G4332" s="96">
        <f t="shared" si="269"/>
        <v>2554</v>
      </c>
      <c r="K4332" t="str">
        <f t="shared" si="270"/>
        <v>2554</v>
      </c>
      <c r="M4332" s="72"/>
      <c r="O4332" s="96">
        <f t="shared" si="271"/>
        <v>2554</v>
      </c>
      <c r="T4332" s="110"/>
    </row>
    <row r="4333" spans="3:20" x14ac:dyDescent="0.2">
      <c r="C4333" t="str">
        <f t="shared" si="268"/>
        <v>2555</v>
      </c>
      <c r="D4333" s="73"/>
      <c r="E4333" s="72"/>
      <c r="F4333" s="101"/>
      <c r="G4333" s="96">
        <f t="shared" si="269"/>
        <v>2555</v>
      </c>
      <c r="K4333" t="str">
        <f t="shared" si="270"/>
        <v>2555</v>
      </c>
      <c r="M4333" s="72"/>
      <c r="O4333" s="96">
        <f t="shared" si="271"/>
        <v>2555</v>
      </c>
      <c r="T4333" s="110"/>
    </row>
    <row r="4334" spans="3:20" x14ac:dyDescent="0.2">
      <c r="C4334" t="str">
        <f t="shared" si="268"/>
        <v>2556</v>
      </c>
      <c r="D4334" s="73"/>
      <c r="E4334" s="72"/>
      <c r="F4334" s="101"/>
      <c r="G4334" s="96">
        <f t="shared" si="269"/>
        <v>2556</v>
      </c>
      <c r="K4334" t="str">
        <f t="shared" si="270"/>
        <v>2556</v>
      </c>
      <c r="M4334" s="72"/>
      <c r="O4334" s="96">
        <f t="shared" si="271"/>
        <v>2556</v>
      </c>
      <c r="T4334" s="110"/>
    </row>
    <row r="4335" spans="3:20" x14ac:dyDescent="0.2">
      <c r="C4335" t="str">
        <f t="shared" si="268"/>
        <v>2557</v>
      </c>
      <c r="D4335" s="73"/>
      <c r="E4335" s="72"/>
      <c r="F4335" s="101"/>
      <c r="G4335" s="96">
        <f t="shared" si="269"/>
        <v>2557</v>
      </c>
      <c r="K4335" t="str">
        <f t="shared" si="270"/>
        <v>2557</v>
      </c>
      <c r="M4335" s="72"/>
      <c r="O4335" s="96">
        <f t="shared" si="271"/>
        <v>2557</v>
      </c>
      <c r="T4335" s="110"/>
    </row>
    <row r="4336" spans="3:20" x14ac:dyDescent="0.2">
      <c r="C4336" t="str">
        <f t="shared" si="268"/>
        <v>2558</v>
      </c>
      <c r="D4336" s="73"/>
      <c r="E4336" s="72"/>
      <c r="F4336" s="101"/>
      <c r="G4336" s="96">
        <f t="shared" si="269"/>
        <v>2558</v>
      </c>
      <c r="K4336" t="str">
        <f t="shared" si="270"/>
        <v>2558</v>
      </c>
      <c r="M4336" s="72"/>
      <c r="O4336" s="96">
        <f t="shared" si="271"/>
        <v>2558</v>
      </c>
      <c r="T4336" s="110"/>
    </row>
    <row r="4337" spans="3:20" x14ac:dyDescent="0.2">
      <c r="C4337" t="str">
        <f t="shared" si="268"/>
        <v>2559</v>
      </c>
      <c r="D4337" s="73"/>
      <c r="E4337" s="72"/>
      <c r="F4337" s="101"/>
      <c r="G4337" s="96">
        <f t="shared" si="269"/>
        <v>2559</v>
      </c>
      <c r="K4337" t="str">
        <f t="shared" si="270"/>
        <v>2559</v>
      </c>
      <c r="M4337" s="72"/>
      <c r="O4337" s="96">
        <f t="shared" si="271"/>
        <v>2559</v>
      </c>
      <c r="T4337" s="110"/>
    </row>
    <row r="4338" spans="3:20" x14ac:dyDescent="0.2">
      <c r="C4338" t="str">
        <f t="shared" si="268"/>
        <v>2560</v>
      </c>
      <c r="D4338" s="73"/>
      <c r="E4338" s="72"/>
      <c r="F4338" s="101"/>
      <c r="G4338" s="96">
        <f t="shared" si="269"/>
        <v>2560</v>
      </c>
      <c r="K4338" t="str">
        <f t="shared" si="270"/>
        <v>2560</v>
      </c>
      <c r="M4338" s="72"/>
      <c r="O4338" s="96">
        <f t="shared" si="271"/>
        <v>2560</v>
      </c>
      <c r="T4338" s="110"/>
    </row>
    <row r="4339" spans="3:20" x14ac:dyDescent="0.2">
      <c r="C4339" t="str">
        <f t="shared" si="268"/>
        <v>2561</v>
      </c>
      <c r="D4339" s="73"/>
      <c r="E4339" s="72"/>
      <c r="F4339" s="101"/>
      <c r="G4339" s="96">
        <f t="shared" si="269"/>
        <v>2561</v>
      </c>
      <c r="K4339" t="str">
        <f t="shared" si="270"/>
        <v>2561</v>
      </c>
      <c r="M4339" s="72"/>
      <c r="O4339" s="96">
        <f t="shared" si="271"/>
        <v>2561</v>
      </c>
      <c r="T4339" s="110"/>
    </row>
    <row r="4340" spans="3:20" x14ac:dyDescent="0.2">
      <c r="C4340" t="str">
        <f t="shared" si="268"/>
        <v>2562</v>
      </c>
      <c r="D4340" s="73"/>
      <c r="E4340" s="72"/>
      <c r="F4340" s="101"/>
      <c r="G4340" s="96">
        <f t="shared" si="269"/>
        <v>2562</v>
      </c>
      <c r="K4340" t="str">
        <f t="shared" si="270"/>
        <v>2562</v>
      </c>
      <c r="M4340" s="72"/>
      <c r="O4340" s="96">
        <f t="shared" si="271"/>
        <v>2562</v>
      </c>
      <c r="T4340" s="110"/>
    </row>
    <row r="4341" spans="3:20" x14ac:dyDescent="0.2">
      <c r="C4341" t="str">
        <f t="shared" si="268"/>
        <v>2563</v>
      </c>
      <c r="D4341" s="73"/>
      <c r="E4341" s="72"/>
      <c r="F4341" s="101"/>
      <c r="G4341" s="96">
        <f t="shared" si="269"/>
        <v>2563</v>
      </c>
      <c r="K4341" t="str">
        <f t="shared" si="270"/>
        <v>2563</v>
      </c>
      <c r="M4341" s="72"/>
      <c r="O4341" s="96">
        <f t="shared" si="271"/>
        <v>2563</v>
      </c>
      <c r="T4341" s="110"/>
    </row>
    <row r="4342" spans="3:20" x14ac:dyDescent="0.2">
      <c r="C4342" t="str">
        <f t="shared" si="268"/>
        <v>2564</v>
      </c>
      <c r="D4342" s="73"/>
      <c r="E4342" s="72"/>
      <c r="F4342" s="101"/>
      <c r="G4342" s="96">
        <f t="shared" si="269"/>
        <v>2564</v>
      </c>
      <c r="K4342" t="str">
        <f t="shared" si="270"/>
        <v>2564</v>
      </c>
      <c r="M4342" s="72"/>
      <c r="O4342" s="96">
        <f t="shared" si="271"/>
        <v>2564</v>
      </c>
      <c r="T4342" s="110"/>
    </row>
    <row r="4343" spans="3:20" x14ac:dyDescent="0.2">
      <c r="C4343" t="str">
        <f t="shared" si="268"/>
        <v>2565</v>
      </c>
      <c r="D4343" s="73"/>
      <c r="E4343" s="72"/>
      <c r="F4343" s="101"/>
      <c r="G4343" s="96">
        <f t="shared" si="269"/>
        <v>2565</v>
      </c>
      <c r="K4343" t="str">
        <f t="shared" si="270"/>
        <v>2565</v>
      </c>
      <c r="M4343" s="72"/>
      <c r="O4343" s="96">
        <f t="shared" si="271"/>
        <v>2565</v>
      </c>
      <c r="T4343" s="110"/>
    </row>
    <row r="4344" spans="3:20" x14ac:dyDescent="0.2">
      <c r="C4344" t="str">
        <f t="shared" si="268"/>
        <v>2566</v>
      </c>
      <c r="D4344" s="73"/>
      <c r="E4344" s="72"/>
      <c r="F4344" s="101"/>
      <c r="G4344" s="96">
        <f t="shared" si="269"/>
        <v>2566</v>
      </c>
      <c r="K4344" t="str">
        <f t="shared" si="270"/>
        <v>2566</v>
      </c>
      <c r="M4344" s="72"/>
      <c r="O4344" s="96">
        <f t="shared" si="271"/>
        <v>2566</v>
      </c>
      <c r="T4344" s="110"/>
    </row>
    <row r="4345" spans="3:20" x14ac:dyDescent="0.2">
      <c r="C4345" t="str">
        <f t="shared" si="268"/>
        <v>2567</v>
      </c>
      <c r="D4345" s="73"/>
      <c r="E4345" s="72"/>
      <c r="F4345" s="101"/>
      <c r="G4345" s="96">
        <f t="shared" si="269"/>
        <v>2567</v>
      </c>
      <c r="K4345" t="str">
        <f t="shared" si="270"/>
        <v>2567</v>
      </c>
      <c r="M4345" s="72"/>
      <c r="O4345" s="96">
        <f t="shared" si="271"/>
        <v>2567</v>
      </c>
      <c r="T4345" s="110"/>
    </row>
    <row r="4346" spans="3:20" x14ac:dyDescent="0.2">
      <c r="C4346" t="str">
        <f t="shared" si="268"/>
        <v>2568</v>
      </c>
      <c r="D4346" s="73"/>
      <c r="E4346" s="72"/>
      <c r="F4346" s="101"/>
      <c r="G4346" s="96">
        <f t="shared" si="269"/>
        <v>2568</v>
      </c>
      <c r="K4346" t="str">
        <f t="shared" si="270"/>
        <v>2568</v>
      </c>
      <c r="M4346" s="72"/>
      <c r="O4346" s="96">
        <f t="shared" si="271"/>
        <v>2568</v>
      </c>
    </row>
    <row r="4347" spans="3:20" x14ac:dyDescent="0.2">
      <c r="C4347" t="str">
        <f t="shared" si="268"/>
        <v>2569</v>
      </c>
      <c r="D4347" s="73"/>
      <c r="E4347" s="72"/>
      <c r="F4347" s="101"/>
      <c r="G4347" s="96">
        <f t="shared" si="269"/>
        <v>2569</v>
      </c>
      <c r="K4347" t="str">
        <f t="shared" si="270"/>
        <v>2569</v>
      </c>
      <c r="M4347" s="72"/>
      <c r="O4347" s="96">
        <f t="shared" si="271"/>
        <v>2569</v>
      </c>
      <c r="T4347" s="110"/>
    </row>
    <row r="4348" spans="3:20" x14ac:dyDescent="0.2">
      <c r="C4348" t="str">
        <f t="shared" si="268"/>
        <v>2570</v>
      </c>
      <c r="D4348" s="73"/>
      <c r="E4348" s="72"/>
      <c r="F4348" s="101"/>
      <c r="G4348" s="96">
        <f t="shared" si="269"/>
        <v>2570</v>
      </c>
      <c r="K4348" t="str">
        <f t="shared" si="270"/>
        <v>2570</v>
      </c>
      <c r="M4348" s="72"/>
      <c r="O4348" s="96">
        <f t="shared" si="271"/>
        <v>2570</v>
      </c>
      <c r="T4348" s="110"/>
    </row>
    <row r="4349" spans="3:20" x14ac:dyDescent="0.2">
      <c r="C4349" t="str">
        <f t="shared" si="268"/>
        <v>2571</v>
      </c>
      <c r="D4349" s="73"/>
      <c r="E4349" s="72"/>
      <c r="F4349" s="101"/>
      <c r="G4349" s="96">
        <f t="shared" si="269"/>
        <v>2571</v>
      </c>
      <c r="K4349" t="str">
        <f t="shared" si="270"/>
        <v>2571</v>
      </c>
      <c r="M4349" s="72"/>
      <c r="O4349" s="96">
        <f t="shared" si="271"/>
        <v>2571</v>
      </c>
      <c r="T4349" s="110"/>
    </row>
    <row r="4350" spans="3:20" x14ac:dyDescent="0.2">
      <c r="C4350" t="str">
        <f t="shared" si="268"/>
        <v>2572</v>
      </c>
      <c r="D4350" s="73"/>
      <c r="E4350" s="72"/>
      <c r="F4350" s="101"/>
      <c r="G4350" s="96">
        <f t="shared" si="269"/>
        <v>2572</v>
      </c>
      <c r="K4350" t="str">
        <f t="shared" si="270"/>
        <v>2572</v>
      </c>
      <c r="M4350" s="72"/>
      <c r="O4350" s="96">
        <f t="shared" si="271"/>
        <v>2572</v>
      </c>
    </row>
    <row r="4351" spans="3:20" x14ac:dyDescent="0.2">
      <c r="C4351" t="str">
        <f t="shared" si="268"/>
        <v>2573</v>
      </c>
      <c r="D4351" s="73"/>
      <c r="E4351" s="72"/>
      <c r="F4351" s="101"/>
      <c r="G4351" s="96">
        <f t="shared" si="269"/>
        <v>2573</v>
      </c>
      <c r="K4351" t="str">
        <f t="shared" si="270"/>
        <v>2573</v>
      </c>
      <c r="M4351" s="72"/>
      <c r="O4351" s="96">
        <f t="shared" si="271"/>
        <v>2573</v>
      </c>
    </row>
    <row r="4352" spans="3:20" x14ac:dyDescent="0.2">
      <c r="C4352" t="str">
        <f t="shared" si="268"/>
        <v>2574</v>
      </c>
      <c r="D4352" s="73"/>
      <c r="E4352" s="72"/>
      <c r="F4352" s="101"/>
      <c r="G4352" s="96">
        <f t="shared" si="269"/>
        <v>2574</v>
      </c>
      <c r="K4352" t="str">
        <f t="shared" si="270"/>
        <v>2574</v>
      </c>
      <c r="M4352" s="72"/>
      <c r="O4352" s="96">
        <f t="shared" si="271"/>
        <v>2574</v>
      </c>
      <c r="T4352" s="110"/>
    </row>
    <row r="4353" spans="3:20" x14ac:dyDescent="0.2">
      <c r="C4353" t="str">
        <f t="shared" si="268"/>
        <v>2575</v>
      </c>
      <c r="D4353" s="73"/>
      <c r="E4353" s="72"/>
      <c r="F4353" s="101"/>
      <c r="G4353" s="96">
        <f t="shared" si="269"/>
        <v>2575</v>
      </c>
      <c r="K4353" t="str">
        <f t="shared" si="270"/>
        <v>2575</v>
      </c>
      <c r="M4353" s="72"/>
      <c r="O4353" s="96">
        <f t="shared" si="271"/>
        <v>2575</v>
      </c>
      <c r="T4353" s="110"/>
    </row>
    <row r="4354" spans="3:20" x14ac:dyDescent="0.2">
      <c r="C4354" t="str">
        <f t="shared" si="268"/>
        <v>2576</v>
      </c>
      <c r="D4354" s="73"/>
      <c r="E4354" s="72"/>
      <c r="F4354" s="101"/>
      <c r="G4354" s="96">
        <f t="shared" si="269"/>
        <v>2576</v>
      </c>
      <c r="K4354" t="str">
        <f t="shared" si="270"/>
        <v>2576</v>
      </c>
      <c r="M4354" s="72"/>
      <c r="O4354" s="96">
        <f t="shared" si="271"/>
        <v>2576</v>
      </c>
      <c r="T4354" s="110"/>
    </row>
    <row r="4355" spans="3:20" x14ac:dyDescent="0.2">
      <c r="C4355" t="str">
        <f t="shared" ref="C4355:C4418" si="272">D4355&amp;G4355</f>
        <v>2577</v>
      </c>
      <c r="D4355" s="73"/>
      <c r="E4355" s="72"/>
      <c r="F4355" s="101"/>
      <c r="G4355" s="96">
        <f t="shared" ref="G4355:G4418" si="273">IF(D4355&lt;&gt;D4354,1,G4354+1)</f>
        <v>2577</v>
      </c>
      <c r="K4355" t="str">
        <f t="shared" ref="K4355:K4418" si="274">L4355&amp;O4355</f>
        <v>2577</v>
      </c>
      <c r="M4355" s="72"/>
      <c r="O4355" s="96">
        <f t="shared" ref="O4355:O4418" si="275">IF(L4355&lt;&gt;L4354,1,O4354+1)</f>
        <v>2577</v>
      </c>
      <c r="T4355" s="110"/>
    </row>
    <row r="4356" spans="3:20" x14ac:dyDescent="0.2">
      <c r="C4356" t="str">
        <f t="shared" si="272"/>
        <v>2578</v>
      </c>
      <c r="D4356" s="73"/>
      <c r="E4356" s="72"/>
      <c r="F4356" s="101"/>
      <c r="G4356" s="96">
        <f t="shared" si="273"/>
        <v>2578</v>
      </c>
      <c r="K4356" t="str">
        <f t="shared" si="274"/>
        <v>2578</v>
      </c>
      <c r="M4356" s="72"/>
      <c r="O4356" s="96">
        <f t="shared" si="275"/>
        <v>2578</v>
      </c>
      <c r="T4356" s="110"/>
    </row>
    <row r="4357" spans="3:20" x14ac:dyDescent="0.2">
      <c r="C4357" t="str">
        <f t="shared" si="272"/>
        <v>2579</v>
      </c>
      <c r="D4357" s="73"/>
      <c r="E4357" s="72"/>
      <c r="F4357" s="101"/>
      <c r="G4357" s="96">
        <f t="shared" si="273"/>
        <v>2579</v>
      </c>
      <c r="K4357" t="str">
        <f t="shared" si="274"/>
        <v>2579</v>
      </c>
      <c r="M4357" s="72"/>
      <c r="O4357" s="96">
        <f t="shared" si="275"/>
        <v>2579</v>
      </c>
      <c r="T4357" s="110"/>
    </row>
    <row r="4358" spans="3:20" x14ac:dyDescent="0.2">
      <c r="C4358" t="str">
        <f t="shared" si="272"/>
        <v>2580</v>
      </c>
      <c r="D4358" s="73"/>
      <c r="E4358" s="72"/>
      <c r="F4358" s="101"/>
      <c r="G4358" s="96">
        <f t="shared" si="273"/>
        <v>2580</v>
      </c>
      <c r="K4358" t="str">
        <f t="shared" si="274"/>
        <v>2580</v>
      </c>
      <c r="M4358" s="72"/>
      <c r="O4358" s="96">
        <f t="shared" si="275"/>
        <v>2580</v>
      </c>
      <c r="T4358" s="110"/>
    </row>
    <row r="4359" spans="3:20" x14ac:dyDescent="0.2">
      <c r="C4359" t="str">
        <f t="shared" si="272"/>
        <v>2581</v>
      </c>
      <c r="D4359" s="73"/>
      <c r="E4359" s="72"/>
      <c r="F4359" s="101"/>
      <c r="G4359" s="96">
        <f t="shared" si="273"/>
        <v>2581</v>
      </c>
      <c r="K4359" t="str">
        <f t="shared" si="274"/>
        <v>2581</v>
      </c>
      <c r="M4359" s="72"/>
      <c r="O4359" s="96">
        <f t="shared" si="275"/>
        <v>2581</v>
      </c>
      <c r="T4359" s="110"/>
    </row>
    <row r="4360" spans="3:20" x14ac:dyDescent="0.2">
      <c r="C4360" t="str">
        <f t="shared" si="272"/>
        <v>2582</v>
      </c>
      <c r="D4360" s="73"/>
      <c r="E4360" s="72"/>
      <c r="F4360" s="101"/>
      <c r="G4360" s="96">
        <f t="shared" si="273"/>
        <v>2582</v>
      </c>
      <c r="K4360" t="str">
        <f t="shared" si="274"/>
        <v>2582</v>
      </c>
      <c r="M4360" s="72"/>
      <c r="O4360" s="96">
        <f t="shared" si="275"/>
        <v>2582</v>
      </c>
      <c r="T4360" s="110"/>
    </row>
    <row r="4361" spans="3:20" x14ac:dyDescent="0.2">
      <c r="C4361" t="str">
        <f t="shared" si="272"/>
        <v>2583</v>
      </c>
      <c r="D4361" s="73"/>
      <c r="E4361" s="72"/>
      <c r="F4361" s="101"/>
      <c r="G4361" s="96">
        <f t="shared" si="273"/>
        <v>2583</v>
      </c>
      <c r="K4361" t="str">
        <f t="shared" si="274"/>
        <v>2583</v>
      </c>
      <c r="M4361" s="72"/>
      <c r="O4361" s="96">
        <f t="shared" si="275"/>
        <v>2583</v>
      </c>
      <c r="T4361" s="110"/>
    </row>
    <row r="4362" spans="3:20" x14ac:dyDescent="0.2">
      <c r="C4362" t="str">
        <f t="shared" si="272"/>
        <v>2584</v>
      </c>
      <c r="D4362" s="73"/>
      <c r="E4362" s="72"/>
      <c r="F4362" s="101"/>
      <c r="G4362" s="96">
        <f t="shared" si="273"/>
        <v>2584</v>
      </c>
      <c r="K4362" t="str">
        <f t="shared" si="274"/>
        <v>2584</v>
      </c>
      <c r="M4362" s="72"/>
      <c r="O4362" s="96">
        <f t="shared" si="275"/>
        <v>2584</v>
      </c>
      <c r="T4362" s="110"/>
    </row>
    <row r="4363" spans="3:20" x14ac:dyDescent="0.2">
      <c r="C4363" t="str">
        <f t="shared" si="272"/>
        <v>2585</v>
      </c>
      <c r="D4363" s="73"/>
      <c r="E4363" s="72"/>
      <c r="F4363" s="101"/>
      <c r="G4363" s="96">
        <f t="shared" si="273"/>
        <v>2585</v>
      </c>
      <c r="K4363" t="str">
        <f t="shared" si="274"/>
        <v>2585</v>
      </c>
      <c r="M4363" s="72"/>
      <c r="O4363" s="96">
        <f t="shared" si="275"/>
        <v>2585</v>
      </c>
      <c r="T4363" s="110"/>
    </row>
    <row r="4364" spans="3:20" x14ac:dyDescent="0.2">
      <c r="C4364" t="str">
        <f t="shared" si="272"/>
        <v>2586</v>
      </c>
      <c r="D4364" s="73"/>
      <c r="E4364" s="72"/>
      <c r="F4364" s="101"/>
      <c r="G4364" s="96">
        <f t="shared" si="273"/>
        <v>2586</v>
      </c>
      <c r="K4364" t="str">
        <f t="shared" si="274"/>
        <v>2586</v>
      </c>
      <c r="M4364" s="72"/>
      <c r="O4364" s="96">
        <f t="shared" si="275"/>
        <v>2586</v>
      </c>
      <c r="T4364" s="110"/>
    </row>
    <row r="4365" spans="3:20" x14ac:dyDescent="0.2">
      <c r="C4365" t="str">
        <f t="shared" si="272"/>
        <v>2587</v>
      </c>
      <c r="D4365" s="73"/>
      <c r="E4365" s="72"/>
      <c r="F4365" s="101"/>
      <c r="G4365" s="96">
        <f t="shared" si="273"/>
        <v>2587</v>
      </c>
      <c r="K4365" t="str">
        <f t="shared" si="274"/>
        <v>2587</v>
      </c>
      <c r="M4365" s="72"/>
      <c r="O4365" s="96">
        <f t="shared" si="275"/>
        <v>2587</v>
      </c>
      <c r="T4365" s="110"/>
    </row>
    <row r="4366" spans="3:20" x14ac:dyDescent="0.2">
      <c r="C4366" t="str">
        <f t="shared" si="272"/>
        <v>2588</v>
      </c>
      <c r="D4366" s="73"/>
      <c r="E4366" s="72"/>
      <c r="F4366" s="101"/>
      <c r="G4366" s="96">
        <f t="shared" si="273"/>
        <v>2588</v>
      </c>
      <c r="K4366" t="str">
        <f t="shared" si="274"/>
        <v>2588</v>
      </c>
      <c r="M4366" s="72"/>
      <c r="O4366" s="96">
        <f t="shared" si="275"/>
        <v>2588</v>
      </c>
      <c r="T4366" s="110"/>
    </row>
    <row r="4367" spans="3:20" x14ac:dyDescent="0.2">
      <c r="C4367" t="str">
        <f t="shared" si="272"/>
        <v>2589</v>
      </c>
      <c r="D4367" s="73"/>
      <c r="E4367" s="72"/>
      <c r="F4367" s="101"/>
      <c r="G4367" s="96">
        <f t="shared" si="273"/>
        <v>2589</v>
      </c>
      <c r="K4367" t="str">
        <f t="shared" si="274"/>
        <v>2589</v>
      </c>
      <c r="M4367" s="72"/>
      <c r="O4367" s="96">
        <f t="shared" si="275"/>
        <v>2589</v>
      </c>
      <c r="T4367" s="110"/>
    </row>
    <row r="4368" spans="3:20" x14ac:dyDescent="0.2">
      <c r="C4368" t="str">
        <f t="shared" si="272"/>
        <v>2590</v>
      </c>
      <c r="D4368" s="73"/>
      <c r="E4368" s="72"/>
      <c r="F4368" s="101"/>
      <c r="G4368" s="96">
        <f t="shared" si="273"/>
        <v>2590</v>
      </c>
      <c r="K4368" t="str">
        <f t="shared" si="274"/>
        <v>2590</v>
      </c>
      <c r="M4368" s="72"/>
      <c r="O4368" s="96">
        <f t="shared" si="275"/>
        <v>2590</v>
      </c>
      <c r="T4368" s="110"/>
    </row>
    <row r="4369" spans="3:20" x14ac:dyDescent="0.2">
      <c r="C4369" t="str">
        <f t="shared" si="272"/>
        <v>2591</v>
      </c>
      <c r="D4369" s="73"/>
      <c r="E4369" s="72"/>
      <c r="F4369" s="101"/>
      <c r="G4369" s="96">
        <f t="shared" si="273"/>
        <v>2591</v>
      </c>
      <c r="K4369" t="str">
        <f t="shared" si="274"/>
        <v>2591</v>
      </c>
      <c r="M4369" s="72"/>
      <c r="O4369" s="96">
        <f t="shared" si="275"/>
        <v>2591</v>
      </c>
      <c r="T4369" s="110"/>
    </row>
    <row r="4370" spans="3:20" x14ac:dyDescent="0.2">
      <c r="C4370" t="str">
        <f t="shared" si="272"/>
        <v>2592</v>
      </c>
      <c r="D4370" s="73"/>
      <c r="E4370" s="72"/>
      <c r="F4370" s="101"/>
      <c r="G4370" s="96">
        <f t="shared" si="273"/>
        <v>2592</v>
      </c>
      <c r="K4370" t="str">
        <f t="shared" si="274"/>
        <v>2592</v>
      </c>
      <c r="M4370" s="72"/>
      <c r="O4370" s="96">
        <f t="shared" si="275"/>
        <v>2592</v>
      </c>
      <c r="T4370" s="110"/>
    </row>
    <row r="4371" spans="3:20" x14ac:dyDescent="0.2">
      <c r="C4371" t="str">
        <f t="shared" si="272"/>
        <v>2593</v>
      </c>
      <c r="D4371" s="73"/>
      <c r="E4371" s="72"/>
      <c r="F4371" s="101"/>
      <c r="G4371" s="96">
        <f t="shared" si="273"/>
        <v>2593</v>
      </c>
      <c r="K4371" t="str">
        <f t="shared" si="274"/>
        <v>2593</v>
      </c>
      <c r="M4371" s="72"/>
      <c r="O4371" s="96">
        <f t="shared" si="275"/>
        <v>2593</v>
      </c>
      <c r="T4371" s="110"/>
    </row>
    <row r="4372" spans="3:20" x14ac:dyDescent="0.2">
      <c r="C4372" t="str">
        <f t="shared" si="272"/>
        <v>2594</v>
      </c>
      <c r="D4372" s="73"/>
      <c r="E4372" s="72"/>
      <c r="F4372" s="101"/>
      <c r="G4372" s="96">
        <f t="shared" si="273"/>
        <v>2594</v>
      </c>
      <c r="K4372" t="str">
        <f t="shared" si="274"/>
        <v>2594</v>
      </c>
      <c r="M4372" s="72"/>
      <c r="O4372" s="96">
        <f t="shared" si="275"/>
        <v>2594</v>
      </c>
      <c r="T4372" s="110"/>
    </row>
    <row r="4373" spans="3:20" x14ac:dyDescent="0.2">
      <c r="C4373" t="str">
        <f t="shared" si="272"/>
        <v>2595</v>
      </c>
      <c r="D4373" s="73"/>
      <c r="E4373" s="72"/>
      <c r="F4373" s="101"/>
      <c r="G4373" s="96">
        <f t="shared" si="273"/>
        <v>2595</v>
      </c>
      <c r="K4373" t="str">
        <f t="shared" si="274"/>
        <v>2595</v>
      </c>
      <c r="M4373" s="72"/>
      <c r="O4373" s="96">
        <f t="shared" si="275"/>
        <v>2595</v>
      </c>
      <c r="T4373" s="110"/>
    </row>
    <row r="4374" spans="3:20" x14ac:dyDescent="0.2">
      <c r="C4374" t="str">
        <f t="shared" si="272"/>
        <v>2596</v>
      </c>
      <c r="D4374" s="73"/>
      <c r="E4374" s="72"/>
      <c r="F4374" s="101"/>
      <c r="G4374" s="96">
        <f t="shared" si="273"/>
        <v>2596</v>
      </c>
      <c r="K4374" t="str">
        <f t="shared" si="274"/>
        <v>2596</v>
      </c>
      <c r="M4374" s="72"/>
      <c r="O4374" s="96">
        <f t="shared" si="275"/>
        <v>2596</v>
      </c>
      <c r="T4374" s="110"/>
    </row>
    <row r="4375" spans="3:20" x14ac:dyDescent="0.2">
      <c r="C4375" t="str">
        <f t="shared" si="272"/>
        <v>2597</v>
      </c>
      <c r="D4375" s="73"/>
      <c r="E4375" s="72"/>
      <c r="F4375" s="101"/>
      <c r="G4375" s="96">
        <f t="shared" si="273"/>
        <v>2597</v>
      </c>
      <c r="K4375" t="str">
        <f t="shared" si="274"/>
        <v>2597</v>
      </c>
      <c r="M4375" s="72"/>
      <c r="O4375" s="96">
        <f t="shared" si="275"/>
        <v>2597</v>
      </c>
      <c r="T4375" s="110"/>
    </row>
    <row r="4376" spans="3:20" x14ac:dyDescent="0.2">
      <c r="C4376" t="str">
        <f t="shared" si="272"/>
        <v>2598</v>
      </c>
      <c r="D4376" s="73"/>
      <c r="E4376" s="72"/>
      <c r="F4376" s="101"/>
      <c r="G4376" s="96">
        <f t="shared" si="273"/>
        <v>2598</v>
      </c>
      <c r="K4376" t="str">
        <f t="shared" si="274"/>
        <v>2598</v>
      </c>
      <c r="M4376" s="72"/>
      <c r="O4376" s="96">
        <f t="shared" si="275"/>
        <v>2598</v>
      </c>
      <c r="T4376" s="110"/>
    </row>
    <row r="4377" spans="3:20" x14ac:dyDescent="0.2">
      <c r="C4377" t="str">
        <f t="shared" si="272"/>
        <v>2599</v>
      </c>
      <c r="D4377" s="73"/>
      <c r="E4377" s="72"/>
      <c r="F4377" s="101"/>
      <c r="G4377" s="96">
        <f t="shared" si="273"/>
        <v>2599</v>
      </c>
      <c r="K4377" t="str">
        <f t="shared" si="274"/>
        <v>2599</v>
      </c>
      <c r="M4377" s="72"/>
      <c r="O4377" s="96">
        <f t="shared" si="275"/>
        <v>2599</v>
      </c>
      <c r="T4377" s="110"/>
    </row>
    <row r="4378" spans="3:20" x14ac:dyDescent="0.2">
      <c r="C4378" t="str">
        <f t="shared" si="272"/>
        <v>2600</v>
      </c>
      <c r="D4378" s="73"/>
      <c r="E4378" s="72"/>
      <c r="F4378" s="101"/>
      <c r="G4378" s="96">
        <f t="shared" si="273"/>
        <v>2600</v>
      </c>
      <c r="K4378" t="str">
        <f t="shared" si="274"/>
        <v>2600</v>
      </c>
      <c r="M4378" s="72"/>
      <c r="O4378" s="96">
        <f t="shared" si="275"/>
        <v>2600</v>
      </c>
      <c r="T4378" s="110"/>
    </row>
    <row r="4379" spans="3:20" x14ac:dyDescent="0.2">
      <c r="C4379" t="str">
        <f t="shared" si="272"/>
        <v>2601</v>
      </c>
      <c r="D4379" s="73"/>
      <c r="E4379" s="72"/>
      <c r="F4379" s="101"/>
      <c r="G4379" s="96">
        <f t="shared" si="273"/>
        <v>2601</v>
      </c>
      <c r="K4379" t="str">
        <f t="shared" si="274"/>
        <v>2601</v>
      </c>
      <c r="M4379" s="72"/>
      <c r="O4379" s="96">
        <f t="shared" si="275"/>
        <v>2601</v>
      </c>
      <c r="T4379" s="110"/>
    </row>
    <row r="4380" spans="3:20" x14ac:dyDescent="0.2">
      <c r="C4380" t="str">
        <f t="shared" si="272"/>
        <v>2602</v>
      </c>
      <c r="D4380" s="73"/>
      <c r="E4380" s="72"/>
      <c r="F4380" s="101"/>
      <c r="G4380" s="96">
        <f t="shared" si="273"/>
        <v>2602</v>
      </c>
      <c r="K4380" t="str">
        <f t="shared" si="274"/>
        <v>2602</v>
      </c>
      <c r="M4380" s="72"/>
      <c r="O4380" s="96">
        <f t="shared" si="275"/>
        <v>2602</v>
      </c>
      <c r="T4380" s="110"/>
    </row>
    <row r="4381" spans="3:20" x14ac:dyDescent="0.2">
      <c r="C4381" t="str">
        <f t="shared" si="272"/>
        <v>2603</v>
      </c>
      <c r="D4381" s="73"/>
      <c r="E4381" s="72"/>
      <c r="F4381" s="101"/>
      <c r="G4381" s="96">
        <f t="shared" si="273"/>
        <v>2603</v>
      </c>
      <c r="K4381" t="str">
        <f t="shared" si="274"/>
        <v>2603</v>
      </c>
      <c r="M4381" s="72"/>
      <c r="O4381" s="96">
        <f t="shared" si="275"/>
        <v>2603</v>
      </c>
      <c r="T4381" s="110"/>
    </row>
    <row r="4382" spans="3:20" x14ac:dyDescent="0.2">
      <c r="C4382" t="str">
        <f t="shared" si="272"/>
        <v>2604</v>
      </c>
      <c r="D4382" s="73"/>
      <c r="E4382" s="72"/>
      <c r="F4382" s="101"/>
      <c r="G4382" s="96">
        <f t="shared" si="273"/>
        <v>2604</v>
      </c>
      <c r="K4382" t="str">
        <f t="shared" si="274"/>
        <v>2604</v>
      </c>
      <c r="M4382" s="72"/>
      <c r="O4382" s="96">
        <f t="shared" si="275"/>
        <v>2604</v>
      </c>
      <c r="T4382" s="110"/>
    </row>
    <row r="4383" spans="3:20" x14ac:dyDescent="0.2">
      <c r="C4383" t="str">
        <f t="shared" si="272"/>
        <v>2605</v>
      </c>
      <c r="D4383" s="73"/>
      <c r="E4383" s="72"/>
      <c r="F4383" s="101"/>
      <c r="G4383" s="96">
        <f t="shared" si="273"/>
        <v>2605</v>
      </c>
      <c r="K4383" t="str">
        <f t="shared" si="274"/>
        <v>2605</v>
      </c>
      <c r="M4383" s="72"/>
      <c r="O4383" s="96">
        <f t="shared" si="275"/>
        <v>2605</v>
      </c>
      <c r="T4383" s="110"/>
    </row>
    <row r="4384" spans="3:20" x14ac:dyDescent="0.2">
      <c r="C4384" t="str">
        <f t="shared" si="272"/>
        <v>2606</v>
      </c>
      <c r="D4384" s="73"/>
      <c r="E4384" s="72"/>
      <c r="F4384" s="101"/>
      <c r="G4384" s="96">
        <f t="shared" si="273"/>
        <v>2606</v>
      </c>
      <c r="K4384" t="str">
        <f t="shared" si="274"/>
        <v>2606</v>
      </c>
      <c r="M4384" s="72"/>
      <c r="O4384" s="96">
        <f t="shared" si="275"/>
        <v>2606</v>
      </c>
      <c r="T4384" s="110"/>
    </row>
    <row r="4385" spans="3:20" x14ac:dyDescent="0.2">
      <c r="C4385" t="str">
        <f t="shared" si="272"/>
        <v>2607</v>
      </c>
      <c r="D4385" s="73"/>
      <c r="E4385" s="72"/>
      <c r="F4385" s="101"/>
      <c r="G4385" s="96">
        <f t="shared" si="273"/>
        <v>2607</v>
      </c>
      <c r="K4385" t="str">
        <f t="shared" si="274"/>
        <v>2607</v>
      </c>
      <c r="M4385" s="72"/>
      <c r="O4385" s="96">
        <f t="shared" si="275"/>
        <v>2607</v>
      </c>
      <c r="T4385" s="110"/>
    </row>
    <row r="4386" spans="3:20" x14ac:dyDescent="0.2">
      <c r="C4386" t="str">
        <f t="shared" si="272"/>
        <v>2608</v>
      </c>
      <c r="D4386" s="73"/>
      <c r="E4386" s="72"/>
      <c r="F4386" s="101"/>
      <c r="G4386" s="96">
        <f t="shared" si="273"/>
        <v>2608</v>
      </c>
      <c r="K4386" t="str">
        <f t="shared" si="274"/>
        <v>2608</v>
      </c>
      <c r="M4386" s="72"/>
      <c r="O4386" s="96">
        <f t="shared" si="275"/>
        <v>2608</v>
      </c>
      <c r="T4386" s="110"/>
    </row>
    <row r="4387" spans="3:20" x14ac:dyDescent="0.2">
      <c r="C4387" t="str">
        <f t="shared" si="272"/>
        <v>2609</v>
      </c>
      <c r="D4387" s="73"/>
      <c r="E4387" s="72"/>
      <c r="F4387" s="101"/>
      <c r="G4387" s="96">
        <f t="shared" si="273"/>
        <v>2609</v>
      </c>
      <c r="K4387" t="str">
        <f t="shared" si="274"/>
        <v>2609</v>
      </c>
      <c r="M4387" s="72"/>
      <c r="O4387" s="96">
        <f t="shared" si="275"/>
        <v>2609</v>
      </c>
      <c r="T4387" s="110"/>
    </row>
    <row r="4388" spans="3:20" x14ac:dyDescent="0.2">
      <c r="C4388" t="str">
        <f t="shared" si="272"/>
        <v>2610</v>
      </c>
      <c r="D4388" s="73"/>
      <c r="E4388" s="72"/>
      <c r="F4388" s="101"/>
      <c r="G4388" s="96">
        <f t="shared" si="273"/>
        <v>2610</v>
      </c>
      <c r="K4388" t="str">
        <f t="shared" si="274"/>
        <v>2610</v>
      </c>
      <c r="M4388" s="72"/>
      <c r="O4388" s="96">
        <f t="shared" si="275"/>
        <v>2610</v>
      </c>
      <c r="T4388" s="110"/>
    </row>
    <row r="4389" spans="3:20" x14ac:dyDescent="0.2">
      <c r="C4389" t="str">
        <f t="shared" si="272"/>
        <v>2611</v>
      </c>
      <c r="D4389" s="73"/>
      <c r="E4389" s="72"/>
      <c r="F4389" s="101"/>
      <c r="G4389" s="96">
        <f t="shared" si="273"/>
        <v>2611</v>
      </c>
      <c r="K4389" t="str">
        <f t="shared" si="274"/>
        <v>2611</v>
      </c>
      <c r="M4389" s="72"/>
      <c r="O4389" s="96">
        <f t="shared" si="275"/>
        <v>2611</v>
      </c>
      <c r="T4389" s="110"/>
    </row>
    <row r="4390" spans="3:20" x14ac:dyDescent="0.2">
      <c r="C4390" t="str">
        <f t="shared" si="272"/>
        <v>2612</v>
      </c>
      <c r="D4390" s="73"/>
      <c r="E4390" s="72"/>
      <c r="F4390" s="101"/>
      <c r="G4390" s="96">
        <f t="shared" si="273"/>
        <v>2612</v>
      </c>
      <c r="K4390" t="str">
        <f t="shared" si="274"/>
        <v>2612</v>
      </c>
      <c r="M4390" s="72"/>
      <c r="O4390" s="96">
        <f t="shared" si="275"/>
        <v>2612</v>
      </c>
      <c r="T4390" s="110"/>
    </row>
    <row r="4391" spans="3:20" x14ac:dyDescent="0.2">
      <c r="C4391" t="str">
        <f t="shared" si="272"/>
        <v>2613</v>
      </c>
      <c r="D4391" s="73"/>
      <c r="E4391" s="72"/>
      <c r="F4391" s="101"/>
      <c r="G4391" s="96">
        <f t="shared" si="273"/>
        <v>2613</v>
      </c>
      <c r="K4391" t="str">
        <f t="shared" si="274"/>
        <v>2613</v>
      </c>
      <c r="M4391" s="72"/>
      <c r="O4391" s="96">
        <f t="shared" si="275"/>
        <v>2613</v>
      </c>
      <c r="T4391" s="110"/>
    </row>
    <row r="4392" spans="3:20" x14ac:dyDescent="0.2">
      <c r="C4392" t="str">
        <f t="shared" si="272"/>
        <v>2614</v>
      </c>
      <c r="D4392" s="73"/>
      <c r="E4392" s="72"/>
      <c r="F4392" s="101"/>
      <c r="G4392" s="96">
        <f t="shared" si="273"/>
        <v>2614</v>
      </c>
      <c r="K4392" t="str">
        <f t="shared" si="274"/>
        <v>2614</v>
      </c>
      <c r="M4392" s="72"/>
      <c r="O4392" s="96">
        <f t="shared" si="275"/>
        <v>2614</v>
      </c>
      <c r="T4392" s="110"/>
    </row>
    <row r="4393" spans="3:20" x14ac:dyDescent="0.2">
      <c r="C4393" t="str">
        <f t="shared" si="272"/>
        <v>2615</v>
      </c>
      <c r="D4393" s="73"/>
      <c r="E4393" s="72"/>
      <c r="F4393" s="101"/>
      <c r="G4393" s="96">
        <f t="shared" si="273"/>
        <v>2615</v>
      </c>
      <c r="K4393" t="str">
        <f t="shared" si="274"/>
        <v>2615</v>
      </c>
      <c r="M4393" s="72"/>
      <c r="O4393" s="96">
        <f t="shared" si="275"/>
        <v>2615</v>
      </c>
      <c r="T4393" s="110"/>
    </row>
    <row r="4394" spans="3:20" x14ac:dyDescent="0.2">
      <c r="C4394" t="str">
        <f t="shared" si="272"/>
        <v>2616</v>
      </c>
      <c r="D4394" s="73"/>
      <c r="E4394" s="72"/>
      <c r="F4394" s="101"/>
      <c r="G4394" s="96">
        <f t="shared" si="273"/>
        <v>2616</v>
      </c>
      <c r="K4394" t="str">
        <f t="shared" si="274"/>
        <v>2616</v>
      </c>
      <c r="M4394" s="72"/>
      <c r="O4394" s="96">
        <f t="shared" si="275"/>
        <v>2616</v>
      </c>
      <c r="T4394" s="110"/>
    </row>
    <row r="4395" spans="3:20" x14ac:dyDescent="0.2">
      <c r="C4395" t="str">
        <f t="shared" si="272"/>
        <v>2617</v>
      </c>
      <c r="D4395" s="73"/>
      <c r="E4395" s="72"/>
      <c r="F4395" s="101"/>
      <c r="G4395" s="96">
        <f t="shared" si="273"/>
        <v>2617</v>
      </c>
      <c r="K4395" t="str">
        <f t="shared" si="274"/>
        <v>2617</v>
      </c>
      <c r="M4395" s="72"/>
      <c r="O4395" s="96">
        <f t="shared" si="275"/>
        <v>2617</v>
      </c>
      <c r="T4395" s="110"/>
    </row>
    <row r="4396" spans="3:20" x14ac:dyDescent="0.2">
      <c r="C4396" t="str">
        <f t="shared" si="272"/>
        <v>2618</v>
      </c>
      <c r="D4396" s="73"/>
      <c r="E4396" s="72"/>
      <c r="F4396" s="101"/>
      <c r="G4396" s="96">
        <f t="shared" si="273"/>
        <v>2618</v>
      </c>
      <c r="K4396" t="str">
        <f t="shared" si="274"/>
        <v>2618</v>
      </c>
      <c r="M4396" s="72"/>
      <c r="O4396" s="96">
        <f t="shared" si="275"/>
        <v>2618</v>
      </c>
      <c r="T4396" s="110"/>
    </row>
    <row r="4397" spans="3:20" x14ac:dyDescent="0.2">
      <c r="C4397" t="str">
        <f t="shared" si="272"/>
        <v>2619</v>
      </c>
      <c r="D4397" s="73"/>
      <c r="E4397" s="72"/>
      <c r="F4397" s="101"/>
      <c r="G4397" s="96">
        <f t="shared" si="273"/>
        <v>2619</v>
      </c>
      <c r="K4397" t="str">
        <f t="shared" si="274"/>
        <v>2619</v>
      </c>
      <c r="M4397" s="72"/>
      <c r="O4397" s="96">
        <f t="shared" si="275"/>
        <v>2619</v>
      </c>
      <c r="T4397" s="110"/>
    </row>
    <row r="4398" spans="3:20" x14ac:dyDescent="0.2">
      <c r="C4398" t="str">
        <f t="shared" si="272"/>
        <v>2620</v>
      </c>
      <c r="D4398" s="73"/>
      <c r="E4398" s="72"/>
      <c r="F4398" s="101"/>
      <c r="G4398" s="96">
        <f t="shared" si="273"/>
        <v>2620</v>
      </c>
      <c r="K4398" t="str">
        <f t="shared" si="274"/>
        <v>2620</v>
      </c>
      <c r="M4398" s="72"/>
      <c r="O4398" s="96">
        <f t="shared" si="275"/>
        <v>2620</v>
      </c>
      <c r="T4398" s="110"/>
    </row>
    <row r="4399" spans="3:20" x14ac:dyDescent="0.2">
      <c r="C4399" t="str">
        <f t="shared" si="272"/>
        <v>2621</v>
      </c>
      <c r="D4399" s="73"/>
      <c r="E4399" s="72"/>
      <c r="F4399" s="101"/>
      <c r="G4399" s="96">
        <f t="shared" si="273"/>
        <v>2621</v>
      </c>
      <c r="K4399" t="str">
        <f t="shared" si="274"/>
        <v>2621</v>
      </c>
      <c r="M4399" s="72"/>
      <c r="O4399" s="96">
        <f t="shared" si="275"/>
        <v>2621</v>
      </c>
      <c r="T4399" s="110"/>
    </row>
    <row r="4400" spans="3:20" x14ac:dyDescent="0.2">
      <c r="C4400" t="str">
        <f t="shared" si="272"/>
        <v>2622</v>
      </c>
      <c r="D4400" s="73"/>
      <c r="E4400" s="72"/>
      <c r="F4400" s="101"/>
      <c r="G4400" s="96">
        <f t="shared" si="273"/>
        <v>2622</v>
      </c>
      <c r="K4400" t="str">
        <f t="shared" si="274"/>
        <v>2622</v>
      </c>
      <c r="M4400" s="72"/>
      <c r="O4400" s="96">
        <f t="shared" si="275"/>
        <v>2622</v>
      </c>
      <c r="T4400" s="110"/>
    </row>
    <row r="4401" spans="3:20" x14ac:dyDescent="0.2">
      <c r="C4401" t="str">
        <f t="shared" si="272"/>
        <v>2623</v>
      </c>
      <c r="D4401" s="73"/>
      <c r="E4401" s="72"/>
      <c r="F4401" s="101"/>
      <c r="G4401" s="96">
        <f t="shared" si="273"/>
        <v>2623</v>
      </c>
      <c r="K4401" t="str">
        <f t="shared" si="274"/>
        <v>2623</v>
      </c>
      <c r="M4401" s="72"/>
      <c r="O4401" s="96">
        <f t="shared" si="275"/>
        <v>2623</v>
      </c>
      <c r="T4401" s="110"/>
    </row>
    <row r="4402" spans="3:20" x14ac:dyDescent="0.2">
      <c r="C4402" t="str">
        <f t="shared" si="272"/>
        <v>2624</v>
      </c>
      <c r="D4402" s="73"/>
      <c r="E4402" s="72"/>
      <c r="F4402" s="101"/>
      <c r="G4402" s="96">
        <f t="shared" si="273"/>
        <v>2624</v>
      </c>
      <c r="K4402" t="str">
        <f t="shared" si="274"/>
        <v>2624</v>
      </c>
      <c r="M4402" s="72"/>
      <c r="O4402" s="96">
        <f t="shared" si="275"/>
        <v>2624</v>
      </c>
      <c r="T4402" s="110"/>
    </row>
    <row r="4403" spans="3:20" x14ac:dyDescent="0.2">
      <c r="C4403" t="str">
        <f t="shared" si="272"/>
        <v>2625</v>
      </c>
      <c r="D4403" s="73"/>
      <c r="E4403" s="72"/>
      <c r="F4403" s="101"/>
      <c r="G4403" s="96">
        <f t="shared" si="273"/>
        <v>2625</v>
      </c>
      <c r="K4403" t="str">
        <f t="shared" si="274"/>
        <v>2625</v>
      </c>
      <c r="M4403" s="72"/>
      <c r="O4403" s="96">
        <f t="shared" si="275"/>
        <v>2625</v>
      </c>
      <c r="T4403" s="110"/>
    </row>
    <row r="4404" spans="3:20" x14ac:dyDescent="0.2">
      <c r="C4404" t="str">
        <f t="shared" si="272"/>
        <v>2626</v>
      </c>
      <c r="D4404" s="73"/>
      <c r="E4404" s="72"/>
      <c r="F4404" s="101"/>
      <c r="G4404" s="96">
        <f t="shared" si="273"/>
        <v>2626</v>
      </c>
      <c r="K4404" t="str">
        <f t="shared" si="274"/>
        <v>2626</v>
      </c>
      <c r="M4404" s="72"/>
      <c r="O4404" s="96">
        <f t="shared" si="275"/>
        <v>2626</v>
      </c>
      <c r="T4404" s="110"/>
    </row>
    <row r="4405" spans="3:20" x14ac:dyDescent="0.2">
      <c r="C4405" t="str">
        <f t="shared" si="272"/>
        <v>2627</v>
      </c>
      <c r="D4405" s="73"/>
      <c r="E4405" s="72"/>
      <c r="F4405" s="101"/>
      <c r="G4405" s="96">
        <f t="shared" si="273"/>
        <v>2627</v>
      </c>
      <c r="K4405" t="str">
        <f t="shared" si="274"/>
        <v>2627</v>
      </c>
      <c r="M4405" s="72"/>
      <c r="O4405" s="96">
        <f t="shared" si="275"/>
        <v>2627</v>
      </c>
      <c r="T4405" s="110"/>
    </row>
    <row r="4406" spans="3:20" x14ac:dyDescent="0.2">
      <c r="C4406" t="str">
        <f t="shared" si="272"/>
        <v>2628</v>
      </c>
      <c r="D4406" s="73"/>
      <c r="E4406" s="72"/>
      <c r="F4406" s="101"/>
      <c r="G4406" s="96">
        <f t="shared" si="273"/>
        <v>2628</v>
      </c>
      <c r="K4406" t="str">
        <f t="shared" si="274"/>
        <v>2628</v>
      </c>
      <c r="M4406" s="72"/>
      <c r="O4406" s="96">
        <f t="shared" si="275"/>
        <v>2628</v>
      </c>
      <c r="T4406" s="110"/>
    </row>
    <row r="4407" spans="3:20" x14ac:dyDescent="0.2">
      <c r="C4407" t="str">
        <f t="shared" si="272"/>
        <v>2629</v>
      </c>
      <c r="D4407" s="73"/>
      <c r="E4407" s="72"/>
      <c r="F4407" s="101"/>
      <c r="G4407" s="96">
        <f t="shared" si="273"/>
        <v>2629</v>
      </c>
      <c r="K4407" t="str">
        <f t="shared" si="274"/>
        <v>2629</v>
      </c>
      <c r="M4407" s="72"/>
      <c r="O4407" s="96">
        <f t="shared" si="275"/>
        <v>2629</v>
      </c>
      <c r="T4407" s="110"/>
    </row>
    <row r="4408" spans="3:20" x14ac:dyDescent="0.2">
      <c r="C4408" t="str">
        <f t="shared" si="272"/>
        <v>2630</v>
      </c>
      <c r="D4408" s="73"/>
      <c r="E4408" s="72"/>
      <c r="F4408" s="101"/>
      <c r="G4408" s="96">
        <f t="shared" si="273"/>
        <v>2630</v>
      </c>
      <c r="K4408" t="str">
        <f t="shared" si="274"/>
        <v>2630</v>
      </c>
      <c r="M4408" s="72"/>
      <c r="O4408" s="96">
        <f t="shared" si="275"/>
        <v>2630</v>
      </c>
      <c r="T4408" s="110"/>
    </row>
    <row r="4409" spans="3:20" x14ac:dyDescent="0.2">
      <c r="C4409" t="str">
        <f t="shared" si="272"/>
        <v>2631</v>
      </c>
      <c r="D4409" s="73"/>
      <c r="E4409" s="72"/>
      <c r="F4409" s="101"/>
      <c r="G4409" s="96">
        <f t="shared" si="273"/>
        <v>2631</v>
      </c>
      <c r="K4409" t="str">
        <f t="shared" si="274"/>
        <v>2631</v>
      </c>
      <c r="M4409" s="72"/>
      <c r="O4409" s="96">
        <f t="shared" si="275"/>
        <v>2631</v>
      </c>
      <c r="T4409" s="110"/>
    </row>
    <row r="4410" spans="3:20" x14ac:dyDescent="0.2">
      <c r="C4410" t="str">
        <f t="shared" si="272"/>
        <v>2632</v>
      </c>
      <c r="D4410" s="73"/>
      <c r="E4410" s="72"/>
      <c r="F4410" s="101"/>
      <c r="G4410" s="96">
        <f t="shared" si="273"/>
        <v>2632</v>
      </c>
      <c r="K4410" t="str">
        <f t="shared" si="274"/>
        <v>2632</v>
      </c>
      <c r="M4410" s="72"/>
      <c r="O4410" s="96">
        <f t="shared" si="275"/>
        <v>2632</v>
      </c>
      <c r="T4410" s="110"/>
    </row>
    <row r="4411" spans="3:20" x14ac:dyDescent="0.2">
      <c r="C4411" t="str">
        <f t="shared" si="272"/>
        <v>2633</v>
      </c>
      <c r="D4411" s="73"/>
      <c r="E4411" s="72"/>
      <c r="F4411" s="101"/>
      <c r="G4411" s="96">
        <f t="shared" si="273"/>
        <v>2633</v>
      </c>
      <c r="K4411" t="str">
        <f t="shared" si="274"/>
        <v>2633</v>
      </c>
      <c r="M4411" s="72"/>
      <c r="O4411" s="96">
        <f t="shared" si="275"/>
        <v>2633</v>
      </c>
      <c r="T4411" s="110"/>
    </row>
    <row r="4412" spans="3:20" x14ac:dyDescent="0.2">
      <c r="C4412" t="str">
        <f t="shared" si="272"/>
        <v>2634</v>
      </c>
      <c r="D4412" s="73"/>
      <c r="E4412" s="72"/>
      <c r="F4412" s="101"/>
      <c r="G4412" s="96">
        <f t="shared" si="273"/>
        <v>2634</v>
      </c>
      <c r="K4412" t="str">
        <f t="shared" si="274"/>
        <v>2634</v>
      </c>
      <c r="M4412" s="72"/>
      <c r="O4412" s="96">
        <f t="shared" si="275"/>
        <v>2634</v>
      </c>
      <c r="T4412" s="110"/>
    </row>
    <row r="4413" spans="3:20" x14ac:dyDescent="0.2">
      <c r="C4413" t="str">
        <f t="shared" si="272"/>
        <v>2635</v>
      </c>
      <c r="D4413" s="73"/>
      <c r="E4413" s="72"/>
      <c r="F4413" s="101"/>
      <c r="G4413" s="96">
        <f t="shared" si="273"/>
        <v>2635</v>
      </c>
      <c r="K4413" t="str">
        <f t="shared" si="274"/>
        <v>2635</v>
      </c>
      <c r="M4413" s="72"/>
      <c r="O4413" s="96">
        <f t="shared" si="275"/>
        <v>2635</v>
      </c>
      <c r="T4413" s="110"/>
    </row>
    <row r="4414" spans="3:20" x14ac:dyDescent="0.2">
      <c r="C4414" t="str">
        <f t="shared" si="272"/>
        <v>2636</v>
      </c>
      <c r="D4414" s="73"/>
      <c r="E4414" s="72"/>
      <c r="F4414" s="101"/>
      <c r="G4414" s="96">
        <f t="shared" si="273"/>
        <v>2636</v>
      </c>
      <c r="K4414" t="str">
        <f t="shared" si="274"/>
        <v>2636</v>
      </c>
      <c r="M4414" s="72"/>
      <c r="O4414" s="96">
        <f t="shared" si="275"/>
        <v>2636</v>
      </c>
      <c r="T4414" s="110"/>
    </row>
    <row r="4415" spans="3:20" x14ac:dyDescent="0.2">
      <c r="C4415" t="str">
        <f t="shared" si="272"/>
        <v>2637</v>
      </c>
      <c r="D4415" s="73"/>
      <c r="E4415" s="72"/>
      <c r="F4415" s="101"/>
      <c r="G4415" s="96">
        <f t="shared" si="273"/>
        <v>2637</v>
      </c>
      <c r="K4415" t="str">
        <f t="shared" si="274"/>
        <v>2637</v>
      </c>
      <c r="M4415" s="72"/>
      <c r="O4415" s="96">
        <f t="shared" si="275"/>
        <v>2637</v>
      </c>
      <c r="T4415" s="110"/>
    </row>
    <row r="4416" spans="3:20" x14ac:dyDescent="0.2">
      <c r="C4416" t="str">
        <f t="shared" si="272"/>
        <v>2638</v>
      </c>
      <c r="D4416" s="73"/>
      <c r="E4416" s="72"/>
      <c r="F4416" s="101"/>
      <c r="G4416" s="96">
        <f t="shared" si="273"/>
        <v>2638</v>
      </c>
      <c r="K4416" t="str">
        <f t="shared" si="274"/>
        <v>2638</v>
      </c>
      <c r="M4416" s="72"/>
      <c r="O4416" s="96">
        <f t="shared" si="275"/>
        <v>2638</v>
      </c>
      <c r="T4416" s="110"/>
    </row>
    <row r="4417" spans="3:20" x14ac:dyDescent="0.2">
      <c r="C4417" t="str">
        <f t="shared" si="272"/>
        <v>2639</v>
      </c>
      <c r="D4417" s="73"/>
      <c r="E4417" s="72"/>
      <c r="F4417" s="101"/>
      <c r="G4417" s="96">
        <f t="shared" si="273"/>
        <v>2639</v>
      </c>
      <c r="K4417" t="str">
        <f t="shared" si="274"/>
        <v>2639</v>
      </c>
      <c r="M4417" s="72"/>
      <c r="O4417" s="96">
        <f t="shared" si="275"/>
        <v>2639</v>
      </c>
      <c r="T4417" s="110"/>
    </row>
    <row r="4418" spans="3:20" x14ac:dyDescent="0.2">
      <c r="C4418" t="str">
        <f t="shared" si="272"/>
        <v>2640</v>
      </c>
      <c r="D4418" s="73"/>
      <c r="E4418" s="72"/>
      <c r="F4418" s="101"/>
      <c r="G4418" s="96">
        <f t="shared" si="273"/>
        <v>2640</v>
      </c>
      <c r="K4418" t="str">
        <f t="shared" si="274"/>
        <v>2640</v>
      </c>
      <c r="M4418" s="72"/>
      <c r="O4418" s="96">
        <f t="shared" si="275"/>
        <v>2640</v>
      </c>
      <c r="T4418" s="110"/>
    </row>
    <row r="4419" spans="3:20" x14ac:dyDescent="0.2">
      <c r="C4419" t="str">
        <f t="shared" ref="C4419:C4482" si="276">D4419&amp;G4419</f>
        <v>2641</v>
      </c>
      <c r="D4419" s="73"/>
      <c r="E4419" s="72"/>
      <c r="F4419" s="101"/>
      <c r="G4419" s="96">
        <f t="shared" ref="G4419:G4482" si="277">IF(D4419&lt;&gt;D4418,1,G4418+1)</f>
        <v>2641</v>
      </c>
      <c r="K4419" t="str">
        <f t="shared" ref="K4419:K4482" si="278">L4419&amp;O4419</f>
        <v>2641</v>
      </c>
      <c r="M4419" s="72"/>
      <c r="O4419" s="96">
        <f t="shared" ref="O4419:O4482" si="279">IF(L4419&lt;&gt;L4418,1,O4418+1)</f>
        <v>2641</v>
      </c>
      <c r="T4419" s="110"/>
    </row>
    <row r="4420" spans="3:20" x14ac:dyDescent="0.2">
      <c r="C4420" t="str">
        <f t="shared" si="276"/>
        <v>2642</v>
      </c>
      <c r="D4420" s="73"/>
      <c r="E4420" s="72"/>
      <c r="F4420" s="101"/>
      <c r="G4420" s="96">
        <f t="shared" si="277"/>
        <v>2642</v>
      </c>
      <c r="K4420" t="str">
        <f t="shared" si="278"/>
        <v>2642</v>
      </c>
      <c r="M4420" s="72"/>
      <c r="O4420" s="96">
        <f t="shared" si="279"/>
        <v>2642</v>
      </c>
      <c r="T4420" s="110"/>
    </row>
    <row r="4421" spans="3:20" x14ac:dyDescent="0.2">
      <c r="C4421" t="str">
        <f t="shared" si="276"/>
        <v>2643</v>
      </c>
      <c r="D4421" s="73"/>
      <c r="E4421" s="72"/>
      <c r="F4421" s="101"/>
      <c r="G4421" s="96">
        <f t="shared" si="277"/>
        <v>2643</v>
      </c>
      <c r="K4421" t="str">
        <f t="shared" si="278"/>
        <v>2643</v>
      </c>
      <c r="M4421" s="72"/>
      <c r="O4421" s="96">
        <f t="shared" si="279"/>
        <v>2643</v>
      </c>
      <c r="T4421" s="110"/>
    </row>
    <row r="4422" spans="3:20" x14ac:dyDescent="0.2">
      <c r="C4422" t="str">
        <f t="shared" si="276"/>
        <v>2644</v>
      </c>
      <c r="D4422" s="73"/>
      <c r="E4422" s="72"/>
      <c r="F4422" s="101"/>
      <c r="G4422" s="96">
        <f t="shared" si="277"/>
        <v>2644</v>
      </c>
      <c r="K4422" t="str">
        <f t="shared" si="278"/>
        <v>2644</v>
      </c>
      <c r="M4422" s="72"/>
      <c r="O4422" s="96">
        <f t="shared" si="279"/>
        <v>2644</v>
      </c>
      <c r="T4422" s="110"/>
    </row>
    <row r="4423" spans="3:20" x14ac:dyDescent="0.2">
      <c r="C4423" t="str">
        <f t="shared" si="276"/>
        <v>2645</v>
      </c>
      <c r="D4423" s="73"/>
      <c r="E4423" s="72"/>
      <c r="F4423" s="101"/>
      <c r="G4423" s="96">
        <f t="shared" si="277"/>
        <v>2645</v>
      </c>
      <c r="K4423" t="str">
        <f t="shared" si="278"/>
        <v>2645</v>
      </c>
      <c r="M4423" s="72"/>
      <c r="O4423" s="96">
        <f t="shared" si="279"/>
        <v>2645</v>
      </c>
      <c r="T4423" s="110"/>
    </row>
    <row r="4424" spans="3:20" x14ac:dyDescent="0.2">
      <c r="C4424" t="str">
        <f t="shared" si="276"/>
        <v>2646</v>
      </c>
      <c r="D4424" s="73"/>
      <c r="E4424" s="72"/>
      <c r="F4424" s="101"/>
      <c r="G4424" s="96">
        <f t="shared" si="277"/>
        <v>2646</v>
      </c>
      <c r="K4424" t="str">
        <f t="shared" si="278"/>
        <v>2646</v>
      </c>
      <c r="M4424" s="72"/>
      <c r="O4424" s="96">
        <f t="shared" si="279"/>
        <v>2646</v>
      </c>
      <c r="T4424" s="110"/>
    </row>
    <row r="4425" spans="3:20" x14ac:dyDescent="0.2">
      <c r="C4425" t="str">
        <f t="shared" si="276"/>
        <v>2647</v>
      </c>
      <c r="D4425" s="73"/>
      <c r="E4425" s="72"/>
      <c r="F4425" s="101"/>
      <c r="G4425" s="96">
        <f t="shared" si="277"/>
        <v>2647</v>
      </c>
      <c r="K4425" t="str">
        <f t="shared" si="278"/>
        <v>2647</v>
      </c>
      <c r="M4425" s="72"/>
      <c r="O4425" s="96">
        <f t="shared" si="279"/>
        <v>2647</v>
      </c>
      <c r="T4425" s="110"/>
    </row>
    <row r="4426" spans="3:20" x14ac:dyDescent="0.2">
      <c r="C4426" t="str">
        <f t="shared" si="276"/>
        <v>2648</v>
      </c>
      <c r="D4426" s="73"/>
      <c r="E4426" s="72"/>
      <c r="F4426" s="101"/>
      <c r="G4426" s="96">
        <f t="shared" si="277"/>
        <v>2648</v>
      </c>
      <c r="K4426" t="str">
        <f t="shared" si="278"/>
        <v>2648</v>
      </c>
      <c r="M4426" s="72"/>
      <c r="O4426" s="96">
        <f t="shared" si="279"/>
        <v>2648</v>
      </c>
      <c r="T4426" s="110"/>
    </row>
    <row r="4427" spans="3:20" x14ac:dyDescent="0.2">
      <c r="C4427" t="str">
        <f t="shared" si="276"/>
        <v>2649</v>
      </c>
      <c r="D4427" s="73"/>
      <c r="E4427" s="72"/>
      <c r="F4427" s="101"/>
      <c r="G4427" s="96">
        <f t="shared" si="277"/>
        <v>2649</v>
      </c>
      <c r="K4427" t="str">
        <f t="shared" si="278"/>
        <v>2649</v>
      </c>
      <c r="M4427" s="72"/>
      <c r="O4427" s="96">
        <f t="shared" si="279"/>
        <v>2649</v>
      </c>
      <c r="T4427" s="110"/>
    </row>
    <row r="4428" spans="3:20" x14ac:dyDescent="0.2">
      <c r="C4428" t="str">
        <f t="shared" si="276"/>
        <v>2650</v>
      </c>
      <c r="D4428" s="73"/>
      <c r="E4428" s="72"/>
      <c r="F4428" s="101"/>
      <c r="G4428" s="96">
        <f t="shared" si="277"/>
        <v>2650</v>
      </c>
      <c r="K4428" t="str">
        <f t="shared" si="278"/>
        <v>2650</v>
      </c>
      <c r="M4428" s="72"/>
      <c r="O4428" s="96">
        <f t="shared" si="279"/>
        <v>2650</v>
      </c>
      <c r="T4428" s="110"/>
    </row>
    <row r="4429" spans="3:20" x14ac:dyDescent="0.2">
      <c r="C4429" t="str">
        <f t="shared" si="276"/>
        <v>2651</v>
      </c>
      <c r="D4429" s="73"/>
      <c r="E4429" s="72"/>
      <c r="F4429" s="101"/>
      <c r="G4429" s="96">
        <f t="shared" si="277"/>
        <v>2651</v>
      </c>
      <c r="K4429" t="str">
        <f t="shared" si="278"/>
        <v>2651</v>
      </c>
      <c r="M4429" s="72"/>
      <c r="O4429" s="96">
        <f t="shared" si="279"/>
        <v>2651</v>
      </c>
      <c r="T4429" s="110"/>
    </row>
    <row r="4430" spans="3:20" x14ac:dyDescent="0.2">
      <c r="C4430" t="str">
        <f t="shared" si="276"/>
        <v>2652</v>
      </c>
      <c r="D4430" s="73"/>
      <c r="E4430" s="72"/>
      <c r="F4430" s="101"/>
      <c r="G4430" s="96">
        <f t="shared" si="277"/>
        <v>2652</v>
      </c>
      <c r="K4430" t="str">
        <f t="shared" si="278"/>
        <v>2652</v>
      </c>
      <c r="M4430" s="72"/>
      <c r="O4430" s="96">
        <f t="shared" si="279"/>
        <v>2652</v>
      </c>
      <c r="T4430" s="110"/>
    </row>
    <row r="4431" spans="3:20" x14ac:dyDescent="0.2">
      <c r="C4431" t="str">
        <f t="shared" si="276"/>
        <v>2653</v>
      </c>
      <c r="D4431" s="73"/>
      <c r="E4431" s="72"/>
      <c r="F4431" s="101"/>
      <c r="G4431" s="96">
        <f t="shared" si="277"/>
        <v>2653</v>
      </c>
      <c r="K4431" t="str">
        <f t="shared" si="278"/>
        <v>2653</v>
      </c>
      <c r="M4431" s="72"/>
      <c r="O4431" s="96">
        <f t="shared" si="279"/>
        <v>2653</v>
      </c>
      <c r="T4431" s="110"/>
    </row>
    <row r="4432" spans="3:20" x14ac:dyDescent="0.2">
      <c r="C4432" t="str">
        <f t="shared" si="276"/>
        <v>2654</v>
      </c>
      <c r="D4432" s="73"/>
      <c r="E4432" s="72"/>
      <c r="F4432" s="101"/>
      <c r="G4432" s="96">
        <f t="shared" si="277"/>
        <v>2654</v>
      </c>
      <c r="K4432" t="str">
        <f t="shared" si="278"/>
        <v>2654</v>
      </c>
      <c r="M4432" s="72"/>
      <c r="O4432" s="96">
        <f t="shared" si="279"/>
        <v>2654</v>
      </c>
      <c r="T4432" s="110"/>
    </row>
    <row r="4433" spans="3:20" x14ac:dyDescent="0.2">
      <c r="C4433" t="str">
        <f t="shared" si="276"/>
        <v>2655</v>
      </c>
      <c r="D4433" s="73"/>
      <c r="E4433" s="72"/>
      <c r="F4433" s="101"/>
      <c r="G4433" s="96">
        <f t="shared" si="277"/>
        <v>2655</v>
      </c>
      <c r="K4433" t="str">
        <f t="shared" si="278"/>
        <v>2655</v>
      </c>
      <c r="M4433" s="72"/>
      <c r="O4433" s="96">
        <f t="shared" si="279"/>
        <v>2655</v>
      </c>
      <c r="T4433" s="110"/>
    </row>
    <row r="4434" spans="3:20" x14ac:dyDescent="0.2">
      <c r="C4434" t="str">
        <f t="shared" si="276"/>
        <v>2656</v>
      </c>
      <c r="D4434" s="73"/>
      <c r="E4434" s="72"/>
      <c r="F4434" s="101"/>
      <c r="G4434" s="96">
        <f t="shared" si="277"/>
        <v>2656</v>
      </c>
      <c r="K4434" t="str">
        <f t="shared" si="278"/>
        <v>2656</v>
      </c>
      <c r="M4434" s="72"/>
      <c r="O4434" s="96">
        <f t="shared" si="279"/>
        <v>2656</v>
      </c>
      <c r="T4434" s="110"/>
    </row>
    <row r="4435" spans="3:20" x14ac:dyDescent="0.2">
      <c r="C4435" t="str">
        <f t="shared" si="276"/>
        <v>2657</v>
      </c>
      <c r="D4435" s="73"/>
      <c r="E4435" s="72"/>
      <c r="F4435" s="101"/>
      <c r="G4435" s="96">
        <f t="shared" si="277"/>
        <v>2657</v>
      </c>
      <c r="K4435" t="str">
        <f t="shared" si="278"/>
        <v>2657</v>
      </c>
      <c r="M4435" s="72"/>
      <c r="O4435" s="96">
        <f t="shared" si="279"/>
        <v>2657</v>
      </c>
      <c r="T4435" s="110"/>
    </row>
    <row r="4436" spans="3:20" x14ac:dyDescent="0.2">
      <c r="C4436" t="str">
        <f t="shared" si="276"/>
        <v>2658</v>
      </c>
      <c r="D4436" s="73"/>
      <c r="E4436" s="72"/>
      <c r="F4436" s="101"/>
      <c r="G4436" s="96">
        <f t="shared" si="277"/>
        <v>2658</v>
      </c>
      <c r="K4436" t="str">
        <f t="shared" si="278"/>
        <v>2658</v>
      </c>
      <c r="M4436" s="72"/>
      <c r="O4436" s="96">
        <f t="shared" si="279"/>
        <v>2658</v>
      </c>
      <c r="T4436" s="83"/>
    </row>
    <row r="4437" spans="3:20" x14ac:dyDescent="0.2">
      <c r="C4437" t="str">
        <f t="shared" si="276"/>
        <v>2659</v>
      </c>
      <c r="D4437" s="73"/>
      <c r="E4437" s="72"/>
      <c r="F4437" s="101"/>
      <c r="G4437" s="96">
        <f t="shared" si="277"/>
        <v>2659</v>
      </c>
      <c r="K4437" t="str">
        <f t="shared" si="278"/>
        <v>2659</v>
      </c>
      <c r="M4437" s="72"/>
      <c r="O4437" s="96">
        <f t="shared" si="279"/>
        <v>2659</v>
      </c>
      <c r="T4437" s="110"/>
    </row>
    <row r="4438" spans="3:20" x14ac:dyDescent="0.2">
      <c r="C4438" t="str">
        <f t="shared" si="276"/>
        <v>2660</v>
      </c>
      <c r="D4438" s="73"/>
      <c r="E4438" s="72"/>
      <c r="F4438" s="101"/>
      <c r="G4438" s="96">
        <f t="shared" si="277"/>
        <v>2660</v>
      </c>
      <c r="K4438" t="str">
        <f t="shared" si="278"/>
        <v>2660</v>
      </c>
      <c r="M4438" s="72"/>
      <c r="O4438" s="96">
        <f t="shared" si="279"/>
        <v>2660</v>
      </c>
      <c r="T4438" s="110"/>
    </row>
    <row r="4439" spans="3:20" x14ac:dyDescent="0.2">
      <c r="C4439" t="str">
        <f t="shared" si="276"/>
        <v>2661</v>
      </c>
      <c r="D4439" s="73"/>
      <c r="E4439" s="72"/>
      <c r="F4439" s="101"/>
      <c r="G4439" s="96">
        <f t="shared" si="277"/>
        <v>2661</v>
      </c>
      <c r="K4439" t="str">
        <f t="shared" si="278"/>
        <v>2661</v>
      </c>
      <c r="M4439" s="72"/>
      <c r="O4439" s="96">
        <f t="shared" si="279"/>
        <v>2661</v>
      </c>
      <c r="T4439" s="110"/>
    </row>
    <row r="4440" spans="3:20" x14ac:dyDescent="0.2">
      <c r="C4440" t="str">
        <f t="shared" si="276"/>
        <v>2662</v>
      </c>
      <c r="D4440" s="73"/>
      <c r="E4440" s="72"/>
      <c r="F4440" s="101"/>
      <c r="G4440" s="96">
        <f t="shared" si="277"/>
        <v>2662</v>
      </c>
      <c r="K4440" t="str">
        <f t="shared" si="278"/>
        <v>2662</v>
      </c>
      <c r="M4440" s="72"/>
      <c r="O4440" s="96">
        <f t="shared" si="279"/>
        <v>2662</v>
      </c>
      <c r="T4440" s="110"/>
    </row>
    <row r="4441" spans="3:20" x14ac:dyDescent="0.2">
      <c r="C4441" t="str">
        <f t="shared" si="276"/>
        <v>2663</v>
      </c>
      <c r="D4441" s="73"/>
      <c r="E4441" s="72"/>
      <c r="F4441" s="101"/>
      <c r="G4441" s="96">
        <f t="shared" si="277"/>
        <v>2663</v>
      </c>
      <c r="K4441" t="str">
        <f t="shared" si="278"/>
        <v>2663</v>
      </c>
      <c r="M4441" s="72"/>
      <c r="O4441" s="96">
        <f t="shared" si="279"/>
        <v>2663</v>
      </c>
      <c r="T4441" s="110"/>
    </row>
    <row r="4442" spans="3:20" x14ac:dyDescent="0.2">
      <c r="C4442" t="str">
        <f t="shared" si="276"/>
        <v>2664</v>
      </c>
      <c r="D4442" s="73"/>
      <c r="E4442" s="72"/>
      <c r="F4442" s="101"/>
      <c r="G4442" s="96">
        <f t="shared" si="277"/>
        <v>2664</v>
      </c>
      <c r="K4442" t="str">
        <f t="shared" si="278"/>
        <v>2664</v>
      </c>
      <c r="M4442" s="72"/>
      <c r="O4442" s="96">
        <f t="shared" si="279"/>
        <v>2664</v>
      </c>
      <c r="T4442" s="110"/>
    </row>
    <row r="4443" spans="3:20" x14ac:dyDescent="0.2">
      <c r="C4443" t="str">
        <f t="shared" si="276"/>
        <v>2665</v>
      </c>
      <c r="D4443" s="73"/>
      <c r="E4443" s="72"/>
      <c r="F4443" s="101"/>
      <c r="G4443" s="96">
        <f t="shared" si="277"/>
        <v>2665</v>
      </c>
      <c r="K4443" t="str">
        <f t="shared" si="278"/>
        <v>2665</v>
      </c>
      <c r="M4443" s="72"/>
      <c r="O4443" s="96">
        <f t="shared" si="279"/>
        <v>2665</v>
      </c>
      <c r="T4443" s="110"/>
    </row>
    <row r="4444" spans="3:20" x14ac:dyDescent="0.2">
      <c r="C4444" t="str">
        <f t="shared" si="276"/>
        <v>2666</v>
      </c>
      <c r="D4444" s="73"/>
      <c r="E4444" s="72"/>
      <c r="F4444" s="101"/>
      <c r="G4444" s="96">
        <f t="shared" si="277"/>
        <v>2666</v>
      </c>
      <c r="K4444" t="str">
        <f t="shared" si="278"/>
        <v>2666</v>
      </c>
      <c r="M4444" s="72"/>
      <c r="O4444" s="96">
        <f t="shared" si="279"/>
        <v>2666</v>
      </c>
      <c r="T4444" s="110"/>
    </row>
    <row r="4445" spans="3:20" x14ac:dyDescent="0.2">
      <c r="C4445" t="str">
        <f t="shared" si="276"/>
        <v>2667</v>
      </c>
      <c r="D4445" s="73"/>
      <c r="E4445" s="72"/>
      <c r="F4445" s="101"/>
      <c r="G4445" s="96">
        <f t="shared" si="277"/>
        <v>2667</v>
      </c>
      <c r="K4445" t="str">
        <f t="shared" si="278"/>
        <v>2667</v>
      </c>
      <c r="M4445" s="72"/>
      <c r="O4445" s="96">
        <f t="shared" si="279"/>
        <v>2667</v>
      </c>
      <c r="T4445" s="110"/>
    </row>
    <row r="4446" spans="3:20" x14ac:dyDescent="0.2">
      <c r="C4446" t="str">
        <f t="shared" si="276"/>
        <v>2668</v>
      </c>
      <c r="D4446" s="73"/>
      <c r="E4446" s="72"/>
      <c r="F4446" s="101"/>
      <c r="G4446" s="96">
        <f t="shared" si="277"/>
        <v>2668</v>
      </c>
      <c r="K4446" t="str">
        <f t="shared" si="278"/>
        <v>2668</v>
      </c>
      <c r="M4446" s="72"/>
      <c r="O4446" s="96">
        <f t="shared" si="279"/>
        <v>2668</v>
      </c>
      <c r="T4446" s="110"/>
    </row>
    <row r="4447" spans="3:20" x14ac:dyDescent="0.2">
      <c r="C4447" t="str">
        <f t="shared" si="276"/>
        <v>2669</v>
      </c>
      <c r="D4447" s="73"/>
      <c r="E4447" s="72"/>
      <c r="F4447" s="101"/>
      <c r="G4447" s="96">
        <f t="shared" si="277"/>
        <v>2669</v>
      </c>
      <c r="K4447" t="str">
        <f t="shared" si="278"/>
        <v>2669</v>
      </c>
      <c r="M4447" s="72"/>
      <c r="O4447" s="96">
        <f t="shared" si="279"/>
        <v>2669</v>
      </c>
      <c r="T4447" s="110"/>
    </row>
    <row r="4448" spans="3:20" x14ac:dyDescent="0.2">
      <c r="C4448" t="str">
        <f t="shared" si="276"/>
        <v>2670</v>
      </c>
      <c r="D4448" s="73"/>
      <c r="E4448" s="72"/>
      <c r="F4448" s="101"/>
      <c r="G4448" s="96">
        <f t="shared" si="277"/>
        <v>2670</v>
      </c>
      <c r="K4448" t="str">
        <f t="shared" si="278"/>
        <v>2670</v>
      </c>
      <c r="M4448" s="72"/>
      <c r="O4448" s="96">
        <f t="shared" si="279"/>
        <v>2670</v>
      </c>
      <c r="T4448" s="110"/>
    </row>
    <row r="4449" spans="3:20" x14ac:dyDescent="0.2">
      <c r="C4449" t="str">
        <f t="shared" si="276"/>
        <v>2671</v>
      </c>
      <c r="D4449" s="73"/>
      <c r="E4449" s="72"/>
      <c r="F4449" s="101"/>
      <c r="G4449" s="96">
        <f t="shared" si="277"/>
        <v>2671</v>
      </c>
      <c r="K4449" t="str">
        <f t="shared" si="278"/>
        <v>2671</v>
      </c>
      <c r="M4449" s="72"/>
      <c r="O4449" s="96">
        <f t="shared" si="279"/>
        <v>2671</v>
      </c>
      <c r="T4449" s="110"/>
    </row>
    <row r="4450" spans="3:20" x14ac:dyDescent="0.2">
      <c r="C4450" t="str">
        <f t="shared" si="276"/>
        <v>2672</v>
      </c>
      <c r="D4450" s="73"/>
      <c r="E4450" s="72"/>
      <c r="F4450" s="101"/>
      <c r="G4450" s="96">
        <f t="shared" si="277"/>
        <v>2672</v>
      </c>
      <c r="K4450" t="str">
        <f t="shared" si="278"/>
        <v>2672</v>
      </c>
      <c r="M4450" s="72"/>
      <c r="O4450" s="96">
        <f t="shared" si="279"/>
        <v>2672</v>
      </c>
      <c r="T4450" s="110"/>
    </row>
    <row r="4451" spans="3:20" x14ac:dyDescent="0.2">
      <c r="C4451" t="str">
        <f t="shared" si="276"/>
        <v>2673</v>
      </c>
      <c r="D4451" s="73"/>
      <c r="E4451" s="72"/>
      <c r="F4451" s="101"/>
      <c r="G4451" s="96">
        <f t="shared" si="277"/>
        <v>2673</v>
      </c>
      <c r="K4451" t="str">
        <f t="shared" si="278"/>
        <v>2673</v>
      </c>
      <c r="M4451" s="72"/>
      <c r="O4451" s="96">
        <f t="shared" si="279"/>
        <v>2673</v>
      </c>
      <c r="T4451" s="110"/>
    </row>
    <row r="4452" spans="3:20" x14ac:dyDescent="0.2">
      <c r="C4452" t="str">
        <f t="shared" si="276"/>
        <v>2674</v>
      </c>
      <c r="D4452" s="73"/>
      <c r="E4452" s="72"/>
      <c r="F4452" s="101"/>
      <c r="G4452" s="96">
        <f t="shared" si="277"/>
        <v>2674</v>
      </c>
      <c r="K4452" t="str">
        <f t="shared" si="278"/>
        <v>2674</v>
      </c>
      <c r="M4452" s="72"/>
      <c r="O4452" s="96">
        <f t="shared" si="279"/>
        <v>2674</v>
      </c>
      <c r="T4452" s="110"/>
    </row>
    <row r="4453" spans="3:20" x14ac:dyDescent="0.2">
      <c r="C4453" t="str">
        <f t="shared" si="276"/>
        <v>2675</v>
      </c>
      <c r="D4453" s="73"/>
      <c r="E4453" s="72"/>
      <c r="F4453" s="101"/>
      <c r="G4453" s="96">
        <f t="shared" si="277"/>
        <v>2675</v>
      </c>
      <c r="K4453" t="str">
        <f t="shared" si="278"/>
        <v>2675</v>
      </c>
      <c r="M4453" s="72"/>
      <c r="O4453" s="96">
        <f t="shared" si="279"/>
        <v>2675</v>
      </c>
      <c r="T4453" s="110"/>
    </row>
    <row r="4454" spans="3:20" x14ac:dyDescent="0.2">
      <c r="C4454" t="str">
        <f t="shared" si="276"/>
        <v>2676</v>
      </c>
      <c r="D4454" s="73"/>
      <c r="E4454" s="72"/>
      <c r="F4454" s="101"/>
      <c r="G4454" s="96">
        <f t="shared" si="277"/>
        <v>2676</v>
      </c>
      <c r="K4454" t="str">
        <f t="shared" si="278"/>
        <v>2676</v>
      </c>
      <c r="M4454" s="72"/>
      <c r="O4454" s="96">
        <f t="shared" si="279"/>
        <v>2676</v>
      </c>
      <c r="T4454" s="110"/>
    </row>
    <row r="4455" spans="3:20" x14ac:dyDescent="0.2">
      <c r="C4455" t="str">
        <f t="shared" si="276"/>
        <v>2677</v>
      </c>
      <c r="D4455" s="73"/>
      <c r="E4455" s="72"/>
      <c r="F4455" s="101"/>
      <c r="G4455" s="96">
        <f t="shared" si="277"/>
        <v>2677</v>
      </c>
      <c r="K4455" t="str">
        <f t="shared" si="278"/>
        <v>2677</v>
      </c>
      <c r="M4455" s="72"/>
      <c r="O4455" s="96">
        <f t="shared" si="279"/>
        <v>2677</v>
      </c>
      <c r="T4455" s="110"/>
    </row>
    <row r="4456" spans="3:20" x14ac:dyDescent="0.2">
      <c r="C4456" t="str">
        <f t="shared" si="276"/>
        <v>2678</v>
      </c>
      <c r="D4456" s="73"/>
      <c r="E4456" s="72"/>
      <c r="F4456" s="101"/>
      <c r="G4456" s="96">
        <f t="shared" si="277"/>
        <v>2678</v>
      </c>
      <c r="K4456" t="str">
        <f t="shared" si="278"/>
        <v>2678</v>
      </c>
      <c r="M4456" s="72"/>
      <c r="O4456" s="96">
        <f t="shared" si="279"/>
        <v>2678</v>
      </c>
      <c r="T4456" s="110"/>
    </row>
    <row r="4457" spans="3:20" x14ac:dyDescent="0.2">
      <c r="C4457" t="str">
        <f t="shared" si="276"/>
        <v>2679</v>
      </c>
      <c r="D4457" s="73"/>
      <c r="E4457" s="72"/>
      <c r="F4457" s="101"/>
      <c r="G4457" s="96">
        <f t="shared" si="277"/>
        <v>2679</v>
      </c>
      <c r="K4457" t="str">
        <f t="shared" si="278"/>
        <v>2679</v>
      </c>
      <c r="M4457" s="72"/>
      <c r="O4457" s="96">
        <f t="shared" si="279"/>
        <v>2679</v>
      </c>
      <c r="T4457" s="110"/>
    </row>
    <row r="4458" spans="3:20" x14ac:dyDescent="0.2">
      <c r="C4458" t="str">
        <f t="shared" si="276"/>
        <v>2680</v>
      </c>
      <c r="D4458" s="73"/>
      <c r="E4458" s="72"/>
      <c r="F4458" s="101"/>
      <c r="G4458" s="96">
        <f t="shared" si="277"/>
        <v>2680</v>
      </c>
      <c r="K4458" t="str">
        <f t="shared" si="278"/>
        <v>2680</v>
      </c>
      <c r="M4458" s="72"/>
      <c r="O4458" s="96">
        <f t="shared" si="279"/>
        <v>2680</v>
      </c>
      <c r="T4458" s="110"/>
    </row>
    <row r="4459" spans="3:20" x14ac:dyDescent="0.2">
      <c r="C4459" t="str">
        <f t="shared" si="276"/>
        <v>2681</v>
      </c>
      <c r="D4459" s="73"/>
      <c r="E4459" s="72"/>
      <c r="F4459" s="101"/>
      <c r="G4459" s="96">
        <f t="shared" si="277"/>
        <v>2681</v>
      </c>
      <c r="K4459" t="str">
        <f t="shared" si="278"/>
        <v>2681</v>
      </c>
      <c r="M4459" s="72"/>
      <c r="O4459" s="96">
        <f t="shared" si="279"/>
        <v>2681</v>
      </c>
      <c r="T4459" s="110"/>
    </row>
    <row r="4460" spans="3:20" x14ac:dyDescent="0.2">
      <c r="C4460" t="str">
        <f t="shared" si="276"/>
        <v>2682</v>
      </c>
      <c r="D4460" s="73"/>
      <c r="E4460" s="72"/>
      <c r="F4460" s="101"/>
      <c r="G4460" s="96">
        <f t="shared" si="277"/>
        <v>2682</v>
      </c>
      <c r="K4460" t="str">
        <f t="shared" si="278"/>
        <v>2682</v>
      </c>
      <c r="M4460" s="72"/>
      <c r="O4460" s="96">
        <f t="shared" si="279"/>
        <v>2682</v>
      </c>
      <c r="T4460" s="110"/>
    </row>
    <row r="4461" spans="3:20" x14ac:dyDescent="0.2">
      <c r="C4461" t="str">
        <f t="shared" si="276"/>
        <v>2683</v>
      </c>
      <c r="D4461" s="73"/>
      <c r="E4461" s="72"/>
      <c r="F4461" s="101"/>
      <c r="G4461" s="96">
        <f t="shared" si="277"/>
        <v>2683</v>
      </c>
      <c r="K4461" t="str">
        <f t="shared" si="278"/>
        <v>2683</v>
      </c>
      <c r="M4461" s="72"/>
      <c r="O4461" s="96">
        <f t="shared" si="279"/>
        <v>2683</v>
      </c>
      <c r="T4461" s="110"/>
    </row>
    <row r="4462" spans="3:20" x14ac:dyDescent="0.2">
      <c r="C4462" t="str">
        <f t="shared" si="276"/>
        <v>2684</v>
      </c>
      <c r="D4462" s="73"/>
      <c r="E4462" s="72"/>
      <c r="F4462" s="101"/>
      <c r="G4462" s="96">
        <f t="shared" si="277"/>
        <v>2684</v>
      </c>
      <c r="K4462" t="str">
        <f t="shared" si="278"/>
        <v>2684</v>
      </c>
      <c r="M4462" s="72"/>
      <c r="O4462" s="96">
        <f t="shared" si="279"/>
        <v>2684</v>
      </c>
      <c r="T4462" s="110"/>
    </row>
    <row r="4463" spans="3:20" x14ac:dyDescent="0.2">
      <c r="C4463" t="str">
        <f t="shared" si="276"/>
        <v>2685</v>
      </c>
      <c r="D4463" s="73"/>
      <c r="E4463" s="72"/>
      <c r="F4463" s="101"/>
      <c r="G4463" s="96">
        <f t="shared" si="277"/>
        <v>2685</v>
      </c>
      <c r="K4463" t="str">
        <f t="shared" si="278"/>
        <v>2685</v>
      </c>
      <c r="M4463" s="72"/>
      <c r="O4463" s="96">
        <f t="shared" si="279"/>
        <v>2685</v>
      </c>
      <c r="T4463" s="110"/>
    </row>
    <row r="4464" spans="3:20" x14ac:dyDescent="0.2">
      <c r="C4464" t="str">
        <f t="shared" si="276"/>
        <v>2686</v>
      </c>
      <c r="D4464" s="73"/>
      <c r="E4464" s="72"/>
      <c r="F4464" s="101"/>
      <c r="G4464" s="96">
        <f t="shared" si="277"/>
        <v>2686</v>
      </c>
      <c r="K4464" t="str">
        <f t="shared" si="278"/>
        <v>2686</v>
      </c>
      <c r="M4464" s="72"/>
      <c r="O4464" s="96">
        <f t="shared" si="279"/>
        <v>2686</v>
      </c>
      <c r="T4464" s="110"/>
    </row>
    <row r="4465" spans="3:20" x14ac:dyDescent="0.2">
      <c r="C4465" t="str">
        <f t="shared" si="276"/>
        <v>2687</v>
      </c>
      <c r="D4465" s="73"/>
      <c r="E4465" s="72"/>
      <c r="F4465" s="101"/>
      <c r="G4465" s="96">
        <f t="shared" si="277"/>
        <v>2687</v>
      </c>
      <c r="K4465" t="str">
        <f t="shared" si="278"/>
        <v>2687</v>
      </c>
      <c r="M4465" s="72"/>
      <c r="O4465" s="96">
        <f t="shared" si="279"/>
        <v>2687</v>
      </c>
      <c r="T4465" s="110"/>
    </row>
    <row r="4466" spans="3:20" x14ac:dyDescent="0.2">
      <c r="C4466" t="str">
        <f t="shared" si="276"/>
        <v>2688</v>
      </c>
      <c r="D4466" s="73"/>
      <c r="E4466" s="72"/>
      <c r="F4466" s="101"/>
      <c r="G4466" s="96">
        <f t="shared" si="277"/>
        <v>2688</v>
      </c>
      <c r="K4466" t="str">
        <f t="shared" si="278"/>
        <v>2688</v>
      </c>
      <c r="M4466" s="72"/>
      <c r="O4466" s="96">
        <f t="shared" si="279"/>
        <v>2688</v>
      </c>
      <c r="T4466" s="110"/>
    </row>
    <row r="4467" spans="3:20" x14ac:dyDescent="0.2">
      <c r="C4467" t="str">
        <f t="shared" si="276"/>
        <v>2689</v>
      </c>
      <c r="D4467" s="73"/>
      <c r="E4467" s="72"/>
      <c r="F4467" s="101"/>
      <c r="G4467" s="96">
        <f t="shared" si="277"/>
        <v>2689</v>
      </c>
      <c r="K4467" t="str">
        <f t="shared" si="278"/>
        <v>2689</v>
      </c>
      <c r="M4467" s="72"/>
      <c r="O4467" s="96">
        <f t="shared" si="279"/>
        <v>2689</v>
      </c>
      <c r="T4467" s="110"/>
    </row>
    <row r="4468" spans="3:20" x14ac:dyDescent="0.2">
      <c r="C4468" t="str">
        <f t="shared" si="276"/>
        <v>2690</v>
      </c>
      <c r="D4468" s="73"/>
      <c r="E4468" s="72"/>
      <c r="F4468" s="101"/>
      <c r="G4468" s="96">
        <f t="shared" si="277"/>
        <v>2690</v>
      </c>
      <c r="K4468" t="str">
        <f t="shared" si="278"/>
        <v>2690</v>
      </c>
      <c r="M4468" s="72"/>
      <c r="O4468" s="96">
        <f t="shared" si="279"/>
        <v>2690</v>
      </c>
    </row>
    <row r="4469" spans="3:20" x14ac:dyDescent="0.2">
      <c r="C4469" t="str">
        <f t="shared" si="276"/>
        <v>2691</v>
      </c>
      <c r="D4469" s="73"/>
      <c r="E4469" s="72"/>
      <c r="F4469" s="101"/>
      <c r="G4469" s="96">
        <f t="shared" si="277"/>
        <v>2691</v>
      </c>
      <c r="K4469" t="str">
        <f t="shared" si="278"/>
        <v>2691</v>
      </c>
      <c r="M4469" s="72"/>
      <c r="O4469" s="96">
        <f t="shared" si="279"/>
        <v>2691</v>
      </c>
      <c r="T4469" s="110"/>
    </row>
    <row r="4470" spans="3:20" x14ac:dyDescent="0.2">
      <c r="C4470" t="str">
        <f t="shared" si="276"/>
        <v>2692</v>
      </c>
      <c r="D4470" s="73"/>
      <c r="E4470" s="72"/>
      <c r="F4470" s="101"/>
      <c r="G4470" s="96">
        <f t="shared" si="277"/>
        <v>2692</v>
      </c>
      <c r="K4470" t="str">
        <f t="shared" si="278"/>
        <v>2692</v>
      </c>
      <c r="M4470" s="72"/>
      <c r="O4470" s="96">
        <f t="shared" si="279"/>
        <v>2692</v>
      </c>
      <c r="T4470" s="110"/>
    </row>
    <row r="4471" spans="3:20" x14ac:dyDescent="0.2">
      <c r="C4471" t="str">
        <f t="shared" si="276"/>
        <v>2693</v>
      </c>
      <c r="D4471" s="73"/>
      <c r="E4471" s="72"/>
      <c r="F4471" s="101"/>
      <c r="G4471" s="96">
        <f t="shared" si="277"/>
        <v>2693</v>
      </c>
      <c r="K4471" t="str">
        <f t="shared" si="278"/>
        <v>2693</v>
      </c>
      <c r="M4471" s="72"/>
      <c r="O4471" s="96">
        <f t="shared" si="279"/>
        <v>2693</v>
      </c>
      <c r="T4471" s="110"/>
    </row>
    <row r="4472" spans="3:20" x14ac:dyDescent="0.2">
      <c r="C4472" t="str">
        <f t="shared" si="276"/>
        <v>2694</v>
      </c>
      <c r="D4472" s="73"/>
      <c r="E4472" s="72"/>
      <c r="F4472" s="101"/>
      <c r="G4472" s="96">
        <f t="shared" si="277"/>
        <v>2694</v>
      </c>
      <c r="K4472" t="str">
        <f t="shared" si="278"/>
        <v>2694</v>
      </c>
      <c r="M4472" s="72"/>
      <c r="O4472" s="96">
        <f t="shared" si="279"/>
        <v>2694</v>
      </c>
      <c r="T4472" s="110"/>
    </row>
    <row r="4473" spans="3:20" x14ac:dyDescent="0.2">
      <c r="C4473" t="str">
        <f t="shared" si="276"/>
        <v>2695</v>
      </c>
      <c r="D4473" s="73"/>
      <c r="E4473" s="72"/>
      <c r="F4473" s="101"/>
      <c r="G4473" s="96">
        <f t="shared" si="277"/>
        <v>2695</v>
      </c>
      <c r="K4473" t="str">
        <f t="shared" si="278"/>
        <v>2695</v>
      </c>
      <c r="M4473" s="72"/>
      <c r="O4473" s="96">
        <f t="shared" si="279"/>
        <v>2695</v>
      </c>
      <c r="T4473" s="110"/>
    </row>
    <row r="4474" spans="3:20" x14ac:dyDescent="0.2">
      <c r="C4474" t="str">
        <f t="shared" si="276"/>
        <v>2696</v>
      </c>
      <c r="D4474" s="73"/>
      <c r="E4474" s="72"/>
      <c r="F4474" s="101"/>
      <c r="G4474" s="96">
        <f t="shared" si="277"/>
        <v>2696</v>
      </c>
      <c r="K4474" t="str">
        <f t="shared" si="278"/>
        <v>2696</v>
      </c>
      <c r="M4474" s="72"/>
      <c r="O4474" s="96">
        <f t="shared" si="279"/>
        <v>2696</v>
      </c>
      <c r="T4474" s="110"/>
    </row>
    <row r="4475" spans="3:20" x14ac:dyDescent="0.2">
      <c r="C4475" t="str">
        <f t="shared" si="276"/>
        <v>2697</v>
      </c>
      <c r="D4475" s="73"/>
      <c r="E4475" s="72"/>
      <c r="F4475" s="101"/>
      <c r="G4475" s="96">
        <f t="shared" si="277"/>
        <v>2697</v>
      </c>
      <c r="K4475" t="str">
        <f t="shared" si="278"/>
        <v>2697</v>
      </c>
      <c r="M4475" s="72"/>
      <c r="O4475" s="96">
        <f t="shared" si="279"/>
        <v>2697</v>
      </c>
      <c r="T4475" s="110"/>
    </row>
    <row r="4476" spans="3:20" x14ac:dyDescent="0.2">
      <c r="C4476" t="str">
        <f t="shared" si="276"/>
        <v>2698</v>
      </c>
      <c r="D4476" s="73"/>
      <c r="E4476" s="72"/>
      <c r="F4476" s="101"/>
      <c r="G4476" s="96">
        <f t="shared" si="277"/>
        <v>2698</v>
      </c>
      <c r="K4476" t="str">
        <f t="shared" si="278"/>
        <v>2698</v>
      </c>
      <c r="M4476" s="72"/>
      <c r="O4476" s="96">
        <f t="shared" si="279"/>
        <v>2698</v>
      </c>
      <c r="T4476" s="110"/>
    </row>
    <row r="4477" spans="3:20" x14ac:dyDescent="0.2">
      <c r="C4477" t="str">
        <f t="shared" si="276"/>
        <v>2699</v>
      </c>
      <c r="D4477" s="73"/>
      <c r="E4477" s="72"/>
      <c r="F4477" s="101"/>
      <c r="G4477" s="96">
        <f t="shared" si="277"/>
        <v>2699</v>
      </c>
      <c r="K4477" t="str">
        <f t="shared" si="278"/>
        <v>2699</v>
      </c>
      <c r="M4477" s="72"/>
      <c r="O4477" s="96">
        <f t="shared" si="279"/>
        <v>2699</v>
      </c>
      <c r="T4477" s="110"/>
    </row>
    <row r="4478" spans="3:20" x14ac:dyDescent="0.2">
      <c r="C4478" t="str">
        <f t="shared" si="276"/>
        <v>2700</v>
      </c>
      <c r="D4478" s="73"/>
      <c r="E4478" s="72"/>
      <c r="F4478" s="101"/>
      <c r="G4478" s="96">
        <f t="shared" si="277"/>
        <v>2700</v>
      </c>
      <c r="K4478" t="str">
        <f t="shared" si="278"/>
        <v>2700</v>
      </c>
      <c r="M4478" s="72"/>
      <c r="O4478" s="96">
        <f t="shared" si="279"/>
        <v>2700</v>
      </c>
      <c r="T4478" s="110"/>
    </row>
    <row r="4479" spans="3:20" x14ac:dyDescent="0.2">
      <c r="C4479" t="str">
        <f t="shared" si="276"/>
        <v>2701</v>
      </c>
      <c r="D4479" s="73"/>
      <c r="E4479" s="72"/>
      <c r="F4479" s="101"/>
      <c r="G4479" s="96">
        <f t="shared" si="277"/>
        <v>2701</v>
      </c>
      <c r="K4479" t="str">
        <f t="shared" si="278"/>
        <v>2701</v>
      </c>
      <c r="M4479" s="72"/>
      <c r="O4479" s="96">
        <f t="shared" si="279"/>
        <v>2701</v>
      </c>
      <c r="T4479" s="110"/>
    </row>
    <row r="4480" spans="3:20" x14ac:dyDescent="0.2">
      <c r="C4480" t="str">
        <f t="shared" si="276"/>
        <v>2702</v>
      </c>
      <c r="D4480" s="73"/>
      <c r="E4480" s="72"/>
      <c r="F4480" s="101"/>
      <c r="G4480" s="96">
        <f t="shared" si="277"/>
        <v>2702</v>
      </c>
      <c r="K4480" t="str">
        <f t="shared" si="278"/>
        <v>2702</v>
      </c>
      <c r="M4480" s="72"/>
      <c r="O4480" s="96">
        <f t="shared" si="279"/>
        <v>2702</v>
      </c>
      <c r="T4480" s="110"/>
    </row>
    <row r="4481" spans="3:20" x14ac:dyDescent="0.2">
      <c r="C4481" t="str">
        <f t="shared" si="276"/>
        <v>2703</v>
      </c>
      <c r="D4481" s="73"/>
      <c r="E4481" s="72"/>
      <c r="F4481" s="101"/>
      <c r="G4481" s="96">
        <f t="shared" si="277"/>
        <v>2703</v>
      </c>
      <c r="K4481" t="str">
        <f t="shared" si="278"/>
        <v>2703</v>
      </c>
      <c r="M4481" s="72"/>
      <c r="O4481" s="96">
        <f t="shared" si="279"/>
        <v>2703</v>
      </c>
      <c r="T4481" s="110"/>
    </row>
    <row r="4482" spans="3:20" x14ac:dyDescent="0.2">
      <c r="C4482" t="str">
        <f t="shared" si="276"/>
        <v>2704</v>
      </c>
      <c r="D4482" s="73"/>
      <c r="E4482" s="72"/>
      <c r="F4482" s="101"/>
      <c r="G4482" s="96">
        <f t="shared" si="277"/>
        <v>2704</v>
      </c>
      <c r="K4482" t="str">
        <f t="shared" si="278"/>
        <v>2704</v>
      </c>
      <c r="M4482" s="72"/>
      <c r="O4482" s="96">
        <f t="shared" si="279"/>
        <v>2704</v>
      </c>
      <c r="T4482" s="110"/>
    </row>
    <row r="4483" spans="3:20" x14ac:dyDescent="0.2">
      <c r="C4483" t="str">
        <f t="shared" ref="C4483:C4546" si="280">D4483&amp;G4483</f>
        <v>2705</v>
      </c>
      <c r="D4483" s="73"/>
      <c r="E4483" s="72"/>
      <c r="F4483" s="101"/>
      <c r="G4483" s="96">
        <f t="shared" ref="G4483:G4546" si="281">IF(D4483&lt;&gt;D4482,1,G4482+1)</f>
        <v>2705</v>
      </c>
      <c r="K4483" t="str">
        <f t="shared" ref="K4483:K4546" si="282">L4483&amp;O4483</f>
        <v>2705</v>
      </c>
      <c r="M4483" s="72"/>
      <c r="O4483" s="96">
        <f t="shared" ref="O4483:O4546" si="283">IF(L4483&lt;&gt;L4482,1,O4482+1)</f>
        <v>2705</v>
      </c>
      <c r="T4483" s="110"/>
    </row>
    <row r="4484" spans="3:20" x14ac:dyDescent="0.2">
      <c r="C4484" t="str">
        <f t="shared" si="280"/>
        <v>2706</v>
      </c>
      <c r="D4484" s="73"/>
      <c r="E4484" s="72"/>
      <c r="F4484" s="101"/>
      <c r="G4484" s="96">
        <f t="shared" si="281"/>
        <v>2706</v>
      </c>
      <c r="K4484" t="str">
        <f t="shared" si="282"/>
        <v>2706</v>
      </c>
      <c r="M4484" s="72"/>
      <c r="O4484" s="96">
        <f t="shared" si="283"/>
        <v>2706</v>
      </c>
      <c r="T4484" s="110"/>
    </row>
    <row r="4485" spans="3:20" x14ac:dyDescent="0.2">
      <c r="C4485" t="str">
        <f t="shared" si="280"/>
        <v>2707</v>
      </c>
      <c r="D4485" s="73"/>
      <c r="E4485" s="72"/>
      <c r="F4485" s="101"/>
      <c r="G4485" s="96">
        <f t="shared" si="281"/>
        <v>2707</v>
      </c>
      <c r="K4485" t="str">
        <f t="shared" si="282"/>
        <v>2707</v>
      </c>
      <c r="M4485" s="72"/>
      <c r="O4485" s="96">
        <f t="shared" si="283"/>
        <v>2707</v>
      </c>
      <c r="T4485" s="83"/>
    </row>
    <row r="4486" spans="3:20" x14ac:dyDescent="0.2">
      <c r="C4486" t="str">
        <f t="shared" si="280"/>
        <v>2708</v>
      </c>
      <c r="D4486" s="73"/>
      <c r="E4486" s="72"/>
      <c r="F4486" s="101"/>
      <c r="G4486" s="96">
        <f t="shared" si="281"/>
        <v>2708</v>
      </c>
      <c r="K4486" t="str">
        <f t="shared" si="282"/>
        <v>2708</v>
      </c>
      <c r="M4486" s="72"/>
      <c r="O4486" s="96">
        <f t="shared" si="283"/>
        <v>2708</v>
      </c>
      <c r="T4486" s="83"/>
    </row>
    <row r="4487" spans="3:20" x14ac:dyDescent="0.2">
      <c r="C4487" t="str">
        <f t="shared" si="280"/>
        <v>2709</v>
      </c>
      <c r="D4487" s="73"/>
      <c r="E4487" s="72"/>
      <c r="F4487" s="101"/>
      <c r="G4487" s="96">
        <f t="shared" si="281"/>
        <v>2709</v>
      </c>
      <c r="K4487" t="str">
        <f t="shared" si="282"/>
        <v>2709</v>
      </c>
      <c r="M4487" s="72"/>
      <c r="O4487" s="96">
        <f t="shared" si="283"/>
        <v>2709</v>
      </c>
      <c r="T4487" s="83"/>
    </row>
    <row r="4488" spans="3:20" x14ac:dyDescent="0.2">
      <c r="C4488" t="str">
        <f t="shared" si="280"/>
        <v>2710</v>
      </c>
      <c r="D4488" s="73"/>
      <c r="E4488" s="72"/>
      <c r="F4488" s="101"/>
      <c r="G4488" s="96">
        <f t="shared" si="281"/>
        <v>2710</v>
      </c>
      <c r="K4488" t="str">
        <f t="shared" si="282"/>
        <v>2710</v>
      </c>
      <c r="M4488" s="72"/>
      <c r="O4488" s="96">
        <f t="shared" si="283"/>
        <v>2710</v>
      </c>
      <c r="T4488" s="83"/>
    </row>
    <row r="4489" spans="3:20" x14ac:dyDescent="0.2">
      <c r="C4489" t="str">
        <f t="shared" si="280"/>
        <v>2711</v>
      </c>
      <c r="D4489" s="73"/>
      <c r="E4489" s="72"/>
      <c r="F4489" s="101"/>
      <c r="G4489" s="96">
        <f t="shared" si="281"/>
        <v>2711</v>
      </c>
      <c r="K4489" t="str">
        <f t="shared" si="282"/>
        <v>2711</v>
      </c>
      <c r="M4489" s="72"/>
      <c r="O4489" s="96">
        <f t="shared" si="283"/>
        <v>2711</v>
      </c>
      <c r="T4489" s="110"/>
    </row>
    <row r="4490" spans="3:20" x14ac:dyDescent="0.2">
      <c r="C4490" t="str">
        <f t="shared" si="280"/>
        <v>2712</v>
      </c>
      <c r="D4490" s="73"/>
      <c r="E4490" s="72"/>
      <c r="F4490" s="101"/>
      <c r="G4490" s="96">
        <f t="shared" si="281"/>
        <v>2712</v>
      </c>
      <c r="K4490" t="str">
        <f t="shared" si="282"/>
        <v>2712</v>
      </c>
      <c r="M4490" s="72"/>
      <c r="O4490" s="96">
        <f t="shared" si="283"/>
        <v>2712</v>
      </c>
      <c r="T4490" s="110"/>
    </row>
    <row r="4491" spans="3:20" x14ac:dyDescent="0.2">
      <c r="C4491" t="str">
        <f t="shared" si="280"/>
        <v>2713</v>
      </c>
      <c r="D4491" s="73"/>
      <c r="E4491" s="72"/>
      <c r="F4491" s="101"/>
      <c r="G4491" s="96">
        <f t="shared" si="281"/>
        <v>2713</v>
      </c>
      <c r="K4491" t="str">
        <f t="shared" si="282"/>
        <v>2713</v>
      </c>
      <c r="M4491" s="72"/>
      <c r="O4491" s="96">
        <f t="shared" si="283"/>
        <v>2713</v>
      </c>
      <c r="T4491" s="110"/>
    </row>
    <row r="4492" spans="3:20" x14ac:dyDescent="0.2">
      <c r="C4492" t="str">
        <f t="shared" si="280"/>
        <v>2714</v>
      </c>
      <c r="D4492" s="73"/>
      <c r="E4492" s="72"/>
      <c r="F4492" s="101"/>
      <c r="G4492" s="96">
        <f t="shared" si="281"/>
        <v>2714</v>
      </c>
      <c r="K4492" t="str">
        <f t="shared" si="282"/>
        <v>2714</v>
      </c>
      <c r="M4492" s="72"/>
      <c r="O4492" s="96">
        <f t="shared" si="283"/>
        <v>2714</v>
      </c>
      <c r="T4492" s="110"/>
    </row>
    <row r="4493" spans="3:20" x14ac:dyDescent="0.2">
      <c r="C4493" t="str">
        <f t="shared" si="280"/>
        <v>2715</v>
      </c>
      <c r="D4493" s="73"/>
      <c r="E4493" s="72"/>
      <c r="F4493" s="101"/>
      <c r="G4493" s="96">
        <f t="shared" si="281"/>
        <v>2715</v>
      </c>
      <c r="K4493" t="str">
        <f t="shared" si="282"/>
        <v>2715</v>
      </c>
      <c r="M4493" s="72"/>
      <c r="O4493" s="96">
        <f t="shared" si="283"/>
        <v>2715</v>
      </c>
      <c r="T4493" s="110"/>
    </row>
    <row r="4494" spans="3:20" x14ac:dyDescent="0.2">
      <c r="C4494" t="str">
        <f t="shared" si="280"/>
        <v>2716</v>
      </c>
      <c r="D4494" s="73"/>
      <c r="E4494" s="72"/>
      <c r="F4494" s="101"/>
      <c r="G4494" s="96">
        <f t="shared" si="281"/>
        <v>2716</v>
      </c>
      <c r="K4494" t="str">
        <f t="shared" si="282"/>
        <v>2716</v>
      </c>
      <c r="M4494" s="72"/>
      <c r="O4494" s="96">
        <f t="shared" si="283"/>
        <v>2716</v>
      </c>
      <c r="T4494" s="110"/>
    </row>
    <row r="4495" spans="3:20" x14ac:dyDescent="0.2">
      <c r="C4495" t="str">
        <f t="shared" si="280"/>
        <v>2717</v>
      </c>
      <c r="D4495" s="73"/>
      <c r="E4495" s="72"/>
      <c r="F4495" s="101"/>
      <c r="G4495" s="96">
        <f t="shared" si="281"/>
        <v>2717</v>
      </c>
      <c r="K4495" t="str">
        <f t="shared" si="282"/>
        <v>2717</v>
      </c>
      <c r="M4495" s="72"/>
      <c r="O4495" s="96">
        <f t="shared" si="283"/>
        <v>2717</v>
      </c>
      <c r="T4495" s="110"/>
    </row>
    <row r="4496" spans="3:20" x14ac:dyDescent="0.2">
      <c r="C4496" t="str">
        <f t="shared" si="280"/>
        <v>2718</v>
      </c>
      <c r="D4496" s="73"/>
      <c r="E4496" s="72"/>
      <c r="F4496" s="101"/>
      <c r="G4496" s="96">
        <f t="shared" si="281"/>
        <v>2718</v>
      </c>
      <c r="K4496" t="str">
        <f t="shared" si="282"/>
        <v>2718</v>
      </c>
      <c r="M4496" s="72"/>
      <c r="O4496" s="96">
        <f t="shared" si="283"/>
        <v>2718</v>
      </c>
      <c r="T4496" s="110"/>
    </row>
    <row r="4497" spans="3:20" x14ac:dyDescent="0.2">
      <c r="C4497" t="str">
        <f t="shared" si="280"/>
        <v>2719</v>
      </c>
      <c r="D4497" s="73"/>
      <c r="E4497" s="72"/>
      <c r="F4497" s="101"/>
      <c r="G4497" s="96">
        <f t="shared" si="281"/>
        <v>2719</v>
      </c>
      <c r="K4497" t="str">
        <f t="shared" si="282"/>
        <v>2719</v>
      </c>
      <c r="M4497" s="72"/>
      <c r="O4497" s="96">
        <f t="shared" si="283"/>
        <v>2719</v>
      </c>
      <c r="T4497" s="110"/>
    </row>
    <row r="4498" spans="3:20" x14ac:dyDescent="0.2">
      <c r="C4498" t="str">
        <f t="shared" si="280"/>
        <v>2720</v>
      </c>
      <c r="D4498" s="73"/>
      <c r="E4498" s="72"/>
      <c r="F4498" s="101"/>
      <c r="G4498" s="96">
        <f t="shared" si="281"/>
        <v>2720</v>
      </c>
      <c r="K4498" t="str">
        <f t="shared" si="282"/>
        <v>2720</v>
      </c>
      <c r="M4498" s="72"/>
      <c r="O4498" s="96">
        <f t="shared" si="283"/>
        <v>2720</v>
      </c>
      <c r="T4498" s="110"/>
    </row>
    <row r="4499" spans="3:20" x14ac:dyDescent="0.2">
      <c r="C4499" t="str">
        <f t="shared" si="280"/>
        <v>2721</v>
      </c>
      <c r="D4499" s="73"/>
      <c r="E4499" s="72"/>
      <c r="F4499" s="101"/>
      <c r="G4499" s="96">
        <f t="shared" si="281"/>
        <v>2721</v>
      </c>
      <c r="K4499" t="str">
        <f t="shared" si="282"/>
        <v>2721</v>
      </c>
      <c r="M4499" s="72"/>
      <c r="O4499" s="96">
        <f t="shared" si="283"/>
        <v>2721</v>
      </c>
      <c r="T4499" s="110"/>
    </row>
    <row r="4500" spans="3:20" x14ac:dyDescent="0.2">
      <c r="C4500" t="str">
        <f t="shared" si="280"/>
        <v>2722</v>
      </c>
      <c r="D4500" s="73"/>
      <c r="E4500" s="72"/>
      <c r="F4500" s="101"/>
      <c r="G4500" s="96">
        <f t="shared" si="281"/>
        <v>2722</v>
      </c>
      <c r="K4500" t="str">
        <f t="shared" si="282"/>
        <v>2722</v>
      </c>
      <c r="M4500" s="72"/>
      <c r="O4500" s="96">
        <f t="shared" si="283"/>
        <v>2722</v>
      </c>
      <c r="T4500" s="110"/>
    </row>
    <row r="4501" spans="3:20" x14ac:dyDescent="0.2">
      <c r="C4501" t="str">
        <f t="shared" si="280"/>
        <v>2723</v>
      </c>
      <c r="D4501" s="73"/>
      <c r="E4501" s="72"/>
      <c r="F4501" s="101"/>
      <c r="G4501" s="96">
        <f t="shared" si="281"/>
        <v>2723</v>
      </c>
      <c r="K4501" t="str">
        <f t="shared" si="282"/>
        <v>2723</v>
      </c>
      <c r="M4501" s="72"/>
      <c r="O4501" s="96">
        <f t="shared" si="283"/>
        <v>2723</v>
      </c>
      <c r="T4501" s="110"/>
    </row>
    <row r="4502" spans="3:20" x14ac:dyDescent="0.2">
      <c r="C4502" t="str">
        <f t="shared" si="280"/>
        <v>2724</v>
      </c>
      <c r="D4502" s="73"/>
      <c r="E4502" s="72"/>
      <c r="F4502" s="101"/>
      <c r="G4502" s="96">
        <f t="shared" si="281"/>
        <v>2724</v>
      </c>
      <c r="K4502" t="str">
        <f t="shared" si="282"/>
        <v>2724</v>
      </c>
      <c r="M4502" s="72"/>
      <c r="O4502" s="96">
        <f t="shared" si="283"/>
        <v>2724</v>
      </c>
      <c r="T4502" s="110"/>
    </row>
    <row r="4503" spans="3:20" x14ac:dyDescent="0.2">
      <c r="C4503" t="str">
        <f t="shared" si="280"/>
        <v>2725</v>
      </c>
      <c r="D4503" s="73"/>
      <c r="E4503" s="72"/>
      <c r="F4503" s="101"/>
      <c r="G4503" s="96">
        <f t="shared" si="281"/>
        <v>2725</v>
      </c>
      <c r="K4503" t="str">
        <f t="shared" si="282"/>
        <v>2725</v>
      </c>
      <c r="M4503" s="72"/>
      <c r="O4503" s="96">
        <f t="shared" si="283"/>
        <v>2725</v>
      </c>
      <c r="T4503" s="110"/>
    </row>
    <row r="4504" spans="3:20" x14ac:dyDescent="0.2">
      <c r="C4504" t="str">
        <f t="shared" si="280"/>
        <v>2726</v>
      </c>
      <c r="D4504" s="73"/>
      <c r="E4504" s="72"/>
      <c r="F4504" s="101"/>
      <c r="G4504" s="96">
        <f t="shared" si="281"/>
        <v>2726</v>
      </c>
      <c r="K4504" t="str">
        <f t="shared" si="282"/>
        <v>2726</v>
      </c>
      <c r="M4504" s="72"/>
      <c r="O4504" s="96">
        <f t="shared" si="283"/>
        <v>2726</v>
      </c>
      <c r="T4504" s="110"/>
    </row>
    <row r="4505" spans="3:20" x14ac:dyDescent="0.2">
      <c r="C4505" t="str">
        <f t="shared" si="280"/>
        <v>2727</v>
      </c>
      <c r="D4505" s="73"/>
      <c r="E4505" s="72"/>
      <c r="F4505" s="101"/>
      <c r="G4505" s="96">
        <f t="shared" si="281"/>
        <v>2727</v>
      </c>
      <c r="K4505" t="str">
        <f t="shared" si="282"/>
        <v>2727</v>
      </c>
      <c r="M4505" s="72"/>
      <c r="O4505" s="96">
        <f t="shared" si="283"/>
        <v>2727</v>
      </c>
      <c r="T4505" s="110"/>
    </row>
    <row r="4506" spans="3:20" x14ac:dyDescent="0.2">
      <c r="C4506" t="str">
        <f t="shared" si="280"/>
        <v>2728</v>
      </c>
      <c r="D4506" s="73"/>
      <c r="E4506" s="72"/>
      <c r="F4506" s="101"/>
      <c r="G4506" s="96">
        <f t="shared" si="281"/>
        <v>2728</v>
      </c>
      <c r="K4506" t="str">
        <f t="shared" si="282"/>
        <v>2728</v>
      </c>
      <c r="M4506" s="72"/>
      <c r="O4506" s="96">
        <f t="shared" si="283"/>
        <v>2728</v>
      </c>
      <c r="T4506" s="110"/>
    </row>
    <row r="4507" spans="3:20" x14ac:dyDescent="0.2">
      <c r="C4507" t="str">
        <f t="shared" si="280"/>
        <v>2729</v>
      </c>
      <c r="D4507" s="73"/>
      <c r="E4507" s="72"/>
      <c r="F4507" s="101"/>
      <c r="G4507" s="96">
        <f t="shared" si="281"/>
        <v>2729</v>
      </c>
      <c r="K4507" t="str">
        <f t="shared" si="282"/>
        <v>2729</v>
      </c>
      <c r="M4507" s="72"/>
      <c r="O4507" s="96">
        <f t="shared" si="283"/>
        <v>2729</v>
      </c>
      <c r="T4507" s="110"/>
    </row>
    <row r="4508" spans="3:20" x14ac:dyDescent="0.2">
      <c r="C4508" t="str">
        <f t="shared" si="280"/>
        <v>2730</v>
      </c>
      <c r="D4508" s="73"/>
      <c r="E4508" s="72"/>
      <c r="F4508" s="101"/>
      <c r="G4508" s="96">
        <f t="shared" si="281"/>
        <v>2730</v>
      </c>
      <c r="K4508" t="str">
        <f t="shared" si="282"/>
        <v>2730</v>
      </c>
      <c r="M4508" s="72"/>
      <c r="O4508" s="96">
        <f t="shared" si="283"/>
        <v>2730</v>
      </c>
      <c r="T4508" s="110"/>
    </row>
    <row r="4509" spans="3:20" x14ac:dyDescent="0.2">
      <c r="C4509" t="str">
        <f t="shared" si="280"/>
        <v>2731</v>
      </c>
      <c r="D4509" s="73"/>
      <c r="E4509" s="72"/>
      <c r="F4509" s="101"/>
      <c r="G4509" s="96">
        <f t="shared" si="281"/>
        <v>2731</v>
      </c>
      <c r="K4509" t="str">
        <f t="shared" si="282"/>
        <v>2731</v>
      </c>
      <c r="M4509" s="72"/>
      <c r="O4509" s="96">
        <f t="shared" si="283"/>
        <v>2731</v>
      </c>
      <c r="T4509" s="110"/>
    </row>
    <row r="4510" spans="3:20" x14ac:dyDescent="0.2">
      <c r="C4510" t="str">
        <f t="shared" si="280"/>
        <v>2732</v>
      </c>
      <c r="D4510" s="73"/>
      <c r="E4510" s="72"/>
      <c r="F4510" s="101"/>
      <c r="G4510" s="96">
        <f t="shared" si="281"/>
        <v>2732</v>
      </c>
      <c r="K4510" t="str">
        <f t="shared" si="282"/>
        <v>2732</v>
      </c>
      <c r="M4510" s="72"/>
      <c r="O4510" s="96">
        <f t="shared" si="283"/>
        <v>2732</v>
      </c>
      <c r="T4510" s="110"/>
    </row>
    <row r="4511" spans="3:20" x14ac:dyDescent="0.2">
      <c r="C4511" t="str">
        <f t="shared" si="280"/>
        <v>2733</v>
      </c>
      <c r="D4511" s="73"/>
      <c r="E4511" s="72"/>
      <c r="F4511" s="101"/>
      <c r="G4511" s="96">
        <f t="shared" si="281"/>
        <v>2733</v>
      </c>
      <c r="K4511" t="str">
        <f t="shared" si="282"/>
        <v>2733</v>
      </c>
      <c r="M4511" s="72"/>
      <c r="O4511" s="96">
        <f t="shared" si="283"/>
        <v>2733</v>
      </c>
      <c r="T4511" s="83"/>
    </row>
    <row r="4512" spans="3:20" x14ac:dyDescent="0.2">
      <c r="C4512" t="str">
        <f t="shared" si="280"/>
        <v>2734</v>
      </c>
      <c r="D4512" s="73"/>
      <c r="E4512" s="72"/>
      <c r="F4512" s="101"/>
      <c r="G4512" s="96">
        <f t="shared" si="281"/>
        <v>2734</v>
      </c>
      <c r="K4512" t="str">
        <f t="shared" si="282"/>
        <v>2734</v>
      </c>
      <c r="M4512" s="72"/>
      <c r="O4512" s="96">
        <f t="shared" si="283"/>
        <v>2734</v>
      </c>
      <c r="T4512" s="83"/>
    </row>
    <row r="4513" spans="3:20" x14ac:dyDescent="0.2">
      <c r="C4513" t="str">
        <f t="shared" si="280"/>
        <v>2735</v>
      </c>
      <c r="D4513" s="73"/>
      <c r="E4513" s="72"/>
      <c r="F4513" s="101"/>
      <c r="G4513" s="96">
        <f t="shared" si="281"/>
        <v>2735</v>
      </c>
      <c r="K4513" t="str">
        <f t="shared" si="282"/>
        <v>2735</v>
      </c>
      <c r="M4513" s="72"/>
      <c r="O4513" s="96">
        <f t="shared" si="283"/>
        <v>2735</v>
      </c>
      <c r="T4513" s="110"/>
    </row>
    <row r="4514" spans="3:20" x14ac:dyDescent="0.2">
      <c r="C4514" t="str">
        <f t="shared" si="280"/>
        <v>2736</v>
      </c>
      <c r="D4514" s="73"/>
      <c r="E4514" s="72"/>
      <c r="F4514" s="101"/>
      <c r="G4514" s="96">
        <f t="shared" si="281"/>
        <v>2736</v>
      </c>
      <c r="K4514" t="str">
        <f t="shared" si="282"/>
        <v>2736</v>
      </c>
      <c r="M4514" s="72"/>
      <c r="O4514" s="96">
        <f t="shared" si="283"/>
        <v>2736</v>
      </c>
      <c r="T4514" s="110"/>
    </row>
    <row r="4515" spans="3:20" x14ac:dyDescent="0.2">
      <c r="C4515" t="str">
        <f t="shared" si="280"/>
        <v>2737</v>
      </c>
      <c r="D4515" s="73"/>
      <c r="E4515" s="72"/>
      <c r="F4515" s="101"/>
      <c r="G4515" s="96">
        <f t="shared" si="281"/>
        <v>2737</v>
      </c>
      <c r="K4515" t="str">
        <f t="shared" si="282"/>
        <v>2737</v>
      </c>
      <c r="M4515" s="72"/>
      <c r="O4515" s="96">
        <f t="shared" si="283"/>
        <v>2737</v>
      </c>
      <c r="T4515" s="110"/>
    </row>
    <row r="4516" spans="3:20" x14ac:dyDescent="0.2">
      <c r="C4516" t="str">
        <f t="shared" si="280"/>
        <v>2738</v>
      </c>
      <c r="D4516" s="73"/>
      <c r="E4516" s="72"/>
      <c r="F4516" s="101"/>
      <c r="G4516" s="96">
        <f t="shared" si="281"/>
        <v>2738</v>
      </c>
      <c r="K4516" t="str">
        <f t="shared" si="282"/>
        <v>2738</v>
      </c>
      <c r="M4516" s="72"/>
      <c r="O4516" s="96">
        <f t="shared" si="283"/>
        <v>2738</v>
      </c>
      <c r="T4516" s="110"/>
    </row>
    <row r="4517" spans="3:20" x14ac:dyDescent="0.2">
      <c r="C4517" t="str">
        <f t="shared" si="280"/>
        <v>2739</v>
      </c>
      <c r="D4517" s="73"/>
      <c r="E4517" s="72"/>
      <c r="F4517" s="101"/>
      <c r="G4517" s="96">
        <f t="shared" si="281"/>
        <v>2739</v>
      </c>
      <c r="K4517" t="str">
        <f t="shared" si="282"/>
        <v>2739</v>
      </c>
      <c r="M4517" s="72"/>
      <c r="O4517" s="96">
        <f t="shared" si="283"/>
        <v>2739</v>
      </c>
      <c r="T4517" s="110"/>
    </row>
    <row r="4518" spans="3:20" x14ac:dyDescent="0.2">
      <c r="C4518" t="str">
        <f t="shared" si="280"/>
        <v>2740</v>
      </c>
      <c r="D4518" s="73"/>
      <c r="E4518" s="72"/>
      <c r="F4518" s="101"/>
      <c r="G4518" s="96">
        <f t="shared" si="281"/>
        <v>2740</v>
      </c>
      <c r="K4518" t="str">
        <f t="shared" si="282"/>
        <v>2740</v>
      </c>
      <c r="M4518" s="72"/>
      <c r="O4518" s="96">
        <f t="shared" si="283"/>
        <v>2740</v>
      </c>
      <c r="T4518" s="110"/>
    </row>
    <row r="4519" spans="3:20" x14ac:dyDescent="0.2">
      <c r="C4519" t="str">
        <f t="shared" si="280"/>
        <v>2741</v>
      </c>
      <c r="D4519" s="73"/>
      <c r="E4519" s="72"/>
      <c r="F4519" s="101"/>
      <c r="G4519" s="96">
        <f t="shared" si="281"/>
        <v>2741</v>
      </c>
      <c r="K4519" t="str">
        <f t="shared" si="282"/>
        <v>2741</v>
      </c>
      <c r="M4519" s="72"/>
      <c r="O4519" s="96">
        <f t="shared" si="283"/>
        <v>2741</v>
      </c>
      <c r="T4519" s="110"/>
    </row>
    <row r="4520" spans="3:20" x14ac:dyDescent="0.2">
      <c r="C4520" t="str">
        <f t="shared" si="280"/>
        <v>2742</v>
      </c>
      <c r="D4520" s="73"/>
      <c r="E4520" s="72"/>
      <c r="F4520" s="101"/>
      <c r="G4520" s="96">
        <f t="shared" si="281"/>
        <v>2742</v>
      </c>
      <c r="K4520" t="str">
        <f t="shared" si="282"/>
        <v>2742</v>
      </c>
      <c r="M4520" s="72"/>
      <c r="O4520" s="96">
        <f t="shared" si="283"/>
        <v>2742</v>
      </c>
      <c r="T4520" s="83"/>
    </row>
    <row r="4521" spans="3:20" x14ac:dyDescent="0.2">
      <c r="C4521" t="str">
        <f t="shared" si="280"/>
        <v>2743</v>
      </c>
      <c r="D4521" s="73"/>
      <c r="E4521" s="72"/>
      <c r="F4521" s="101"/>
      <c r="G4521" s="96">
        <f t="shared" si="281"/>
        <v>2743</v>
      </c>
      <c r="K4521" t="str">
        <f t="shared" si="282"/>
        <v>2743</v>
      </c>
      <c r="M4521" s="72"/>
      <c r="O4521" s="96">
        <f t="shared" si="283"/>
        <v>2743</v>
      </c>
    </row>
    <row r="4522" spans="3:20" x14ac:dyDescent="0.2">
      <c r="C4522" t="str">
        <f t="shared" si="280"/>
        <v>2744</v>
      </c>
      <c r="D4522" s="73"/>
      <c r="E4522" s="72"/>
      <c r="F4522" s="101"/>
      <c r="G4522" s="96">
        <f t="shared" si="281"/>
        <v>2744</v>
      </c>
      <c r="K4522" t="str">
        <f t="shared" si="282"/>
        <v>2744</v>
      </c>
      <c r="M4522" s="72"/>
      <c r="O4522" s="96">
        <f t="shared" si="283"/>
        <v>2744</v>
      </c>
      <c r="T4522" s="110"/>
    </row>
    <row r="4523" spans="3:20" x14ac:dyDescent="0.2">
      <c r="C4523" t="str">
        <f t="shared" si="280"/>
        <v>2745</v>
      </c>
      <c r="D4523" s="73"/>
      <c r="E4523" s="72"/>
      <c r="F4523" s="101"/>
      <c r="G4523" s="96">
        <f t="shared" si="281"/>
        <v>2745</v>
      </c>
      <c r="K4523" t="str">
        <f t="shared" si="282"/>
        <v>2745</v>
      </c>
      <c r="M4523" s="72"/>
      <c r="O4523" s="96">
        <f t="shared" si="283"/>
        <v>2745</v>
      </c>
      <c r="T4523" s="110"/>
    </row>
    <row r="4524" spans="3:20" x14ac:dyDescent="0.2">
      <c r="C4524" t="str">
        <f t="shared" si="280"/>
        <v>2746</v>
      </c>
      <c r="D4524" s="73"/>
      <c r="E4524" s="72"/>
      <c r="F4524" s="101"/>
      <c r="G4524" s="96">
        <f t="shared" si="281"/>
        <v>2746</v>
      </c>
      <c r="K4524" t="str">
        <f t="shared" si="282"/>
        <v>2746</v>
      </c>
      <c r="M4524" s="72"/>
      <c r="O4524" s="96">
        <f t="shared" si="283"/>
        <v>2746</v>
      </c>
      <c r="T4524" s="110"/>
    </row>
    <row r="4525" spans="3:20" x14ac:dyDescent="0.2">
      <c r="C4525" t="str">
        <f t="shared" si="280"/>
        <v>2747</v>
      </c>
      <c r="D4525" s="73"/>
      <c r="E4525" s="72"/>
      <c r="F4525" s="101"/>
      <c r="G4525" s="96">
        <f t="shared" si="281"/>
        <v>2747</v>
      </c>
      <c r="K4525" t="str">
        <f t="shared" si="282"/>
        <v>2747</v>
      </c>
      <c r="M4525" s="72"/>
      <c r="O4525" s="96">
        <f t="shared" si="283"/>
        <v>2747</v>
      </c>
      <c r="T4525" s="110"/>
    </row>
    <row r="4526" spans="3:20" x14ac:dyDescent="0.2">
      <c r="C4526" t="str">
        <f t="shared" si="280"/>
        <v>2748</v>
      </c>
      <c r="D4526" s="73"/>
      <c r="E4526" s="72"/>
      <c r="F4526" s="101"/>
      <c r="G4526" s="96">
        <f t="shared" si="281"/>
        <v>2748</v>
      </c>
      <c r="K4526" t="str">
        <f t="shared" si="282"/>
        <v>2748</v>
      </c>
      <c r="M4526" s="72"/>
      <c r="O4526" s="96">
        <f t="shared" si="283"/>
        <v>2748</v>
      </c>
      <c r="T4526" s="110"/>
    </row>
    <row r="4527" spans="3:20" x14ac:dyDescent="0.2">
      <c r="C4527" t="str">
        <f t="shared" si="280"/>
        <v>2749</v>
      </c>
      <c r="D4527" s="73"/>
      <c r="E4527" s="72"/>
      <c r="F4527" s="101"/>
      <c r="G4527" s="96">
        <f t="shared" si="281"/>
        <v>2749</v>
      </c>
      <c r="K4527" t="str">
        <f t="shared" si="282"/>
        <v>2749</v>
      </c>
      <c r="M4527" s="72"/>
      <c r="O4527" s="96">
        <f t="shared" si="283"/>
        <v>2749</v>
      </c>
    </row>
    <row r="4528" spans="3:20" x14ac:dyDescent="0.2">
      <c r="C4528" t="str">
        <f t="shared" si="280"/>
        <v>2750</v>
      </c>
      <c r="D4528" s="73"/>
      <c r="E4528" s="72"/>
      <c r="F4528" s="101"/>
      <c r="G4528" s="96">
        <f t="shared" si="281"/>
        <v>2750</v>
      </c>
      <c r="K4528" t="str">
        <f t="shared" si="282"/>
        <v>2750</v>
      </c>
      <c r="M4528" s="72"/>
      <c r="O4528" s="96">
        <f t="shared" si="283"/>
        <v>2750</v>
      </c>
      <c r="T4528" s="110"/>
    </row>
    <row r="4529" spans="3:20" x14ac:dyDescent="0.2">
      <c r="C4529" t="str">
        <f t="shared" si="280"/>
        <v>2751</v>
      </c>
      <c r="D4529" s="73"/>
      <c r="E4529" s="72"/>
      <c r="F4529" s="101"/>
      <c r="G4529" s="96">
        <f t="shared" si="281"/>
        <v>2751</v>
      </c>
      <c r="K4529" t="str">
        <f t="shared" si="282"/>
        <v>2751</v>
      </c>
      <c r="M4529" s="72"/>
      <c r="O4529" s="96">
        <f t="shared" si="283"/>
        <v>2751</v>
      </c>
      <c r="T4529" s="110"/>
    </row>
    <row r="4530" spans="3:20" x14ac:dyDescent="0.2">
      <c r="C4530" t="str">
        <f t="shared" si="280"/>
        <v>2752</v>
      </c>
      <c r="D4530" s="73"/>
      <c r="E4530" s="72"/>
      <c r="F4530" s="101"/>
      <c r="G4530" s="96">
        <f t="shared" si="281"/>
        <v>2752</v>
      </c>
      <c r="K4530" t="str">
        <f t="shared" si="282"/>
        <v>2752</v>
      </c>
      <c r="M4530" s="72"/>
      <c r="O4530" s="96">
        <f t="shared" si="283"/>
        <v>2752</v>
      </c>
      <c r="T4530" s="110"/>
    </row>
    <row r="4531" spans="3:20" x14ac:dyDescent="0.2">
      <c r="C4531" t="str">
        <f t="shared" si="280"/>
        <v>2753</v>
      </c>
      <c r="D4531" s="73"/>
      <c r="E4531" s="72"/>
      <c r="F4531" s="101"/>
      <c r="G4531" s="96">
        <f t="shared" si="281"/>
        <v>2753</v>
      </c>
      <c r="K4531" t="str">
        <f t="shared" si="282"/>
        <v>2753</v>
      </c>
      <c r="M4531" s="72"/>
      <c r="O4531" s="96">
        <f t="shared" si="283"/>
        <v>2753</v>
      </c>
      <c r="T4531" s="110"/>
    </row>
    <row r="4532" spans="3:20" x14ac:dyDescent="0.2">
      <c r="C4532" t="str">
        <f t="shared" si="280"/>
        <v>2754</v>
      </c>
      <c r="D4532" s="73"/>
      <c r="E4532" s="72"/>
      <c r="F4532" s="101"/>
      <c r="G4532" s="96">
        <f t="shared" si="281"/>
        <v>2754</v>
      </c>
      <c r="K4532" t="str">
        <f t="shared" si="282"/>
        <v>2754</v>
      </c>
      <c r="M4532" s="72"/>
      <c r="O4532" s="96">
        <f t="shared" si="283"/>
        <v>2754</v>
      </c>
      <c r="T4532" s="110"/>
    </row>
    <row r="4533" spans="3:20" x14ac:dyDescent="0.2">
      <c r="C4533" t="str">
        <f t="shared" si="280"/>
        <v>2755</v>
      </c>
      <c r="D4533" s="73"/>
      <c r="E4533" s="72"/>
      <c r="F4533" s="101"/>
      <c r="G4533" s="96">
        <f t="shared" si="281"/>
        <v>2755</v>
      </c>
      <c r="K4533" t="str">
        <f t="shared" si="282"/>
        <v>2755</v>
      </c>
      <c r="M4533" s="72"/>
      <c r="O4533" s="96">
        <f t="shared" si="283"/>
        <v>2755</v>
      </c>
      <c r="T4533" s="110"/>
    </row>
    <row r="4534" spans="3:20" x14ac:dyDescent="0.2">
      <c r="C4534" t="str">
        <f t="shared" si="280"/>
        <v>2756</v>
      </c>
      <c r="D4534" s="73"/>
      <c r="E4534" s="72"/>
      <c r="F4534" s="101"/>
      <c r="G4534" s="96">
        <f t="shared" si="281"/>
        <v>2756</v>
      </c>
      <c r="K4534" t="str">
        <f t="shared" si="282"/>
        <v>2756</v>
      </c>
      <c r="M4534" s="72"/>
      <c r="O4534" s="96">
        <f t="shared" si="283"/>
        <v>2756</v>
      </c>
      <c r="T4534" s="110"/>
    </row>
    <row r="4535" spans="3:20" x14ac:dyDescent="0.2">
      <c r="C4535" t="str">
        <f t="shared" si="280"/>
        <v>2757</v>
      </c>
      <c r="D4535" s="73"/>
      <c r="E4535" s="72"/>
      <c r="F4535" s="101"/>
      <c r="G4535" s="96">
        <f t="shared" si="281"/>
        <v>2757</v>
      </c>
      <c r="K4535" t="str">
        <f t="shared" si="282"/>
        <v>2757</v>
      </c>
      <c r="M4535" s="72"/>
      <c r="O4535" s="96">
        <f t="shared" si="283"/>
        <v>2757</v>
      </c>
      <c r="T4535" s="110"/>
    </row>
    <row r="4536" spans="3:20" x14ac:dyDescent="0.2">
      <c r="C4536" t="str">
        <f t="shared" si="280"/>
        <v>2758</v>
      </c>
      <c r="D4536" s="73"/>
      <c r="E4536" s="72"/>
      <c r="F4536" s="101"/>
      <c r="G4536" s="96">
        <f t="shared" si="281"/>
        <v>2758</v>
      </c>
      <c r="K4536" t="str">
        <f t="shared" si="282"/>
        <v>2758</v>
      </c>
      <c r="M4536" s="72"/>
      <c r="O4536" s="96">
        <f t="shared" si="283"/>
        <v>2758</v>
      </c>
      <c r="T4536" s="110"/>
    </row>
    <row r="4537" spans="3:20" x14ac:dyDescent="0.2">
      <c r="C4537" t="str">
        <f t="shared" si="280"/>
        <v>2759</v>
      </c>
      <c r="D4537" s="73"/>
      <c r="E4537" s="72"/>
      <c r="F4537" s="101"/>
      <c r="G4537" s="96">
        <f t="shared" si="281"/>
        <v>2759</v>
      </c>
      <c r="K4537" t="str">
        <f t="shared" si="282"/>
        <v>2759</v>
      </c>
      <c r="M4537" s="72"/>
      <c r="O4537" s="96">
        <f t="shared" si="283"/>
        <v>2759</v>
      </c>
      <c r="T4537" s="110"/>
    </row>
    <row r="4538" spans="3:20" x14ac:dyDescent="0.2">
      <c r="C4538" t="str">
        <f t="shared" si="280"/>
        <v>2760</v>
      </c>
      <c r="D4538" s="73"/>
      <c r="E4538" s="72"/>
      <c r="F4538" s="101"/>
      <c r="G4538" s="96">
        <f t="shared" si="281"/>
        <v>2760</v>
      </c>
      <c r="K4538" t="str">
        <f t="shared" si="282"/>
        <v>2760</v>
      </c>
      <c r="M4538" s="72"/>
      <c r="O4538" s="96">
        <f t="shared" si="283"/>
        <v>2760</v>
      </c>
      <c r="T4538" s="110"/>
    </row>
    <row r="4539" spans="3:20" x14ac:dyDescent="0.2">
      <c r="C4539" t="str">
        <f t="shared" si="280"/>
        <v>2761</v>
      </c>
      <c r="D4539" s="73"/>
      <c r="E4539" s="72"/>
      <c r="F4539" s="101"/>
      <c r="G4539" s="96">
        <f t="shared" si="281"/>
        <v>2761</v>
      </c>
      <c r="K4539" t="str">
        <f t="shared" si="282"/>
        <v>2761</v>
      </c>
      <c r="M4539" s="72"/>
      <c r="O4539" s="96">
        <f t="shared" si="283"/>
        <v>2761</v>
      </c>
      <c r="T4539" s="110"/>
    </row>
    <row r="4540" spans="3:20" x14ac:dyDescent="0.2">
      <c r="C4540" t="str">
        <f t="shared" si="280"/>
        <v>2762</v>
      </c>
      <c r="D4540" s="73"/>
      <c r="E4540" s="72"/>
      <c r="F4540" s="101"/>
      <c r="G4540" s="96">
        <f t="shared" si="281"/>
        <v>2762</v>
      </c>
      <c r="K4540" t="str">
        <f t="shared" si="282"/>
        <v>2762</v>
      </c>
      <c r="M4540" s="72"/>
      <c r="O4540" s="96">
        <f t="shared" si="283"/>
        <v>2762</v>
      </c>
      <c r="T4540" s="110"/>
    </row>
    <row r="4541" spans="3:20" x14ac:dyDescent="0.2">
      <c r="C4541" t="str">
        <f t="shared" si="280"/>
        <v>2763</v>
      </c>
      <c r="D4541" s="73"/>
      <c r="E4541" s="72"/>
      <c r="F4541" s="101"/>
      <c r="G4541" s="96">
        <f t="shared" si="281"/>
        <v>2763</v>
      </c>
      <c r="K4541" t="str">
        <f t="shared" si="282"/>
        <v>2763</v>
      </c>
      <c r="M4541" s="72"/>
      <c r="O4541" s="96">
        <f t="shared" si="283"/>
        <v>2763</v>
      </c>
      <c r="T4541" s="110"/>
    </row>
    <row r="4542" spans="3:20" x14ac:dyDescent="0.2">
      <c r="C4542" t="str">
        <f t="shared" si="280"/>
        <v>2764</v>
      </c>
      <c r="D4542" s="73"/>
      <c r="E4542" s="72"/>
      <c r="F4542" s="101"/>
      <c r="G4542" s="96">
        <f t="shared" si="281"/>
        <v>2764</v>
      </c>
      <c r="K4542" t="str">
        <f t="shared" si="282"/>
        <v>2764</v>
      </c>
      <c r="M4542" s="72"/>
      <c r="O4542" s="96">
        <f t="shared" si="283"/>
        <v>2764</v>
      </c>
      <c r="T4542" s="110"/>
    </row>
    <row r="4543" spans="3:20" x14ac:dyDescent="0.2">
      <c r="C4543" t="str">
        <f t="shared" si="280"/>
        <v>2765</v>
      </c>
      <c r="D4543" s="73"/>
      <c r="E4543" s="72"/>
      <c r="F4543" s="101"/>
      <c r="G4543" s="96">
        <f t="shared" si="281"/>
        <v>2765</v>
      </c>
      <c r="K4543" t="str">
        <f t="shared" si="282"/>
        <v>2765</v>
      </c>
      <c r="M4543" s="72"/>
      <c r="O4543" s="96">
        <f t="shared" si="283"/>
        <v>2765</v>
      </c>
      <c r="T4543" s="110"/>
    </row>
    <row r="4544" spans="3:20" x14ac:dyDescent="0.2">
      <c r="C4544" t="str">
        <f t="shared" si="280"/>
        <v>2766</v>
      </c>
      <c r="D4544" s="73"/>
      <c r="E4544" s="72"/>
      <c r="F4544" s="101"/>
      <c r="G4544" s="96">
        <f t="shared" si="281"/>
        <v>2766</v>
      </c>
      <c r="K4544" t="str">
        <f t="shared" si="282"/>
        <v>2766</v>
      </c>
      <c r="M4544" s="72"/>
      <c r="O4544" s="96">
        <f t="shared" si="283"/>
        <v>2766</v>
      </c>
      <c r="T4544" s="110"/>
    </row>
    <row r="4545" spans="3:20" x14ac:dyDescent="0.2">
      <c r="C4545" t="str">
        <f t="shared" si="280"/>
        <v>2767</v>
      </c>
      <c r="D4545" s="73"/>
      <c r="E4545" s="72"/>
      <c r="F4545" s="101"/>
      <c r="G4545" s="96">
        <f t="shared" si="281"/>
        <v>2767</v>
      </c>
      <c r="K4545" t="str">
        <f t="shared" si="282"/>
        <v>2767</v>
      </c>
      <c r="M4545" s="72"/>
      <c r="O4545" s="96">
        <f t="shared" si="283"/>
        <v>2767</v>
      </c>
      <c r="T4545" s="110"/>
    </row>
    <row r="4546" spans="3:20" x14ac:dyDescent="0.2">
      <c r="C4546" t="str">
        <f t="shared" si="280"/>
        <v>2768</v>
      </c>
      <c r="D4546" s="73"/>
      <c r="E4546" s="72"/>
      <c r="F4546" s="101"/>
      <c r="G4546" s="96">
        <f t="shared" si="281"/>
        <v>2768</v>
      </c>
      <c r="K4546" t="str">
        <f t="shared" si="282"/>
        <v>2768</v>
      </c>
      <c r="M4546" s="72"/>
      <c r="O4546" s="96">
        <f t="shared" si="283"/>
        <v>2768</v>
      </c>
      <c r="T4546" s="110"/>
    </row>
    <row r="4547" spans="3:20" x14ac:dyDescent="0.2">
      <c r="C4547" t="str">
        <f t="shared" ref="C4547:C4610" si="284">D4547&amp;G4547</f>
        <v>2769</v>
      </c>
      <c r="D4547" s="73"/>
      <c r="E4547" s="72"/>
      <c r="F4547" s="101"/>
      <c r="G4547" s="96">
        <f t="shared" ref="G4547:G4610" si="285">IF(D4547&lt;&gt;D4546,1,G4546+1)</f>
        <v>2769</v>
      </c>
      <c r="K4547" t="str">
        <f t="shared" ref="K4547:K4610" si="286">L4547&amp;O4547</f>
        <v>2769</v>
      </c>
      <c r="M4547" s="72"/>
      <c r="O4547" s="96">
        <f t="shared" ref="O4547:O4610" si="287">IF(L4547&lt;&gt;L4546,1,O4546+1)</f>
        <v>2769</v>
      </c>
      <c r="T4547" s="110"/>
    </row>
    <row r="4548" spans="3:20" x14ac:dyDescent="0.2">
      <c r="C4548" t="str">
        <f t="shared" si="284"/>
        <v>2770</v>
      </c>
      <c r="D4548" s="73"/>
      <c r="E4548" s="72"/>
      <c r="F4548" s="101"/>
      <c r="G4548" s="96">
        <f t="shared" si="285"/>
        <v>2770</v>
      </c>
      <c r="K4548" t="str">
        <f t="shared" si="286"/>
        <v>2770</v>
      </c>
      <c r="M4548" s="72"/>
      <c r="O4548" s="96">
        <f t="shared" si="287"/>
        <v>2770</v>
      </c>
      <c r="T4548" s="110"/>
    </row>
    <row r="4549" spans="3:20" x14ac:dyDescent="0.2">
      <c r="C4549" t="str">
        <f t="shared" si="284"/>
        <v>2771</v>
      </c>
      <c r="D4549" s="73"/>
      <c r="E4549" s="72"/>
      <c r="F4549" s="101"/>
      <c r="G4549" s="96">
        <f t="shared" si="285"/>
        <v>2771</v>
      </c>
      <c r="K4549" t="str">
        <f t="shared" si="286"/>
        <v>2771</v>
      </c>
      <c r="M4549" s="72"/>
      <c r="O4549" s="96">
        <f t="shared" si="287"/>
        <v>2771</v>
      </c>
      <c r="T4549" s="110"/>
    </row>
    <row r="4550" spans="3:20" x14ac:dyDescent="0.2">
      <c r="C4550" t="str">
        <f t="shared" si="284"/>
        <v>2772</v>
      </c>
      <c r="D4550" s="73"/>
      <c r="E4550" s="72"/>
      <c r="F4550" s="101"/>
      <c r="G4550" s="96">
        <f t="shared" si="285"/>
        <v>2772</v>
      </c>
      <c r="K4550" t="str">
        <f t="shared" si="286"/>
        <v>2772</v>
      </c>
      <c r="M4550" s="72"/>
      <c r="O4550" s="96">
        <f t="shared" si="287"/>
        <v>2772</v>
      </c>
      <c r="T4550" s="110"/>
    </row>
    <row r="4551" spans="3:20" x14ac:dyDescent="0.2">
      <c r="C4551" t="str">
        <f t="shared" si="284"/>
        <v>2773</v>
      </c>
      <c r="D4551" s="73"/>
      <c r="E4551" s="72"/>
      <c r="F4551" s="101"/>
      <c r="G4551" s="96">
        <f t="shared" si="285"/>
        <v>2773</v>
      </c>
      <c r="K4551" t="str">
        <f t="shared" si="286"/>
        <v>2773</v>
      </c>
      <c r="M4551" s="72"/>
      <c r="O4551" s="96">
        <f t="shared" si="287"/>
        <v>2773</v>
      </c>
      <c r="T4551" s="110"/>
    </row>
    <row r="4552" spans="3:20" x14ac:dyDescent="0.2">
      <c r="C4552" t="str">
        <f t="shared" si="284"/>
        <v>2774</v>
      </c>
      <c r="D4552" s="73"/>
      <c r="E4552" s="72"/>
      <c r="F4552" s="101"/>
      <c r="G4552" s="96">
        <f t="shared" si="285"/>
        <v>2774</v>
      </c>
      <c r="K4552" t="str">
        <f t="shared" si="286"/>
        <v>2774</v>
      </c>
      <c r="M4552" s="72"/>
      <c r="O4552" s="96">
        <f t="shared" si="287"/>
        <v>2774</v>
      </c>
      <c r="T4552" s="110"/>
    </row>
    <row r="4553" spans="3:20" x14ac:dyDescent="0.2">
      <c r="C4553" t="str">
        <f t="shared" si="284"/>
        <v>2775</v>
      </c>
      <c r="D4553" s="73"/>
      <c r="E4553" s="72"/>
      <c r="F4553" s="101"/>
      <c r="G4553" s="96">
        <f t="shared" si="285"/>
        <v>2775</v>
      </c>
      <c r="K4553" t="str">
        <f t="shared" si="286"/>
        <v>2775</v>
      </c>
      <c r="M4553" s="72"/>
      <c r="O4553" s="96">
        <f t="shared" si="287"/>
        <v>2775</v>
      </c>
      <c r="T4553" s="110"/>
    </row>
    <row r="4554" spans="3:20" x14ac:dyDescent="0.2">
      <c r="C4554" t="str">
        <f t="shared" si="284"/>
        <v>2776</v>
      </c>
      <c r="D4554" s="73"/>
      <c r="E4554" s="72"/>
      <c r="F4554" s="101"/>
      <c r="G4554" s="96">
        <f t="shared" si="285"/>
        <v>2776</v>
      </c>
      <c r="K4554" t="str">
        <f t="shared" si="286"/>
        <v>2776</v>
      </c>
      <c r="M4554" s="72"/>
      <c r="O4554" s="96">
        <f t="shared" si="287"/>
        <v>2776</v>
      </c>
      <c r="T4554" s="110"/>
    </row>
    <row r="4555" spans="3:20" x14ac:dyDescent="0.2">
      <c r="C4555" t="str">
        <f t="shared" si="284"/>
        <v>2777</v>
      </c>
      <c r="D4555" s="73"/>
      <c r="E4555" s="72"/>
      <c r="F4555" s="101"/>
      <c r="G4555" s="96">
        <f t="shared" si="285"/>
        <v>2777</v>
      </c>
      <c r="K4555" t="str">
        <f t="shared" si="286"/>
        <v>2777</v>
      </c>
      <c r="M4555" s="72"/>
      <c r="O4555" s="96">
        <f t="shared" si="287"/>
        <v>2777</v>
      </c>
      <c r="T4555" s="110"/>
    </row>
    <row r="4556" spans="3:20" x14ac:dyDescent="0.2">
      <c r="C4556" t="str">
        <f t="shared" si="284"/>
        <v>2778</v>
      </c>
      <c r="D4556" s="73"/>
      <c r="E4556" s="72"/>
      <c r="F4556" s="101"/>
      <c r="G4556" s="96">
        <f t="shared" si="285"/>
        <v>2778</v>
      </c>
      <c r="K4556" t="str">
        <f t="shared" si="286"/>
        <v>2778</v>
      </c>
      <c r="M4556" s="72"/>
      <c r="O4556" s="96">
        <f t="shared" si="287"/>
        <v>2778</v>
      </c>
      <c r="T4556" s="110"/>
    </row>
    <row r="4557" spans="3:20" x14ac:dyDescent="0.2">
      <c r="C4557" t="str">
        <f t="shared" si="284"/>
        <v>2779</v>
      </c>
      <c r="D4557" s="73"/>
      <c r="E4557" s="72"/>
      <c r="F4557" s="101"/>
      <c r="G4557" s="96">
        <f t="shared" si="285"/>
        <v>2779</v>
      </c>
      <c r="K4557" t="str">
        <f t="shared" si="286"/>
        <v>2779</v>
      </c>
      <c r="M4557" s="72"/>
      <c r="O4557" s="96">
        <f t="shared" si="287"/>
        <v>2779</v>
      </c>
      <c r="T4557" s="110"/>
    </row>
    <row r="4558" spans="3:20" x14ac:dyDescent="0.2">
      <c r="C4558" t="str">
        <f t="shared" si="284"/>
        <v>2780</v>
      </c>
      <c r="D4558" s="73"/>
      <c r="E4558" s="72"/>
      <c r="F4558" s="101"/>
      <c r="G4558" s="96">
        <f t="shared" si="285"/>
        <v>2780</v>
      </c>
      <c r="K4558" t="str">
        <f t="shared" si="286"/>
        <v>2780</v>
      </c>
      <c r="M4558" s="72"/>
      <c r="O4558" s="96">
        <f t="shared" si="287"/>
        <v>2780</v>
      </c>
      <c r="T4558" s="110"/>
    </row>
    <row r="4559" spans="3:20" x14ac:dyDescent="0.2">
      <c r="C4559" t="str">
        <f t="shared" si="284"/>
        <v>2781</v>
      </c>
      <c r="D4559" s="73"/>
      <c r="E4559" s="72"/>
      <c r="F4559" s="101"/>
      <c r="G4559" s="96">
        <f t="shared" si="285"/>
        <v>2781</v>
      </c>
      <c r="K4559" t="str">
        <f t="shared" si="286"/>
        <v>2781</v>
      </c>
      <c r="M4559" s="72"/>
      <c r="O4559" s="96">
        <f t="shared" si="287"/>
        <v>2781</v>
      </c>
      <c r="T4559" s="110"/>
    </row>
    <row r="4560" spans="3:20" x14ac:dyDescent="0.2">
      <c r="C4560" t="str">
        <f t="shared" si="284"/>
        <v>2782</v>
      </c>
      <c r="D4560" s="73"/>
      <c r="E4560" s="72"/>
      <c r="F4560" s="101"/>
      <c r="G4560" s="96">
        <f t="shared" si="285"/>
        <v>2782</v>
      </c>
      <c r="K4560" t="str">
        <f t="shared" si="286"/>
        <v>2782</v>
      </c>
      <c r="M4560" s="72"/>
      <c r="O4560" s="96">
        <f t="shared" si="287"/>
        <v>2782</v>
      </c>
      <c r="T4560" s="110"/>
    </row>
    <row r="4561" spans="3:20" x14ac:dyDescent="0.2">
      <c r="C4561" t="str">
        <f t="shared" si="284"/>
        <v>2783</v>
      </c>
      <c r="D4561" s="73"/>
      <c r="E4561" s="72"/>
      <c r="F4561" s="101"/>
      <c r="G4561" s="96">
        <f t="shared" si="285"/>
        <v>2783</v>
      </c>
      <c r="K4561" t="str">
        <f t="shared" si="286"/>
        <v>2783</v>
      </c>
      <c r="M4561" s="72"/>
      <c r="O4561" s="96">
        <f t="shared" si="287"/>
        <v>2783</v>
      </c>
      <c r="T4561" s="110"/>
    </row>
    <row r="4562" spans="3:20" x14ac:dyDescent="0.2">
      <c r="C4562" t="str">
        <f t="shared" si="284"/>
        <v>2784</v>
      </c>
      <c r="D4562" s="73"/>
      <c r="E4562" s="72"/>
      <c r="F4562" s="101"/>
      <c r="G4562" s="96">
        <f t="shared" si="285"/>
        <v>2784</v>
      </c>
      <c r="K4562" t="str">
        <f t="shared" si="286"/>
        <v>2784</v>
      </c>
      <c r="M4562" s="72"/>
      <c r="O4562" s="96">
        <f t="shared" si="287"/>
        <v>2784</v>
      </c>
      <c r="T4562" s="110"/>
    </row>
    <row r="4563" spans="3:20" x14ac:dyDescent="0.2">
      <c r="C4563" t="str">
        <f t="shared" si="284"/>
        <v>2785</v>
      </c>
      <c r="D4563" s="73"/>
      <c r="E4563" s="72"/>
      <c r="F4563" s="101"/>
      <c r="G4563" s="96">
        <f t="shared" si="285"/>
        <v>2785</v>
      </c>
      <c r="K4563" t="str">
        <f t="shared" si="286"/>
        <v>2785</v>
      </c>
      <c r="M4563" s="72"/>
      <c r="O4563" s="96">
        <f t="shared" si="287"/>
        <v>2785</v>
      </c>
      <c r="T4563" s="110"/>
    </row>
    <row r="4564" spans="3:20" x14ac:dyDescent="0.2">
      <c r="C4564" t="str">
        <f t="shared" si="284"/>
        <v>2786</v>
      </c>
      <c r="D4564" s="73"/>
      <c r="E4564" s="72"/>
      <c r="F4564" s="101"/>
      <c r="G4564" s="96">
        <f t="shared" si="285"/>
        <v>2786</v>
      </c>
      <c r="K4564" t="str">
        <f t="shared" si="286"/>
        <v>2786</v>
      </c>
      <c r="M4564" s="72"/>
      <c r="O4564" s="96">
        <f t="shared" si="287"/>
        <v>2786</v>
      </c>
      <c r="T4564" s="110"/>
    </row>
    <row r="4565" spans="3:20" x14ac:dyDescent="0.2">
      <c r="C4565" t="str">
        <f t="shared" si="284"/>
        <v>2787</v>
      </c>
      <c r="D4565" s="73"/>
      <c r="E4565" s="72"/>
      <c r="F4565" s="101"/>
      <c r="G4565" s="96">
        <f t="shared" si="285"/>
        <v>2787</v>
      </c>
      <c r="K4565" t="str">
        <f t="shared" si="286"/>
        <v>2787</v>
      </c>
      <c r="M4565" s="72"/>
      <c r="O4565" s="96">
        <f t="shared" si="287"/>
        <v>2787</v>
      </c>
      <c r="T4565" s="110"/>
    </row>
    <row r="4566" spans="3:20" x14ac:dyDescent="0.2">
      <c r="C4566" t="str">
        <f t="shared" si="284"/>
        <v>2788</v>
      </c>
      <c r="D4566" s="73"/>
      <c r="E4566" s="72"/>
      <c r="F4566" s="101"/>
      <c r="G4566" s="96">
        <f t="shared" si="285"/>
        <v>2788</v>
      </c>
      <c r="K4566" t="str">
        <f t="shared" si="286"/>
        <v>2788</v>
      </c>
      <c r="M4566" s="72"/>
      <c r="O4566" s="96">
        <f t="shared" si="287"/>
        <v>2788</v>
      </c>
      <c r="T4566" s="110"/>
    </row>
    <row r="4567" spans="3:20" x14ac:dyDescent="0.2">
      <c r="C4567" t="str">
        <f t="shared" si="284"/>
        <v>2789</v>
      </c>
      <c r="D4567" s="73"/>
      <c r="E4567" s="72"/>
      <c r="F4567" s="101"/>
      <c r="G4567" s="96">
        <f t="shared" si="285"/>
        <v>2789</v>
      </c>
      <c r="K4567" t="str">
        <f t="shared" si="286"/>
        <v>2789</v>
      </c>
      <c r="M4567" s="72"/>
      <c r="O4567" s="96">
        <f t="shared" si="287"/>
        <v>2789</v>
      </c>
    </row>
    <row r="4568" spans="3:20" x14ac:dyDescent="0.2">
      <c r="C4568" t="str">
        <f t="shared" si="284"/>
        <v>2790</v>
      </c>
      <c r="D4568" s="73"/>
      <c r="E4568" s="72"/>
      <c r="F4568" s="101"/>
      <c r="G4568" s="96">
        <f t="shared" si="285"/>
        <v>2790</v>
      </c>
      <c r="K4568" t="str">
        <f t="shared" si="286"/>
        <v>2790</v>
      </c>
      <c r="M4568" s="72"/>
      <c r="O4568" s="96">
        <f t="shared" si="287"/>
        <v>2790</v>
      </c>
      <c r="T4568" s="110"/>
    </row>
    <row r="4569" spans="3:20" x14ac:dyDescent="0.2">
      <c r="C4569" t="str">
        <f t="shared" si="284"/>
        <v>2791</v>
      </c>
      <c r="D4569" s="73"/>
      <c r="E4569" s="72"/>
      <c r="F4569" s="101"/>
      <c r="G4569" s="96">
        <f t="shared" si="285"/>
        <v>2791</v>
      </c>
      <c r="K4569" t="str">
        <f t="shared" si="286"/>
        <v>2791</v>
      </c>
      <c r="M4569" s="72"/>
      <c r="O4569" s="96">
        <f t="shared" si="287"/>
        <v>2791</v>
      </c>
      <c r="T4569" s="110"/>
    </row>
    <row r="4570" spans="3:20" x14ac:dyDescent="0.2">
      <c r="C4570" t="str">
        <f t="shared" si="284"/>
        <v>2792</v>
      </c>
      <c r="D4570" s="73"/>
      <c r="E4570" s="72"/>
      <c r="F4570" s="101"/>
      <c r="G4570" s="96">
        <f t="shared" si="285"/>
        <v>2792</v>
      </c>
      <c r="K4570" t="str">
        <f t="shared" si="286"/>
        <v>2792</v>
      </c>
      <c r="M4570" s="72"/>
      <c r="O4570" s="96">
        <f t="shared" si="287"/>
        <v>2792</v>
      </c>
      <c r="T4570" s="110"/>
    </row>
    <row r="4571" spans="3:20" x14ac:dyDescent="0.2">
      <c r="C4571" t="str">
        <f t="shared" si="284"/>
        <v>2793</v>
      </c>
      <c r="D4571" s="73"/>
      <c r="E4571" s="72"/>
      <c r="F4571" s="101"/>
      <c r="G4571" s="96">
        <f t="shared" si="285"/>
        <v>2793</v>
      </c>
      <c r="K4571" t="str">
        <f t="shared" si="286"/>
        <v>2793</v>
      </c>
      <c r="M4571" s="72"/>
      <c r="O4571" s="96">
        <f t="shared" si="287"/>
        <v>2793</v>
      </c>
      <c r="T4571" s="110"/>
    </row>
    <row r="4572" spans="3:20" x14ac:dyDescent="0.2">
      <c r="C4572" t="str">
        <f t="shared" si="284"/>
        <v>2794</v>
      </c>
      <c r="D4572" s="73"/>
      <c r="E4572" s="72"/>
      <c r="F4572" s="101"/>
      <c r="G4572" s="96">
        <f t="shared" si="285"/>
        <v>2794</v>
      </c>
      <c r="K4572" t="str">
        <f t="shared" si="286"/>
        <v>2794</v>
      </c>
      <c r="M4572" s="72"/>
      <c r="O4572" s="96">
        <f t="shared" si="287"/>
        <v>2794</v>
      </c>
      <c r="T4572" s="110"/>
    </row>
    <row r="4573" spans="3:20" x14ac:dyDescent="0.2">
      <c r="C4573" t="str">
        <f t="shared" si="284"/>
        <v>2795</v>
      </c>
      <c r="D4573" s="73"/>
      <c r="E4573" s="72"/>
      <c r="F4573" s="101"/>
      <c r="G4573" s="96">
        <f t="shared" si="285"/>
        <v>2795</v>
      </c>
      <c r="K4573" t="str">
        <f t="shared" si="286"/>
        <v>2795</v>
      </c>
      <c r="M4573" s="72"/>
      <c r="O4573" s="96">
        <f t="shared" si="287"/>
        <v>2795</v>
      </c>
      <c r="T4573" s="110"/>
    </row>
    <row r="4574" spans="3:20" x14ac:dyDescent="0.2">
      <c r="C4574" t="str">
        <f t="shared" si="284"/>
        <v>2796</v>
      </c>
      <c r="D4574" s="73"/>
      <c r="E4574" s="72"/>
      <c r="F4574" s="101"/>
      <c r="G4574" s="96">
        <f t="shared" si="285"/>
        <v>2796</v>
      </c>
      <c r="K4574" t="str">
        <f t="shared" si="286"/>
        <v>2796</v>
      </c>
      <c r="M4574" s="72"/>
      <c r="O4574" s="96">
        <f t="shared" si="287"/>
        <v>2796</v>
      </c>
    </row>
    <row r="4575" spans="3:20" x14ac:dyDescent="0.2">
      <c r="C4575" t="str">
        <f t="shared" si="284"/>
        <v>2797</v>
      </c>
      <c r="D4575" s="73"/>
      <c r="E4575" s="72"/>
      <c r="F4575" s="101"/>
      <c r="G4575" s="96">
        <f t="shared" si="285"/>
        <v>2797</v>
      </c>
      <c r="K4575" t="str">
        <f t="shared" si="286"/>
        <v>2797</v>
      </c>
      <c r="M4575" s="72"/>
      <c r="O4575" s="96">
        <f t="shared" si="287"/>
        <v>2797</v>
      </c>
      <c r="T4575" s="110"/>
    </row>
    <row r="4576" spans="3:20" x14ac:dyDescent="0.2">
      <c r="C4576" t="str">
        <f t="shared" si="284"/>
        <v>2798</v>
      </c>
      <c r="D4576" s="73"/>
      <c r="E4576" s="72"/>
      <c r="F4576" s="101"/>
      <c r="G4576" s="96">
        <f t="shared" si="285"/>
        <v>2798</v>
      </c>
      <c r="K4576" t="str">
        <f t="shared" si="286"/>
        <v>2798</v>
      </c>
      <c r="M4576" s="72"/>
      <c r="O4576" s="96">
        <f t="shared" si="287"/>
        <v>2798</v>
      </c>
      <c r="T4576" s="110"/>
    </row>
    <row r="4577" spans="3:20" x14ac:dyDescent="0.2">
      <c r="C4577" t="str">
        <f t="shared" si="284"/>
        <v>2799</v>
      </c>
      <c r="D4577" s="73"/>
      <c r="E4577" s="72"/>
      <c r="F4577" s="101"/>
      <c r="G4577" s="96">
        <f t="shared" si="285"/>
        <v>2799</v>
      </c>
      <c r="K4577" t="str">
        <f t="shared" si="286"/>
        <v>2799</v>
      </c>
      <c r="M4577" s="72"/>
      <c r="O4577" s="96">
        <f t="shared" si="287"/>
        <v>2799</v>
      </c>
      <c r="T4577" s="110"/>
    </row>
    <row r="4578" spans="3:20" x14ac:dyDescent="0.2">
      <c r="C4578" t="str">
        <f t="shared" si="284"/>
        <v>2800</v>
      </c>
      <c r="D4578" s="73"/>
      <c r="E4578" s="72"/>
      <c r="F4578" s="101"/>
      <c r="G4578" s="96">
        <f t="shared" si="285"/>
        <v>2800</v>
      </c>
      <c r="K4578" t="str">
        <f t="shared" si="286"/>
        <v>2800</v>
      </c>
      <c r="M4578" s="72"/>
      <c r="O4578" s="96">
        <f t="shared" si="287"/>
        <v>2800</v>
      </c>
      <c r="T4578" s="110"/>
    </row>
    <row r="4579" spans="3:20" x14ac:dyDescent="0.2">
      <c r="C4579" t="str">
        <f t="shared" si="284"/>
        <v>2801</v>
      </c>
      <c r="D4579" s="73"/>
      <c r="E4579" s="72"/>
      <c r="F4579" s="101"/>
      <c r="G4579" s="96">
        <f t="shared" si="285"/>
        <v>2801</v>
      </c>
      <c r="K4579" t="str">
        <f t="shared" si="286"/>
        <v>2801</v>
      </c>
      <c r="M4579" s="72"/>
      <c r="O4579" s="96">
        <f t="shared" si="287"/>
        <v>2801</v>
      </c>
      <c r="T4579" s="110"/>
    </row>
    <row r="4580" spans="3:20" x14ac:dyDescent="0.2">
      <c r="C4580" t="str">
        <f t="shared" si="284"/>
        <v>2802</v>
      </c>
      <c r="D4580" s="73"/>
      <c r="E4580" s="72"/>
      <c r="F4580" s="101"/>
      <c r="G4580" s="96">
        <f t="shared" si="285"/>
        <v>2802</v>
      </c>
      <c r="K4580" t="str">
        <f t="shared" si="286"/>
        <v>2802</v>
      </c>
      <c r="M4580" s="72"/>
      <c r="O4580" s="96">
        <f t="shared" si="287"/>
        <v>2802</v>
      </c>
      <c r="T4580" s="110"/>
    </row>
    <row r="4581" spans="3:20" x14ac:dyDescent="0.2">
      <c r="C4581" t="str">
        <f t="shared" si="284"/>
        <v>2803</v>
      </c>
      <c r="D4581" s="73"/>
      <c r="E4581" s="72"/>
      <c r="F4581" s="101"/>
      <c r="G4581" s="96">
        <f t="shared" si="285"/>
        <v>2803</v>
      </c>
      <c r="K4581" t="str">
        <f t="shared" si="286"/>
        <v>2803</v>
      </c>
      <c r="M4581" s="72"/>
      <c r="O4581" s="96">
        <f t="shared" si="287"/>
        <v>2803</v>
      </c>
      <c r="T4581" s="110"/>
    </row>
    <row r="4582" spans="3:20" x14ac:dyDescent="0.2">
      <c r="C4582" t="str">
        <f t="shared" si="284"/>
        <v>2804</v>
      </c>
      <c r="D4582" s="73"/>
      <c r="E4582" s="72"/>
      <c r="F4582" s="101"/>
      <c r="G4582" s="96">
        <f t="shared" si="285"/>
        <v>2804</v>
      </c>
      <c r="K4582" t="str">
        <f t="shared" si="286"/>
        <v>2804</v>
      </c>
      <c r="M4582" s="72"/>
      <c r="O4582" s="96">
        <f t="shared" si="287"/>
        <v>2804</v>
      </c>
      <c r="T4582" s="110"/>
    </row>
    <row r="4583" spans="3:20" x14ac:dyDescent="0.2">
      <c r="C4583" t="str">
        <f t="shared" si="284"/>
        <v>2805</v>
      </c>
      <c r="D4583" s="73"/>
      <c r="E4583" s="72"/>
      <c r="F4583" s="101"/>
      <c r="G4583" s="96">
        <f t="shared" si="285"/>
        <v>2805</v>
      </c>
      <c r="K4583" t="str">
        <f t="shared" si="286"/>
        <v>2805</v>
      </c>
      <c r="M4583" s="72"/>
      <c r="O4583" s="96">
        <f t="shared" si="287"/>
        <v>2805</v>
      </c>
      <c r="T4583" s="110"/>
    </row>
    <row r="4584" spans="3:20" x14ac:dyDescent="0.2">
      <c r="C4584" t="str">
        <f t="shared" si="284"/>
        <v>2806</v>
      </c>
      <c r="D4584" s="73"/>
      <c r="E4584" s="72"/>
      <c r="F4584" s="101"/>
      <c r="G4584" s="96">
        <f t="shared" si="285"/>
        <v>2806</v>
      </c>
      <c r="K4584" t="str">
        <f t="shared" si="286"/>
        <v>2806</v>
      </c>
      <c r="M4584" s="72"/>
      <c r="O4584" s="96">
        <f t="shared" si="287"/>
        <v>2806</v>
      </c>
      <c r="T4584" s="110"/>
    </row>
    <row r="4585" spans="3:20" x14ac:dyDescent="0.2">
      <c r="C4585" t="str">
        <f t="shared" si="284"/>
        <v>2807</v>
      </c>
      <c r="D4585" s="73"/>
      <c r="E4585" s="72"/>
      <c r="F4585" s="101"/>
      <c r="G4585" s="96">
        <f t="shared" si="285"/>
        <v>2807</v>
      </c>
      <c r="K4585" t="str">
        <f t="shared" si="286"/>
        <v>2807</v>
      </c>
      <c r="M4585" s="72"/>
      <c r="O4585" s="96">
        <f t="shared" si="287"/>
        <v>2807</v>
      </c>
      <c r="T4585" s="110"/>
    </row>
    <row r="4586" spans="3:20" x14ac:dyDescent="0.2">
      <c r="C4586" t="str">
        <f t="shared" si="284"/>
        <v>2808</v>
      </c>
      <c r="D4586" s="73"/>
      <c r="E4586" s="72"/>
      <c r="F4586" s="101"/>
      <c r="G4586" s="96">
        <f t="shared" si="285"/>
        <v>2808</v>
      </c>
      <c r="K4586" t="str">
        <f t="shared" si="286"/>
        <v>2808</v>
      </c>
      <c r="M4586" s="72"/>
      <c r="O4586" s="96">
        <f t="shared" si="287"/>
        <v>2808</v>
      </c>
      <c r="T4586" s="110"/>
    </row>
    <row r="4587" spans="3:20" x14ac:dyDescent="0.2">
      <c r="C4587" t="str">
        <f t="shared" si="284"/>
        <v>2809</v>
      </c>
      <c r="D4587" s="73"/>
      <c r="E4587" s="72"/>
      <c r="F4587" s="101"/>
      <c r="G4587" s="96">
        <f t="shared" si="285"/>
        <v>2809</v>
      </c>
      <c r="K4587" t="str">
        <f t="shared" si="286"/>
        <v>2809</v>
      </c>
      <c r="M4587" s="72"/>
      <c r="O4587" s="96">
        <f t="shared" si="287"/>
        <v>2809</v>
      </c>
      <c r="T4587" s="110"/>
    </row>
    <row r="4588" spans="3:20" x14ac:dyDescent="0.2">
      <c r="C4588" t="str">
        <f t="shared" si="284"/>
        <v>2810</v>
      </c>
      <c r="D4588" s="73"/>
      <c r="E4588" s="72"/>
      <c r="F4588" s="101"/>
      <c r="G4588" s="96">
        <f t="shared" si="285"/>
        <v>2810</v>
      </c>
      <c r="K4588" t="str">
        <f t="shared" si="286"/>
        <v>2810</v>
      </c>
      <c r="M4588" s="72"/>
      <c r="O4588" s="96">
        <f t="shared" si="287"/>
        <v>2810</v>
      </c>
      <c r="T4588" s="110"/>
    </row>
    <row r="4589" spans="3:20" x14ac:dyDescent="0.2">
      <c r="C4589" t="str">
        <f t="shared" si="284"/>
        <v>2811</v>
      </c>
      <c r="D4589" s="73"/>
      <c r="E4589" s="72"/>
      <c r="F4589" s="101"/>
      <c r="G4589" s="96">
        <f t="shared" si="285"/>
        <v>2811</v>
      </c>
      <c r="K4589" t="str">
        <f t="shared" si="286"/>
        <v>2811</v>
      </c>
      <c r="M4589" s="72"/>
      <c r="O4589" s="96">
        <f t="shared" si="287"/>
        <v>2811</v>
      </c>
      <c r="T4589" s="110"/>
    </row>
    <row r="4590" spans="3:20" x14ac:dyDescent="0.2">
      <c r="C4590" t="str">
        <f t="shared" si="284"/>
        <v>2812</v>
      </c>
      <c r="D4590" s="73"/>
      <c r="E4590" s="72"/>
      <c r="F4590" s="101"/>
      <c r="G4590" s="96">
        <f t="shared" si="285"/>
        <v>2812</v>
      </c>
      <c r="K4590" t="str">
        <f t="shared" si="286"/>
        <v>2812</v>
      </c>
      <c r="M4590" s="72"/>
      <c r="O4590" s="96">
        <f t="shared" si="287"/>
        <v>2812</v>
      </c>
      <c r="T4590" s="110"/>
    </row>
    <row r="4591" spans="3:20" x14ac:dyDescent="0.2">
      <c r="C4591" t="str">
        <f t="shared" si="284"/>
        <v>2813</v>
      </c>
      <c r="D4591" s="73"/>
      <c r="E4591" s="72"/>
      <c r="F4591" s="101"/>
      <c r="G4591" s="96">
        <f t="shared" si="285"/>
        <v>2813</v>
      </c>
      <c r="K4591" t="str">
        <f t="shared" si="286"/>
        <v>2813</v>
      </c>
      <c r="M4591" s="72"/>
      <c r="O4591" s="96">
        <f t="shared" si="287"/>
        <v>2813</v>
      </c>
      <c r="T4591" s="110"/>
    </row>
    <row r="4592" spans="3:20" x14ac:dyDescent="0.2">
      <c r="C4592" t="str">
        <f t="shared" si="284"/>
        <v>2814</v>
      </c>
      <c r="D4592" s="73"/>
      <c r="E4592" s="72"/>
      <c r="F4592" s="101"/>
      <c r="G4592" s="96">
        <f t="shared" si="285"/>
        <v>2814</v>
      </c>
      <c r="K4592" t="str">
        <f t="shared" si="286"/>
        <v>2814</v>
      </c>
      <c r="M4592" s="72"/>
      <c r="O4592" s="96">
        <f t="shared" si="287"/>
        <v>2814</v>
      </c>
      <c r="T4592" s="110"/>
    </row>
    <row r="4593" spans="3:20" x14ac:dyDescent="0.2">
      <c r="C4593" t="str">
        <f t="shared" si="284"/>
        <v>2815</v>
      </c>
      <c r="D4593" s="73"/>
      <c r="E4593" s="72"/>
      <c r="F4593" s="101"/>
      <c r="G4593" s="96">
        <f t="shared" si="285"/>
        <v>2815</v>
      </c>
      <c r="K4593" t="str">
        <f t="shared" si="286"/>
        <v>2815</v>
      </c>
      <c r="M4593" s="72"/>
      <c r="O4593" s="96">
        <f t="shared" si="287"/>
        <v>2815</v>
      </c>
      <c r="T4593" s="110"/>
    </row>
    <row r="4594" spans="3:20" x14ac:dyDescent="0.2">
      <c r="C4594" t="str">
        <f t="shared" si="284"/>
        <v>2816</v>
      </c>
      <c r="D4594" s="73"/>
      <c r="E4594" s="72"/>
      <c r="F4594" s="101"/>
      <c r="G4594" s="96">
        <f t="shared" si="285"/>
        <v>2816</v>
      </c>
      <c r="K4594" t="str">
        <f t="shared" si="286"/>
        <v>2816</v>
      </c>
      <c r="M4594" s="72"/>
      <c r="O4594" s="96">
        <f t="shared" si="287"/>
        <v>2816</v>
      </c>
      <c r="T4594" s="110"/>
    </row>
    <row r="4595" spans="3:20" x14ac:dyDescent="0.2">
      <c r="C4595" t="str">
        <f t="shared" si="284"/>
        <v>2817</v>
      </c>
      <c r="D4595" s="73"/>
      <c r="E4595" s="72"/>
      <c r="F4595" s="101"/>
      <c r="G4595" s="96">
        <f t="shared" si="285"/>
        <v>2817</v>
      </c>
      <c r="K4595" t="str">
        <f t="shared" si="286"/>
        <v>2817</v>
      </c>
      <c r="M4595" s="72"/>
      <c r="O4595" s="96">
        <f t="shared" si="287"/>
        <v>2817</v>
      </c>
      <c r="T4595" s="110"/>
    </row>
    <row r="4596" spans="3:20" x14ac:dyDescent="0.2">
      <c r="C4596" t="str">
        <f t="shared" si="284"/>
        <v>2818</v>
      </c>
      <c r="D4596" s="73"/>
      <c r="E4596" s="72"/>
      <c r="F4596" s="101"/>
      <c r="G4596" s="96">
        <f t="shared" si="285"/>
        <v>2818</v>
      </c>
      <c r="K4596" t="str">
        <f t="shared" si="286"/>
        <v>2818</v>
      </c>
      <c r="M4596" s="72"/>
      <c r="O4596" s="96">
        <f t="shared" si="287"/>
        <v>2818</v>
      </c>
      <c r="T4596" s="110"/>
    </row>
    <row r="4597" spans="3:20" x14ac:dyDescent="0.2">
      <c r="C4597" t="str">
        <f t="shared" si="284"/>
        <v>2819</v>
      </c>
      <c r="D4597" s="73"/>
      <c r="E4597" s="72"/>
      <c r="F4597" s="101"/>
      <c r="G4597" s="96">
        <f t="shared" si="285"/>
        <v>2819</v>
      </c>
      <c r="K4597" t="str">
        <f t="shared" si="286"/>
        <v>2819</v>
      </c>
      <c r="M4597" s="72"/>
      <c r="O4597" s="96">
        <f t="shared" si="287"/>
        <v>2819</v>
      </c>
      <c r="T4597" s="110"/>
    </row>
    <row r="4598" spans="3:20" x14ac:dyDescent="0.2">
      <c r="C4598" t="str">
        <f t="shared" si="284"/>
        <v>2820</v>
      </c>
      <c r="D4598" s="73"/>
      <c r="E4598" s="72"/>
      <c r="F4598" s="101"/>
      <c r="G4598" s="96">
        <f t="shared" si="285"/>
        <v>2820</v>
      </c>
      <c r="K4598" t="str">
        <f t="shared" si="286"/>
        <v>2820</v>
      </c>
      <c r="M4598" s="72"/>
      <c r="O4598" s="96">
        <f t="shared" si="287"/>
        <v>2820</v>
      </c>
    </row>
    <row r="4599" spans="3:20" x14ac:dyDescent="0.2">
      <c r="C4599" t="str">
        <f t="shared" si="284"/>
        <v>2821</v>
      </c>
      <c r="D4599" s="73"/>
      <c r="E4599" s="72"/>
      <c r="F4599" s="101"/>
      <c r="G4599" s="96">
        <f t="shared" si="285"/>
        <v>2821</v>
      </c>
      <c r="K4599" t="str">
        <f t="shared" si="286"/>
        <v>2821</v>
      </c>
      <c r="M4599" s="72"/>
      <c r="O4599" s="96">
        <f t="shared" si="287"/>
        <v>2821</v>
      </c>
      <c r="T4599" s="110"/>
    </row>
    <row r="4600" spans="3:20" x14ac:dyDescent="0.2">
      <c r="C4600" t="str">
        <f t="shared" si="284"/>
        <v>2822</v>
      </c>
      <c r="D4600" s="73"/>
      <c r="E4600" s="72"/>
      <c r="F4600" s="101"/>
      <c r="G4600" s="96">
        <f t="shared" si="285"/>
        <v>2822</v>
      </c>
      <c r="K4600" t="str">
        <f t="shared" si="286"/>
        <v>2822</v>
      </c>
      <c r="M4600" s="72"/>
      <c r="O4600" s="96">
        <f t="shared" si="287"/>
        <v>2822</v>
      </c>
      <c r="T4600" s="110"/>
    </row>
    <row r="4601" spans="3:20" x14ac:dyDescent="0.2">
      <c r="C4601" t="str">
        <f t="shared" si="284"/>
        <v>2823</v>
      </c>
      <c r="D4601" s="73"/>
      <c r="E4601" s="72"/>
      <c r="F4601" s="101"/>
      <c r="G4601" s="96">
        <f t="shared" si="285"/>
        <v>2823</v>
      </c>
      <c r="K4601" t="str">
        <f t="shared" si="286"/>
        <v>2823</v>
      </c>
      <c r="M4601" s="72"/>
      <c r="O4601" s="96">
        <f t="shared" si="287"/>
        <v>2823</v>
      </c>
      <c r="T4601" s="110"/>
    </row>
    <row r="4602" spans="3:20" x14ac:dyDescent="0.2">
      <c r="C4602" t="str">
        <f t="shared" si="284"/>
        <v>2824</v>
      </c>
      <c r="D4602" s="73"/>
      <c r="E4602" s="72"/>
      <c r="F4602" s="101"/>
      <c r="G4602" s="96">
        <f t="shared" si="285"/>
        <v>2824</v>
      </c>
      <c r="K4602" t="str">
        <f t="shared" si="286"/>
        <v>2824</v>
      </c>
      <c r="M4602" s="72"/>
      <c r="O4602" s="96">
        <f t="shared" si="287"/>
        <v>2824</v>
      </c>
      <c r="T4602" s="110"/>
    </row>
    <row r="4603" spans="3:20" x14ac:dyDescent="0.2">
      <c r="C4603" t="str">
        <f t="shared" si="284"/>
        <v>2825</v>
      </c>
      <c r="D4603" s="73"/>
      <c r="E4603" s="72"/>
      <c r="F4603" s="101"/>
      <c r="G4603" s="96">
        <f t="shared" si="285"/>
        <v>2825</v>
      </c>
      <c r="K4603" t="str">
        <f t="shared" si="286"/>
        <v>2825</v>
      </c>
      <c r="M4603" s="72"/>
      <c r="O4603" s="96">
        <f t="shared" si="287"/>
        <v>2825</v>
      </c>
      <c r="T4603" s="110"/>
    </row>
    <row r="4604" spans="3:20" x14ac:dyDescent="0.2">
      <c r="C4604" t="str">
        <f t="shared" si="284"/>
        <v>2826</v>
      </c>
      <c r="D4604" s="73"/>
      <c r="E4604" s="72"/>
      <c r="F4604" s="101"/>
      <c r="G4604" s="96">
        <f t="shared" si="285"/>
        <v>2826</v>
      </c>
      <c r="K4604" t="str">
        <f t="shared" si="286"/>
        <v>2826</v>
      </c>
      <c r="M4604" s="72"/>
      <c r="O4604" s="96">
        <f t="shared" si="287"/>
        <v>2826</v>
      </c>
      <c r="T4604" s="110"/>
    </row>
    <row r="4605" spans="3:20" x14ac:dyDescent="0.2">
      <c r="C4605" t="str">
        <f t="shared" si="284"/>
        <v>2827</v>
      </c>
      <c r="D4605" s="73"/>
      <c r="E4605" s="72"/>
      <c r="F4605" s="101"/>
      <c r="G4605" s="96">
        <f t="shared" si="285"/>
        <v>2827</v>
      </c>
      <c r="K4605" t="str">
        <f t="shared" si="286"/>
        <v>2827</v>
      </c>
      <c r="M4605" s="72"/>
      <c r="O4605" s="96">
        <f t="shared" si="287"/>
        <v>2827</v>
      </c>
      <c r="T4605" s="110"/>
    </row>
    <row r="4606" spans="3:20" x14ac:dyDescent="0.2">
      <c r="C4606" t="str">
        <f t="shared" si="284"/>
        <v>2828</v>
      </c>
      <c r="D4606" s="73"/>
      <c r="E4606" s="72"/>
      <c r="F4606" s="101"/>
      <c r="G4606" s="96">
        <f t="shared" si="285"/>
        <v>2828</v>
      </c>
      <c r="K4606" t="str">
        <f t="shared" si="286"/>
        <v>2828</v>
      </c>
      <c r="M4606" s="72"/>
      <c r="O4606" s="96">
        <f t="shared" si="287"/>
        <v>2828</v>
      </c>
      <c r="T4606" s="110"/>
    </row>
    <row r="4607" spans="3:20" x14ac:dyDescent="0.2">
      <c r="C4607" t="str">
        <f t="shared" si="284"/>
        <v>2829</v>
      </c>
      <c r="D4607" s="73"/>
      <c r="E4607" s="72"/>
      <c r="F4607" s="101"/>
      <c r="G4607" s="96">
        <f t="shared" si="285"/>
        <v>2829</v>
      </c>
      <c r="K4607" t="str">
        <f t="shared" si="286"/>
        <v>2829</v>
      </c>
      <c r="M4607" s="72"/>
      <c r="O4607" s="96">
        <f t="shared" si="287"/>
        <v>2829</v>
      </c>
      <c r="T4607" s="110"/>
    </row>
    <row r="4608" spans="3:20" x14ac:dyDescent="0.2">
      <c r="C4608" t="str">
        <f t="shared" si="284"/>
        <v>2830</v>
      </c>
      <c r="D4608" s="73"/>
      <c r="E4608" s="72"/>
      <c r="F4608" s="101"/>
      <c r="G4608" s="96">
        <f t="shared" si="285"/>
        <v>2830</v>
      </c>
      <c r="K4608" t="str">
        <f t="shared" si="286"/>
        <v>2830</v>
      </c>
      <c r="M4608" s="72"/>
      <c r="O4608" s="96">
        <f t="shared" si="287"/>
        <v>2830</v>
      </c>
      <c r="T4608" s="110"/>
    </row>
    <row r="4609" spans="3:20" x14ac:dyDescent="0.2">
      <c r="C4609" t="str">
        <f t="shared" si="284"/>
        <v>2831</v>
      </c>
      <c r="D4609" s="73"/>
      <c r="E4609" s="72"/>
      <c r="F4609" s="101"/>
      <c r="G4609" s="96">
        <f t="shared" si="285"/>
        <v>2831</v>
      </c>
      <c r="K4609" t="str">
        <f t="shared" si="286"/>
        <v>2831</v>
      </c>
      <c r="M4609" s="72"/>
      <c r="O4609" s="96">
        <f t="shared" si="287"/>
        <v>2831</v>
      </c>
      <c r="T4609" s="110"/>
    </row>
    <row r="4610" spans="3:20" x14ac:dyDescent="0.2">
      <c r="C4610" t="str">
        <f t="shared" si="284"/>
        <v>2832</v>
      </c>
      <c r="D4610" s="73"/>
      <c r="E4610" s="72"/>
      <c r="F4610" s="101"/>
      <c r="G4610" s="96">
        <f t="shared" si="285"/>
        <v>2832</v>
      </c>
      <c r="K4610" t="str">
        <f t="shared" si="286"/>
        <v>2832</v>
      </c>
      <c r="M4610" s="72"/>
      <c r="O4610" s="96">
        <f t="shared" si="287"/>
        <v>2832</v>
      </c>
      <c r="T4610" s="110"/>
    </row>
    <row r="4611" spans="3:20" x14ac:dyDescent="0.2">
      <c r="C4611" t="str">
        <f t="shared" ref="C4611:C4674" si="288">D4611&amp;G4611</f>
        <v>2833</v>
      </c>
      <c r="D4611" s="73"/>
      <c r="E4611" s="72"/>
      <c r="F4611" s="101"/>
      <c r="G4611" s="96">
        <f t="shared" ref="G4611:G4674" si="289">IF(D4611&lt;&gt;D4610,1,G4610+1)</f>
        <v>2833</v>
      </c>
      <c r="K4611" t="str">
        <f t="shared" ref="K4611:K4674" si="290">L4611&amp;O4611</f>
        <v>2833</v>
      </c>
      <c r="M4611" s="72"/>
      <c r="O4611" s="96">
        <f t="shared" ref="O4611:O4674" si="291">IF(L4611&lt;&gt;L4610,1,O4610+1)</f>
        <v>2833</v>
      </c>
      <c r="T4611" s="110"/>
    </row>
    <row r="4612" spans="3:20" x14ac:dyDescent="0.2">
      <c r="C4612" t="str">
        <f t="shared" si="288"/>
        <v>2834</v>
      </c>
      <c r="D4612" s="73"/>
      <c r="E4612" s="72"/>
      <c r="F4612" s="101"/>
      <c r="G4612" s="96">
        <f t="shared" si="289"/>
        <v>2834</v>
      </c>
      <c r="K4612" t="str">
        <f t="shared" si="290"/>
        <v>2834</v>
      </c>
      <c r="M4612" s="72"/>
      <c r="O4612" s="96">
        <f t="shared" si="291"/>
        <v>2834</v>
      </c>
      <c r="T4612" s="110"/>
    </row>
    <row r="4613" spans="3:20" x14ac:dyDescent="0.2">
      <c r="C4613" t="str">
        <f t="shared" si="288"/>
        <v>2835</v>
      </c>
      <c r="D4613" s="73"/>
      <c r="E4613" s="72"/>
      <c r="F4613" s="101"/>
      <c r="G4613" s="96">
        <f t="shared" si="289"/>
        <v>2835</v>
      </c>
      <c r="K4613" t="str">
        <f t="shared" si="290"/>
        <v>2835</v>
      </c>
      <c r="M4613" s="72"/>
      <c r="O4613" s="96">
        <f t="shared" si="291"/>
        <v>2835</v>
      </c>
      <c r="T4613" s="110"/>
    </row>
    <row r="4614" spans="3:20" x14ac:dyDescent="0.2">
      <c r="C4614" t="str">
        <f t="shared" si="288"/>
        <v>2836</v>
      </c>
      <c r="D4614" s="73"/>
      <c r="E4614" s="72"/>
      <c r="F4614" s="101"/>
      <c r="G4614" s="96">
        <f t="shared" si="289"/>
        <v>2836</v>
      </c>
      <c r="K4614" t="str">
        <f t="shared" si="290"/>
        <v>2836</v>
      </c>
      <c r="M4614" s="72"/>
      <c r="O4614" s="96">
        <f t="shared" si="291"/>
        <v>2836</v>
      </c>
      <c r="T4614" s="110"/>
    </row>
    <row r="4615" spans="3:20" x14ac:dyDescent="0.2">
      <c r="C4615" t="str">
        <f t="shared" si="288"/>
        <v>2837</v>
      </c>
      <c r="D4615" s="73"/>
      <c r="E4615" s="72"/>
      <c r="F4615" s="101"/>
      <c r="G4615" s="96">
        <f t="shared" si="289"/>
        <v>2837</v>
      </c>
      <c r="K4615" t="str">
        <f t="shared" si="290"/>
        <v>2837</v>
      </c>
      <c r="M4615" s="72"/>
      <c r="O4615" s="96">
        <f t="shared" si="291"/>
        <v>2837</v>
      </c>
      <c r="T4615" s="110"/>
    </row>
    <row r="4616" spans="3:20" x14ac:dyDescent="0.2">
      <c r="C4616" t="str">
        <f t="shared" si="288"/>
        <v>2838</v>
      </c>
      <c r="D4616" s="73"/>
      <c r="E4616" s="72"/>
      <c r="F4616" s="101"/>
      <c r="G4616" s="96">
        <f t="shared" si="289"/>
        <v>2838</v>
      </c>
      <c r="K4616" t="str">
        <f t="shared" si="290"/>
        <v>2838</v>
      </c>
      <c r="M4616" s="72"/>
      <c r="O4616" s="96">
        <f t="shared" si="291"/>
        <v>2838</v>
      </c>
      <c r="T4616" s="110"/>
    </row>
    <row r="4617" spans="3:20" x14ac:dyDescent="0.2">
      <c r="C4617" t="str">
        <f t="shared" si="288"/>
        <v>2839</v>
      </c>
      <c r="D4617" s="73"/>
      <c r="E4617" s="72"/>
      <c r="F4617" s="101"/>
      <c r="G4617" s="96">
        <f t="shared" si="289"/>
        <v>2839</v>
      </c>
      <c r="K4617" t="str">
        <f t="shared" si="290"/>
        <v>2839</v>
      </c>
      <c r="M4617" s="72"/>
      <c r="O4617" s="96">
        <f t="shared" si="291"/>
        <v>2839</v>
      </c>
      <c r="T4617" s="110"/>
    </row>
    <row r="4618" spans="3:20" x14ac:dyDescent="0.2">
      <c r="C4618" t="str">
        <f t="shared" si="288"/>
        <v>2840</v>
      </c>
      <c r="D4618" s="73"/>
      <c r="E4618" s="72"/>
      <c r="F4618" s="101"/>
      <c r="G4618" s="96">
        <f t="shared" si="289"/>
        <v>2840</v>
      </c>
      <c r="K4618" t="str">
        <f t="shared" si="290"/>
        <v>2840</v>
      </c>
      <c r="M4618" s="72"/>
      <c r="O4618" s="96">
        <f t="shared" si="291"/>
        <v>2840</v>
      </c>
      <c r="T4618" s="110"/>
    </row>
    <row r="4619" spans="3:20" x14ac:dyDescent="0.2">
      <c r="C4619" t="str">
        <f t="shared" si="288"/>
        <v>2841</v>
      </c>
      <c r="D4619" s="73"/>
      <c r="E4619" s="72"/>
      <c r="F4619" s="101"/>
      <c r="G4619" s="96">
        <f t="shared" si="289"/>
        <v>2841</v>
      </c>
      <c r="K4619" t="str">
        <f t="shared" si="290"/>
        <v>2841</v>
      </c>
      <c r="M4619" s="72"/>
      <c r="O4619" s="96">
        <f t="shared" si="291"/>
        <v>2841</v>
      </c>
      <c r="T4619" s="110"/>
    </row>
    <row r="4620" spans="3:20" x14ac:dyDescent="0.2">
      <c r="C4620" t="str">
        <f t="shared" si="288"/>
        <v>2842</v>
      </c>
      <c r="D4620" s="73"/>
      <c r="E4620" s="72"/>
      <c r="F4620" s="101"/>
      <c r="G4620" s="96">
        <f t="shared" si="289"/>
        <v>2842</v>
      </c>
      <c r="K4620" t="str">
        <f t="shared" si="290"/>
        <v>2842</v>
      </c>
      <c r="M4620" s="72"/>
      <c r="O4620" s="96">
        <f t="shared" si="291"/>
        <v>2842</v>
      </c>
      <c r="T4620" s="110"/>
    </row>
    <row r="4621" spans="3:20" x14ac:dyDescent="0.2">
      <c r="C4621" t="str">
        <f t="shared" si="288"/>
        <v>2843</v>
      </c>
      <c r="D4621" s="73"/>
      <c r="E4621" s="72"/>
      <c r="F4621" s="101"/>
      <c r="G4621" s="96">
        <f t="shared" si="289"/>
        <v>2843</v>
      </c>
      <c r="K4621" t="str">
        <f t="shared" si="290"/>
        <v>2843</v>
      </c>
      <c r="M4621" s="72"/>
      <c r="O4621" s="96">
        <f t="shared" si="291"/>
        <v>2843</v>
      </c>
      <c r="T4621" s="110"/>
    </row>
    <row r="4622" spans="3:20" x14ac:dyDescent="0.2">
      <c r="C4622" t="str">
        <f t="shared" si="288"/>
        <v>2844</v>
      </c>
      <c r="D4622" s="73"/>
      <c r="E4622" s="72"/>
      <c r="F4622" s="101"/>
      <c r="G4622" s="96">
        <f t="shared" si="289"/>
        <v>2844</v>
      </c>
      <c r="K4622" t="str">
        <f t="shared" si="290"/>
        <v>2844</v>
      </c>
      <c r="M4622" s="72"/>
      <c r="O4622" s="96">
        <f t="shared" si="291"/>
        <v>2844</v>
      </c>
      <c r="T4622" s="110"/>
    </row>
    <row r="4623" spans="3:20" x14ac:dyDescent="0.2">
      <c r="C4623" t="str">
        <f t="shared" si="288"/>
        <v>2845</v>
      </c>
      <c r="D4623" s="73"/>
      <c r="E4623" s="72"/>
      <c r="F4623" s="101"/>
      <c r="G4623" s="96">
        <f t="shared" si="289"/>
        <v>2845</v>
      </c>
      <c r="K4623" t="str">
        <f t="shared" si="290"/>
        <v>2845</v>
      </c>
      <c r="M4623" s="72"/>
      <c r="O4623" s="96">
        <f t="shared" si="291"/>
        <v>2845</v>
      </c>
      <c r="T4623" s="110"/>
    </row>
    <row r="4624" spans="3:20" x14ac:dyDescent="0.2">
      <c r="C4624" t="str">
        <f t="shared" si="288"/>
        <v>2846</v>
      </c>
      <c r="D4624" s="73"/>
      <c r="E4624" s="72"/>
      <c r="F4624" s="101"/>
      <c r="G4624" s="96">
        <f t="shared" si="289"/>
        <v>2846</v>
      </c>
      <c r="K4624" t="str">
        <f t="shared" si="290"/>
        <v>2846</v>
      </c>
      <c r="M4624" s="72"/>
      <c r="O4624" s="96">
        <f t="shared" si="291"/>
        <v>2846</v>
      </c>
      <c r="T4624" s="110"/>
    </row>
    <row r="4625" spans="3:20" x14ac:dyDescent="0.2">
      <c r="C4625" t="str">
        <f t="shared" si="288"/>
        <v>2847</v>
      </c>
      <c r="D4625" s="73"/>
      <c r="E4625" s="72"/>
      <c r="F4625" s="101"/>
      <c r="G4625" s="96">
        <f t="shared" si="289"/>
        <v>2847</v>
      </c>
      <c r="K4625" t="str">
        <f t="shared" si="290"/>
        <v>2847</v>
      </c>
      <c r="M4625" s="72"/>
      <c r="O4625" s="96">
        <f t="shared" si="291"/>
        <v>2847</v>
      </c>
      <c r="T4625" s="110"/>
    </row>
    <row r="4626" spans="3:20" x14ac:dyDescent="0.2">
      <c r="C4626" t="str">
        <f t="shared" si="288"/>
        <v>2848</v>
      </c>
      <c r="D4626" s="73"/>
      <c r="E4626" s="72"/>
      <c r="F4626" s="101"/>
      <c r="G4626" s="96">
        <f t="shared" si="289"/>
        <v>2848</v>
      </c>
      <c r="K4626" t="str">
        <f t="shared" si="290"/>
        <v>2848</v>
      </c>
      <c r="M4626" s="72"/>
      <c r="O4626" s="96">
        <f t="shared" si="291"/>
        <v>2848</v>
      </c>
      <c r="T4626" s="110"/>
    </row>
    <row r="4627" spans="3:20" x14ac:dyDescent="0.2">
      <c r="C4627" t="str">
        <f t="shared" si="288"/>
        <v>2849</v>
      </c>
      <c r="D4627" s="73"/>
      <c r="E4627" s="72"/>
      <c r="F4627" s="101"/>
      <c r="G4627" s="96">
        <f t="shared" si="289"/>
        <v>2849</v>
      </c>
      <c r="K4627" t="str">
        <f t="shared" si="290"/>
        <v>2849</v>
      </c>
      <c r="M4627" s="72"/>
      <c r="O4627" s="96">
        <f t="shared" si="291"/>
        <v>2849</v>
      </c>
      <c r="T4627" s="110"/>
    </row>
    <row r="4628" spans="3:20" x14ac:dyDescent="0.2">
      <c r="C4628" t="str">
        <f t="shared" si="288"/>
        <v>2850</v>
      </c>
      <c r="D4628" s="73"/>
      <c r="E4628" s="72"/>
      <c r="F4628" s="101"/>
      <c r="G4628" s="96">
        <f t="shared" si="289"/>
        <v>2850</v>
      </c>
      <c r="K4628" t="str">
        <f t="shared" si="290"/>
        <v>2850</v>
      </c>
      <c r="M4628" s="72"/>
      <c r="O4628" s="96">
        <f t="shared" si="291"/>
        <v>2850</v>
      </c>
      <c r="T4628" s="110"/>
    </row>
    <row r="4629" spans="3:20" x14ac:dyDescent="0.2">
      <c r="C4629" t="str">
        <f t="shared" si="288"/>
        <v>2851</v>
      </c>
      <c r="D4629" s="73"/>
      <c r="E4629" s="72"/>
      <c r="F4629" s="101"/>
      <c r="G4629" s="96">
        <f t="shared" si="289"/>
        <v>2851</v>
      </c>
      <c r="K4629" t="str">
        <f t="shared" si="290"/>
        <v>2851</v>
      </c>
      <c r="M4629" s="72"/>
      <c r="O4629" s="96">
        <f t="shared" si="291"/>
        <v>2851</v>
      </c>
      <c r="T4629" s="110"/>
    </row>
    <row r="4630" spans="3:20" x14ac:dyDescent="0.2">
      <c r="C4630" t="str">
        <f t="shared" si="288"/>
        <v>2852</v>
      </c>
      <c r="D4630" s="73"/>
      <c r="E4630" s="72"/>
      <c r="F4630" s="101"/>
      <c r="G4630" s="96">
        <f t="shared" si="289"/>
        <v>2852</v>
      </c>
      <c r="K4630" t="str">
        <f t="shared" si="290"/>
        <v>2852</v>
      </c>
      <c r="M4630" s="72"/>
      <c r="O4630" s="96">
        <f t="shared" si="291"/>
        <v>2852</v>
      </c>
      <c r="T4630" s="110"/>
    </row>
    <row r="4631" spans="3:20" x14ac:dyDescent="0.2">
      <c r="C4631" t="str">
        <f t="shared" si="288"/>
        <v>2853</v>
      </c>
      <c r="D4631" s="73"/>
      <c r="E4631" s="72"/>
      <c r="F4631" s="101"/>
      <c r="G4631" s="96">
        <f t="shared" si="289"/>
        <v>2853</v>
      </c>
      <c r="K4631" t="str">
        <f t="shared" si="290"/>
        <v>2853</v>
      </c>
      <c r="M4631" s="72"/>
      <c r="O4631" s="96">
        <f t="shared" si="291"/>
        <v>2853</v>
      </c>
      <c r="T4631" s="110"/>
    </row>
    <row r="4632" spans="3:20" x14ac:dyDescent="0.2">
      <c r="C4632" t="str">
        <f t="shared" si="288"/>
        <v>2854</v>
      </c>
      <c r="D4632" s="73"/>
      <c r="E4632" s="72"/>
      <c r="F4632" s="101"/>
      <c r="G4632" s="96">
        <f t="shared" si="289"/>
        <v>2854</v>
      </c>
      <c r="K4632" t="str">
        <f t="shared" si="290"/>
        <v>2854</v>
      </c>
      <c r="M4632" s="72"/>
      <c r="O4632" s="96">
        <f t="shared" si="291"/>
        <v>2854</v>
      </c>
      <c r="T4632" s="110"/>
    </row>
    <row r="4633" spans="3:20" x14ac:dyDescent="0.2">
      <c r="C4633" t="str">
        <f t="shared" si="288"/>
        <v>2855</v>
      </c>
      <c r="D4633" s="73"/>
      <c r="E4633" s="72"/>
      <c r="F4633" s="101"/>
      <c r="G4633" s="96">
        <f t="shared" si="289"/>
        <v>2855</v>
      </c>
      <c r="K4633" t="str">
        <f t="shared" si="290"/>
        <v>2855</v>
      </c>
      <c r="M4633" s="72"/>
      <c r="O4633" s="96">
        <f t="shared" si="291"/>
        <v>2855</v>
      </c>
      <c r="T4633" s="110"/>
    </row>
    <row r="4634" spans="3:20" x14ac:dyDescent="0.2">
      <c r="C4634" t="str">
        <f t="shared" si="288"/>
        <v>2856</v>
      </c>
      <c r="D4634" s="73"/>
      <c r="E4634" s="72"/>
      <c r="F4634" s="101"/>
      <c r="G4634" s="96">
        <f t="shared" si="289"/>
        <v>2856</v>
      </c>
      <c r="K4634" t="str">
        <f t="shared" si="290"/>
        <v>2856</v>
      </c>
      <c r="M4634" s="72"/>
      <c r="O4634" s="96">
        <f t="shared" si="291"/>
        <v>2856</v>
      </c>
      <c r="T4634" s="110"/>
    </row>
    <row r="4635" spans="3:20" x14ac:dyDescent="0.2">
      <c r="C4635" t="str">
        <f t="shared" si="288"/>
        <v>2857</v>
      </c>
      <c r="D4635" s="73"/>
      <c r="E4635" s="72"/>
      <c r="F4635" s="101"/>
      <c r="G4635" s="96">
        <f t="shared" si="289"/>
        <v>2857</v>
      </c>
      <c r="K4635" t="str">
        <f t="shared" si="290"/>
        <v>2857</v>
      </c>
      <c r="M4635" s="72"/>
      <c r="O4635" s="96">
        <f t="shared" si="291"/>
        <v>2857</v>
      </c>
      <c r="T4635" s="110"/>
    </row>
    <row r="4636" spans="3:20" x14ac:dyDescent="0.2">
      <c r="C4636" t="str">
        <f t="shared" si="288"/>
        <v>2858</v>
      </c>
      <c r="D4636" s="73"/>
      <c r="E4636" s="72"/>
      <c r="F4636" s="101"/>
      <c r="G4636" s="96">
        <f t="shared" si="289"/>
        <v>2858</v>
      </c>
      <c r="K4636" t="str">
        <f t="shared" si="290"/>
        <v>2858</v>
      </c>
      <c r="M4636" s="72"/>
      <c r="O4636" s="96">
        <f t="shared" si="291"/>
        <v>2858</v>
      </c>
      <c r="T4636" s="110"/>
    </row>
    <row r="4637" spans="3:20" x14ac:dyDescent="0.2">
      <c r="C4637" t="str">
        <f t="shared" si="288"/>
        <v>2859</v>
      </c>
      <c r="D4637" s="73"/>
      <c r="E4637" s="72"/>
      <c r="F4637" s="101"/>
      <c r="G4637" s="96">
        <f t="shared" si="289"/>
        <v>2859</v>
      </c>
      <c r="K4637" t="str">
        <f t="shared" si="290"/>
        <v>2859</v>
      </c>
      <c r="M4637" s="72"/>
      <c r="O4637" s="96">
        <f t="shared" si="291"/>
        <v>2859</v>
      </c>
      <c r="T4637" s="110"/>
    </row>
    <row r="4638" spans="3:20" x14ac:dyDescent="0.2">
      <c r="C4638" t="str">
        <f t="shared" si="288"/>
        <v>2860</v>
      </c>
      <c r="D4638" s="73"/>
      <c r="E4638" s="72"/>
      <c r="F4638" s="101"/>
      <c r="G4638" s="96">
        <f t="shared" si="289"/>
        <v>2860</v>
      </c>
      <c r="K4638" t="str">
        <f t="shared" si="290"/>
        <v>2860</v>
      </c>
      <c r="M4638" s="72"/>
      <c r="O4638" s="96">
        <f t="shared" si="291"/>
        <v>2860</v>
      </c>
      <c r="T4638" s="110"/>
    </row>
    <row r="4639" spans="3:20" x14ac:dyDescent="0.2">
      <c r="C4639" t="str">
        <f t="shared" si="288"/>
        <v>2861</v>
      </c>
      <c r="D4639" s="73"/>
      <c r="E4639" s="72"/>
      <c r="F4639" s="101"/>
      <c r="G4639" s="96">
        <f t="shared" si="289"/>
        <v>2861</v>
      </c>
      <c r="K4639" t="str">
        <f t="shared" si="290"/>
        <v>2861</v>
      </c>
      <c r="M4639" s="72"/>
      <c r="O4639" s="96">
        <f t="shared" si="291"/>
        <v>2861</v>
      </c>
      <c r="T4639" s="110"/>
    </row>
    <row r="4640" spans="3:20" x14ac:dyDescent="0.2">
      <c r="C4640" t="str">
        <f t="shared" si="288"/>
        <v>2862</v>
      </c>
      <c r="D4640" s="73"/>
      <c r="E4640" s="72"/>
      <c r="F4640" s="101"/>
      <c r="G4640" s="96">
        <f t="shared" si="289"/>
        <v>2862</v>
      </c>
      <c r="K4640" t="str">
        <f t="shared" si="290"/>
        <v>2862</v>
      </c>
      <c r="M4640" s="72"/>
      <c r="O4640" s="96">
        <f t="shared" si="291"/>
        <v>2862</v>
      </c>
      <c r="T4640" s="110"/>
    </row>
    <row r="4641" spans="3:20" x14ac:dyDescent="0.2">
      <c r="C4641" t="str">
        <f t="shared" si="288"/>
        <v>2863</v>
      </c>
      <c r="D4641" s="73"/>
      <c r="E4641" s="72"/>
      <c r="F4641" s="101"/>
      <c r="G4641" s="96">
        <f t="shared" si="289"/>
        <v>2863</v>
      </c>
      <c r="K4641" t="str">
        <f t="shared" si="290"/>
        <v>2863</v>
      </c>
      <c r="M4641" s="72"/>
      <c r="O4641" s="96">
        <f t="shared" si="291"/>
        <v>2863</v>
      </c>
      <c r="T4641" s="110"/>
    </row>
    <row r="4642" spans="3:20" x14ac:dyDescent="0.2">
      <c r="C4642" t="str">
        <f t="shared" si="288"/>
        <v>2864</v>
      </c>
      <c r="D4642" s="73"/>
      <c r="E4642" s="72"/>
      <c r="F4642" s="101"/>
      <c r="G4642" s="96">
        <f t="shared" si="289"/>
        <v>2864</v>
      </c>
      <c r="K4642" t="str">
        <f t="shared" si="290"/>
        <v>2864</v>
      </c>
      <c r="M4642" s="72"/>
      <c r="O4642" s="96">
        <f t="shared" si="291"/>
        <v>2864</v>
      </c>
      <c r="T4642" s="110"/>
    </row>
    <row r="4643" spans="3:20" x14ac:dyDescent="0.2">
      <c r="C4643" t="str">
        <f t="shared" si="288"/>
        <v>2865</v>
      </c>
      <c r="D4643" s="73"/>
      <c r="E4643" s="72"/>
      <c r="F4643" s="101"/>
      <c r="G4643" s="96">
        <f t="shared" si="289"/>
        <v>2865</v>
      </c>
      <c r="K4643" t="str">
        <f t="shared" si="290"/>
        <v>2865</v>
      </c>
      <c r="M4643" s="72"/>
      <c r="O4643" s="96">
        <f t="shared" si="291"/>
        <v>2865</v>
      </c>
      <c r="T4643" s="110"/>
    </row>
    <row r="4644" spans="3:20" x14ac:dyDescent="0.2">
      <c r="C4644" t="str">
        <f t="shared" si="288"/>
        <v>2866</v>
      </c>
      <c r="D4644" s="73"/>
      <c r="E4644" s="72"/>
      <c r="F4644" s="101"/>
      <c r="G4644" s="96">
        <f t="shared" si="289"/>
        <v>2866</v>
      </c>
      <c r="K4644" t="str">
        <f t="shared" si="290"/>
        <v>2866</v>
      </c>
      <c r="M4644" s="72"/>
      <c r="O4644" s="96">
        <f t="shared" si="291"/>
        <v>2866</v>
      </c>
      <c r="T4644" s="110"/>
    </row>
    <row r="4645" spans="3:20" x14ac:dyDescent="0.2">
      <c r="C4645" t="str">
        <f t="shared" si="288"/>
        <v>2867</v>
      </c>
      <c r="D4645" s="73"/>
      <c r="E4645" s="72"/>
      <c r="F4645" s="101"/>
      <c r="G4645" s="96">
        <f t="shared" si="289"/>
        <v>2867</v>
      </c>
      <c r="K4645" t="str">
        <f t="shared" si="290"/>
        <v>2867</v>
      </c>
      <c r="M4645" s="72"/>
      <c r="O4645" s="96">
        <f t="shared" si="291"/>
        <v>2867</v>
      </c>
      <c r="T4645" s="110"/>
    </row>
    <row r="4646" spans="3:20" x14ac:dyDescent="0.2">
      <c r="C4646" t="str">
        <f t="shared" si="288"/>
        <v>2868</v>
      </c>
      <c r="D4646" s="73"/>
      <c r="E4646" s="72"/>
      <c r="F4646" s="101"/>
      <c r="G4646" s="96">
        <f t="shared" si="289"/>
        <v>2868</v>
      </c>
      <c r="K4646" t="str">
        <f t="shared" si="290"/>
        <v>2868</v>
      </c>
      <c r="M4646" s="72"/>
      <c r="O4646" s="96">
        <f t="shared" si="291"/>
        <v>2868</v>
      </c>
      <c r="T4646" s="110"/>
    </row>
    <row r="4647" spans="3:20" x14ac:dyDescent="0.2">
      <c r="C4647" t="str">
        <f t="shared" si="288"/>
        <v>2869</v>
      </c>
      <c r="D4647" s="73"/>
      <c r="E4647" s="72"/>
      <c r="F4647" s="101"/>
      <c r="G4647" s="96">
        <f t="shared" si="289"/>
        <v>2869</v>
      </c>
      <c r="K4647" t="str">
        <f t="shared" si="290"/>
        <v>2869</v>
      </c>
      <c r="M4647" s="72"/>
      <c r="O4647" s="96">
        <f t="shared" si="291"/>
        <v>2869</v>
      </c>
      <c r="T4647" s="83"/>
    </row>
    <row r="4648" spans="3:20" x14ac:dyDescent="0.2">
      <c r="C4648" t="str">
        <f t="shared" si="288"/>
        <v>2870</v>
      </c>
      <c r="D4648" s="73"/>
      <c r="E4648" s="72"/>
      <c r="F4648" s="101"/>
      <c r="G4648" s="96">
        <f t="shared" si="289"/>
        <v>2870</v>
      </c>
      <c r="K4648" t="str">
        <f t="shared" si="290"/>
        <v>2870</v>
      </c>
      <c r="M4648" s="72"/>
      <c r="O4648" s="96">
        <f t="shared" si="291"/>
        <v>2870</v>
      </c>
      <c r="T4648" s="83"/>
    </row>
    <row r="4649" spans="3:20" x14ac:dyDescent="0.2">
      <c r="C4649" t="str">
        <f t="shared" si="288"/>
        <v>2871</v>
      </c>
      <c r="D4649" s="73"/>
      <c r="E4649" s="72"/>
      <c r="F4649" s="101"/>
      <c r="G4649" s="96">
        <f t="shared" si="289"/>
        <v>2871</v>
      </c>
      <c r="K4649" t="str">
        <f t="shared" si="290"/>
        <v>2871</v>
      </c>
      <c r="M4649" s="72"/>
      <c r="O4649" s="96">
        <f t="shared" si="291"/>
        <v>2871</v>
      </c>
      <c r="T4649" s="83"/>
    </row>
    <row r="4650" spans="3:20" x14ac:dyDescent="0.2">
      <c r="C4650" t="str">
        <f t="shared" si="288"/>
        <v>2872</v>
      </c>
      <c r="D4650" s="73"/>
      <c r="E4650" s="72"/>
      <c r="F4650" s="101"/>
      <c r="G4650" s="96">
        <f t="shared" si="289"/>
        <v>2872</v>
      </c>
      <c r="K4650" t="str">
        <f t="shared" si="290"/>
        <v>2872</v>
      </c>
      <c r="M4650" s="72"/>
      <c r="O4650" s="96">
        <f t="shared" si="291"/>
        <v>2872</v>
      </c>
      <c r="T4650" s="83"/>
    </row>
    <row r="4651" spans="3:20" x14ac:dyDescent="0.2">
      <c r="C4651" t="str">
        <f t="shared" si="288"/>
        <v>2873</v>
      </c>
      <c r="D4651" s="73"/>
      <c r="E4651" s="72"/>
      <c r="F4651" s="101"/>
      <c r="G4651" s="96">
        <f t="shared" si="289"/>
        <v>2873</v>
      </c>
      <c r="K4651" t="str">
        <f t="shared" si="290"/>
        <v>2873</v>
      </c>
      <c r="M4651" s="72"/>
      <c r="O4651" s="96">
        <f t="shared" si="291"/>
        <v>2873</v>
      </c>
      <c r="T4651" s="83"/>
    </row>
    <row r="4652" spans="3:20" x14ac:dyDescent="0.2">
      <c r="C4652" t="str">
        <f t="shared" si="288"/>
        <v>2874</v>
      </c>
      <c r="D4652" s="73"/>
      <c r="E4652" s="72"/>
      <c r="F4652" s="101"/>
      <c r="G4652" s="96">
        <f t="shared" si="289"/>
        <v>2874</v>
      </c>
      <c r="K4652" t="str">
        <f t="shared" si="290"/>
        <v>2874</v>
      </c>
      <c r="M4652" s="72"/>
      <c r="O4652" s="96">
        <f t="shared" si="291"/>
        <v>2874</v>
      </c>
      <c r="T4652" s="83"/>
    </row>
    <row r="4653" spans="3:20" x14ac:dyDescent="0.2">
      <c r="C4653" t="str">
        <f t="shared" si="288"/>
        <v>2875</v>
      </c>
      <c r="D4653" s="73"/>
      <c r="E4653" s="72"/>
      <c r="F4653" s="101"/>
      <c r="G4653" s="96">
        <f t="shared" si="289"/>
        <v>2875</v>
      </c>
      <c r="K4653" t="str">
        <f t="shared" si="290"/>
        <v>2875</v>
      </c>
      <c r="M4653" s="72"/>
      <c r="O4653" s="96">
        <f t="shared" si="291"/>
        <v>2875</v>
      </c>
      <c r="T4653" s="83"/>
    </row>
    <row r="4654" spans="3:20" x14ac:dyDescent="0.2">
      <c r="C4654" t="str">
        <f t="shared" si="288"/>
        <v>2876</v>
      </c>
      <c r="D4654" s="73"/>
      <c r="E4654" s="72"/>
      <c r="F4654" s="101"/>
      <c r="G4654" s="96">
        <f t="shared" si="289"/>
        <v>2876</v>
      </c>
      <c r="K4654" t="str">
        <f t="shared" si="290"/>
        <v>2876</v>
      </c>
      <c r="M4654" s="72"/>
      <c r="O4654" s="96">
        <f t="shared" si="291"/>
        <v>2876</v>
      </c>
      <c r="T4654" s="83"/>
    </row>
    <row r="4655" spans="3:20" x14ac:dyDescent="0.2">
      <c r="C4655" t="str">
        <f t="shared" si="288"/>
        <v>2877</v>
      </c>
      <c r="D4655" s="73"/>
      <c r="E4655" s="72"/>
      <c r="F4655" s="101"/>
      <c r="G4655" s="96">
        <f t="shared" si="289"/>
        <v>2877</v>
      </c>
      <c r="K4655" t="str">
        <f t="shared" si="290"/>
        <v>2877</v>
      </c>
      <c r="M4655" s="72"/>
      <c r="O4655" s="96">
        <f t="shared" si="291"/>
        <v>2877</v>
      </c>
      <c r="T4655" s="83"/>
    </row>
    <row r="4656" spans="3:20" x14ac:dyDescent="0.2">
      <c r="C4656" t="str">
        <f t="shared" si="288"/>
        <v>2878</v>
      </c>
      <c r="D4656" s="73"/>
      <c r="E4656" s="72"/>
      <c r="F4656" s="101"/>
      <c r="G4656" s="96">
        <f t="shared" si="289"/>
        <v>2878</v>
      </c>
      <c r="K4656" t="str">
        <f t="shared" si="290"/>
        <v>2878</v>
      </c>
      <c r="M4656" s="72"/>
      <c r="O4656" s="96">
        <f t="shared" si="291"/>
        <v>2878</v>
      </c>
      <c r="T4656" s="83"/>
    </row>
    <row r="4657" spans="3:20" x14ac:dyDescent="0.2">
      <c r="C4657" t="str">
        <f t="shared" si="288"/>
        <v>2879</v>
      </c>
      <c r="D4657" s="73"/>
      <c r="E4657" s="72"/>
      <c r="F4657" s="101"/>
      <c r="G4657" s="96">
        <f t="shared" si="289"/>
        <v>2879</v>
      </c>
      <c r="K4657" t="str">
        <f t="shared" si="290"/>
        <v>2879</v>
      </c>
      <c r="M4657" s="72"/>
      <c r="O4657" s="96">
        <f t="shared" si="291"/>
        <v>2879</v>
      </c>
      <c r="T4657" s="110"/>
    </row>
    <row r="4658" spans="3:20" x14ac:dyDescent="0.2">
      <c r="C4658" t="str">
        <f t="shared" si="288"/>
        <v>2880</v>
      </c>
      <c r="D4658" s="73"/>
      <c r="E4658" s="72"/>
      <c r="F4658" s="101"/>
      <c r="G4658" s="96">
        <f t="shared" si="289"/>
        <v>2880</v>
      </c>
      <c r="K4658" t="str">
        <f t="shared" si="290"/>
        <v>2880</v>
      </c>
      <c r="M4658" s="72"/>
      <c r="O4658" s="96">
        <f t="shared" si="291"/>
        <v>2880</v>
      </c>
      <c r="T4658" s="110"/>
    </row>
    <row r="4659" spans="3:20" x14ac:dyDescent="0.2">
      <c r="C4659" t="str">
        <f t="shared" si="288"/>
        <v>2881</v>
      </c>
      <c r="D4659" s="73"/>
      <c r="E4659" s="72"/>
      <c r="F4659" s="101"/>
      <c r="G4659" s="96">
        <f t="shared" si="289"/>
        <v>2881</v>
      </c>
      <c r="K4659" t="str">
        <f t="shared" si="290"/>
        <v>2881</v>
      </c>
      <c r="M4659" s="72"/>
      <c r="O4659" s="96">
        <f t="shared" si="291"/>
        <v>2881</v>
      </c>
      <c r="T4659" s="110"/>
    </row>
    <row r="4660" spans="3:20" x14ac:dyDescent="0.2">
      <c r="C4660" t="str">
        <f t="shared" si="288"/>
        <v>2882</v>
      </c>
      <c r="D4660" s="73"/>
      <c r="E4660" s="72"/>
      <c r="F4660" s="101"/>
      <c r="G4660" s="96">
        <f t="shared" si="289"/>
        <v>2882</v>
      </c>
      <c r="K4660" t="str">
        <f t="shared" si="290"/>
        <v>2882</v>
      </c>
      <c r="M4660" s="72"/>
      <c r="O4660" s="96">
        <f t="shared" si="291"/>
        <v>2882</v>
      </c>
      <c r="T4660" s="83"/>
    </row>
    <row r="4661" spans="3:20" x14ac:dyDescent="0.2">
      <c r="C4661" t="str">
        <f t="shared" si="288"/>
        <v>2883</v>
      </c>
      <c r="D4661" s="73"/>
      <c r="E4661" s="72"/>
      <c r="F4661" s="101"/>
      <c r="G4661" s="96">
        <f t="shared" si="289"/>
        <v>2883</v>
      </c>
      <c r="K4661" t="str">
        <f t="shared" si="290"/>
        <v>2883</v>
      </c>
      <c r="M4661" s="72"/>
      <c r="O4661" s="96">
        <f t="shared" si="291"/>
        <v>2883</v>
      </c>
      <c r="T4661" s="83"/>
    </row>
    <row r="4662" spans="3:20" x14ac:dyDescent="0.2">
      <c r="C4662" t="str">
        <f t="shared" si="288"/>
        <v>2884</v>
      </c>
      <c r="D4662" s="73"/>
      <c r="E4662" s="72"/>
      <c r="F4662" s="101"/>
      <c r="G4662" s="96">
        <f t="shared" si="289"/>
        <v>2884</v>
      </c>
      <c r="K4662" t="str">
        <f t="shared" si="290"/>
        <v>2884</v>
      </c>
      <c r="M4662" s="72"/>
      <c r="O4662" s="96">
        <f t="shared" si="291"/>
        <v>2884</v>
      </c>
      <c r="T4662" s="110"/>
    </row>
    <row r="4663" spans="3:20" x14ac:dyDescent="0.2">
      <c r="C4663" t="str">
        <f t="shared" si="288"/>
        <v>2885</v>
      </c>
      <c r="D4663" s="73"/>
      <c r="E4663" s="72"/>
      <c r="F4663" s="101"/>
      <c r="G4663" s="96">
        <f t="shared" si="289"/>
        <v>2885</v>
      </c>
      <c r="K4663" t="str">
        <f t="shared" si="290"/>
        <v>2885</v>
      </c>
      <c r="M4663" s="72"/>
      <c r="O4663" s="96">
        <f t="shared" si="291"/>
        <v>2885</v>
      </c>
      <c r="T4663" s="83"/>
    </row>
    <row r="4664" spans="3:20" x14ac:dyDescent="0.2">
      <c r="C4664" t="str">
        <f t="shared" si="288"/>
        <v>2886</v>
      </c>
      <c r="D4664" s="73"/>
      <c r="E4664" s="72"/>
      <c r="F4664" s="101"/>
      <c r="G4664" s="96">
        <f t="shared" si="289"/>
        <v>2886</v>
      </c>
      <c r="K4664" t="str">
        <f t="shared" si="290"/>
        <v>2886</v>
      </c>
      <c r="M4664" s="72"/>
      <c r="O4664" s="96">
        <f t="shared" si="291"/>
        <v>2886</v>
      </c>
      <c r="T4664" s="110"/>
    </row>
    <row r="4665" spans="3:20" x14ac:dyDescent="0.2">
      <c r="C4665" t="str">
        <f t="shared" si="288"/>
        <v>2887</v>
      </c>
      <c r="D4665" s="73"/>
      <c r="E4665" s="72"/>
      <c r="F4665" s="101"/>
      <c r="G4665" s="96">
        <f t="shared" si="289"/>
        <v>2887</v>
      </c>
      <c r="K4665" t="str">
        <f t="shared" si="290"/>
        <v>2887</v>
      </c>
      <c r="M4665" s="72"/>
      <c r="O4665" s="96">
        <f t="shared" si="291"/>
        <v>2887</v>
      </c>
      <c r="T4665" s="110"/>
    </row>
    <row r="4666" spans="3:20" x14ac:dyDescent="0.2">
      <c r="C4666" t="str">
        <f t="shared" si="288"/>
        <v>2888</v>
      </c>
      <c r="D4666" s="73"/>
      <c r="E4666" s="72"/>
      <c r="F4666" s="101"/>
      <c r="G4666" s="96">
        <f t="shared" si="289"/>
        <v>2888</v>
      </c>
      <c r="K4666" t="str">
        <f t="shared" si="290"/>
        <v>2888</v>
      </c>
      <c r="M4666" s="72"/>
      <c r="O4666" s="96">
        <f t="shared" si="291"/>
        <v>2888</v>
      </c>
      <c r="T4666" s="110"/>
    </row>
    <row r="4667" spans="3:20" x14ac:dyDescent="0.2">
      <c r="C4667" t="str">
        <f t="shared" si="288"/>
        <v>2889</v>
      </c>
      <c r="D4667" s="73"/>
      <c r="E4667" s="72"/>
      <c r="F4667" s="101"/>
      <c r="G4667" s="96">
        <f t="shared" si="289"/>
        <v>2889</v>
      </c>
      <c r="K4667" t="str">
        <f t="shared" si="290"/>
        <v>2889</v>
      </c>
      <c r="M4667" s="72"/>
      <c r="O4667" s="96">
        <f t="shared" si="291"/>
        <v>2889</v>
      </c>
      <c r="T4667" s="110"/>
    </row>
    <row r="4668" spans="3:20" x14ac:dyDescent="0.2">
      <c r="C4668" t="str">
        <f t="shared" si="288"/>
        <v>2890</v>
      </c>
      <c r="D4668" s="73"/>
      <c r="E4668" s="72"/>
      <c r="F4668" s="101"/>
      <c r="G4668" s="96">
        <f t="shared" si="289"/>
        <v>2890</v>
      </c>
      <c r="K4668" t="str">
        <f t="shared" si="290"/>
        <v>2890</v>
      </c>
      <c r="M4668" s="72"/>
      <c r="O4668" s="96">
        <f t="shared" si="291"/>
        <v>2890</v>
      </c>
      <c r="T4668" s="110"/>
    </row>
    <row r="4669" spans="3:20" x14ac:dyDescent="0.2">
      <c r="C4669" t="str">
        <f t="shared" si="288"/>
        <v>2891</v>
      </c>
      <c r="D4669" s="73"/>
      <c r="E4669" s="72"/>
      <c r="F4669" s="101"/>
      <c r="G4669" s="96">
        <f t="shared" si="289"/>
        <v>2891</v>
      </c>
      <c r="K4669" t="str">
        <f t="shared" si="290"/>
        <v>2891</v>
      </c>
      <c r="M4669" s="72"/>
      <c r="O4669" s="96">
        <f t="shared" si="291"/>
        <v>2891</v>
      </c>
      <c r="T4669" s="110"/>
    </row>
    <row r="4670" spans="3:20" x14ac:dyDescent="0.2">
      <c r="C4670" t="str">
        <f t="shared" si="288"/>
        <v>2892</v>
      </c>
      <c r="D4670" s="73"/>
      <c r="E4670" s="72"/>
      <c r="F4670" s="101"/>
      <c r="G4670" s="96">
        <f t="shared" si="289"/>
        <v>2892</v>
      </c>
      <c r="K4670" t="str">
        <f t="shared" si="290"/>
        <v>2892</v>
      </c>
      <c r="M4670" s="72"/>
      <c r="O4670" s="96">
        <f t="shared" si="291"/>
        <v>2892</v>
      </c>
      <c r="T4670" s="110"/>
    </row>
    <row r="4671" spans="3:20" x14ac:dyDescent="0.2">
      <c r="C4671" t="str">
        <f t="shared" si="288"/>
        <v>2893</v>
      </c>
      <c r="D4671" s="73"/>
      <c r="E4671" s="72"/>
      <c r="F4671" s="101"/>
      <c r="G4671" s="96">
        <f t="shared" si="289"/>
        <v>2893</v>
      </c>
      <c r="K4671" t="str">
        <f t="shared" si="290"/>
        <v>2893</v>
      </c>
      <c r="M4671" s="72"/>
      <c r="O4671" s="96">
        <f t="shared" si="291"/>
        <v>2893</v>
      </c>
      <c r="T4671" s="110"/>
    </row>
    <row r="4672" spans="3:20" x14ac:dyDescent="0.2">
      <c r="C4672" t="str">
        <f t="shared" si="288"/>
        <v>2894</v>
      </c>
      <c r="D4672" s="73"/>
      <c r="E4672" s="72"/>
      <c r="F4672" s="101"/>
      <c r="G4672" s="96">
        <f t="shared" si="289"/>
        <v>2894</v>
      </c>
      <c r="K4672" t="str">
        <f t="shared" si="290"/>
        <v>2894</v>
      </c>
      <c r="M4672" s="72"/>
      <c r="O4672" s="96">
        <f t="shared" si="291"/>
        <v>2894</v>
      </c>
      <c r="T4672" s="110"/>
    </row>
    <row r="4673" spans="3:20" x14ac:dyDescent="0.2">
      <c r="C4673" t="str">
        <f t="shared" si="288"/>
        <v>2895</v>
      </c>
      <c r="D4673" s="73"/>
      <c r="E4673" s="72"/>
      <c r="F4673" s="101"/>
      <c r="G4673" s="96">
        <f t="shared" si="289"/>
        <v>2895</v>
      </c>
      <c r="K4673" t="str">
        <f t="shared" si="290"/>
        <v>2895</v>
      </c>
      <c r="M4673" s="72"/>
      <c r="O4673" s="96">
        <f t="shared" si="291"/>
        <v>2895</v>
      </c>
      <c r="T4673" s="110"/>
    </row>
    <row r="4674" spans="3:20" x14ac:dyDescent="0.2">
      <c r="C4674" t="str">
        <f t="shared" si="288"/>
        <v>2896</v>
      </c>
      <c r="D4674" s="73"/>
      <c r="E4674" s="72"/>
      <c r="F4674" s="101"/>
      <c r="G4674" s="96">
        <f t="shared" si="289"/>
        <v>2896</v>
      </c>
      <c r="K4674" t="str">
        <f t="shared" si="290"/>
        <v>2896</v>
      </c>
      <c r="M4674" s="72"/>
      <c r="O4674" s="96">
        <f t="shared" si="291"/>
        <v>2896</v>
      </c>
      <c r="T4674" s="110"/>
    </row>
    <row r="4675" spans="3:20" x14ac:dyDescent="0.2">
      <c r="C4675" t="str">
        <f t="shared" ref="C4675:C4738" si="292">D4675&amp;G4675</f>
        <v>2897</v>
      </c>
      <c r="D4675" s="73"/>
      <c r="E4675" s="72"/>
      <c r="F4675" s="101"/>
      <c r="G4675" s="96">
        <f t="shared" ref="G4675:G4738" si="293">IF(D4675&lt;&gt;D4674,1,G4674+1)</f>
        <v>2897</v>
      </c>
      <c r="K4675" t="str">
        <f t="shared" ref="K4675:K4738" si="294">L4675&amp;O4675</f>
        <v>2897</v>
      </c>
      <c r="M4675" s="72"/>
      <c r="O4675" s="96">
        <f t="shared" ref="O4675:O4738" si="295">IF(L4675&lt;&gt;L4674,1,O4674+1)</f>
        <v>2897</v>
      </c>
      <c r="T4675" s="110"/>
    </row>
    <row r="4676" spans="3:20" x14ac:dyDescent="0.2">
      <c r="C4676" t="str">
        <f t="shared" si="292"/>
        <v>2898</v>
      </c>
      <c r="D4676" s="73"/>
      <c r="E4676" s="72"/>
      <c r="F4676" s="101"/>
      <c r="G4676" s="96">
        <f t="shared" si="293"/>
        <v>2898</v>
      </c>
      <c r="K4676" t="str">
        <f t="shared" si="294"/>
        <v>2898</v>
      </c>
      <c r="M4676" s="72"/>
      <c r="O4676" s="96">
        <f t="shared" si="295"/>
        <v>2898</v>
      </c>
      <c r="T4676" s="110"/>
    </row>
    <row r="4677" spans="3:20" x14ac:dyDescent="0.2">
      <c r="C4677" t="str">
        <f t="shared" si="292"/>
        <v>2899</v>
      </c>
      <c r="D4677" s="73"/>
      <c r="E4677" s="72"/>
      <c r="F4677" s="101"/>
      <c r="G4677" s="96">
        <f t="shared" si="293"/>
        <v>2899</v>
      </c>
      <c r="K4677" t="str">
        <f t="shared" si="294"/>
        <v>2899</v>
      </c>
      <c r="M4677" s="72"/>
      <c r="O4677" s="96">
        <f t="shared" si="295"/>
        <v>2899</v>
      </c>
      <c r="T4677" s="110"/>
    </row>
    <row r="4678" spans="3:20" x14ac:dyDescent="0.2">
      <c r="C4678" t="str">
        <f t="shared" si="292"/>
        <v>2900</v>
      </c>
      <c r="D4678" s="73"/>
      <c r="E4678" s="72"/>
      <c r="F4678" s="101"/>
      <c r="G4678" s="96">
        <f t="shared" si="293"/>
        <v>2900</v>
      </c>
      <c r="K4678" t="str">
        <f t="shared" si="294"/>
        <v>2900</v>
      </c>
      <c r="M4678" s="72"/>
      <c r="O4678" s="96">
        <f t="shared" si="295"/>
        <v>2900</v>
      </c>
      <c r="T4678" s="110"/>
    </row>
    <row r="4679" spans="3:20" x14ac:dyDescent="0.2">
      <c r="C4679" t="str">
        <f t="shared" si="292"/>
        <v>2901</v>
      </c>
      <c r="D4679" s="73"/>
      <c r="E4679" s="72"/>
      <c r="F4679" s="101"/>
      <c r="G4679" s="96">
        <f t="shared" si="293"/>
        <v>2901</v>
      </c>
      <c r="K4679" t="str">
        <f t="shared" si="294"/>
        <v>2901</v>
      </c>
      <c r="M4679" s="72"/>
      <c r="O4679" s="96">
        <f t="shared" si="295"/>
        <v>2901</v>
      </c>
      <c r="T4679" s="110"/>
    </row>
    <row r="4680" spans="3:20" x14ac:dyDescent="0.2">
      <c r="C4680" t="str">
        <f t="shared" si="292"/>
        <v>2902</v>
      </c>
      <c r="D4680" s="73"/>
      <c r="E4680" s="72"/>
      <c r="F4680" s="101"/>
      <c r="G4680" s="96">
        <f t="shared" si="293"/>
        <v>2902</v>
      </c>
      <c r="K4680" t="str">
        <f t="shared" si="294"/>
        <v>2902</v>
      </c>
      <c r="M4680" s="72"/>
      <c r="O4680" s="96">
        <f t="shared" si="295"/>
        <v>2902</v>
      </c>
      <c r="T4680" s="110"/>
    </row>
    <row r="4681" spans="3:20" x14ac:dyDescent="0.2">
      <c r="C4681" t="str">
        <f t="shared" si="292"/>
        <v>2903</v>
      </c>
      <c r="D4681" s="73"/>
      <c r="E4681" s="72"/>
      <c r="F4681" s="101"/>
      <c r="G4681" s="96">
        <f t="shared" si="293"/>
        <v>2903</v>
      </c>
      <c r="K4681" t="str">
        <f t="shared" si="294"/>
        <v>2903</v>
      </c>
      <c r="M4681" s="72"/>
      <c r="O4681" s="96">
        <f t="shared" si="295"/>
        <v>2903</v>
      </c>
      <c r="T4681" s="110"/>
    </row>
    <row r="4682" spans="3:20" x14ac:dyDescent="0.2">
      <c r="C4682" t="str">
        <f t="shared" si="292"/>
        <v>2904</v>
      </c>
      <c r="D4682" s="73"/>
      <c r="E4682" s="72"/>
      <c r="F4682" s="101"/>
      <c r="G4682" s="96">
        <f t="shared" si="293"/>
        <v>2904</v>
      </c>
      <c r="K4682" t="str">
        <f t="shared" si="294"/>
        <v>2904</v>
      </c>
      <c r="M4682" s="72"/>
      <c r="O4682" s="96">
        <f t="shared" si="295"/>
        <v>2904</v>
      </c>
      <c r="T4682" s="110"/>
    </row>
    <row r="4683" spans="3:20" x14ac:dyDescent="0.2">
      <c r="C4683" t="str">
        <f t="shared" si="292"/>
        <v>2905</v>
      </c>
      <c r="D4683" s="73"/>
      <c r="E4683" s="72"/>
      <c r="F4683" s="101"/>
      <c r="G4683" s="96">
        <f t="shared" si="293"/>
        <v>2905</v>
      </c>
      <c r="K4683" t="str">
        <f t="shared" si="294"/>
        <v>2905</v>
      </c>
      <c r="M4683" s="72"/>
      <c r="O4683" s="96">
        <f t="shared" si="295"/>
        <v>2905</v>
      </c>
      <c r="T4683" s="110"/>
    </row>
    <row r="4684" spans="3:20" x14ac:dyDescent="0.2">
      <c r="C4684" t="str">
        <f t="shared" si="292"/>
        <v>2906</v>
      </c>
      <c r="D4684" s="73"/>
      <c r="E4684" s="72"/>
      <c r="F4684" s="101"/>
      <c r="G4684" s="96">
        <f t="shared" si="293"/>
        <v>2906</v>
      </c>
      <c r="K4684" t="str">
        <f t="shared" si="294"/>
        <v>2906</v>
      </c>
      <c r="M4684" s="72"/>
      <c r="O4684" s="96">
        <f t="shared" si="295"/>
        <v>2906</v>
      </c>
      <c r="T4684" s="110"/>
    </row>
    <row r="4685" spans="3:20" x14ac:dyDescent="0.2">
      <c r="C4685" t="str">
        <f t="shared" si="292"/>
        <v>2907</v>
      </c>
      <c r="D4685" s="73"/>
      <c r="E4685" s="72"/>
      <c r="F4685" s="101"/>
      <c r="G4685" s="96">
        <f t="shared" si="293"/>
        <v>2907</v>
      </c>
      <c r="K4685" t="str">
        <f t="shared" si="294"/>
        <v>2907</v>
      </c>
      <c r="M4685" s="72"/>
      <c r="O4685" s="96">
        <f t="shared" si="295"/>
        <v>2907</v>
      </c>
      <c r="T4685" s="110"/>
    </row>
    <row r="4686" spans="3:20" x14ac:dyDescent="0.2">
      <c r="C4686" t="str">
        <f t="shared" si="292"/>
        <v>2908</v>
      </c>
      <c r="D4686" s="73"/>
      <c r="E4686" s="72"/>
      <c r="F4686" s="101"/>
      <c r="G4686" s="96">
        <f t="shared" si="293"/>
        <v>2908</v>
      </c>
      <c r="K4686" t="str">
        <f t="shared" si="294"/>
        <v>2908</v>
      </c>
      <c r="M4686" s="72"/>
      <c r="O4686" s="96">
        <f t="shared" si="295"/>
        <v>2908</v>
      </c>
      <c r="T4686" s="110"/>
    </row>
    <row r="4687" spans="3:20" x14ac:dyDescent="0.2">
      <c r="C4687" t="str">
        <f t="shared" si="292"/>
        <v>2909</v>
      </c>
      <c r="D4687" s="73"/>
      <c r="E4687" s="72"/>
      <c r="F4687" s="101"/>
      <c r="G4687" s="96">
        <f t="shared" si="293"/>
        <v>2909</v>
      </c>
      <c r="K4687" t="str">
        <f t="shared" si="294"/>
        <v>2909</v>
      </c>
      <c r="M4687" s="72"/>
      <c r="O4687" s="96">
        <f t="shared" si="295"/>
        <v>2909</v>
      </c>
      <c r="T4687" s="110"/>
    </row>
    <row r="4688" spans="3:20" x14ac:dyDescent="0.2">
      <c r="C4688" t="str">
        <f t="shared" si="292"/>
        <v>2910</v>
      </c>
      <c r="D4688" s="73"/>
      <c r="E4688" s="72"/>
      <c r="F4688" s="101"/>
      <c r="G4688" s="96">
        <f t="shared" si="293"/>
        <v>2910</v>
      </c>
      <c r="K4688" t="str">
        <f t="shared" si="294"/>
        <v>2910</v>
      </c>
      <c r="M4688" s="72"/>
      <c r="O4688" s="96">
        <f t="shared" si="295"/>
        <v>2910</v>
      </c>
      <c r="T4688" s="110"/>
    </row>
    <row r="4689" spans="3:20" x14ac:dyDescent="0.2">
      <c r="C4689" t="str">
        <f t="shared" si="292"/>
        <v>2911</v>
      </c>
      <c r="D4689" s="73"/>
      <c r="E4689" s="72"/>
      <c r="F4689" s="101"/>
      <c r="G4689" s="96">
        <f t="shared" si="293"/>
        <v>2911</v>
      </c>
      <c r="K4689" t="str">
        <f t="shared" si="294"/>
        <v>2911</v>
      </c>
      <c r="M4689" s="72"/>
      <c r="O4689" s="96">
        <f t="shared" si="295"/>
        <v>2911</v>
      </c>
      <c r="T4689" s="110"/>
    </row>
    <row r="4690" spans="3:20" x14ac:dyDescent="0.2">
      <c r="C4690" t="str">
        <f t="shared" si="292"/>
        <v>2912</v>
      </c>
      <c r="D4690" s="73"/>
      <c r="E4690" s="72"/>
      <c r="F4690" s="101"/>
      <c r="G4690" s="96">
        <f t="shared" si="293"/>
        <v>2912</v>
      </c>
      <c r="K4690" t="str">
        <f t="shared" si="294"/>
        <v>2912</v>
      </c>
      <c r="M4690" s="72"/>
      <c r="O4690" s="96">
        <f t="shared" si="295"/>
        <v>2912</v>
      </c>
      <c r="T4690" s="110"/>
    </row>
    <row r="4691" spans="3:20" x14ac:dyDescent="0.2">
      <c r="C4691" t="str">
        <f t="shared" si="292"/>
        <v>2913</v>
      </c>
      <c r="D4691" s="73"/>
      <c r="E4691" s="72"/>
      <c r="F4691" s="101"/>
      <c r="G4691" s="96">
        <f t="shared" si="293"/>
        <v>2913</v>
      </c>
      <c r="K4691" t="str">
        <f t="shared" si="294"/>
        <v>2913</v>
      </c>
      <c r="M4691" s="72"/>
      <c r="O4691" s="96">
        <f t="shared" si="295"/>
        <v>2913</v>
      </c>
      <c r="T4691" s="110"/>
    </row>
    <row r="4692" spans="3:20" x14ac:dyDescent="0.2">
      <c r="C4692" t="str">
        <f t="shared" si="292"/>
        <v>2914</v>
      </c>
      <c r="D4692" s="73"/>
      <c r="E4692" s="72"/>
      <c r="F4692" s="101"/>
      <c r="G4692" s="96">
        <f t="shared" si="293"/>
        <v>2914</v>
      </c>
      <c r="K4692" t="str">
        <f t="shared" si="294"/>
        <v>2914</v>
      </c>
      <c r="M4692" s="72"/>
      <c r="O4692" s="96">
        <f t="shared" si="295"/>
        <v>2914</v>
      </c>
      <c r="T4692" s="110"/>
    </row>
    <row r="4693" spans="3:20" x14ac:dyDescent="0.2">
      <c r="C4693" t="str">
        <f t="shared" si="292"/>
        <v>2915</v>
      </c>
      <c r="D4693" s="73"/>
      <c r="E4693" s="72"/>
      <c r="F4693" s="101"/>
      <c r="G4693" s="96">
        <f t="shared" si="293"/>
        <v>2915</v>
      </c>
      <c r="K4693" t="str">
        <f t="shared" si="294"/>
        <v>2915</v>
      </c>
      <c r="M4693" s="72"/>
      <c r="O4693" s="96">
        <f t="shared" si="295"/>
        <v>2915</v>
      </c>
      <c r="T4693" s="110"/>
    </row>
    <row r="4694" spans="3:20" x14ac:dyDescent="0.2">
      <c r="C4694" t="str">
        <f t="shared" si="292"/>
        <v>2916</v>
      </c>
      <c r="D4694" s="73"/>
      <c r="E4694" s="72"/>
      <c r="F4694" s="101"/>
      <c r="G4694" s="96">
        <f t="shared" si="293"/>
        <v>2916</v>
      </c>
      <c r="K4694" t="str">
        <f t="shared" si="294"/>
        <v>2916</v>
      </c>
      <c r="M4694" s="72"/>
      <c r="O4694" s="96">
        <f t="shared" si="295"/>
        <v>2916</v>
      </c>
      <c r="T4694" s="110"/>
    </row>
    <row r="4695" spans="3:20" x14ac:dyDescent="0.2">
      <c r="C4695" t="str">
        <f t="shared" si="292"/>
        <v>2917</v>
      </c>
      <c r="D4695" s="73"/>
      <c r="E4695" s="72"/>
      <c r="F4695" s="101"/>
      <c r="G4695" s="96">
        <f t="shared" si="293"/>
        <v>2917</v>
      </c>
      <c r="K4695" t="str">
        <f t="shared" si="294"/>
        <v>2917</v>
      </c>
      <c r="M4695" s="72"/>
      <c r="O4695" s="96">
        <f t="shared" si="295"/>
        <v>2917</v>
      </c>
      <c r="T4695" s="110"/>
    </row>
    <row r="4696" spans="3:20" x14ac:dyDescent="0.2">
      <c r="C4696" t="str">
        <f t="shared" si="292"/>
        <v>2918</v>
      </c>
      <c r="D4696" s="73"/>
      <c r="E4696" s="72"/>
      <c r="F4696" s="101"/>
      <c r="G4696" s="96">
        <f t="shared" si="293"/>
        <v>2918</v>
      </c>
      <c r="K4696" t="str">
        <f t="shared" si="294"/>
        <v>2918</v>
      </c>
      <c r="M4696" s="72"/>
      <c r="O4696" s="96">
        <f t="shared" si="295"/>
        <v>2918</v>
      </c>
      <c r="T4696" s="110"/>
    </row>
    <row r="4697" spans="3:20" x14ac:dyDescent="0.2">
      <c r="C4697" t="str">
        <f t="shared" si="292"/>
        <v>2919</v>
      </c>
      <c r="D4697" s="73"/>
      <c r="E4697" s="72"/>
      <c r="F4697" s="101"/>
      <c r="G4697" s="96">
        <f t="shared" si="293"/>
        <v>2919</v>
      </c>
      <c r="K4697" t="str">
        <f t="shared" si="294"/>
        <v>2919</v>
      </c>
      <c r="M4697" s="72"/>
      <c r="O4697" s="96">
        <f t="shared" si="295"/>
        <v>2919</v>
      </c>
      <c r="T4697" s="110"/>
    </row>
    <row r="4698" spans="3:20" x14ac:dyDescent="0.2">
      <c r="C4698" t="str">
        <f t="shared" si="292"/>
        <v>2920</v>
      </c>
      <c r="D4698" s="73"/>
      <c r="E4698" s="72"/>
      <c r="F4698" s="101"/>
      <c r="G4698" s="96">
        <f t="shared" si="293"/>
        <v>2920</v>
      </c>
      <c r="K4698" t="str">
        <f t="shared" si="294"/>
        <v>2920</v>
      </c>
      <c r="M4698" s="72"/>
      <c r="O4698" s="96">
        <f t="shared" si="295"/>
        <v>2920</v>
      </c>
      <c r="T4698" s="110"/>
    </row>
    <row r="4699" spans="3:20" x14ac:dyDescent="0.2">
      <c r="C4699" t="str">
        <f t="shared" si="292"/>
        <v>2921</v>
      </c>
      <c r="D4699" s="73"/>
      <c r="E4699" s="72"/>
      <c r="F4699" s="101"/>
      <c r="G4699" s="96">
        <f t="shared" si="293"/>
        <v>2921</v>
      </c>
      <c r="K4699" t="str">
        <f t="shared" si="294"/>
        <v>2921</v>
      </c>
      <c r="M4699" s="72"/>
      <c r="O4699" s="96">
        <f t="shared" si="295"/>
        <v>2921</v>
      </c>
      <c r="T4699" s="110"/>
    </row>
    <row r="4700" spans="3:20" x14ac:dyDescent="0.2">
      <c r="C4700" t="str">
        <f t="shared" si="292"/>
        <v>2922</v>
      </c>
      <c r="D4700" s="73"/>
      <c r="E4700" s="72"/>
      <c r="F4700" s="101"/>
      <c r="G4700" s="96">
        <f t="shared" si="293"/>
        <v>2922</v>
      </c>
      <c r="K4700" t="str">
        <f t="shared" si="294"/>
        <v>2922</v>
      </c>
      <c r="M4700" s="72"/>
      <c r="O4700" s="96">
        <f t="shared" si="295"/>
        <v>2922</v>
      </c>
      <c r="T4700" s="110"/>
    </row>
    <row r="4701" spans="3:20" x14ac:dyDescent="0.2">
      <c r="C4701" t="str">
        <f t="shared" si="292"/>
        <v>2923</v>
      </c>
      <c r="D4701" s="73"/>
      <c r="E4701" s="72"/>
      <c r="F4701" s="101"/>
      <c r="G4701" s="96">
        <f t="shared" si="293"/>
        <v>2923</v>
      </c>
      <c r="K4701" t="str">
        <f t="shared" si="294"/>
        <v>2923</v>
      </c>
      <c r="M4701" s="72"/>
      <c r="O4701" s="96">
        <f t="shared" si="295"/>
        <v>2923</v>
      </c>
      <c r="T4701" s="110"/>
    </row>
    <row r="4702" spans="3:20" x14ac:dyDescent="0.2">
      <c r="C4702" t="str">
        <f t="shared" si="292"/>
        <v>2924</v>
      </c>
      <c r="D4702" s="73"/>
      <c r="E4702" s="72"/>
      <c r="F4702" s="101"/>
      <c r="G4702" s="96">
        <f t="shared" si="293"/>
        <v>2924</v>
      </c>
      <c r="K4702" t="str">
        <f t="shared" si="294"/>
        <v>2924</v>
      </c>
      <c r="M4702" s="72"/>
      <c r="O4702" s="96">
        <f t="shared" si="295"/>
        <v>2924</v>
      </c>
      <c r="T4702" s="110"/>
    </row>
    <row r="4703" spans="3:20" x14ac:dyDescent="0.2">
      <c r="C4703" t="str">
        <f t="shared" si="292"/>
        <v>2925</v>
      </c>
      <c r="D4703" s="73"/>
      <c r="E4703" s="72"/>
      <c r="F4703" s="101"/>
      <c r="G4703" s="96">
        <f t="shared" si="293"/>
        <v>2925</v>
      </c>
      <c r="K4703" t="str">
        <f t="shared" si="294"/>
        <v>2925</v>
      </c>
      <c r="M4703" s="72"/>
      <c r="O4703" s="96">
        <f t="shared" si="295"/>
        <v>2925</v>
      </c>
      <c r="T4703" s="110"/>
    </row>
    <row r="4704" spans="3:20" x14ac:dyDescent="0.2">
      <c r="C4704" t="str">
        <f t="shared" si="292"/>
        <v>2926</v>
      </c>
      <c r="D4704" s="73"/>
      <c r="E4704" s="72"/>
      <c r="F4704" s="101"/>
      <c r="G4704" s="96">
        <f t="shared" si="293"/>
        <v>2926</v>
      </c>
      <c r="K4704" t="str">
        <f t="shared" si="294"/>
        <v>2926</v>
      </c>
      <c r="M4704" s="72"/>
      <c r="O4704" s="96">
        <f t="shared" si="295"/>
        <v>2926</v>
      </c>
      <c r="T4704" s="110"/>
    </row>
    <row r="4705" spans="3:20" x14ac:dyDescent="0.2">
      <c r="C4705" t="str">
        <f t="shared" si="292"/>
        <v>2927</v>
      </c>
      <c r="D4705" s="73"/>
      <c r="E4705" s="72"/>
      <c r="F4705" s="101"/>
      <c r="G4705" s="96">
        <f t="shared" si="293"/>
        <v>2927</v>
      </c>
      <c r="K4705" t="str">
        <f t="shared" si="294"/>
        <v>2927</v>
      </c>
      <c r="M4705" s="72"/>
      <c r="O4705" s="96">
        <f t="shared" si="295"/>
        <v>2927</v>
      </c>
      <c r="T4705" s="110"/>
    </row>
    <row r="4706" spans="3:20" x14ac:dyDescent="0.2">
      <c r="C4706" t="str">
        <f t="shared" si="292"/>
        <v>2928</v>
      </c>
      <c r="D4706" s="73"/>
      <c r="E4706" s="72"/>
      <c r="F4706" s="101"/>
      <c r="G4706" s="96">
        <f t="shared" si="293"/>
        <v>2928</v>
      </c>
      <c r="K4706" t="str">
        <f t="shared" si="294"/>
        <v>2928</v>
      </c>
      <c r="M4706" s="72"/>
      <c r="O4706" s="96">
        <f t="shared" si="295"/>
        <v>2928</v>
      </c>
      <c r="T4706" s="110"/>
    </row>
    <row r="4707" spans="3:20" x14ac:dyDescent="0.2">
      <c r="C4707" t="str">
        <f t="shared" si="292"/>
        <v>2929</v>
      </c>
      <c r="D4707" s="73"/>
      <c r="E4707" s="72"/>
      <c r="F4707" s="101"/>
      <c r="G4707" s="96">
        <f t="shared" si="293"/>
        <v>2929</v>
      </c>
      <c r="K4707" t="str">
        <f t="shared" si="294"/>
        <v>2929</v>
      </c>
      <c r="M4707" s="72"/>
      <c r="O4707" s="96">
        <f t="shared" si="295"/>
        <v>2929</v>
      </c>
      <c r="T4707" s="83"/>
    </row>
    <row r="4708" spans="3:20" x14ac:dyDescent="0.2">
      <c r="C4708" t="str">
        <f t="shared" si="292"/>
        <v>2930</v>
      </c>
      <c r="D4708" s="73"/>
      <c r="E4708" s="72"/>
      <c r="F4708" s="101"/>
      <c r="G4708" s="96">
        <f t="shared" si="293"/>
        <v>2930</v>
      </c>
      <c r="K4708" t="str">
        <f t="shared" si="294"/>
        <v>2930</v>
      </c>
      <c r="M4708" s="72"/>
      <c r="O4708" s="96">
        <f t="shared" si="295"/>
        <v>2930</v>
      </c>
      <c r="T4708" s="110"/>
    </row>
    <row r="4709" spans="3:20" x14ac:dyDescent="0.2">
      <c r="C4709" t="str">
        <f t="shared" si="292"/>
        <v>2931</v>
      </c>
      <c r="D4709" s="73"/>
      <c r="E4709" s="72"/>
      <c r="F4709" s="101"/>
      <c r="G4709" s="96">
        <f t="shared" si="293"/>
        <v>2931</v>
      </c>
      <c r="K4709" t="str">
        <f t="shared" si="294"/>
        <v>2931</v>
      </c>
      <c r="M4709" s="72"/>
      <c r="O4709" s="96">
        <f t="shared" si="295"/>
        <v>2931</v>
      </c>
      <c r="T4709" s="110"/>
    </row>
    <row r="4710" spans="3:20" x14ac:dyDescent="0.2">
      <c r="C4710" t="str">
        <f t="shared" si="292"/>
        <v>2932</v>
      </c>
      <c r="D4710" s="73"/>
      <c r="E4710" s="72"/>
      <c r="F4710" s="101"/>
      <c r="G4710" s="96">
        <f t="shared" si="293"/>
        <v>2932</v>
      </c>
      <c r="K4710" t="str">
        <f t="shared" si="294"/>
        <v>2932</v>
      </c>
      <c r="M4710" s="72"/>
      <c r="O4710" s="96">
        <f t="shared" si="295"/>
        <v>2932</v>
      </c>
      <c r="T4710" s="110"/>
    </row>
    <row r="4711" spans="3:20" x14ac:dyDescent="0.2">
      <c r="C4711" t="str">
        <f t="shared" si="292"/>
        <v>2933</v>
      </c>
      <c r="D4711" s="73"/>
      <c r="E4711" s="72"/>
      <c r="F4711" s="101"/>
      <c r="G4711" s="96">
        <f t="shared" si="293"/>
        <v>2933</v>
      </c>
      <c r="K4711" t="str">
        <f t="shared" si="294"/>
        <v>2933</v>
      </c>
      <c r="M4711" s="72"/>
      <c r="O4711" s="96">
        <f t="shared" si="295"/>
        <v>2933</v>
      </c>
      <c r="T4711" s="110"/>
    </row>
    <row r="4712" spans="3:20" x14ac:dyDescent="0.2">
      <c r="C4712" t="str">
        <f t="shared" si="292"/>
        <v>2934</v>
      </c>
      <c r="D4712" s="73"/>
      <c r="E4712" s="72"/>
      <c r="F4712" s="101"/>
      <c r="G4712" s="96">
        <f t="shared" si="293"/>
        <v>2934</v>
      </c>
      <c r="K4712" t="str">
        <f t="shared" si="294"/>
        <v>2934</v>
      </c>
      <c r="M4712" s="72"/>
      <c r="O4712" s="96">
        <f t="shared" si="295"/>
        <v>2934</v>
      </c>
      <c r="T4712" s="110"/>
    </row>
    <row r="4713" spans="3:20" x14ac:dyDescent="0.2">
      <c r="C4713" t="str">
        <f t="shared" si="292"/>
        <v>2935</v>
      </c>
      <c r="D4713" s="73"/>
      <c r="E4713" s="72"/>
      <c r="F4713" s="101"/>
      <c r="G4713" s="96">
        <f t="shared" si="293"/>
        <v>2935</v>
      </c>
      <c r="K4713" t="str">
        <f t="shared" si="294"/>
        <v>2935</v>
      </c>
      <c r="M4713" s="72"/>
      <c r="O4713" s="96">
        <f t="shared" si="295"/>
        <v>2935</v>
      </c>
      <c r="T4713" s="110"/>
    </row>
    <row r="4714" spans="3:20" x14ac:dyDescent="0.2">
      <c r="C4714" t="str">
        <f t="shared" si="292"/>
        <v>2936</v>
      </c>
      <c r="D4714" s="73"/>
      <c r="E4714" s="72"/>
      <c r="F4714" s="101"/>
      <c r="G4714" s="96">
        <f t="shared" si="293"/>
        <v>2936</v>
      </c>
      <c r="K4714" t="str">
        <f t="shared" si="294"/>
        <v>2936</v>
      </c>
      <c r="M4714" s="72"/>
      <c r="O4714" s="96">
        <f t="shared" si="295"/>
        <v>2936</v>
      </c>
      <c r="T4714" s="110"/>
    </row>
    <row r="4715" spans="3:20" x14ac:dyDescent="0.2">
      <c r="C4715" t="str">
        <f t="shared" si="292"/>
        <v>2937</v>
      </c>
      <c r="D4715" s="73"/>
      <c r="E4715" s="72"/>
      <c r="F4715" s="101"/>
      <c r="G4715" s="96">
        <f t="shared" si="293"/>
        <v>2937</v>
      </c>
      <c r="K4715" t="str">
        <f t="shared" si="294"/>
        <v>2937</v>
      </c>
      <c r="M4715" s="72"/>
      <c r="O4715" s="96">
        <f t="shared" si="295"/>
        <v>2937</v>
      </c>
      <c r="T4715" s="110"/>
    </row>
    <row r="4716" spans="3:20" x14ac:dyDescent="0.2">
      <c r="C4716" t="str">
        <f t="shared" si="292"/>
        <v>2938</v>
      </c>
      <c r="D4716" s="73"/>
      <c r="E4716" s="72"/>
      <c r="F4716" s="101"/>
      <c r="G4716" s="96">
        <f t="shared" si="293"/>
        <v>2938</v>
      </c>
      <c r="K4716" t="str">
        <f t="shared" si="294"/>
        <v>2938</v>
      </c>
      <c r="M4716" s="72"/>
      <c r="O4716" s="96">
        <f t="shared" si="295"/>
        <v>2938</v>
      </c>
      <c r="T4716" s="110"/>
    </row>
    <row r="4717" spans="3:20" x14ac:dyDescent="0.2">
      <c r="C4717" t="str">
        <f t="shared" si="292"/>
        <v>2939</v>
      </c>
      <c r="D4717" s="73"/>
      <c r="E4717" s="72"/>
      <c r="F4717" s="101"/>
      <c r="G4717" s="96">
        <f t="shared" si="293"/>
        <v>2939</v>
      </c>
      <c r="K4717" t="str">
        <f t="shared" si="294"/>
        <v>2939</v>
      </c>
      <c r="M4717" s="72"/>
      <c r="O4717" s="96">
        <f t="shared" si="295"/>
        <v>2939</v>
      </c>
      <c r="T4717" s="110"/>
    </row>
    <row r="4718" spans="3:20" x14ac:dyDescent="0.2">
      <c r="C4718" t="str">
        <f t="shared" si="292"/>
        <v>2940</v>
      </c>
      <c r="D4718" s="73"/>
      <c r="E4718" s="72"/>
      <c r="F4718" s="101"/>
      <c r="G4718" s="96">
        <f t="shared" si="293"/>
        <v>2940</v>
      </c>
      <c r="K4718" t="str">
        <f t="shared" si="294"/>
        <v>2940</v>
      </c>
      <c r="M4718" s="72"/>
      <c r="O4718" s="96">
        <f t="shared" si="295"/>
        <v>2940</v>
      </c>
      <c r="T4718" s="110"/>
    </row>
    <row r="4719" spans="3:20" x14ac:dyDescent="0.2">
      <c r="C4719" t="str">
        <f t="shared" si="292"/>
        <v>2941</v>
      </c>
      <c r="D4719" s="73"/>
      <c r="E4719" s="72"/>
      <c r="F4719" s="101"/>
      <c r="G4719" s="96">
        <f t="shared" si="293"/>
        <v>2941</v>
      </c>
      <c r="K4719" t="str">
        <f t="shared" si="294"/>
        <v>2941</v>
      </c>
      <c r="M4719" s="72"/>
      <c r="O4719" s="96">
        <f t="shared" si="295"/>
        <v>2941</v>
      </c>
      <c r="T4719" s="110"/>
    </row>
    <row r="4720" spans="3:20" x14ac:dyDescent="0.2">
      <c r="C4720" t="str">
        <f t="shared" si="292"/>
        <v>2942</v>
      </c>
      <c r="D4720" s="73"/>
      <c r="E4720" s="72"/>
      <c r="F4720" s="101"/>
      <c r="G4720" s="96">
        <f t="shared" si="293"/>
        <v>2942</v>
      </c>
      <c r="K4720" t="str">
        <f t="shared" si="294"/>
        <v>2942</v>
      </c>
      <c r="M4720" s="72"/>
      <c r="O4720" s="96">
        <f t="shared" si="295"/>
        <v>2942</v>
      </c>
      <c r="T4720" s="110"/>
    </row>
    <row r="4721" spans="3:20" x14ac:dyDescent="0.2">
      <c r="C4721" t="str">
        <f t="shared" si="292"/>
        <v>2943</v>
      </c>
      <c r="D4721" s="73"/>
      <c r="E4721" s="72"/>
      <c r="F4721" s="101"/>
      <c r="G4721" s="96">
        <f t="shared" si="293"/>
        <v>2943</v>
      </c>
      <c r="K4721" t="str">
        <f t="shared" si="294"/>
        <v>2943</v>
      </c>
      <c r="M4721" s="72"/>
      <c r="O4721" s="96">
        <f t="shared" si="295"/>
        <v>2943</v>
      </c>
      <c r="T4721" s="110"/>
    </row>
    <row r="4722" spans="3:20" x14ac:dyDescent="0.2">
      <c r="C4722" t="str">
        <f t="shared" si="292"/>
        <v>2944</v>
      </c>
      <c r="D4722" s="73"/>
      <c r="E4722" s="72"/>
      <c r="F4722" s="101"/>
      <c r="G4722" s="96">
        <f t="shared" si="293"/>
        <v>2944</v>
      </c>
      <c r="K4722" t="str">
        <f t="shared" si="294"/>
        <v>2944</v>
      </c>
      <c r="M4722" s="72"/>
      <c r="O4722" s="96">
        <f t="shared" si="295"/>
        <v>2944</v>
      </c>
      <c r="T4722" s="110"/>
    </row>
    <row r="4723" spans="3:20" x14ac:dyDescent="0.2">
      <c r="C4723" t="str">
        <f t="shared" si="292"/>
        <v>2945</v>
      </c>
      <c r="D4723" s="73"/>
      <c r="E4723" s="72"/>
      <c r="F4723" s="101"/>
      <c r="G4723" s="96">
        <f t="shared" si="293"/>
        <v>2945</v>
      </c>
      <c r="K4723" t="str">
        <f t="shared" si="294"/>
        <v>2945</v>
      </c>
      <c r="M4723" s="72"/>
      <c r="O4723" s="96">
        <f t="shared" si="295"/>
        <v>2945</v>
      </c>
      <c r="T4723" s="110"/>
    </row>
    <row r="4724" spans="3:20" x14ac:dyDescent="0.2">
      <c r="C4724" t="str">
        <f t="shared" si="292"/>
        <v>2946</v>
      </c>
      <c r="D4724" s="73"/>
      <c r="E4724" s="72"/>
      <c r="F4724" s="101"/>
      <c r="G4724" s="96">
        <f t="shared" si="293"/>
        <v>2946</v>
      </c>
      <c r="K4724" t="str">
        <f t="shared" si="294"/>
        <v>2946</v>
      </c>
      <c r="M4724" s="72"/>
      <c r="O4724" s="96">
        <f t="shared" si="295"/>
        <v>2946</v>
      </c>
      <c r="T4724" s="110"/>
    </row>
    <row r="4725" spans="3:20" x14ac:dyDescent="0.2">
      <c r="C4725" t="str">
        <f t="shared" si="292"/>
        <v>2947</v>
      </c>
      <c r="D4725" s="73"/>
      <c r="E4725" s="72"/>
      <c r="F4725" s="101"/>
      <c r="G4725" s="96">
        <f t="shared" si="293"/>
        <v>2947</v>
      </c>
      <c r="K4725" t="str">
        <f t="shared" si="294"/>
        <v>2947</v>
      </c>
      <c r="M4725" s="72"/>
      <c r="O4725" s="96">
        <f t="shared" si="295"/>
        <v>2947</v>
      </c>
      <c r="T4725" s="110"/>
    </row>
    <row r="4726" spans="3:20" x14ac:dyDescent="0.2">
      <c r="C4726" t="str">
        <f t="shared" si="292"/>
        <v>2948</v>
      </c>
      <c r="D4726" s="73"/>
      <c r="E4726" s="72"/>
      <c r="F4726" s="101"/>
      <c r="G4726" s="96">
        <f t="shared" si="293"/>
        <v>2948</v>
      </c>
      <c r="K4726" t="str">
        <f t="shared" si="294"/>
        <v>2948</v>
      </c>
      <c r="M4726" s="72"/>
      <c r="O4726" s="96">
        <f t="shared" si="295"/>
        <v>2948</v>
      </c>
      <c r="T4726" s="110"/>
    </row>
    <row r="4727" spans="3:20" x14ac:dyDescent="0.2">
      <c r="C4727" t="str">
        <f t="shared" si="292"/>
        <v>2949</v>
      </c>
      <c r="D4727" s="73"/>
      <c r="E4727" s="72"/>
      <c r="F4727" s="101"/>
      <c r="G4727" s="96">
        <f t="shared" si="293"/>
        <v>2949</v>
      </c>
      <c r="K4727" t="str">
        <f t="shared" si="294"/>
        <v>2949</v>
      </c>
      <c r="M4727" s="72"/>
      <c r="O4727" s="96">
        <f t="shared" si="295"/>
        <v>2949</v>
      </c>
      <c r="T4727" s="110"/>
    </row>
    <row r="4728" spans="3:20" x14ac:dyDescent="0.2">
      <c r="C4728" t="str">
        <f t="shared" si="292"/>
        <v>2950</v>
      </c>
      <c r="D4728" s="73"/>
      <c r="E4728" s="72"/>
      <c r="F4728" s="101"/>
      <c r="G4728" s="96">
        <f t="shared" si="293"/>
        <v>2950</v>
      </c>
      <c r="K4728" t="str">
        <f t="shared" si="294"/>
        <v>2950</v>
      </c>
      <c r="M4728" s="72"/>
      <c r="O4728" s="96">
        <f t="shared" si="295"/>
        <v>2950</v>
      </c>
      <c r="T4728" s="110"/>
    </row>
    <row r="4729" spans="3:20" x14ac:dyDescent="0.2">
      <c r="C4729" t="str">
        <f t="shared" si="292"/>
        <v>2951</v>
      </c>
      <c r="D4729" s="73"/>
      <c r="E4729" s="72"/>
      <c r="F4729" s="101"/>
      <c r="G4729" s="96">
        <f t="shared" si="293"/>
        <v>2951</v>
      </c>
      <c r="K4729" t="str">
        <f t="shared" si="294"/>
        <v>2951</v>
      </c>
      <c r="M4729" s="72"/>
      <c r="O4729" s="96">
        <f t="shared" si="295"/>
        <v>2951</v>
      </c>
      <c r="T4729" s="110"/>
    </row>
    <row r="4730" spans="3:20" x14ac:dyDescent="0.2">
      <c r="C4730" t="str">
        <f t="shared" si="292"/>
        <v>2952</v>
      </c>
      <c r="D4730" s="73"/>
      <c r="E4730" s="72"/>
      <c r="F4730" s="101"/>
      <c r="G4730" s="96">
        <f t="shared" si="293"/>
        <v>2952</v>
      </c>
      <c r="K4730" t="str">
        <f t="shared" si="294"/>
        <v>2952</v>
      </c>
      <c r="M4730" s="72"/>
      <c r="O4730" s="96">
        <f t="shared" si="295"/>
        <v>2952</v>
      </c>
      <c r="T4730" s="110"/>
    </row>
    <row r="4731" spans="3:20" x14ac:dyDescent="0.2">
      <c r="C4731" t="str">
        <f t="shared" si="292"/>
        <v>2953</v>
      </c>
      <c r="D4731" s="73"/>
      <c r="E4731" s="72"/>
      <c r="F4731" s="101"/>
      <c r="G4731" s="96">
        <f t="shared" si="293"/>
        <v>2953</v>
      </c>
      <c r="K4731" t="str">
        <f t="shared" si="294"/>
        <v>2953</v>
      </c>
      <c r="M4731" s="72"/>
      <c r="O4731" s="96">
        <f t="shared" si="295"/>
        <v>2953</v>
      </c>
      <c r="T4731" s="83"/>
    </row>
    <row r="4732" spans="3:20" x14ac:dyDescent="0.2">
      <c r="C4732" t="str">
        <f t="shared" si="292"/>
        <v>2954</v>
      </c>
      <c r="D4732" s="73"/>
      <c r="E4732" s="72"/>
      <c r="F4732" s="101"/>
      <c r="G4732" s="96">
        <f t="shared" si="293"/>
        <v>2954</v>
      </c>
      <c r="K4732" t="str">
        <f t="shared" si="294"/>
        <v>2954</v>
      </c>
      <c r="M4732" s="72"/>
      <c r="O4732" s="96">
        <f t="shared" si="295"/>
        <v>2954</v>
      </c>
      <c r="T4732" s="83"/>
    </row>
    <row r="4733" spans="3:20" x14ac:dyDescent="0.2">
      <c r="C4733" t="str">
        <f t="shared" si="292"/>
        <v>2955</v>
      </c>
      <c r="D4733" s="73"/>
      <c r="E4733" s="72"/>
      <c r="F4733" s="101"/>
      <c r="G4733" s="96">
        <f t="shared" si="293"/>
        <v>2955</v>
      </c>
      <c r="K4733" t="str">
        <f t="shared" si="294"/>
        <v>2955</v>
      </c>
      <c r="M4733" s="72"/>
      <c r="O4733" s="96">
        <f t="shared" si="295"/>
        <v>2955</v>
      </c>
      <c r="T4733" s="83"/>
    </row>
    <row r="4734" spans="3:20" x14ac:dyDescent="0.2">
      <c r="C4734" t="str">
        <f t="shared" si="292"/>
        <v>2956</v>
      </c>
      <c r="D4734" s="73"/>
      <c r="E4734" s="72"/>
      <c r="F4734" s="101"/>
      <c r="G4734" s="96">
        <f t="shared" si="293"/>
        <v>2956</v>
      </c>
      <c r="K4734" t="str">
        <f t="shared" si="294"/>
        <v>2956</v>
      </c>
      <c r="M4734" s="72"/>
      <c r="O4734" s="96">
        <f t="shared" si="295"/>
        <v>2956</v>
      </c>
      <c r="T4734" s="83"/>
    </row>
    <row r="4735" spans="3:20" x14ac:dyDescent="0.2">
      <c r="C4735" t="str">
        <f t="shared" si="292"/>
        <v>2957</v>
      </c>
      <c r="D4735" s="73"/>
      <c r="E4735" s="72"/>
      <c r="F4735" s="101"/>
      <c r="G4735" s="96">
        <f t="shared" si="293"/>
        <v>2957</v>
      </c>
      <c r="K4735" t="str">
        <f t="shared" si="294"/>
        <v>2957</v>
      </c>
      <c r="M4735" s="72"/>
      <c r="O4735" s="96">
        <f t="shared" si="295"/>
        <v>2957</v>
      </c>
      <c r="T4735" s="110"/>
    </row>
    <row r="4736" spans="3:20" x14ac:dyDescent="0.2">
      <c r="C4736" t="str">
        <f t="shared" si="292"/>
        <v>2958</v>
      </c>
      <c r="D4736" s="73"/>
      <c r="E4736" s="72"/>
      <c r="F4736" s="101"/>
      <c r="G4736" s="96">
        <f t="shared" si="293"/>
        <v>2958</v>
      </c>
      <c r="K4736" t="str">
        <f t="shared" si="294"/>
        <v>2958</v>
      </c>
      <c r="M4736" s="72"/>
      <c r="O4736" s="96">
        <f t="shared" si="295"/>
        <v>2958</v>
      </c>
      <c r="T4736" s="110"/>
    </row>
    <row r="4737" spans="3:20" x14ac:dyDescent="0.2">
      <c r="C4737" t="str">
        <f t="shared" si="292"/>
        <v>2959</v>
      </c>
      <c r="D4737" s="73"/>
      <c r="E4737" s="72"/>
      <c r="F4737" s="101"/>
      <c r="G4737" s="96">
        <f t="shared" si="293"/>
        <v>2959</v>
      </c>
      <c r="K4737" t="str">
        <f t="shared" si="294"/>
        <v>2959</v>
      </c>
      <c r="M4737" s="72"/>
      <c r="O4737" s="96">
        <f t="shared" si="295"/>
        <v>2959</v>
      </c>
      <c r="T4737" s="110"/>
    </row>
    <row r="4738" spans="3:20" x14ac:dyDescent="0.2">
      <c r="C4738" t="str">
        <f t="shared" si="292"/>
        <v>2960</v>
      </c>
      <c r="D4738" s="73"/>
      <c r="E4738" s="72"/>
      <c r="F4738" s="101"/>
      <c r="G4738" s="96">
        <f t="shared" si="293"/>
        <v>2960</v>
      </c>
      <c r="K4738" t="str">
        <f t="shared" si="294"/>
        <v>2960</v>
      </c>
      <c r="M4738" s="72"/>
      <c r="O4738" s="96">
        <f t="shared" si="295"/>
        <v>2960</v>
      </c>
    </row>
    <row r="4739" spans="3:20" x14ac:dyDescent="0.2">
      <c r="C4739" t="str">
        <f t="shared" ref="C4739:C4802" si="296">D4739&amp;G4739</f>
        <v>2961</v>
      </c>
      <c r="D4739" s="73"/>
      <c r="E4739" s="72"/>
      <c r="F4739" s="101"/>
      <c r="G4739" s="96">
        <f t="shared" ref="G4739:G4802" si="297">IF(D4739&lt;&gt;D4738,1,G4738+1)</f>
        <v>2961</v>
      </c>
      <c r="K4739" t="str">
        <f t="shared" ref="K4739:K4802" si="298">L4739&amp;O4739</f>
        <v>2961</v>
      </c>
      <c r="M4739" s="72"/>
      <c r="O4739" s="96">
        <f t="shared" ref="O4739:O4802" si="299">IF(L4739&lt;&gt;L4738,1,O4738+1)</f>
        <v>2961</v>
      </c>
      <c r="T4739" s="110"/>
    </row>
    <row r="4740" spans="3:20" x14ac:dyDescent="0.2">
      <c r="C4740" t="str">
        <f t="shared" si="296"/>
        <v>2962</v>
      </c>
      <c r="D4740" s="73"/>
      <c r="E4740" s="72"/>
      <c r="F4740" s="101"/>
      <c r="G4740" s="96">
        <f t="shared" si="297"/>
        <v>2962</v>
      </c>
      <c r="K4740" t="str">
        <f t="shared" si="298"/>
        <v>2962</v>
      </c>
      <c r="M4740" s="72"/>
      <c r="O4740" s="96">
        <f t="shared" si="299"/>
        <v>2962</v>
      </c>
    </row>
    <row r="4741" spans="3:20" x14ac:dyDescent="0.2">
      <c r="C4741" t="str">
        <f t="shared" si="296"/>
        <v>2963</v>
      </c>
      <c r="D4741" s="73"/>
      <c r="E4741" s="72"/>
      <c r="F4741" s="101"/>
      <c r="G4741" s="96">
        <f t="shared" si="297"/>
        <v>2963</v>
      </c>
      <c r="K4741" t="str">
        <f t="shared" si="298"/>
        <v>2963</v>
      </c>
      <c r="M4741" s="72"/>
      <c r="O4741" s="96">
        <f t="shared" si="299"/>
        <v>2963</v>
      </c>
      <c r="T4741" s="110"/>
    </row>
    <row r="4742" spans="3:20" x14ac:dyDescent="0.2">
      <c r="C4742" t="str">
        <f t="shared" si="296"/>
        <v>2964</v>
      </c>
      <c r="D4742" s="73"/>
      <c r="E4742" s="72"/>
      <c r="F4742" s="101"/>
      <c r="G4742" s="96">
        <f t="shared" si="297"/>
        <v>2964</v>
      </c>
      <c r="K4742" t="str">
        <f t="shared" si="298"/>
        <v>2964</v>
      </c>
      <c r="M4742" s="72"/>
      <c r="O4742" s="96">
        <f t="shared" si="299"/>
        <v>2964</v>
      </c>
    </row>
    <row r="4743" spans="3:20" x14ac:dyDescent="0.2">
      <c r="C4743" t="str">
        <f t="shared" si="296"/>
        <v>2965</v>
      </c>
      <c r="D4743" s="73"/>
      <c r="E4743" s="72"/>
      <c r="F4743" s="101"/>
      <c r="G4743" s="96">
        <f t="shared" si="297"/>
        <v>2965</v>
      </c>
      <c r="K4743" t="str">
        <f t="shared" si="298"/>
        <v>2965</v>
      </c>
      <c r="M4743" s="72"/>
      <c r="O4743" s="96">
        <f t="shared" si="299"/>
        <v>2965</v>
      </c>
      <c r="T4743" s="110"/>
    </row>
    <row r="4744" spans="3:20" x14ac:dyDescent="0.2">
      <c r="C4744" t="str">
        <f t="shared" si="296"/>
        <v>2966</v>
      </c>
      <c r="D4744" s="73"/>
      <c r="E4744" s="72"/>
      <c r="F4744" s="101"/>
      <c r="G4744" s="96">
        <f t="shared" si="297"/>
        <v>2966</v>
      </c>
      <c r="K4744" t="str">
        <f t="shared" si="298"/>
        <v>2966</v>
      </c>
      <c r="M4744" s="72"/>
      <c r="O4744" s="96">
        <f t="shared" si="299"/>
        <v>2966</v>
      </c>
    </row>
    <row r="4745" spans="3:20" x14ac:dyDescent="0.2">
      <c r="C4745" t="str">
        <f t="shared" si="296"/>
        <v>2967</v>
      </c>
      <c r="D4745" s="73"/>
      <c r="E4745" s="72"/>
      <c r="F4745" s="101"/>
      <c r="G4745" s="96">
        <f t="shared" si="297"/>
        <v>2967</v>
      </c>
      <c r="K4745" t="str">
        <f t="shared" si="298"/>
        <v>2967</v>
      </c>
      <c r="M4745" s="72"/>
      <c r="O4745" s="96">
        <f t="shared" si="299"/>
        <v>2967</v>
      </c>
      <c r="T4745" s="110"/>
    </row>
    <row r="4746" spans="3:20" x14ac:dyDescent="0.2">
      <c r="C4746" t="str">
        <f t="shared" si="296"/>
        <v>2968</v>
      </c>
      <c r="D4746" s="73"/>
      <c r="E4746" s="72"/>
      <c r="F4746" s="101"/>
      <c r="G4746" s="96">
        <f t="shared" si="297"/>
        <v>2968</v>
      </c>
      <c r="K4746" t="str">
        <f t="shared" si="298"/>
        <v>2968</v>
      </c>
      <c r="M4746" s="72"/>
      <c r="O4746" s="96">
        <f t="shared" si="299"/>
        <v>2968</v>
      </c>
      <c r="T4746" s="110"/>
    </row>
    <row r="4747" spans="3:20" x14ac:dyDescent="0.2">
      <c r="C4747" t="str">
        <f t="shared" si="296"/>
        <v>2969</v>
      </c>
      <c r="D4747" s="73"/>
      <c r="E4747" s="72"/>
      <c r="F4747" s="101"/>
      <c r="G4747" s="96">
        <f t="shared" si="297"/>
        <v>2969</v>
      </c>
      <c r="K4747" t="str">
        <f t="shared" si="298"/>
        <v>2969</v>
      </c>
      <c r="M4747" s="72"/>
      <c r="O4747" s="96">
        <f t="shared" si="299"/>
        <v>2969</v>
      </c>
      <c r="T4747" s="110"/>
    </row>
    <row r="4748" spans="3:20" x14ac:dyDescent="0.2">
      <c r="C4748" t="str">
        <f t="shared" si="296"/>
        <v>2970</v>
      </c>
      <c r="D4748" s="73"/>
      <c r="E4748" s="72"/>
      <c r="F4748" s="101"/>
      <c r="G4748" s="96">
        <f t="shared" si="297"/>
        <v>2970</v>
      </c>
      <c r="K4748" t="str">
        <f t="shared" si="298"/>
        <v>2970</v>
      </c>
      <c r="M4748" s="72"/>
      <c r="O4748" s="96">
        <f t="shared" si="299"/>
        <v>2970</v>
      </c>
      <c r="T4748" s="110"/>
    </row>
    <row r="4749" spans="3:20" x14ac:dyDescent="0.2">
      <c r="C4749" t="str">
        <f t="shared" si="296"/>
        <v>2971</v>
      </c>
      <c r="D4749" s="73"/>
      <c r="E4749" s="72"/>
      <c r="F4749" s="101"/>
      <c r="G4749" s="96">
        <f t="shared" si="297"/>
        <v>2971</v>
      </c>
      <c r="K4749" t="str">
        <f t="shared" si="298"/>
        <v>2971</v>
      </c>
      <c r="M4749" s="72"/>
      <c r="O4749" s="96">
        <f t="shared" si="299"/>
        <v>2971</v>
      </c>
      <c r="T4749" s="110"/>
    </row>
    <row r="4750" spans="3:20" x14ac:dyDescent="0.2">
      <c r="C4750" t="str">
        <f t="shared" si="296"/>
        <v>2972</v>
      </c>
      <c r="D4750" s="73"/>
      <c r="E4750" s="72"/>
      <c r="F4750" s="101"/>
      <c r="G4750" s="96">
        <f t="shared" si="297"/>
        <v>2972</v>
      </c>
      <c r="K4750" t="str">
        <f t="shared" si="298"/>
        <v>2972</v>
      </c>
      <c r="M4750" s="72"/>
      <c r="O4750" s="96">
        <f t="shared" si="299"/>
        <v>2972</v>
      </c>
      <c r="T4750" s="110"/>
    </row>
    <row r="4751" spans="3:20" x14ac:dyDescent="0.2">
      <c r="C4751" t="str">
        <f t="shared" si="296"/>
        <v>2973</v>
      </c>
      <c r="D4751" s="73"/>
      <c r="E4751" s="72"/>
      <c r="F4751" s="101"/>
      <c r="G4751" s="96">
        <f t="shared" si="297"/>
        <v>2973</v>
      </c>
      <c r="K4751" t="str">
        <f t="shared" si="298"/>
        <v>2973</v>
      </c>
      <c r="M4751" s="72"/>
      <c r="O4751" s="96">
        <f t="shared" si="299"/>
        <v>2973</v>
      </c>
      <c r="T4751" s="110"/>
    </row>
    <row r="4752" spans="3:20" x14ac:dyDescent="0.2">
      <c r="C4752" t="str">
        <f t="shared" si="296"/>
        <v>2974</v>
      </c>
      <c r="D4752" s="73"/>
      <c r="E4752" s="72"/>
      <c r="F4752" s="101"/>
      <c r="G4752" s="96">
        <f t="shared" si="297"/>
        <v>2974</v>
      </c>
      <c r="K4752" t="str">
        <f t="shared" si="298"/>
        <v>2974</v>
      </c>
      <c r="M4752" s="72"/>
      <c r="O4752" s="96">
        <f t="shared" si="299"/>
        <v>2974</v>
      </c>
      <c r="T4752" s="110"/>
    </row>
    <row r="4753" spans="3:20" x14ac:dyDescent="0.2">
      <c r="C4753" t="str">
        <f t="shared" si="296"/>
        <v>2975</v>
      </c>
      <c r="D4753" s="73"/>
      <c r="E4753" s="72"/>
      <c r="F4753" s="101"/>
      <c r="G4753" s="96">
        <f t="shared" si="297"/>
        <v>2975</v>
      </c>
      <c r="K4753" t="str">
        <f t="shared" si="298"/>
        <v>2975</v>
      </c>
      <c r="M4753" s="72"/>
      <c r="O4753" s="96">
        <f t="shared" si="299"/>
        <v>2975</v>
      </c>
      <c r="T4753" s="110"/>
    </row>
    <row r="4754" spans="3:20" x14ac:dyDescent="0.2">
      <c r="C4754" t="str">
        <f t="shared" si="296"/>
        <v>2976</v>
      </c>
      <c r="D4754" s="73"/>
      <c r="E4754" s="72"/>
      <c r="F4754" s="101"/>
      <c r="G4754" s="96">
        <f t="shared" si="297"/>
        <v>2976</v>
      </c>
      <c r="K4754" t="str">
        <f t="shared" si="298"/>
        <v>2976</v>
      </c>
      <c r="M4754" s="72"/>
      <c r="O4754" s="96">
        <f t="shared" si="299"/>
        <v>2976</v>
      </c>
      <c r="T4754" s="110"/>
    </row>
    <row r="4755" spans="3:20" x14ac:dyDescent="0.2">
      <c r="C4755" t="str">
        <f t="shared" si="296"/>
        <v>2977</v>
      </c>
      <c r="D4755" s="73"/>
      <c r="E4755" s="72"/>
      <c r="F4755" s="101"/>
      <c r="G4755" s="96">
        <f t="shared" si="297"/>
        <v>2977</v>
      </c>
      <c r="K4755" t="str">
        <f t="shared" si="298"/>
        <v>2977</v>
      </c>
      <c r="M4755" s="72"/>
      <c r="O4755" s="96">
        <f t="shared" si="299"/>
        <v>2977</v>
      </c>
      <c r="T4755" s="110"/>
    </row>
    <row r="4756" spans="3:20" x14ac:dyDescent="0.2">
      <c r="C4756" t="str">
        <f t="shared" si="296"/>
        <v>2978</v>
      </c>
      <c r="D4756" s="73"/>
      <c r="E4756" s="72"/>
      <c r="F4756" s="101"/>
      <c r="G4756" s="96">
        <f t="shared" si="297"/>
        <v>2978</v>
      </c>
      <c r="K4756" t="str">
        <f t="shared" si="298"/>
        <v>2978</v>
      </c>
      <c r="M4756" s="72"/>
      <c r="O4756" s="96">
        <f t="shared" si="299"/>
        <v>2978</v>
      </c>
      <c r="T4756" s="110"/>
    </row>
    <row r="4757" spans="3:20" x14ac:dyDescent="0.2">
      <c r="C4757" t="str">
        <f t="shared" si="296"/>
        <v>2979</v>
      </c>
      <c r="D4757" s="73"/>
      <c r="E4757" s="72"/>
      <c r="F4757" s="101"/>
      <c r="G4757" s="96">
        <f t="shared" si="297"/>
        <v>2979</v>
      </c>
      <c r="K4757" t="str">
        <f t="shared" si="298"/>
        <v>2979</v>
      </c>
      <c r="M4757" s="72"/>
      <c r="O4757" s="96">
        <f t="shared" si="299"/>
        <v>2979</v>
      </c>
      <c r="T4757" s="110"/>
    </row>
    <row r="4758" spans="3:20" x14ac:dyDescent="0.2">
      <c r="C4758" t="str">
        <f t="shared" si="296"/>
        <v>2980</v>
      </c>
      <c r="D4758" s="73"/>
      <c r="E4758" s="72"/>
      <c r="F4758" s="101"/>
      <c r="G4758" s="96">
        <f t="shared" si="297"/>
        <v>2980</v>
      </c>
      <c r="K4758" t="str">
        <f t="shared" si="298"/>
        <v>2980</v>
      </c>
      <c r="M4758" s="72"/>
      <c r="O4758" s="96">
        <f t="shared" si="299"/>
        <v>2980</v>
      </c>
      <c r="T4758" s="110"/>
    </row>
    <row r="4759" spans="3:20" x14ac:dyDescent="0.2">
      <c r="C4759" t="str">
        <f t="shared" si="296"/>
        <v>2981</v>
      </c>
      <c r="D4759" s="73"/>
      <c r="E4759" s="72"/>
      <c r="F4759" s="101"/>
      <c r="G4759" s="96">
        <f t="shared" si="297"/>
        <v>2981</v>
      </c>
      <c r="K4759" t="str">
        <f t="shared" si="298"/>
        <v>2981</v>
      </c>
      <c r="M4759" s="72"/>
      <c r="O4759" s="96">
        <f t="shared" si="299"/>
        <v>2981</v>
      </c>
      <c r="T4759" s="110"/>
    </row>
    <row r="4760" spans="3:20" x14ac:dyDescent="0.2">
      <c r="C4760" t="str">
        <f t="shared" si="296"/>
        <v>2982</v>
      </c>
      <c r="D4760" s="73"/>
      <c r="E4760" s="72"/>
      <c r="F4760" s="101"/>
      <c r="G4760" s="96">
        <f t="shared" si="297"/>
        <v>2982</v>
      </c>
      <c r="K4760" t="str">
        <f t="shared" si="298"/>
        <v>2982</v>
      </c>
      <c r="M4760" s="72"/>
      <c r="O4760" s="96">
        <f t="shared" si="299"/>
        <v>2982</v>
      </c>
      <c r="T4760" s="110"/>
    </row>
    <row r="4761" spans="3:20" x14ac:dyDescent="0.2">
      <c r="C4761" t="str">
        <f t="shared" si="296"/>
        <v>2983</v>
      </c>
      <c r="D4761" s="73"/>
      <c r="E4761" s="72"/>
      <c r="F4761" s="101"/>
      <c r="G4761" s="96">
        <f t="shared" si="297"/>
        <v>2983</v>
      </c>
      <c r="K4761" t="str">
        <f t="shared" si="298"/>
        <v>2983</v>
      </c>
      <c r="M4761" s="72"/>
      <c r="O4761" s="96">
        <f t="shared" si="299"/>
        <v>2983</v>
      </c>
      <c r="T4761" s="110"/>
    </row>
    <row r="4762" spans="3:20" x14ac:dyDescent="0.2">
      <c r="C4762" t="str">
        <f t="shared" si="296"/>
        <v>2984</v>
      </c>
      <c r="D4762" s="73"/>
      <c r="E4762" s="72"/>
      <c r="F4762" s="101"/>
      <c r="G4762" s="96">
        <f t="shared" si="297"/>
        <v>2984</v>
      </c>
      <c r="K4762" t="str">
        <f t="shared" si="298"/>
        <v>2984</v>
      </c>
      <c r="M4762" s="72"/>
      <c r="O4762" s="96">
        <f t="shared" si="299"/>
        <v>2984</v>
      </c>
      <c r="T4762" s="110"/>
    </row>
    <row r="4763" spans="3:20" x14ac:dyDescent="0.2">
      <c r="C4763" t="str">
        <f t="shared" si="296"/>
        <v>2985</v>
      </c>
      <c r="D4763" s="73"/>
      <c r="E4763" s="72"/>
      <c r="F4763" s="101"/>
      <c r="G4763" s="96">
        <f t="shared" si="297"/>
        <v>2985</v>
      </c>
      <c r="K4763" t="str">
        <f t="shared" si="298"/>
        <v>2985</v>
      </c>
      <c r="M4763" s="72"/>
      <c r="O4763" s="96">
        <f t="shared" si="299"/>
        <v>2985</v>
      </c>
      <c r="T4763" s="110"/>
    </row>
    <row r="4764" spans="3:20" x14ac:dyDescent="0.2">
      <c r="C4764" t="str">
        <f t="shared" si="296"/>
        <v>2986</v>
      </c>
      <c r="D4764" s="73"/>
      <c r="E4764" s="72"/>
      <c r="F4764" s="101"/>
      <c r="G4764" s="96">
        <f t="shared" si="297"/>
        <v>2986</v>
      </c>
      <c r="K4764" t="str">
        <f t="shared" si="298"/>
        <v>2986</v>
      </c>
      <c r="M4764" s="72"/>
      <c r="O4764" s="96">
        <f t="shared" si="299"/>
        <v>2986</v>
      </c>
      <c r="T4764" s="110"/>
    </row>
    <row r="4765" spans="3:20" x14ac:dyDescent="0.2">
      <c r="C4765" t="str">
        <f t="shared" si="296"/>
        <v>2987</v>
      </c>
      <c r="D4765" s="73"/>
      <c r="E4765" s="72"/>
      <c r="F4765" s="101"/>
      <c r="G4765" s="96">
        <f t="shared" si="297"/>
        <v>2987</v>
      </c>
      <c r="K4765" t="str">
        <f t="shared" si="298"/>
        <v>2987</v>
      </c>
      <c r="M4765" s="72"/>
      <c r="O4765" s="96">
        <f t="shared" si="299"/>
        <v>2987</v>
      </c>
      <c r="T4765" s="110"/>
    </row>
    <row r="4766" spans="3:20" x14ac:dyDescent="0.2">
      <c r="C4766" t="str">
        <f t="shared" si="296"/>
        <v>2988</v>
      </c>
      <c r="D4766" s="73"/>
      <c r="E4766" s="72"/>
      <c r="F4766" s="101"/>
      <c r="G4766" s="96">
        <f t="shared" si="297"/>
        <v>2988</v>
      </c>
      <c r="K4766" t="str">
        <f t="shared" si="298"/>
        <v>2988</v>
      </c>
      <c r="M4766" s="72"/>
      <c r="O4766" s="96">
        <f t="shared" si="299"/>
        <v>2988</v>
      </c>
      <c r="T4766" s="110"/>
    </row>
    <row r="4767" spans="3:20" x14ac:dyDescent="0.2">
      <c r="C4767" t="str">
        <f t="shared" si="296"/>
        <v>2989</v>
      </c>
      <c r="D4767" s="73"/>
      <c r="E4767" s="72"/>
      <c r="F4767" s="101"/>
      <c r="G4767" s="96">
        <f t="shared" si="297"/>
        <v>2989</v>
      </c>
      <c r="K4767" t="str">
        <f t="shared" si="298"/>
        <v>2989</v>
      </c>
      <c r="M4767" s="72"/>
      <c r="O4767" s="96">
        <f t="shared" si="299"/>
        <v>2989</v>
      </c>
      <c r="T4767" s="110"/>
    </row>
    <row r="4768" spans="3:20" x14ac:dyDescent="0.2">
      <c r="C4768" t="str">
        <f t="shared" si="296"/>
        <v>2990</v>
      </c>
      <c r="D4768" s="73"/>
      <c r="E4768" s="72"/>
      <c r="F4768" s="101"/>
      <c r="G4768" s="96">
        <f t="shared" si="297"/>
        <v>2990</v>
      </c>
      <c r="K4768" t="str">
        <f t="shared" si="298"/>
        <v>2990</v>
      </c>
      <c r="M4768" s="72"/>
      <c r="O4768" s="96">
        <f t="shared" si="299"/>
        <v>2990</v>
      </c>
      <c r="T4768" s="110"/>
    </row>
    <row r="4769" spans="3:20" x14ac:dyDescent="0.2">
      <c r="C4769" t="str">
        <f t="shared" si="296"/>
        <v>2991</v>
      </c>
      <c r="D4769" s="73"/>
      <c r="E4769" s="72"/>
      <c r="F4769" s="101"/>
      <c r="G4769" s="96">
        <f t="shared" si="297"/>
        <v>2991</v>
      </c>
      <c r="K4769" t="str">
        <f t="shared" si="298"/>
        <v>2991</v>
      </c>
      <c r="M4769" s="72"/>
      <c r="O4769" s="96">
        <f t="shared" si="299"/>
        <v>2991</v>
      </c>
      <c r="T4769" s="110"/>
    </row>
    <row r="4770" spans="3:20" x14ac:dyDescent="0.2">
      <c r="C4770" t="str">
        <f t="shared" si="296"/>
        <v>2992</v>
      </c>
      <c r="D4770" s="73"/>
      <c r="E4770" s="72"/>
      <c r="F4770" s="101"/>
      <c r="G4770" s="96">
        <f t="shared" si="297"/>
        <v>2992</v>
      </c>
      <c r="K4770" t="str">
        <f t="shared" si="298"/>
        <v>2992</v>
      </c>
      <c r="M4770" s="72"/>
      <c r="O4770" s="96">
        <f t="shared" si="299"/>
        <v>2992</v>
      </c>
      <c r="T4770" s="110"/>
    </row>
    <row r="4771" spans="3:20" x14ac:dyDescent="0.2">
      <c r="C4771" t="str">
        <f t="shared" si="296"/>
        <v>2993</v>
      </c>
      <c r="D4771" s="73"/>
      <c r="E4771" s="72"/>
      <c r="F4771" s="101"/>
      <c r="G4771" s="96">
        <f t="shared" si="297"/>
        <v>2993</v>
      </c>
      <c r="K4771" t="str">
        <f t="shared" si="298"/>
        <v>2993</v>
      </c>
      <c r="M4771" s="72"/>
      <c r="O4771" s="96">
        <f t="shared" si="299"/>
        <v>2993</v>
      </c>
      <c r="T4771" s="83"/>
    </row>
    <row r="4772" spans="3:20" x14ac:dyDescent="0.2">
      <c r="C4772" t="str">
        <f t="shared" si="296"/>
        <v>2994</v>
      </c>
      <c r="D4772" s="73"/>
      <c r="E4772" s="72"/>
      <c r="F4772" s="101"/>
      <c r="G4772" s="96">
        <f t="shared" si="297"/>
        <v>2994</v>
      </c>
      <c r="K4772" t="str">
        <f t="shared" si="298"/>
        <v>2994</v>
      </c>
      <c r="M4772" s="72"/>
      <c r="O4772" s="96">
        <f t="shared" si="299"/>
        <v>2994</v>
      </c>
      <c r="T4772" s="83"/>
    </row>
    <row r="4773" spans="3:20" x14ac:dyDescent="0.2">
      <c r="C4773" t="str">
        <f t="shared" si="296"/>
        <v>2995</v>
      </c>
      <c r="D4773" s="73"/>
      <c r="E4773" s="72"/>
      <c r="F4773" s="101"/>
      <c r="G4773" s="96">
        <f t="shared" si="297"/>
        <v>2995</v>
      </c>
      <c r="K4773" t="str">
        <f t="shared" si="298"/>
        <v>2995</v>
      </c>
      <c r="M4773" s="72"/>
      <c r="O4773" s="96">
        <f t="shared" si="299"/>
        <v>2995</v>
      </c>
      <c r="T4773" s="83"/>
    </row>
    <row r="4774" spans="3:20" x14ac:dyDescent="0.2">
      <c r="C4774" t="str">
        <f t="shared" si="296"/>
        <v>2996</v>
      </c>
      <c r="D4774" s="73"/>
      <c r="E4774" s="72"/>
      <c r="F4774" s="101"/>
      <c r="G4774" s="96">
        <f t="shared" si="297"/>
        <v>2996</v>
      </c>
      <c r="K4774" t="str">
        <f t="shared" si="298"/>
        <v>2996</v>
      </c>
      <c r="M4774" s="72"/>
      <c r="O4774" s="96">
        <f t="shared" si="299"/>
        <v>2996</v>
      </c>
      <c r="T4774" s="83"/>
    </row>
    <row r="4775" spans="3:20" x14ac:dyDescent="0.2">
      <c r="C4775" t="str">
        <f t="shared" si="296"/>
        <v>2997</v>
      </c>
      <c r="D4775" s="73"/>
      <c r="E4775" s="72"/>
      <c r="F4775" s="101"/>
      <c r="G4775" s="96">
        <f t="shared" si="297"/>
        <v>2997</v>
      </c>
      <c r="K4775" t="str">
        <f t="shared" si="298"/>
        <v>2997</v>
      </c>
      <c r="M4775" s="72"/>
      <c r="O4775" s="96">
        <f t="shared" si="299"/>
        <v>2997</v>
      </c>
      <c r="T4775" s="110"/>
    </row>
    <row r="4776" spans="3:20" x14ac:dyDescent="0.2">
      <c r="C4776" t="str">
        <f t="shared" si="296"/>
        <v>2998</v>
      </c>
      <c r="D4776" s="73"/>
      <c r="E4776" s="72"/>
      <c r="F4776" s="101"/>
      <c r="G4776" s="96">
        <f t="shared" si="297"/>
        <v>2998</v>
      </c>
      <c r="K4776" t="str">
        <f t="shared" si="298"/>
        <v>2998</v>
      </c>
      <c r="M4776" s="72"/>
      <c r="O4776" s="96">
        <f t="shared" si="299"/>
        <v>2998</v>
      </c>
      <c r="T4776" s="110"/>
    </row>
    <row r="4777" spans="3:20" x14ac:dyDescent="0.2">
      <c r="C4777" t="str">
        <f t="shared" si="296"/>
        <v>2999</v>
      </c>
      <c r="D4777" s="73"/>
      <c r="E4777" s="72"/>
      <c r="F4777" s="101"/>
      <c r="G4777" s="96">
        <f t="shared" si="297"/>
        <v>2999</v>
      </c>
      <c r="K4777" t="str">
        <f t="shared" si="298"/>
        <v>2999</v>
      </c>
      <c r="M4777" s="72"/>
      <c r="O4777" s="96">
        <f t="shared" si="299"/>
        <v>2999</v>
      </c>
      <c r="T4777" s="110"/>
    </row>
    <row r="4778" spans="3:20" x14ac:dyDescent="0.2">
      <c r="C4778" t="str">
        <f t="shared" si="296"/>
        <v>3000</v>
      </c>
      <c r="D4778" s="73"/>
      <c r="E4778" s="72"/>
      <c r="F4778" s="101"/>
      <c r="G4778" s="96">
        <f t="shared" si="297"/>
        <v>3000</v>
      </c>
      <c r="K4778" t="str">
        <f t="shared" si="298"/>
        <v>3000</v>
      </c>
      <c r="M4778" s="72"/>
      <c r="O4778" s="96">
        <f t="shared" si="299"/>
        <v>3000</v>
      </c>
    </row>
    <row r="4779" spans="3:20" x14ac:dyDescent="0.2">
      <c r="C4779" t="str">
        <f t="shared" si="296"/>
        <v>3001</v>
      </c>
      <c r="D4779" s="73"/>
      <c r="E4779" s="72"/>
      <c r="F4779" s="101"/>
      <c r="G4779" s="96">
        <f t="shared" si="297"/>
        <v>3001</v>
      </c>
      <c r="K4779" t="str">
        <f t="shared" si="298"/>
        <v>3001</v>
      </c>
      <c r="M4779" s="72"/>
      <c r="O4779" s="96">
        <f t="shared" si="299"/>
        <v>3001</v>
      </c>
      <c r="T4779" s="110"/>
    </row>
    <row r="4780" spans="3:20" x14ac:dyDescent="0.2">
      <c r="C4780" t="str">
        <f t="shared" si="296"/>
        <v>3002</v>
      </c>
      <c r="D4780" s="73"/>
      <c r="E4780" s="72"/>
      <c r="F4780" s="101"/>
      <c r="G4780" s="96">
        <f t="shared" si="297"/>
        <v>3002</v>
      </c>
      <c r="K4780" t="str">
        <f t="shared" si="298"/>
        <v>3002</v>
      </c>
      <c r="M4780" s="72"/>
      <c r="O4780" s="96">
        <f t="shared" si="299"/>
        <v>3002</v>
      </c>
    </row>
    <row r="4781" spans="3:20" x14ac:dyDescent="0.2">
      <c r="C4781" t="str">
        <f t="shared" si="296"/>
        <v>3003</v>
      </c>
      <c r="D4781" s="73"/>
      <c r="E4781" s="72"/>
      <c r="F4781" s="101"/>
      <c r="G4781" s="96">
        <f t="shared" si="297"/>
        <v>3003</v>
      </c>
      <c r="K4781" t="str">
        <f t="shared" si="298"/>
        <v>3003</v>
      </c>
      <c r="M4781" s="72"/>
      <c r="O4781" s="96">
        <f t="shared" si="299"/>
        <v>3003</v>
      </c>
      <c r="T4781" s="110"/>
    </row>
    <row r="4782" spans="3:20" x14ac:dyDescent="0.2">
      <c r="C4782" t="str">
        <f t="shared" si="296"/>
        <v>3004</v>
      </c>
      <c r="D4782" s="73"/>
      <c r="E4782" s="72"/>
      <c r="F4782" s="101"/>
      <c r="G4782" s="96">
        <f t="shared" si="297"/>
        <v>3004</v>
      </c>
      <c r="K4782" t="str">
        <f t="shared" si="298"/>
        <v>3004</v>
      </c>
      <c r="M4782" s="72"/>
      <c r="O4782" s="96">
        <f t="shared" si="299"/>
        <v>3004</v>
      </c>
    </row>
    <row r="4783" spans="3:20" x14ac:dyDescent="0.2">
      <c r="C4783" t="str">
        <f t="shared" si="296"/>
        <v>3005</v>
      </c>
      <c r="D4783" s="73"/>
      <c r="E4783" s="72"/>
      <c r="F4783" s="101"/>
      <c r="G4783" s="96">
        <f t="shared" si="297"/>
        <v>3005</v>
      </c>
      <c r="K4783" t="str">
        <f t="shared" si="298"/>
        <v>3005</v>
      </c>
      <c r="M4783" s="72"/>
      <c r="O4783" s="96">
        <f t="shared" si="299"/>
        <v>3005</v>
      </c>
      <c r="T4783" s="110"/>
    </row>
    <row r="4784" spans="3:20" x14ac:dyDescent="0.2">
      <c r="C4784" t="str">
        <f t="shared" si="296"/>
        <v>3006</v>
      </c>
      <c r="D4784" s="73"/>
      <c r="E4784" s="72"/>
      <c r="F4784" s="101"/>
      <c r="G4784" s="96">
        <f t="shared" si="297"/>
        <v>3006</v>
      </c>
      <c r="K4784" t="str">
        <f t="shared" si="298"/>
        <v>3006</v>
      </c>
      <c r="M4784" s="72"/>
      <c r="O4784" s="96">
        <f t="shared" si="299"/>
        <v>3006</v>
      </c>
    </row>
    <row r="4785" spans="3:20" x14ac:dyDescent="0.2">
      <c r="C4785" t="str">
        <f t="shared" si="296"/>
        <v>3007</v>
      </c>
      <c r="D4785" s="73"/>
      <c r="E4785" s="72"/>
      <c r="F4785" s="101"/>
      <c r="G4785" s="96">
        <f t="shared" si="297"/>
        <v>3007</v>
      </c>
      <c r="K4785" t="str">
        <f t="shared" si="298"/>
        <v>3007</v>
      </c>
      <c r="M4785" s="72"/>
      <c r="O4785" s="96">
        <f t="shared" si="299"/>
        <v>3007</v>
      </c>
      <c r="T4785" s="110"/>
    </row>
    <row r="4786" spans="3:20" x14ac:dyDescent="0.2">
      <c r="C4786" t="str">
        <f t="shared" si="296"/>
        <v>3008</v>
      </c>
      <c r="D4786" s="73"/>
      <c r="E4786" s="72"/>
      <c r="F4786" s="101"/>
      <c r="G4786" s="96">
        <f t="shared" si="297"/>
        <v>3008</v>
      </c>
      <c r="K4786" t="str">
        <f t="shared" si="298"/>
        <v>3008</v>
      </c>
      <c r="M4786" s="72"/>
      <c r="O4786" s="96">
        <f t="shared" si="299"/>
        <v>3008</v>
      </c>
      <c r="T4786" s="110"/>
    </row>
    <row r="4787" spans="3:20" x14ac:dyDescent="0.2">
      <c r="C4787" t="str">
        <f t="shared" si="296"/>
        <v>3009</v>
      </c>
      <c r="D4787" s="73"/>
      <c r="E4787" s="72"/>
      <c r="F4787" s="101"/>
      <c r="G4787" s="96">
        <f t="shared" si="297"/>
        <v>3009</v>
      </c>
      <c r="K4787" t="str">
        <f t="shared" si="298"/>
        <v>3009</v>
      </c>
      <c r="M4787" s="72"/>
      <c r="O4787" s="96">
        <f t="shared" si="299"/>
        <v>3009</v>
      </c>
      <c r="T4787" s="110"/>
    </row>
    <row r="4788" spans="3:20" x14ac:dyDescent="0.2">
      <c r="C4788" t="str">
        <f t="shared" si="296"/>
        <v>3010</v>
      </c>
      <c r="D4788" s="73"/>
      <c r="E4788" s="72"/>
      <c r="F4788" s="101"/>
      <c r="G4788" s="96">
        <f t="shared" si="297"/>
        <v>3010</v>
      </c>
      <c r="K4788" t="str">
        <f t="shared" si="298"/>
        <v>3010</v>
      </c>
      <c r="M4788" s="72"/>
      <c r="O4788" s="96">
        <f t="shared" si="299"/>
        <v>3010</v>
      </c>
      <c r="T4788" s="110"/>
    </row>
    <row r="4789" spans="3:20" x14ac:dyDescent="0.2">
      <c r="C4789" t="str">
        <f t="shared" si="296"/>
        <v>3011</v>
      </c>
      <c r="D4789" s="73"/>
      <c r="E4789" s="72"/>
      <c r="F4789" s="101"/>
      <c r="G4789" s="96">
        <f t="shared" si="297"/>
        <v>3011</v>
      </c>
      <c r="K4789" t="str">
        <f t="shared" si="298"/>
        <v>3011</v>
      </c>
      <c r="M4789" s="72"/>
      <c r="O4789" s="96">
        <f t="shared" si="299"/>
        <v>3011</v>
      </c>
      <c r="T4789" s="110"/>
    </row>
    <row r="4790" spans="3:20" x14ac:dyDescent="0.2">
      <c r="C4790" t="str">
        <f t="shared" si="296"/>
        <v>3012</v>
      </c>
      <c r="D4790" s="73"/>
      <c r="E4790" s="72"/>
      <c r="F4790" s="101"/>
      <c r="G4790" s="96">
        <f t="shared" si="297"/>
        <v>3012</v>
      </c>
      <c r="K4790" t="str">
        <f t="shared" si="298"/>
        <v>3012</v>
      </c>
      <c r="M4790" s="72"/>
      <c r="O4790" s="96">
        <f t="shared" si="299"/>
        <v>3012</v>
      </c>
      <c r="T4790" s="110"/>
    </row>
    <row r="4791" spans="3:20" x14ac:dyDescent="0.2">
      <c r="C4791" t="str">
        <f t="shared" si="296"/>
        <v>3013</v>
      </c>
      <c r="D4791" s="73"/>
      <c r="E4791" s="72"/>
      <c r="F4791" s="101"/>
      <c r="G4791" s="96">
        <f t="shared" si="297"/>
        <v>3013</v>
      </c>
      <c r="K4791" t="str">
        <f t="shared" si="298"/>
        <v>3013</v>
      </c>
      <c r="M4791" s="72"/>
      <c r="O4791" s="96">
        <f t="shared" si="299"/>
        <v>3013</v>
      </c>
      <c r="T4791" s="110"/>
    </row>
    <row r="4792" spans="3:20" x14ac:dyDescent="0.2">
      <c r="C4792" t="str">
        <f t="shared" si="296"/>
        <v>3014</v>
      </c>
      <c r="D4792" s="73"/>
      <c r="E4792" s="72"/>
      <c r="F4792" s="101"/>
      <c r="G4792" s="96">
        <f t="shared" si="297"/>
        <v>3014</v>
      </c>
      <c r="K4792" t="str">
        <f t="shared" si="298"/>
        <v>3014</v>
      </c>
      <c r="M4792" s="72"/>
      <c r="O4792" s="96">
        <f t="shared" si="299"/>
        <v>3014</v>
      </c>
      <c r="T4792" s="110"/>
    </row>
    <row r="4793" spans="3:20" x14ac:dyDescent="0.2">
      <c r="C4793" t="str">
        <f t="shared" si="296"/>
        <v>3015</v>
      </c>
      <c r="D4793" s="73"/>
      <c r="E4793" s="72"/>
      <c r="F4793" s="101"/>
      <c r="G4793" s="96">
        <f t="shared" si="297"/>
        <v>3015</v>
      </c>
      <c r="K4793" t="str">
        <f t="shared" si="298"/>
        <v>3015</v>
      </c>
      <c r="M4793" s="72"/>
      <c r="O4793" s="96">
        <f t="shared" si="299"/>
        <v>3015</v>
      </c>
      <c r="T4793" s="110"/>
    </row>
    <row r="4794" spans="3:20" x14ac:dyDescent="0.2">
      <c r="C4794" t="str">
        <f t="shared" si="296"/>
        <v>3016</v>
      </c>
      <c r="D4794" s="73"/>
      <c r="E4794" s="72"/>
      <c r="F4794" s="101"/>
      <c r="G4794" s="96">
        <f t="shared" si="297"/>
        <v>3016</v>
      </c>
      <c r="K4794" t="str">
        <f t="shared" si="298"/>
        <v>3016</v>
      </c>
      <c r="M4794" s="72"/>
      <c r="O4794" s="96">
        <f t="shared" si="299"/>
        <v>3016</v>
      </c>
      <c r="T4794" s="110"/>
    </row>
    <row r="4795" spans="3:20" x14ac:dyDescent="0.2">
      <c r="C4795" t="str">
        <f t="shared" si="296"/>
        <v>3017</v>
      </c>
      <c r="D4795" s="73"/>
      <c r="E4795" s="72"/>
      <c r="F4795" s="101"/>
      <c r="G4795" s="96">
        <f t="shared" si="297"/>
        <v>3017</v>
      </c>
      <c r="K4795" t="str">
        <f t="shared" si="298"/>
        <v>3017</v>
      </c>
      <c r="M4795" s="72"/>
      <c r="O4795" s="96">
        <f t="shared" si="299"/>
        <v>3017</v>
      </c>
      <c r="T4795" s="110"/>
    </row>
    <row r="4796" spans="3:20" x14ac:dyDescent="0.2">
      <c r="C4796" t="str">
        <f t="shared" si="296"/>
        <v>3018</v>
      </c>
      <c r="D4796" s="73"/>
      <c r="E4796" s="72"/>
      <c r="F4796" s="101"/>
      <c r="G4796" s="96">
        <f t="shared" si="297"/>
        <v>3018</v>
      </c>
      <c r="K4796" t="str">
        <f t="shared" si="298"/>
        <v>3018</v>
      </c>
      <c r="M4796" s="72"/>
      <c r="O4796" s="96">
        <f t="shared" si="299"/>
        <v>3018</v>
      </c>
      <c r="T4796" s="110"/>
    </row>
    <row r="4797" spans="3:20" x14ac:dyDescent="0.2">
      <c r="C4797" t="str">
        <f t="shared" si="296"/>
        <v>3019</v>
      </c>
      <c r="D4797" s="73"/>
      <c r="E4797" s="72"/>
      <c r="F4797" s="101"/>
      <c r="G4797" s="96">
        <f t="shared" si="297"/>
        <v>3019</v>
      </c>
      <c r="K4797" t="str">
        <f t="shared" si="298"/>
        <v>3019</v>
      </c>
      <c r="M4797" s="72"/>
      <c r="O4797" s="96">
        <f t="shared" si="299"/>
        <v>3019</v>
      </c>
      <c r="T4797" s="110"/>
    </row>
    <row r="4798" spans="3:20" x14ac:dyDescent="0.2">
      <c r="C4798" t="str">
        <f t="shared" si="296"/>
        <v>3020</v>
      </c>
      <c r="D4798" s="73"/>
      <c r="E4798" s="72"/>
      <c r="F4798" s="101"/>
      <c r="G4798" s="96">
        <f t="shared" si="297"/>
        <v>3020</v>
      </c>
      <c r="K4798" t="str">
        <f t="shared" si="298"/>
        <v>3020</v>
      </c>
      <c r="M4798" s="72"/>
      <c r="O4798" s="96">
        <f t="shared" si="299"/>
        <v>3020</v>
      </c>
      <c r="T4798" s="110"/>
    </row>
    <row r="4799" spans="3:20" x14ac:dyDescent="0.2">
      <c r="C4799" t="str">
        <f t="shared" si="296"/>
        <v>3021</v>
      </c>
      <c r="D4799" s="73"/>
      <c r="E4799" s="72"/>
      <c r="F4799" s="101"/>
      <c r="G4799" s="96">
        <f t="shared" si="297"/>
        <v>3021</v>
      </c>
      <c r="K4799" t="str">
        <f t="shared" si="298"/>
        <v>3021</v>
      </c>
      <c r="M4799" s="72"/>
      <c r="O4799" s="96">
        <f t="shared" si="299"/>
        <v>3021</v>
      </c>
      <c r="T4799" s="110"/>
    </row>
    <row r="4800" spans="3:20" x14ac:dyDescent="0.2">
      <c r="C4800" t="str">
        <f t="shared" si="296"/>
        <v>3022</v>
      </c>
      <c r="D4800" s="73"/>
      <c r="E4800" s="72"/>
      <c r="F4800" s="101"/>
      <c r="G4800" s="96">
        <f t="shared" si="297"/>
        <v>3022</v>
      </c>
      <c r="K4800" t="str">
        <f t="shared" si="298"/>
        <v>3022</v>
      </c>
      <c r="M4800" s="72"/>
      <c r="O4800" s="96">
        <f t="shared" si="299"/>
        <v>3022</v>
      </c>
      <c r="T4800" s="110"/>
    </row>
    <row r="4801" spans="3:20" x14ac:dyDescent="0.2">
      <c r="C4801" t="str">
        <f t="shared" si="296"/>
        <v>3023</v>
      </c>
      <c r="D4801" s="73"/>
      <c r="E4801" s="72"/>
      <c r="F4801" s="101"/>
      <c r="G4801" s="96">
        <f t="shared" si="297"/>
        <v>3023</v>
      </c>
      <c r="K4801" t="str">
        <f t="shared" si="298"/>
        <v>3023</v>
      </c>
      <c r="M4801" s="72"/>
      <c r="O4801" s="96">
        <f t="shared" si="299"/>
        <v>3023</v>
      </c>
      <c r="T4801" s="110"/>
    </row>
    <row r="4802" spans="3:20" x14ac:dyDescent="0.2">
      <c r="C4802" t="str">
        <f t="shared" si="296"/>
        <v>3024</v>
      </c>
      <c r="D4802" s="73"/>
      <c r="E4802" s="72"/>
      <c r="F4802" s="101"/>
      <c r="G4802" s="96">
        <f t="shared" si="297"/>
        <v>3024</v>
      </c>
      <c r="K4802" t="str">
        <f t="shared" si="298"/>
        <v>3024</v>
      </c>
      <c r="M4802" s="72"/>
      <c r="O4802" s="96">
        <f t="shared" si="299"/>
        <v>3024</v>
      </c>
      <c r="T4802" s="110"/>
    </row>
    <row r="4803" spans="3:20" x14ac:dyDescent="0.2">
      <c r="C4803" t="str">
        <f t="shared" ref="C4803:C4866" si="300">D4803&amp;G4803</f>
        <v>3025</v>
      </c>
      <c r="D4803" s="73"/>
      <c r="E4803" s="72"/>
      <c r="F4803" s="101"/>
      <c r="G4803" s="96">
        <f t="shared" ref="G4803:G4866" si="301">IF(D4803&lt;&gt;D4802,1,G4802+1)</f>
        <v>3025</v>
      </c>
      <c r="K4803" t="str">
        <f t="shared" ref="K4803:K4866" si="302">L4803&amp;O4803</f>
        <v>3025</v>
      </c>
      <c r="M4803" s="72"/>
      <c r="O4803" s="96">
        <f t="shared" ref="O4803:O4866" si="303">IF(L4803&lt;&gt;L4802,1,O4802+1)</f>
        <v>3025</v>
      </c>
      <c r="T4803" s="110"/>
    </row>
    <row r="4804" spans="3:20" x14ac:dyDescent="0.2">
      <c r="C4804" t="str">
        <f t="shared" si="300"/>
        <v>3026</v>
      </c>
      <c r="D4804" s="73"/>
      <c r="E4804" s="72"/>
      <c r="F4804" s="101"/>
      <c r="G4804" s="96">
        <f t="shared" si="301"/>
        <v>3026</v>
      </c>
      <c r="K4804" t="str">
        <f t="shared" si="302"/>
        <v>3026</v>
      </c>
      <c r="M4804" s="72"/>
      <c r="O4804" s="96">
        <f t="shared" si="303"/>
        <v>3026</v>
      </c>
      <c r="T4804" s="110"/>
    </row>
    <row r="4805" spans="3:20" x14ac:dyDescent="0.2">
      <c r="C4805" t="str">
        <f t="shared" si="300"/>
        <v>3027</v>
      </c>
      <c r="D4805" s="73"/>
      <c r="E4805" s="72"/>
      <c r="F4805" s="101"/>
      <c r="G4805" s="96">
        <f t="shared" si="301"/>
        <v>3027</v>
      </c>
      <c r="K4805" t="str">
        <f t="shared" si="302"/>
        <v>3027</v>
      </c>
      <c r="M4805" s="72"/>
      <c r="O4805" s="96">
        <f t="shared" si="303"/>
        <v>3027</v>
      </c>
      <c r="T4805" s="110"/>
    </row>
    <row r="4806" spans="3:20" x14ac:dyDescent="0.2">
      <c r="C4806" t="str">
        <f t="shared" si="300"/>
        <v>3028</v>
      </c>
      <c r="D4806" s="73"/>
      <c r="E4806" s="72"/>
      <c r="F4806" s="101"/>
      <c r="G4806" s="96">
        <f t="shared" si="301"/>
        <v>3028</v>
      </c>
      <c r="K4806" t="str">
        <f t="shared" si="302"/>
        <v>3028</v>
      </c>
      <c r="M4806" s="72"/>
      <c r="O4806" s="96">
        <f t="shared" si="303"/>
        <v>3028</v>
      </c>
      <c r="T4806" s="110"/>
    </row>
    <row r="4807" spans="3:20" x14ac:dyDescent="0.2">
      <c r="C4807" t="str">
        <f t="shared" si="300"/>
        <v>3029</v>
      </c>
      <c r="D4807" s="73"/>
      <c r="E4807" s="72"/>
      <c r="F4807" s="101"/>
      <c r="G4807" s="96">
        <f t="shared" si="301"/>
        <v>3029</v>
      </c>
      <c r="K4807" t="str">
        <f t="shared" si="302"/>
        <v>3029</v>
      </c>
      <c r="M4807" s="72"/>
      <c r="O4807" s="96">
        <f t="shared" si="303"/>
        <v>3029</v>
      </c>
      <c r="T4807" s="110"/>
    </row>
    <row r="4808" spans="3:20" x14ac:dyDescent="0.2">
      <c r="C4808" t="str">
        <f t="shared" si="300"/>
        <v>3030</v>
      </c>
      <c r="D4808" s="73"/>
      <c r="E4808" s="72"/>
      <c r="F4808" s="101"/>
      <c r="G4808" s="96">
        <f t="shared" si="301"/>
        <v>3030</v>
      </c>
      <c r="K4808" t="str">
        <f t="shared" si="302"/>
        <v>3030</v>
      </c>
      <c r="M4808" s="72"/>
      <c r="O4808" s="96">
        <f t="shared" si="303"/>
        <v>3030</v>
      </c>
      <c r="T4808" s="110"/>
    </row>
    <row r="4809" spans="3:20" x14ac:dyDescent="0.2">
      <c r="C4809" t="str">
        <f t="shared" si="300"/>
        <v>3031</v>
      </c>
      <c r="D4809" s="73"/>
      <c r="E4809" s="72"/>
      <c r="F4809" s="101"/>
      <c r="G4809" s="96">
        <f t="shared" si="301"/>
        <v>3031</v>
      </c>
      <c r="K4809" t="str">
        <f t="shared" si="302"/>
        <v>3031</v>
      </c>
      <c r="M4809" s="72"/>
      <c r="O4809" s="96">
        <f t="shared" si="303"/>
        <v>3031</v>
      </c>
      <c r="T4809" s="110"/>
    </row>
    <row r="4810" spans="3:20" x14ac:dyDescent="0.2">
      <c r="C4810" t="str">
        <f t="shared" si="300"/>
        <v>3032</v>
      </c>
      <c r="D4810" s="73"/>
      <c r="E4810" s="72"/>
      <c r="F4810" s="101"/>
      <c r="G4810" s="96">
        <f t="shared" si="301"/>
        <v>3032</v>
      </c>
      <c r="K4810" t="str">
        <f t="shared" si="302"/>
        <v>3032</v>
      </c>
      <c r="M4810" s="72"/>
      <c r="O4810" s="96">
        <f t="shared" si="303"/>
        <v>3032</v>
      </c>
      <c r="T4810" s="110"/>
    </row>
    <row r="4811" spans="3:20" x14ac:dyDescent="0.2">
      <c r="C4811" t="str">
        <f t="shared" si="300"/>
        <v>3033</v>
      </c>
      <c r="D4811" s="73"/>
      <c r="E4811" s="72"/>
      <c r="F4811" s="101"/>
      <c r="G4811" s="96">
        <f t="shared" si="301"/>
        <v>3033</v>
      </c>
      <c r="K4811" t="str">
        <f t="shared" si="302"/>
        <v>3033</v>
      </c>
      <c r="M4811" s="72"/>
      <c r="O4811" s="96">
        <f t="shared" si="303"/>
        <v>3033</v>
      </c>
      <c r="T4811" s="110"/>
    </row>
    <row r="4812" spans="3:20" x14ac:dyDescent="0.2">
      <c r="C4812" t="str">
        <f t="shared" si="300"/>
        <v>3034</v>
      </c>
      <c r="D4812" s="73"/>
      <c r="E4812" s="72"/>
      <c r="F4812" s="101"/>
      <c r="G4812" s="96">
        <f t="shared" si="301"/>
        <v>3034</v>
      </c>
      <c r="K4812" t="str">
        <f t="shared" si="302"/>
        <v>3034</v>
      </c>
      <c r="M4812" s="72"/>
      <c r="O4812" s="96">
        <f t="shared" si="303"/>
        <v>3034</v>
      </c>
      <c r="T4812" s="110"/>
    </row>
    <row r="4813" spans="3:20" x14ac:dyDescent="0.2">
      <c r="C4813" t="str">
        <f t="shared" si="300"/>
        <v>3035</v>
      </c>
      <c r="D4813" s="73"/>
      <c r="E4813" s="72"/>
      <c r="F4813" s="101"/>
      <c r="G4813" s="96">
        <f t="shared" si="301"/>
        <v>3035</v>
      </c>
      <c r="K4813" t="str">
        <f t="shared" si="302"/>
        <v>3035</v>
      </c>
      <c r="M4813" s="72"/>
      <c r="O4813" s="96">
        <f t="shared" si="303"/>
        <v>3035</v>
      </c>
      <c r="T4813" s="110"/>
    </row>
    <row r="4814" spans="3:20" x14ac:dyDescent="0.2">
      <c r="C4814" t="str">
        <f t="shared" si="300"/>
        <v>3036</v>
      </c>
      <c r="D4814" s="73"/>
      <c r="E4814" s="72"/>
      <c r="F4814" s="101"/>
      <c r="G4814" s="96">
        <f t="shared" si="301"/>
        <v>3036</v>
      </c>
      <c r="K4814" t="str">
        <f t="shared" si="302"/>
        <v>3036</v>
      </c>
      <c r="M4814" s="72"/>
      <c r="O4814" s="96">
        <f t="shared" si="303"/>
        <v>3036</v>
      </c>
      <c r="T4814" s="110"/>
    </row>
    <row r="4815" spans="3:20" x14ac:dyDescent="0.2">
      <c r="C4815" t="str">
        <f t="shared" si="300"/>
        <v>3037</v>
      </c>
      <c r="D4815" s="73"/>
      <c r="E4815" s="72"/>
      <c r="F4815" s="101"/>
      <c r="G4815" s="96">
        <f t="shared" si="301"/>
        <v>3037</v>
      </c>
      <c r="K4815" t="str">
        <f t="shared" si="302"/>
        <v>3037</v>
      </c>
      <c r="M4815" s="72"/>
      <c r="O4815" s="96">
        <f t="shared" si="303"/>
        <v>3037</v>
      </c>
      <c r="T4815" s="110"/>
    </row>
    <row r="4816" spans="3:20" x14ac:dyDescent="0.2">
      <c r="C4816" t="str">
        <f t="shared" si="300"/>
        <v>3038</v>
      </c>
      <c r="D4816" s="73"/>
      <c r="E4816" s="72"/>
      <c r="F4816" s="101"/>
      <c r="G4816" s="96">
        <f t="shared" si="301"/>
        <v>3038</v>
      </c>
      <c r="K4816" t="str">
        <f t="shared" si="302"/>
        <v>3038</v>
      </c>
      <c r="M4816" s="72"/>
      <c r="O4816" s="96">
        <f t="shared" si="303"/>
        <v>3038</v>
      </c>
      <c r="T4816" s="110"/>
    </row>
    <row r="4817" spans="3:20" x14ac:dyDescent="0.2">
      <c r="C4817" t="str">
        <f t="shared" si="300"/>
        <v>3039</v>
      </c>
      <c r="D4817" s="73"/>
      <c r="E4817" s="72"/>
      <c r="F4817" s="101"/>
      <c r="G4817" s="96">
        <f t="shared" si="301"/>
        <v>3039</v>
      </c>
      <c r="K4817" t="str">
        <f t="shared" si="302"/>
        <v>3039</v>
      </c>
      <c r="M4817" s="72"/>
      <c r="O4817" s="96">
        <f t="shared" si="303"/>
        <v>3039</v>
      </c>
      <c r="T4817" s="110"/>
    </row>
    <row r="4818" spans="3:20" x14ac:dyDescent="0.2">
      <c r="C4818" t="str">
        <f t="shared" si="300"/>
        <v>3040</v>
      </c>
      <c r="D4818" s="73"/>
      <c r="E4818" s="72"/>
      <c r="F4818" s="101"/>
      <c r="G4818" s="96">
        <f t="shared" si="301"/>
        <v>3040</v>
      </c>
      <c r="K4818" t="str">
        <f t="shared" si="302"/>
        <v>3040</v>
      </c>
      <c r="M4818" s="72"/>
      <c r="O4818" s="96">
        <f t="shared" si="303"/>
        <v>3040</v>
      </c>
      <c r="T4818" s="83"/>
    </row>
    <row r="4819" spans="3:20" x14ac:dyDescent="0.2">
      <c r="C4819" t="str">
        <f t="shared" si="300"/>
        <v>3041</v>
      </c>
      <c r="D4819" s="73"/>
      <c r="E4819" s="72"/>
      <c r="F4819" s="101"/>
      <c r="G4819" s="96">
        <f t="shared" si="301"/>
        <v>3041</v>
      </c>
      <c r="K4819" t="str">
        <f t="shared" si="302"/>
        <v>3041</v>
      </c>
      <c r="M4819" s="72"/>
      <c r="O4819" s="96">
        <f t="shared" si="303"/>
        <v>3041</v>
      </c>
      <c r="T4819" s="110"/>
    </row>
    <row r="4820" spans="3:20" x14ac:dyDescent="0.2">
      <c r="C4820" t="str">
        <f t="shared" si="300"/>
        <v>3042</v>
      </c>
      <c r="D4820" s="73"/>
      <c r="E4820" s="72"/>
      <c r="F4820" s="101"/>
      <c r="G4820" s="96">
        <f t="shared" si="301"/>
        <v>3042</v>
      </c>
      <c r="K4820" t="str">
        <f t="shared" si="302"/>
        <v>3042</v>
      </c>
      <c r="M4820" s="72"/>
      <c r="O4820" s="96">
        <f t="shared" si="303"/>
        <v>3042</v>
      </c>
      <c r="T4820" s="110"/>
    </row>
    <row r="4821" spans="3:20" x14ac:dyDescent="0.2">
      <c r="C4821" t="str">
        <f t="shared" si="300"/>
        <v>3043</v>
      </c>
      <c r="D4821" s="73"/>
      <c r="E4821" s="72"/>
      <c r="F4821" s="101"/>
      <c r="G4821" s="96">
        <f t="shared" si="301"/>
        <v>3043</v>
      </c>
      <c r="K4821" t="str">
        <f t="shared" si="302"/>
        <v>3043</v>
      </c>
      <c r="M4821" s="72"/>
      <c r="O4821" s="96">
        <f t="shared" si="303"/>
        <v>3043</v>
      </c>
      <c r="T4821" s="110"/>
    </row>
    <row r="4822" spans="3:20" x14ac:dyDescent="0.2">
      <c r="C4822" t="str">
        <f t="shared" si="300"/>
        <v>3044</v>
      </c>
      <c r="D4822" s="73"/>
      <c r="E4822" s="72"/>
      <c r="F4822" s="101"/>
      <c r="G4822" s="96">
        <f t="shared" si="301"/>
        <v>3044</v>
      </c>
      <c r="K4822" t="str">
        <f t="shared" si="302"/>
        <v>3044</v>
      </c>
      <c r="M4822" s="72"/>
      <c r="O4822" s="96">
        <f t="shared" si="303"/>
        <v>3044</v>
      </c>
      <c r="T4822" s="110"/>
    </row>
    <row r="4823" spans="3:20" x14ac:dyDescent="0.2">
      <c r="C4823" t="str">
        <f t="shared" si="300"/>
        <v>3045</v>
      </c>
      <c r="D4823" s="73"/>
      <c r="E4823" s="72"/>
      <c r="F4823" s="101"/>
      <c r="G4823" s="96">
        <f t="shared" si="301"/>
        <v>3045</v>
      </c>
      <c r="K4823" t="str">
        <f t="shared" si="302"/>
        <v>3045</v>
      </c>
      <c r="M4823" s="72"/>
      <c r="O4823" s="96">
        <f t="shared" si="303"/>
        <v>3045</v>
      </c>
      <c r="T4823" s="110"/>
    </row>
    <row r="4824" spans="3:20" x14ac:dyDescent="0.2">
      <c r="C4824" t="str">
        <f t="shared" si="300"/>
        <v>3046</v>
      </c>
      <c r="D4824" s="73"/>
      <c r="E4824" s="72"/>
      <c r="F4824" s="101"/>
      <c r="G4824" s="96">
        <f t="shared" si="301"/>
        <v>3046</v>
      </c>
      <c r="K4824" t="str">
        <f t="shared" si="302"/>
        <v>3046</v>
      </c>
      <c r="M4824" s="72"/>
      <c r="O4824" s="96">
        <f t="shared" si="303"/>
        <v>3046</v>
      </c>
      <c r="T4824" s="110"/>
    </row>
    <row r="4825" spans="3:20" x14ac:dyDescent="0.2">
      <c r="C4825" t="str">
        <f t="shared" si="300"/>
        <v>3047</v>
      </c>
      <c r="D4825" s="73"/>
      <c r="E4825" s="72"/>
      <c r="F4825" s="101"/>
      <c r="G4825" s="96">
        <f t="shared" si="301"/>
        <v>3047</v>
      </c>
      <c r="K4825" t="str">
        <f t="shared" si="302"/>
        <v>3047</v>
      </c>
      <c r="M4825" s="72"/>
      <c r="O4825" s="96">
        <f t="shared" si="303"/>
        <v>3047</v>
      </c>
      <c r="T4825" s="110"/>
    </row>
    <row r="4826" spans="3:20" x14ac:dyDescent="0.2">
      <c r="C4826" t="str">
        <f t="shared" si="300"/>
        <v>3048</v>
      </c>
      <c r="D4826" s="73"/>
      <c r="E4826" s="72"/>
      <c r="F4826" s="101"/>
      <c r="G4826" s="96">
        <f t="shared" si="301"/>
        <v>3048</v>
      </c>
      <c r="K4826" t="str">
        <f t="shared" si="302"/>
        <v>3048</v>
      </c>
      <c r="M4826" s="72"/>
      <c r="O4826" s="96">
        <f t="shared" si="303"/>
        <v>3048</v>
      </c>
      <c r="T4826" s="110"/>
    </row>
    <row r="4827" spans="3:20" x14ac:dyDescent="0.2">
      <c r="C4827" t="str">
        <f t="shared" si="300"/>
        <v>3049</v>
      </c>
      <c r="D4827" s="73"/>
      <c r="E4827" s="72"/>
      <c r="F4827" s="101"/>
      <c r="G4827" s="96">
        <f t="shared" si="301"/>
        <v>3049</v>
      </c>
      <c r="K4827" t="str">
        <f t="shared" si="302"/>
        <v>3049</v>
      </c>
      <c r="M4827" s="72"/>
      <c r="O4827" s="96">
        <f t="shared" si="303"/>
        <v>3049</v>
      </c>
      <c r="T4827" s="110"/>
    </row>
    <row r="4828" spans="3:20" x14ac:dyDescent="0.2">
      <c r="C4828" t="str">
        <f t="shared" si="300"/>
        <v>3050</v>
      </c>
      <c r="D4828" s="73"/>
      <c r="E4828" s="72"/>
      <c r="F4828" s="101"/>
      <c r="G4828" s="96">
        <f t="shared" si="301"/>
        <v>3050</v>
      </c>
      <c r="K4828" t="str">
        <f t="shared" si="302"/>
        <v>3050</v>
      </c>
      <c r="M4828" s="72"/>
      <c r="O4828" s="96">
        <f t="shared" si="303"/>
        <v>3050</v>
      </c>
      <c r="T4828" s="110"/>
    </row>
    <row r="4829" spans="3:20" x14ac:dyDescent="0.2">
      <c r="C4829" t="str">
        <f t="shared" si="300"/>
        <v>3051</v>
      </c>
      <c r="D4829" s="73"/>
      <c r="E4829" s="72"/>
      <c r="F4829" s="101"/>
      <c r="G4829" s="96">
        <f t="shared" si="301"/>
        <v>3051</v>
      </c>
      <c r="K4829" t="str">
        <f t="shared" si="302"/>
        <v>3051</v>
      </c>
      <c r="M4829" s="72"/>
      <c r="O4829" s="96">
        <f t="shared" si="303"/>
        <v>3051</v>
      </c>
      <c r="T4829" s="110"/>
    </row>
    <row r="4830" spans="3:20" x14ac:dyDescent="0.2">
      <c r="C4830" t="str">
        <f t="shared" si="300"/>
        <v>3052</v>
      </c>
      <c r="D4830" s="73"/>
      <c r="E4830" s="72"/>
      <c r="F4830" s="101"/>
      <c r="G4830" s="96">
        <f t="shared" si="301"/>
        <v>3052</v>
      </c>
      <c r="K4830" t="str">
        <f t="shared" si="302"/>
        <v>3052</v>
      </c>
      <c r="M4830" s="72"/>
      <c r="O4830" s="96">
        <f t="shared" si="303"/>
        <v>3052</v>
      </c>
      <c r="T4830" s="110"/>
    </row>
    <row r="4831" spans="3:20" x14ac:dyDescent="0.2">
      <c r="C4831" t="str">
        <f t="shared" si="300"/>
        <v>3053</v>
      </c>
      <c r="D4831" s="73"/>
      <c r="E4831" s="72"/>
      <c r="F4831" s="101"/>
      <c r="G4831" s="96">
        <f t="shared" si="301"/>
        <v>3053</v>
      </c>
      <c r="K4831" t="str">
        <f t="shared" si="302"/>
        <v>3053</v>
      </c>
      <c r="M4831" s="72"/>
      <c r="O4831" s="96">
        <f t="shared" si="303"/>
        <v>3053</v>
      </c>
      <c r="T4831" s="110"/>
    </row>
    <row r="4832" spans="3:20" x14ac:dyDescent="0.2">
      <c r="C4832" t="str">
        <f t="shared" si="300"/>
        <v>3054</v>
      </c>
      <c r="D4832" s="73"/>
      <c r="E4832" s="72"/>
      <c r="F4832" s="101"/>
      <c r="G4832" s="96">
        <f t="shared" si="301"/>
        <v>3054</v>
      </c>
      <c r="K4832" t="str">
        <f t="shared" si="302"/>
        <v>3054</v>
      </c>
      <c r="M4832" s="72"/>
      <c r="O4832" s="96">
        <f t="shared" si="303"/>
        <v>3054</v>
      </c>
      <c r="T4832" s="110"/>
    </row>
    <row r="4833" spans="3:20" x14ac:dyDescent="0.2">
      <c r="C4833" t="str">
        <f t="shared" si="300"/>
        <v>3055</v>
      </c>
      <c r="D4833" s="73"/>
      <c r="E4833" s="72"/>
      <c r="F4833" s="101"/>
      <c r="G4833" s="96">
        <f t="shared" si="301"/>
        <v>3055</v>
      </c>
      <c r="K4833" t="str">
        <f t="shared" si="302"/>
        <v>3055</v>
      </c>
      <c r="M4833" s="72"/>
      <c r="O4833" s="96">
        <f t="shared" si="303"/>
        <v>3055</v>
      </c>
      <c r="T4833" s="110"/>
    </row>
    <row r="4834" spans="3:20" x14ac:dyDescent="0.2">
      <c r="C4834" t="str">
        <f t="shared" si="300"/>
        <v>3056</v>
      </c>
      <c r="D4834" s="73"/>
      <c r="E4834" s="72"/>
      <c r="F4834" s="101"/>
      <c r="G4834" s="96">
        <f t="shared" si="301"/>
        <v>3056</v>
      </c>
      <c r="K4834" t="str">
        <f t="shared" si="302"/>
        <v>3056</v>
      </c>
      <c r="M4834" s="72"/>
      <c r="O4834" s="96">
        <f t="shared" si="303"/>
        <v>3056</v>
      </c>
      <c r="T4834" s="110"/>
    </row>
    <row r="4835" spans="3:20" x14ac:dyDescent="0.2">
      <c r="C4835" t="str">
        <f t="shared" si="300"/>
        <v>3057</v>
      </c>
      <c r="D4835" s="73"/>
      <c r="E4835" s="72"/>
      <c r="F4835" s="101"/>
      <c r="G4835" s="96">
        <f t="shared" si="301"/>
        <v>3057</v>
      </c>
      <c r="K4835" t="str">
        <f t="shared" si="302"/>
        <v>3057</v>
      </c>
      <c r="M4835" s="72"/>
      <c r="O4835" s="96">
        <f t="shared" si="303"/>
        <v>3057</v>
      </c>
      <c r="T4835" s="110"/>
    </row>
    <row r="4836" spans="3:20" x14ac:dyDescent="0.2">
      <c r="C4836" t="str">
        <f t="shared" si="300"/>
        <v>3058</v>
      </c>
      <c r="D4836" s="73"/>
      <c r="E4836" s="72"/>
      <c r="F4836" s="101"/>
      <c r="G4836" s="96">
        <f t="shared" si="301"/>
        <v>3058</v>
      </c>
      <c r="K4836" t="str">
        <f t="shared" si="302"/>
        <v>3058</v>
      </c>
      <c r="M4836" s="72"/>
      <c r="O4836" s="96">
        <f t="shared" si="303"/>
        <v>3058</v>
      </c>
      <c r="T4836" s="110"/>
    </row>
    <row r="4837" spans="3:20" x14ac:dyDescent="0.2">
      <c r="C4837" t="str">
        <f t="shared" si="300"/>
        <v>3059</v>
      </c>
      <c r="D4837" s="73"/>
      <c r="E4837" s="72"/>
      <c r="F4837" s="101"/>
      <c r="G4837" s="96">
        <f t="shared" si="301"/>
        <v>3059</v>
      </c>
      <c r="K4837" t="str">
        <f t="shared" si="302"/>
        <v>3059</v>
      </c>
      <c r="M4837" s="72"/>
      <c r="O4837" s="96">
        <f t="shared" si="303"/>
        <v>3059</v>
      </c>
      <c r="T4837" s="110"/>
    </row>
    <row r="4838" spans="3:20" x14ac:dyDescent="0.2">
      <c r="C4838" t="str">
        <f t="shared" si="300"/>
        <v>3060</v>
      </c>
      <c r="D4838" s="73"/>
      <c r="E4838" s="72"/>
      <c r="F4838" s="101"/>
      <c r="G4838" s="96">
        <f t="shared" si="301"/>
        <v>3060</v>
      </c>
      <c r="K4838" t="str">
        <f t="shared" si="302"/>
        <v>3060</v>
      </c>
      <c r="M4838" s="72"/>
      <c r="O4838" s="96">
        <f t="shared" si="303"/>
        <v>3060</v>
      </c>
      <c r="T4838" s="110"/>
    </row>
    <row r="4839" spans="3:20" x14ac:dyDescent="0.2">
      <c r="C4839" t="str">
        <f t="shared" si="300"/>
        <v>3061</v>
      </c>
      <c r="D4839" s="73"/>
      <c r="E4839" s="72"/>
      <c r="F4839" s="101"/>
      <c r="G4839" s="96">
        <f t="shared" si="301"/>
        <v>3061</v>
      </c>
      <c r="K4839" t="str">
        <f t="shared" si="302"/>
        <v>3061</v>
      </c>
      <c r="M4839" s="72"/>
      <c r="O4839" s="96">
        <f t="shared" si="303"/>
        <v>3061</v>
      </c>
      <c r="T4839" s="110"/>
    </row>
    <row r="4840" spans="3:20" x14ac:dyDescent="0.2">
      <c r="C4840" t="str">
        <f t="shared" si="300"/>
        <v>3062</v>
      </c>
      <c r="D4840" s="73"/>
      <c r="E4840" s="72"/>
      <c r="F4840" s="101"/>
      <c r="G4840" s="96">
        <f t="shared" si="301"/>
        <v>3062</v>
      </c>
      <c r="K4840" t="str">
        <f t="shared" si="302"/>
        <v>3062</v>
      </c>
      <c r="M4840" s="72"/>
      <c r="O4840" s="96">
        <f t="shared" si="303"/>
        <v>3062</v>
      </c>
      <c r="T4840" s="110"/>
    </row>
    <row r="4841" spans="3:20" x14ac:dyDescent="0.2">
      <c r="C4841" t="str">
        <f t="shared" si="300"/>
        <v>3063</v>
      </c>
      <c r="D4841" s="73"/>
      <c r="E4841" s="72"/>
      <c r="F4841" s="101"/>
      <c r="G4841" s="96">
        <f t="shared" si="301"/>
        <v>3063</v>
      </c>
      <c r="K4841" t="str">
        <f t="shared" si="302"/>
        <v>3063</v>
      </c>
      <c r="M4841" s="72"/>
      <c r="O4841" s="96">
        <f t="shared" si="303"/>
        <v>3063</v>
      </c>
      <c r="T4841" s="110"/>
    </row>
    <row r="4842" spans="3:20" x14ac:dyDescent="0.2">
      <c r="C4842" t="str">
        <f t="shared" si="300"/>
        <v>3064</v>
      </c>
      <c r="D4842" s="73"/>
      <c r="E4842" s="72"/>
      <c r="F4842" s="101"/>
      <c r="G4842" s="96">
        <f t="shared" si="301"/>
        <v>3064</v>
      </c>
      <c r="K4842" t="str">
        <f t="shared" si="302"/>
        <v>3064</v>
      </c>
      <c r="M4842" s="72"/>
      <c r="O4842" s="96">
        <f t="shared" si="303"/>
        <v>3064</v>
      </c>
      <c r="T4842" s="110"/>
    </row>
    <row r="4843" spans="3:20" x14ac:dyDescent="0.2">
      <c r="C4843" t="str">
        <f t="shared" si="300"/>
        <v>3065</v>
      </c>
      <c r="D4843" s="73"/>
      <c r="E4843" s="72"/>
      <c r="F4843" s="101"/>
      <c r="G4843" s="96">
        <f t="shared" si="301"/>
        <v>3065</v>
      </c>
      <c r="K4843" t="str">
        <f t="shared" si="302"/>
        <v>3065</v>
      </c>
      <c r="M4843" s="72"/>
      <c r="O4843" s="96">
        <f t="shared" si="303"/>
        <v>3065</v>
      </c>
      <c r="T4843" s="110"/>
    </row>
    <row r="4844" spans="3:20" x14ac:dyDescent="0.2">
      <c r="C4844" t="str">
        <f t="shared" si="300"/>
        <v>3066</v>
      </c>
      <c r="D4844" s="73"/>
      <c r="E4844" s="72"/>
      <c r="F4844" s="101"/>
      <c r="G4844" s="96">
        <f t="shared" si="301"/>
        <v>3066</v>
      </c>
      <c r="K4844" t="str">
        <f t="shared" si="302"/>
        <v>3066</v>
      </c>
      <c r="M4844" s="72"/>
      <c r="O4844" s="96">
        <f t="shared" si="303"/>
        <v>3066</v>
      </c>
      <c r="T4844" s="110"/>
    </row>
    <row r="4845" spans="3:20" x14ac:dyDescent="0.2">
      <c r="C4845" t="str">
        <f t="shared" si="300"/>
        <v>3067</v>
      </c>
      <c r="D4845" s="73"/>
      <c r="E4845" s="72"/>
      <c r="F4845" s="101"/>
      <c r="G4845" s="96">
        <f t="shared" si="301"/>
        <v>3067</v>
      </c>
      <c r="K4845" t="str">
        <f t="shared" si="302"/>
        <v>3067</v>
      </c>
      <c r="M4845" s="72"/>
      <c r="O4845" s="96">
        <f t="shared" si="303"/>
        <v>3067</v>
      </c>
      <c r="T4845" s="110"/>
    </row>
    <row r="4846" spans="3:20" x14ac:dyDescent="0.2">
      <c r="C4846" t="str">
        <f t="shared" si="300"/>
        <v>3068</v>
      </c>
      <c r="D4846" s="73"/>
      <c r="E4846" s="72"/>
      <c r="F4846" s="101"/>
      <c r="G4846" s="96">
        <f t="shared" si="301"/>
        <v>3068</v>
      </c>
      <c r="K4846" t="str">
        <f t="shared" si="302"/>
        <v>3068</v>
      </c>
      <c r="M4846" s="72"/>
      <c r="O4846" s="96">
        <f t="shared" si="303"/>
        <v>3068</v>
      </c>
      <c r="T4846" s="110"/>
    </row>
    <row r="4847" spans="3:20" x14ac:dyDescent="0.2">
      <c r="C4847" t="str">
        <f t="shared" si="300"/>
        <v>3069</v>
      </c>
      <c r="D4847" s="73"/>
      <c r="E4847" s="72"/>
      <c r="F4847" s="101"/>
      <c r="G4847" s="96">
        <f t="shared" si="301"/>
        <v>3069</v>
      </c>
      <c r="K4847" t="str">
        <f t="shared" si="302"/>
        <v>3069</v>
      </c>
      <c r="M4847" s="72"/>
      <c r="O4847" s="96">
        <f t="shared" si="303"/>
        <v>3069</v>
      </c>
      <c r="T4847" s="83"/>
    </row>
    <row r="4848" spans="3:20" x14ac:dyDescent="0.2">
      <c r="C4848" t="str">
        <f t="shared" si="300"/>
        <v>3070</v>
      </c>
      <c r="D4848" s="73"/>
      <c r="E4848" s="72"/>
      <c r="F4848" s="101"/>
      <c r="G4848" s="96">
        <f t="shared" si="301"/>
        <v>3070</v>
      </c>
      <c r="K4848" t="str">
        <f t="shared" si="302"/>
        <v>3070</v>
      </c>
      <c r="M4848" s="72"/>
      <c r="O4848" s="96">
        <f t="shared" si="303"/>
        <v>3070</v>
      </c>
      <c r="T4848" s="83"/>
    </row>
    <row r="4849" spans="3:20" x14ac:dyDescent="0.2">
      <c r="C4849" t="str">
        <f t="shared" si="300"/>
        <v>3071</v>
      </c>
      <c r="D4849" s="73"/>
      <c r="E4849" s="72"/>
      <c r="F4849" s="101"/>
      <c r="G4849" s="96">
        <f t="shared" si="301"/>
        <v>3071</v>
      </c>
      <c r="K4849" t="str">
        <f t="shared" si="302"/>
        <v>3071</v>
      </c>
      <c r="M4849" s="72"/>
      <c r="O4849" s="96">
        <f t="shared" si="303"/>
        <v>3071</v>
      </c>
      <c r="T4849" s="83"/>
    </row>
    <row r="4850" spans="3:20" x14ac:dyDescent="0.2">
      <c r="C4850" t="str">
        <f t="shared" si="300"/>
        <v>3072</v>
      </c>
      <c r="D4850" s="73"/>
      <c r="E4850" s="72"/>
      <c r="F4850" s="101"/>
      <c r="G4850" s="96">
        <f t="shared" si="301"/>
        <v>3072</v>
      </c>
      <c r="K4850" t="str">
        <f t="shared" si="302"/>
        <v>3072</v>
      </c>
      <c r="M4850" s="72"/>
      <c r="O4850" s="96">
        <f t="shared" si="303"/>
        <v>3072</v>
      </c>
      <c r="T4850" s="83"/>
    </row>
    <row r="4851" spans="3:20" x14ac:dyDescent="0.2">
      <c r="C4851" t="str">
        <f t="shared" si="300"/>
        <v>3073</v>
      </c>
      <c r="D4851" s="73"/>
      <c r="E4851" s="72"/>
      <c r="F4851" s="101"/>
      <c r="G4851" s="96">
        <f t="shared" si="301"/>
        <v>3073</v>
      </c>
      <c r="K4851" t="str">
        <f t="shared" si="302"/>
        <v>3073</v>
      </c>
      <c r="M4851" s="72"/>
      <c r="O4851" s="96">
        <f t="shared" si="303"/>
        <v>3073</v>
      </c>
      <c r="T4851" s="83"/>
    </row>
    <row r="4852" spans="3:20" x14ac:dyDescent="0.2">
      <c r="C4852" t="str">
        <f t="shared" si="300"/>
        <v>3074</v>
      </c>
      <c r="D4852" s="73"/>
      <c r="E4852" s="72"/>
      <c r="F4852" s="101"/>
      <c r="G4852" s="96">
        <f t="shared" si="301"/>
        <v>3074</v>
      </c>
      <c r="K4852" t="str">
        <f t="shared" si="302"/>
        <v>3074</v>
      </c>
      <c r="M4852" s="72"/>
      <c r="O4852" s="96">
        <f t="shared" si="303"/>
        <v>3074</v>
      </c>
      <c r="T4852" s="83"/>
    </row>
    <row r="4853" spans="3:20" x14ac:dyDescent="0.2">
      <c r="C4853" t="str">
        <f t="shared" si="300"/>
        <v>3075</v>
      </c>
      <c r="D4853" s="73"/>
      <c r="E4853" s="72"/>
      <c r="F4853" s="101"/>
      <c r="G4853" s="96">
        <f t="shared" si="301"/>
        <v>3075</v>
      </c>
      <c r="K4853" t="str">
        <f t="shared" si="302"/>
        <v>3075</v>
      </c>
      <c r="M4853" s="72"/>
      <c r="O4853" s="96">
        <f t="shared" si="303"/>
        <v>3075</v>
      </c>
      <c r="T4853" s="110"/>
    </row>
    <row r="4854" spans="3:20" x14ac:dyDescent="0.2">
      <c r="C4854" t="str">
        <f t="shared" si="300"/>
        <v>3076</v>
      </c>
      <c r="D4854" s="73"/>
      <c r="E4854" s="72"/>
      <c r="F4854" s="101"/>
      <c r="G4854" s="96">
        <f t="shared" si="301"/>
        <v>3076</v>
      </c>
      <c r="K4854" t="str">
        <f t="shared" si="302"/>
        <v>3076</v>
      </c>
      <c r="M4854" s="72"/>
      <c r="O4854" s="96">
        <f t="shared" si="303"/>
        <v>3076</v>
      </c>
      <c r="T4854" s="110"/>
    </row>
    <row r="4855" spans="3:20" x14ac:dyDescent="0.2">
      <c r="C4855" t="str">
        <f t="shared" si="300"/>
        <v>3077</v>
      </c>
      <c r="D4855" s="73"/>
      <c r="E4855" s="72"/>
      <c r="F4855" s="101"/>
      <c r="G4855" s="96">
        <f t="shared" si="301"/>
        <v>3077</v>
      </c>
      <c r="K4855" t="str">
        <f t="shared" si="302"/>
        <v>3077</v>
      </c>
      <c r="M4855" s="72"/>
      <c r="O4855" s="96">
        <f t="shared" si="303"/>
        <v>3077</v>
      </c>
      <c r="T4855" s="110"/>
    </row>
    <row r="4856" spans="3:20" x14ac:dyDescent="0.2">
      <c r="C4856" t="str">
        <f t="shared" si="300"/>
        <v>3078</v>
      </c>
      <c r="D4856" s="73"/>
      <c r="E4856" s="72"/>
      <c r="F4856" s="101"/>
      <c r="G4856" s="96">
        <f t="shared" si="301"/>
        <v>3078</v>
      </c>
      <c r="K4856" t="str">
        <f t="shared" si="302"/>
        <v>3078</v>
      </c>
      <c r="M4856" s="72"/>
      <c r="O4856" s="96">
        <f t="shared" si="303"/>
        <v>3078</v>
      </c>
      <c r="T4856" s="110"/>
    </row>
    <row r="4857" spans="3:20" x14ac:dyDescent="0.2">
      <c r="C4857" t="str">
        <f t="shared" si="300"/>
        <v>3079</v>
      </c>
      <c r="D4857" s="73"/>
      <c r="E4857" s="72"/>
      <c r="F4857" s="101"/>
      <c r="G4857" s="96">
        <f t="shared" si="301"/>
        <v>3079</v>
      </c>
      <c r="K4857" t="str">
        <f t="shared" si="302"/>
        <v>3079</v>
      </c>
      <c r="M4857" s="72"/>
      <c r="O4857" s="96">
        <f t="shared" si="303"/>
        <v>3079</v>
      </c>
      <c r="T4857" s="110"/>
    </row>
    <row r="4858" spans="3:20" x14ac:dyDescent="0.2">
      <c r="C4858" t="str">
        <f t="shared" si="300"/>
        <v>3080</v>
      </c>
      <c r="D4858" s="73"/>
      <c r="E4858" s="72"/>
      <c r="F4858" s="101"/>
      <c r="G4858" s="96">
        <f t="shared" si="301"/>
        <v>3080</v>
      </c>
      <c r="K4858" t="str">
        <f t="shared" si="302"/>
        <v>3080</v>
      </c>
      <c r="M4858" s="72"/>
      <c r="O4858" s="96">
        <f t="shared" si="303"/>
        <v>3080</v>
      </c>
      <c r="T4858" s="110"/>
    </row>
    <row r="4859" spans="3:20" x14ac:dyDescent="0.2">
      <c r="C4859" t="str">
        <f t="shared" si="300"/>
        <v>3081</v>
      </c>
      <c r="D4859" s="73"/>
      <c r="E4859" s="72"/>
      <c r="F4859" s="101"/>
      <c r="G4859" s="96">
        <f t="shared" si="301"/>
        <v>3081</v>
      </c>
      <c r="K4859" t="str">
        <f t="shared" si="302"/>
        <v>3081</v>
      </c>
      <c r="M4859" s="72"/>
      <c r="O4859" s="96">
        <f t="shared" si="303"/>
        <v>3081</v>
      </c>
      <c r="T4859" s="110"/>
    </row>
    <row r="4860" spans="3:20" x14ac:dyDescent="0.2">
      <c r="C4860" t="str">
        <f t="shared" si="300"/>
        <v>3082</v>
      </c>
      <c r="D4860" s="73"/>
      <c r="E4860" s="72"/>
      <c r="F4860" s="101"/>
      <c r="G4860" s="96">
        <f t="shared" si="301"/>
        <v>3082</v>
      </c>
      <c r="K4860" t="str">
        <f t="shared" si="302"/>
        <v>3082</v>
      </c>
      <c r="M4860" s="72"/>
      <c r="O4860" s="96">
        <f t="shared" si="303"/>
        <v>3082</v>
      </c>
      <c r="T4860" s="110"/>
    </row>
    <row r="4861" spans="3:20" x14ac:dyDescent="0.2">
      <c r="C4861" t="str">
        <f t="shared" si="300"/>
        <v>3083</v>
      </c>
      <c r="D4861" s="73"/>
      <c r="E4861" s="72"/>
      <c r="F4861" s="101"/>
      <c r="G4861" s="96">
        <f t="shared" si="301"/>
        <v>3083</v>
      </c>
      <c r="K4861" t="str">
        <f t="shared" si="302"/>
        <v>3083</v>
      </c>
      <c r="M4861" s="72"/>
      <c r="O4861" s="96">
        <f t="shared" si="303"/>
        <v>3083</v>
      </c>
      <c r="T4861" s="110"/>
    </row>
    <row r="4862" spans="3:20" x14ac:dyDescent="0.2">
      <c r="C4862" t="str">
        <f t="shared" si="300"/>
        <v>3084</v>
      </c>
      <c r="D4862" s="73"/>
      <c r="E4862" s="72"/>
      <c r="F4862" s="101"/>
      <c r="G4862" s="96">
        <f t="shared" si="301"/>
        <v>3084</v>
      </c>
      <c r="K4862" t="str">
        <f t="shared" si="302"/>
        <v>3084</v>
      </c>
      <c r="M4862" s="72"/>
      <c r="O4862" s="96">
        <f t="shared" si="303"/>
        <v>3084</v>
      </c>
      <c r="T4862" s="110"/>
    </row>
    <row r="4863" spans="3:20" x14ac:dyDescent="0.2">
      <c r="C4863" t="str">
        <f t="shared" si="300"/>
        <v>3085</v>
      </c>
      <c r="D4863" s="73"/>
      <c r="E4863" s="72"/>
      <c r="F4863" s="101"/>
      <c r="G4863" s="96">
        <f t="shared" si="301"/>
        <v>3085</v>
      </c>
      <c r="K4863" t="str">
        <f t="shared" si="302"/>
        <v>3085</v>
      </c>
      <c r="M4863" s="72"/>
      <c r="O4863" s="96">
        <f t="shared" si="303"/>
        <v>3085</v>
      </c>
      <c r="T4863" s="110"/>
    </row>
    <row r="4864" spans="3:20" x14ac:dyDescent="0.2">
      <c r="C4864" t="str">
        <f t="shared" si="300"/>
        <v>3086</v>
      </c>
      <c r="D4864" s="73"/>
      <c r="E4864" s="72"/>
      <c r="F4864" s="101"/>
      <c r="G4864" s="96">
        <f t="shared" si="301"/>
        <v>3086</v>
      </c>
      <c r="K4864" t="str">
        <f t="shared" si="302"/>
        <v>3086</v>
      </c>
      <c r="M4864" s="72"/>
      <c r="O4864" s="96">
        <f t="shared" si="303"/>
        <v>3086</v>
      </c>
      <c r="T4864" s="110"/>
    </row>
    <row r="4865" spans="3:20" x14ac:dyDescent="0.2">
      <c r="C4865" t="str">
        <f t="shared" si="300"/>
        <v>3087</v>
      </c>
      <c r="D4865" s="73"/>
      <c r="E4865" s="72"/>
      <c r="F4865" s="101"/>
      <c r="G4865" s="96">
        <f t="shared" si="301"/>
        <v>3087</v>
      </c>
      <c r="K4865" t="str">
        <f t="shared" si="302"/>
        <v>3087</v>
      </c>
      <c r="M4865" s="72"/>
      <c r="O4865" s="96">
        <f t="shared" si="303"/>
        <v>3087</v>
      </c>
      <c r="T4865" s="110"/>
    </row>
    <row r="4866" spans="3:20" x14ac:dyDescent="0.2">
      <c r="C4866" t="str">
        <f t="shared" si="300"/>
        <v>3088</v>
      </c>
      <c r="D4866" s="73"/>
      <c r="E4866" s="72"/>
      <c r="F4866" s="101"/>
      <c r="G4866" s="96">
        <f t="shared" si="301"/>
        <v>3088</v>
      </c>
      <c r="K4866" t="str">
        <f t="shared" si="302"/>
        <v>3088</v>
      </c>
      <c r="M4866" s="72"/>
      <c r="O4866" s="96">
        <f t="shared" si="303"/>
        <v>3088</v>
      </c>
      <c r="T4866" s="110"/>
    </row>
    <row r="4867" spans="3:20" x14ac:dyDescent="0.2">
      <c r="C4867" t="str">
        <f t="shared" ref="C4867:C4930" si="304">D4867&amp;G4867</f>
        <v>3089</v>
      </c>
      <c r="D4867" s="73"/>
      <c r="E4867" s="72"/>
      <c r="F4867" s="101"/>
      <c r="G4867" s="96">
        <f t="shared" ref="G4867:G4930" si="305">IF(D4867&lt;&gt;D4866,1,G4866+1)</f>
        <v>3089</v>
      </c>
      <c r="K4867" t="str">
        <f t="shared" ref="K4867:K4930" si="306">L4867&amp;O4867</f>
        <v>3089</v>
      </c>
      <c r="M4867" s="72"/>
      <c r="O4867" s="96">
        <f t="shared" ref="O4867:O4930" si="307">IF(L4867&lt;&gt;L4866,1,O4866+1)</f>
        <v>3089</v>
      </c>
      <c r="T4867" s="110"/>
    </row>
    <row r="4868" spans="3:20" x14ac:dyDescent="0.2">
      <c r="C4868" t="str">
        <f t="shared" si="304"/>
        <v>3090</v>
      </c>
      <c r="D4868" s="73"/>
      <c r="E4868" s="72"/>
      <c r="F4868" s="101"/>
      <c r="G4868" s="96">
        <f t="shared" si="305"/>
        <v>3090</v>
      </c>
      <c r="K4868" t="str">
        <f t="shared" si="306"/>
        <v>3090</v>
      </c>
      <c r="M4868" s="72"/>
      <c r="O4868" s="96">
        <f t="shared" si="307"/>
        <v>3090</v>
      </c>
      <c r="T4868" s="110"/>
    </row>
    <row r="4869" spans="3:20" x14ac:dyDescent="0.2">
      <c r="C4869" t="str">
        <f t="shared" si="304"/>
        <v>3091</v>
      </c>
      <c r="D4869" s="73"/>
      <c r="E4869" s="72"/>
      <c r="F4869" s="101"/>
      <c r="G4869" s="96">
        <f t="shared" si="305"/>
        <v>3091</v>
      </c>
      <c r="K4869" t="str">
        <f t="shared" si="306"/>
        <v>3091</v>
      </c>
      <c r="M4869" s="72"/>
      <c r="O4869" s="96">
        <f t="shared" si="307"/>
        <v>3091</v>
      </c>
      <c r="T4869" s="110"/>
    </row>
    <row r="4870" spans="3:20" x14ac:dyDescent="0.2">
      <c r="C4870" t="str">
        <f t="shared" si="304"/>
        <v>3092</v>
      </c>
      <c r="D4870" s="73"/>
      <c r="E4870" s="72"/>
      <c r="F4870" s="101"/>
      <c r="G4870" s="96">
        <f t="shared" si="305"/>
        <v>3092</v>
      </c>
      <c r="K4870" t="str">
        <f t="shared" si="306"/>
        <v>3092</v>
      </c>
      <c r="M4870" s="72"/>
      <c r="O4870" s="96">
        <f t="shared" si="307"/>
        <v>3092</v>
      </c>
      <c r="T4870" s="110"/>
    </row>
    <row r="4871" spans="3:20" x14ac:dyDescent="0.2">
      <c r="C4871" t="str">
        <f t="shared" si="304"/>
        <v>3093</v>
      </c>
      <c r="D4871" s="73"/>
      <c r="E4871" s="72"/>
      <c r="F4871" s="101"/>
      <c r="G4871" s="96">
        <f t="shared" si="305"/>
        <v>3093</v>
      </c>
      <c r="K4871" t="str">
        <f t="shared" si="306"/>
        <v>3093</v>
      </c>
      <c r="M4871" s="72"/>
      <c r="O4871" s="96">
        <f t="shared" si="307"/>
        <v>3093</v>
      </c>
      <c r="T4871" s="110"/>
    </row>
    <row r="4872" spans="3:20" x14ac:dyDescent="0.2">
      <c r="C4872" t="str">
        <f t="shared" si="304"/>
        <v>3094</v>
      </c>
      <c r="D4872" s="73"/>
      <c r="E4872" s="72"/>
      <c r="F4872" s="101"/>
      <c r="G4872" s="96">
        <f t="shared" si="305"/>
        <v>3094</v>
      </c>
      <c r="K4872" t="str">
        <f t="shared" si="306"/>
        <v>3094</v>
      </c>
      <c r="M4872" s="72"/>
      <c r="O4872" s="96">
        <f t="shared" si="307"/>
        <v>3094</v>
      </c>
      <c r="T4872" s="110"/>
    </row>
    <row r="4873" spans="3:20" x14ac:dyDescent="0.2">
      <c r="C4873" t="str">
        <f t="shared" si="304"/>
        <v>3095</v>
      </c>
      <c r="D4873" s="73"/>
      <c r="E4873" s="72"/>
      <c r="F4873" s="101"/>
      <c r="G4873" s="96">
        <f t="shared" si="305"/>
        <v>3095</v>
      </c>
      <c r="K4873" t="str">
        <f t="shared" si="306"/>
        <v>3095</v>
      </c>
      <c r="M4873" s="72"/>
      <c r="O4873" s="96">
        <f t="shared" si="307"/>
        <v>3095</v>
      </c>
      <c r="T4873" s="110"/>
    </row>
    <row r="4874" spans="3:20" x14ac:dyDescent="0.2">
      <c r="C4874" t="str">
        <f t="shared" si="304"/>
        <v>3096</v>
      </c>
      <c r="D4874" s="73"/>
      <c r="E4874" s="72"/>
      <c r="F4874" s="101"/>
      <c r="G4874" s="96">
        <f t="shared" si="305"/>
        <v>3096</v>
      </c>
      <c r="K4874" t="str">
        <f t="shared" si="306"/>
        <v>3096</v>
      </c>
      <c r="M4874" s="72"/>
      <c r="O4874" s="96">
        <f t="shared" si="307"/>
        <v>3096</v>
      </c>
      <c r="T4874" s="110"/>
    </row>
    <row r="4875" spans="3:20" x14ac:dyDescent="0.2">
      <c r="C4875" t="str">
        <f t="shared" si="304"/>
        <v>3097</v>
      </c>
      <c r="D4875" s="73"/>
      <c r="E4875" s="72"/>
      <c r="F4875" s="101"/>
      <c r="G4875" s="96">
        <f t="shared" si="305"/>
        <v>3097</v>
      </c>
      <c r="K4875" t="str">
        <f t="shared" si="306"/>
        <v>3097</v>
      </c>
      <c r="M4875" s="72"/>
      <c r="O4875" s="96">
        <f t="shared" si="307"/>
        <v>3097</v>
      </c>
      <c r="T4875" s="110"/>
    </row>
    <row r="4876" spans="3:20" x14ac:dyDescent="0.2">
      <c r="C4876" t="str">
        <f t="shared" si="304"/>
        <v>3098</v>
      </c>
      <c r="D4876" s="73"/>
      <c r="E4876" s="72"/>
      <c r="F4876" s="101"/>
      <c r="G4876" s="96">
        <f t="shared" si="305"/>
        <v>3098</v>
      </c>
      <c r="K4876" t="str">
        <f t="shared" si="306"/>
        <v>3098</v>
      </c>
      <c r="M4876" s="72"/>
      <c r="O4876" s="96">
        <f t="shared" si="307"/>
        <v>3098</v>
      </c>
      <c r="T4876" s="110"/>
    </row>
    <row r="4877" spans="3:20" x14ac:dyDescent="0.2">
      <c r="C4877" t="str">
        <f t="shared" si="304"/>
        <v>3099</v>
      </c>
      <c r="D4877" s="73"/>
      <c r="E4877" s="72"/>
      <c r="F4877" s="101"/>
      <c r="G4877" s="96">
        <f t="shared" si="305"/>
        <v>3099</v>
      </c>
      <c r="K4877" t="str">
        <f t="shared" si="306"/>
        <v>3099</v>
      </c>
      <c r="M4877" s="72"/>
      <c r="O4877" s="96">
        <f t="shared" si="307"/>
        <v>3099</v>
      </c>
      <c r="T4877" s="110"/>
    </row>
    <row r="4878" spans="3:20" x14ac:dyDescent="0.2">
      <c r="C4878" t="str">
        <f t="shared" si="304"/>
        <v>3100</v>
      </c>
      <c r="D4878" s="73"/>
      <c r="E4878" s="72"/>
      <c r="F4878" s="101"/>
      <c r="G4878" s="96">
        <f t="shared" si="305"/>
        <v>3100</v>
      </c>
      <c r="K4878" t="str">
        <f t="shared" si="306"/>
        <v>3100</v>
      </c>
      <c r="M4878" s="72"/>
      <c r="O4878" s="96">
        <f t="shared" si="307"/>
        <v>3100</v>
      </c>
      <c r="T4878" s="110"/>
    </row>
    <row r="4879" spans="3:20" x14ac:dyDescent="0.2">
      <c r="C4879" t="str">
        <f t="shared" si="304"/>
        <v>3101</v>
      </c>
      <c r="D4879" s="73"/>
      <c r="E4879" s="72"/>
      <c r="F4879" s="101"/>
      <c r="G4879" s="96">
        <f t="shared" si="305"/>
        <v>3101</v>
      </c>
      <c r="K4879" t="str">
        <f t="shared" si="306"/>
        <v>3101</v>
      </c>
      <c r="M4879" s="72"/>
      <c r="O4879" s="96">
        <f t="shared" si="307"/>
        <v>3101</v>
      </c>
      <c r="T4879" s="110"/>
    </row>
    <row r="4880" spans="3:20" x14ac:dyDescent="0.2">
      <c r="C4880" t="str">
        <f t="shared" si="304"/>
        <v>3102</v>
      </c>
      <c r="D4880" s="73"/>
      <c r="E4880" s="72"/>
      <c r="F4880" s="101"/>
      <c r="G4880" s="96">
        <f t="shared" si="305"/>
        <v>3102</v>
      </c>
      <c r="K4880" t="str">
        <f t="shared" si="306"/>
        <v>3102</v>
      </c>
      <c r="M4880" s="72"/>
      <c r="O4880" s="96">
        <f t="shared" si="307"/>
        <v>3102</v>
      </c>
      <c r="T4880" s="110"/>
    </row>
    <row r="4881" spans="3:20" x14ac:dyDescent="0.2">
      <c r="C4881" t="str">
        <f t="shared" si="304"/>
        <v>3103</v>
      </c>
      <c r="D4881" s="73"/>
      <c r="E4881" s="72"/>
      <c r="F4881" s="101"/>
      <c r="G4881" s="96">
        <f t="shared" si="305"/>
        <v>3103</v>
      </c>
      <c r="K4881" t="str">
        <f t="shared" si="306"/>
        <v>3103</v>
      </c>
      <c r="M4881" s="72"/>
      <c r="O4881" s="96">
        <f t="shared" si="307"/>
        <v>3103</v>
      </c>
      <c r="T4881" s="110"/>
    </row>
    <row r="4882" spans="3:20" x14ac:dyDescent="0.2">
      <c r="C4882" t="str">
        <f t="shared" si="304"/>
        <v>3104</v>
      </c>
      <c r="D4882" s="73"/>
      <c r="E4882" s="72"/>
      <c r="F4882" s="101"/>
      <c r="G4882" s="96">
        <f t="shared" si="305"/>
        <v>3104</v>
      </c>
      <c r="K4882" t="str">
        <f t="shared" si="306"/>
        <v>3104</v>
      </c>
      <c r="M4882" s="72"/>
      <c r="O4882" s="96">
        <f t="shared" si="307"/>
        <v>3104</v>
      </c>
      <c r="T4882" s="110"/>
    </row>
    <row r="4883" spans="3:20" x14ac:dyDescent="0.2">
      <c r="C4883" t="str">
        <f t="shared" si="304"/>
        <v>3105</v>
      </c>
      <c r="D4883" s="73"/>
      <c r="E4883" s="72"/>
      <c r="F4883" s="101"/>
      <c r="G4883" s="96">
        <f t="shared" si="305"/>
        <v>3105</v>
      </c>
      <c r="K4883" t="str">
        <f t="shared" si="306"/>
        <v>3105</v>
      </c>
      <c r="M4883" s="72"/>
      <c r="O4883" s="96">
        <f t="shared" si="307"/>
        <v>3105</v>
      </c>
      <c r="T4883" s="110"/>
    </row>
    <row r="4884" spans="3:20" x14ac:dyDescent="0.2">
      <c r="C4884" t="str">
        <f t="shared" si="304"/>
        <v>3106</v>
      </c>
      <c r="D4884" s="73"/>
      <c r="E4884" s="72"/>
      <c r="F4884" s="101"/>
      <c r="G4884" s="96">
        <f t="shared" si="305"/>
        <v>3106</v>
      </c>
      <c r="K4884" t="str">
        <f t="shared" si="306"/>
        <v>3106</v>
      </c>
      <c r="M4884" s="72"/>
      <c r="O4884" s="96">
        <f t="shared" si="307"/>
        <v>3106</v>
      </c>
      <c r="T4884" s="110"/>
    </row>
    <row r="4885" spans="3:20" x14ac:dyDescent="0.2">
      <c r="C4885" t="str">
        <f t="shared" si="304"/>
        <v>3107</v>
      </c>
      <c r="D4885" s="73"/>
      <c r="E4885" s="72"/>
      <c r="F4885" s="101"/>
      <c r="G4885" s="96">
        <f t="shared" si="305"/>
        <v>3107</v>
      </c>
      <c r="K4885" t="str">
        <f t="shared" si="306"/>
        <v>3107</v>
      </c>
      <c r="M4885" s="72"/>
      <c r="O4885" s="96">
        <f t="shared" si="307"/>
        <v>3107</v>
      </c>
      <c r="T4885" s="110"/>
    </row>
    <row r="4886" spans="3:20" x14ac:dyDescent="0.2">
      <c r="C4886" t="str">
        <f t="shared" si="304"/>
        <v>3108</v>
      </c>
      <c r="D4886" s="73"/>
      <c r="E4886" s="72"/>
      <c r="F4886" s="101"/>
      <c r="G4886" s="96">
        <f t="shared" si="305"/>
        <v>3108</v>
      </c>
      <c r="K4886" t="str">
        <f t="shared" si="306"/>
        <v>3108</v>
      </c>
      <c r="M4886" s="72"/>
      <c r="O4886" s="96">
        <f t="shared" si="307"/>
        <v>3108</v>
      </c>
      <c r="T4886" s="110"/>
    </row>
    <row r="4887" spans="3:20" x14ac:dyDescent="0.2">
      <c r="C4887" t="str">
        <f t="shared" si="304"/>
        <v>3109</v>
      </c>
      <c r="D4887" s="73"/>
      <c r="E4887" s="72"/>
      <c r="F4887" s="101"/>
      <c r="G4887" s="96">
        <f t="shared" si="305"/>
        <v>3109</v>
      </c>
      <c r="K4887" t="str">
        <f t="shared" si="306"/>
        <v>3109</v>
      </c>
      <c r="M4887" s="72"/>
      <c r="O4887" s="96">
        <f t="shared" si="307"/>
        <v>3109</v>
      </c>
      <c r="T4887" s="110"/>
    </row>
    <row r="4888" spans="3:20" x14ac:dyDescent="0.2">
      <c r="C4888" t="str">
        <f t="shared" si="304"/>
        <v>3110</v>
      </c>
      <c r="D4888" s="73"/>
      <c r="E4888" s="72"/>
      <c r="F4888" s="101"/>
      <c r="G4888" s="96">
        <f t="shared" si="305"/>
        <v>3110</v>
      </c>
      <c r="K4888" t="str">
        <f t="shared" si="306"/>
        <v>3110</v>
      </c>
      <c r="M4888" s="72"/>
      <c r="O4888" s="96">
        <f t="shared" si="307"/>
        <v>3110</v>
      </c>
      <c r="T4888" s="110"/>
    </row>
    <row r="4889" spans="3:20" x14ac:dyDescent="0.2">
      <c r="C4889" t="str">
        <f t="shared" si="304"/>
        <v>3111</v>
      </c>
      <c r="D4889" s="73"/>
      <c r="E4889" s="72"/>
      <c r="F4889" s="101"/>
      <c r="G4889" s="96">
        <f t="shared" si="305"/>
        <v>3111</v>
      </c>
      <c r="K4889" t="str">
        <f t="shared" si="306"/>
        <v>3111</v>
      </c>
      <c r="M4889" s="72"/>
      <c r="O4889" s="96">
        <f t="shared" si="307"/>
        <v>3111</v>
      </c>
      <c r="T4889" s="110"/>
    </row>
    <row r="4890" spans="3:20" x14ac:dyDescent="0.2">
      <c r="C4890" t="str">
        <f t="shared" si="304"/>
        <v>3112</v>
      </c>
      <c r="D4890" s="73"/>
      <c r="E4890" s="72"/>
      <c r="F4890" s="101"/>
      <c r="G4890" s="96">
        <f t="shared" si="305"/>
        <v>3112</v>
      </c>
      <c r="K4890" t="str">
        <f t="shared" si="306"/>
        <v>3112</v>
      </c>
      <c r="M4890" s="72"/>
      <c r="O4890" s="96">
        <f t="shared" si="307"/>
        <v>3112</v>
      </c>
      <c r="T4890" s="110"/>
    </row>
    <row r="4891" spans="3:20" x14ac:dyDescent="0.2">
      <c r="C4891" t="str">
        <f t="shared" si="304"/>
        <v>3113</v>
      </c>
      <c r="D4891" s="73"/>
      <c r="E4891" s="72"/>
      <c r="F4891" s="101"/>
      <c r="G4891" s="96">
        <f t="shared" si="305"/>
        <v>3113</v>
      </c>
      <c r="K4891" t="str">
        <f t="shared" si="306"/>
        <v>3113</v>
      </c>
      <c r="M4891" s="72"/>
      <c r="O4891" s="96">
        <f t="shared" si="307"/>
        <v>3113</v>
      </c>
      <c r="T4891" s="110"/>
    </row>
    <row r="4892" spans="3:20" x14ac:dyDescent="0.2">
      <c r="C4892" t="str">
        <f t="shared" si="304"/>
        <v>3114</v>
      </c>
      <c r="D4892" s="73"/>
      <c r="E4892" s="72"/>
      <c r="F4892" s="101"/>
      <c r="G4892" s="96">
        <f t="shared" si="305"/>
        <v>3114</v>
      </c>
      <c r="K4892" t="str">
        <f t="shared" si="306"/>
        <v>3114</v>
      </c>
      <c r="M4892" s="72"/>
      <c r="O4892" s="96">
        <f t="shared" si="307"/>
        <v>3114</v>
      </c>
      <c r="T4892" s="110"/>
    </row>
    <row r="4893" spans="3:20" x14ac:dyDescent="0.2">
      <c r="C4893" t="str">
        <f t="shared" si="304"/>
        <v>3115</v>
      </c>
      <c r="D4893" s="73"/>
      <c r="E4893" s="72"/>
      <c r="F4893" s="101"/>
      <c r="G4893" s="96">
        <f t="shared" si="305"/>
        <v>3115</v>
      </c>
      <c r="K4893" t="str">
        <f t="shared" si="306"/>
        <v>3115</v>
      </c>
      <c r="M4893" s="72"/>
      <c r="O4893" s="96">
        <f t="shared" si="307"/>
        <v>3115</v>
      </c>
      <c r="T4893" s="110"/>
    </row>
    <row r="4894" spans="3:20" x14ac:dyDescent="0.2">
      <c r="C4894" t="str">
        <f t="shared" si="304"/>
        <v>3116</v>
      </c>
      <c r="D4894" s="73"/>
      <c r="E4894" s="72"/>
      <c r="F4894" s="101"/>
      <c r="G4894" s="96">
        <f t="shared" si="305"/>
        <v>3116</v>
      </c>
      <c r="K4894" t="str">
        <f t="shared" si="306"/>
        <v>3116</v>
      </c>
      <c r="M4894" s="72"/>
      <c r="O4894" s="96">
        <f t="shared" si="307"/>
        <v>3116</v>
      </c>
      <c r="T4894" s="110"/>
    </row>
    <row r="4895" spans="3:20" x14ac:dyDescent="0.2">
      <c r="C4895" t="str">
        <f t="shared" si="304"/>
        <v>3117</v>
      </c>
      <c r="D4895" s="73"/>
      <c r="E4895" s="72"/>
      <c r="F4895" s="101"/>
      <c r="G4895" s="96">
        <f t="shared" si="305"/>
        <v>3117</v>
      </c>
      <c r="K4895" t="str">
        <f t="shared" si="306"/>
        <v>3117</v>
      </c>
      <c r="M4895" s="72"/>
      <c r="O4895" s="96">
        <f t="shared" si="307"/>
        <v>3117</v>
      </c>
      <c r="T4895" s="110"/>
    </row>
    <row r="4896" spans="3:20" x14ac:dyDescent="0.2">
      <c r="C4896" t="str">
        <f t="shared" si="304"/>
        <v>3118</v>
      </c>
      <c r="D4896" s="73"/>
      <c r="E4896" s="72"/>
      <c r="F4896" s="101"/>
      <c r="G4896" s="96">
        <f t="shared" si="305"/>
        <v>3118</v>
      </c>
      <c r="K4896" t="str">
        <f t="shared" si="306"/>
        <v>3118</v>
      </c>
      <c r="M4896" s="72"/>
      <c r="O4896" s="96">
        <f t="shared" si="307"/>
        <v>3118</v>
      </c>
      <c r="T4896" s="110"/>
    </row>
    <row r="4897" spans="3:20" x14ac:dyDescent="0.2">
      <c r="C4897" t="str">
        <f t="shared" si="304"/>
        <v>3119</v>
      </c>
      <c r="D4897" s="73"/>
      <c r="E4897" s="72"/>
      <c r="F4897" s="101"/>
      <c r="G4897" s="96">
        <f t="shared" si="305"/>
        <v>3119</v>
      </c>
      <c r="K4897" t="str">
        <f t="shared" si="306"/>
        <v>3119</v>
      </c>
      <c r="M4897" s="72"/>
      <c r="O4897" s="96">
        <f t="shared" si="307"/>
        <v>3119</v>
      </c>
      <c r="T4897" s="110"/>
    </row>
    <row r="4898" spans="3:20" x14ac:dyDescent="0.2">
      <c r="C4898" t="str">
        <f t="shared" si="304"/>
        <v>3120</v>
      </c>
      <c r="D4898" s="73"/>
      <c r="E4898" s="72"/>
      <c r="F4898" s="101"/>
      <c r="G4898" s="96">
        <f t="shared" si="305"/>
        <v>3120</v>
      </c>
      <c r="K4898" t="str">
        <f t="shared" si="306"/>
        <v>3120</v>
      </c>
      <c r="M4898" s="72"/>
      <c r="O4898" s="96">
        <f t="shared" si="307"/>
        <v>3120</v>
      </c>
      <c r="T4898" s="110"/>
    </row>
    <row r="4899" spans="3:20" x14ac:dyDescent="0.2">
      <c r="C4899" t="str">
        <f t="shared" si="304"/>
        <v>3121</v>
      </c>
      <c r="D4899" s="73"/>
      <c r="E4899" s="72"/>
      <c r="F4899" s="101"/>
      <c r="G4899" s="96">
        <f t="shared" si="305"/>
        <v>3121</v>
      </c>
      <c r="K4899" t="str">
        <f t="shared" si="306"/>
        <v>3121</v>
      </c>
      <c r="M4899" s="72"/>
      <c r="O4899" s="96">
        <f t="shared" si="307"/>
        <v>3121</v>
      </c>
      <c r="T4899" s="110"/>
    </row>
    <row r="4900" spans="3:20" x14ac:dyDescent="0.2">
      <c r="C4900" t="str">
        <f t="shared" si="304"/>
        <v>3122</v>
      </c>
      <c r="D4900" s="73"/>
      <c r="E4900" s="72"/>
      <c r="F4900" s="101"/>
      <c r="G4900" s="96">
        <f t="shared" si="305"/>
        <v>3122</v>
      </c>
      <c r="K4900" t="str">
        <f t="shared" si="306"/>
        <v>3122</v>
      </c>
      <c r="M4900" s="72"/>
      <c r="O4900" s="96">
        <f t="shared" si="307"/>
        <v>3122</v>
      </c>
      <c r="T4900" s="110"/>
    </row>
    <row r="4901" spans="3:20" x14ac:dyDescent="0.2">
      <c r="C4901" t="str">
        <f t="shared" si="304"/>
        <v>3123</v>
      </c>
      <c r="D4901" s="73"/>
      <c r="E4901" s="72"/>
      <c r="F4901" s="101"/>
      <c r="G4901" s="96">
        <f t="shared" si="305"/>
        <v>3123</v>
      </c>
      <c r="K4901" t="str">
        <f t="shared" si="306"/>
        <v>3123</v>
      </c>
      <c r="M4901" s="72"/>
      <c r="O4901" s="96">
        <f t="shared" si="307"/>
        <v>3123</v>
      </c>
      <c r="T4901" s="110"/>
    </row>
    <row r="4902" spans="3:20" x14ac:dyDescent="0.2">
      <c r="C4902" t="str">
        <f t="shared" si="304"/>
        <v>3124</v>
      </c>
      <c r="D4902" s="73"/>
      <c r="E4902" s="72"/>
      <c r="F4902" s="101"/>
      <c r="G4902" s="96">
        <f t="shared" si="305"/>
        <v>3124</v>
      </c>
      <c r="K4902" t="str">
        <f t="shared" si="306"/>
        <v>3124</v>
      </c>
      <c r="M4902" s="72"/>
      <c r="O4902" s="96">
        <f t="shared" si="307"/>
        <v>3124</v>
      </c>
      <c r="T4902" s="110"/>
    </row>
    <row r="4903" spans="3:20" x14ac:dyDescent="0.2">
      <c r="C4903" t="str">
        <f t="shared" si="304"/>
        <v>3125</v>
      </c>
      <c r="D4903" s="73"/>
      <c r="E4903" s="72"/>
      <c r="F4903" s="101"/>
      <c r="G4903" s="96">
        <f t="shared" si="305"/>
        <v>3125</v>
      </c>
      <c r="K4903" t="str">
        <f t="shared" si="306"/>
        <v>3125</v>
      </c>
      <c r="M4903" s="72"/>
      <c r="O4903" s="96">
        <f t="shared" si="307"/>
        <v>3125</v>
      </c>
      <c r="T4903" s="110"/>
    </row>
    <row r="4904" spans="3:20" x14ac:dyDescent="0.2">
      <c r="C4904" t="str">
        <f t="shared" si="304"/>
        <v>3126</v>
      </c>
      <c r="D4904" s="73"/>
      <c r="E4904" s="72"/>
      <c r="F4904" s="101"/>
      <c r="G4904" s="96">
        <f t="shared" si="305"/>
        <v>3126</v>
      </c>
      <c r="K4904" t="str">
        <f t="shared" si="306"/>
        <v>3126</v>
      </c>
      <c r="M4904" s="72"/>
      <c r="O4904" s="96">
        <f t="shared" si="307"/>
        <v>3126</v>
      </c>
      <c r="T4904" s="110"/>
    </row>
    <row r="4905" spans="3:20" x14ac:dyDescent="0.2">
      <c r="C4905" t="str">
        <f t="shared" si="304"/>
        <v>3127</v>
      </c>
      <c r="D4905" s="73"/>
      <c r="E4905" s="72"/>
      <c r="F4905" s="101"/>
      <c r="G4905" s="96">
        <f t="shared" si="305"/>
        <v>3127</v>
      </c>
      <c r="K4905" t="str">
        <f t="shared" si="306"/>
        <v>3127</v>
      </c>
      <c r="M4905" s="72"/>
      <c r="O4905" s="96">
        <f t="shared" si="307"/>
        <v>3127</v>
      </c>
      <c r="T4905" s="110"/>
    </row>
    <row r="4906" spans="3:20" x14ac:dyDescent="0.2">
      <c r="C4906" t="str">
        <f t="shared" si="304"/>
        <v>3128</v>
      </c>
      <c r="D4906" s="73"/>
      <c r="E4906" s="72"/>
      <c r="F4906" s="101"/>
      <c r="G4906" s="96">
        <f t="shared" si="305"/>
        <v>3128</v>
      </c>
      <c r="K4906" t="str">
        <f t="shared" si="306"/>
        <v>3128</v>
      </c>
      <c r="M4906" s="72"/>
      <c r="O4906" s="96">
        <f t="shared" si="307"/>
        <v>3128</v>
      </c>
      <c r="T4906" s="110"/>
    </row>
    <row r="4907" spans="3:20" x14ac:dyDescent="0.2">
      <c r="C4907" t="str">
        <f t="shared" si="304"/>
        <v>3129</v>
      </c>
      <c r="D4907" s="73"/>
      <c r="E4907" s="72"/>
      <c r="F4907" s="101"/>
      <c r="G4907" s="96">
        <f t="shared" si="305"/>
        <v>3129</v>
      </c>
      <c r="K4907" t="str">
        <f t="shared" si="306"/>
        <v>3129</v>
      </c>
      <c r="M4907" s="72"/>
      <c r="O4907" s="96">
        <f t="shared" si="307"/>
        <v>3129</v>
      </c>
      <c r="T4907" s="110"/>
    </row>
    <row r="4908" spans="3:20" x14ac:dyDescent="0.2">
      <c r="C4908" t="str">
        <f t="shared" si="304"/>
        <v>3130</v>
      </c>
      <c r="D4908" s="73"/>
      <c r="E4908" s="72"/>
      <c r="F4908" s="101"/>
      <c r="G4908" s="96">
        <f t="shared" si="305"/>
        <v>3130</v>
      </c>
      <c r="K4908" t="str">
        <f t="shared" si="306"/>
        <v>3130</v>
      </c>
      <c r="M4908" s="72"/>
      <c r="O4908" s="96">
        <f t="shared" si="307"/>
        <v>3130</v>
      </c>
      <c r="T4908" s="110"/>
    </row>
    <row r="4909" spans="3:20" x14ac:dyDescent="0.2">
      <c r="C4909" t="str">
        <f t="shared" si="304"/>
        <v>3131</v>
      </c>
      <c r="D4909" s="73"/>
      <c r="E4909" s="72"/>
      <c r="F4909" s="101"/>
      <c r="G4909" s="96">
        <f t="shared" si="305"/>
        <v>3131</v>
      </c>
      <c r="K4909" t="str">
        <f t="shared" si="306"/>
        <v>3131</v>
      </c>
      <c r="M4909" s="72"/>
      <c r="O4909" s="96">
        <f t="shared" si="307"/>
        <v>3131</v>
      </c>
      <c r="T4909" s="110"/>
    </row>
    <row r="4910" spans="3:20" x14ac:dyDescent="0.2">
      <c r="C4910" t="str">
        <f t="shared" si="304"/>
        <v>3132</v>
      </c>
      <c r="D4910" s="73"/>
      <c r="E4910" s="72"/>
      <c r="F4910" s="101"/>
      <c r="G4910" s="96">
        <f t="shared" si="305"/>
        <v>3132</v>
      </c>
      <c r="K4910" t="str">
        <f t="shared" si="306"/>
        <v>3132</v>
      </c>
      <c r="M4910" s="72"/>
      <c r="O4910" s="96">
        <f t="shared" si="307"/>
        <v>3132</v>
      </c>
      <c r="T4910" s="110"/>
    </row>
    <row r="4911" spans="3:20" x14ac:dyDescent="0.2">
      <c r="C4911" t="str">
        <f t="shared" si="304"/>
        <v>3133</v>
      </c>
      <c r="D4911" s="73"/>
      <c r="E4911" s="72"/>
      <c r="F4911" s="101"/>
      <c r="G4911" s="96">
        <f t="shared" si="305"/>
        <v>3133</v>
      </c>
      <c r="K4911" t="str">
        <f t="shared" si="306"/>
        <v>3133</v>
      </c>
      <c r="M4911" s="72"/>
      <c r="O4911" s="96">
        <f t="shared" si="307"/>
        <v>3133</v>
      </c>
      <c r="T4911" s="110"/>
    </row>
    <row r="4912" spans="3:20" x14ac:dyDescent="0.2">
      <c r="C4912" t="str">
        <f t="shared" si="304"/>
        <v>3134</v>
      </c>
      <c r="D4912" s="73"/>
      <c r="E4912" s="72"/>
      <c r="F4912" s="101"/>
      <c r="G4912" s="96">
        <f t="shared" si="305"/>
        <v>3134</v>
      </c>
      <c r="K4912" t="str">
        <f t="shared" si="306"/>
        <v>3134</v>
      </c>
      <c r="M4912" s="72"/>
      <c r="O4912" s="96">
        <f t="shared" si="307"/>
        <v>3134</v>
      </c>
      <c r="T4912" s="110"/>
    </row>
    <row r="4913" spans="3:20" x14ac:dyDescent="0.2">
      <c r="C4913" t="str">
        <f t="shared" si="304"/>
        <v>3135</v>
      </c>
      <c r="D4913" s="73"/>
      <c r="E4913" s="72"/>
      <c r="F4913" s="101"/>
      <c r="G4913" s="96">
        <f t="shared" si="305"/>
        <v>3135</v>
      </c>
      <c r="K4913" t="str">
        <f t="shared" si="306"/>
        <v>3135</v>
      </c>
      <c r="M4913" s="72"/>
      <c r="O4913" s="96">
        <f t="shared" si="307"/>
        <v>3135</v>
      </c>
      <c r="T4913" s="110"/>
    </row>
    <row r="4914" spans="3:20" x14ac:dyDescent="0.2">
      <c r="C4914" t="str">
        <f t="shared" si="304"/>
        <v>3136</v>
      </c>
      <c r="D4914" s="73"/>
      <c r="E4914" s="72"/>
      <c r="F4914" s="101"/>
      <c r="G4914" s="96">
        <f t="shared" si="305"/>
        <v>3136</v>
      </c>
      <c r="K4914" t="str">
        <f t="shared" si="306"/>
        <v>3136</v>
      </c>
      <c r="M4914" s="72"/>
      <c r="O4914" s="96">
        <f t="shared" si="307"/>
        <v>3136</v>
      </c>
      <c r="T4914" s="110"/>
    </row>
    <row r="4915" spans="3:20" x14ac:dyDescent="0.2">
      <c r="C4915" t="str">
        <f t="shared" si="304"/>
        <v>3137</v>
      </c>
      <c r="D4915" s="73"/>
      <c r="E4915" s="72"/>
      <c r="F4915" s="101"/>
      <c r="G4915" s="96">
        <f t="shared" si="305"/>
        <v>3137</v>
      </c>
      <c r="K4915" t="str">
        <f t="shared" si="306"/>
        <v>3137</v>
      </c>
      <c r="M4915" s="72"/>
      <c r="O4915" s="96">
        <f t="shared" si="307"/>
        <v>3137</v>
      </c>
      <c r="T4915" s="110"/>
    </row>
    <row r="4916" spans="3:20" x14ac:dyDescent="0.2">
      <c r="C4916" t="str">
        <f t="shared" si="304"/>
        <v>3138</v>
      </c>
      <c r="D4916" s="73"/>
      <c r="E4916" s="72"/>
      <c r="F4916" s="101"/>
      <c r="G4916" s="96">
        <f t="shared" si="305"/>
        <v>3138</v>
      </c>
      <c r="K4916" t="str">
        <f t="shared" si="306"/>
        <v>3138</v>
      </c>
      <c r="M4916" s="72"/>
      <c r="O4916" s="96">
        <f t="shared" si="307"/>
        <v>3138</v>
      </c>
      <c r="T4916" s="110"/>
    </row>
    <row r="4917" spans="3:20" x14ac:dyDescent="0.2">
      <c r="C4917" t="str">
        <f t="shared" si="304"/>
        <v>3139</v>
      </c>
      <c r="D4917" s="73"/>
      <c r="E4917" s="72"/>
      <c r="F4917" s="101"/>
      <c r="G4917" s="96">
        <f t="shared" si="305"/>
        <v>3139</v>
      </c>
      <c r="K4917" t="str">
        <f t="shared" si="306"/>
        <v>3139</v>
      </c>
      <c r="M4917" s="72"/>
      <c r="O4917" s="96">
        <f t="shared" si="307"/>
        <v>3139</v>
      </c>
      <c r="T4917" s="110"/>
    </row>
    <row r="4918" spans="3:20" x14ac:dyDescent="0.2">
      <c r="C4918" t="str">
        <f t="shared" si="304"/>
        <v>3140</v>
      </c>
      <c r="D4918" s="73"/>
      <c r="E4918" s="72"/>
      <c r="F4918" s="101"/>
      <c r="G4918" s="96">
        <f t="shared" si="305"/>
        <v>3140</v>
      </c>
      <c r="K4918" t="str">
        <f t="shared" si="306"/>
        <v>3140</v>
      </c>
      <c r="M4918" s="72"/>
      <c r="O4918" s="96">
        <f t="shared" si="307"/>
        <v>3140</v>
      </c>
      <c r="T4918" s="110"/>
    </row>
    <row r="4919" spans="3:20" x14ac:dyDescent="0.2">
      <c r="C4919" t="str">
        <f t="shared" si="304"/>
        <v>3141</v>
      </c>
      <c r="D4919" s="73"/>
      <c r="E4919" s="72"/>
      <c r="F4919" s="101"/>
      <c r="G4919" s="96">
        <f t="shared" si="305"/>
        <v>3141</v>
      </c>
      <c r="K4919" t="str">
        <f t="shared" si="306"/>
        <v>3141</v>
      </c>
      <c r="M4919" s="72"/>
      <c r="O4919" s="96">
        <f t="shared" si="307"/>
        <v>3141</v>
      </c>
      <c r="T4919" s="110"/>
    </row>
    <row r="4920" spans="3:20" x14ac:dyDescent="0.2">
      <c r="C4920" t="str">
        <f t="shared" si="304"/>
        <v>3142</v>
      </c>
      <c r="D4920" s="73"/>
      <c r="E4920" s="72"/>
      <c r="F4920" s="101"/>
      <c r="G4920" s="96">
        <f t="shared" si="305"/>
        <v>3142</v>
      </c>
      <c r="K4920" t="str">
        <f t="shared" si="306"/>
        <v>3142</v>
      </c>
      <c r="M4920" s="72"/>
      <c r="O4920" s="96">
        <f t="shared" si="307"/>
        <v>3142</v>
      </c>
      <c r="T4920" s="110"/>
    </row>
    <row r="4921" spans="3:20" x14ac:dyDescent="0.2">
      <c r="C4921" t="str">
        <f t="shared" si="304"/>
        <v>3143</v>
      </c>
      <c r="D4921" s="73"/>
      <c r="E4921" s="72"/>
      <c r="F4921" s="101"/>
      <c r="G4921" s="96">
        <f t="shared" si="305"/>
        <v>3143</v>
      </c>
      <c r="K4921" t="str">
        <f t="shared" si="306"/>
        <v>3143</v>
      </c>
      <c r="M4921" s="72"/>
      <c r="O4921" s="96">
        <f t="shared" si="307"/>
        <v>3143</v>
      </c>
      <c r="T4921" s="110"/>
    </row>
    <row r="4922" spans="3:20" x14ac:dyDescent="0.2">
      <c r="C4922" t="str">
        <f t="shared" si="304"/>
        <v>3144</v>
      </c>
      <c r="D4922" s="73"/>
      <c r="E4922" s="72"/>
      <c r="F4922" s="101"/>
      <c r="G4922" s="96">
        <f t="shared" si="305"/>
        <v>3144</v>
      </c>
      <c r="K4922" t="str">
        <f t="shared" si="306"/>
        <v>3144</v>
      </c>
      <c r="M4922" s="72"/>
      <c r="O4922" s="96">
        <f t="shared" si="307"/>
        <v>3144</v>
      </c>
      <c r="T4922" s="110"/>
    </row>
    <row r="4923" spans="3:20" x14ac:dyDescent="0.2">
      <c r="C4923" t="str">
        <f t="shared" si="304"/>
        <v>3145</v>
      </c>
      <c r="D4923" s="73"/>
      <c r="E4923" s="72"/>
      <c r="F4923" s="101"/>
      <c r="G4923" s="96">
        <f t="shared" si="305"/>
        <v>3145</v>
      </c>
      <c r="K4923" t="str">
        <f t="shared" si="306"/>
        <v>3145</v>
      </c>
      <c r="M4923" s="72"/>
      <c r="O4923" s="96">
        <f t="shared" si="307"/>
        <v>3145</v>
      </c>
      <c r="T4923" s="110"/>
    </row>
    <row r="4924" spans="3:20" x14ac:dyDescent="0.2">
      <c r="C4924" t="str">
        <f t="shared" si="304"/>
        <v>3146</v>
      </c>
      <c r="D4924" s="73"/>
      <c r="E4924" s="72"/>
      <c r="F4924" s="101"/>
      <c r="G4924" s="96">
        <f t="shared" si="305"/>
        <v>3146</v>
      </c>
      <c r="K4924" t="str">
        <f t="shared" si="306"/>
        <v>3146</v>
      </c>
      <c r="M4924" s="72"/>
      <c r="O4924" s="96">
        <f t="shared" si="307"/>
        <v>3146</v>
      </c>
      <c r="T4924" s="110"/>
    </row>
    <row r="4925" spans="3:20" x14ac:dyDescent="0.2">
      <c r="C4925" t="str">
        <f t="shared" si="304"/>
        <v>3147</v>
      </c>
      <c r="D4925" s="73"/>
      <c r="E4925" s="72"/>
      <c r="F4925" s="101"/>
      <c r="G4925" s="96">
        <f t="shared" si="305"/>
        <v>3147</v>
      </c>
      <c r="K4925" t="str">
        <f t="shared" si="306"/>
        <v>3147</v>
      </c>
      <c r="M4925" s="72"/>
      <c r="O4925" s="96">
        <f t="shared" si="307"/>
        <v>3147</v>
      </c>
      <c r="T4925" s="110"/>
    </row>
    <row r="4926" spans="3:20" x14ac:dyDescent="0.2">
      <c r="C4926" t="str">
        <f t="shared" si="304"/>
        <v>3148</v>
      </c>
      <c r="D4926" s="73"/>
      <c r="E4926" s="72"/>
      <c r="F4926" s="101"/>
      <c r="G4926" s="96">
        <f t="shared" si="305"/>
        <v>3148</v>
      </c>
      <c r="K4926" t="str">
        <f t="shared" si="306"/>
        <v>3148</v>
      </c>
      <c r="M4926" s="72"/>
      <c r="O4926" s="96">
        <f t="shared" si="307"/>
        <v>3148</v>
      </c>
      <c r="T4926" s="110"/>
    </row>
    <row r="4927" spans="3:20" x14ac:dyDescent="0.2">
      <c r="C4927" t="str">
        <f t="shared" si="304"/>
        <v>3149</v>
      </c>
      <c r="D4927" s="73"/>
      <c r="E4927" s="72"/>
      <c r="F4927" s="101"/>
      <c r="G4927" s="96">
        <f t="shared" si="305"/>
        <v>3149</v>
      </c>
      <c r="K4927" t="str">
        <f t="shared" si="306"/>
        <v>3149</v>
      </c>
      <c r="M4927" s="72"/>
      <c r="O4927" s="96">
        <f t="shared" si="307"/>
        <v>3149</v>
      </c>
      <c r="T4927" s="110"/>
    </row>
    <row r="4928" spans="3:20" x14ac:dyDescent="0.2">
      <c r="C4928" t="str">
        <f t="shared" si="304"/>
        <v>3150</v>
      </c>
      <c r="D4928" s="73"/>
      <c r="E4928" s="72"/>
      <c r="F4928" s="101"/>
      <c r="G4928" s="96">
        <f t="shared" si="305"/>
        <v>3150</v>
      </c>
      <c r="K4928" t="str">
        <f t="shared" si="306"/>
        <v>3150</v>
      </c>
      <c r="M4928" s="72"/>
      <c r="O4928" s="96">
        <f t="shared" si="307"/>
        <v>3150</v>
      </c>
      <c r="T4928" s="110"/>
    </row>
    <row r="4929" spans="3:20" x14ac:dyDescent="0.2">
      <c r="C4929" t="str">
        <f t="shared" si="304"/>
        <v>3151</v>
      </c>
      <c r="D4929" s="73"/>
      <c r="E4929" s="72"/>
      <c r="F4929" s="101"/>
      <c r="G4929" s="96">
        <f t="shared" si="305"/>
        <v>3151</v>
      </c>
      <c r="K4929" t="str">
        <f t="shared" si="306"/>
        <v>3151</v>
      </c>
      <c r="M4929" s="72"/>
      <c r="O4929" s="96">
        <f t="shared" si="307"/>
        <v>3151</v>
      </c>
    </row>
    <row r="4930" spans="3:20" x14ac:dyDescent="0.2">
      <c r="C4930" t="str">
        <f t="shared" si="304"/>
        <v>3152</v>
      </c>
      <c r="D4930" s="73"/>
      <c r="E4930" s="72"/>
      <c r="F4930" s="101"/>
      <c r="G4930" s="96">
        <f t="shared" si="305"/>
        <v>3152</v>
      </c>
      <c r="K4930" t="str">
        <f t="shared" si="306"/>
        <v>3152</v>
      </c>
      <c r="M4930" s="72"/>
      <c r="O4930" s="96">
        <f t="shared" si="307"/>
        <v>3152</v>
      </c>
      <c r="T4930" s="110"/>
    </row>
    <row r="4931" spans="3:20" x14ac:dyDescent="0.2">
      <c r="C4931" t="str">
        <f t="shared" ref="C4931:C4994" si="308">D4931&amp;G4931</f>
        <v>3153</v>
      </c>
      <c r="D4931" s="73"/>
      <c r="E4931" s="72"/>
      <c r="F4931" s="101"/>
      <c r="G4931" s="96">
        <f t="shared" ref="G4931:G4994" si="309">IF(D4931&lt;&gt;D4930,1,G4930+1)</f>
        <v>3153</v>
      </c>
      <c r="K4931" t="str">
        <f t="shared" ref="K4931:K4994" si="310">L4931&amp;O4931</f>
        <v>3153</v>
      </c>
      <c r="M4931" s="72"/>
      <c r="O4931" s="96">
        <f t="shared" ref="O4931:O4994" si="311">IF(L4931&lt;&gt;L4930,1,O4930+1)</f>
        <v>3153</v>
      </c>
      <c r="T4931" s="110"/>
    </row>
    <row r="4932" spans="3:20" x14ac:dyDescent="0.2">
      <c r="C4932" t="str">
        <f t="shared" si="308"/>
        <v>3154</v>
      </c>
      <c r="D4932" s="73"/>
      <c r="E4932" s="72"/>
      <c r="F4932" s="101"/>
      <c r="G4932" s="96">
        <f t="shared" si="309"/>
        <v>3154</v>
      </c>
      <c r="K4932" t="str">
        <f t="shared" si="310"/>
        <v>3154</v>
      </c>
      <c r="M4932" s="72"/>
      <c r="O4932" s="96">
        <f t="shared" si="311"/>
        <v>3154</v>
      </c>
      <c r="T4932" s="110"/>
    </row>
    <row r="4933" spans="3:20" x14ac:dyDescent="0.2">
      <c r="C4933" t="str">
        <f t="shared" si="308"/>
        <v>3155</v>
      </c>
      <c r="D4933" s="73"/>
      <c r="E4933" s="72"/>
      <c r="F4933" s="101"/>
      <c r="G4933" s="96">
        <f t="shared" si="309"/>
        <v>3155</v>
      </c>
      <c r="K4933" t="str">
        <f t="shared" si="310"/>
        <v>3155</v>
      </c>
      <c r="M4933" s="72"/>
      <c r="O4933" s="96">
        <f t="shared" si="311"/>
        <v>3155</v>
      </c>
      <c r="T4933" s="110"/>
    </row>
    <row r="4934" spans="3:20" x14ac:dyDescent="0.2">
      <c r="C4934" t="str">
        <f t="shared" si="308"/>
        <v>3156</v>
      </c>
      <c r="D4934" s="73"/>
      <c r="E4934" s="72"/>
      <c r="F4934" s="101"/>
      <c r="G4934" s="96">
        <f t="shared" si="309"/>
        <v>3156</v>
      </c>
      <c r="K4934" t="str">
        <f t="shared" si="310"/>
        <v>3156</v>
      </c>
      <c r="M4934" s="72"/>
      <c r="O4934" s="96">
        <f t="shared" si="311"/>
        <v>3156</v>
      </c>
      <c r="T4934" s="110"/>
    </row>
    <row r="4935" spans="3:20" x14ac:dyDescent="0.2">
      <c r="C4935" t="str">
        <f t="shared" si="308"/>
        <v>3157</v>
      </c>
      <c r="D4935" s="73"/>
      <c r="E4935" s="72"/>
      <c r="F4935" s="101"/>
      <c r="G4935" s="96">
        <f t="shared" si="309"/>
        <v>3157</v>
      </c>
      <c r="K4935" t="str">
        <f t="shared" si="310"/>
        <v>3157</v>
      </c>
      <c r="M4935" s="72"/>
      <c r="O4935" s="96">
        <f t="shared" si="311"/>
        <v>3157</v>
      </c>
      <c r="T4935" s="110"/>
    </row>
    <row r="4936" spans="3:20" x14ac:dyDescent="0.2">
      <c r="C4936" t="str">
        <f t="shared" si="308"/>
        <v>3158</v>
      </c>
      <c r="D4936" s="73"/>
      <c r="E4936" s="72"/>
      <c r="F4936" s="101"/>
      <c r="G4936" s="96">
        <f t="shared" si="309"/>
        <v>3158</v>
      </c>
      <c r="K4936" t="str">
        <f t="shared" si="310"/>
        <v>3158</v>
      </c>
      <c r="M4936" s="72"/>
      <c r="O4936" s="96">
        <f t="shared" si="311"/>
        <v>3158</v>
      </c>
      <c r="T4936" s="110"/>
    </row>
    <row r="4937" spans="3:20" x14ac:dyDescent="0.2">
      <c r="C4937" t="str">
        <f t="shared" si="308"/>
        <v>3159</v>
      </c>
      <c r="D4937" s="73"/>
      <c r="E4937" s="72"/>
      <c r="F4937" s="101"/>
      <c r="G4937" s="96">
        <f t="shared" si="309"/>
        <v>3159</v>
      </c>
      <c r="K4937" t="str">
        <f t="shared" si="310"/>
        <v>3159</v>
      </c>
      <c r="M4937" s="72"/>
      <c r="O4937" s="96">
        <f t="shared" si="311"/>
        <v>3159</v>
      </c>
      <c r="T4937" s="110"/>
    </row>
    <row r="4938" spans="3:20" x14ac:dyDescent="0.2">
      <c r="C4938" t="str">
        <f t="shared" si="308"/>
        <v>3160</v>
      </c>
      <c r="D4938" s="73"/>
      <c r="E4938" s="72"/>
      <c r="F4938" s="101"/>
      <c r="G4938" s="96">
        <f t="shared" si="309"/>
        <v>3160</v>
      </c>
      <c r="K4938" t="str">
        <f t="shared" si="310"/>
        <v>3160</v>
      </c>
      <c r="M4938" s="72"/>
      <c r="O4938" s="96">
        <f t="shared" si="311"/>
        <v>3160</v>
      </c>
      <c r="T4938" s="110"/>
    </row>
    <row r="4939" spans="3:20" x14ac:dyDescent="0.2">
      <c r="C4939" t="str">
        <f t="shared" si="308"/>
        <v>3161</v>
      </c>
      <c r="D4939" s="73"/>
      <c r="E4939" s="72"/>
      <c r="F4939" s="101"/>
      <c r="G4939" s="96">
        <f t="shared" si="309"/>
        <v>3161</v>
      </c>
      <c r="K4939" t="str">
        <f t="shared" si="310"/>
        <v>3161</v>
      </c>
      <c r="M4939" s="72"/>
      <c r="O4939" s="96">
        <f t="shared" si="311"/>
        <v>3161</v>
      </c>
      <c r="T4939" s="110"/>
    </row>
    <row r="4940" spans="3:20" x14ac:dyDescent="0.2">
      <c r="C4940" t="str">
        <f t="shared" si="308"/>
        <v>3162</v>
      </c>
      <c r="D4940" s="73"/>
      <c r="E4940" s="72"/>
      <c r="F4940" s="101"/>
      <c r="G4940" s="96">
        <f t="shared" si="309"/>
        <v>3162</v>
      </c>
      <c r="K4940" t="str">
        <f t="shared" si="310"/>
        <v>3162</v>
      </c>
      <c r="M4940" s="72"/>
      <c r="O4940" s="96">
        <f t="shared" si="311"/>
        <v>3162</v>
      </c>
      <c r="T4940" s="110"/>
    </row>
    <row r="4941" spans="3:20" x14ac:dyDescent="0.2">
      <c r="C4941" t="str">
        <f t="shared" si="308"/>
        <v>3163</v>
      </c>
      <c r="D4941" s="73"/>
      <c r="E4941" s="72"/>
      <c r="F4941" s="101"/>
      <c r="G4941" s="96">
        <f t="shared" si="309"/>
        <v>3163</v>
      </c>
      <c r="K4941" t="str">
        <f t="shared" si="310"/>
        <v>3163</v>
      </c>
      <c r="M4941" s="72"/>
      <c r="O4941" s="96">
        <f t="shared" si="311"/>
        <v>3163</v>
      </c>
      <c r="T4941" s="110"/>
    </row>
    <row r="4942" spans="3:20" x14ac:dyDescent="0.2">
      <c r="C4942" t="str">
        <f t="shared" si="308"/>
        <v>3164</v>
      </c>
      <c r="D4942" s="73"/>
      <c r="E4942" s="72"/>
      <c r="F4942" s="101"/>
      <c r="G4942" s="96">
        <f t="shared" si="309"/>
        <v>3164</v>
      </c>
      <c r="K4942" t="str">
        <f t="shared" si="310"/>
        <v>3164</v>
      </c>
      <c r="M4942" s="72"/>
      <c r="O4942" s="96">
        <f t="shared" si="311"/>
        <v>3164</v>
      </c>
      <c r="T4942" s="110"/>
    </row>
    <row r="4943" spans="3:20" x14ac:dyDescent="0.2">
      <c r="C4943" t="str">
        <f t="shared" si="308"/>
        <v>3165</v>
      </c>
      <c r="D4943" s="73"/>
      <c r="E4943" s="72"/>
      <c r="F4943" s="101"/>
      <c r="G4943" s="96">
        <f t="shared" si="309"/>
        <v>3165</v>
      </c>
      <c r="K4943" t="str">
        <f t="shared" si="310"/>
        <v>3165</v>
      </c>
      <c r="M4943" s="72"/>
      <c r="O4943" s="96">
        <f t="shared" si="311"/>
        <v>3165</v>
      </c>
      <c r="T4943" s="110"/>
    </row>
    <row r="4944" spans="3:20" x14ac:dyDescent="0.2">
      <c r="C4944" t="str">
        <f t="shared" si="308"/>
        <v>3166</v>
      </c>
      <c r="D4944" s="73"/>
      <c r="E4944" s="72"/>
      <c r="F4944" s="101"/>
      <c r="G4944" s="96">
        <f t="shared" si="309"/>
        <v>3166</v>
      </c>
      <c r="K4944" t="str">
        <f t="shared" si="310"/>
        <v>3166</v>
      </c>
      <c r="M4944" s="72"/>
      <c r="O4944" s="96">
        <f t="shared" si="311"/>
        <v>3166</v>
      </c>
      <c r="T4944" s="110"/>
    </row>
    <row r="4945" spans="3:20" x14ac:dyDescent="0.2">
      <c r="C4945" t="str">
        <f t="shared" si="308"/>
        <v>3167</v>
      </c>
      <c r="D4945" s="73"/>
      <c r="E4945" s="72"/>
      <c r="F4945" s="101"/>
      <c r="G4945" s="96">
        <f t="shared" si="309"/>
        <v>3167</v>
      </c>
      <c r="K4945" t="str">
        <f t="shared" si="310"/>
        <v>3167</v>
      </c>
      <c r="M4945" s="72"/>
      <c r="O4945" s="96">
        <f t="shared" si="311"/>
        <v>3167</v>
      </c>
      <c r="T4945" s="110"/>
    </row>
    <row r="4946" spans="3:20" x14ac:dyDescent="0.2">
      <c r="C4946" t="str">
        <f t="shared" si="308"/>
        <v>3168</v>
      </c>
      <c r="D4946" s="73"/>
      <c r="E4946" s="72"/>
      <c r="F4946" s="101"/>
      <c r="G4946" s="96">
        <f t="shared" si="309"/>
        <v>3168</v>
      </c>
      <c r="K4946" t="str">
        <f t="shared" si="310"/>
        <v>3168</v>
      </c>
      <c r="M4946" s="72"/>
      <c r="O4946" s="96">
        <f t="shared" si="311"/>
        <v>3168</v>
      </c>
      <c r="T4946" s="110"/>
    </row>
    <row r="4947" spans="3:20" x14ac:dyDescent="0.2">
      <c r="C4947" t="str">
        <f t="shared" si="308"/>
        <v>3169</v>
      </c>
      <c r="D4947" s="73"/>
      <c r="E4947" s="72"/>
      <c r="F4947" s="101"/>
      <c r="G4947" s="96">
        <f t="shared" si="309"/>
        <v>3169</v>
      </c>
      <c r="K4947" t="str">
        <f t="shared" si="310"/>
        <v>3169</v>
      </c>
      <c r="M4947" s="72"/>
      <c r="O4947" s="96">
        <f t="shared" si="311"/>
        <v>3169</v>
      </c>
      <c r="T4947" s="110"/>
    </row>
    <row r="4948" spans="3:20" x14ac:dyDescent="0.2">
      <c r="C4948" t="str">
        <f t="shared" si="308"/>
        <v>3170</v>
      </c>
      <c r="D4948" s="73"/>
      <c r="E4948" s="72"/>
      <c r="F4948" s="101"/>
      <c r="G4948" s="96">
        <f t="shared" si="309"/>
        <v>3170</v>
      </c>
      <c r="K4948" t="str">
        <f t="shared" si="310"/>
        <v>3170</v>
      </c>
      <c r="M4948" s="72"/>
      <c r="O4948" s="96">
        <f t="shared" si="311"/>
        <v>3170</v>
      </c>
      <c r="T4948" s="110"/>
    </row>
    <row r="4949" spans="3:20" x14ac:dyDescent="0.2">
      <c r="C4949" t="str">
        <f t="shared" si="308"/>
        <v>3171</v>
      </c>
      <c r="D4949" s="73"/>
      <c r="E4949" s="72"/>
      <c r="F4949" s="101"/>
      <c r="G4949" s="96">
        <f t="shared" si="309"/>
        <v>3171</v>
      </c>
      <c r="K4949" t="str">
        <f t="shared" si="310"/>
        <v>3171</v>
      </c>
      <c r="M4949" s="72"/>
      <c r="O4949" s="96">
        <f t="shared" si="311"/>
        <v>3171</v>
      </c>
      <c r="T4949" s="110"/>
    </row>
    <row r="4950" spans="3:20" x14ac:dyDescent="0.2">
      <c r="C4950" t="str">
        <f t="shared" si="308"/>
        <v>3172</v>
      </c>
      <c r="D4950" s="73"/>
      <c r="E4950" s="72"/>
      <c r="F4950" s="101"/>
      <c r="G4950" s="96">
        <f t="shared" si="309"/>
        <v>3172</v>
      </c>
      <c r="K4950" t="str">
        <f t="shared" si="310"/>
        <v>3172</v>
      </c>
      <c r="M4950" s="72"/>
      <c r="O4950" s="96">
        <f t="shared" si="311"/>
        <v>3172</v>
      </c>
      <c r="T4950" s="110"/>
    </row>
    <row r="4951" spans="3:20" x14ac:dyDescent="0.2">
      <c r="C4951" t="str">
        <f t="shared" si="308"/>
        <v>3173</v>
      </c>
      <c r="D4951" s="73"/>
      <c r="E4951" s="72"/>
      <c r="F4951" s="101"/>
      <c r="G4951" s="96">
        <f t="shared" si="309"/>
        <v>3173</v>
      </c>
      <c r="K4951" t="str">
        <f t="shared" si="310"/>
        <v>3173</v>
      </c>
      <c r="M4951" s="72"/>
      <c r="O4951" s="96">
        <f t="shared" si="311"/>
        <v>3173</v>
      </c>
      <c r="T4951" s="110"/>
    </row>
    <row r="4952" spans="3:20" x14ac:dyDescent="0.2">
      <c r="C4952" t="str">
        <f t="shared" si="308"/>
        <v>3174</v>
      </c>
      <c r="D4952" s="73"/>
      <c r="E4952" s="72"/>
      <c r="F4952" s="101"/>
      <c r="G4952" s="96">
        <f t="shared" si="309"/>
        <v>3174</v>
      </c>
      <c r="K4952" t="str">
        <f t="shared" si="310"/>
        <v>3174</v>
      </c>
      <c r="M4952" s="72"/>
      <c r="O4952" s="96">
        <f t="shared" si="311"/>
        <v>3174</v>
      </c>
      <c r="T4952" s="110"/>
    </row>
    <row r="4953" spans="3:20" x14ac:dyDescent="0.2">
      <c r="C4953" t="str">
        <f t="shared" si="308"/>
        <v>3175</v>
      </c>
      <c r="D4953" s="73"/>
      <c r="E4953" s="72"/>
      <c r="F4953" s="101"/>
      <c r="G4953" s="96">
        <f t="shared" si="309"/>
        <v>3175</v>
      </c>
      <c r="K4953" t="str">
        <f t="shared" si="310"/>
        <v>3175</v>
      </c>
      <c r="M4953" s="72"/>
      <c r="O4953" s="96">
        <f t="shared" si="311"/>
        <v>3175</v>
      </c>
      <c r="T4953" s="110"/>
    </row>
    <row r="4954" spans="3:20" x14ac:dyDescent="0.2">
      <c r="C4954" t="str">
        <f t="shared" si="308"/>
        <v>3176</v>
      </c>
      <c r="D4954" s="73"/>
      <c r="E4954" s="72"/>
      <c r="F4954" s="101"/>
      <c r="G4954" s="96">
        <f t="shared" si="309"/>
        <v>3176</v>
      </c>
      <c r="K4954" t="str">
        <f t="shared" si="310"/>
        <v>3176</v>
      </c>
      <c r="M4954" s="72"/>
      <c r="O4954" s="96">
        <f t="shared" si="311"/>
        <v>3176</v>
      </c>
      <c r="T4954" s="110"/>
    </row>
    <row r="4955" spans="3:20" x14ac:dyDescent="0.2">
      <c r="C4955" t="str">
        <f t="shared" si="308"/>
        <v>3177</v>
      </c>
      <c r="D4955" s="73"/>
      <c r="E4955" s="72"/>
      <c r="F4955" s="101"/>
      <c r="G4955" s="96">
        <f t="shared" si="309"/>
        <v>3177</v>
      </c>
      <c r="K4955" t="str">
        <f t="shared" si="310"/>
        <v>3177</v>
      </c>
      <c r="M4955" s="72"/>
      <c r="O4955" s="96">
        <f t="shared" si="311"/>
        <v>3177</v>
      </c>
      <c r="T4955" s="110"/>
    </row>
    <row r="4956" spans="3:20" x14ac:dyDescent="0.2">
      <c r="C4956" t="str">
        <f t="shared" si="308"/>
        <v>3178</v>
      </c>
      <c r="D4956" s="73"/>
      <c r="E4956" s="72"/>
      <c r="F4956" s="101"/>
      <c r="G4956" s="96">
        <f t="shared" si="309"/>
        <v>3178</v>
      </c>
      <c r="K4956" t="str">
        <f t="shared" si="310"/>
        <v>3178</v>
      </c>
      <c r="M4956" s="72"/>
      <c r="O4956" s="96">
        <f t="shared" si="311"/>
        <v>3178</v>
      </c>
      <c r="T4956" s="110"/>
    </row>
    <row r="4957" spans="3:20" x14ac:dyDescent="0.2">
      <c r="C4957" t="str">
        <f t="shared" si="308"/>
        <v>3179</v>
      </c>
      <c r="D4957" s="73"/>
      <c r="E4957" s="72"/>
      <c r="F4957" s="101"/>
      <c r="G4957" s="96">
        <f t="shared" si="309"/>
        <v>3179</v>
      </c>
      <c r="K4957" t="str">
        <f t="shared" si="310"/>
        <v>3179</v>
      </c>
      <c r="M4957" s="72"/>
      <c r="O4957" s="96">
        <f t="shared" si="311"/>
        <v>3179</v>
      </c>
      <c r="T4957" s="110"/>
    </row>
    <row r="4958" spans="3:20" x14ac:dyDescent="0.2">
      <c r="C4958" t="str">
        <f t="shared" si="308"/>
        <v>3180</v>
      </c>
      <c r="D4958" s="73"/>
      <c r="E4958" s="72"/>
      <c r="F4958" s="101"/>
      <c r="G4958" s="96">
        <f t="shared" si="309"/>
        <v>3180</v>
      </c>
      <c r="K4958" t="str">
        <f t="shared" si="310"/>
        <v>3180</v>
      </c>
      <c r="M4958" s="72"/>
      <c r="O4958" s="96">
        <f t="shared" si="311"/>
        <v>3180</v>
      </c>
      <c r="T4958" s="83"/>
    </row>
    <row r="4959" spans="3:20" x14ac:dyDescent="0.2">
      <c r="C4959" t="str">
        <f t="shared" si="308"/>
        <v>3181</v>
      </c>
      <c r="D4959" s="73"/>
      <c r="E4959" s="72"/>
      <c r="F4959" s="101"/>
      <c r="G4959" s="96">
        <f t="shared" si="309"/>
        <v>3181</v>
      </c>
      <c r="K4959" t="str">
        <f t="shared" si="310"/>
        <v>3181</v>
      </c>
      <c r="M4959" s="72"/>
      <c r="O4959" s="96">
        <f t="shared" si="311"/>
        <v>3181</v>
      </c>
      <c r="T4959" s="110"/>
    </row>
    <row r="4960" spans="3:20" x14ac:dyDescent="0.2">
      <c r="C4960" t="str">
        <f t="shared" si="308"/>
        <v>3182</v>
      </c>
      <c r="D4960" s="73"/>
      <c r="E4960" s="72"/>
      <c r="F4960" s="101"/>
      <c r="G4960" s="96">
        <f t="shared" si="309"/>
        <v>3182</v>
      </c>
      <c r="K4960" t="str">
        <f t="shared" si="310"/>
        <v>3182</v>
      </c>
      <c r="M4960" s="72"/>
      <c r="O4960" s="96">
        <f t="shared" si="311"/>
        <v>3182</v>
      </c>
      <c r="T4960" s="110"/>
    </row>
    <row r="4961" spans="3:20" x14ac:dyDescent="0.2">
      <c r="C4961" t="str">
        <f t="shared" si="308"/>
        <v>3183</v>
      </c>
      <c r="D4961" s="73"/>
      <c r="E4961" s="72"/>
      <c r="F4961" s="101"/>
      <c r="G4961" s="96">
        <f t="shared" si="309"/>
        <v>3183</v>
      </c>
      <c r="K4961" t="str">
        <f t="shared" si="310"/>
        <v>3183</v>
      </c>
      <c r="M4961" s="72"/>
      <c r="O4961" s="96">
        <f t="shared" si="311"/>
        <v>3183</v>
      </c>
      <c r="T4961" s="110"/>
    </row>
    <row r="4962" spans="3:20" x14ac:dyDescent="0.2">
      <c r="C4962" t="str">
        <f t="shared" si="308"/>
        <v>3184</v>
      </c>
      <c r="D4962" s="73"/>
      <c r="E4962" s="72"/>
      <c r="F4962" s="101"/>
      <c r="G4962" s="96">
        <f t="shared" si="309"/>
        <v>3184</v>
      </c>
      <c r="K4962" t="str">
        <f t="shared" si="310"/>
        <v>3184</v>
      </c>
      <c r="M4962" s="72"/>
      <c r="O4962" s="96">
        <f t="shared" si="311"/>
        <v>3184</v>
      </c>
      <c r="T4962" s="110"/>
    </row>
    <row r="4963" spans="3:20" x14ac:dyDescent="0.2">
      <c r="C4963" t="str">
        <f t="shared" si="308"/>
        <v>3185</v>
      </c>
      <c r="D4963" s="73"/>
      <c r="E4963" s="72"/>
      <c r="F4963" s="101"/>
      <c r="G4963" s="96">
        <f t="shared" si="309"/>
        <v>3185</v>
      </c>
      <c r="K4963" t="str">
        <f t="shared" si="310"/>
        <v>3185</v>
      </c>
      <c r="M4963" s="72"/>
      <c r="O4963" s="96">
        <f t="shared" si="311"/>
        <v>3185</v>
      </c>
      <c r="T4963" s="110"/>
    </row>
    <row r="4964" spans="3:20" x14ac:dyDescent="0.2">
      <c r="C4964" t="str">
        <f t="shared" si="308"/>
        <v>3186</v>
      </c>
      <c r="D4964" s="73"/>
      <c r="E4964" s="72"/>
      <c r="F4964" s="101"/>
      <c r="G4964" s="96">
        <f t="shared" si="309"/>
        <v>3186</v>
      </c>
      <c r="K4964" t="str">
        <f t="shared" si="310"/>
        <v>3186</v>
      </c>
      <c r="M4964" s="72"/>
      <c r="O4964" s="96">
        <f t="shared" si="311"/>
        <v>3186</v>
      </c>
      <c r="T4964" s="110"/>
    </row>
    <row r="4965" spans="3:20" x14ac:dyDescent="0.2">
      <c r="C4965" t="str">
        <f t="shared" si="308"/>
        <v>3187</v>
      </c>
      <c r="D4965" s="73"/>
      <c r="E4965" s="72"/>
      <c r="F4965" s="101"/>
      <c r="G4965" s="96">
        <f t="shared" si="309"/>
        <v>3187</v>
      </c>
      <c r="K4965" t="str">
        <f t="shared" si="310"/>
        <v>3187</v>
      </c>
      <c r="M4965" s="72"/>
      <c r="O4965" s="96">
        <f t="shared" si="311"/>
        <v>3187</v>
      </c>
      <c r="T4965" s="110"/>
    </row>
    <row r="4966" spans="3:20" x14ac:dyDescent="0.2">
      <c r="C4966" t="str">
        <f t="shared" si="308"/>
        <v>3188</v>
      </c>
      <c r="D4966" s="73"/>
      <c r="E4966" s="72"/>
      <c r="F4966" s="101"/>
      <c r="G4966" s="96">
        <f t="shared" si="309"/>
        <v>3188</v>
      </c>
      <c r="K4966" t="str">
        <f t="shared" si="310"/>
        <v>3188</v>
      </c>
      <c r="M4966" s="72"/>
      <c r="O4966" s="96">
        <f t="shared" si="311"/>
        <v>3188</v>
      </c>
      <c r="T4966" s="110"/>
    </row>
    <row r="4967" spans="3:20" x14ac:dyDescent="0.2">
      <c r="C4967" t="str">
        <f t="shared" si="308"/>
        <v>3189</v>
      </c>
      <c r="D4967" s="73"/>
      <c r="E4967" s="72"/>
      <c r="F4967" s="101"/>
      <c r="G4967" s="96">
        <f t="shared" si="309"/>
        <v>3189</v>
      </c>
      <c r="K4967" t="str">
        <f t="shared" si="310"/>
        <v>3189</v>
      </c>
      <c r="M4967" s="72"/>
      <c r="O4967" s="96">
        <f t="shared" si="311"/>
        <v>3189</v>
      </c>
      <c r="T4967" s="110"/>
    </row>
    <row r="4968" spans="3:20" x14ac:dyDescent="0.2">
      <c r="C4968" t="str">
        <f t="shared" si="308"/>
        <v>3190</v>
      </c>
      <c r="D4968" s="73"/>
      <c r="E4968" s="72"/>
      <c r="F4968" s="101"/>
      <c r="G4968" s="96">
        <f t="shared" si="309"/>
        <v>3190</v>
      </c>
      <c r="K4968" t="str">
        <f t="shared" si="310"/>
        <v>3190</v>
      </c>
      <c r="M4968" s="72"/>
      <c r="O4968" s="96">
        <f t="shared" si="311"/>
        <v>3190</v>
      </c>
      <c r="T4968" s="110"/>
    </row>
    <row r="4969" spans="3:20" x14ac:dyDescent="0.2">
      <c r="C4969" t="str">
        <f t="shared" si="308"/>
        <v>3191</v>
      </c>
      <c r="D4969" s="73"/>
      <c r="E4969" s="72"/>
      <c r="F4969" s="101"/>
      <c r="G4969" s="96">
        <f t="shared" si="309"/>
        <v>3191</v>
      </c>
      <c r="K4969" t="str">
        <f t="shared" si="310"/>
        <v>3191</v>
      </c>
      <c r="M4969" s="72"/>
      <c r="O4969" s="96">
        <f t="shared" si="311"/>
        <v>3191</v>
      </c>
    </row>
    <row r="4970" spans="3:20" x14ac:dyDescent="0.2">
      <c r="C4970" t="str">
        <f t="shared" si="308"/>
        <v>3192</v>
      </c>
      <c r="D4970" s="73"/>
      <c r="E4970" s="72"/>
      <c r="F4970" s="101"/>
      <c r="G4970" s="96">
        <f t="shared" si="309"/>
        <v>3192</v>
      </c>
      <c r="K4970" t="str">
        <f t="shared" si="310"/>
        <v>3192</v>
      </c>
      <c r="M4970" s="72"/>
      <c r="O4970" s="96">
        <f t="shared" si="311"/>
        <v>3192</v>
      </c>
    </row>
    <row r="4971" spans="3:20" x14ac:dyDescent="0.2">
      <c r="C4971" t="str">
        <f t="shared" si="308"/>
        <v>3193</v>
      </c>
      <c r="D4971" s="73"/>
      <c r="E4971" s="72"/>
      <c r="F4971" s="101"/>
      <c r="G4971" s="96">
        <f t="shared" si="309"/>
        <v>3193</v>
      </c>
      <c r="K4971" t="str">
        <f t="shared" si="310"/>
        <v>3193</v>
      </c>
      <c r="M4971" s="72"/>
      <c r="O4971" s="96">
        <f t="shared" si="311"/>
        <v>3193</v>
      </c>
    </row>
    <row r="4972" spans="3:20" x14ac:dyDescent="0.2">
      <c r="C4972" t="str">
        <f t="shared" si="308"/>
        <v>3194</v>
      </c>
      <c r="D4972" s="73"/>
      <c r="E4972" s="72"/>
      <c r="F4972" s="101"/>
      <c r="G4972" s="96">
        <f t="shared" si="309"/>
        <v>3194</v>
      </c>
      <c r="K4972" t="str">
        <f t="shared" si="310"/>
        <v>3194</v>
      </c>
      <c r="M4972" s="72"/>
      <c r="O4972" s="96">
        <f t="shared" si="311"/>
        <v>3194</v>
      </c>
    </row>
    <row r="4973" spans="3:20" x14ac:dyDescent="0.2">
      <c r="C4973" t="str">
        <f t="shared" si="308"/>
        <v>3195</v>
      </c>
      <c r="D4973" s="73"/>
      <c r="E4973" s="72"/>
      <c r="F4973" s="101"/>
      <c r="G4973" s="96">
        <f t="shared" si="309"/>
        <v>3195</v>
      </c>
      <c r="K4973" t="str">
        <f t="shared" si="310"/>
        <v>3195</v>
      </c>
      <c r="M4973" s="72"/>
      <c r="O4973" s="96">
        <f t="shared" si="311"/>
        <v>3195</v>
      </c>
    </row>
    <row r="4974" spans="3:20" x14ac:dyDescent="0.2">
      <c r="C4974" t="str">
        <f t="shared" si="308"/>
        <v>3196</v>
      </c>
      <c r="D4974" s="73"/>
      <c r="E4974" s="72"/>
      <c r="F4974" s="101"/>
      <c r="G4974" s="96">
        <f t="shared" si="309"/>
        <v>3196</v>
      </c>
      <c r="K4974" t="str">
        <f t="shared" si="310"/>
        <v>3196</v>
      </c>
      <c r="M4974" s="72"/>
      <c r="O4974" s="96">
        <f t="shared" si="311"/>
        <v>3196</v>
      </c>
    </row>
    <row r="4975" spans="3:20" x14ac:dyDescent="0.2">
      <c r="C4975" t="str">
        <f t="shared" si="308"/>
        <v>3197</v>
      </c>
      <c r="D4975" s="73"/>
      <c r="E4975" s="72"/>
      <c r="F4975" s="101"/>
      <c r="G4975" s="96">
        <f t="shared" si="309"/>
        <v>3197</v>
      </c>
      <c r="K4975" t="str">
        <f t="shared" si="310"/>
        <v>3197</v>
      </c>
      <c r="M4975" s="72"/>
      <c r="O4975" s="96">
        <f t="shared" si="311"/>
        <v>3197</v>
      </c>
    </row>
    <row r="4976" spans="3:20" x14ac:dyDescent="0.2">
      <c r="C4976" t="str">
        <f t="shared" si="308"/>
        <v>3198</v>
      </c>
      <c r="D4976" s="73"/>
      <c r="E4976" s="72"/>
      <c r="F4976" s="101"/>
      <c r="G4976" s="96">
        <f t="shared" si="309"/>
        <v>3198</v>
      </c>
      <c r="K4976" t="str">
        <f t="shared" si="310"/>
        <v>3198</v>
      </c>
      <c r="M4976" s="72"/>
      <c r="O4976" s="96">
        <f t="shared" si="311"/>
        <v>3198</v>
      </c>
    </row>
    <row r="4977" spans="3:15" x14ac:dyDescent="0.2">
      <c r="C4977" t="str">
        <f t="shared" si="308"/>
        <v>3199</v>
      </c>
      <c r="D4977" s="73"/>
      <c r="E4977" s="72"/>
      <c r="F4977" s="101"/>
      <c r="G4977" s="96">
        <f t="shared" si="309"/>
        <v>3199</v>
      </c>
      <c r="K4977" t="str">
        <f t="shared" si="310"/>
        <v>3199</v>
      </c>
      <c r="M4977" s="72"/>
      <c r="O4977" s="96">
        <f t="shared" si="311"/>
        <v>3199</v>
      </c>
    </row>
    <row r="4978" spans="3:15" x14ac:dyDescent="0.2">
      <c r="C4978" t="str">
        <f t="shared" si="308"/>
        <v>3200</v>
      </c>
      <c r="D4978" s="73"/>
      <c r="E4978" s="72"/>
      <c r="F4978" s="101"/>
      <c r="G4978" s="96">
        <f t="shared" si="309"/>
        <v>3200</v>
      </c>
      <c r="K4978" t="str">
        <f t="shared" si="310"/>
        <v>3200</v>
      </c>
      <c r="M4978" s="72"/>
      <c r="O4978" s="96">
        <f t="shared" si="311"/>
        <v>3200</v>
      </c>
    </row>
    <row r="4979" spans="3:15" x14ac:dyDescent="0.2">
      <c r="C4979" t="str">
        <f t="shared" si="308"/>
        <v>3201</v>
      </c>
      <c r="D4979" s="73"/>
      <c r="E4979" s="72"/>
      <c r="F4979" s="101"/>
      <c r="G4979" s="96">
        <f t="shared" si="309"/>
        <v>3201</v>
      </c>
      <c r="K4979" t="str">
        <f t="shared" si="310"/>
        <v>3201</v>
      </c>
      <c r="M4979" s="72"/>
      <c r="O4979" s="96">
        <f t="shared" si="311"/>
        <v>3201</v>
      </c>
    </row>
    <row r="4980" spans="3:15" x14ac:dyDescent="0.2">
      <c r="C4980" t="str">
        <f t="shared" si="308"/>
        <v>3202</v>
      </c>
      <c r="D4980" s="73"/>
      <c r="E4980" s="72"/>
      <c r="F4980" s="101"/>
      <c r="G4980" s="96">
        <f t="shared" si="309"/>
        <v>3202</v>
      </c>
      <c r="K4980" t="str">
        <f t="shared" si="310"/>
        <v>3202</v>
      </c>
      <c r="M4980" s="72"/>
      <c r="O4980" s="96">
        <f t="shared" si="311"/>
        <v>3202</v>
      </c>
    </row>
    <row r="4981" spans="3:15" x14ac:dyDescent="0.2">
      <c r="C4981" t="str">
        <f t="shared" si="308"/>
        <v>3203</v>
      </c>
      <c r="D4981" s="73"/>
      <c r="E4981" s="72"/>
      <c r="F4981" s="101"/>
      <c r="G4981" s="96">
        <f t="shared" si="309"/>
        <v>3203</v>
      </c>
      <c r="K4981" t="str">
        <f t="shared" si="310"/>
        <v>3203</v>
      </c>
      <c r="M4981" s="72"/>
      <c r="O4981" s="96">
        <f t="shared" si="311"/>
        <v>3203</v>
      </c>
    </row>
    <row r="4982" spans="3:15" x14ac:dyDescent="0.2">
      <c r="C4982" t="str">
        <f t="shared" si="308"/>
        <v>3204</v>
      </c>
      <c r="D4982" s="73"/>
      <c r="E4982" s="72"/>
      <c r="F4982" s="101"/>
      <c r="G4982" s="96">
        <f t="shared" si="309"/>
        <v>3204</v>
      </c>
      <c r="K4982" t="str">
        <f t="shared" si="310"/>
        <v>3204</v>
      </c>
      <c r="M4982" s="72"/>
      <c r="O4982" s="96">
        <f t="shared" si="311"/>
        <v>3204</v>
      </c>
    </row>
    <row r="4983" spans="3:15" x14ac:dyDescent="0.2">
      <c r="C4983" t="str">
        <f t="shared" si="308"/>
        <v>3205</v>
      </c>
      <c r="D4983" s="73"/>
      <c r="E4983" s="72"/>
      <c r="F4983" s="101"/>
      <c r="G4983" s="96">
        <f t="shared" si="309"/>
        <v>3205</v>
      </c>
      <c r="K4983" t="str">
        <f t="shared" si="310"/>
        <v>3205</v>
      </c>
      <c r="M4983" s="72"/>
      <c r="O4983" s="96">
        <f t="shared" si="311"/>
        <v>3205</v>
      </c>
    </row>
    <row r="4984" spans="3:15" x14ac:dyDescent="0.2">
      <c r="C4984" t="str">
        <f t="shared" si="308"/>
        <v>3206</v>
      </c>
      <c r="D4984" s="73"/>
      <c r="E4984" s="72"/>
      <c r="F4984" s="101"/>
      <c r="G4984" s="96">
        <f t="shared" si="309"/>
        <v>3206</v>
      </c>
      <c r="K4984" t="str">
        <f t="shared" si="310"/>
        <v>3206</v>
      </c>
      <c r="M4984" s="72"/>
      <c r="O4984" s="96">
        <f t="shared" si="311"/>
        <v>3206</v>
      </c>
    </row>
    <row r="4985" spans="3:15" x14ac:dyDescent="0.2">
      <c r="C4985" t="str">
        <f t="shared" si="308"/>
        <v>3207</v>
      </c>
      <c r="D4985" s="73"/>
      <c r="E4985" s="72"/>
      <c r="F4985" s="101"/>
      <c r="G4985" s="96">
        <f t="shared" si="309"/>
        <v>3207</v>
      </c>
      <c r="K4985" t="str">
        <f t="shared" si="310"/>
        <v>3207</v>
      </c>
      <c r="M4985" s="72"/>
      <c r="O4985" s="96">
        <f t="shared" si="311"/>
        <v>3207</v>
      </c>
    </row>
    <row r="4986" spans="3:15" x14ac:dyDescent="0.2">
      <c r="C4986" t="str">
        <f t="shared" si="308"/>
        <v>3208</v>
      </c>
      <c r="D4986" s="73"/>
      <c r="E4986" s="72"/>
      <c r="F4986" s="101"/>
      <c r="G4986" s="96">
        <f t="shared" si="309"/>
        <v>3208</v>
      </c>
      <c r="K4986" t="str">
        <f t="shared" si="310"/>
        <v>3208</v>
      </c>
      <c r="M4986" s="72"/>
      <c r="O4986" s="96">
        <f t="shared" si="311"/>
        <v>3208</v>
      </c>
    </row>
    <row r="4987" spans="3:15" x14ac:dyDescent="0.2">
      <c r="C4987" t="str">
        <f t="shared" si="308"/>
        <v>3209</v>
      </c>
      <c r="D4987" s="73"/>
      <c r="E4987" s="72"/>
      <c r="F4987" s="101"/>
      <c r="G4987" s="96">
        <f t="shared" si="309"/>
        <v>3209</v>
      </c>
      <c r="K4987" t="str">
        <f t="shared" si="310"/>
        <v>3209</v>
      </c>
      <c r="M4987" s="72"/>
      <c r="O4987" s="96">
        <f t="shared" si="311"/>
        <v>3209</v>
      </c>
    </row>
    <row r="4988" spans="3:15" x14ac:dyDescent="0.2">
      <c r="C4988" t="str">
        <f t="shared" si="308"/>
        <v>3210</v>
      </c>
      <c r="D4988" s="73"/>
      <c r="E4988" s="72"/>
      <c r="F4988" s="101"/>
      <c r="G4988" s="96">
        <f t="shared" si="309"/>
        <v>3210</v>
      </c>
      <c r="K4988" t="str">
        <f t="shared" si="310"/>
        <v>3210</v>
      </c>
      <c r="M4988" s="72"/>
      <c r="O4988" s="96">
        <f t="shared" si="311"/>
        <v>3210</v>
      </c>
    </row>
    <row r="4989" spans="3:15" x14ac:dyDescent="0.2">
      <c r="C4989" t="str">
        <f t="shared" si="308"/>
        <v>3211</v>
      </c>
      <c r="D4989" s="73"/>
      <c r="E4989" s="72"/>
      <c r="F4989" s="101"/>
      <c r="G4989" s="96">
        <f t="shared" si="309"/>
        <v>3211</v>
      </c>
      <c r="K4989" t="str">
        <f t="shared" si="310"/>
        <v>3211</v>
      </c>
      <c r="M4989" s="72"/>
      <c r="O4989" s="96">
        <f t="shared" si="311"/>
        <v>3211</v>
      </c>
    </row>
    <row r="4990" spans="3:15" x14ac:dyDescent="0.2">
      <c r="C4990" t="str">
        <f t="shared" si="308"/>
        <v>3212</v>
      </c>
      <c r="D4990" s="73"/>
      <c r="E4990" s="72"/>
      <c r="F4990" s="101"/>
      <c r="G4990" s="96">
        <f t="shared" si="309"/>
        <v>3212</v>
      </c>
      <c r="K4990" t="str">
        <f t="shared" si="310"/>
        <v>3212</v>
      </c>
      <c r="M4990" s="72"/>
      <c r="O4990" s="96">
        <f t="shared" si="311"/>
        <v>3212</v>
      </c>
    </row>
    <row r="4991" spans="3:15" x14ac:dyDescent="0.2">
      <c r="C4991" t="str">
        <f t="shared" si="308"/>
        <v>3213</v>
      </c>
      <c r="D4991" s="73"/>
      <c r="E4991" s="72"/>
      <c r="F4991" s="101"/>
      <c r="G4991" s="96">
        <f t="shared" si="309"/>
        <v>3213</v>
      </c>
      <c r="K4991" t="str">
        <f t="shared" si="310"/>
        <v>3213</v>
      </c>
      <c r="M4991" s="72"/>
      <c r="O4991" s="96">
        <f t="shared" si="311"/>
        <v>3213</v>
      </c>
    </row>
    <row r="4992" spans="3:15" x14ac:dyDescent="0.2">
      <c r="C4992" t="str">
        <f t="shared" si="308"/>
        <v>3214</v>
      </c>
      <c r="D4992" s="73"/>
      <c r="E4992" s="72"/>
      <c r="F4992" s="101"/>
      <c r="G4992" s="96">
        <f t="shared" si="309"/>
        <v>3214</v>
      </c>
      <c r="K4992" t="str">
        <f t="shared" si="310"/>
        <v>3214</v>
      </c>
      <c r="M4992" s="72"/>
      <c r="O4992" s="96">
        <f t="shared" si="311"/>
        <v>3214</v>
      </c>
    </row>
    <row r="4993" spans="3:15" x14ac:dyDescent="0.2">
      <c r="C4993" t="str">
        <f t="shared" si="308"/>
        <v>3215</v>
      </c>
      <c r="D4993" s="73"/>
      <c r="E4993" s="72"/>
      <c r="F4993" s="101"/>
      <c r="G4993" s="96">
        <f t="shared" si="309"/>
        <v>3215</v>
      </c>
      <c r="K4993" t="str">
        <f t="shared" si="310"/>
        <v>3215</v>
      </c>
      <c r="M4993" s="72"/>
      <c r="O4993" s="96">
        <f t="shared" si="311"/>
        <v>3215</v>
      </c>
    </row>
    <row r="4994" spans="3:15" x14ac:dyDescent="0.2">
      <c r="C4994" t="str">
        <f t="shared" si="308"/>
        <v>3216</v>
      </c>
      <c r="D4994" s="73"/>
      <c r="E4994" s="72"/>
      <c r="F4994" s="101"/>
      <c r="G4994" s="96">
        <f t="shared" si="309"/>
        <v>3216</v>
      </c>
      <c r="K4994" t="str">
        <f t="shared" si="310"/>
        <v>3216</v>
      </c>
      <c r="M4994" s="72"/>
      <c r="O4994" s="96">
        <f t="shared" si="311"/>
        <v>3216</v>
      </c>
    </row>
    <row r="4995" spans="3:15" x14ac:dyDescent="0.2">
      <c r="C4995" t="str">
        <f t="shared" ref="C4995:C5058" si="312">D4995&amp;G4995</f>
        <v>3217</v>
      </c>
      <c r="D4995" s="73"/>
      <c r="E4995" s="72"/>
      <c r="F4995" s="101"/>
      <c r="G4995" s="96">
        <f t="shared" ref="G4995:G5058" si="313">IF(D4995&lt;&gt;D4994,1,G4994+1)</f>
        <v>3217</v>
      </c>
      <c r="K4995" t="str">
        <f t="shared" ref="K4995:K5058" si="314">L4995&amp;O4995</f>
        <v>3217</v>
      </c>
      <c r="M4995" s="72"/>
      <c r="O4995" s="96">
        <f t="shared" ref="O4995:O5058" si="315">IF(L4995&lt;&gt;L4994,1,O4994+1)</f>
        <v>3217</v>
      </c>
    </row>
    <row r="4996" spans="3:15" x14ac:dyDescent="0.2">
      <c r="C4996" t="str">
        <f t="shared" si="312"/>
        <v>3218</v>
      </c>
      <c r="D4996" s="73"/>
      <c r="E4996" s="72"/>
      <c r="F4996" s="101"/>
      <c r="G4996" s="96">
        <f t="shared" si="313"/>
        <v>3218</v>
      </c>
      <c r="K4996" t="str">
        <f t="shared" si="314"/>
        <v>3218</v>
      </c>
      <c r="M4996" s="72"/>
      <c r="O4996" s="96">
        <f t="shared" si="315"/>
        <v>3218</v>
      </c>
    </row>
    <row r="4997" spans="3:15" x14ac:dyDescent="0.2">
      <c r="C4997" t="str">
        <f t="shared" si="312"/>
        <v>3219</v>
      </c>
      <c r="D4997" s="73"/>
      <c r="E4997" s="72"/>
      <c r="F4997" s="101"/>
      <c r="G4997" s="96">
        <f t="shared" si="313"/>
        <v>3219</v>
      </c>
      <c r="K4997" t="str">
        <f t="shared" si="314"/>
        <v>3219</v>
      </c>
      <c r="M4997" s="72"/>
      <c r="O4997" s="96">
        <f t="shared" si="315"/>
        <v>3219</v>
      </c>
    </row>
    <row r="4998" spans="3:15" x14ac:dyDescent="0.2">
      <c r="C4998" t="str">
        <f t="shared" si="312"/>
        <v>3220</v>
      </c>
      <c r="D4998" s="73"/>
      <c r="E4998" s="72"/>
      <c r="F4998" s="101"/>
      <c r="G4998" s="96">
        <f t="shared" si="313"/>
        <v>3220</v>
      </c>
      <c r="K4998" t="str">
        <f t="shared" si="314"/>
        <v>3220</v>
      </c>
      <c r="M4998" s="72"/>
      <c r="O4998" s="96">
        <f t="shared" si="315"/>
        <v>3220</v>
      </c>
    </row>
    <row r="4999" spans="3:15" x14ac:dyDescent="0.2">
      <c r="C4999" t="str">
        <f t="shared" si="312"/>
        <v>3221</v>
      </c>
      <c r="D4999" s="73"/>
      <c r="E4999" s="72"/>
      <c r="F4999" s="101"/>
      <c r="G4999" s="96">
        <f t="shared" si="313"/>
        <v>3221</v>
      </c>
      <c r="K4999" t="str">
        <f t="shared" si="314"/>
        <v>3221</v>
      </c>
      <c r="M4999" s="72"/>
      <c r="O4999" s="96">
        <f t="shared" si="315"/>
        <v>3221</v>
      </c>
    </row>
    <row r="5000" spans="3:15" x14ac:dyDescent="0.2">
      <c r="C5000" t="str">
        <f t="shared" si="312"/>
        <v>3222</v>
      </c>
      <c r="D5000" s="73"/>
      <c r="E5000" s="72"/>
      <c r="F5000" s="101"/>
      <c r="G5000" s="96">
        <f t="shared" si="313"/>
        <v>3222</v>
      </c>
      <c r="K5000" t="str">
        <f t="shared" si="314"/>
        <v>3222</v>
      </c>
      <c r="M5000" s="72"/>
      <c r="O5000" s="96">
        <f t="shared" si="315"/>
        <v>3222</v>
      </c>
    </row>
    <row r="5001" spans="3:15" x14ac:dyDescent="0.2">
      <c r="C5001" t="str">
        <f t="shared" si="312"/>
        <v>3223</v>
      </c>
      <c r="D5001" s="73"/>
      <c r="E5001" s="72"/>
      <c r="F5001" s="101"/>
      <c r="G5001" s="96">
        <f t="shared" si="313"/>
        <v>3223</v>
      </c>
      <c r="K5001" t="str">
        <f t="shared" si="314"/>
        <v>3223</v>
      </c>
      <c r="M5001" s="72"/>
      <c r="O5001" s="96">
        <f t="shared" si="315"/>
        <v>3223</v>
      </c>
    </row>
    <row r="5002" spans="3:15" x14ac:dyDescent="0.2">
      <c r="C5002" t="str">
        <f t="shared" si="312"/>
        <v>3224</v>
      </c>
      <c r="D5002" s="73"/>
      <c r="E5002" s="72"/>
      <c r="F5002" s="101"/>
      <c r="G5002" s="96">
        <f t="shared" si="313"/>
        <v>3224</v>
      </c>
      <c r="J5002" t="str">
        <f t="shared" ref="J5002:J5065" si="316">L5002&amp;M5002</f>
        <v/>
      </c>
      <c r="K5002" t="str">
        <f t="shared" si="314"/>
        <v>3224</v>
      </c>
      <c r="M5002" s="72"/>
      <c r="O5002" s="96">
        <f t="shared" si="315"/>
        <v>3224</v>
      </c>
    </row>
    <row r="5003" spans="3:15" x14ac:dyDescent="0.2">
      <c r="C5003" t="str">
        <f t="shared" si="312"/>
        <v>3225</v>
      </c>
      <c r="D5003" s="73"/>
      <c r="E5003" s="72"/>
      <c r="F5003" s="101"/>
      <c r="G5003" s="96">
        <f t="shared" si="313"/>
        <v>3225</v>
      </c>
      <c r="J5003" t="str">
        <f t="shared" si="316"/>
        <v/>
      </c>
      <c r="K5003" t="str">
        <f t="shared" si="314"/>
        <v>3225</v>
      </c>
      <c r="M5003" s="72"/>
      <c r="O5003" s="96">
        <f t="shared" si="315"/>
        <v>3225</v>
      </c>
    </row>
    <row r="5004" spans="3:15" x14ac:dyDescent="0.2">
      <c r="C5004" t="str">
        <f t="shared" si="312"/>
        <v>3226</v>
      </c>
      <c r="D5004" s="73"/>
      <c r="E5004" s="72"/>
      <c r="F5004" s="101"/>
      <c r="G5004" s="96">
        <f t="shared" si="313"/>
        <v>3226</v>
      </c>
      <c r="J5004" t="str">
        <f t="shared" si="316"/>
        <v/>
      </c>
      <c r="K5004" t="str">
        <f t="shared" si="314"/>
        <v>3226</v>
      </c>
      <c r="M5004" s="72"/>
      <c r="O5004" s="96">
        <f t="shared" si="315"/>
        <v>3226</v>
      </c>
    </row>
    <row r="5005" spans="3:15" x14ac:dyDescent="0.2">
      <c r="C5005" t="str">
        <f t="shared" si="312"/>
        <v>3227</v>
      </c>
      <c r="D5005" s="73"/>
      <c r="E5005" s="72"/>
      <c r="F5005" s="101"/>
      <c r="G5005" s="96">
        <f t="shared" si="313"/>
        <v>3227</v>
      </c>
      <c r="J5005" t="str">
        <f t="shared" si="316"/>
        <v/>
      </c>
      <c r="K5005" t="str">
        <f t="shared" si="314"/>
        <v>3227</v>
      </c>
      <c r="M5005" s="72"/>
      <c r="O5005" s="96">
        <f t="shared" si="315"/>
        <v>3227</v>
      </c>
    </row>
    <row r="5006" spans="3:15" x14ac:dyDescent="0.2">
      <c r="C5006" t="str">
        <f t="shared" si="312"/>
        <v>3228</v>
      </c>
      <c r="D5006" s="73"/>
      <c r="E5006" s="72"/>
      <c r="F5006" s="101"/>
      <c r="G5006" s="96">
        <f t="shared" si="313"/>
        <v>3228</v>
      </c>
      <c r="J5006" t="str">
        <f t="shared" si="316"/>
        <v/>
      </c>
      <c r="K5006" t="str">
        <f t="shared" si="314"/>
        <v>3228</v>
      </c>
      <c r="M5006" s="72"/>
      <c r="O5006" s="96">
        <f t="shared" si="315"/>
        <v>3228</v>
      </c>
    </row>
    <row r="5007" spans="3:15" x14ac:dyDescent="0.2">
      <c r="C5007" t="str">
        <f t="shared" si="312"/>
        <v>3229</v>
      </c>
      <c r="D5007" s="73"/>
      <c r="E5007" s="72"/>
      <c r="F5007" s="101"/>
      <c r="G5007" s="96">
        <f t="shared" si="313"/>
        <v>3229</v>
      </c>
      <c r="J5007" t="str">
        <f t="shared" si="316"/>
        <v/>
      </c>
      <c r="K5007" t="str">
        <f t="shared" si="314"/>
        <v>3229</v>
      </c>
      <c r="M5007" s="72"/>
      <c r="O5007" s="96">
        <f t="shared" si="315"/>
        <v>3229</v>
      </c>
    </row>
    <row r="5008" spans="3:15" x14ac:dyDescent="0.2">
      <c r="C5008" t="str">
        <f t="shared" si="312"/>
        <v>3230</v>
      </c>
      <c r="D5008" s="73"/>
      <c r="E5008" s="72"/>
      <c r="F5008" s="101"/>
      <c r="G5008" s="96">
        <f t="shared" si="313"/>
        <v>3230</v>
      </c>
      <c r="J5008" t="str">
        <f t="shared" si="316"/>
        <v/>
      </c>
      <c r="K5008" t="str">
        <f t="shared" si="314"/>
        <v>3230</v>
      </c>
      <c r="M5008" s="72"/>
      <c r="O5008" s="96">
        <f t="shared" si="315"/>
        <v>3230</v>
      </c>
    </row>
    <row r="5009" spans="3:15" x14ac:dyDescent="0.2">
      <c r="C5009" t="str">
        <f t="shared" si="312"/>
        <v>3231</v>
      </c>
      <c r="D5009" s="73"/>
      <c r="E5009" s="72"/>
      <c r="F5009" s="101"/>
      <c r="G5009" s="96">
        <f t="shared" si="313"/>
        <v>3231</v>
      </c>
      <c r="J5009" t="str">
        <f t="shared" si="316"/>
        <v/>
      </c>
      <c r="K5009" t="str">
        <f t="shared" si="314"/>
        <v>3231</v>
      </c>
      <c r="M5009" s="72"/>
      <c r="O5009" s="96">
        <f t="shared" si="315"/>
        <v>3231</v>
      </c>
    </row>
    <row r="5010" spans="3:15" x14ac:dyDescent="0.2">
      <c r="C5010" t="str">
        <f t="shared" si="312"/>
        <v>3232</v>
      </c>
      <c r="D5010" s="73"/>
      <c r="E5010" s="72"/>
      <c r="F5010" s="101"/>
      <c r="G5010" s="96">
        <f t="shared" si="313"/>
        <v>3232</v>
      </c>
      <c r="J5010" t="str">
        <f t="shared" si="316"/>
        <v/>
      </c>
      <c r="K5010" t="str">
        <f t="shared" si="314"/>
        <v>3232</v>
      </c>
      <c r="M5010" s="72"/>
      <c r="O5010" s="96">
        <f t="shared" si="315"/>
        <v>3232</v>
      </c>
    </row>
    <row r="5011" spans="3:15" x14ac:dyDescent="0.2">
      <c r="C5011" t="str">
        <f t="shared" si="312"/>
        <v>3233</v>
      </c>
      <c r="D5011" s="73"/>
      <c r="E5011" s="72"/>
      <c r="F5011" s="101"/>
      <c r="G5011" s="96">
        <f t="shared" si="313"/>
        <v>3233</v>
      </c>
      <c r="J5011" t="str">
        <f t="shared" si="316"/>
        <v/>
      </c>
      <c r="K5011" t="str">
        <f t="shared" si="314"/>
        <v>3233</v>
      </c>
      <c r="M5011" s="72"/>
      <c r="O5011" s="96">
        <f t="shared" si="315"/>
        <v>3233</v>
      </c>
    </row>
    <row r="5012" spans="3:15" x14ac:dyDescent="0.2">
      <c r="C5012" t="str">
        <f t="shared" si="312"/>
        <v>3234</v>
      </c>
      <c r="D5012" s="73"/>
      <c r="E5012" s="72"/>
      <c r="F5012" s="101"/>
      <c r="G5012" s="96">
        <f t="shared" si="313"/>
        <v>3234</v>
      </c>
      <c r="J5012" t="str">
        <f t="shared" si="316"/>
        <v/>
      </c>
      <c r="K5012" t="str">
        <f t="shared" si="314"/>
        <v>3234</v>
      </c>
      <c r="M5012" s="72"/>
      <c r="O5012" s="96">
        <f t="shared" si="315"/>
        <v>3234</v>
      </c>
    </row>
    <row r="5013" spans="3:15" x14ac:dyDescent="0.2">
      <c r="C5013" t="str">
        <f t="shared" si="312"/>
        <v>3235</v>
      </c>
      <c r="D5013" s="73"/>
      <c r="E5013" s="72"/>
      <c r="F5013" s="101"/>
      <c r="G5013" s="96">
        <f t="shared" si="313"/>
        <v>3235</v>
      </c>
      <c r="J5013" t="str">
        <f t="shared" si="316"/>
        <v/>
      </c>
      <c r="K5013" t="str">
        <f t="shared" si="314"/>
        <v>3235</v>
      </c>
      <c r="M5013" s="72"/>
      <c r="O5013" s="96">
        <f t="shared" si="315"/>
        <v>3235</v>
      </c>
    </row>
    <row r="5014" spans="3:15" x14ac:dyDescent="0.2">
      <c r="C5014" t="str">
        <f t="shared" si="312"/>
        <v>3236</v>
      </c>
      <c r="D5014" s="73"/>
      <c r="E5014" s="72"/>
      <c r="F5014" s="101"/>
      <c r="G5014" s="96">
        <f t="shared" si="313"/>
        <v>3236</v>
      </c>
      <c r="J5014" t="str">
        <f t="shared" si="316"/>
        <v/>
      </c>
      <c r="K5014" t="str">
        <f t="shared" si="314"/>
        <v>3236</v>
      </c>
      <c r="M5014" s="72"/>
      <c r="O5014" s="96">
        <f t="shared" si="315"/>
        <v>3236</v>
      </c>
    </row>
    <row r="5015" spans="3:15" x14ac:dyDescent="0.2">
      <c r="C5015" t="str">
        <f t="shared" si="312"/>
        <v>3237</v>
      </c>
      <c r="D5015" s="73"/>
      <c r="E5015" s="72"/>
      <c r="F5015" s="101"/>
      <c r="G5015" s="96">
        <f t="shared" si="313"/>
        <v>3237</v>
      </c>
      <c r="J5015" t="str">
        <f t="shared" si="316"/>
        <v/>
      </c>
      <c r="K5015" t="str">
        <f t="shared" si="314"/>
        <v>3237</v>
      </c>
      <c r="M5015" s="72"/>
      <c r="O5015" s="96">
        <f t="shared" si="315"/>
        <v>3237</v>
      </c>
    </row>
    <row r="5016" spans="3:15" x14ac:dyDescent="0.2">
      <c r="C5016" t="str">
        <f t="shared" si="312"/>
        <v>3238</v>
      </c>
      <c r="D5016" s="73"/>
      <c r="E5016" s="72"/>
      <c r="F5016" s="101"/>
      <c r="G5016" s="96">
        <f t="shared" si="313"/>
        <v>3238</v>
      </c>
      <c r="J5016" t="str">
        <f t="shared" si="316"/>
        <v/>
      </c>
      <c r="K5016" t="str">
        <f t="shared" si="314"/>
        <v>3238</v>
      </c>
      <c r="M5016" s="72"/>
      <c r="O5016" s="96">
        <f t="shared" si="315"/>
        <v>3238</v>
      </c>
    </row>
    <row r="5017" spans="3:15" x14ac:dyDescent="0.2">
      <c r="C5017" t="str">
        <f t="shared" si="312"/>
        <v>3239</v>
      </c>
      <c r="D5017" s="73"/>
      <c r="E5017" s="72"/>
      <c r="F5017" s="101"/>
      <c r="G5017" s="96">
        <f t="shared" si="313"/>
        <v>3239</v>
      </c>
      <c r="J5017" t="str">
        <f t="shared" si="316"/>
        <v/>
      </c>
      <c r="K5017" t="str">
        <f t="shared" si="314"/>
        <v>3239</v>
      </c>
      <c r="M5017" s="72"/>
      <c r="O5017" s="96">
        <f t="shared" si="315"/>
        <v>3239</v>
      </c>
    </row>
    <row r="5018" spans="3:15" x14ac:dyDescent="0.2">
      <c r="C5018" t="str">
        <f t="shared" si="312"/>
        <v>3240</v>
      </c>
      <c r="D5018" s="73"/>
      <c r="E5018" s="72"/>
      <c r="F5018" s="101"/>
      <c r="G5018" s="96">
        <f t="shared" si="313"/>
        <v>3240</v>
      </c>
      <c r="J5018" t="str">
        <f t="shared" si="316"/>
        <v/>
      </c>
      <c r="K5018" t="str">
        <f t="shared" si="314"/>
        <v>3240</v>
      </c>
      <c r="M5018" s="72"/>
      <c r="O5018" s="96">
        <f t="shared" si="315"/>
        <v>3240</v>
      </c>
    </row>
    <row r="5019" spans="3:15" x14ac:dyDescent="0.2">
      <c r="C5019" t="str">
        <f t="shared" si="312"/>
        <v>3241</v>
      </c>
      <c r="D5019" s="73"/>
      <c r="E5019" s="72"/>
      <c r="F5019" s="101"/>
      <c r="G5019" s="96">
        <f t="shared" si="313"/>
        <v>3241</v>
      </c>
      <c r="J5019" t="str">
        <f t="shared" si="316"/>
        <v/>
      </c>
      <c r="K5019" t="str">
        <f t="shared" si="314"/>
        <v>3241</v>
      </c>
      <c r="M5019" s="72"/>
      <c r="O5019" s="96">
        <f t="shared" si="315"/>
        <v>3241</v>
      </c>
    </row>
    <row r="5020" spans="3:15" x14ac:dyDescent="0.2">
      <c r="C5020" t="str">
        <f t="shared" si="312"/>
        <v>3242</v>
      </c>
      <c r="D5020" s="73"/>
      <c r="E5020" s="72"/>
      <c r="F5020" s="101"/>
      <c r="G5020" s="96">
        <f t="shared" si="313"/>
        <v>3242</v>
      </c>
      <c r="J5020" t="str">
        <f t="shared" si="316"/>
        <v/>
      </c>
      <c r="K5020" t="str">
        <f t="shared" si="314"/>
        <v>3242</v>
      </c>
      <c r="M5020" s="72"/>
      <c r="O5020" s="96">
        <f t="shared" si="315"/>
        <v>3242</v>
      </c>
    </row>
    <row r="5021" spans="3:15" x14ac:dyDescent="0.2">
      <c r="C5021" t="str">
        <f t="shared" si="312"/>
        <v>3243</v>
      </c>
      <c r="D5021" s="73"/>
      <c r="E5021" s="72"/>
      <c r="F5021" s="101"/>
      <c r="G5021" s="96">
        <f t="shared" si="313"/>
        <v>3243</v>
      </c>
      <c r="J5021" t="str">
        <f t="shared" si="316"/>
        <v/>
      </c>
      <c r="K5021" t="str">
        <f t="shared" si="314"/>
        <v>3243</v>
      </c>
      <c r="M5021" s="72"/>
      <c r="O5021" s="96">
        <f t="shared" si="315"/>
        <v>3243</v>
      </c>
    </row>
    <row r="5022" spans="3:15" x14ac:dyDescent="0.2">
      <c r="C5022" t="str">
        <f t="shared" si="312"/>
        <v>3244</v>
      </c>
      <c r="D5022" s="73"/>
      <c r="E5022" s="72"/>
      <c r="F5022" s="101"/>
      <c r="G5022" s="96">
        <f t="shared" si="313"/>
        <v>3244</v>
      </c>
      <c r="J5022" t="str">
        <f t="shared" si="316"/>
        <v/>
      </c>
      <c r="K5022" t="str">
        <f t="shared" si="314"/>
        <v>3244</v>
      </c>
      <c r="M5022" s="72"/>
      <c r="O5022" s="96">
        <f t="shared" si="315"/>
        <v>3244</v>
      </c>
    </row>
    <row r="5023" spans="3:15" x14ac:dyDescent="0.2">
      <c r="C5023" t="str">
        <f t="shared" si="312"/>
        <v>3245</v>
      </c>
      <c r="D5023" s="73"/>
      <c r="E5023" s="72"/>
      <c r="F5023" s="101"/>
      <c r="G5023" s="96">
        <f t="shared" si="313"/>
        <v>3245</v>
      </c>
      <c r="J5023" t="str">
        <f t="shared" si="316"/>
        <v/>
      </c>
      <c r="K5023" t="str">
        <f t="shared" si="314"/>
        <v>3245</v>
      </c>
      <c r="M5023" s="72"/>
      <c r="O5023" s="96">
        <f t="shared" si="315"/>
        <v>3245</v>
      </c>
    </row>
    <row r="5024" spans="3:15" x14ac:dyDescent="0.2">
      <c r="C5024" t="str">
        <f t="shared" si="312"/>
        <v>3246</v>
      </c>
      <c r="D5024" s="73"/>
      <c r="E5024" s="72"/>
      <c r="F5024" s="101"/>
      <c r="G5024" s="96">
        <f t="shared" si="313"/>
        <v>3246</v>
      </c>
      <c r="J5024" t="str">
        <f t="shared" si="316"/>
        <v/>
      </c>
      <c r="K5024" t="str">
        <f t="shared" si="314"/>
        <v>3246</v>
      </c>
      <c r="M5024" s="72"/>
      <c r="O5024" s="96">
        <f t="shared" si="315"/>
        <v>3246</v>
      </c>
    </row>
    <row r="5025" spans="3:15" x14ac:dyDescent="0.2">
      <c r="C5025" t="str">
        <f t="shared" si="312"/>
        <v>3247</v>
      </c>
      <c r="D5025" s="73"/>
      <c r="E5025" s="72"/>
      <c r="F5025" s="101"/>
      <c r="G5025" s="96">
        <f t="shared" si="313"/>
        <v>3247</v>
      </c>
      <c r="J5025" t="str">
        <f t="shared" si="316"/>
        <v/>
      </c>
      <c r="K5025" t="str">
        <f t="shared" si="314"/>
        <v>3247</v>
      </c>
      <c r="M5025" s="72"/>
      <c r="O5025" s="96">
        <f t="shared" si="315"/>
        <v>3247</v>
      </c>
    </row>
    <row r="5026" spans="3:15" x14ac:dyDescent="0.2">
      <c r="C5026" t="str">
        <f t="shared" si="312"/>
        <v>3248</v>
      </c>
      <c r="D5026" s="73"/>
      <c r="E5026" s="72"/>
      <c r="F5026" s="101"/>
      <c r="G5026" s="96">
        <f t="shared" si="313"/>
        <v>3248</v>
      </c>
      <c r="J5026" t="str">
        <f t="shared" si="316"/>
        <v/>
      </c>
      <c r="K5026" t="str">
        <f t="shared" si="314"/>
        <v>3248</v>
      </c>
      <c r="M5026" s="72"/>
      <c r="O5026" s="96">
        <f t="shared" si="315"/>
        <v>3248</v>
      </c>
    </row>
    <row r="5027" spans="3:15" x14ac:dyDescent="0.2">
      <c r="C5027" t="str">
        <f t="shared" si="312"/>
        <v>3249</v>
      </c>
      <c r="D5027" s="73"/>
      <c r="E5027" s="72"/>
      <c r="F5027" s="101"/>
      <c r="G5027" s="96">
        <f t="shared" si="313"/>
        <v>3249</v>
      </c>
      <c r="J5027" t="str">
        <f t="shared" si="316"/>
        <v/>
      </c>
      <c r="K5027" t="str">
        <f t="shared" si="314"/>
        <v>3249</v>
      </c>
      <c r="M5027" s="72"/>
      <c r="O5027" s="96">
        <f t="shared" si="315"/>
        <v>3249</v>
      </c>
    </row>
    <row r="5028" spans="3:15" x14ac:dyDescent="0.2">
      <c r="C5028" t="str">
        <f t="shared" si="312"/>
        <v>3250</v>
      </c>
      <c r="D5028" s="73"/>
      <c r="E5028" s="72"/>
      <c r="F5028" s="101"/>
      <c r="G5028" s="96">
        <f t="shared" si="313"/>
        <v>3250</v>
      </c>
      <c r="J5028" t="str">
        <f t="shared" si="316"/>
        <v/>
      </c>
      <c r="K5028" t="str">
        <f t="shared" si="314"/>
        <v>3250</v>
      </c>
      <c r="M5028" s="72"/>
      <c r="O5028" s="96">
        <f t="shared" si="315"/>
        <v>3250</v>
      </c>
    </row>
    <row r="5029" spans="3:15" x14ac:dyDescent="0.2">
      <c r="C5029" t="str">
        <f t="shared" si="312"/>
        <v>3251</v>
      </c>
      <c r="D5029" s="73"/>
      <c r="E5029" s="72"/>
      <c r="F5029" s="101"/>
      <c r="G5029" s="96">
        <f t="shared" si="313"/>
        <v>3251</v>
      </c>
      <c r="J5029" t="str">
        <f t="shared" si="316"/>
        <v/>
      </c>
      <c r="K5029" t="str">
        <f t="shared" si="314"/>
        <v>3251</v>
      </c>
      <c r="M5029" s="72"/>
      <c r="O5029" s="96">
        <f t="shared" si="315"/>
        <v>3251</v>
      </c>
    </row>
    <row r="5030" spans="3:15" x14ac:dyDescent="0.2">
      <c r="C5030" t="str">
        <f t="shared" si="312"/>
        <v>3252</v>
      </c>
      <c r="D5030" s="73"/>
      <c r="E5030" s="72"/>
      <c r="F5030" s="101"/>
      <c r="G5030" s="96">
        <f t="shared" si="313"/>
        <v>3252</v>
      </c>
      <c r="J5030" t="str">
        <f t="shared" si="316"/>
        <v/>
      </c>
      <c r="K5030" t="str">
        <f t="shared" si="314"/>
        <v>3252</v>
      </c>
      <c r="M5030" s="72"/>
      <c r="O5030" s="96">
        <f t="shared" si="315"/>
        <v>3252</v>
      </c>
    </row>
    <row r="5031" spans="3:15" x14ac:dyDescent="0.2">
      <c r="C5031" t="str">
        <f t="shared" si="312"/>
        <v>3253</v>
      </c>
      <c r="D5031" s="73"/>
      <c r="E5031" s="72"/>
      <c r="F5031" s="101"/>
      <c r="G5031" s="96">
        <f t="shared" si="313"/>
        <v>3253</v>
      </c>
      <c r="J5031" t="str">
        <f t="shared" si="316"/>
        <v/>
      </c>
      <c r="K5031" t="str">
        <f t="shared" si="314"/>
        <v>3253</v>
      </c>
      <c r="M5031" s="72"/>
      <c r="O5031" s="96">
        <f t="shared" si="315"/>
        <v>3253</v>
      </c>
    </row>
    <row r="5032" spans="3:15" x14ac:dyDescent="0.2">
      <c r="C5032" t="str">
        <f t="shared" si="312"/>
        <v>3254</v>
      </c>
      <c r="D5032" s="73"/>
      <c r="E5032" s="72"/>
      <c r="F5032" s="101"/>
      <c r="G5032" s="96">
        <f t="shared" si="313"/>
        <v>3254</v>
      </c>
      <c r="J5032" t="str">
        <f t="shared" si="316"/>
        <v/>
      </c>
      <c r="K5032" t="str">
        <f t="shared" si="314"/>
        <v>3254</v>
      </c>
      <c r="M5032" s="72"/>
      <c r="O5032" s="96">
        <f t="shared" si="315"/>
        <v>3254</v>
      </c>
    </row>
    <row r="5033" spans="3:15" x14ac:dyDescent="0.2">
      <c r="C5033" t="str">
        <f t="shared" si="312"/>
        <v>3255</v>
      </c>
      <c r="D5033" s="73"/>
      <c r="E5033" s="72"/>
      <c r="F5033" s="101"/>
      <c r="G5033" s="96">
        <f t="shared" si="313"/>
        <v>3255</v>
      </c>
      <c r="J5033" t="str">
        <f t="shared" si="316"/>
        <v/>
      </c>
      <c r="K5033" t="str">
        <f t="shared" si="314"/>
        <v>3255</v>
      </c>
      <c r="M5033" s="72"/>
      <c r="O5033" s="96">
        <f t="shared" si="315"/>
        <v>3255</v>
      </c>
    </row>
    <row r="5034" spans="3:15" x14ac:dyDescent="0.2">
      <c r="C5034" t="str">
        <f t="shared" si="312"/>
        <v>3256</v>
      </c>
      <c r="D5034" s="73"/>
      <c r="E5034" s="72"/>
      <c r="F5034" s="101"/>
      <c r="G5034" s="96">
        <f t="shared" si="313"/>
        <v>3256</v>
      </c>
      <c r="J5034" t="str">
        <f t="shared" si="316"/>
        <v/>
      </c>
      <c r="K5034" t="str">
        <f t="shared" si="314"/>
        <v>3256</v>
      </c>
      <c r="M5034" s="72"/>
      <c r="O5034" s="96">
        <f t="shared" si="315"/>
        <v>3256</v>
      </c>
    </row>
    <row r="5035" spans="3:15" x14ac:dyDescent="0.2">
      <c r="C5035" t="str">
        <f t="shared" si="312"/>
        <v>3257</v>
      </c>
      <c r="D5035" s="73"/>
      <c r="E5035" s="72"/>
      <c r="F5035" s="101"/>
      <c r="G5035" s="96">
        <f t="shared" si="313"/>
        <v>3257</v>
      </c>
      <c r="J5035" t="str">
        <f t="shared" si="316"/>
        <v/>
      </c>
      <c r="K5035" t="str">
        <f t="shared" si="314"/>
        <v>3257</v>
      </c>
      <c r="M5035" s="72"/>
      <c r="O5035" s="96">
        <f t="shared" si="315"/>
        <v>3257</v>
      </c>
    </row>
    <row r="5036" spans="3:15" x14ac:dyDescent="0.2">
      <c r="C5036" t="str">
        <f t="shared" si="312"/>
        <v>3258</v>
      </c>
      <c r="D5036" s="73"/>
      <c r="E5036" s="72"/>
      <c r="F5036" s="101"/>
      <c r="G5036" s="96">
        <f t="shared" si="313"/>
        <v>3258</v>
      </c>
      <c r="J5036" t="str">
        <f t="shared" si="316"/>
        <v/>
      </c>
      <c r="K5036" t="str">
        <f t="shared" si="314"/>
        <v>3258</v>
      </c>
      <c r="M5036" s="72"/>
      <c r="O5036" s="96">
        <f t="shared" si="315"/>
        <v>3258</v>
      </c>
    </row>
    <row r="5037" spans="3:15" x14ac:dyDescent="0.2">
      <c r="C5037" t="str">
        <f t="shared" si="312"/>
        <v>3259</v>
      </c>
      <c r="D5037" s="73"/>
      <c r="E5037" s="72"/>
      <c r="F5037" s="101"/>
      <c r="G5037" s="96">
        <f t="shared" si="313"/>
        <v>3259</v>
      </c>
      <c r="J5037" t="str">
        <f t="shared" si="316"/>
        <v/>
      </c>
      <c r="K5037" t="str">
        <f t="shared" si="314"/>
        <v>3259</v>
      </c>
      <c r="M5037" s="72"/>
      <c r="O5037" s="96">
        <f t="shared" si="315"/>
        <v>3259</v>
      </c>
    </row>
    <row r="5038" spans="3:15" x14ac:dyDescent="0.2">
      <c r="C5038" t="str">
        <f t="shared" si="312"/>
        <v>3260</v>
      </c>
      <c r="D5038" s="73"/>
      <c r="E5038" s="72"/>
      <c r="F5038" s="101"/>
      <c r="G5038" s="96">
        <f t="shared" si="313"/>
        <v>3260</v>
      </c>
      <c r="J5038" t="str">
        <f t="shared" si="316"/>
        <v/>
      </c>
      <c r="K5038" t="str">
        <f t="shared" si="314"/>
        <v>3260</v>
      </c>
      <c r="M5038" s="72"/>
      <c r="O5038" s="96">
        <f t="shared" si="315"/>
        <v>3260</v>
      </c>
    </row>
    <row r="5039" spans="3:15" x14ac:dyDescent="0.2">
      <c r="C5039" t="str">
        <f t="shared" si="312"/>
        <v>3261</v>
      </c>
      <c r="D5039" s="73"/>
      <c r="E5039" s="72"/>
      <c r="F5039" s="101"/>
      <c r="G5039" s="96">
        <f t="shared" si="313"/>
        <v>3261</v>
      </c>
      <c r="J5039" t="str">
        <f t="shared" si="316"/>
        <v/>
      </c>
      <c r="K5039" t="str">
        <f t="shared" si="314"/>
        <v>3261</v>
      </c>
      <c r="M5039" s="72"/>
      <c r="O5039" s="96">
        <f t="shared" si="315"/>
        <v>3261</v>
      </c>
    </row>
    <row r="5040" spans="3:15" x14ac:dyDescent="0.2">
      <c r="C5040" t="str">
        <f t="shared" si="312"/>
        <v>3262</v>
      </c>
      <c r="D5040" s="73"/>
      <c r="E5040" s="72"/>
      <c r="F5040" s="101"/>
      <c r="G5040" s="96">
        <f t="shared" si="313"/>
        <v>3262</v>
      </c>
      <c r="J5040" t="str">
        <f t="shared" si="316"/>
        <v/>
      </c>
      <c r="K5040" t="str">
        <f t="shared" si="314"/>
        <v>3262</v>
      </c>
      <c r="M5040" s="72"/>
      <c r="O5040" s="96">
        <f t="shared" si="315"/>
        <v>3262</v>
      </c>
    </row>
    <row r="5041" spans="3:15" x14ac:dyDescent="0.2">
      <c r="C5041" t="str">
        <f t="shared" si="312"/>
        <v>3263</v>
      </c>
      <c r="D5041" s="73"/>
      <c r="E5041" s="72"/>
      <c r="F5041" s="101"/>
      <c r="G5041" s="96">
        <f t="shared" si="313"/>
        <v>3263</v>
      </c>
      <c r="J5041" t="str">
        <f t="shared" si="316"/>
        <v/>
      </c>
      <c r="K5041" t="str">
        <f t="shared" si="314"/>
        <v>3263</v>
      </c>
      <c r="M5041" s="72"/>
      <c r="O5041" s="96">
        <f t="shared" si="315"/>
        <v>3263</v>
      </c>
    </row>
    <row r="5042" spans="3:15" x14ac:dyDescent="0.2">
      <c r="C5042" t="str">
        <f t="shared" si="312"/>
        <v>3264</v>
      </c>
      <c r="D5042" s="73"/>
      <c r="E5042" s="72"/>
      <c r="F5042" s="101"/>
      <c r="G5042" s="96">
        <f t="shared" si="313"/>
        <v>3264</v>
      </c>
      <c r="J5042" t="str">
        <f t="shared" si="316"/>
        <v/>
      </c>
      <c r="K5042" t="str">
        <f t="shared" si="314"/>
        <v>3264</v>
      </c>
      <c r="M5042" s="72"/>
      <c r="O5042" s="96">
        <f t="shared" si="315"/>
        <v>3264</v>
      </c>
    </row>
    <row r="5043" spans="3:15" x14ac:dyDescent="0.2">
      <c r="C5043" t="str">
        <f t="shared" si="312"/>
        <v>3265</v>
      </c>
      <c r="D5043" s="73"/>
      <c r="E5043" s="72"/>
      <c r="F5043" s="101"/>
      <c r="G5043" s="96">
        <f t="shared" si="313"/>
        <v>3265</v>
      </c>
      <c r="J5043" t="str">
        <f t="shared" si="316"/>
        <v/>
      </c>
      <c r="K5043" t="str">
        <f t="shared" si="314"/>
        <v>3265</v>
      </c>
      <c r="M5043" s="72"/>
      <c r="O5043" s="96">
        <f t="shared" si="315"/>
        <v>3265</v>
      </c>
    </row>
    <row r="5044" spans="3:15" x14ac:dyDescent="0.2">
      <c r="C5044" t="str">
        <f t="shared" si="312"/>
        <v>3266</v>
      </c>
      <c r="D5044" s="73"/>
      <c r="E5044" s="72"/>
      <c r="F5044" s="101"/>
      <c r="G5044" s="96">
        <f t="shared" si="313"/>
        <v>3266</v>
      </c>
      <c r="J5044" t="str">
        <f t="shared" si="316"/>
        <v/>
      </c>
      <c r="K5044" t="str">
        <f t="shared" si="314"/>
        <v>3266</v>
      </c>
      <c r="M5044" s="72"/>
      <c r="O5044" s="96">
        <f t="shared" si="315"/>
        <v>3266</v>
      </c>
    </row>
    <row r="5045" spans="3:15" x14ac:dyDescent="0.2">
      <c r="C5045" t="str">
        <f t="shared" si="312"/>
        <v>3267</v>
      </c>
      <c r="D5045" s="73"/>
      <c r="E5045" s="72"/>
      <c r="F5045" s="101"/>
      <c r="G5045" s="96">
        <f t="shared" si="313"/>
        <v>3267</v>
      </c>
      <c r="J5045" t="str">
        <f t="shared" si="316"/>
        <v/>
      </c>
      <c r="K5045" t="str">
        <f t="shared" si="314"/>
        <v>3267</v>
      </c>
      <c r="M5045" s="72"/>
      <c r="O5045" s="96">
        <f t="shared" si="315"/>
        <v>3267</v>
      </c>
    </row>
    <row r="5046" spans="3:15" x14ac:dyDescent="0.2">
      <c r="C5046" t="str">
        <f t="shared" si="312"/>
        <v>3268</v>
      </c>
      <c r="D5046" s="73"/>
      <c r="E5046" s="72"/>
      <c r="F5046" s="101"/>
      <c r="G5046" s="96">
        <f t="shared" si="313"/>
        <v>3268</v>
      </c>
      <c r="J5046" t="str">
        <f t="shared" si="316"/>
        <v/>
      </c>
      <c r="K5046" t="str">
        <f t="shared" si="314"/>
        <v>3268</v>
      </c>
      <c r="M5046" s="72"/>
      <c r="O5046" s="96">
        <f t="shared" si="315"/>
        <v>3268</v>
      </c>
    </row>
    <row r="5047" spans="3:15" x14ac:dyDescent="0.2">
      <c r="C5047" t="str">
        <f t="shared" si="312"/>
        <v>3269</v>
      </c>
      <c r="D5047" s="73"/>
      <c r="E5047" s="72"/>
      <c r="F5047" s="101"/>
      <c r="G5047" s="96">
        <f t="shared" si="313"/>
        <v>3269</v>
      </c>
      <c r="J5047" t="str">
        <f t="shared" si="316"/>
        <v/>
      </c>
      <c r="K5047" t="str">
        <f t="shared" si="314"/>
        <v>3269</v>
      </c>
      <c r="M5047" s="72"/>
      <c r="O5047" s="96">
        <f t="shared" si="315"/>
        <v>3269</v>
      </c>
    </row>
    <row r="5048" spans="3:15" x14ac:dyDescent="0.2">
      <c r="C5048" t="str">
        <f t="shared" si="312"/>
        <v>3270</v>
      </c>
      <c r="D5048" s="73"/>
      <c r="E5048" s="72"/>
      <c r="F5048" s="101"/>
      <c r="G5048" s="96">
        <f t="shared" si="313"/>
        <v>3270</v>
      </c>
      <c r="J5048" t="str">
        <f t="shared" si="316"/>
        <v/>
      </c>
      <c r="K5048" t="str">
        <f t="shared" si="314"/>
        <v>3270</v>
      </c>
      <c r="M5048" s="72"/>
      <c r="O5048" s="96">
        <f t="shared" si="315"/>
        <v>3270</v>
      </c>
    </row>
    <row r="5049" spans="3:15" x14ac:dyDescent="0.2">
      <c r="C5049" t="str">
        <f t="shared" si="312"/>
        <v>3271</v>
      </c>
      <c r="D5049" s="73"/>
      <c r="E5049" s="72"/>
      <c r="F5049" s="101"/>
      <c r="G5049" s="96">
        <f t="shared" si="313"/>
        <v>3271</v>
      </c>
      <c r="J5049" t="str">
        <f t="shared" si="316"/>
        <v/>
      </c>
      <c r="K5049" t="str">
        <f t="shared" si="314"/>
        <v>3271</v>
      </c>
      <c r="M5049" s="72"/>
      <c r="O5049" s="96">
        <f t="shared" si="315"/>
        <v>3271</v>
      </c>
    </row>
    <row r="5050" spans="3:15" x14ac:dyDescent="0.2">
      <c r="C5050" t="str">
        <f t="shared" si="312"/>
        <v>3272</v>
      </c>
      <c r="D5050" s="73"/>
      <c r="E5050" s="72"/>
      <c r="F5050" s="101"/>
      <c r="G5050" s="96">
        <f t="shared" si="313"/>
        <v>3272</v>
      </c>
      <c r="J5050" t="str">
        <f t="shared" si="316"/>
        <v/>
      </c>
      <c r="K5050" t="str">
        <f t="shared" si="314"/>
        <v>3272</v>
      </c>
      <c r="M5050" s="72"/>
      <c r="O5050" s="96">
        <f t="shared" si="315"/>
        <v>3272</v>
      </c>
    </row>
    <row r="5051" spans="3:15" x14ac:dyDescent="0.2">
      <c r="C5051" t="str">
        <f t="shared" si="312"/>
        <v>3273</v>
      </c>
      <c r="D5051" s="73"/>
      <c r="E5051" s="72"/>
      <c r="F5051" s="101"/>
      <c r="G5051" s="96">
        <f t="shared" si="313"/>
        <v>3273</v>
      </c>
      <c r="J5051" t="str">
        <f t="shared" si="316"/>
        <v/>
      </c>
      <c r="K5051" t="str">
        <f t="shared" si="314"/>
        <v>3273</v>
      </c>
      <c r="M5051" s="72"/>
      <c r="O5051" s="96">
        <f t="shared" si="315"/>
        <v>3273</v>
      </c>
    </row>
    <row r="5052" spans="3:15" x14ac:dyDescent="0.2">
      <c r="C5052" t="str">
        <f t="shared" si="312"/>
        <v>3274</v>
      </c>
      <c r="D5052" s="73"/>
      <c r="E5052" s="72"/>
      <c r="F5052" s="101"/>
      <c r="G5052" s="96">
        <f t="shared" si="313"/>
        <v>3274</v>
      </c>
      <c r="J5052" t="str">
        <f t="shared" si="316"/>
        <v/>
      </c>
      <c r="K5052" t="str">
        <f t="shared" si="314"/>
        <v>3274</v>
      </c>
      <c r="M5052" s="72"/>
      <c r="O5052" s="96">
        <f t="shared" si="315"/>
        <v>3274</v>
      </c>
    </row>
    <row r="5053" spans="3:15" x14ac:dyDescent="0.2">
      <c r="C5053" t="str">
        <f t="shared" si="312"/>
        <v>3275</v>
      </c>
      <c r="D5053" s="73"/>
      <c r="E5053" s="72"/>
      <c r="F5053" s="101"/>
      <c r="G5053" s="96">
        <f t="shared" si="313"/>
        <v>3275</v>
      </c>
      <c r="J5053" t="str">
        <f t="shared" si="316"/>
        <v/>
      </c>
      <c r="K5053" t="str">
        <f t="shared" si="314"/>
        <v>3275</v>
      </c>
      <c r="M5053" s="72"/>
      <c r="O5053" s="96">
        <f t="shared" si="315"/>
        <v>3275</v>
      </c>
    </row>
    <row r="5054" spans="3:15" x14ac:dyDescent="0.2">
      <c r="C5054" t="str">
        <f t="shared" si="312"/>
        <v>3276</v>
      </c>
      <c r="D5054" s="73"/>
      <c r="E5054" s="72"/>
      <c r="F5054" s="101"/>
      <c r="G5054" s="96">
        <f t="shared" si="313"/>
        <v>3276</v>
      </c>
      <c r="J5054" t="str">
        <f t="shared" si="316"/>
        <v/>
      </c>
      <c r="K5054" t="str">
        <f t="shared" si="314"/>
        <v>3276</v>
      </c>
      <c r="M5054" s="72"/>
      <c r="O5054" s="96">
        <f t="shared" si="315"/>
        <v>3276</v>
      </c>
    </row>
    <row r="5055" spans="3:15" x14ac:dyDescent="0.2">
      <c r="C5055" t="str">
        <f t="shared" si="312"/>
        <v>3277</v>
      </c>
      <c r="D5055" s="73"/>
      <c r="E5055" s="72"/>
      <c r="F5055" s="101"/>
      <c r="G5055" s="96">
        <f t="shared" si="313"/>
        <v>3277</v>
      </c>
      <c r="J5055" t="str">
        <f t="shared" si="316"/>
        <v/>
      </c>
      <c r="K5055" t="str">
        <f t="shared" si="314"/>
        <v>3277</v>
      </c>
      <c r="M5055" s="72"/>
      <c r="O5055" s="96">
        <f t="shared" si="315"/>
        <v>3277</v>
      </c>
    </row>
    <row r="5056" spans="3:15" x14ac:dyDescent="0.2">
      <c r="C5056" t="str">
        <f t="shared" si="312"/>
        <v>3278</v>
      </c>
      <c r="D5056" s="73"/>
      <c r="E5056" s="72"/>
      <c r="F5056" s="101"/>
      <c r="G5056" s="96">
        <f t="shared" si="313"/>
        <v>3278</v>
      </c>
      <c r="J5056" t="str">
        <f t="shared" si="316"/>
        <v/>
      </c>
      <c r="K5056" t="str">
        <f t="shared" si="314"/>
        <v>3278</v>
      </c>
      <c r="M5056" s="72"/>
      <c r="O5056" s="96">
        <f t="shared" si="315"/>
        <v>3278</v>
      </c>
    </row>
    <row r="5057" spans="3:15" x14ac:dyDescent="0.2">
      <c r="C5057" t="str">
        <f t="shared" si="312"/>
        <v>3279</v>
      </c>
      <c r="D5057" s="73"/>
      <c r="E5057" s="72"/>
      <c r="F5057" s="101"/>
      <c r="G5057" s="96">
        <f t="shared" si="313"/>
        <v>3279</v>
      </c>
      <c r="J5057" t="str">
        <f t="shared" si="316"/>
        <v/>
      </c>
      <c r="K5057" t="str">
        <f t="shared" si="314"/>
        <v>3279</v>
      </c>
      <c r="M5057" s="72"/>
      <c r="O5057" s="96">
        <f t="shared" si="315"/>
        <v>3279</v>
      </c>
    </row>
    <row r="5058" spans="3:15" x14ac:dyDescent="0.2">
      <c r="C5058" t="str">
        <f t="shared" si="312"/>
        <v>3280</v>
      </c>
      <c r="D5058" s="73"/>
      <c r="E5058" s="72"/>
      <c r="F5058" s="101"/>
      <c r="G5058" s="96">
        <f t="shared" si="313"/>
        <v>3280</v>
      </c>
      <c r="J5058" t="str">
        <f t="shared" si="316"/>
        <v/>
      </c>
      <c r="K5058" t="str">
        <f t="shared" si="314"/>
        <v>3280</v>
      </c>
      <c r="M5058" s="72"/>
      <c r="O5058" s="96">
        <f t="shared" si="315"/>
        <v>3280</v>
      </c>
    </row>
    <row r="5059" spans="3:15" x14ac:dyDescent="0.2">
      <c r="C5059" t="str">
        <f t="shared" ref="C5059:C5122" si="317">D5059&amp;G5059</f>
        <v>3281</v>
      </c>
      <c r="D5059" s="73"/>
      <c r="E5059" s="72"/>
      <c r="F5059" s="101"/>
      <c r="G5059" s="96">
        <f t="shared" ref="G5059:G5122" si="318">IF(D5059&lt;&gt;D5058,1,G5058+1)</f>
        <v>3281</v>
      </c>
      <c r="J5059" t="str">
        <f t="shared" si="316"/>
        <v/>
      </c>
      <c r="K5059" t="str">
        <f t="shared" ref="K5059:K5122" si="319">L5059&amp;O5059</f>
        <v>3281</v>
      </c>
      <c r="M5059" s="72"/>
      <c r="O5059" s="96">
        <f t="shared" ref="O5059:O5122" si="320">IF(L5059&lt;&gt;L5058,1,O5058+1)</f>
        <v>3281</v>
      </c>
    </row>
    <row r="5060" spans="3:15" x14ac:dyDescent="0.2">
      <c r="C5060" t="str">
        <f t="shared" si="317"/>
        <v>3282</v>
      </c>
      <c r="D5060" s="73"/>
      <c r="E5060" s="72"/>
      <c r="F5060" s="101"/>
      <c r="G5060" s="96">
        <f t="shared" si="318"/>
        <v>3282</v>
      </c>
      <c r="J5060" t="str">
        <f t="shared" si="316"/>
        <v/>
      </c>
      <c r="K5060" t="str">
        <f t="shared" si="319"/>
        <v>3282</v>
      </c>
      <c r="M5060" s="72"/>
      <c r="O5060" s="96">
        <f t="shared" si="320"/>
        <v>3282</v>
      </c>
    </row>
    <row r="5061" spans="3:15" x14ac:dyDescent="0.2">
      <c r="C5061" t="str">
        <f t="shared" si="317"/>
        <v>3283</v>
      </c>
      <c r="D5061" s="73"/>
      <c r="E5061" s="72"/>
      <c r="F5061" s="101"/>
      <c r="G5061" s="96">
        <f t="shared" si="318"/>
        <v>3283</v>
      </c>
      <c r="J5061" t="str">
        <f t="shared" si="316"/>
        <v/>
      </c>
      <c r="K5061" t="str">
        <f t="shared" si="319"/>
        <v>3283</v>
      </c>
      <c r="M5061" s="72"/>
      <c r="O5061" s="96">
        <f t="shared" si="320"/>
        <v>3283</v>
      </c>
    </row>
    <row r="5062" spans="3:15" x14ac:dyDescent="0.2">
      <c r="C5062" t="str">
        <f t="shared" si="317"/>
        <v>3284</v>
      </c>
      <c r="D5062" s="73"/>
      <c r="E5062" s="72"/>
      <c r="F5062" s="101"/>
      <c r="G5062" s="96">
        <f t="shared" si="318"/>
        <v>3284</v>
      </c>
      <c r="J5062" t="str">
        <f t="shared" si="316"/>
        <v/>
      </c>
      <c r="K5062" t="str">
        <f t="shared" si="319"/>
        <v>3284</v>
      </c>
      <c r="M5062" s="72"/>
      <c r="O5062" s="96">
        <f t="shared" si="320"/>
        <v>3284</v>
      </c>
    </row>
    <row r="5063" spans="3:15" x14ac:dyDescent="0.2">
      <c r="C5063" t="str">
        <f t="shared" si="317"/>
        <v>3285</v>
      </c>
      <c r="D5063" s="73"/>
      <c r="E5063" s="72"/>
      <c r="F5063" s="101"/>
      <c r="G5063" s="96">
        <f t="shared" si="318"/>
        <v>3285</v>
      </c>
      <c r="J5063" t="str">
        <f t="shared" si="316"/>
        <v/>
      </c>
      <c r="K5063" t="str">
        <f t="shared" si="319"/>
        <v>3285</v>
      </c>
      <c r="M5063" s="72"/>
      <c r="O5063" s="96">
        <f t="shared" si="320"/>
        <v>3285</v>
      </c>
    </row>
    <row r="5064" spans="3:15" x14ac:dyDescent="0.2">
      <c r="C5064" t="str">
        <f t="shared" si="317"/>
        <v>3286</v>
      </c>
      <c r="D5064" s="73"/>
      <c r="E5064" s="72"/>
      <c r="F5064" s="101"/>
      <c r="G5064" s="96">
        <f t="shared" si="318"/>
        <v>3286</v>
      </c>
      <c r="J5064" t="str">
        <f t="shared" si="316"/>
        <v/>
      </c>
      <c r="K5064" t="str">
        <f t="shared" si="319"/>
        <v>3286</v>
      </c>
      <c r="M5064" s="72"/>
      <c r="O5064" s="96">
        <f t="shared" si="320"/>
        <v>3286</v>
      </c>
    </row>
    <row r="5065" spans="3:15" x14ac:dyDescent="0.2">
      <c r="C5065" t="str">
        <f t="shared" si="317"/>
        <v>3287</v>
      </c>
      <c r="D5065" s="73"/>
      <c r="E5065" s="72"/>
      <c r="F5065" s="101"/>
      <c r="G5065" s="96">
        <f t="shared" si="318"/>
        <v>3287</v>
      </c>
      <c r="J5065" t="str">
        <f t="shared" si="316"/>
        <v/>
      </c>
      <c r="K5065" t="str">
        <f t="shared" si="319"/>
        <v>3287</v>
      </c>
      <c r="M5065" s="72"/>
      <c r="O5065" s="96">
        <f t="shared" si="320"/>
        <v>3287</v>
      </c>
    </row>
    <row r="5066" spans="3:15" x14ac:dyDescent="0.2">
      <c r="C5066" t="str">
        <f t="shared" si="317"/>
        <v>3288</v>
      </c>
      <c r="D5066" s="73"/>
      <c r="E5066" s="72"/>
      <c r="F5066" s="101"/>
      <c r="G5066" s="96">
        <f t="shared" si="318"/>
        <v>3288</v>
      </c>
      <c r="J5066" t="str">
        <f t="shared" ref="J5066:J5129" si="321">L5066&amp;M5066</f>
        <v/>
      </c>
      <c r="K5066" t="str">
        <f t="shared" si="319"/>
        <v>3288</v>
      </c>
      <c r="M5066" s="72"/>
      <c r="O5066" s="96">
        <f t="shared" si="320"/>
        <v>3288</v>
      </c>
    </row>
    <row r="5067" spans="3:15" x14ac:dyDescent="0.2">
      <c r="C5067" t="str">
        <f t="shared" si="317"/>
        <v>3289</v>
      </c>
      <c r="D5067" s="73"/>
      <c r="E5067" s="72"/>
      <c r="F5067" s="101"/>
      <c r="G5067" s="96">
        <f t="shared" si="318"/>
        <v>3289</v>
      </c>
      <c r="J5067" t="str">
        <f t="shared" si="321"/>
        <v/>
      </c>
      <c r="K5067" t="str">
        <f t="shared" si="319"/>
        <v>3289</v>
      </c>
      <c r="M5067" s="72"/>
      <c r="O5067" s="96">
        <f t="shared" si="320"/>
        <v>3289</v>
      </c>
    </row>
    <row r="5068" spans="3:15" x14ac:dyDescent="0.2">
      <c r="C5068" t="str">
        <f t="shared" si="317"/>
        <v>3290</v>
      </c>
      <c r="D5068" s="73"/>
      <c r="E5068" s="72"/>
      <c r="F5068" s="101"/>
      <c r="G5068" s="96">
        <f t="shared" si="318"/>
        <v>3290</v>
      </c>
      <c r="J5068" t="str">
        <f t="shared" si="321"/>
        <v/>
      </c>
      <c r="K5068" t="str">
        <f t="shared" si="319"/>
        <v>3290</v>
      </c>
      <c r="M5068" s="72"/>
      <c r="O5068" s="96">
        <f t="shared" si="320"/>
        <v>3290</v>
      </c>
    </row>
    <row r="5069" spans="3:15" x14ac:dyDescent="0.2">
      <c r="C5069" t="str">
        <f t="shared" si="317"/>
        <v>3291</v>
      </c>
      <c r="D5069" s="73"/>
      <c r="E5069" s="72"/>
      <c r="F5069" s="101"/>
      <c r="G5069" s="96">
        <f t="shared" si="318"/>
        <v>3291</v>
      </c>
      <c r="J5069" t="str">
        <f t="shared" si="321"/>
        <v/>
      </c>
      <c r="K5069" t="str">
        <f t="shared" si="319"/>
        <v>3291</v>
      </c>
      <c r="M5069" s="72"/>
      <c r="O5069" s="96">
        <f t="shared" si="320"/>
        <v>3291</v>
      </c>
    </row>
    <row r="5070" spans="3:15" x14ac:dyDescent="0.2">
      <c r="C5070" t="str">
        <f t="shared" si="317"/>
        <v>3292</v>
      </c>
      <c r="D5070" s="73"/>
      <c r="E5070" s="72"/>
      <c r="F5070" s="101"/>
      <c r="G5070" s="96">
        <f t="shared" si="318"/>
        <v>3292</v>
      </c>
      <c r="J5070" t="str">
        <f t="shared" si="321"/>
        <v/>
      </c>
      <c r="K5070" t="str">
        <f t="shared" si="319"/>
        <v>3292</v>
      </c>
      <c r="M5070" s="72"/>
      <c r="O5070" s="96">
        <f t="shared" si="320"/>
        <v>3292</v>
      </c>
    </row>
    <row r="5071" spans="3:15" x14ac:dyDescent="0.2">
      <c r="C5071" t="str">
        <f t="shared" si="317"/>
        <v>3293</v>
      </c>
      <c r="D5071" s="73"/>
      <c r="E5071" s="72"/>
      <c r="F5071" s="101"/>
      <c r="G5071" s="96">
        <f t="shared" si="318"/>
        <v>3293</v>
      </c>
      <c r="J5071" t="str">
        <f t="shared" si="321"/>
        <v/>
      </c>
      <c r="K5071" t="str">
        <f t="shared" si="319"/>
        <v>3293</v>
      </c>
      <c r="M5071" s="72"/>
      <c r="O5071" s="96">
        <f t="shared" si="320"/>
        <v>3293</v>
      </c>
    </row>
    <row r="5072" spans="3:15" x14ac:dyDescent="0.2">
      <c r="C5072" t="str">
        <f t="shared" si="317"/>
        <v>3294</v>
      </c>
      <c r="D5072" s="73"/>
      <c r="E5072" s="72"/>
      <c r="F5072" s="101"/>
      <c r="G5072" s="96">
        <f t="shared" si="318"/>
        <v>3294</v>
      </c>
      <c r="J5072" t="str">
        <f t="shared" si="321"/>
        <v/>
      </c>
      <c r="K5072" t="str">
        <f t="shared" si="319"/>
        <v>3294</v>
      </c>
      <c r="M5072" s="72"/>
      <c r="O5072" s="96">
        <f t="shared" si="320"/>
        <v>3294</v>
      </c>
    </row>
    <row r="5073" spans="3:15" x14ac:dyDescent="0.2">
      <c r="C5073" t="str">
        <f t="shared" si="317"/>
        <v>3295</v>
      </c>
      <c r="D5073" s="73"/>
      <c r="E5073" s="72"/>
      <c r="F5073" s="101"/>
      <c r="G5073" s="96">
        <f t="shared" si="318"/>
        <v>3295</v>
      </c>
      <c r="J5073" t="str">
        <f t="shared" si="321"/>
        <v/>
      </c>
      <c r="K5073" t="str">
        <f t="shared" si="319"/>
        <v>3295</v>
      </c>
      <c r="M5073" s="72"/>
      <c r="O5073" s="96">
        <f t="shared" si="320"/>
        <v>3295</v>
      </c>
    </row>
    <row r="5074" spans="3:15" x14ac:dyDescent="0.2">
      <c r="C5074" t="str">
        <f t="shared" si="317"/>
        <v>3296</v>
      </c>
      <c r="D5074" s="73"/>
      <c r="E5074" s="72"/>
      <c r="F5074" s="101"/>
      <c r="G5074" s="96">
        <f t="shared" si="318"/>
        <v>3296</v>
      </c>
      <c r="J5074" t="str">
        <f t="shared" si="321"/>
        <v/>
      </c>
      <c r="K5074" t="str">
        <f t="shared" si="319"/>
        <v>3296</v>
      </c>
      <c r="M5074" s="72"/>
      <c r="O5074" s="96">
        <f t="shared" si="320"/>
        <v>3296</v>
      </c>
    </row>
    <row r="5075" spans="3:15" x14ac:dyDescent="0.2">
      <c r="C5075" t="str">
        <f t="shared" si="317"/>
        <v>3297</v>
      </c>
      <c r="D5075" s="73"/>
      <c r="E5075" s="72"/>
      <c r="F5075" s="101"/>
      <c r="G5075" s="96">
        <f t="shared" si="318"/>
        <v>3297</v>
      </c>
      <c r="J5075" t="str">
        <f t="shared" si="321"/>
        <v/>
      </c>
      <c r="K5075" t="str">
        <f t="shared" si="319"/>
        <v>3297</v>
      </c>
      <c r="M5075" s="72"/>
      <c r="O5075" s="96">
        <f t="shared" si="320"/>
        <v>3297</v>
      </c>
    </row>
    <row r="5076" spans="3:15" x14ac:dyDescent="0.2">
      <c r="C5076" t="str">
        <f t="shared" si="317"/>
        <v>3298</v>
      </c>
      <c r="D5076" s="73"/>
      <c r="E5076" s="72"/>
      <c r="F5076" s="101"/>
      <c r="G5076" s="96">
        <f t="shared" si="318"/>
        <v>3298</v>
      </c>
      <c r="J5076" t="str">
        <f t="shared" si="321"/>
        <v/>
      </c>
      <c r="K5076" t="str">
        <f t="shared" si="319"/>
        <v>3298</v>
      </c>
      <c r="M5076" s="72"/>
      <c r="O5076" s="96">
        <f t="shared" si="320"/>
        <v>3298</v>
      </c>
    </row>
    <row r="5077" spans="3:15" x14ac:dyDescent="0.2">
      <c r="C5077" t="str">
        <f t="shared" si="317"/>
        <v>3299</v>
      </c>
      <c r="D5077" s="73"/>
      <c r="E5077" s="72"/>
      <c r="F5077" s="101"/>
      <c r="G5077" s="96">
        <f t="shared" si="318"/>
        <v>3299</v>
      </c>
      <c r="J5077" t="str">
        <f t="shared" si="321"/>
        <v/>
      </c>
      <c r="K5077" t="str">
        <f t="shared" si="319"/>
        <v>3299</v>
      </c>
      <c r="M5077" s="72"/>
      <c r="O5077" s="96">
        <f t="shared" si="320"/>
        <v>3299</v>
      </c>
    </row>
    <row r="5078" spans="3:15" x14ac:dyDescent="0.2">
      <c r="C5078" t="str">
        <f t="shared" si="317"/>
        <v>3300</v>
      </c>
      <c r="D5078" s="73"/>
      <c r="E5078" s="72"/>
      <c r="F5078" s="101"/>
      <c r="G5078" s="96">
        <f t="shared" si="318"/>
        <v>3300</v>
      </c>
      <c r="J5078" t="str">
        <f t="shared" si="321"/>
        <v/>
      </c>
      <c r="K5078" t="str">
        <f t="shared" si="319"/>
        <v>3300</v>
      </c>
      <c r="M5078" s="72"/>
      <c r="O5078" s="96">
        <f t="shared" si="320"/>
        <v>3300</v>
      </c>
    </row>
    <row r="5079" spans="3:15" x14ac:dyDescent="0.2">
      <c r="C5079" t="str">
        <f t="shared" si="317"/>
        <v>3301</v>
      </c>
      <c r="D5079" s="73"/>
      <c r="E5079" s="72"/>
      <c r="F5079" s="101"/>
      <c r="G5079" s="96">
        <f t="shared" si="318"/>
        <v>3301</v>
      </c>
      <c r="J5079" t="str">
        <f t="shared" si="321"/>
        <v/>
      </c>
      <c r="K5079" t="str">
        <f t="shared" si="319"/>
        <v>3301</v>
      </c>
      <c r="M5079" s="72"/>
      <c r="O5079" s="96">
        <f t="shared" si="320"/>
        <v>3301</v>
      </c>
    </row>
    <row r="5080" spans="3:15" x14ac:dyDescent="0.2">
      <c r="C5080" t="str">
        <f t="shared" si="317"/>
        <v>3302</v>
      </c>
      <c r="D5080" s="73"/>
      <c r="E5080" s="72"/>
      <c r="F5080" s="101"/>
      <c r="G5080" s="96">
        <f t="shared" si="318"/>
        <v>3302</v>
      </c>
      <c r="J5080" t="str">
        <f t="shared" si="321"/>
        <v/>
      </c>
      <c r="K5080" t="str">
        <f t="shared" si="319"/>
        <v>3302</v>
      </c>
      <c r="M5080" s="72"/>
      <c r="O5080" s="96">
        <f t="shared" si="320"/>
        <v>3302</v>
      </c>
    </row>
    <row r="5081" spans="3:15" x14ac:dyDescent="0.2">
      <c r="C5081" t="str">
        <f t="shared" si="317"/>
        <v>3303</v>
      </c>
      <c r="D5081" s="73"/>
      <c r="E5081" s="72"/>
      <c r="F5081" s="101"/>
      <c r="G5081" s="96">
        <f t="shared" si="318"/>
        <v>3303</v>
      </c>
      <c r="J5081" t="str">
        <f t="shared" si="321"/>
        <v/>
      </c>
      <c r="K5081" t="str">
        <f t="shared" si="319"/>
        <v>3303</v>
      </c>
      <c r="M5081" s="72"/>
      <c r="O5081" s="96">
        <f t="shared" si="320"/>
        <v>3303</v>
      </c>
    </row>
    <row r="5082" spans="3:15" x14ac:dyDescent="0.2">
      <c r="C5082" t="str">
        <f t="shared" si="317"/>
        <v>3304</v>
      </c>
      <c r="D5082" s="73"/>
      <c r="E5082" s="72"/>
      <c r="F5082" s="101"/>
      <c r="G5082" s="96">
        <f t="shared" si="318"/>
        <v>3304</v>
      </c>
      <c r="J5082" t="str">
        <f t="shared" si="321"/>
        <v/>
      </c>
      <c r="K5082" t="str">
        <f t="shared" si="319"/>
        <v>3304</v>
      </c>
      <c r="M5082" s="72"/>
      <c r="O5082" s="96">
        <f t="shared" si="320"/>
        <v>3304</v>
      </c>
    </row>
    <row r="5083" spans="3:15" x14ac:dyDescent="0.2">
      <c r="C5083" t="str">
        <f t="shared" si="317"/>
        <v>3305</v>
      </c>
      <c r="D5083" s="73"/>
      <c r="E5083" s="72"/>
      <c r="F5083" s="101"/>
      <c r="G5083" s="96">
        <f t="shared" si="318"/>
        <v>3305</v>
      </c>
      <c r="J5083" t="str">
        <f t="shared" si="321"/>
        <v/>
      </c>
      <c r="K5083" t="str">
        <f t="shared" si="319"/>
        <v>3305</v>
      </c>
      <c r="M5083" s="72"/>
      <c r="O5083" s="96">
        <f t="shared" si="320"/>
        <v>3305</v>
      </c>
    </row>
    <row r="5084" spans="3:15" x14ac:dyDescent="0.2">
      <c r="C5084" t="str">
        <f t="shared" si="317"/>
        <v>3306</v>
      </c>
      <c r="D5084" s="73"/>
      <c r="E5084" s="72"/>
      <c r="F5084" s="101"/>
      <c r="G5084" s="96">
        <f t="shared" si="318"/>
        <v>3306</v>
      </c>
      <c r="J5084" t="str">
        <f t="shared" si="321"/>
        <v/>
      </c>
      <c r="K5084" t="str">
        <f t="shared" si="319"/>
        <v>3306</v>
      </c>
      <c r="M5084" s="72"/>
      <c r="O5084" s="96">
        <f t="shared" si="320"/>
        <v>3306</v>
      </c>
    </row>
    <row r="5085" spans="3:15" x14ac:dyDescent="0.2">
      <c r="C5085" t="str">
        <f t="shared" si="317"/>
        <v>3307</v>
      </c>
      <c r="D5085" s="73"/>
      <c r="E5085" s="72"/>
      <c r="F5085" s="101"/>
      <c r="G5085" s="96">
        <f t="shared" si="318"/>
        <v>3307</v>
      </c>
      <c r="J5085" t="str">
        <f t="shared" si="321"/>
        <v/>
      </c>
      <c r="K5085" t="str">
        <f t="shared" si="319"/>
        <v>3307</v>
      </c>
      <c r="M5085" s="72"/>
      <c r="O5085" s="96">
        <f t="shared" si="320"/>
        <v>3307</v>
      </c>
    </row>
    <row r="5086" spans="3:15" x14ac:dyDescent="0.2">
      <c r="C5086" t="str">
        <f t="shared" si="317"/>
        <v>3308</v>
      </c>
      <c r="D5086" s="73"/>
      <c r="E5086" s="72"/>
      <c r="F5086" s="101"/>
      <c r="G5086" s="96">
        <f t="shared" si="318"/>
        <v>3308</v>
      </c>
      <c r="J5086" t="str">
        <f t="shared" si="321"/>
        <v/>
      </c>
      <c r="K5086" t="str">
        <f t="shared" si="319"/>
        <v>3308</v>
      </c>
      <c r="M5086" s="72"/>
      <c r="O5086" s="96">
        <f t="shared" si="320"/>
        <v>3308</v>
      </c>
    </row>
    <row r="5087" spans="3:15" x14ac:dyDescent="0.2">
      <c r="C5087" t="str">
        <f t="shared" si="317"/>
        <v>3309</v>
      </c>
      <c r="D5087" s="73"/>
      <c r="E5087" s="72"/>
      <c r="F5087" s="101"/>
      <c r="G5087" s="96">
        <f t="shared" si="318"/>
        <v>3309</v>
      </c>
      <c r="J5087" t="str">
        <f t="shared" si="321"/>
        <v/>
      </c>
      <c r="K5087" t="str">
        <f t="shared" si="319"/>
        <v>3309</v>
      </c>
      <c r="M5087" s="72"/>
      <c r="O5087" s="96">
        <f t="shared" si="320"/>
        <v>3309</v>
      </c>
    </row>
    <row r="5088" spans="3:15" x14ac:dyDescent="0.2">
      <c r="C5088" t="str">
        <f t="shared" si="317"/>
        <v>3310</v>
      </c>
      <c r="D5088" s="73"/>
      <c r="E5088" s="72"/>
      <c r="F5088" s="101"/>
      <c r="G5088" s="96">
        <f t="shared" si="318"/>
        <v>3310</v>
      </c>
      <c r="J5088" t="str">
        <f t="shared" si="321"/>
        <v/>
      </c>
      <c r="K5088" t="str">
        <f t="shared" si="319"/>
        <v>3310</v>
      </c>
      <c r="M5088" s="72"/>
      <c r="O5088" s="96">
        <f t="shared" si="320"/>
        <v>3310</v>
      </c>
    </row>
    <row r="5089" spans="3:15" x14ac:dyDescent="0.2">
      <c r="C5089" t="str">
        <f t="shared" si="317"/>
        <v>3311</v>
      </c>
      <c r="D5089" s="73"/>
      <c r="E5089" s="72"/>
      <c r="F5089" s="101"/>
      <c r="G5089" s="96">
        <f t="shared" si="318"/>
        <v>3311</v>
      </c>
      <c r="J5089" t="str">
        <f t="shared" si="321"/>
        <v/>
      </c>
      <c r="K5089" t="str">
        <f t="shared" si="319"/>
        <v>3311</v>
      </c>
      <c r="M5089" s="72"/>
      <c r="O5089" s="96">
        <f t="shared" si="320"/>
        <v>3311</v>
      </c>
    </row>
    <row r="5090" spans="3:15" x14ac:dyDescent="0.2">
      <c r="C5090" t="str">
        <f t="shared" si="317"/>
        <v>3312</v>
      </c>
      <c r="D5090" s="73"/>
      <c r="E5090" s="72"/>
      <c r="F5090" s="101"/>
      <c r="G5090" s="96">
        <f t="shared" si="318"/>
        <v>3312</v>
      </c>
      <c r="J5090" t="str">
        <f t="shared" si="321"/>
        <v/>
      </c>
      <c r="K5090" t="str">
        <f t="shared" si="319"/>
        <v>3312</v>
      </c>
      <c r="M5090" s="72"/>
      <c r="O5090" s="96">
        <f t="shared" si="320"/>
        <v>3312</v>
      </c>
    </row>
    <row r="5091" spans="3:15" x14ac:dyDescent="0.2">
      <c r="C5091" t="str">
        <f t="shared" si="317"/>
        <v>3313</v>
      </c>
      <c r="D5091" s="73"/>
      <c r="E5091" s="72"/>
      <c r="F5091" s="101"/>
      <c r="G5091" s="96">
        <f t="shared" si="318"/>
        <v>3313</v>
      </c>
      <c r="J5091" t="str">
        <f t="shared" si="321"/>
        <v/>
      </c>
      <c r="K5091" t="str">
        <f t="shared" si="319"/>
        <v>3313</v>
      </c>
      <c r="M5091" s="72"/>
      <c r="O5091" s="96">
        <f t="shared" si="320"/>
        <v>3313</v>
      </c>
    </row>
    <row r="5092" spans="3:15" x14ac:dyDescent="0.2">
      <c r="C5092" t="str">
        <f t="shared" si="317"/>
        <v>3314</v>
      </c>
      <c r="D5092" s="73"/>
      <c r="E5092" s="72"/>
      <c r="F5092" s="101"/>
      <c r="G5092" s="96">
        <f t="shared" si="318"/>
        <v>3314</v>
      </c>
      <c r="J5092" t="str">
        <f t="shared" si="321"/>
        <v/>
      </c>
      <c r="K5092" t="str">
        <f t="shared" si="319"/>
        <v>3314</v>
      </c>
      <c r="M5092" s="72"/>
      <c r="O5092" s="96">
        <f t="shared" si="320"/>
        <v>3314</v>
      </c>
    </row>
    <row r="5093" spans="3:15" x14ac:dyDescent="0.2">
      <c r="C5093" t="str">
        <f t="shared" si="317"/>
        <v>3315</v>
      </c>
      <c r="D5093" s="73"/>
      <c r="E5093" s="72"/>
      <c r="F5093" s="101"/>
      <c r="G5093" s="96">
        <f t="shared" si="318"/>
        <v>3315</v>
      </c>
      <c r="J5093" t="str">
        <f t="shared" si="321"/>
        <v/>
      </c>
      <c r="K5093" t="str">
        <f t="shared" si="319"/>
        <v>3315</v>
      </c>
      <c r="M5093" s="72"/>
      <c r="O5093" s="96">
        <f t="shared" si="320"/>
        <v>3315</v>
      </c>
    </row>
    <row r="5094" spans="3:15" x14ac:dyDescent="0.2">
      <c r="C5094" t="str">
        <f t="shared" si="317"/>
        <v>3316</v>
      </c>
      <c r="D5094" s="73"/>
      <c r="E5094" s="72"/>
      <c r="F5094" s="101"/>
      <c r="G5094" s="96">
        <f t="shared" si="318"/>
        <v>3316</v>
      </c>
      <c r="J5094" t="str">
        <f t="shared" si="321"/>
        <v/>
      </c>
      <c r="K5094" t="str">
        <f t="shared" si="319"/>
        <v>3316</v>
      </c>
      <c r="M5094" s="72"/>
      <c r="O5094" s="96">
        <f t="shared" si="320"/>
        <v>3316</v>
      </c>
    </row>
    <row r="5095" spans="3:15" x14ac:dyDescent="0.2">
      <c r="C5095" t="str">
        <f t="shared" si="317"/>
        <v>3317</v>
      </c>
      <c r="D5095" s="73"/>
      <c r="E5095" s="72"/>
      <c r="F5095" s="101"/>
      <c r="G5095" s="96">
        <f t="shared" si="318"/>
        <v>3317</v>
      </c>
      <c r="J5095" t="str">
        <f t="shared" si="321"/>
        <v/>
      </c>
      <c r="K5095" t="str">
        <f t="shared" si="319"/>
        <v>3317</v>
      </c>
      <c r="M5095" s="72"/>
      <c r="O5095" s="96">
        <f t="shared" si="320"/>
        <v>3317</v>
      </c>
    </row>
    <row r="5096" spans="3:15" x14ac:dyDescent="0.2">
      <c r="C5096" t="str">
        <f t="shared" si="317"/>
        <v>3318</v>
      </c>
      <c r="D5096" s="73"/>
      <c r="E5096" s="72"/>
      <c r="F5096" s="101"/>
      <c r="G5096" s="96">
        <f t="shared" si="318"/>
        <v>3318</v>
      </c>
      <c r="J5096" t="str">
        <f t="shared" si="321"/>
        <v/>
      </c>
      <c r="K5096" t="str">
        <f t="shared" si="319"/>
        <v>3318</v>
      </c>
      <c r="M5096" s="72"/>
      <c r="O5096" s="96">
        <f t="shared" si="320"/>
        <v>3318</v>
      </c>
    </row>
    <row r="5097" spans="3:15" x14ac:dyDescent="0.2">
      <c r="C5097" t="str">
        <f t="shared" si="317"/>
        <v>3319</v>
      </c>
      <c r="D5097" s="73"/>
      <c r="E5097" s="72"/>
      <c r="F5097" s="101"/>
      <c r="G5097" s="96">
        <f t="shared" si="318"/>
        <v>3319</v>
      </c>
      <c r="J5097" t="str">
        <f t="shared" si="321"/>
        <v/>
      </c>
      <c r="K5097" t="str">
        <f t="shared" si="319"/>
        <v>3319</v>
      </c>
      <c r="M5097" s="72"/>
      <c r="O5097" s="96">
        <f t="shared" si="320"/>
        <v>3319</v>
      </c>
    </row>
    <row r="5098" spans="3:15" x14ac:dyDescent="0.2">
      <c r="C5098" t="str">
        <f t="shared" si="317"/>
        <v>3320</v>
      </c>
      <c r="D5098" s="73"/>
      <c r="E5098" s="72"/>
      <c r="F5098" s="101"/>
      <c r="G5098" s="96">
        <f t="shared" si="318"/>
        <v>3320</v>
      </c>
      <c r="J5098" t="str">
        <f t="shared" si="321"/>
        <v/>
      </c>
      <c r="K5098" t="str">
        <f t="shared" si="319"/>
        <v>3320</v>
      </c>
      <c r="M5098" s="72"/>
      <c r="O5098" s="96">
        <f t="shared" si="320"/>
        <v>3320</v>
      </c>
    </row>
    <row r="5099" spans="3:15" x14ac:dyDescent="0.2">
      <c r="C5099" t="str">
        <f t="shared" si="317"/>
        <v>3321</v>
      </c>
      <c r="D5099" s="73"/>
      <c r="E5099" s="72"/>
      <c r="F5099" s="101"/>
      <c r="G5099" s="96">
        <f t="shared" si="318"/>
        <v>3321</v>
      </c>
      <c r="J5099" t="str">
        <f t="shared" si="321"/>
        <v/>
      </c>
      <c r="K5099" t="str">
        <f t="shared" si="319"/>
        <v>3321</v>
      </c>
      <c r="M5099" s="72"/>
      <c r="O5099" s="96">
        <f t="shared" si="320"/>
        <v>3321</v>
      </c>
    </row>
    <row r="5100" spans="3:15" x14ac:dyDescent="0.2">
      <c r="C5100" t="str">
        <f t="shared" si="317"/>
        <v>3322</v>
      </c>
      <c r="D5100" s="73"/>
      <c r="E5100" s="72"/>
      <c r="F5100" s="101"/>
      <c r="G5100" s="96">
        <f t="shared" si="318"/>
        <v>3322</v>
      </c>
      <c r="J5100" t="str">
        <f t="shared" si="321"/>
        <v/>
      </c>
      <c r="K5100" t="str">
        <f t="shared" si="319"/>
        <v>3322</v>
      </c>
      <c r="M5100" s="72"/>
      <c r="O5100" s="96">
        <f t="shared" si="320"/>
        <v>3322</v>
      </c>
    </row>
    <row r="5101" spans="3:15" x14ac:dyDescent="0.2">
      <c r="C5101" t="str">
        <f t="shared" si="317"/>
        <v>3323</v>
      </c>
      <c r="D5101" s="73"/>
      <c r="E5101" s="72"/>
      <c r="F5101" s="101"/>
      <c r="G5101" s="96">
        <f t="shared" si="318"/>
        <v>3323</v>
      </c>
      <c r="J5101" t="str">
        <f t="shared" si="321"/>
        <v/>
      </c>
      <c r="K5101" t="str">
        <f t="shared" si="319"/>
        <v>3323</v>
      </c>
      <c r="M5101" s="72"/>
      <c r="O5101" s="96">
        <f t="shared" si="320"/>
        <v>3323</v>
      </c>
    </row>
    <row r="5102" spans="3:15" x14ac:dyDescent="0.2">
      <c r="C5102" t="str">
        <f t="shared" si="317"/>
        <v>3324</v>
      </c>
      <c r="D5102" s="73"/>
      <c r="E5102" s="72"/>
      <c r="F5102" s="101"/>
      <c r="G5102" s="96">
        <f t="shared" si="318"/>
        <v>3324</v>
      </c>
      <c r="J5102" t="str">
        <f t="shared" si="321"/>
        <v/>
      </c>
      <c r="K5102" t="str">
        <f t="shared" si="319"/>
        <v>3324</v>
      </c>
      <c r="M5102" s="72"/>
      <c r="O5102" s="96">
        <f t="shared" si="320"/>
        <v>3324</v>
      </c>
    </row>
    <row r="5103" spans="3:15" x14ac:dyDescent="0.2">
      <c r="C5103" t="str">
        <f t="shared" si="317"/>
        <v>3325</v>
      </c>
      <c r="D5103" s="73"/>
      <c r="E5103" s="72"/>
      <c r="F5103" s="101"/>
      <c r="G5103" s="96">
        <f t="shared" si="318"/>
        <v>3325</v>
      </c>
      <c r="J5103" t="str">
        <f t="shared" si="321"/>
        <v/>
      </c>
      <c r="K5103" t="str">
        <f t="shared" si="319"/>
        <v>3325</v>
      </c>
      <c r="M5103" s="72"/>
      <c r="O5103" s="96">
        <f t="shared" si="320"/>
        <v>3325</v>
      </c>
    </row>
    <row r="5104" spans="3:15" x14ac:dyDescent="0.2">
      <c r="C5104" t="str">
        <f t="shared" si="317"/>
        <v>3326</v>
      </c>
      <c r="D5104" s="73"/>
      <c r="E5104" s="72"/>
      <c r="F5104" s="101"/>
      <c r="G5104" s="96">
        <f t="shared" si="318"/>
        <v>3326</v>
      </c>
      <c r="J5104" t="str">
        <f t="shared" si="321"/>
        <v/>
      </c>
      <c r="K5104" t="str">
        <f t="shared" si="319"/>
        <v>3326</v>
      </c>
      <c r="M5104" s="72"/>
      <c r="O5104" s="96">
        <f t="shared" si="320"/>
        <v>3326</v>
      </c>
    </row>
    <row r="5105" spans="3:15" x14ac:dyDescent="0.2">
      <c r="C5105" t="str">
        <f t="shared" si="317"/>
        <v>3327</v>
      </c>
      <c r="D5105" s="73"/>
      <c r="E5105" s="72"/>
      <c r="F5105" s="101"/>
      <c r="G5105" s="96">
        <f t="shared" si="318"/>
        <v>3327</v>
      </c>
      <c r="J5105" t="str">
        <f t="shared" si="321"/>
        <v/>
      </c>
      <c r="K5105" t="str">
        <f t="shared" si="319"/>
        <v>3327</v>
      </c>
      <c r="M5105" s="72"/>
      <c r="O5105" s="96">
        <f t="shared" si="320"/>
        <v>3327</v>
      </c>
    </row>
    <row r="5106" spans="3:15" x14ac:dyDescent="0.2">
      <c r="C5106" t="str">
        <f t="shared" si="317"/>
        <v>3328</v>
      </c>
      <c r="D5106" s="73"/>
      <c r="E5106" s="72"/>
      <c r="F5106" s="101"/>
      <c r="G5106" s="96">
        <f t="shared" si="318"/>
        <v>3328</v>
      </c>
      <c r="J5106" t="str">
        <f t="shared" si="321"/>
        <v/>
      </c>
      <c r="K5106" t="str">
        <f t="shared" si="319"/>
        <v>3328</v>
      </c>
      <c r="M5106" s="72"/>
      <c r="O5106" s="96">
        <f t="shared" si="320"/>
        <v>3328</v>
      </c>
    </row>
    <row r="5107" spans="3:15" x14ac:dyDescent="0.2">
      <c r="C5107" t="str">
        <f t="shared" si="317"/>
        <v>3329</v>
      </c>
      <c r="D5107" s="73"/>
      <c r="E5107" s="72"/>
      <c r="F5107" s="101"/>
      <c r="G5107" s="96">
        <f t="shared" si="318"/>
        <v>3329</v>
      </c>
      <c r="J5107" t="str">
        <f t="shared" si="321"/>
        <v/>
      </c>
      <c r="K5107" t="str">
        <f t="shared" si="319"/>
        <v>3329</v>
      </c>
      <c r="M5107" s="72"/>
      <c r="O5107" s="96">
        <f t="shared" si="320"/>
        <v>3329</v>
      </c>
    </row>
    <row r="5108" spans="3:15" x14ac:dyDescent="0.2">
      <c r="C5108" t="str">
        <f t="shared" si="317"/>
        <v>3330</v>
      </c>
      <c r="D5108" s="73"/>
      <c r="E5108" s="72"/>
      <c r="F5108" s="101"/>
      <c r="G5108" s="96">
        <f t="shared" si="318"/>
        <v>3330</v>
      </c>
      <c r="J5108" t="str">
        <f t="shared" si="321"/>
        <v/>
      </c>
      <c r="K5108" t="str">
        <f t="shared" si="319"/>
        <v>3330</v>
      </c>
      <c r="M5108" s="72"/>
      <c r="O5108" s="96">
        <f t="shared" si="320"/>
        <v>3330</v>
      </c>
    </row>
    <row r="5109" spans="3:15" x14ac:dyDescent="0.2">
      <c r="C5109" t="str">
        <f t="shared" si="317"/>
        <v>3331</v>
      </c>
      <c r="D5109" s="73"/>
      <c r="E5109" s="72"/>
      <c r="F5109" s="101"/>
      <c r="G5109" s="96">
        <f t="shared" si="318"/>
        <v>3331</v>
      </c>
      <c r="J5109" t="str">
        <f t="shared" si="321"/>
        <v/>
      </c>
      <c r="K5109" t="str">
        <f t="shared" si="319"/>
        <v>3331</v>
      </c>
      <c r="M5109" s="72"/>
      <c r="O5109" s="96">
        <f t="shared" si="320"/>
        <v>3331</v>
      </c>
    </row>
    <row r="5110" spans="3:15" x14ac:dyDescent="0.2">
      <c r="C5110" t="str">
        <f t="shared" si="317"/>
        <v>3332</v>
      </c>
      <c r="D5110" s="73"/>
      <c r="E5110" s="72"/>
      <c r="F5110" s="101"/>
      <c r="G5110" s="96">
        <f t="shared" si="318"/>
        <v>3332</v>
      </c>
      <c r="J5110" t="str">
        <f t="shared" si="321"/>
        <v/>
      </c>
      <c r="K5110" t="str">
        <f t="shared" si="319"/>
        <v>3332</v>
      </c>
      <c r="M5110" s="72"/>
      <c r="O5110" s="96">
        <f t="shared" si="320"/>
        <v>3332</v>
      </c>
    </row>
    <row r="5111" spans="3:15" x14ac:dyDescent="0.2">
      <c r="C5111" t="str">
        <f t="shared" si="317"/>
        <v>3333</v>
      </c>
      <c r="D5111" s="73"/>
      <c r="E5111" s="72"/>
      <c r="F5111" s="101"/>
      <c r="G5111" s="96">
        <f t="shared" si="318"/>
        <v>3333</v>
      </c>
      <c r="J5111" t="str">
        <f t="shared" si="321"/>
        <v/>
      </c>
      <c r="K5111" t="str">
        <f t="shared" si="319"/>
        <v>3333</v>
      </c>
      <c r="M5111" s="72"/>
      <c r="O5111" s="96">
        <f t="shared" si="320"/>
        <v>3333</v>
      </c>
    </row>
    <row r="5112" spans="3:15" x14ac:dyDescent="0.2">
      <c r="C5112" t="str">
        <f t="shared" si="317"/>
        <v>3334</v>
      </c>
      <c r="D5112" s="73"/>
      <c r="E5112" s="72"/>
      <c r="F5112" s="101"/>
      <c r="G5112" s="96">
        <f t="shared" si="318"/>
        <v>3334</v>
      </c>
      <c r="J5112" t="str">
        <f t="shared" si="321"/>
        <v/>
      </c>
      <c r="K5112" t="str">
        <f t="shared" si="319"/>
        <v>3334</v>
      </c>
      <c r="M5112" s="72"/>
      <c r="O5112" s="96">
        <f t="shared" si="320"/>
        <v>3334</v>
      </c>
    </row>
    <row r="5113" spans="3:15" x14ac:dyDescent="0.2">
      <c r="C5113" t="str">
        <f t="shared" si="317"/>
        <v>3335</v>
      </c>
      <c r="D5113" s="73"/>
      <c r="E5113" s="72"/>
      <c r="F5113" s="101"/>
      <c r="G5113" s="96">
        <f t="shared" si="318"/>
        <v>3335</v>
      </c>
      <c r="J5113" t="str">
        <f t="shared" si="321"/>
        <v/>
      </c>
      <c r="K5113" t="str">
        <f t="shared" si="319"/>
        <v>3335</v>
      </c>
      <c r="M5113" s="72"/>
      <c r="O5113" s="96">
        <f t="shared" si="320"/>
        <v>3335</v>
      </c>
    </row>
    <row r="5114" spans="3:15" x14ac:dyDescent="0.2">
      <c r="C5114" t="str">
        <f t="shared" si="317"/>
        <v>3336</v>
      </c>
      <c r="D5114" s="73"/>
      <c r="E5114" s="72"/>
      <c r="F5114" s="101"/>
      <c r="G5114" s="96">
        <f t="shared" si="318"/>
        <v>3336</v>
      </c>
      <c r="J5114" t="str">
        <f t="shared" si="321"/>
        <v/>
      </c>
      <c r="K5114" t="str">
        <f t="shared" si="319"/>
        <v>3336</v>
      </c>
      <c r="M5114" s="72"/>
      <c r="O5114" s="96">
        <f t="shared" si="320"/>
        <v>3336</v>
      </c>
    </row>
    <row r="5115" spans="3:15" x14ac:dyDescent="0.2">
      <c r="C5115" t="str">
        <f t="shared" si="317"/>
        <v>3337</v>
      </c>
      <c r="D5115" s="73"/>
      <c r="E5115" s="72"/>
      <c r="F5115" s="101"/>
      <c r="G5115" s="96">
        <f t="shared" si="318"/>
        <v>3337</v>
      </c>
      <c r="J5115" t="str">
        <f t="shared" si="321"/>
        <v/>
      </c>
      <c r="K5115" t="str">
        <f t="shared" si="319"/>
        <v>3337</v>
      </c>
      <c r="M5115" s="72"/>
      <c r="O5115" s="96">
        <f t="shared" si="320"/>
        <v>3337</v>
      </c>
    </row>
    <row r="5116" spans="3:15" x14ac:dyDescent="0.2">
      <c r="C5116" t="str">
        <f t="shared" si="317"/>
        <v>3338</v>
      </c>
      <c r="D5116" s="73"/>
      <c r="E5116" s="72"/>
      <c r="F5116" s="101"/>
      <c r="G5116" s="96">
        <f t="shared" si="318"/>
        <v>3338</v>
      </c>
      <c r="J5116" t="str">
        <f t="shared" si="321"/>
        <v/>
      </c>
      <c r="K5116" t="str">
        <f t="shared" si="319"/>
        <v>3338</v>
      </c>
      <c r="M5116" s="72"/>
      <c r="O5116" s="96">
        <f t="shared" si="320"/>
        <v>3338</v>
      </c>
    </row>
    <row r="5117" spans="3:15" x14ac:dyDescent="0.2">
      <c r="C5117" t="str">
        <f t="shared" si="317"/>
        <v>3339</v>
      </c>
      <c r="D5117" s="73"/>
      <c r="E5117" s="72"/>
      <c r="F5117" s="101"/>
      <c r="G5117" s="96">
        <f t="shared" si="318"/>
        <v>3339</v>
      </c>
      <c r="J5117" t="str">
        <f t="shared" si="321"/>
        <v/>
      </c>
      <c r="K5117" t="str">
        <f t="shared" si="319"/>
        <v>3339</v>
      </c>
      <c r="M5117" s="72"/>
      <c r="O5117" s="96">
        <f t="shared" si="320"/>
        <v>3339</v>
      </c>
    </row>
    <row r="5118" spans="3:15" x14ac:dyDescent="0.2">
      <c r="C5118" t="str">
        <f t="shared" si="317"/>
        <v>3340</v>
      </c>
      <c r="D5118" s="73"/>
      <c r="E5118" s="72"/>
      <c r="F5118" s="101"/>
      <c r="G5118" s="96">
        <f t="shared" si="318"/>
        <v>3340</v>
      </c>
      <c r="J5118" t="str">
        <f t="shared" si="321"/>
        <v/>
      </c>
      <c r="K5118" t="str">
        <f t="shared" si="319"/>
        <v>3340</v>
      </c>
      <c r="M5118" s="72"/>
      <c r="O5118" s="96">
        <f t="shared" si="320"/>
        <v>3340</v>
      </c>
    </row>
    <row r="5119" spans="3:15" x14ac:dyDescent="0.2">
      <c r="C5119" t="str">
        <f t="shared" si="317"/>
        <v>3341</v>
      </c>
      <c r="D5119" s="73"/>
      <c r="E5119" s="72"/>
      <c r="F5119" s="101"/>
      <c r="G5119" s="96">
        <f t="shared" si="318"/>
        <v>3341</v>
      </c>
      <c r="J5119" t="str">
        <f t="shared" si="321"/>
        <v/>
      </c>
      <c r="K5119" t="str">
        <f t="shared" si="319"/>
        <v>3341</v>
      </c>
      <c r="M5119" s="72"/>
      <c r="O5119" s="96">
        <f t="shared" si="320"/>
        <v>3341</v>
      </c>
    </row>
    <row r="5120" spans="3:15" x14ac:dyDescent="0.2">
      <c r="C5120" t="str">
        <f t="shared" si="317"/>
        <v>3342</v>
      </c>
      <c r="D5120" s="73"/>
      <c r="E5120" s="72"/>
      <c r="F5120" s="101"/>
      <c r="G5120" s="96">
        <f t="shared" si="318"/>
        <v>3342</v>
      </c>
      <c r="J5120" t="str">
        <f t="shared" si="321"/>
        <v/>
      </c>
      <c r="K5120" t="str">
        <f t="shared" si="319"/>
        <v>3342</v>
      </c>
      <c r="M5120" s="72"/>
      <c r="O5120" s="96">
        <f t="shared" si="320"/>
        <v>3342</v>
      </c>
    </row>
    <row r="5121" spans="3:15" x14ac:dyDescent="0.2">
      <c r="C5121" t="str">
        <f t="shared" si="317"/>
        <v>3343</v>
      </c>
      <c r="D5121" s="73"/>
      <c r="E5121" s="72"/>
      <c r="F5121" s="101"/>
      <c r="G5121" s="96">
        <f t="shared" si="318"/>
        <v>3343</v>
      </c>
      <c r="J5121" t="str">
        <f t="shared" si="321"/>
        <v/>
      </c>
      <c r="K5121" t="str">
        <f t="shared" si="319"/>
        <v>3343</v>
      </c>
      <c r="M5121" s="72"/>
      <c r="O5121" s="96">
        <f t="shared" si="320"/>
        <v>3343</v>
      </c>
    </row>
    <row r="5122" spans="3:15" x14ac:dyDescent="0.2">
      <c r="C5122" t="str">
        <f t="shared" si="317"/>
        <v>3344</v>
      </c>
      <c r="D5122" s="73"/>
      <c r="E5122" s="72"/>
      <c r="F5122" s="101"/>
      <c r="G5122" s="96">
        <f t="shared" si="318"/>
        <v>3344</v>
      </c>
      <c r="J5122" t="str">
        <f t="shared" si="321"/>
        <v/>
      </c>
      <c r="K5122" t="str">
        <f t="shared" si="319"/>
        <v>3344</v>
      </c>
      <c r="M5122" s="72"/>
      <c r="O5122" s="96">
        <f t="shared" si="320"/>
        <v>3344</v>
      </c>
    </row>
    <row r="5123" spans="3:15" x14ac:dyDescent="0.2">
      <c r="C5123" t="str">
        <f t="shared" ref="C5123:C5186" si="322">D5123&amp;G5123</f>
        <v>3345</v>
      </c>
      <c r="D5123" s="73"/>
      <c r="E5123" s="72"/>
      <c r="F5123" s="101"/>
      <c r="G5123" s="96">
        <f t="shared" ref="G5123:G5186" si="323">IF(D5123&lt;&gt;D5122,1,G5122+1)</f>
        <v>3345</v>
      </c>
      <c r="J5123" t="str">
        <f t="shared" si="321"/>
        <v/>
      </c>
      <c r="K5123" t="str">
        <f t="shared" ref="K5123:K5186" si="324">L5123&amp;O5123</f>
        <v>3345</v>
      </c>
      <c r="M5123" s="72"/>
      <c r="O5123" s="96">
        <f t="shared" ref="O5123:O5186" si="325">IF(L5123&lt;&gt;L5122,1,O5122+1)</f>
        <v>3345</v>
      </c>
    </row>
    <row r="5124" spans="3:15" x14ac:dyDescent="0.2">
      <c r="C5124" t="str">
        <f t="shared" si="322"/>
        <v>3346</v>
      </c>
      <c r="D5124" s="73"/>
      <c r="E5124" s="72"/>
      <c r="F5124" s="101"/>
      <c r="G5124" s="96">
        <f t="shared" si="323"/>
        <v>3346</v>
      </c>
      <c r="J5124" t="str">
        <f t="shared" si="321"/>
        <v/>
      </c>
      <c r="K5124" t="str">
        <f t="shared" si="324"/>
        <v>3346</v>
      </c>
      <c r="M5124" s="72"/>
      <c r="O5124" s="96">
        <f t="shared" si="325"/>
        <v>3346</v>
      </c>
    </row>
    <row r="5125" spans="3:15" x14ac:dyDescent="0.2">
      <c r="C5125" t="str">
        <f t="shared" si="322"/>
        <v>3347</v>
      </c>
      <c r="D5125" s="73"/>
      <c r="E5125" s="72"/>
      <c r="F5125" s="101"/>
      <c r="G5125" s="96">
        <f t="shared" si="323"/>
        <v>3347</v>
      </c>
      <c r="J5125" t="str">
        <f t="shared" si="321"/>
        <v/>
      </c>
      <c r="K5125" t="str">
        <f t="shared" si="324"/>
        <v>3347</v>
      </c>
      <c r="M5125" s="72"/>
      <c r="O5125" s="96">
        <f t="shared" si="325"/>
        <v>3347</v>
      </c>
    </row>
    <row r="5126" spans="3:15" x14ac:dyDescent="0.2">
      <c r="C5126" t="str">
        <f t="shared" si="322"/>
        <v>3348</v>
      </c>
      <c r="D5126" s="73"/>
      <c r="E5126" s="72"/>
      <c r="F5126" s="101"/>
      <c r="G5126" s="96">
        <f t="shared" si="323"/>
        <v>3348</v>
      </c>
      <c r="J5126" t="str">
        <f t="shared" si="321"/>
        <v/>
      </c>
      <c r="K5126" t="str">
        <f t="shared" si="324"/>
        <v>3348</v>
      </c>
      <c r="M5126" s="72"/>
      <c r="O5126" s="96">
        <f t="shared" si="325"/>
        <v>3348</v>
      </c>
    </row>
    <row r="5127" spans="3:15" x14ac:dyDescent="0.2">
      <c r="C5127" t="str">
        <f t="shared" si="322"/>
        <v>3349</v>
      </c>
      <c r="D5127" s="73"/>
      <c r="E5127" s="72"/>
      <c r="F5127" s="101"/>
      <c r="G5127" s="96">
        <f t="shared" si="323"/>
        <v>3349</v>
      </c>
      <c r="J5127" t="str">
        <f t="shared" si="321"/>
        <v/>
      </c>
      <c r="K5127" t="str">
        <f t="shared" si="324"/>
        <v>3349</v>
      </c>
      <c r="M5127" s="72"/>
      <c r="O5127" s="96">
        <f t="shared" si="325"/>
        <v>3349</v>
      </c>
    </row>
    <row r="5128" spans="3:15" x14ac:dyDescent="0.2">
      <c r="C5128" t="str">
        <f t="shared" si="322"/>
        <v>3350</v>
      </c>
      <c r="D5128" s="73"/>
      <c r="E5128" s="72"/>
      <c r="F5128" s="101"/>
      <c r="G5128" s="96">
        <f t="shared" si="323"/>
        <v>3350</v>
      </c>
      <c r="J5128" t="str">
        <f t="shared" si="321"/>
        <v/>
      </c>
      <c r="K5128" t="str">
        <f t="shared" si="324"/>
        <v>3350</v>
      </c>
      <c r="M5128" s="72"/>
      <c r="O5128" s="96">
        <f t="shared" si="325"/>
        <v>3350</v>
      </c>
    </row>
    <row r="5129" spans="3:15" x14ac:dyDescent="0.2">
      <c r="C5129" t="str">
        <f t="shared" si="322"/>
        <v>3351</v>
      </c>
      <c r="D5129" s="73"/>
      <c r="E5129" s="72"/>
      <c r="F5129" s="101"/>
      <c r="G5129" s="96">
        <f t="shared" si="323"/>
        <v>3351</v>
      </c>
      <c r="J5129" t="str">
        <f t="shared" si="321"/>
        <v/>
      </c>
      <c r="K5129" t="str">
        <f t="shared" si="324"/>
        <v>3351</v>
      </c>
      <c r="M5129" s="72"/>
      <c r="O5129" s="96">
        <f t="shared" si="325"/>
        <v>3351</v>
      </c>
    </row>
    <row r="5130" spans="3:15" x14ac:dyDescent="0.2">
      <c r="C5130" t="str">
        <f t="shared" si="322"/>
        <v>3352</v>
      </c>
      <c r="D5130" s="73"/>
      <c r="E5130" s="72"/>
      <c r="F5130" s="101"/>
      <c r="G5130" s="96">
        <f t="shared" si="323"/>
        <v>3352</v>
      </c>
      <c r="J5130" t="str">
        <f t="shared" ref="J5130:J5193" si="326">L5130&amp;M5130</f>
        <v/>
      </c>
      <c r="K5130" t="str">
        <f t="shared" si="324"/>
        <v>3352</v>
      </c>
      <c r="M5130" s="72"/>
      <c r="O5130" s="96">
        <f t="shared" si="325"/>
        <v>3352</v>
      </c>
    </row>
    <row r="5131" spans="3:15" x14ac:dyDescent="0.2">
      <c r="C5131" t="str">
        <f t="shared" si="322"/>
        <v>3353</v>
      </c>
      <c r="D5131" s="73"/>
      <c r="E5131" s="72"/>
      <c r="F5131" s="101"/>
      <c r="G5131" s="96">
        <f t="shared" si="323"/>
        <v>3353</v>
      </c>
      <c r="J5131" t="str">
        <f t="shared" si="326"/>
        <v/>
      </c>
      <c r="K5131" t="str">
        <f t="shared" si="324"/>
        <v>3353</v>
      </c>
      <c r="M5131" s="72"/>
      <c r="O5131" s="96">
        <f t="shared" si="325"/>
        <v>3353</v>
      </c>
    </row>
    <row r="5132" spans="3:15" x14ac:dyDescent="0.2">
      <c r="C5132" t="str">
        <f t="shared" si="322"/>
        <v>3354</v>
      </c>
      <c r="D5132" s="73"/>
      <c r="E5132" s="72"/>
      <c r="F5132" s="101"/>
      <c r="G5132" s="96">
        <f t="shared" si="323"/>
        <v>3354</v>
      </c>
      <c r="J5132" t="str">
        <f t="shared" si="326"/>
        <v/>
      </c>
      <c r="K5132" t="str">
        <f t="shared" si="324"/>
        <v>3354</v>
      </c>
      <c r="M5132" s="72"/>
      <c r="O5132" s="96">
        <f t="shared" si="325"/>
        <v>3354</v>
      </c>
    </row>
    <row r="5133" spans="3:15" x14ac:dyDescent="0.2">
      <c r="C5133" t="str">
        <f t="shared" si="322"/>
        <v>3355</v>
      </c>
      <c r="D5133" s="73"/>
      <c r="E5133" s="72"/>
      <c r="F5133" s="101"/>
      <c r="G5133" s="96">
        <f t="shared" si="323"/>
        <v>3355</v>
      </c>
      <c r="J5133" t="str">
        <f t="shared" si="326"/>
        <v/>
      </c>
      <c r="K5133" t="str">
        <f t="shared" si="324"/>
        <v>3355</v>
      </c>
      <c r="M5133" s="72"/>
      <c r="O5133" s="96">
        <f t="shared" si="325"/>
        <v>3355</v>
      </c>
    </row>
    <row r="5134" spans="3:15" x14ac:dyDescent="0.2">
      <c r="C5134" t="str">
        <f t="shared" si="322"/>
        <v>3356</v>
      </c>
      <c r="D5134" s="73"/>
      <c r="E5134" s="72"/>
      <c r="F5134" s="101"/>
      <c r="G5134" s="96">
        <f t="shared" si="323"/>
        <v>3356</v>
      </c>
      <c r="J5134" t="str">
        <f t="shared" si="326"/>
        <v/>
      </c>
      <c r="K5134" t="str">
        <f t="shared" si="324"/>
        <v>3356</v>
      </c>
      <c r="M5134" s="72"/>
      <c r="O5134" s="96">
        <f t="shared" si="325"/>
        <v>3356</v>
      </c>
    </row>
    <row r="5135" spans="3:15" x14ac:dyDescent="0.2">
      <c r="C5135" t="str">
        <f t="shared" si="322"/>
        <v>3357</v>
      </c>
      <c r="D5135" s="73"/>
      <c r="E5135" s="72"/>
      <c r="F5135" s="101"/>
      <c r="G5135" s="96">
        <f t="shared" si="323"/>
        <v>3357</v>
      </c>
      <c r="J5135" t="str">
        <f t="shared" si="326"/>
        <v/>
      </c>
      <c r="K5135" t="str">
        <f t="shared" si="324"/>
        <v>3357</v>
      </c>
      <c r="M5135" s="72"/>
      <c r="O5135" s="96">
        <f t="shared" si="325"/>
        <v>3357</v>
      </c>
    </row>
    <row r="5136" spans="3:15" x14ac:dyDescent="0.2">
      <c r="C5136" t="str">
        <f t="shared" si="322"/>
        <v>3358</v>
      </c>
      <c r="D5136" s="73"/>
      <c r="E5136" s="72"/>
      <c r="F5136" s="101"/>
      <c r="G5136" s="96">
        <f t="shared" si="323"/>
        <v>3358</v>
      </c>
      <c r="J5136" t="str">
        <f t="shared" si="326"/>
        <v/>
      </c>
      <c r="K5136" t="str">
        <f t="shared" si="324"/>
        <v>3358</v>
      </c>
      <c r="M5136" s="72"/>
      <c r="O5136" s="96">
        <f t="shared" si="325"/>
        <v>3358</v>
      </c>
    </row>
    <row r="5137" spans="3:15" x14ac:dyDescent="0.2">
      <c r="C5137" t="str">
        <f t="shared" si="322"/>
        <v>3359</v>
      </c>
      <c r="D5137" s="73"/>
      <c r="E5137" s="72"/>
      <c r="F5137" s="101"/>
      <c r="G5137" s="96">
        <f t="shared" si="323"/>
        <v>3359</v>
      </c>
      <c r="J5137" t="str">
        <f t="shared" si="326"/>
        <v/>
      </c>
      <c r="K5137" t="str">
        <f t="shared" si="324"/>
        <v>3359</v>
      </c>
      <c r="M5137" s="72"/>
      <c r="O5137" s="96">
        <f t="shared" si="325"/>
        <v>3359</v>
      </c>
    </row>
    <row r="5138" spans="3:15" x14ac:dyDescent="0.2">
      <c r="C5138" t="str">
        <f t="shared" si="322"/>
        <v>3360</v>
      </c>
      <c r="D5138" s="73"/>
      <c r="E5138" s="72"/>
      <c r="F5138" s="101"/>
      <c r="G5138" s="96">
        <f t="shared" si="323"/>
        <v>3360</v>
      </c>
      <c r="J5138" t="str">
        <f t="shared" si="326"/>
        <v/>
      </c>
      <c r="K5138" t="str">
        <f t="shared" si="324"/>
        <v>3360</v>
      </c>
      <c r="M5138" s="72"/>
      <c r="O5138" s="96">
        <f t="shared" si="325"/>
        <v>3360</v>
      </c>
    </row>
    <row r="5139" spans="3:15" x14ac:dyDescent="0.2">
      <c r="C5139" t="str">
        <f t="shared" si="322"/>
        <v>3361</v>
      </c>
      <c r="D5139" s="73"/>
      <c r="E5139" s="72"/>
      <c r="F5139" s="101"/>
      <c r="G5139" s="96">
        <f t="shared" si="323"/>
        <v>3361</v>
      </c>
      <c r="J5139" t="str">
        <f t="shared" si="326"/>
        <v/>
      </c>
      <c r="K5139" t="str">
        <f t="shared" si="324"/>
        <v>3361</v>
      </c>
      <c r="M5139" s="72"/>
      <c r="O5139" s="96">
        <f t="shared" si="325"/>
        <v>3361</v>
      </c>
    </row>
    <row r="5140" spans="3:15" x14ac:dyDescent="0.2">
      <c r="C5140" t="str">
        <f t="shared" si="322"/>
        <v>3362</v>
      </c>
      <c r="D5140" s="73"/>
      <c r="E5140" s="72"/>
      <c r="F5140" s="101"/>
      <c r="G5140" s="96">
        <f t="shared" si="323"/>
        <v>3362</v>
      </c>
      <c r="J5140" t="str">
        <f t="shared" si="326"/>
        <v/>
      </c>
      <c r="K5140" t="str">
        <f t="shared" si="324"/>
        <v>3362</v>
      </c>
      <c r="M5140" s="72"/>
      <c r="O5140" s="96">
        <f t="shared" si="325"/>
        <v>3362</v>
      </c>
    </row>
    <row r="5141" spans="3:15" x14ac:dyDescent="0.2">
      <c r="C5141" t="str">
        <f t="shared" si="322"/>
        <v>3363</v>
      </c>
      <c r="D5141" s="73"/>
      <c r="E5141" s="72"/>
      <c r="F5141" s="101"/>
      <c r="G5141" s="96">
        <f t="shared" si="323"/>
        <v>3363</v>
      </c>
      <c r="J5141" t="str">
        <f t="shared" si="326"/>
        <v/>
      </c>
      <c r="K5141" t="str">
        <f t="shared" si="324"/>
        <v>3363</v>
      </c>
      <c r="M5141" s="72"/>
      <c r="O5141" s="96">
        <f t="shared" si="325"/>
        <v>3363</v>
      </c>
    </row>
    <row r="5142" spans="3:15" x14ac:dyDescent="0.2">
      <c r="C5142" t="str">
        <f t="shared" si="322"/>
        <v>3364</v>
      </c>
      <c r="D5142" s="73"/>
      <c r="E5142" s="72"/>
      <c r="F5142" s="101"/>
      <c r="G5142" s="96">
        <f t="shared" si="323"/>
        <v>3364</v>
      </c>
      <c r="J5142" t="str">
        <f t="shared" si="326"/>
        <v/>
      </c>
      <c r="K5142" t="str">
        <f t="shared" si="324"/>
        <v>3364</v>
      </c>
      <c r="M5142" s="72"/>
      <c r="O5142" s="96">
        <f t="shared" si="325"/>
        <v>3364</v>
      </c>
    </row>
    <row r="5143" spans="3:15" x14ac:dyDescent="0.2">
      <c r="C5143" t="str">
        <f t="shared" si="322"/>
        <v>3365</v>
      </c>
      <c r="D5143" s="73"/>
      <c r="E5143" s="72"/>
      <c r="F5143" s="101"/>
      <c r="G5143" s="96">
        <f t="shared" si="323"/>
        <v>3365</v>
      </c>
      <c r="J5143" t="str">
        <f t="shared" si="326"/>
        <v/>
      </c>
      <c r="K5143" t="str">
        <f t="shared" si="324"/>
        <v>3365</v>
      </c>
      <c r="M5143" s="72"/>
      <c r="O5143" s="96">
        <f t="shared" si="325"/>
        <v>3365</v>
      </c>
    </row>
    <row r="5144" spans="3:15" x14ac:dyDescent="0.2">
      <c r="C5144" t="str">
        <f t="shared" si="322"/>
        <v>3366</v>
      </c>
      <c r="D5144" s="73"/>
      <c r="E5144" s="72"/>
      <c r="F5144" s="101"/>
      <c r="G5144" s="96">
        <f t="shared" si="323"/>
        <v>3366</v>
      </c>
      <c r="J5144" t="str">
        <f t="shared" si="326"/>
        <v/>
      </c>
      <c r="K5144" t="str">
        <f t="shared" si="324"/>
        <v>3366</v>
      </c>
      <c r="M5144" s="72"/>
      <c r="O5144" s="96">
        <f t="shared" si="325"/>
        <v>3366</v>
      </c>
    </row>
    <row r="5145" spans="3:15" x14ac:dyDescent="0.2">
      <c r="C5145" t="str">
        <f t="shared" si="322"/>
        <v>3367</v>
      </c>
      <c r="D5145" s="73"/>
      <c r="E5145" s="72"/>
      <c r="F5145" s="101"/>
      <c r="G5145" s="96">
        <f t="shared" si="323"/>
        <v>3367</v>
      </c>
      <c r="J5145" t="str">
        <f t="shared" si="326"/>
        <v/>
      </c>
      <c r="K5145" t="str">
        <f t="shared" si="324"/>
        <v>3367</v>
      </c>
      <c r="M5145" s="72"/>
      <c r="O5145" s="96">
        <f t="shared" si="325"/>
        <v>3367</v>
      </c>
    </row>
    <row r="5146" spans="3:15" x14ac:dyDescent="0.2">
      <c r="C5146" t="str">
        <f t="shared" si="322"/>
        <v>3368</v>
      </c>
      <c r="D5146" s="73"/>
      <c r="E5146" s="72"/>
      <c r="F5146" s="101"/>
      <c r="G5146" s="96">
        <f t="shared" si="323"/>
        <v>3368</v>
      </c>
      <c r="J5146" t="str">
        <f t="shared" si="326"/>
        <v/>
      </c>
      <c r="K5146" t="str">
        <f t="shared" si="324"/>
        <v>3368</v>
      </c>
      <c r="M5146" s="72"/>
      <c r="O5146" s="96">
        <f t="shared" si="325"/>
        <v>3368</v>
      </c>
    </row>
    <row r="5147" spans="3:15" x14ac:dyDescent="0.2">
      <c r="C5147" t="str">
        <f t="shared" si="322"/>
        <v>3369</v>
      </c>
      <c r="D5147" s="73"/>
      <c r="E5147" s="72"/>
      <c r="F5147" s="101"/>
      <c r="G5147" s="96">
        <f t="shared" si="323"/>
        <v>3369</v>
      </c>
      <c r="J5147" t="str">
        <f t="shared" si="326"/>
        <v/>
      </c>
      <c r="K5147" t="str">
        <f t="shared" si="324"/>
        <v>3369</v>
      </c>
      <c r="M5147" s="72"/>
      <c r="O5147" s="96">
        <f t="shared" si="325"/>
        <v>3369</v>
      </c>
    </row>
    <row r="5148" spans="3:15" x14ac:dyDescent="0.2">
      <c r="C5148" t="str">
        <f t="shared" si="322"/>
        <v>3370</v>
      </c>
      <c r="D5148" s="73"/>
      <c r="E5148" s="72"/>
      <c r="F5148" s="101"/>
      <c r="G5148" s="96">
        <f t="shared" si="323"/>
        <v>3370</v>
      </c>
      <c r="J5148" t="str">
        <f t="shared" si="326"/>
        <v/>
      </c>
      <c r="K5148" t="str">
        <f t="shared" si="324"/>
        <v>3370</v>
      </c>
      <c r="M5148" s="72"/>
      <c r="O5148" s="96">
        <f t="shared" si="325"/>
        <v>3370</v>
      </c>
    </row>
    <row r="5149" spans="3:15" x14ac:dyDescent="0.2">
      <c r="C5149" t="str">
        <f t="shared" si="322"/>
        <v>3371</v>
      </c>
      <c r="D5149" s="73"/>
      <c r="E5149" s="72"/>
      <c r="F5149" s="101"/>
      <c r="G5149" s="96">
        <f t="shared" si="323"/>
        <v>3371</v>
      </c>
      <c r="J5149" t="str">
        <f t="shared" si="326"/>
        <v/>
      </c>
      <c r="K5149" t="str">
        <f t="shared" si="324"/>
        <v>3371</v>
      </c>
      <c r="M5149" s="72"/>
      <c r="O5149" s="96">
        <f t="shared" si="325"/>
        <v>3371</v>
      </c>
    </row>
    <row r="5150" spans="3:15" x14ac:dyDescent="0.2">
      <c r="C5150" t="str">
        <f t="shared" si="322"/>
        <v>3372</v>
      </c>
      <c r="D5150" s="73"/>
      <c r="E5150" s="72"/>
      <c r="F5150" s="101"/>
      <c r="G5150" s="96">
        <f t="shared" si="323"/>
        <v>3372</v>
      </c>
      <c r="J5150" t="str">
        <f t="shared" si="326"/>
        <v/>
      </c>
      <c r="K5150" t="str">
        <f t="shared" si="324"/>
        <v>3372</v>
      </c>
      <c r="M5150" s="72"/>
      <c r="O5150" s="96">
        <f t="shared" si="325"/>
        <v>3372</v>
      </c>
    </row>
    <row r="5151" spans="3:15" x14ac:dyDescent="0.2">
      <c r="C5151" t="str">
        <f t="shared" si="322"/>
        <v>3373</v>
      </c>
      <c r="D5151" s="73"/>
      <c r="E5151" s="72"/>
      <c r="F5151" s="101"/>
      <c r="G5151" s="96">
        <f t="shared" si="323"/>
        <v>3373</v>
      </c>
      <c r="J5151" t="str">
        <f t="shared" si="326"/>
        <v/>
      </c>
      <c r="K5151" t="str">
        <f t="shared" si="324"/>
        <v>3373</v>
      </c>
      <c r="M5151" s="72"/>
      <c r="O5151" s="96">
        <f t="shared" si="325"/>
        <v>3373</v>
      </c>
    </row>
    <row r="5152" spans="3:15" x14ac:dyDescent="0.2">
      <c r="C5152" t="str">
        <f t="shared" si="322"/>
        <v>3374</v>
      </c>
      <c r="D5152" s="73"/>
      <c r="E5152" s="72"/>
      <c r="F5152" s="101"/>
      <c r="G5152" s="96">
        <f t="shared" si="323"/>
        <v>3374</v>
      </c>
      <c r="J5152" t="str">
        <f t="shared" si="326"/>
        <v/>
      </c>
      <c r="K5152" t="str">
        <f t="shared" si="324"/>
        <v>3374</v>
      </c>
      <c r="M5152" s="72"/>
      <c r="O5152" s="96">
        <f t="shared" si="325"/>
        <v>3374</v>
      </c>
    </row>
    <row r="5153" spans="3:15" x14ac:dyDescent="0.2">
      <c r="C5153" t="str">
        <f t="shared" si="322"/>
        <v>3375</v>
      </c>
      <c r="D5153" s="73"/>
      <c r="E5153" s="72"/>
      <c r="F5153" s="101"/>
      <c r="G5153" s="96">
        <f t="shared" si="323"/>
        <v>3375</v>
      </c>
      <c r="J5153" t="str">
        <f t="shared" si="326"/>
        <v/>
      </c>
      <c r="K5153" t="str">
        <f t="shared" si="324"/>
        <v>3375</v>
      </c>
      <c r="M5153" s="72"/>
      <c r="O5153" s="96">
        <f t="shared" si="325"/>
        <v>3375</v>
      </c>
    </row>
    <row r="5154" spans="3:15" x14ac:dyDescent="0.2">
      <c r="C5154" t="str">
        <f t="shared" si="322"/>
        <v>3376</v>
      </c>
      <c r="D5154" s="73"/>
      <c r="E5154" s="72"/>
      <c r="F5154" s="101"/>
      <c r="G5154" s="96">
        <f t="shared" si="323"/>
        <v>3376</v>
      </c>
      <c r="J5154" t="str">
        <f t="shared" si="326"/>
        <v/>
      </c>
      <c r="K5154" t="str">
        <f t="shared" si="324"/>
        <v>3376</v>
      </c>
      <c r="M5154" s="72"/>
      <c r="O5154" s="96">
        <f t="shared" si="325"/>
        <v>3376</v>
      </c>
    </row>
    <row r="5155" spans="3:15" x14ac:dyDescent="0.2">
      <c r="C5155" t="str">
        <f t="shared" si="322"/>
        <v>3377</v>
      </c>
      <c r="D5155" s="73"/>
      <c r="E5155" s="72"/>
      <c r="F5155" s="101"/>
      <c r="G5155" s="96">
        <f t="shared" si="323"/>
        <v>3377</v>
      </c>
      <c r="J5155" t="str">
        <f t="shared" si="326"/>
        <v/>
      </c>
      <c r="K5155" t="str">
        <f t="shared" si="324"/>
        <v>3377</v>
      </c>
      <c r="M5155" s="72"/>
      <c r="O5155" s="96">
        <f t="shared" si="325"/>
        <v>3377</v>
      </c>
    </row>
    <row r="5156" spans="3:15" x14ac:dyDescent="0.2">
      <c r="C5156" t="str">
        <f t="shared" si="322"/>
        <v>3378</v>
      </c>
      <c r="D5156" s="73"/>
      <c r="E5156" s="72"/>
      <c r="F5156" s="101"/>
      <c r="G5156" s="96">
        <f t="shared" si="323"/>
        <v>3378</v>
      </c>
      <c r="J5156" t="str">
        <f t="shared" si="326"/>
        <v/>
      </c>
      <c r="K5156" t="str">
        <f t="shared" si="324"/>
        <v>3378</v>
      </c>
      <c r="M5156" s="72"/>
      <c r="O5156" s="96">
        <f t="shared" si="325"/>
        <v>3378</v>
      </c>
    </row>
    <row r="5157" spans="3:15" x14ac:dyDescent="0.2">
      <c r="C5157" t="str">
        <f t="shared" si="322"/>
        <v>3379</v>
      </c>
      <c r="D5157" s="73"/>
      <c r="E5157" s="72"/>
      <c r="F5157" s="101"/>
      <c r="G5157" s="96">
        <f t="shared" si="323"/>
        <v>3379</v>
      </c>
      <c r="J5157" t="str">
        <f t="shared" si="326"/>
        <v/>
      </c>
      <c r="K5157" t="str">
        <f t="shared" si="324"/>
        <v>3379</v>
      </c>
      <c r="M5157" s="72"/>
      <c r="O5157" s="96">
        <f t="shared" si="325"/>
        <v>3379</v>
      </c>
    </row>
    <row r="5158" spans="3:15" x14ac:dyDescent="0.2">
      <c r="C5158" t="str">
        <f t="shared" si="322"/>
        <v>3380</v>
      </c>
      <c r="D5158" s="73"/>
      <c r="E5158" s="72"/>
      <c r="F5158" s="101"/>
      <c r="G5158" s="96">
        <f t="shared" si="323"/>
        <v>3380</v>
      </c>
      <c r="J5158" t="str">
        <f t="shared" si="326"/>
        <v/>
      </c>
      <c r="K5158" t="str">
        <f t="shared" si="324"/>
        <v>3380</v>
      </c>
      <c r="M5158" s="72"/>
      <c r="O5158" s="96">
        <f t="shared" si="325"/>
        <v>3380</v>
      </c>
    </row>
    <row r="5159" spans="3:15" x14ac:dyDescent="0.2">
      <c r="C5159" t="str">
        <f t="shared" si="322"/>
        <v>3381</v>
      </c>
      <c r="D5159" s="73"/>
      <c r="E5159" s="72"/>
      <c r="F5159" s="101"/>
      <c r="G5159" s="96">
        <f t="shared" si="323"/>
        <v>3381</v>
      </c>
      <c r="J5159" t="str">
        <f t="shared" si="326"/>
        <v/>
      </c>
      <c r="K5159" t="str">
        <f t="shared" si="324"/>
        <v>3381</v>
      </c>
      <c r="M5159" s="72"/>
      <c r="O5159" s="96">
        <f t="shared" si="325"/>
        <v>3381</v>
      </c>
    </row>
    <row r="5160" spans="3:15" x14ac:dyDescent="0.2">
      <c r="C5160" t="str">
        <f t="shared" si="322"/>
        <v>3382</v>
      </c>
      <c r="D5160" s="73"/>
      <c r="E5160" s="72"/>
      <c r="F5160" s="101"/>
      <c r="G5160" s="96">
        <f t="shared" si="323"/>
        <v>3382</v>
      </c>
      <c r="J5160" t="str">
        <f t="shared" si="326"/>
        <v/>
      </c>
      <c r="K5160" t="str">
        <f t="shared" si="324"/>
        <v>3382</v>
      </c>
      <c r="M5160" s="72"/>
      <c r="O5160" s="96">
        <f t="shared" si="325"/>
        <v>3382</v>
      </c>
    </row>
    <row r="5161" spans="3:15" x14ac:dyDescent="0.2">
      <c r="C5161" t="str">
        <f t="shared" si="322"/>
        <v>3383</v>
      </c>
      <c r="D5161" s="73"/>
      <c r="E5161" s="72"/>
      <c r="F5161" s="101"/>
      <c r="G5161" s="96">
        <f t="shared" si="323"/>
        <v>3383</v>
      </c>
      <c r="J5161" t="str">
        <f t="shared" si="326"/>
        <v/>
      </c>
      <c r="K5161" t="str">
        <f t="shared" si="324"/>
        <v>3383</v>
      </c>
      <c r="M5161" s="72"/>
      <c r="O5161" s="96">
        <f t="shared" si="325"/>
        <v>3383</v>
      </c>
    </row>
    <row r="5162" spans="3:15" x14ac:dyDescent="0.2">
      <c r="C5162" t="str">
        <f t="shared" si="322"/>
        <v>3384</v>
      </c>
      <c r="D5162" s="73"/>
      <c r="E5162" s="72"/>
      <c r="F5162" s="101"/>
      <c r="G5162" s="96">
        <f t="shared" si="323"/>
        <v>3384</v>
      </c>
      <c r="J5162" t="str">
        <f t="shared" si="326"/>
        <v/>
      </c>
      <c r="K5162" t="str">
        <f t="shared" si="324"/>
        <v>3384</v>
      </c>
      <c r="M5162" s="72"/>
      <c r="O5162" s="96">
        <f t="shared" si="325"/>
        <v>3384</v>
      </c>
    </row>
    <row r="5163" spans="3:15" x14ac:dyDescent="0.2">
      <c r="C5163" t="str">
        <f t="shared" si="322"/>
        <v>3385</v>
      </c>
      <c r="D5163" s="73"/>
      <c r="E5163" s="72"/>
      <c r="F5163" s="101"/>
      <c r="G5163" s="96">
        <f t="shared" si="323"/>
        <v>3385</v>
      </c>
      <c r="J5163" t="str">
        <f t="shared" si="326"/>
        <v/>
      </c>
      <c r="K5163" t="str">
        <f t="shared" si="324"/>
        <v>3385</v>
      </c>
      <c r="M5163" s="72"/>
      <c r="O5163" s="96">
        <f t="shared" si="325"/>
        <v>3385</v>
      </c>
    </row>
    <row r="5164" spans="3:15" x14ac:dyDescent="0.2">
      <c r="C5164" t="str">
        <f t="shared" si="322"/>
        <v>3386</v>
      </c>
      <c r="D5164" s="73"/>
      <c r="E5164" s="72"/>
      <c r="F5164" s="101"/>
      <c r="G5164" s="96">
        <f t="shared" si="323"/>
        <v>3386</v>
      </c>
      <c r="J5164" t="str">
        <f t="shared" si="326"/>
        <v/>
      </c>
      <c r="K5164" t="str">
        <f t="shared" si="324"/>
        <v>3386</v>
      </c>
      <c r="M5164" s="72"/>
      <c r="O5164" s="96">
        <f t="shared" si="325"/>
        <v>3386</v>
      </c>
    </row>
    <row r="5165" spans="3:15" x14ac:dyDescent="0.2">
      <c r="C5165" t="str">
        <f t="shared" si="322"/>
        <v>3387</v>
      </c>
      <c r="D5165" s="73"/>
      <c r="E5165" s="72"/>
      <c r="F5165" s="101"/>
      <c r="G5165" s="96">
        <f t="shared" si="323"/>
        <v>3387</v>
      </c>
      <c r="J5165" t="str">
        <f t="shared" si="326"/>
        <v/>
      </c>
      <c r="K5165" t="str">
        <f t="shared" si="324"/>
        <v>3387</v>
      </c>
      <c r="M5165" s="72"/>
      <c r="O5165" s="96">
        <f t="shared" si="325"/>
        <v>3387</v>
      </c>
    </row>
    <row r="5166" spans="3:15" x14ac:dyDescent="0.2">
      <c r="C5166" t="str">
        <f t="shared" si="322"/>
        <v>3388</v>
      </c>
      <c r="D5166" s="73"/>
      <c r="E5166" s="72"/>
      <c r="F5166" s="101"/>
      <c r="G5166" s="96">
        <f t="shared" si="323"/>
        <v>3388</v>
      </c>
      <c r="J5166" t="str">
        <f t="shared" si="326"/>
        <v/>
      </c>
      <c r="K5166" t="str">
        <f t="shared" si="324"/>
        <v>3388</v>
      </c>
      <c r="M5166" s="72"/>
      <c r="O5166" s="96">
        <f t="shared" si="325"/>
        <v>3388</v>
      </c>
    </row>
    <row r="5167" spans="3:15" x14ac:dyDescent="0.2">
      <c r="C5167" t="str">
        <f t="shared" si="322"/>
        <v>3389</v>
      </c>
      <c r="D5167" s="73"/>
      <c r="E5167" s="72"/>
      <c r="F5167" s="101"/>
      <c r="G5167" s="96">
        <f t="shared" si="323"/>
        <v>3389</v>
      </c>
      <c r="J5167" t="str">
        <f t="shared" si="326"/>
        <v/>
      </c>
      <c r="K5167" t="str">
        <f t="shared" si="324"/>
        <v>3389</v>
      </c>
      <c r="M5167" s="72"/>
      <c r="O5167" s="96">
        <f t="shared" si="325"/>
        <v>3389</v>
      </c>
    </row>
    <row r="5168" spans="3:15" x14ac:dyDescent="0.2">
      <c r="C5168" t="str">
        <f t="shared" si="322"/>
        <v>3390</v>
      </c>
      <c r="D5168" s="73"/>
      <c r="E5168" s="72"/>
      <c r="F5168" s="101"/>
      <c r="G5168" s="96">
        <f t="shared" si="323"/>
        <v>3390</v>
      </c>
      <c r="J5168" t="str">
        <f t="shared" si="326"/>
        <v/>
      </c>
      <c r="K5168" t="str">
        <f t="shared" si="324"/>
        <v>3390</v>
      </c>
      <c r="M5168" s="72"/>
      <c r="O5168" s="96">
        <f t="shared" si="325"/>
        <v>3390</v>
      </c>
    </row>
    <row r="5169" spans="3:15" x14ac:dyDescent="0.2">
      <c r="C5169" t="str">
        <f t="shared" si="322"/>
        <v>3391</v>
      </c>
      <c r="D5169" s="73"/>
      <c r="E5169" s="72"/>
      <c r="F5169" s="101"/>
      <c r="G5169" s="96">
        <f t="shared" si="323"/>
        <v>3391</v>
      </c>
      <c r="J5169" t="str">
        <f t="shared" si="326"/>
        <v/>
      </c>
      <c r="K5169" t="str">
        <f t="shared" si="324"/>
        <v>3391</v>
      </c>
      <c r="M5169" s="72"/>
      <c r="O5169" s="96">
        <f t="shared" si="325"/>
        <v>3391</v>
      </c>
    </row>
    <row r="5170" spans="3:15" x14ac:dyDescent="0.2">
      <c r="C5170" t="str">
        <f t="shared" si="322"/>
        <v>3392</v>
      </c>
      <c r="D5170" s="73"/>
      <c r="E5170" s="72"/>
      <c r="F5170" s="101"/>
      <c r="G5170" s="96">
        <f t="shared" si="323"/>
        <v>3392</v>
      </c>
      <c r="J5170" t="str">
        <f t="shared" si="326"/>
        <v/>
      </c>
      <c r="K5170" t="str">
        <f t="shared" si="324"/>
        <v>3392</v>
      </c>
      <c r="M5170" s="72"/>
      <c r="O5170" s="96">
        <f t="shared" si="325"/>
        <v>3392</v>
      </c>
    </row>
    <row r="5171" spans="3:15" x14ac:dyDescent="0.2">
      <c r="C5171" t="str">
        <f t="shared" si="322"/>
        <v>3393</v>
      </c>
      <c r="D5171" s="73"/>
      <c r="E5171" s="72"/>
      <c r="F5171" s="101"/>
      <c r="G5171" s="96">
        <f t="shared" si="323"/>
        <v>3393</v>
      </c>
      <c r="J5171" t="str">
        <f t="shared" si="326"/>
        <v/>
      </c>
      <c r="K5171" t="str">
        <f t="shared" si="324"/>
        <v>3393</v>
      </c>
      <c r="M5171" s="72"/>
      <c r="O5171" s="96">
        <f t="shared" si="325"/>
        <v>3393</v>
      </c>
    </row>
    <row r="5172" spans="3:15" x14ac:dyDescent="0.2">
      <c r="C5172" t="str">
        <f t="shared" si="322"/>
        <v>3394</v>
      </c>
      <c r="D5172" s="73"/>
      <c r="E5172" s="72"/>
      <c r="F5172" s="101"/>
      <c r="G5172" s="96">
        <f t="shared" si="323"/>
        <v>3394</v>
      </c>
      <c r="J5172" t="str">
        <f t="shared" si="326"/>
        <v/>
      </c>
      <c r="K5172" t="str">
        <f t="shared" si="324"/>
        <v>3394</v>
      </c>
      <c r="M5172" s="72"/>
      <c r="O5172" s="96">
        <f t="shared" si="325"/>
        <v>3394</v>
      </c>
    </row>
    <row r="5173" spans="3:15" x14ac:dyDescent="0.2">
      <c r="C5173" t="str">
        <f t="shared" si="322"/>
        <v>3395</v>
      </c>
      <c r="D5173" s="73"/>
      <c r="E5173" s="72"/>
      <c r="F5173" s="101"/>
      <c r="G5173" s="96">
        <f t="shared" si="323"/>
        <v>3395</v>
      </c>
      <c r="J5173" t="str">
        <f t="shared" si="326"/>
        <v/>
      </c>
      <c r="K5173" t="str">
        <f t="shared" si="324"/>
        <v>3395</v>
      </c>
      <c r="M5173" s="72"/>
      <c r="O5173" s="96">
        <f t="shared" si="325"/>
        <v>3395</v>
      </c>
    </row>
    <row r="5174" spans="3:15" x14ac:dyDescent="0.2">
      <c r="C5174" t="str">
        <f t="shared" si="322"/>
        <v>3396</v>
      </c>
      <c r="D5174" s="73"/>
      <c r="E5174" s="72"/>
      <c r="F5174" s="101"/>
      <c r="G5174" s="96">
        <f t="shared" si="323"/>
        <v>3396</v>
      </c>
      <c r="J5174" t="str">
        <f t="shared" si="326"/>
        <v/>
      </c>
      <c r="K5174" t="str">
        <f t="shared" si="324"/>
        <v>3396</v>
      </c>
      <c r="M5174" s="72"/>
      <c r="O5174" s="96">
        <f t="shared" si="325"/>
        <v>3396</v>
      </c>
    </row>
    <row r="5175" spans="3:15" x14ac:dyDescent="0.2">
      <c r="C5175" t="str">
        <f t="shared" si="322"/>
        <v>3397</v>
      </c>
      <c r="D5175" s="73"/>
      <c r="E5175" s="72"/>
      <c r="F5175" s="101"/>
      <c r="G5175" s="96">
        <f t="shared" si="323"/>
        <v>3397</v>
      </c>
      <c r="J5175" t="str">
        <f t="shared" si="326"/>
        <v/>
      </c>
      <c r="K5175" t="str">
        <f t="shared" si="324"/>
        <v>3397</v>
      </c>
      <c r="M5175" s="72"/>
      <c r="O5175" s="96">
        <f t="shared" si="325"/>
        <v>3397</v>
      </c>
    </row>
    <row r="5176" spans="3:15" x14ac:dyDescent="0.2">
      <c r="C5176" t="str">
        <f t="shared" si="322"/>
        <v>3398</v>
      </c>
      <c r="D5176" s="73"/>
      <c r="E5176" s="72"/>
      <c r="F5176" s="101"/>
      <c r="G5176" s="96">
        <f t="shared" si="323"/>
        <v>3398</v>
      </c>
      <c r="J5176" t="str">
        <f t="shared" si="326"/>
        <v/>
      </c>
      <c r="K5176" t="str">
        <f t="shared" si="324"/>
        <v>3398</v>
      </c>
      <c r="M5176" s="72"/>
      <c r="O5176" s="96">
        <f t="shared" si="325"/>
        <v>3398</v>
      </c>
    </row>
    <row r="5177" spans="3:15" x14ac:dyDescent="0.2">
      <c r="C5177" t="str">
        <f t="shared" si="322"/>
        <v>3399</v>
      </c>
      <c r="D5177" s="73"/>
      <c r="E5177" s="72"/>
      <c r="F5177" s="101"/>
      <c r="G5177" s="96">
        <f t="shared" si="323"/>
        <v>3399</v>
      </c>
      <c r="J5177" t="str">
        <f t="shared" si="326"/>
        <v/>
      </c>
      <c r="K5177" t="str">
        <f t="shared" si="324"/>
        <v>3399</v>
      </c>
      <c r="M5177" s="72"/>
      <c r="O5177" s="96">
        <f t="shared" si="325"/>
        <v>3399</v>
      </c>
    </row>
    <row r="5178" spans="3:15" x14ac:dyDescent="0.2">
      <c r="C5178" t="str">
        <f t="shared" si="322"/>
        <v>3400</v>
      </c>
      <c r="D5178" s="73"/>
      <c r="E5178" s="72"/>
      <c r="F5178" s="101"/>
      <c r="G5178" s="96">
        <f t="shared" si="323"/>
        <v>3400</v>
      </c>
      <c r="J5178" t="str">
        <f t="shared" si="326"/>
        <v/>
      </c>
      <c r="K5178" t="str">
        <f t="shared" si="324"/>
        <v>3400</v>
      </c>
      <c r="M5178" s="72"/>
      <c r="O5178" s="96">
        <f t="shared" si="325"/>
        <v>3400</v>
      </c>
    </row>
    <row r="5179" spans="3:15" x14ac:dyDescent="0.2">
      <c r="C5179" t="str">
        <f t="shared" si="322"/>
        <v>3401</v>
      </c>
      <c r="D5179" s="73"/>
      <c r="E5179" s="72"/>
      <c r="F5179" s="101"/>
      <c r="G5179" s="96">
        <f t="shared" si="323"/>
        <v>3401</v>
      </c>
      <c r="J5179" t="str">
        <f t="shared" si="326"/>
        <v/>
      </c>
      <c r="K5179" t="str">
        <f t="shared" si="324"/>
        <v>3401</v>
      </c>
      <c r="M5179" s="72"/>
      <c r="O5179" s="96">
        <f t="shared" si="325"/>
        <v>3401</v>
      </c>
    </row>
    <row r="5180" spans="3:15" x14ac:dyDescent="0.2">
      <c r="C5180" t="str">
        <f t="shared" si="322"/>
        <v>3402</v>
      </c>
      <c r="D5180" s="73"/>
      <c r="E5180" s="72"/>
      <c r="F5180" s="101"/>
      <c r="G5180" s="96">
        <f t="shared" si="323"/>
        <v>3402</v>
      </c>
      <c r="J5180" t="str">
        <f t="shared" si="326"/>
        <v/>
      </c>
      <c r="K5180" t="str">
        <f t="shared" si="324"/>
        <v>3402</v>
      </c>
      <c r="M5180" s="72"/>
      <c r="O5180" s="96">
        <f t="shared" si="325"/>
        <v>3402</v>
      </c>
    </row>
    <row r="5181" spans="3:15" x14ac:dyDescent="0.2">
      <c r="C5181" t="str">
        <f t="shared" si="322"/>
        <v>3403</v>
      </c>
      <c r="D5181" s="73"/>
      <c r="E5181" s="72"/>
      <c r="F5181" s="101"/>
      <c r="G5181" s="96">
        <f t="shared" si="323"/>
        <v>3403</v>
      </c>
      <c r="J5181" t="str">
        <f t="shared" si="326"/>
        <v/>
      </c>
      <c r="K5181" t="str">
        <f t="shared" si="324"/>
        <v>3403</v>
      </c>
      <c r="M5181" s="72"/>
      <c r="O5181" s="96">
        <f t="shared" si="325"/>
        <v>3403</v>
      </c>
    </row>
    <row r="5182" spans="3:15" x14ac:dyDescent="0.2">
      <c r="C5182" t="str">
        <f t="shared" si="322"/>
        <v>3404</v>
      </c>
      <c r="D5182" s="73"/>
      <c r="E5182" s="72"/>
      <c r="F5182" s="101"/>
      <c r="G5182" s="96">
        <f t="shared" si="323"/>
        <v>3404</v>
      </c>
      <c r="J5182" t="str">
        <f t="shared" si="326"/>
        <v/>
      </c>
      <c r="K5182" t="str">
        <f t="shared" si="324"/>
        <v>3404</v>
      </c>
      <c r="M5182" s="72"/>
      <c r="O5182" s="96">
        <f t="shared" si="325"/>
        <v>3404</v>
      </c>
    </row>
    <row r="5183" spans="3:15" x14ac:dyDescent="0.2">
      <c r="C5183" t="str">
        <f t="shared" si="322"/>
        <v>3405</v>
      </c>
      <c r="D5183" s="73"/>
      <c r="E5183" s="72"/>
      <c r="F5183" s="101"/>
      <c r="G5183" s="96">
        <f t="shared" si="323"/>
        <v>3405</v>
      </c>
      <c r="J5183" t="str">
        <f t="shared" si="326"/>
        <v/>
      </c>
      <c r="K5183" t="str">
        <f t="shared" si="324"/>
        <v>3405</v>
      </c>
      <c r="M5183" s="72"/>
      <c r="O5183" s="96">
        <f t="shared" si="325"/>
        <v>3405</v>
      </c>
    </row>
    <row r="5184" spans="3:15" x14ac:dyDescent="0.2">
      <c r="C5184" t="str">
        <f t="shared" si="322"/>
        <v>3406</v>
      </c>
      <c r="D5184" s="73"/>
      <c r="E5184" s="72"/>
      <c r="F5184" s="101"/>
      <c r="G5184" s="96">
        <f t="shared" si="323"/>
        <v>3406</v>
      </c>
      <c r="J5184" t="str">
        <f t="shared" si="326"/>
        <v/>
      </c>
      <c r="K5184" t="str">
        <f t="shared" si="324"/>
        <v>3406</v>
      </c>
      <c r="M5184" s="72"/>
      <c r="O5184" s="96">
        <f t="shared" si="325"/>
        <v>3406</v>
      </c>
    </row>
    <row r="5185" spans="3:15" x14ac:dyDescent="0.2">
      <c r="C5185" t="str">
        <f t="shared" si="322"/>
        <v>3407</v>
      </c>
      <c r="D5185" s="73"/>
      <c r="E5185" s="72"/>
      <c r="F5185" s="101"/>
      <c r="G5185" s="96">
        <f t="shared" si="323"/>
        <v>3407</v>
      </c>
      <c r="J5185" t="str">
        <f t="shared" si="326"/>
        <v/>
      </c>
      <c r="K5185" t="str">
        <f t="shared" si="324"/>
        <v>3407</v>
      </c>
      <c r="M5185" s="72"/>
      <c r="O5185" s="96">
        <f t="shared" si="325"/>
        <v>3407</v>
      </c>
    </row>
    <row r="5186" spans="3:15" x14ac:dyDescent="0.2">
      <c r="C5186" t="str">
        <f t="shared" si="322"/>
        <v>3408</v>
      </c>
      <c r="D5186" s="73"/>
      <c r="E5186" s="72"/>
      <c r="F5186" s="101"/>
      <c r="G5186" s="96">
        <f t="shared" si="323"/>
        <v>3408</v>
      </c>
      <c r="J5186" t="str">
        <f t="shared" si="326"/>
        <v/>
      </c>
      <c r="K5186" t="str">
        <f t="shared" si="324"/>
        <v>3408</v>
      </c>
      <c r="M5186" s="72"/>
      <c r="O5186" s="96">
        <f t="shared" si="325"/>
        <v>3408</v>
      </c>
    </row>
    <row r="5187" spans="3:15" x14ac:dyDescent="0.2">
      <c r="C5187" t="str">
        <f t="shared" ref="C5187:C5250" si="327">D5187&amp;G5187</f>
        <v>3409</v>
      </c>
      <c r="D5187" s="73"/>
      <c r="E5187" s="72"/>
      <c r="F5187" s="101"/>
      <c r="G5187" s="96">
        <f t="shared" ref="G5187:G5250" si="328">IF(D5187&lt;&gt;D5186,1,G5186+1)</f>
        <v>3409</v>
      </c>
      <c r="J5187" t="str">
        <f t="shared" si="326"/>
        <v/>
      </c>
      <c r="K5187" t="str">
        <f t="shared" ref="K5187:K5250" si="329">L5187&amp;O5187</f>
        <v>3409</v>
      </c>
      <c r="M5187" s="72"/>
      <c r="O5187" s="96">
        <f t="shared" ref="O5187:O5250" si="330">IF(L5187&lt;&gt;L5186,1,O5186+1)</f>
        <v>3409</v>
      </c>
    </row>
    <row r="5188" spans="3:15" x14ac:dyDescent="0.2">
      <c r="C5188" t="str">
        <f t="shared" si="327"/>
        <v>3410</v>
      </c>
      <c r="D5188" s="73"/>
      <c r="E5188" s="72"/>
      <c r="F5188" s="101"/>
      <c r="G5188" s="96">
        <f t="shared" si="328"/>
        <v>3410</v>
      </c>
      <c r="J5188" t="str">
        <f t="shared" si="326"/>
        <v/>
      </c>
      <c r="K5188" t="str">
        <f t="shared" si="329"/>
        <v>3410</v>
      </c>
      <c r="M5188" s="72"/>
      <c r="O5188" s="96">
        <f t="shared" si="330"/>
        <v>3410</v>
      </c>
    </row>
    <row r="5189" spans="3:15" x14ac:dyDescent="0.2">
      <c r="C5189" t="str">
        <f t="shared" si="327"/>
        <v>3411</v>
      </c>
      <c r="D5189" s="73"/>
      <c r="E5189" s="72"/>
      <c r="F5189" s="101"/>
      <c r="G5189" s="96">
        <f t="shared" si="328"/>
        <v>3411</v>
      </c>
      <c r="J5189" t="str">
        <f t="shared" si="326"/>
        <v/>
      </c>
      <c r="K5189" t="str">
        <f t="shared" si="329"/>
        <v>3411</v>
      </c>
      <c r="M5189" s="72"/>
      <c r="O5189" s="96">
        <f t="shared" si="330"/>
        <v>3411</v>
      </c>
    </row>
    <row r="5190" spans="3:15" x14ac:dyDescent="0.2">
      <c r="C5190" t="str">
        <f t="shared" si="327"/>
        <v>3412</v>
      </c>
      <c r="D5190" s="73"/>
      <c r="E5190" s="72"/>
      <c r="F5190" s="101"/>
      <c r="G5190" s="96">
        <f t="shared" si="328"/>
        <v>3412</v>
      </c>
      <c r="J5190" t="str">
        <f t="shared" si="326"/>
        <v/>
      </c>
      <c r="K5190" t="str">
        <f t="shared" si="329"/>
        <v>3412</v>
      </c>
      <c r="M5190" s="72"/>
      <c r="O5190" s="96">
        <f t="shared" si="330"/>
        <v>3412</v>
      </c>
    </row>
    <row r="5191" spans="3:15" x14ac:dyDescent="0.2">
      <c r="C5191" t="str">
        <f t="shared" si="327"/>
        <v>3413</v>
      </c>
      <c r="D5191" s="73"/>
      <c r="E5191" s="72"/>
      <c r="F5191" s="101"/>
      <c r="G5191" s="96">
        <f t="shared" si="328"/>
        <v>3413</v>
      </c>
      <c r="J5191" t="str">
        <f t="shared" si="326"/>
        <v/>
      </c>
      <c r="K5191" t="str">
        <f t="shared" si="329"/>
        <v>3413</v>
      </c>
      <c r="M5191" s="72"/>
      <c r="O5191" s="96">
        <f t="shared" si="330"/>
        <v>3413</v>
      </c>
    </row>
    <row r="5192" spans="3:15" x14ac:dyDescent="0.2">
      <c r="C5192" t="str">
        <f t="shared" si="327"/>
        <v>3414</v>
      </c>
      <c r="D5192" s="73"/>
      <c r="E5192" s="72"/>
      <c r="F5192" s="101"/>
      <c r="G5192" s="96">
        <f t="shared" si="328"/>
        <v>3414</v>
      </c>
      <c r="J5192" t="str">
        <f t="shared" si="326"/>
        <v/>
      </c>
      <c r="K5192" t="str">
        <f t="shared" si="329"/>
        <v>3414</v>
      </c>
      <c r="M5192" s="72"/>
      <c r="O5192" s="96">
        <f t="shared" si="330"/>
        <v>3414</v>
      </c>
    </row>
    <row r="5193" spans="3:15" x14ac:dyDescent="0.2">
      <c r="C5193" t="str">
        <f t="shared" si="327"/>
        <v>3415</v>
      </c>
      <c r="D5193" s="73"/>
      <c r="E5193" s="72"/>
      <c r="F5193" s="101"/>
      <c r="G5193" s="96">
        <f t="shared" si="328"/>
        <v>3415</v>
      </c>
      <c r="J5193" t="str">
        <f t="shared" si="326"/>
        <v/>
      </c>
      <c r="K5193" t="str">
        <f t="shared" si="329"/>
        <v>3415</v>
      </c>
      <c r="M5193" s="72"/>
      <c r="O5193" s="96">
        <f t="shared" si="330"/>
        <v>3415</v>
      </c>
    </row>
    <row r="5194" spans="3:15" x14ac:dyDescent="0.2">
      <c r="C5194" t="str">
        <f t="shared" si="327"/>
        <v>3416</v>
      </c>
      <c r="D5194" s="73"/>
      <c r="E5194" s="72"/>
      <c r="F5194" s="101"/>
      <c r="G5194" s="96">
        <f t="shared" si="328"/>
        <v>3416</v>
      </c>
      <c r="J5194" t="str">
        <f t="shared" ref="J5194:J5257" si="331">L5194&amp;M5194</f>
        <v/>
      </c>
      <c r="K5194" t="str">
        <f t="shared" si="329"/>
        <v>3416</v>
      </c>
      <c r="M5194" s="72"/>
      <c r="O5194" s="96">
        <f t="shared" si="330"/>
        <v>3416</v>
      </c>
    </row>
    <row r="5195" spans="3:15" x14ac:dyDescent="0.2">
      <c r="C5195" t="str">
        <f t="shared" si="327"/>
        <v>3417</v>
      </c>
      <c r="D5195" s="73"/>
      <c r="E5195" s="72"/>
      <c r="F5195" s="101"/>
      <c r="G5195" s="96">
        <f t="shared" si="328"/>
        <v>3417</v>
      </c>
      <c r="J5195" t="str">
        <f t="shared" si="331"/>
        <v/>
      </c>
      <c r="K5195" t="str">
        <f t="shared" si="329"/>
        <v>3417</v>
      </c>
      <c r="M5195" s="72"/>
      <c r="O5195" s="96">
        <f t="shared" si="330"/>
        <v>3417</v>
      </c>
    </row>
    <row r="5196" spans="3:15" x14ac:dyDescent="0.2">
      <c r="C5196" t="str">
        <f t="shared" si="327"/>
        <v>3418</v>
      </c>
      <c r="D5196" s="73"/>
      <c r="E5196" s="72"/>
      <c r="F5196" s="101"/>
      <c r="G5196" s="96">
        <f t="shared" si="328"/>
        <v>3418</v>
      </c>
      <c r="J5196" t="str">
        <f t="shared" si="331"/>
        <v/>
      </c>
      <c r="K5196" t="str">
        <f t="shared" si="329"/>
        <v>3418</v>
      </c>
      <c r="M5196" s="72"/>
      <c r="O5196" s="96">
        <f t="shared" si="330"/>
        <v>3418</v>
      </c>
    </row>
    <row r="5197" spans="3:15" x14ac:dyDescent="0.2">
      <c r="C5197" t="str">
        <f t="shared" si="327"/>
        <v>3419</v>
      </c>
      <c r="D5197" s="73"/>
      <c r="E5197" s="72"/>
      <c r="F5197" s="101"/>
      <c r="G5197" s="96">
        <f t="shared" si="328"/>
        <v>3419</v>
      </c>
      <c r="J5197" t="str">
        <f t="shared" si="331"/>
        <v/>
      </c>
      <c r="K5197" t="str">
        <f t="shared" si="329"/>
        <v>3419</v>
      </c>
      <c r="M5197" s="72"/>
      <c r="O5197" s="96">
        <f t="shared" si="330"/>
        <v>3419</v>
      </c>
    </row>
    <row r="5198" spans="3:15" x14ac:dyDescent="0.2">
      <c r="C5198" t="str">
        <f t="shared" si="327"/>
        <v>3420</v>
      </c>
      <c r="D5198" s="73"/>
      <c r="E5198" s="72"/>
      <c r="F5198" s="101"/>
      <c r="G5198" s="96">
        <f t="shared" si="328"/>
        <v>3420</v>
      </c>
      <c r="J5198" t="str">
        <f t="shared" si="331"/>
        <v/>
      </c>
      <c r="K5198" t="str">
        <f t="shared" si="329"/>
        <v>3420</v>
      </c>
      <c r="M5198" s="72"/>
      <c r="O5198" s="96">
        <f t="shared" si="330"/>
        <v>3420</v>
      </c>
    </row>
    <row r="5199" spans="3:15" x14ac:dyDescent="0.2">
      <c r="C5199" t="str">
        <f t="shared" si="327"/>
        <v>3421</v>
      </c>
      <c r="D5199" s="73"/>
      <c r="E5199" s="72"/>
      <c r="F5199" s="101"/>
      <c r="G5199" s="96">
        <f t="shared" si="328"/>
        <v>3421</v>
      </c>
      <c r="J5199" t="str">
        <f t="shared" si="331"/>
        <v/>
      </c>
      <c r="K5199" t="str">
        <f t="shared" si="329"/>
        <v>3421</v>
      </c>
      <c r="M5199" s="72"/>
      <c r="O5199" s="96">
        <f t="shared" si="330"/>
        <v>3421</v>
      </c>
    </row>
    <row r="5200" spans="3:15" x14ac:dyDescent="0.2">
      <c r="C5200" t="str">
        <f t="shared" si="327"/>
        <v>3422</v>
      </c>
      <c r="D5200" s="73"/>
      <c r="E5200" s="72"/>
      <c r="F5200" s="101"/>
      <c r="G5200" s="96">
        <f t="shared" si="328"/>
        <v>3422</v>
      </c>
      <c r="J5200" t="str">
        <f t="shared" si="331"/>
        <v/>
      </c>
      <c r="K5200" t="str">
        <f t="shared" si="329"/>
        <v>3422</v>
      </c>
      <c r="M5200" s="72"/>
      <c r="O5200" s="96">
        <f t="shared" si="330"/>
        <v>3422</v>
      </c>
    </row>
    <row r="5201" spans="3:15" x14ac:dyDescent="0.2">
      <c r="C5201" t="str">
        <f t="shared" si="327"/>
        <v>3423</v>
      </c>
      <c r="D5201" s="73"/>
      <c r="E5201" s="72"/>
      <c r="F5201" s="101"/>
      <c r="G5201" s="96">
        <f t="shared" si="328"/>
        <v>3423</v>
      </c>
      <c r="J5201" t="str">
        <f t="shared" si="331"/>
        <v/>
      </c>
      <c r="K5201" t="str">
        <f t="shared" si="329"/>
        <v>3423</v>
      </c>
      <c r="M5201" s="72"/>
      <c r="O5201" s="96">
        <f t="shared" si="330"/>
        <v>3423</v>
      </c>
    </row>
    <row r="5202" spans="3:15" x14ac:dyDescent="0.2">
      <c r="C5202" t="str">
        <f t="shared" si="327"/>
        <v>3424</v>
      </c>
      <c r="D5202" s="73"/>
      <c r="E5202" s="72"/>
      <c r="F5202" s="101"/>
      <c r="G5202" s="96">
        <f t="shared" si="328"/>
        <v>3424</v>
      </c>
      <c r="J5202" t="str">
        <f t="shared" si="331"/>
        <v/>
      </c>
      <c r="K5202" t="str">
        <f t="shared" si="329"/>
        <v>3424</v>
      </c>
      <c r="M5202" s="72"/>
      <c r="O5202" s="96">
        <f t="shared" si="330"/>
        <v>3424</v>
      </c>
    </row>
    <row r="5203" spans="3:15" x14ac:dyDescent="0.2">
      <c r="C5203" t="str">
        <f t="shared" si="327"/>
        <v>3425</v>
      </c>
      <c r="D5203" s="73"/>
      <c r="E5203" s="72"/>
      <c r="F5203" s="101"/>
      <c r="G5203" s="96">
        <f t="shared" si="328"/>
        <v>3425</v>
      </c>
      <c r="J5203" t="str">
        <f t="shared" si="331"/>
        <v/>
      </c>
      <c r="K5203" t="str">
        <f t="shared" si="329"/>
        <v>3425</v>
      </c>
      <c r="M5203" s="72"/>
      <c r="O5203" s="96">
        <f t="shared" si="330"/>
        <v>3425</v>
      </c>
    </row>
    <row r="5204" spans="3:15" x14ac:dyDescent="0.2">
      <c r="C5204" t="str">
        <f t="shared" si="327"/>
        <v>3426</v>
      </c>
      <c r="D5204" s="73"/>
      <c r="E5204" s="72"/>
      <c r="F5204" s="101"/>
      <c r="G5204" s="96">
        <f t="shared" si="328"/>
        <v>3426</v>
      </c>
      <c r="J5204" t="str">
        <f t="shared" si="331"/>
        <v/>
      </c>
      <c r="K5204" t="str">
        <f t="shared" si="329"/>
        <v>3426</v>
      </c>
      <c r="M5204" s="72"/>
      <c r="O5204" s="96">
        <f t="shared" si="330"/>
        <v>3426</v>
      </c>
    </row>
    <row r="5205" spans="3:15" x14ac:dyDescent="0.2">
      <c r="C5205" t="str">
        <f t="shared" si="327"/>
        <v>3427</v>
      </c>
      <c r="D5205" s="73"/>
      <c r="E5205" s="72"/>
      <c r="F5205" s="101"/>
      <c r="G5205" s="96">
        <f t="shared" si="328"/>
        <v>3427</v>
      </c>
      <c r="J5205" t="str">
        <f t="shared" si="331"/>
        <v/>
      </c>
      <c r="K5205" t="str">
        <f t="shared" si="329"/>
        <v>3427</v>
      </c>
      <c r="M5205" s="72"/>
      <c r="O5205" s="96">
        <f t="shared" si="330"/>
        <v>3427</v>
      </c>
    </row>
    <row r="5206" spans="3:15" x14ac:dyDescent="0.2">
      <c r="C5206" t="str">
        <f t="shared" si="327"/>
        <v>3428</v>
      </c>
      <c r="D5206" s="73"/>
      <c r="E5206" s="72"/>
      <c r="F5206" s="101"/>
      <c r="G5206" s="96">
        <f t="shared" si="328"/>
        <v>3428</v>
      </c>
      <c r="J5206" t="str">
        <f t="shared" si="331"/>
        <v/>
      </c>
      <c r="K5206" t="str">
        <f t="shared" si="329"/>
        <v>3428</v>
      </c>
      <c r="M5206" s="72"/>
      <c r="O5206" s="96">
        <f t="shared" si="330"/>
        <v>3428</v>
      </c>
    </row>
    <row r="5207" spans="3:15" x14ac:dyDescent="0.2">
      <c r="C5207" t="str">
        <f t="shared" si="327"/>
        <v>3429</v>
      </c>
      <c r="D5207" s="73"/>
      <c r="E5207" s="72"/>
      <c r="F5207" s="101"/>
      <c r="G5207" s="96">
        <f t="shared" si="328"/>
        <v>3429</v>
      </c>
      <c r="J5207" t="str">
        <f t="shared" si="331"/>
        <v/>
      </c>
      <c r="K5207" t="str">
        <f t="shared" si="329"/>
        <v>3429</v>
      </c>
      <c r="M5207" s="72"/>
      <c r="O5207" s="96">
        <f t="shared" si="330"/>
        <v>3429</v>
      </c>
    </row>
    <row r="5208" spans="3:15" x14ac:dyDescent="0.2">
      <c r="C5208" t="str">
        <f t="shared" si="327"/>
        <v>3430</v>
      </c>
      <c r="D5208" s="73"/>
      <c r="E5208" s="72"/>
      <c r="F5208" s="101"/>
      <c r="G5208" s="96">
        <f t="shared" si="328"/>
        <v>3430</v>
      </c>
      <c r="J5208" t="str">
        <f t="shared" si="331"/>
        <v/>
      </c>
      <c r="K5208" t="str">
        <f t="shared" si="329"/>
        <v>3430</v>
      </c>
      <c r="M5208" s="72"/>
      <c r="O5208" s="96">
        <f t="shared" si="330"/>
        <v>3430</v>
      </c>
    </row>
    <row r="5209" spans="3:15" x14ac:dyDescent="0.2">
      <c r="C5209" t="str">
        <f t="shared" si="327"/>
        <v>3431</v>
      </c>
      <c r="D5209" s="73"/>
      <c r="E5209" s="72"/>
      <c r="F5209" s="101"/>
      <c r="G5209" s="96">
        <f t="shared" si="328"/>
        <v>3431</v>
      </c>
      <c r="J5209" t="str">
        <f t="shared" si="331"/>
        <v/>
      </c>
      <c r="K5209" t="str">
        <f t="shared" si="329"/>
        <v>3431</v>
      </c>
      <c r="M5209" s="72"/>
      <c r="O5209" s="96">
        <f t="shared" si="330"/>
        <v>3431</v>
      </c>
    </row>
    <row r="5210" spans="3:15" x14ac:dyDescent="0.2">
      <c r="C5210" t="str">
        <f t="shared" si="327"/>
        <v>3432</v>
      </c>
      <c r="D5210" s="73"/>
      <c r="E5210" s="72"/>
      <c r="F5210" s="101"/>
      <c r="G5210" s="96">
        <f t="shared" si="328"/>
        <v>3432</v>
      </c>
      <c r="J5210" t="str">
        <f t="shared" si="331"/>
        <v/>
      </c>
      <c r="K5210" t="str">
        <f t="shared" si="329"/>
        <v>3432</v>
      </c>
      <c r="M5210" s="72"/>
      <c r="O5210" s="96">
        <f t="shared" si="330"/>
        <v>3432</v>
      </c>
    </row>
    <row r="5211" spans="3:15" x14ac:dyDescent="0.2">
      <c r="C5211" t="str">
        <f t="shared" si="327"/>
        <v>3433</v>
      </c>
      <c r="D5211" s="73"/>
      <c r="E5211" s="72"/>
      <c r="F5211" s="101"/>
      <c r="G5211" s="96">
        <f t="shared" si="328"/>
        <v>3433</v>
      </c>
      <c r="J5211" t="str">
        <f t="shared" si="331"/>
        <v/>
      </c>
      <c r="K5211" t="str">
        <f t="shared" si="329"/>
        <v>3433</v>
      </c>
      <c r="M5211" s="72"/>
      <c r="O5211" s="96">
        <f t="shared" si="330"/>
        <v>3433</v>
      </c>
    </row>
    <row r="5212" spans="3:15" x14ac:dyDescent="0.2">
      <c r="C5212" t="str">
        <f t="shared" si="327"/>
        <v>3434</v>
      </c>
      <c r="D5212" s="73"/>
      <c r="E5212" s="72"/>
      <c r="F5212" s="101"/>
      <c r="G5212" s="96">
        <f t="shared" si="328"/>
        <v>3434</v>
      </c>
      <c r="J5212" t="str">
        <f t="shared" si="331"/>
        <v/>
      </c>
      <c r="K5212" t="str">
        <f t="shared" si="329"/>
        <v>3434</v>
      </c>
      <c r="M5212" s="72"/>
      <c r="O5212" s="96">
        <f t="shared" si="330"/>
        <v>3434</v>
      </c>
    </row>
    <row r="5213" spans="3:15" x14ac:dyDescent="0.2">
      <c r="C5213" t="str">
        <f t="shared" si="327"/>
        <v>3435</v>
      </c>
      <c r="G5213" s="96">
        <f t="shared" si="328"/>
        <v>3435</v>
      </c>
      <c r="J5213" t="str">
        <f t="shared" si="331"/>
        <v/>
      </c>
      <c r="K5213" t="str">
        <f t="shared" si="329"/>
        <v>3435</v>
      </c>
      <c r="O5213" s="96">
        <f t="shared" si="330"/>
        <v>3435</v>
      </c>
    </row>
    <row r="5214" spans="3:15" x14ac:dyDescent="0.2">
      <c r="C5214" t="str">
        <f t="shared" si="327"/>
        <v>3436</v>
      </c>
      <c r="G5214" s="96">
        <f t="shared" si="328"/>
        <v>3436</v>
      </c>
      <c r="J5214" t="str">
        <f t="shared" si="331"/>
        <v/>
      </c>
      <c r="K5214" t="str">
        <f t="shared" si="329"/>
        <v>3436</v>
      </c>
      <c r="O5214" s="96">
        <f t="shared" si="330"/>
        <v>3436</v>
      </c>
    </row>
    <row r="5215" spans="3:15" x14ac:dyDescent="0.2">
      <c r="C5215" t="str">
        <f t="shared" si="327"/>
        <v>3437</v>
      </c>
      <c r="G5215" s="96">
        <f t="shared" si="328"/>
        <v>3437</v>
      </c>
      <c r="J5215" t="str">
        <f t="shared" si="331"/>
        <v/>
      </c>
      <c r="K5215" t="str">
        <f t="shared" si="329"/>
        <v>3437</v>
      </c>
      <c r="O5215" s="96">
        <f t="shared" si="330"/>
        <v>3437</v>
      </c>
    </row>
    <row r="5216" spans="3:15" x14ac:dyDescent="0.2">
      <c r="C5216" t="str">
        <f t="shared" si="327"/>
        <v>3438</v>
      </c>
      <c r="G5216" s="96">
        <f t="shared" si="328"/>
        <v>3438</v>
      </c>
      <c r="J5216" t="str">
        <f t="shared" si="331"/>
        <v/>
      </c>
      <c r="K5216" t="str">
        <f t="shared" si="329"/>
        <v>3438</v>
      </c>
      <c r="O5216" s="96">
        <f t="shared" si="330"/>
        <v>3438</v>
      </c>
    </row>
    <row r="5217" spans="3:15" x14ac:dyDescent="0.2">
      <c r="C5217" t="str">
        <f t="shared" si="327"/>
        <v>3439</v>
      </c>
      <c r="G5217" s="96">
        <f t="shared" si="328"/>
        <v>3439</v>
      </c>
      <c r="J5217" t="str">
        <f t="shared" si="331"/>
        <v/>
      </c>
      <c r="K5217" t="str">
        <f t="shared" si="329"/>
        <v>3439</v>
      </c>
      <c r="O5217" s="96">
        <f t="shared" si="330"/>
        <v>3439</v>
      </c>
    </row>
    <row r="5218" spans="3:15" x14ac:dyDescent="0.2">
      <c r="C5218" t="str">
        <f t="shared" si="327"/>
        <v>3440</v>
      </c>
      <c r="G5218" s="96">
        <f t="shared" si="328"/>
        <v>3440</v>
      </c>
      <c r="J5218" t="str">
        <f t="shared" si="331"/>
        <v/>
      </c>
      <c r="K5218" t="str">
        <f t="shared" si="329"/>
        <v>3440</v>
      </c>
      <c r="O5218" s="96">
        <f t="shared" si="330"/>
        <v>3440</v>
      </c>
    </row>
    <row r="5219" spans="3:15" x14ac:dyDescent="0.2">
      <c r="C5219" t="str">
        <f t="shared" si="327"/>
        <v>3441</v>
      </c>
      <c r="G5219" s="96">
        <f t="shared" si="328"/>
        <v>3441</v>
      </c>
      <c r="J5219" t="str">
        <f t="shared" si="331"/>
        <v/>
      </c>
      <c r="K5219" t="str">
        <f t="shared" si="329"/>
        <v>3441</v>
      </c>
      <c r="O5219" s="96">
        <f t="shared" si="330"/>
        <v>3441</v>
      </c>
    </row>
    <row r="5220" spans="3:15" x14ac:dyDescent="0.2">
      <c r="C5220" t="str">
        <f t="shared" si="327"/>
        <v>3442</v>
      </c>
      <c r="G5220" s="96">
        <f t="shared" si="328"/>
        <v>3442</v>
      </c>
      <c r="J5220" t="str">
        <f t="shared" si="331"/>
        <v/>
      </c>
      <c r="K5220" t="str">
        <f t="shared" si="329"/>
        <v>3442</v>
      </c>
      <c r="O5220" s="96">
        <f t="shared" si="330"/>
        <v>3442</v>
      </c>
    </row>
    <row r="5221" spans="3:15" x14ac:dyDescent="0.2">
      <c r="C5221" t="str">
        <f t="shared" si="327"/>
        <v>3443</v>
      </c>
      <c r="G5221" s="96">
        <f t="shared" si="328"/>
        <v>3443</v>
      </c>
      <c r="J5221" t="str">
        <f t="shared" si="331"/>
        <v/>
      </c>
      <c r="K5221" t="str">
        <f t="shared" si="329"/>
        <v>3443</v>
      </c>
      <c r="O5221" s="96">
        <f t="shared" si="330"/>
        <v>3443</v>
      </c>
    </row>
    <row r="5222" spans="3:15" x14ac:dyDescent="0.2">
      <c r="C5222" t="str">
        <f t="shared" si="327"/>
        <v>3444</v>
      </c>
      <c r="G5222" s="96">
        <f t="shared" si="328"/>
        <v>3444</v>
      </c>
      <c r="J5222" t="str">
        <f t="shared" si="331"/>
        <v/>
      </c>
      <c r="K5222" t="str">
        <f t="shared" si="329"/>
        <v>3444</v>
      </c>
      <c r="O5222" s="96">
        <f t="shared" si="330"/>
        <v>3444</v>
      </c>
    </row>
    <row r="5223" spans="3:15" x14ac:dyDescent="0.2">
      <c r="C5223" t="str">
        <f t="shared" si="327"/>
        <v>3445</v>
      </c>
      <c r="G5223" s="96">
        <f t="shared" si="328"/>
        <v>3445</v>
      </c>
      <c r="J5223" t="str">
        <f t="shared" si="331"/>
        <v/>
      </c>
      <c r="K5223" t="str">
        <f t="shared" si="329"/>
        <v>3445</v>
      </c>
      <c r="O5223" s="96">
        <f t="shared" si="330"/>
        <v>3445</v>
      </c>
    </row>
    <row r="5224" spans="3:15" x14ac:dyDescent="0.2">
      <c r="C5224" t="str">
        <f t="shared" si="327"/>
        <v>3446</v>
      </c>
      <c r="G5224" s="96">
        <f t="shared" si="328"/>
        <v>3446</v>
      </c>
      <c r="J5224" t="str">
        <f t="shared" si="331"/>
        <v/>
      </c>
      <c r="K5224" t="str">
        <f t="shared" si="329"/>
        <v>3446</v>
      </c>
      <c r="O5224" s="96">
        <f t="shared" si="330"/>
        <v>3446</v>
      </c>
    </row>
    <row r="5225" spans="3:15" x14ac:dyDescent="0.2">
      <c r="C5225" t="str">
        <f t="shared" si="327"/>
        <v>3447</v>
      </c>
      <c r="G5225" s="96">
        <f t="shared" si="328"/>
        <v>3447</v>
      </c>
      <c r="J5225" t="str">
        <f t="shared" si="331"/>
        <v/>
      </c>
      <c r="K5225" t="str">
        <f t="shared" si="329"/>
        <v>3447</v>
      </c>
      <c r="O5225" s="96">
        <f t="shared" si="330"/>
        <v>3447</v>
      </c>
    </row>
    <row r="5226" spans="3:15" x14ac:dyDescent="0.2">
      <c r="C5226" t="str">
        <f t="shared" si="327"/>
        <v>3448</v>
      </c>
      <c r="G5226" s="96">
        <f t="shared" si="328"/>
        <v>3448</v>
      </c>
      <c r="J5226" t="str">
        <f t="shared" si="331"/>
        <v/>
      </c>
      <c r="K5226" t="str">
        <f t="shared" si="329"/>
        <v>3448</v>
      </c>
      <c r="O5226" s="96">
        <f t="shared" si="330"/>
        <v>3448</v>
      </c>
    </row>
    <row r="5227" spans="3:15" x14ac:dyDescent="0.2">
      <c r="C5227" t="str">
        <f t="shared" si="327"/>
        <v>3449</v>
      </c>
      <c r="G5227" s="96">
        <f t="shared" si="328"/>
        <v>3449</v>
      </c>
      <c r="J5227" t="str">
        <f t="shared" si="331"/>
        <v/>
      </c>
      <c r="K5227" t="str">
        <f t="shared" si="329"/>
        <v>3449</v>
      </c>
      <c r="O5227" s="96">
        <f t="shared" si="330"/>
        <v>3449</v>
      </c>
    </row>
    <row r="5228" spans="3:15" x14ac:dyDescent="0.2">
      <c r="C5228" t="str">
        <f t="shared" si="327"/>
        <v>3450</v>
      </c>
      <c r="G5228" s="96">
        <f t="shared" si="328"/>
        <v>3450</v>
      </c>
      <c r="J5228" t="str">
        <f t="shared" si="331"/>
        <v/>
      </c>
      <c r="K5228" t="str">
        <f t="shared" si="329"/>
        <v>3450</v>
      </c>
      <c r="O5228" s="96">
        <f t="shared" si="330"/>
        <v>3450</v>
      </c>
    </row>
    <row r="5229" spans="3:15" x14ac:dyDescent="0.2">
      <c r="C5229" t="str">
        <f t="shared" si="327"/>
        <v>3451</v>
      </c>
      <c r="G5229" s="96">
        <f t="shared" si="328"/>
        <v>3451</v>
      </c>
      <c r="J5229" t="str">
        <f t="shared" si="331"/>
        <v/>
      </c>
      <c r="K5229" t="str">
        <f t="shared" si="329"/>
        <v>3451</v>
      </c>
      <c r="O5229" s="96">
        <f t="shared" si="330"/>
        <v>3451</v>
      </c>
    </row>
    <row r="5230" spans="3:15" x14ac:dyDescent="0.2">
      <c r="C5230" t="str">
        <f t="shared" si="327"/>
        <v>3452</v>
      </c>
      <c r="G5230" s="96">
        <f t="shared" si="328"/>
        <v>3452</v>
      </c>
      <c r="J5230" t="str">
        <f t="shared" si="331"/>
        <v/>
      </c>
      <c r="K5230" t="str">
        <f t="shared" si="329"/>
        <v>3452</v>
      </c>
      <c r="O5230" s="96">
        <f t="shared" si="330"/>
        <v>3452</v>
      </c>
    </row>
    <row r="5231" spans="3:15" x14ac:dyDescent="0.2">
      <c r="C5231" t="str">
        <f t="shared" si="327"/>
        <v>3453</v>
      </c>
      <c r="G5231" s="96">
        <f t="shared" si="328"/>
        <v>3453</v>
      </c>
      <c r="J5231" t="str">
        <f t="shared" si="331"/>
        <v/>
      </c>
      <c r="K5231" t="str">
        <f t="shared" si="329"/>
        <v>3453</v>
      </c>
      <c r="O5231" s="96">
        <f t="shared" si="330"/>
        <v>3453</v>
      </c>
    </row>
    <row r="5232" spans="3:15" x14ac:dyDescent="0.2">
      <c r="C5232" t="str">
        <f t="shared" si="327"/>
        <v>3454</v>
      </c>
      <c r="G5232" s="96">
        <f t="shared" si="328"/>
        <v>3454</v>
      </c>
      <c r="J5232" t="str">
        <f t="shared" si="331"/>
        <v/>
      </c>
      <c r="K5232" t="str">
        <f t="shared" si="329"/>
        <v>3454</v>
      </c>
      <c r="O5232" s="96">
        <f t="shared" si="330"/>
        <v>3454</v>
      </c>
    </row>
    <row r="5233" spans="3:15" x14ac:dyDescent="0.2">
      <c r="C5233" t="str">
        <f t="shared" si="327"/>
        <v>3455</v>
      </c>
      <c r="G5233" s="96">
        <f t="shared" si="328"/>
        <v>3455</v>
      </c>
      <c r="J5233" t="str">
        <f t="shared" si="331"/>
        <v/>
      </c>
      <c r="K5233" t="str">
        <f t="shared" si="329"/>
        <v>3455</v>
      </c>
      <c r="O5233" s="96">
        <f t="shared" si="330"/>
        <v>3455</v>
      </c>
    </row>
    <row r="5234" spans="3:15" x14ac:dyDescent="0.2">
      <c r="C5234" t="str">
        <f t="shared" si="327"/>
        <v>3456</v>
      </c>
      <c r="G5234" s="96">
        <f t="shared" si="328"/>
        <v>3456</v>
      </c>
      <c r="J5234" t="str">
        <f t="shared" si="331"/>
        <v/>
      </c>
      <c r="K5234" t="str">
        <f t="shared" si="329"/>
        <v>3456</v>
      </c>
      <c r="O5234" s="96">
        <f t="shared" si="330"/>
        <v>3456</v>
      </c>
    </row>
    <row r="5235" spans="3:15" x14ac:dyDescent="0.2">
      <c r="C5235" t="str">
        <f t="shared" si="327"/>
        <v>3457</v>
      </c>
      <c r="G5235" s="96">
        <f t="shared" si="328"/>
        <v>3457</v>
      </c>
      <c r="J5235" t="str">
        <f t="shared" si="331"/>
        <v/>
      </c>
      <c r="K5235" t="str">
        <f t="shared" si="329"/>
        <v>3457</v>
      </c>
      <c r="O5235" s="96">
        <f t="shared" si="330"/>
        <v>3457</v>
      </c>
    </row>
    <row r="5236" spans="3:15" x14ac:dyDescent="0.2">
      <c r="C5236" t="str">
        <f t="shared" si="327"/>
        <v>3458</v>
      </c>
      <c r="G5236" s="96">
        <f t="shared" si="328"/>
        <v>3458</v>
      </c>
      <c r="J5236" t="str">
        <f t="shared" si="331"/>
        <v/>
      </c>
      <c r="K5236" t="str">
        <f t="shared" si="329"/>
        <v>3458</v>
      </c>
      <c r="O5236" s="96">
        <f t="shared" si="330"/>
        <v>3458</v>
      </c>
    </row>
    <row r="5237" spans="3:15" x14ac:dyDescent="0.2">
      <c r="C5237" t="str">
        <f t="shared" si="327"/>
        <v>3459</v>
      </c>
      <c r="G5237" s="96">
        <f t="shared" si="328"/>
        <v>3459</v>
      </c>
      <c r="J5237" t="str">
        <f t="shared" si="331"/>
        <v/>
      </c>
      <c r="K5237" t="str">
        <f t="shared" si="329"/>
        <v>3459</v>
      </c>
      <c r="O5237" s="96">
        <f t="shared" si="330"/>
        <v>3459</v>
      </c>
    </row>
    <row r="5238" spans="3:15" x14ac:dyDescent="0.2">
      <c r="C5238" t="str">
        <f t="shared" si="327"/>
        <v>3460</v>
      </c>
      <c r="G5238" s="96">
        <f t="shared" si="328"/>
        <v>3460</v>
      </c>
      <c r="J5238" t="str">
        <f t="shared" si="331"/>
        <v/>
      </c>
      <c r="K5238" t="str">
        <f t="shared" si="329"/>
        <v>3460</v>
      </c>
      <c r="O5238" s="96">
        <f t="shared" si="330"/>
        <v>3460</v>
      </c>
    </row>
    <row r="5239" spans="3:15" x14ac:dyDescent="0.2">
      <c r="C5239" t="str">
        <f t="shared" si="327"/>
        <v>3461</v>
      </c>
      <c r="G5239" s="96">
        <f t="shared" si="328"/>
        <v>3461</v>
      </c>
      <c r="J5239" t="str">
        <f t="shared" si="331"/>
        <v/>
      </c>
      <c r="K5239" t="str">
        <f t="shared" si="329"/>
        <v>3461</v>
      </c>
      <c r="O5239" s="96">
        <f t="shared" si="330"/>
        <v>3461</v>
      </c>
    </row>
    <row r="5240" spans="3:15" x14ac:dyDescent="0.2">
      <c r="C5240" t="str">
        <f t="shared" si="327"/>
        <v>3462</v>
      </c>
      <c r="G5240" s="96">
        <f t="shared" si="328"/>
        <v>3462</v>
      </c>
      <c r="J5240" t="str">
        <f t="shared" si="331"/>
        <v/>
      </c>
      <c r="K5240" t="str">
        <f t="shared" si="329"/>
        <v>3462</v>
      </c>
      <c r="O5240" s="96">
        <f t="shared" si="330"/>
        <v>3462</v>
      </c>
    </row>
    <row r="5241" spans="3:15" x14ac:dyDescent="0.2">
      <c r="C5241" t="str">
        <f t="shared" si="327"/>
        <v>3463</v>
      </c>
      <c r="G5241" s="96">
        <f t="shared" si="328"/>
        <v>3463</v>
      </c>
      <c r="J5241" t="str">
        <f t="shared" si="331"/>
        <v/>
      </c>
      <c r="K5241" t="str">
        <f t="shared" si="329"/>
        <v>3463</v>
      </c>
      <c r="O5241" s="96">
        <f t="shared" si="330"/>
        <v>3463</v>
      </c>
    </row>
    <row r="5242" spans="3:15" x14ac:dyDescent="0.2">
      <c r="C5242" t="str">
        <f t="shared" si="327"/>
        <v>3464</v>
      </c>
      <c r="G5242" s="96">
        <f t="shared" si="328"/>
        <v>3464</v>
      </c>
      <c r="J5242" t="str">
        <f t="shared" si="331"/>
        <v/>
      </c>
      <c r="K5242" t="str">
        <f t="shared" si="329"/>
        <v>3464</v>
      </c>
      <c r="O5242" s="96">
        <f t="shared" si="330"/>
        <v>3464</v>
      </c>
    </row>
    <row r="5243" spans="3:15" x14ac:dyDescent="0.2">
      <c r="C5243" t="str">
        <f t="shared" si="327"/>
        <v>3465</v>
      </c>
      <c r="G5243" s="96">
        <f t="shared" si="328"/>
        <v>3465</v>
      </c>
      <c r="J5243" t="str">
        <f t="shared" si="331"/>
        <v/>
      </c>
      <c r="K5243" t="str">
        <f t="shared" si="329"/>
        <v>3465</v>
      </c>
      <c r="O5243" s="96">
        <f t="shared" si="330"/>
        <v>3465</v>
      </c>
    </row>
    <row r="5244" spans="3:15" x14ac:dyDescent="0.2">
      <c r="C5244" t="str">
        <f t="shared" si="327"/>
        <v>3466</v>
      </c>
      <c r="G5244" s="96">
        <f t="shared" si="328"/>
        <v>3466</v>
      </c>
      <c r="J5244" t="str">
        <f t="shared" si="331"/>
        <v/>
      </c>
      <c r="K5244" t="str">
        <f t="shared" si="329"/>
        <v>3466</v>
      </c>
      <c r="O5244" s="96">
        <f t="shared" si="330"/>
        <v>3466</v>
      </c>
    </row>
    <row r="5245" spans="3:15" x14ac:dyDescent="0.2">
      <c r="C5245" t="str">
        <f t="shared" si="327"/>
        <v>3467</v>
      </c>
      <c r="G5245" s="96">
        <f t="shared" si="328"/>
        <v>3467</v>
      </c>
      <c r="J5245" t="str">
        <f t="shared" si="331"/>
        <v/>
      </c>
      <c r="K5245" t="str">
        <f t="shared" si="329"/>
        <v>3467</v>
      </c>
      <c r="O5245" s="96">
        <f t="shared" si="330"/>
        <v>3467</v>
      </c>
    </row>
    <row r="5246" spans="3:15" x14ac:dyDescent="0.2">
      <c r="C5246" t="str">
        <f t="shared" si="327"/>
        <v>3468</v>
      </c>
      <c r="G5246" s="96">
        <f t="shared" si="328"/>
        <v>3468</v>
      </c>
      <c r="J5246" t="str">
        <f t="shared" si="331"/>
        <v/>
      </c>
      <c r="K5246" t="str">
        <f t="shared" si="329"/>
        <v>3468</v>
      </c>
      <c r="O5246" s="96">
        <f t="shared" si="330"/>
        <v>3468</v>
      </c>
    </row>
    <row r="5247" spans="3:15" x14ac:dyDescent="0.2">
      <c r="C5247" t="str">
        <f t="shared" si="327"/>
        <v>3469</v>
      </c>
      <c r="G5247" s="96">
        <f t="shared" si="328"/>
        <v>3469</v>
      </c>
      <c r="J5247" t="str">
        <f t="shared" si="331"/>
        <v/>
      </c>
      <c r="K5247" t="str">
        <f t="shared" si="329"/>
        <v>3469</v>
      </c>
      <c r="O5247" s="96">
        <f t="shared" si="330"/>
        <v>3469</v>
      </c>
    </row>
    <row r="5248" spans="3:15" x14ac:dyDescent="0.2">
      <c r="C5248" t="str">
        <f t="shared" si="327"/>
        <v>3470</v>
      </c>
      <c r="G5248" s="96">
        <f t="shared" si="328"/>
        <v>3470</v>
      </c>
      <c r="J5248" t="str">
        <f t="shared" si="331"/>
        <v/>
      </c>
      <c r="K5248" t="str">
        <f t="shared" si="329"/>
        <v>3470</v>
      </c>
      <c r="O5248" s="96">
        <f t="shared" si="330"/>
        <v>3470</v>
      </c>
    </row>
    <row r="5249" spans="3:15" x14ac:dyDescent="0.2">
      <c r="C5249" t="str">
        <f t="shared" si="327"/>
        <v>3471</v>
      </c>
      <c r="G5249" s="96">
        <f t="shared" si="328"/>
        <v>3471</v>
      </c>
      <c r="J5249" t="str">
        <f t="shared" si="331"/>
        <v/>
      </c>
      <c r="K5249" t="str">
        <f t="shared" si="329"/>
        <v>3471</v>
      </c>
      <c r="O5249" s="96">
        <f t="shared" si="330"/>
        <v>3471</v>
      </c>
    </row>
    <row r="5250" spans="3:15" x14ac:dyDescent="0.2">
      <c r="C5250" t="str">
        <f t="shared" si="327"/>
        <v>3472</v>
      </c>
      <c r="G5250" s="96">
        <f t="shared" si="328"/>
        <v>3472</v>
      </c>
      <c r="J5250" t="str">
        <f t="shared" si="331"/>
        <v/>
      </c>
      <c r="K5250" t="str">
        <f t="shared" si="329"/>
        <v>3472</v>
      </c>
      <c r="O5250" s="96">
        <f t="shared" si="330"/>
        <v>3472</v>
      </c>
    </row>
    <row r="5251" spans="3:15" x14ac:dyDescent="0.2">
      <c r="C5251" t="str">
        <f t="shared" ref="C5251:C5314" si="332">D5251&amp;G5251</f>
        <v>3473</v>
      </c>
      <c r="G5251" s="96">
        <f t="shared" ref="G5251:G5314" si="333">IF(D5251&lt;&gt;D5250,1,G5250+1)</f>
        <v>3473</v>
      </c>
      <c r="J5251" t="str">
        <f t="shared" si="331"/>
        <v/>
      </c>
      <c r="K5251" t="str">
        <f t="shared" ref="K5251:K5314" si="334">L5251&amp;O5251</f>
        <v>3473</v>
      </c>
      <c r="O5251" s="96">
        <f t="shared" ref="O5251:O5314" si="335">IF(L5251&lt;&gt;L5250,1,O5250+1)</f>
        <v>3473</v>
      </c>
    </row>
    <row r="5252" spans="3:15" x14ac:dyDescent="0.2">
      <c r="C5252" t="str">
        <f t="shared" si="332"/>
        <v>3474</v>
      </c>
      <c r="G5252" s="96">
        <f t="shared" si="333"/>
        <v>3474</v>
      </c>
      <c r="J5252" t="str">
        <f t="shared" si="331"/>
        <v/>
      </c>
      <c r="K5252" t="str">
        <f t="shared" si="334"/>
        <v>3474</v>
      </c>
      <c r="O5252" s="96">
        <f t="shared" si="335"/>
        <v>3474</v>
      </c>
    </row>
    <row r="5253" spans="3:15" x14ac:dyDescent="0.2">
      <c r="C5253" t="str">
        <f t="shared" si="332"/>
        <v>3475</v>
      </c>
      <c r="G5253" s="96">
        <f t="shared" si="333"/>
        <v>3475</v>
      </c>
      <c r="J5253" t="str">
        <f t="shared" si="331"/>
        <v/>
      </c>
      <c r="K5253" t="str">
        <f t="shared" si="334"/>
        <v>3475</v>
      </c>
      <c r="O5253" s="96">
        <f t="shared" si="335"/>
        <v>3475</v>
      </c>
    </row>
    <row r="5254" spans="3:15" x14ac:dyDescent="0.2">
      <c r="C5254" t="str">
        <f t="shared" si="332"/>
        <v>3476</v>
      </c>
      <c r="G5254" s="96">
        <f t="shared" si="333"/>
        <v>3476</v>
      </c>
      <c r="J5254" t="str">
        <f t="shared" si="331"/>
        <v/>
      </c>
      <c r="K5254" t="str">
        <f t="shared" si="334"/>
        <v>3476</v>
      </c>
      <c r="O5254" s="96">
        <f t="shared" si="335"/>
        <v>3476</v>
      </c>
    </row>
    <row r="5255" spans="3:15" x14ac:dyDescent="0.2">
      <c r="C5255" t="str">
        <f t="shared" si="332"/>
        <v>3477</v>
      </c>
      <c r="G5255" s="96">
        <f t="shared" si="333"/>
        <v>3477</v>
      </c>
      <c r="J5255" t="str">
        <f t="shared" si="331"/>
        <v/>
      </c>
      <c r="K5255" t="str">
        <f t="shared" si="334"/>
        <v>3477</v>
      </c>
      <c r="O5255" s="96">
        <f t="shared" si="335"/>
        <v>3477</v>
      </c>
    </row>
    <row r="5256" spans="3:15" x14ac:dyDescent="0.2">
      <c r="C5256" t="str">
        <f t="shared" si="332"/>
        <v>3478</v>
      </c>
      <c r="G5256" s="96">
        <f t="shared" si="333"/>
        <v>3478</v>
      </c>
      <c r="J5256" t="str">
        <f t="shared" si="331"/>
        <v/>
      </c>
      <c r="K5256" t="str">
        <f t="shared" si="334"/>
        <v>3478</v>
      </c>
      <c r="O5256" s="96">
        <f t="shared" si="335"/>
        <v>3478</v>
      </c>
    </row>
    <row r="5257" spans="3:15" x14ac:dyDescent="0.2">
      <c r="C5257" t="str">
        <f t="shared" si="332"/>
        <v>3479</v>
      </c>
      <c r="G5257" s="96">
        <f t="shared" si="333"/>
        <v>3479</v>
      </c>
      <c r="J5257" t="str">
        <f t="shared" si="331"/>
        <v/>
      </c>
      <c r="K5257" t="str">
        <f t="shared" si="334"/>
        <v>3479</v>
      </c>
      <c r="O5257" s="96">
        <f t="shared" si="335"/>
        <v>3479</v>
      </c>
    </row>
    <row r="5258" spans="3:15" x14ac:dyDescent="0.2">
      <c r="C5258" t="str">
        <f t="shared" si="332"/>
        <v>3480</v>
      </c>
      <c r="G5258" s="96">
        <f t="shared" si="333"/>
        <v>3480</v>
      </c>
      <c r="J5258" t="str">
        <f t="shared" ref="J5258:J5321" si="336">L5258&amp;M5258</f>
        <v/>
      </c>
      <c r="K5258" t="str">
        <f t="shared" si="334"/>
        <v>3480</v>
      </c>
      <c r="O5258" s="96">
        <f t="shared" si="335"/>
        <v>3480</v>
      </c>
    </row>
    <row r="5259" spans="3:15" x14ac:dyDescent="0.2">
      <c r="C5259" t="str">
        <f t="shared" si="332"/>
        <v>3481</v>
      </c>
      <c r="G5259" s="96">
        <f t="shared" si="333"/>
        <v>3481</v>
      </c>
      <c r="J5259" t="str">
        <f t="shared" si="336"/>
        <v/>
      </c>
      <c r="K5259" t="str">
        <f t="shared" si="334"/>
        <v>3481</v>
      </c>
      <c r="O5259" s="96">
        <f t="shared" si="335"/>
        <v>3481</v>
      </c>
    </row>
    <row r="5260" spans="3:15" x14ac:dyDescent="0.2">
      <c r="C5260" t="str">
        <f t="shared" si="332"/>
        <v>3482</v>
      </c>
      <c r="G5260" s="96">
        <f t="shared" si="333"/>
        <v>3482</v>
      </c>
      <c r="J5260" t="str">
        <f t="shared" si="336"/>
        <v/>
      </c>
      <c r="K5260" t="str">
        <f t="shared" si="334"/>
        <v>3482</v>
      </c>
      <c r="O5260" s="96">
        <f t="shared" si="335"/>
        <v>3482</v>
      </c>
    </row>
    <row r="5261" spans="3:15" x14ac:dyDescent="0.2">
      <c r="C5261" t="str">
        <f t="shared" si="332"/>
        <v>3483</v>
      </c>
      <c r="G5261" s="96">
        <f t="shared" si="333"/>
        <v>3483</v>
      </c>
      <c r="J5261" t="str">
        <f t="shared" si="336"/>
        <v/>
      </c>
      <c r="K5261" t="str">
        <f t="shared" si="334"/>
        <v>3483</v>
      </c>
      <c r="O5261" s="96">
        <f t="shared" si="335"/>
        <v>3483</v>
      </c>
    </row>
    <row r="5262" spans="3:15" x14ac:dyDescent="0.2">
      <c r="C5262" t="str">
        <f t="shared" si="332"/>
        <v>3484</v>
      </c>
      <c r="G5262" s="96">
        <f t="shared" si="333"/>
        <v>3484</v>
      </c>
      <c r="J5262" t="str">
        <f t="shared" si="336"/>
        <v/>
      </c>
      <c r="K5262" t="str">
        <f t="shared" si="334"/>
        <v>3484</v>
      </c>
      <c r="O5262" s="96">
        <f t="shared" si="335"/>
        <v>3484</v>
      </c>
    </row>
    <row r="5263" spans="3:15" x14ac:dyDescent="0.2">
      <c r="C5263" t="str">
        <f t="shared" si="332"/>
        <v>3485</v>
      </c>
      <c r="G5263" s="96">
        <f t="shared" si="333"/>
        <v>3485</v>
      </c>
      <c r="J5263" t="str">
        <f t="shared" si="336"/>
        <v/>
      </c>
      <c r="K5263" t="str">
        <f t="shared" si="334"/>
        <v>3485</v>
      </c>
      <c r="O5263" s="96">
        <f t="shared" si="335"/>
        <v>3485</v>
      </c>
    </row>
    <row r="5264" spans="3:15" x14ac:dyDescent="0.2">
      <c r="C5264" t="str">
        <f t="shared" si="332"/>
        <v>3486</v>
      </c>
      <c r="G5264" s="96">
        <f t="shared" si="333"/>
        <v>3486</v>
      </c>
      <c r="J5264" t="str">
        <f t="shared" si="336"/>
        <v/>
      </c>
      <c r="K5264" t="str">
        <f t="shared" si="334"/>
        <v>3486</v>
      </c>
      <c r="O5264" s="96">
        <f t="shared" si="335"/>
        <v>3486</v>
      </c>
    </row>
    <row r="5265" spans="3:15" x14ac:dyDescent="0.2">
      <c r="C5265" t="str">
        <f t="shared" si="332"/>
        <v>3487</v>
      </c>
      <c r="G5265" s="96">
        <f t="shared" si="333"/>
        <v>3487</v>
      </c>
      <c r="J5265" t="str">
        <f t="shared" si="336"/>
        <v/>
      </c>
      <c r="K5265" t="str">
        <f t="shared" si="334"/>
        <v>3487</v>
      </c>
      <c r="O5265" s="96">
        <f t="shared" si="335"/>
        <v>3487</v>
      </c>
    </row>
    <row r="5266" spans="3:15" x14ac:dyDescent="0.2">
      <c r="C5266" t="str">
        <f t="shared" si="332"/>
        <v>3488</v>
      </c>
      <c r="G5266" s="96">
        <f t="shared" si="333"/>
        <v>3488</v>
      </c>
      <c r="J5266" t="str">
        <f t="shared" si="336"/>
        <v/>
      </c>
      <c r="K5266" t="str">
        <f t="shared" si="334"/>
        <v>3488</v>
      </c>
      <c r="O5266" s="96">
        <f t="shared" si="335"/>
        <v>3488</v>
      </c>
    </row>
    <row r="5267" spans="3:15" x14ac:dyDescent="0.2">
      <c r="C5267" t="str">
        <f t="shared" si="332"/>
        <v>3489</v>
      </c>
      <c r="G5267" s="96">
        <f t="shared" si="333"/>
        <v>3489</v>
      </c>
      <c r="J5267" t="str">
        <f t="shared" si="336"/>
        <v/>
      </c>
      <c r="K5267" t="str">
        <f t="shared" si="334"/>
        <v>3489</v>
      </c>
      <c r="O5267" s="96">
        <f t="shared" si="335"/>
        <v>3489</v>
      </c>
    </row>
    <row r="5268" spans="3:15" x14ac:dyDescent="0.2">
      <c r="C5268" t="str">
        <f t="shared" si="332"/>
        <v>3490</v>
      </c>
      <c r="G5268" s="96">
        <f t="shared" si="333"/>
        <v>3490</v>
      </c>
      <c r="J5268" t="str">
        <f t="shared" si="336"/>
        <v/>
      </c>
      <c r="K5268" t="str">
        <f t="shared" si="334"/>
        <v>3490</v>
      </c>
      <c r="O5268" s="96">
        <f t="shared" si="335"/>
        <v>3490</v>
      </c>
    </row>
    <row r="5269" spans="3:15" x14ac:dyDescent="0.2">
      <c r="C5269" t="str">
        <f t="shared" si="332"/>
        <v>3491</v>
      </c>
      <c r="G5269" s="96">
        <f t="shared" si="333"/>
        <v>3491</v>
      </c>
      <c r="J5269" t="str">
        <f t="shared" si="336"/>
        <v/>
      </c>
      <c r="K5269" t="str">
        <f t="shared" si="334"/>
        <v>3491</v>
      </c>
      <c r="O5269" s="96">
        <f t="shared" si="335"/>
        <v>3491</v>
      </c>
    </row>
    <row r="5270" spans="3:15" x14ac:dyDescent="0.2">
      <c r="C5270" t="str">
        <f t="shared" si="332"/>
        <v>3492</v>
      </c>
      <c r="G5270" s="96">
        <f t="shared" si="333"/>
        <v>3492</v>
      </c>
      <c r="J5270" t="str">
        <f t="shared" si="336"/>
        <v/>
      </c>
      <c r="K5270" t="str">
        <f t="shared" si="334"/>
        <v>3492</v>
      </c>
      <c r="O5270" s="96">
        <f t="shared" si="335"/>
        <v>3492</v>
      </c>
    </row>
    <row r="5271" spans="3:15" x14ac:dyDescent="0.2">
      <c r="C5271" t="str">
        <f t="shared" si="332"/>
        <v>3493</v>
      </c>
      <c r="G5271" s="96">
        <f t="shared" si="333"/>
        <v>3493</v>
      </c>
      <c r="J5271" t="str">
        <f t="shared" si="336"/>
        <v/>
      </c>
      <c r="K5271" t="str">
        <f t="shared" si="334"/>
        <v>3493</v>
      </c>
      <c r="O5271" s="96">
        <f t="shared" si="335"/>
        <v>3493</v>
      </c>
    </row>
    <row r="5272" spans="3:15" x14ac:dyDescent="0.2">
      <c r="C5272" t="str">
        <f t="shared" si="332"/>
        <v>3494</v>
      </c>
      <c r="G5272" s="96">
        <f t="shared" si="333"/>
        <v>3494</v>
      </c>
      <c r="J5272" t="str">
        <f t="shared" si="336"/>
        <v/>
      </c>
      <c r="K5272" t="str">
        <f t="shared" si="334"/>
        <v>3494</v>
      </c>
      <c r="O5272" s="96">
        <f t="shared" si="335"/>
        <v>3494</v>
      </c>
    </row>
    <row r="5273" spans="3:15" x14ac:dyDescent="0.2">
      <c r="C5273" t="str">
        <f t="shared" si="332"/>
        <v>3495</v>
      </c>
      <c r="G5273" s="96">
        <f t="shared" si="333"/>
        <v>3495</v>
      </c>
      <c r="J5273" t="str">
        <f t="shared" si="336"/>
        <v/>
      </c>
      <c r="K5273" t="str">
        <f t="shared" si="334"/>
        <v>3495</v>
      </c>
      <c r="O5273" s="96">
        <f t="shared" si="335"/>
        <v>3495</v>
      </c>
    </row>
    <row r="5274" spans="3:15" x14ac:dyDescent="0.2">
      <c r="C5274" t="str">
        <f t="shared" si="332"/>
        <v>3496</v>
      </c>
      <c r="G5274" s="96">
        <f t="shared" si="333"/>
        <v>3496</v>
      </c>
      <c r="J5274" t="str">
        <f t="shared" si="336"/>
        <v/>
      </c>
      <c r="K5274" t="str">
        <f t="shared" si="334"/>
        <v>3496</v>
      </c>
      <c r="O5274" s="96">
        <f t="shared" si="335"/>
        <v>3496</v>
      </c>
    </row>
    <row r="5275" spans="3:15" x14ac:dyDescent="0.2">
      <c r="C5275" t="str">
        <f t="shared" si="332"/>
        <v>3497</v>
      </c>
      <c r="G5275" s="96">
        <f t="shared" si="333"/>
        <v>3497</v>
      </c>
      <c r="J5275" t="str">
        <f t="shared" si="336"/>
        <v/>
      </c>
      <c r="K5275" t="str">
        <f t="shared" si="334"/>
        <v>3497</v>
      </c>
      <c r="O5275" s="96">
        <f t="shared" si="335"/>
        <v>3497</v>
      </c>
    </row>
    <row r="5276" spans="3:15" x14ac:dyDescent="0.2">
      <c r="C5276" t="str">
        <f t="shared" si="332"/>
        <v>3498</v>
      </c>
      <c r="G5276" s="96">
        <f t="shared" si="333"/>
        <v>3498</v>
      </c>
      <c r="J5276" t="str">
        <f t="shared" si="336"/>
        <v/>
      </c>
      <c r="K5276" t="str">
        <f t="shared" si="334"/>
        <v>3498</v>
      </c>
      <c r="O5276" s="96">
        <f t="shared" si="335"/>
        <v>3498</v>
      </c>
    </row>
    <row r="5277" spans="3:15" x14ac:dyDescent="0.2">
      <c r="C5277" t="str">
        <f t="shared" si="332"/>
        <v>3499</v>
      </c>
      <c r="G5277" s="96">
        <f t="shared" si="333"/>
        <v>3499</v>
      </c>
      <c r="J5277" t="str">
        <f t="shared" si="336"/>
        <v/>
      </c>
      <c r="K5277" t="str">
        <f t="shared" si="334"/>
        <v>3499</v>
      </c>
      <c r="O5277" s="96">
        <f t="shared" si="335"/>
        <v>3499</v>
      </c>
    </row>
    <row r="5278" spans="3:15" x14ac:dyDescent="0.2">
      <c r="C5278" t="str">
        <f t="shared" si="332"/>
        <v>3500</v>
      </c>
      <c r="G5278" s="96">
        <f t="shared" si="333"/>
        <v>3500</v>
      </c>
      <c r="J5278" t="str">
        <f t="shared" si="336"/>
        <v/>
      </c>
      <c r="K5278" t="str">
        <f t="shared" si="334"/>
        <v>3500</v>
      </c>
      <c r="O5278" s="96">
        <f t="shared" si="335"/>
        <v>3500</v>
      </c>
    </row>
    <row r="5279" spans="3:15" x14ac:dyDescent="0.2">
      <c r="C5279" t="str">
        <f t="shared" si="332"/>
        <v>3501</v>
      </c>
      <c r="G5279" s="96">
        <f t="shared" si="333"/>
        <v>3501</v>
      </c>
      <c r="J5279" t="str">
        <f t="shared" si="336"/>
        <v/>
      </c>
      <c r="K5279" t="str">
        <f t="shared" si="334"/>
        <v>3501</v>
      </c>
      <c r="O5279" s="96">
        <f t="shared" si="335"/>
        <v>3501</v>
      </c>
    </row>
    <row r="5280" spans="3:15" x14ac:dyDescent="0.2">
      <c r="C5280" t="str">
        <f t="shared" si="332"/>
        <v>3502</v>
      </c>
      <c r="G5280" s="96">
        <f t="shared" si="333"/>
        <v>3502</v>
      </c>
      <c r="J5280" t="str">
        <f t="shared" si="336"/>
        <v/>
      </c>
      <c r="K5280" t="str">
        <f t="shared" si="334"/>
        <v>3502</v>
      </c>
      <c r="O5280" s="96">
        <f t="shared" si="335"/>
        <v>3502</v>
      </c>
    </row>
    <row r="5281" spans="3:15" x14ac:dyDescent="0.2">
      <c r="C5281" t="str">
        <f t="shared" si="332"/>
        <v>3503</v>
      </c>
      <c r="G5281" s="96">
        <f t="shared" si="333"/>
        <v>3503</v>
      </c>
      <c r="J5281" t="str">
        <f t="shared" si="336"/>
        <v/>
      </c>
      <c r="K5281" t="str">
        <f t="shared" si="334"/>
        <v>3503</v>
      </c>
      <c r="O5281" s="96">
        <f t="shared" si="335"/>
        <v>3503</v>
      </c>
    </row>
    <row r="5282" spans="3:15" x14ac:dyDescent="0.2">
      <c r="C5282" t="str">
        <f t="shared" si="332"/>
        <v>3504</v>
      </c>
      <c r="G5282" s="96">
        <f t="shared" si="333"/>
        <v>3504</v>
      </c>
      <c r="J5282" t="str">
        <f t="shared" si="336"/>
        <v/>
      </c>
      <c r="K5282" t="str">
        <f t="shared" si="334"/>
        <v>3504</v>
      </c>
      <c r="O5282" s="96">
        <f t="shared" si="335"/>
        <v>3504</v>
      </c>
    </row>
    <row r="5283" spans="3:15" x14ac:dyDescent="0.2">
      <c r="C5283" t="str">
        <f t="shared" si="332"/>
        <v>3505</v>
      </c>
      <c r="G5283" s="96">
        <f t="shared" si="333"/>
        <v>3505</v>
      </c>
      <c r="J5283" t="str">
        <f t="shared" si="336"/>
        <v/>
      </c>
      <c r="K5283" t="str">
        <f t="shared" si="334"/>
        <v>3505</v>
      </c>
      <c r="O5283" s="96">
        <f t="shared" si="335"/>
        <v>3505</v>
      </c>
    </row>
    <row r="5284" spans="3:15" x14ac:dyDescent="0.2">
      <c r="C5284" t="str">
        <f t="shared" si="332"/>
        <v>3506</v>
      </c>
      <c r="G5284" s="96">
        <f t="shared" si="333"/>
        <v>3506</v>
      </c>
      <c r="J5284" t="str">
        <f t="shared" si="336"/>
        <v/>
      </c>
      <c r="K5284" t="str">
        <f t="shared" si="334"/>
        <v>3506</v>
      </c>
      <c r="O5284" s="96">
        <f t="shared" si="335"/>
        <v>3506</v>
      </c>
    </row>
    <row r="5285" spans="3:15" x14ac:dyDescent="0.2">
      <c r="C5285" t="str">
        <f t="shared" si="332"/>
        <v>3507</v>
      </c>
      <c r="G5285" s="96">
        <f t="shared" si="333"/>
        <v>3507</v>
      </c>
      <c r="J5285" t="str">
        <f t="shared" si="336"/>
        <v/>
      </c>
      <c r="K5285" t="str">
        <f t="shared" si="334"/>
        <v>3507</v>
      </c>
      <c r="O5285" s="96">
        <f t="shared" si="335"/>
        <v>3507</v>
      </c>
    </row>
    <row r="5286" spans="3:15" x14ac:dyDescent="0.2">
      <c r="C5286" t="str">
        <f t="shared" si="332"/>
        <v>3508</v>
      </c>
      <c r="G5286" s="96">
        <f t="shared" si="333"/>
        <v>3508</v>
      </c>
      <c r="J5286" t="str">
        <f t="shared" si="336"/>
        <v/>
      </c>
      <c r="K5286" t="str">
        <f t="shared" si="334"/>
        <v>3508</v>
      </c>
      <c r="O5286" s="96">
        <f t="shared" si="335"/>
        <v>3508</v>
      </c>
    </row>
    <row r="5287" spans="3:15" x14ac:dyDescent="0.2">
      <c r="C5287" t="str">
        <f t="shared" si="332"/>
        <v>3509</v>
      </c>
      <c r="G5287" s="96">
        <f t="shared" si="333"/>
        <v>3509</v>
      </c>
      <c r="J5287" t="str">
        <f t="shared" si="336"/>
        <v/>
      </c>
      <c r="K5287" t="str">
        <f t="shared" si="334"/>
        <v>3509</v>
      </c>
      <c r="O5287" s="96">
        <f t="shared" si="335"/>
        <v>3509</v>
      </c>
    </row>
    <row r="5288" spans="3:15" x14ac:dyDescent="0.2">
      <c r="C5288" t="str">
        <f t="shared" si="332"/>
        <v>3510</v>
      </c>
      <c r="G5288" s="96">
        <f t="shared" si="333"/>
        <v>3510</v>
      </c>
      <c r="J5288" t="str">
        <f t="shared" si="336"/>
        <v/>
      </c>
      <c r="K5288" t="str">
        <f t="shared" si="334"/>
        <v>3510</v>
      </c>
      <c r="O5288" s="96">
        <f t="shared" si="335"/>
        <v>3510</v>
      </c>
    </row>
    <row r="5289" spans="3:15" x14ac:dyDescent="0.2">
      <c r="C5289" t="str">
        <f t="shared" si="332"/>
        <v>3511</v>
      </c>
      <c r="G5289" s="96">
        <f t="shared" si="333"/>
        <v>3511</v>
      </c>
      <c r="J5289" t="str">
        <f t="shared" si="336"/>
        <v/>
      </c>
      <c r="K5289" t="str">
        <f t="shared" si="334"/>
        <v>3511</v>
      </c>
      <c r="O5289" s="96">
        <f t="shared" si="335"/>
        <v>3511</v>
      </c>
    </row>
    <row r="5290" spans="3:15" x14ac:dyDescent="0.2">
      <c r="C5290" t="str">
        <f t="shared" si="332"/>
        <v>3512</v>
      </c>
      <c r="G5290" s="96">
        <f t="shared" si="333"/>
        <v>3512</v>
      </c>
      <c r="J5290" t="str">
        <f t="shared" si="336"/>
        <v/>
      </c>
      <c r="K5290" t="str">
        <f t="shared" si="334"/>
        <v>3512</v>
      </c>
      <c r="O5290" s="96">
        <f t="shared" si="335"/>
        <v>3512</v>
      </c>
    </row>
    <row r="5291" spans="3:15" x14ac:dyDescent="0.2">
      <c r="C5291" t="str">
        <f t="shared" si="332"/>
        <v>3513</v>
      </c>
      <c r="G5291" s="96">
        <f t="shared" si="333"/>
        <v>3513</v>
      </c>
      <c r="J5291" t="str">
        <f t="shared" si="336"/>
        <v/>
      </c>
      <c r="K5291" t="str">
        <f t="shared" si="334"/>
        <v>3513</v>
      </c>
      <c r="O5291" s="96">
        <f t="shared" si="335"/>
        <v>3513</v>
      </c>
    </row>
    <row r="5292" spans="3:15" x14ac:dyDescent="0.2">
      <c r="C5292" t="str">
        <f t="shared" si="332"/>
        <v>3514</v>
      </c>
      <c r="G5292" s="96">
        <f t="shared" si="333"/>
        <v>3514</v>
      </c>
      <c r="J5292" t="str">
        <f t="shared" si="336"/>
        <v/>
      </c>
      <c r="K5292" t="str">
        <f t="shared" si="334"/>
        <v>3514</v>
      </c>
      <c r="O5292" s="96">
        <f t="shared" si="335"/>
        <v>3514</v>
      </c>
    </row>
    <row r="5293" spans="3:15" x14ac:dyDescent="0.2">
      <c r="C5293" t="str">
        <f t="shared" si="332"/>
        <v>3515</v>
      </c>
      <c r="G5293" s="96">
        <f t="shared" si="333"/>
        <v>3515</v>
      </c>
      <c r="J5293" t="str">
        <f t="shared" si="336"/>
        <v/>
      </c>
      <c r="K5293" t="str">
        <f t="shared" si="334"/>
        <v>3515</v>
      </c>
      <c r="O5293" s="96">
        <f t="shared" si="335"/>
        <v>3515</v>
      </c>
    </row>
    <row r="5294" spans="3:15" x14ac:dyDescent="0.2">
      <c r="C5294" t="str">
        <f t="shared" si="332"/>
        <v>3516</v>
      </c>
      <c r="G5294" s="96">
        <f t="shared" si="333"/>
        <v>3516</v>
      </c>
      <c r="J5294" t="str">
        <f t="shared" si="336"/>
        <v/>
      </c>
      <c r="K5294" t="str">
        <f t="shared" si="334"/>
        <v>3516</v>
      </c>
      <c r="O5294" s="96">
        <f t="shared" si="335"/>
        <v>3516</v>
      </c>
    </row>
    <row r="5295" spans="3:15" x14ac:dyDescent="0.2">
      <c r="C5295" t="str">
        <f t="shared" si="332"/>
        <v>3517</v>
      </c>
      <c r="G5295" s="96">
        <f t="shared" si="333"/>
        <v>3517</v>
      </c>
      <c r="J5295" t="str">
        <f t="shared" si="336"/>
        <v/>
      </c>
      <c r="K5295" t="str">
        <f t="shared" si="334"/>
        <v>3517</v>
      </c>
      <c r="O5295" s="96">
        <f t="shared" si="335"/>
        <v>3517</v>
      </c>
    </row>
    <row r="5296" spans="3:15" x14ac:dyDescent="0.2">
      <c r="C5296" t="str">
        <f t="shared" si="332"/>
        <v>3518</v>
      </c>
      <c r="G5296" s="96">
        <f t="shared" si="333"/>
        <v>3518</v>
      </c>
      <c r="J5296" t="str">
        <f t="shared" si="336"/>
        <v/>
      </c>
      <c r="K5296" t="str">
        <f t="shared" si="334"/>
        <v>3518</v>
      </c>
      <c r="O5296" s="96">
        <f t="shared" si="335"/>
        <v>3518</v>
      </c>
    </row>
    <row r="5297" spans="3:15" x14ac:dyDescent="0.2">
      <c r="C5297" t="str">
        <f t="shared" si="332"/>
        <v>3519</v>
      </c>
      <c r="G5297" s="96">
        <f t="shared" si="333"/>
        <v>3519</v>
      </c>
      <c r="J5297" t="str">
        <f t="shared" si="336"/>
        <v/>
      </c>
      <c r="K5297" t="str">
        <f t="shared" si="334"/>
        <v>3519</v>
      </c>
      <c r="O5297" s="96">
        <f t="shared" si="335"/>
        <v>3519</v>
      </c>
    </row>
    <row r="5298" spans="3:15" x14ac:dyDescent="0.2">
      <c r="C5298" t="str">
        <f t="shared" si="332"/>
        <v>3520</v>
      </c>
      <c r="G5298" s="96">
        <f t="shared" si="333"/>
        <v>3520</v>
      </c>
      <c r="J5298" t="str">
        <f t="shared" si="336"/>
        <v/>
      </c>
      <c r="K5298" t="str">
        <f t="shared" si="334"/>
        <v>3520</v>
      </c>
      <c r="O5298" s="96">
        <f t="shared" si="335"/>
        <v>3520</v>
      </c>
    </row>
    <row r="5299" spans="3:15" x14ac:dyDescent="0.2">
      <c r="C5299" t="str">
        <f t="shared" si="332"/>
        <v>3521</v>
      </c>
      <c r="G5299" s="96">
        <f t="shared" si="333"/>
        <v>3521</v>
      </c>
      <c r="J5299" t="str">
        <f t="shared" si="336"/>
        <v/>
      </c>
      <c r="K5299" t="str">
        <f t="shared" si="334"/>
        <v>3521</v>
      </c>
      <c r="O5299" s="96">
        <f t="shared" si="335"/>
        <v>3521</v>
      </c>
    </row>
    <row r="5300" spans="3:15" x14ac:dyDescent="0.2">
      <c r="C5300" t="str">
        <f t="shared" si="332"/>
        <v>3522</v>
      </c>
      <c r="G5300" s="96">
        <f t="shared" si="333"/>
        <v>3522</v>
      </c>
      <c r="J5300" t="str">
        <f t="shared" si="336"/>
        <v/>
      </c>
      <c r="K5300" t="str">
        <f t="shared" si="334"/>
        <v>3522</v>
      </c>
      <c r="O5300" s="96">
        <f t="shared" si="335"/>
        <v>3522</v>
      </c>
    </row>
    <row r="5301" spans="3:15" x14ac:dyDescent="0.2">
      <c r="C5301" t="str">
        <f t="shared" si="332"/>
        <v>3523</v>
      </c>
      <c r="G5301" s="96">
        <f t="shared" si="333"/>
        <v>3523</v>
      </c>
      <c r="J5301" t="str">
        <f t="shared" si="336"/>
        <v/>
      </c>
      <c r="K5301" t="str">
        <f t="shared" si="334"/>
        <v>3523</v>
      </c>
      <c r="O5301" s="96">
        <f t="shared" si="335"/>
        <v>3523</v>
      </c>
    </row>
    <row r="5302" spans="3:15" x14ac:dyDescent="0.2">
      <c r="C5302" t="str">
        <f t="shared" si="332"/>
        <v>3524</v>
      </c>
      <c r="G5302" s="96">
        <f t="shared" si="333"/>
        <v>3524</v>
      </c>
      <c r="J5302" t="str">
        <f t="shared" si="336"/>
        <v/>
      </c>
      <c r="K5302" t="str">
        <f t="shared" si="334"/>
        <v>3524</v>
      </c>
      <c r="O5302" s="96">
        <f t="shared" si="335"/>
        <v>3524</v>
      </c>
    </row>
    <row r="5303" spans="3:15" x14ac:dyDescent="0.2">
      <c r="C5303" t="str">
        <f t="shared" si="332"/>
        <v>3525</v>
      </c>
      <c r="G5303" s="96">
        <f t="shared" si="333"/>
        <v>3525</v>
      </c>
      <c r="J5303" t="str">
        <f t="shared" si="336"/>
        <v/>
      </c>
      <c r="K5303" t="str">
        <f t="shared" si="334"/>
        <v>3525</v>
      </c>
      <c r="O5303" s="96">
        <f t="shared" si="335"/>
        <v>3525</v>
      </c>
    </row>
    <row r="5304" spans="3:15" x14ac:dyDescent="0.2">
      <c r="C5304" t="str">
        <f t="shared" si="332"/>
        <v>3526</v>
      </c>
      <c r="G5304" s="96">
        <f t="shared" si="333"/>
        <v>3526</v>
      </c>
      <c r="J5304" t="str">
        <f t="shared" si="336"/>
        <v/>
      </c>
      <c r="K5304" t="str">
        <f t="shared" si="334"/>
        <v>3526</v>
      </c>
      <c r="O5304" s="96">
        <f t="shared" si="335"/>
        <v>3526</v>
      </c>
    </row>
    <row r="5305" spans="3:15" x14ac:dyDescent="0.2">
      <c r="C5305" t="str">
        <f t="shared" si="332"/>
        <v>3527</v>
      </c>
      <c r="G5305" s="96">
        <f t="shared" si="333"/>
        <v>3527</v>
      </c>
      <c r="J5305" t="str">
        <f t="shared" si="336"/>
        <v/>
      </c>
      <c r="K5305" t="str">
        <f t="shared" si="334"/>
        <v>3527</v>
      </c>
      <c r="O5305" s="96">
        <f t="shared" si="335"/>
        <v>3527</v>
      </c>
    </row>
    <row r="5306" spans="3:15" x14ac:dyDescent="0.2">
      <c r="C5306" t="str">
        <f t="shared" si="332"/>
        <v>3528</v>
      </c>
      <c r="G5306" s="96">
        <f t="shared" si="333"/>
        <v>3528</v>
      </c>
      <c r="J5306" t="str">
        <f t="shared" si="336"/>
        <v/>
      </c>
      <c r="K5306" t="str">
        <f t="shared" si="334"/>
        <v>3528</v>
      </c>
      <c r="O5306" s="96">
        <f t="shared" si="335"/>
        <v>3528</v>
      </c>
    </row>
    <row r="5307" spans="3:15" x14ac:dyDescent="0.2">
      <c r="C5307" t="str">
        <f t="shared" si="332"/>
        <v>3529</v>
      </c>
      <c r="G5307" s="96">
        <f t="shared" si="333"/>
        <v>3529</v>
      </c>
      <c r="J5307" t="str">
        <f t="shared" si="336"/>
        <v/>
      </c>
      <c r="K5307" t="str">
        <f t="shared" si="334"/>
        <v>3529</v>
      </c>
      <c r="O5307" s="96">
        <f t="shared" si="335"/>
        <v>3529</v>
      </c>
    </row>
    <row r="5308" spans="3:15" x14ac:dyDescent="0.2">
      <c r="C5308" t="str">
        <f t="shared" si="332"/>
        <v>3530</v>
      </c>
      <c r="G5308" s="96">
        <f t="shared" si="333"/>
        <v>3530</v>
      </c>
      <c r="J5308" t="str">
        <f t="shared" si="336"/>
        <v/>
      </c>
      <c r="K5308" t="str">
        <f t="shared" si="334"/>
        <v>3530</v>
      </c>
      <c r="O5308" s="96">
        <f t="shared" si="335"/>
        <v>3530</v>
      </c>
    </row>
    <row r="5309" spans="3:15" x14ac:dyDescent="0.2">
      <c r="C5309" t="str">
        <f t="shared" si="332"/>
        <v>3531</v>
      </c>
      <c r="G5309" s="96">
        <f t="shared" si="333"/>
        <v>3531</v>
      </c>
      <c r="J5309" t="str">
        <f t="shared" si="336"/>
        <v/>
      </c>
      <c r="K5309" t="str">
        <f t="shared" si="334"/>
        <v>3531</v>
      </c>
      <c r="O5309" s="96">
        <f t="shared" si="335"/>
        <v>3531</v>
      </c>
    </row>
    <row r="5310" spans="3:15" x14ac:dyDescent="0.2">
      <c r="C5310" t="str">
        <f t="shared" si="332"/>
        <v>3532</v>
      </c>
      <c r="G5310" s="96">
        <f t="shared" si="333"/>
        <v>3532</v>
      </c>
      <c r="J5310" t="str">
        <f t="shared" si="336"/>
        <v/>
      </c>
      <c r="K5310" t="str">
        <f t="shared" si="334"/>
        <v>3532</v>
      </c>
      <c r="O5310" s="96">
        <f t="shared" si="335"/>
        <v>3532</v>
      </c>
    </row>
    <row r="5311" spans="3:15" x14ac:dyDescent="0.2">
      <c r="C5311" t="str">
        <f t="shared" si="332"/>
        <v>3533</v>
      </c>
      <c r="G5311" s="96">
        <f t="shared" si="333"/>
        <v>3533</v>
      </c>
      <c r="J5311" t="str">
        <f t="shared" si="336"/>
        <v/>
      </c>
      <c r="K5311" t="str">
        <f t="shared" si="334"/>
        <v>3533</v>
      </c>
      <c r="O5311" s="96">
        <f t="shared" si="335"/>
        <v>3533</v>
      </c>
    </row>
    <row r="5312" spans="3:15" x14ac:dyDescent="0.2">
      <c r="C5312" t="str">
        <f t="shared" si="332"/>
        <v>3534</v>
      </c>
      <c r="G5312" s="96">
        <f t="shared" si="333"/>
        <v>3534</v>
      </c>
      <c r="J5312" t="str">
        <f t="shared" si="336"/>
        <v/>
      </c>
      <c r="K5312" t="str">
        <f t="shared" si="334"/>
        <v>3534</v>
      </c>
      <c r="O5312" s="96">
        <f t="shared" si="335"/>
        <v>3534</v>
      </c>
    </row>
    <row r="5313" spans="3:15" x14ac:dyDescent="0.2">
      <c r="C5313" t="str">
        <f t="shared" si="332"/>
        <v>3535</v>
      </c>
      <c r="G5313" s="96">
        <f t="shared" si="333"/>
        <v>3535</v>
      </c>
      <c r="J5313" t="str">
        <f t="shared" si="336"/>
        <v/>
      </c>
      <c r="K5313" t="str">
        <f t="shared" si="334"/>
        <v>3535</v>
      </c>
      <c r="O5313" s="96">
        <f t="shared" si="335"/>
        <v>3535</v>
      </c>
    </row>
    <row r="5314" spans="3:15" x14ac:dyDescent="0.2">
      <c r="C5314" t="str">
        <f t="shared" si="332"/>
        <v>3536</v>
      </c>
      <c r="G5314" s="96">
        <f t="shared" si="333"/>
        <v>3536</v>
      </c>
      <c r="J5314" t="str">
        <f t="shared" si="336"/>
        <v/>
      </c>
      <c r="K5314" t="str">
        <f t="shared" si="334"/>
        <v>3536</v>
      </c>
      <c r="O5314" s="96">
        <f t="shared" si="335"/>
        <v>3536</v>
      </c>
    </row>
    <row r="5315" spans="3:15" x14ac:dyDescent="0.2">
      <c r="C5315" t="str">
        <f t="shared" ref="C5315:C5378" si="337">D5315&amp;G5315</f>
        <v>3537</v>
      </c>
      <c r="G5315" s="96">
        <f t="shared" ref="G5315:G5378" si="338">IF(D5315&lt;&gt;D5314,1,G5314+1)</f>
        <v>3537</v>
      </c>
      <c r="J5315" t="str">
        <f t="shared" si="336"/>
        <v/>
      </c>
      <c r="K5315" t="str">
        <f t="shared" ref="K5315:K5378" si="339">L5315&amp;O5315</f>
        <v>3537</v>
      </c>
      <c r="O5315" s="96">
        <f t="shared" ref="O5315:O5378" si="340">IF(L5315&lt;&gt;L5314,1,O5314+1)</f>
        <v>3537</v>
      </c>
    </row>
    <row r="5316" spans="3:15" x14ac:dyDescent="0.2">
      <c r="C5316" t="str">
        <f t="shared" si="337"/>
        <v>3538</v>
      </c>
      <c r="G5316" s="96">
        <f t="shared" si="338"/>
        <v>3538</v>
      </c>
      <c r="J5316" t="str">
        <f t="shared" si="336"/>
        <v/>
      </c>
      <c r="K5316" t="str">
        <f t="shared" si="339"/>
        <v>3538</v>
      </c>
      <c r="O5316" s="96">
        <f t="shared" si="340"/>
        <v>3538</v>
      </c>
    </row>
    <row r="5317" spans="3:15" x14ac:dyDescent="0.2">
      <c r="C5317" t="str">
        <f t="shared" si="337"/>
        <v>3539</v>
      </c>
      <c r="G5317" s="96">
        <f t="shared" si="338"/>
        <v>3539</v>
      </c>
      <c r="J5317" t="str">
        <f t="shared" si="336"/>
        <v/>
      </c>
      <c r="K5317" t="str">
        <f t="shared" si="339"/>
        <v>3539</v>
      </c>
      <c r="O5317" s="96">
        <f t="shared" si="340"/>
        <v>3539</v>
      </c>
    </row>
    <row r="5318" spans="3:15" x14ac:dyDescent="0.2">
      <c r="C5318" t="str">
        <f t="shared" si="337"/>
        <v>3540</v>
      </c>
      <c r="G5318" s="96">
        <f t="shared" si="338"/>
        <v>3540</v>
      </c>
      <c r="J5318" t="str">
        <f t="shared" si="336"/>
        <v/>
      </c>
      <c r="K5318" t="str">
        <f t="shared" si="339"/>
        <v>3540</v>
      </c>
      <c r="O5318" s="96">
        <f t="shared" si="340"/>
        <v>3540</v>
      </c>
    </row>
    <row r="5319" spans="3:15" x14ac:dyDescent="0.2">
      <c r="C5319" t="str">
        <f t="shared" si="337"/>
        <v>3541</v>
      </c>
      <c r="G5319" s="96">
        <f t="shared" si="338"/>
        <v>3541</v>
      </c>
      <c r="J5319" t="str">
        <f t="shared" si="336"/>
        <v/>
      </c>
      <c r="K5319" t="str">
        <f t="shared" si="339"/>
        <v>3541</v>
      </c>
      <c r="O5319" s="96">
        <f t="shared" si="340"/>
        <v>3541</v>
      </c>
    </row>
    <row r="5320" spans="3:15" x14ac:dyDescent="0.2">
      <c r="C5320" t="str">
        <f t="shared" si="337"/>
        <v>3542</v>
      </c>
      <c r="G5320" s="96">
        <f t="shared" si="338"/>
        <v>3542</v>
      </c>
      <c r="J5320" t="str">
        <f t="shared" si="336"/>
        <v/>
      </c>
      <c r="K5320" t="str">
        <f t="shared" si="339"/>
        <v>3542</v>
      </c>
      <c r="O5320" s="96">
        <f t="shared" si="340"/>
        <v>3542</v>
      </c>
    </row>
    <row r="5321" spans="3:15" x14ac:dyDescent="0.2">
      <c r="C5321" t="str">
        <f t="shared" si="337"/>
        <v>3543</v>
      </c>
      <c r="G5321" s="96">
        <f t="shared" si="338"/>
        <v>3543</v>
      </c>
      <c r="J5321" t="str">
        <f t="shared" si="336"/>
        <v/>
      </c>
      <c r="K5321" t="str">
        <f t="shared" si="339"/>
        <v>3543</v>
      </c>
      <c r="O5321" s="96">
        <f t="shared" si="340"/>
        <v>3543</v>
      </c>
    </row>
    <row r="5322" spans="3:15" x14ac:dyDescent="0.2">
      <c r="C5322" t="str">
        <f t="shared" si="337"/>
        <v>3544</v>
      </c>
      <c r="G5322" s="96">
        <f t="shared" si="338"/>
        <v>3544</v>
      </c>
      <c r="J5322" t="str">
        <f t="shared" ref="J5322:J5385" si="341">L5322&amp;M5322</f>
        <v/>
      </c>
      <c r="K5322" t="str">
        <f t="shared" si="339"/>
        <v>3544</v>
      </c>
      <c r="O5322" s="96">
        <f t="shared" si="340"/>
        <v>3544</v>
      </c>
    </row>
    <row r="5323" spans="3:15" x14ac:dyDescent="0.2">
      <c r="C5323" t="str">
        <f t="shared" si="337"/>
        <v>3545</v>
      </c>
      <c r="G5323" s="96">
        <f t="shared" si="338"/>
        <v>3545</v>
      </c>
      <c r="J5323" t="str">
        <f t="shared" si="341"/>
        <v/>
      </c>
      <c r="K5323" t="str">
        <f t="shared" si="339"/>
        <v>3545</v>
      </c>
      <c r="O5323" s="96">
        <f t="shared" si="340"/>
        <v>3545</v>
      </c>
    </row>
    <row r="5324" spans="3:15" x14ac:dyDescent="0.2">
      <c r="C5324" t="str">
        <f t="shared" si="337"/>
        <v>3546</v>
      </c>
      <c r="G5324" s="96">
        <f t="shared" si="338"/>
        <v>3546</v>
      </c>
      <c r="J5324" t="str">
        <f t="shared" si="341"/>
        <v/>
      </c>
      <c r="K5324" t="str">
        <f t="shared" si="339"/>
        <v>3546</v>
      </c>
      <c r="O5324" s="96">
        <f t="shared" si="340"/>
        <v>3546</v>
      </c>
    </row>
    <row r="5325" spans="3:15" x14ac:dyDescent="0.2">
      <c r="C5325" t="str">
        <f t="shared" si="337"/>
        <v>3547</v>
      </c>
      <c r="G5325" s="96">
        <f t="shared" si="338"/>
        <v>3547</v>
      </c>
      <c r="J5325" t="str">
        <f t="shared" si="341"/>
        <v/>
      </c>
      <c r="K5325" t="str">
        <f t="shared" si="339"/>
        <v>3547</v>
      </c>
      <c r="O5325" s="96">
        <f t="shared" si="340"/>
        <v>3547</v>
      </c>
    </row>
    <row r="5326" spans="3:15" x14ac:dyDescent="0.2">
      <c r="C5326" t="str">
        <f t="shared" si="337"/>
        <v>3548</v>
      </c>
      <c r="G5326" s="96">
        <f t="shared" si="338"/>
        <v>3548</v>
      </c>
      <c r="J5326" t="str">
        <f t="shared" si="341"/>
        <v/>
      </c>
      <c r="K5326" t="str">
        <f t="shared" si="339"/>
        <v>3548</v>
      </c>
      <c r="O5326" s="96">
        <f t="shared" si="340"/>
        <v>3548</v>
      </c>
    </row>
    <row r="5327" spans="3:15" x14ac:dyDescent="0.2">
      <c r="C5327" t="str">
        <f t="shared" si="337"/>
        <v>3549</v>
      </c>
      <c r="G5327" s="96">
        <f t="shared" si="338"/>
        <v>3549</v>
      </c>
      <c r="J5327" t="str">
        <f t="shared" si="341"/>
        <v/>
      </c>
      <c r="K5327" t="str">
        <f t="shared" si="339"/>
        <v>3549</v>
      </c>
      <c r="O5327" s="96">
        <f t="shared" si="340"/>
        <v>3549</v>
      </c>
    </row>
    <row r="5328" spans="3:15" x14ac:dyDescent="0.2">
      <c r="C5328" t="str">
        <f t="shared" si="337"/>
        <v>3550</v>
      </c>
      <c r="G5328" s="96">
        <f t="shared" si="338"/>
        <v>3550</v>
      </c>
      <c r="J5328" t="str">
        <f t="shared" si="341"/>
        <v/>
      </c>
      <c r="K5328" t="str">
        <f t="shared" si="339"/>
        <v>3550</v>
      </c>
      <c r="O5328" s="96">
        <f t="shared" si="340"/>
        <v>3550</v>
      </c>
    </row>
    <row r="5329" spans="3:15" x14ac:dyDescent="0.2">
      <c r="C5329" t="str">
        <f t="shared" si="337"/>
        <v>3551</v>
      </c>
      <c r="G5329" s="96">
        <f t="shared" si="338"/>
        <v>3551</v>
      </c>
      <c r="J5329" t="str">
        <f t="shared" si="341"/>
        <v/>
      </c>
      <c r="K5329" t="str">
        <f t="shared" si="339"/>
        <v>3551</v>
      </c>
      <c r="O5329" s="96">
        <f t="shared" si="340"/>
        <v>3551</v>
      </c>
    </row>
    <row r="5330" spans="3:15" x14ac:dyDescent="0.2">
      <c r="C5330" t="str">
        <f t="shared" si="337"/>
        <v>3552</v>
      </c>
      <c r="G5330" s="96">
        <f t="shared" si="338"/>
        <v>3552</v>
      </c>
      <c r="J5330" t="str">
        <f t="shared" si="341"/>
        <v/>
      </c>
      <c r="K5330" t="str">
        <f t="shared" si="339"/>
        <v>3552</v>
      </c>
      <c r="O5330" s="96">
        <f t="shared" si="340"/>
        <v>3552</v>
      </c>
    </row>
    <row r="5331" spans="3:15" x14ac:dyDescent="0.2">
      <c r="C5331" t="str">
        <f t="shared" si="337"/>
        <v>3553</v>
      </c>
      <c r="G5331" s="96">
        <f t="shared" si="338"/>
        <v>3553</v>
      </c>
      <c r="J5331" t="str">
        <f t="shared" si="341"/>
        <v/>
      </c>
      <c r="K5331" t="str">
        <f t="shared" si="339"/>
        <v>3553</v>
      </c>
      <c r="O5331" s="96">
        <f t="shared" si="340"/>
        <v>3553</v>
      </c>
    </row>
    <row r="5332" spans="3:15" x14ac:dyDescent="0.2">
      <c r="C5332" t="str">
        <f t="shared" si="337"/>
        <v>3554</v>
      </c>
      <c r="G5332" s="96">
        <f t="shared" si="338"/>
        <v>3554</v>
      </c>
      <c r="J5332" t="str">
        <f t="shared" si="341"/>
        <v/>
      </c>
      <c r="K5332" t="str">
        <f t="shared" si="339"/>
        <v>3554</v>
      </c>
      <c r="O5332" s="96">
        <f t="shared" si="340"/>
        <v>3554</v>
      </c>
    </row>
    <row r="5333" spans="3:15" x14ac:dyDescent="0.2">
      <c r="C5333" t="str">
        <f t="shared" si="337"/>
        <v>3555</v>
      </c>
      <c r="G5333" s="96">
        <f t="shared" si="338"/>
        <v>3555</v>
      </c>
      <c r="J5333" t="str">
        <f t="shared" si="341"/>
        <v/>
      </c>
      <c r="K5333" t="str">
        <f t="shared" si="339"/>
        <v>3555</v>
      </c>
      <c r="O5333" s="96">
        <f t="shared" si="340"/>
        <v>3555</v>
      </c>
    </row>
    <row r="5334" spans="3:15" x14ac:dyDescent="0.2">
      <c r="C5334" t="str">
        <f t="shared" si="337"/>
        <v>3556</v>
      </c>
      <c r="G5334" s="96">
        <f t="shared" si="338"/>
        <v>3556</v>
      </c>
      <c r="J5334" t="str">
        <f t="shared" si="341"/>
        <v/>
      </c>
      <c r="K5334" t="str">
        <f t="shared" si="339"/>
        <v>3556</v>
      </c>
      <c r="O5334" s="96">
        <f t="shared" si="340"/>
        <v>3556</v>
      </c>
    </row>
    <row r="5335" spans="3:15" x14ac:dyDescent="0.2">
      <c r="C5335" t="str">
        <f t="shared" si="337"/>
        <v>3557</v>
      </c>
      <c r="G5335" s="96">
        <f t="shared" si="338"/>
        <v>3557</v>
      </c>
      <c r="J5335" t="str">
        <f t="shared" si="341"/>
        <v/>
      </c>
      <c r="K5335" t="str">
        <f t="shared" si="339"/>
        <v>3557</v>
      </c>
      <c r="O5335" s="96">
        <f t="shared" si="340"/>
        <v>3557</v>
      </c>
    </row>
    <row r="5336" spans="3:15" x14ac:dyDescent="0.2">
      <c r="C5336" t="str">
        <f t="shared" si="337"/>
        <v>3558</v>
      </c>
      <c r="G5336" s="96">
        <f t="shared" si="338"/>
        <v>3558</v>
      </c>
      <c r="J5336" t="str">
        <f t="shared" si="341"/>
        <v/>
      </c>
      <c r="K5336" t="str">
        <f t="shared" si="339"/>
        <v>3558</v>
      </c>
      <c r="O5336" s="96">
        <f t="shared" si="340"/>
        <v>3558</v>
      </c>
    </row>
    <row r="5337" spans="3:15" x14ac:dyDescent="0.2">
      <c r="C5337" t="str">
        <f t="shared" si="337"/>
        <v>3559</v>
      </c>
      <c r="G5337" s="96">
        <f t="shared" si="338"/>
        <v>3559</v>
      </c>
      <c r="J5337" t="str">
        <f t="shared" si="341"/>
        <v/>
      </c>
      <c r="K5337" t="str">
        <f t="shared" si="339"/>
        <v>3559</v>
      </c>
      <c r="O5337" s="96">
        <f t="shared" si="340"/>
        <v>3559</v>
      </c>
    </row>
    <row r="5338" spans="3:15" x14ac:dyDescent="0.2">
      <c r="C5338" t="str">
        <f t="shared" si="337"/>
        <v>3560</v>
      </c>
      <c r="G5338" s="96">
        <f t="shared" si="338"/>
        <v>3560</v>
      </c>
      <c r="J5338" t="str">
        <f t="shared" si="341"/>
        <v/>
      </c>
      <c r="K5338" t="str">
        <f t="shared" si="339"/>
        <v>3560</v>
      </c>
      <c r="O5338" s="96">
        <f t="shared" si="340"/>
        <v>3560</v>
      </c>
    </row>
    <row r="5339" spans="3:15" x14ac:dyDescent="0.2">
      <c r="C5339" t="str">
        <f t="shared" si="337"/>
        <v>3561</v>
      </c>
      <c r="G5339" s="96">
        <f t="shared" si="338"/>
        <v>3561</v>
      </c>
      <c r="J5339" t="str">
        <f t="shared" si="341"/>
        <v/>
      </c>
      <c r="K5339" t="str">
        <f t="shared" si="339"/>
        <v>3561</v>
      </c>
      <c r="O5339" s="96">
        <f t="shared" si="340"/>
        <v>3561</v>
      </c>
    </row>
    <row r="5340" spans="3:15" x14ac:dyDescent="0.2">
      <c r="C5340" t="str">
        <f t="shared" si="337"/>
        <v>3562</v>
      </c>
      <c r="G5340" s="96">
        <f t="shared" si="338"/>
        <v>3562</v>
      </c>
      <c r="J5340" t="str">
        <f t="shared" si="341"/>
        <v/>
      </c>
      <c r="K5340" t="str">
        <f t="shared" si="339"/>
        <v>3562</v>
      </c>
      <c r="O5340" s="96">
        <f t="shared" si="340"/>
        <v>3562</v>
      </c>
    </row>
    <row r="5341" spans="3:15" x14ac:dyDescent="0.2">
      <c r="C5341" t="str">
        <f t="shared" si="337"/>
        <v>3563</v>
      </c>
      <c r="G5341" s="96">
        <f t="shared" si="338"/>
        <v>3563</v>
      </c>
      <c r="J5341" t="str">
        <f t="shared" si="341"/>
        <v/>
      </c>
      <c r="K5341" t="str">
        <f t="shared" si="339"/>
        <v>3563</v>
      </c>
      <c r="O5341" s="96">
        <f t="shared" si="340"/>
        <v>3563</v>
      </c>
    </row>
    <row r="5342" spans="3:15" x14ac:dyDescent="0.2">
      <c r="C5342" t="str">
        <f t="shared" si="337"/>
        <v>3564</v>
      </c>
      <c r="G5342" s="96">
        <f t="shared" si="338"/>
        <v>3564</v>
      </c>
      <c r="J5342" t="str">
        <f t="shared" si="341"/>
        <v/>
      </c>
      <c r="K5342" t="str">
        <f t="shared" si="339"/>
        <v>3564</v>
      </c>
      <c r="O5342" s="96">
        <f t="shared" si="340"/>
        <v>3564</v>
      </c>
    </row>
    <row r="5343" spans="3:15" x14ac:dyDescent="0.2">
      <c r="C5343" t="str">
        <f t="shared" si="337"/>
        <v>3565</v>
      </c>
      <c r="G5343" s="96">
        <f t="shared" si="338"/>
        <v>3565</v>
      </c>
      <c r="J5343" t="str">
        <f t="shared" si="341"/>
        <v/>
      </c>
      <c r="K5343" t="str">
        <f t="shared" si="339"/>
        <v>3565</v>
      </c>
      <c r="O5343" s="96">
        <f t="shared" si="340"/>
        <v>3565</v>
      </c>
    </row>
    <row r="5344" spans="3:15" x14ac:dyDescent="0.2">
      <c r="C5344" t="str">
        <f t="shared" si="337"/>
        <v>3566</v>
      </c>
      <c r="G5344" s="96">
        <f t="shared" si="338"/>
        <v>3566</v>
      </c>
      <c r="J5344" t="str">
        <f t="shared" si="341"/>
        <v/>
      </c>
      <c r="K5344" t="str">
        <f t="shared" si="339"/>
        <v>3566</v>
      </c>
      <c r="O5344" s="96">
        <f t="shared" si="340"/>
        <v>3566</v>
      </c>
    </row>
    <row r="5345" spans="3:15" x14ac:dyDescent="0.2">
      <c r="C5345" t="str">
        <f t="shared" si="337"/>
        <v>3567</v>
      </c>
      <c r="G5345" s="96">
        <f t="shared" si="338"/>
        <v>3567</v>
      </c>
      <c r="J5345" t="str">
        <f t="shared" si="341"/>
        <v/>
      </c>
      <c r="K5345" t="str">
        <f t="shared" si="339"/>
        <v>3567</v>
      </c>
      <c r="O5345" s="96">
        <f t="shared" si="340"/>
        <v>3567</v>
      </c>
    </row>
    <row r="5346" spans="3:15" x14ac:dyDescent="0.2">
      <c r="C5346" t="str">
        <f t="shared" si="337"/>
        <v>3568</v>
      </c>
      <c r="G5346" s="96">
        <f t="shared" si="338"/>
        <v>3568</v>
      </c>
      <c r="J5346" t="str">
        <f t="shared" si="341"/>
        <v/>
      </c>
      <c r="K5346" t="str">
        <f t="shared" si="339"/>
        <v>3568</v>
      </c>
      <c r="O5346" s="96">
        <f t="shared" si="340"/>
        <v>3568</v>
      </c>
    </row>
    <row r="5347" spans="3:15" x14ac:dyDescent="0.2">
      <c r="C5347" t="str">
        <f t="shared" si="337"/>
        <v>3569</v>
      </c>
      <c r="G5347" s="96">
        <f t="shared" si="338"/>
        <v>3569</v>
      </c>
      <c r="J5347" t="str">
        <f t="shared" si="341"/>
        <v/>
      </c>
      <c r="K5347" t="str">
        <f t="shared" si="339"/>
        <v>3569</v>
      </c>
      <c r="O5347" s="96">
        <f t="shared" si="340"/>
        <v>3569</v>
      </c>
    </row>
    <row r="5348" spans="3:15" x14ac:dyDescent="0.2">
      <c r="C5348" t="str">
        <f t="shared" si="337"/>
        <v>3570</v>
      </c>
      <c r="G5348" s="96">
        <f t="shared" si="338"/>
        <v>3570</v>
      </c>
      <c r="J5348" t="str">
        <f t="shared" si="341"/>
        <v/>
      </c>
      <c r="K5348" t="str">
        <f t="shared" si="339"/>
        <v>3570</v>
      </c>
      <c r="O5348" s="96">
        <f t="shared" si="340"/>
        <v>3570</v>
      </c>
    </row>
    <row r="5349" spans="3:15" x14ac:dyDescent="0.2">
      <c r="C5349" t="str">
        <f t="shared" si="337"/>
        <v>3571</v>
      </c>
      <c r="G5349" s="96">
        <f t="shared" si="338"/>
        <v>3571</v>
      </c>
      <c r="J5349" t="str">
        <f t="shared" si="341"/>
        <v/>
      </c>
      <c r="K5349" t="str">
        <f t="shared" si="339"/>
        <v>3571</v>
      </c>
      <c r="O5349" s="96">
        <f t="shared" si="340"/>
        <v>3571</v>
      </c>
    </row>
    <row r="5350" spans="3:15" x14ac:dyDescent="0.2">
      <c r="C5350" t="str">
        <f t="shared" si="337"/>
        <v>3572</v>
      </c>
      <c r="G5350" s="96">
        <f t="shared" si="338"/>
        <v>3572</v>
      </c>
      <c r="J5350" t="str">
        <f t="shared" si="341"/>
        <v/>
      </c>
      <c r="K5350" t="str">
        <f t="shared" si="339"/>
        <v>3572</v>
      </c>
      <c r="O5350" s="96">
        <f t="shared" si="340"/>
        <v>3572</v>
      </c>
    </row>
    <row r="5351" spans="3:15" x14ac:dyDescent="0.2">
      <c r="C5351" t="str">
        <f t="shared" si="337"/>
        <v>3573</v>
      </c>
      <c r="G5351" s="96">
        <f t="shared" si="338"/>
        <v>3573</v>
      </c>
      <c r="J5351" t="str">
        <f t="shared" si="341"/>
        <v/>
      </c>
      <c r="K5351" t="str">
        <f t="shared" si="339"/>
        <v>3573</v>
      </c>
      <c r="O5351" s="96">
        <f t="shared" si="340"/>
        <v>3573</v>
      </c>
    </row>
    <row r="5352" spans="3:15" x14ac:dyDescent="0.2">
      <c r="C5352" t="str">
        <f t="shared" si="337"/>
        <v>3574</v>
      </c>
      <c r="G5352" s="96">
        <f t="shared" si="338"/>
        <v>3574</v>
      </c>
      <c r="J5352" t="str">
        <f t="shared" si="341"/>
        <v/>
      </c>
      <c r="K5352" t="str">
        <f t="shared" si="339"/>
        <v>3574</v>
      </c>
      <c r="O5352" s="96">
        <f t="shared" si="340"/>
        <v>3574</v>
      </c>
    </row>
    <row r="5353" spans="3:15" x14ac:dyDescent="0.2">
      <c r="C5353" t="str">
        <f t="shared" si="337"/>
        <v>3575</v>
      </c>
      <c r="G5353" s="96">
        <f t="shared" si="338"/>
        <v>3575</v>
      </c>
      <c r="J5353" t="str">
        <f t="shared" si="341"/>
        <v/>
      </c>
      <c r="K5353" t="str">
        <f t="shared" si="339"/>
        <v>3575</v>
      </c>
      <c r="O5353" s="96">
        <f t="shared" si="340"/>
        <v>3575</v>
      </c>
    </row>
    <row r="5354" spans="3:15" x14ac:dyDescent="0.2">
      <c r="C5354" t="str">
        <f t="shared" si="337"/>
        <v>3576</v>
      </c>
      <c r="G5354" s="96">
        <f t="shared" si="338"/>
        <v>3576</v>
      </c>
      <c r="J5354" t="str">
        <f t="shared" si="341"/>
        <v/>
      </c>
      <c r="K5354" t="str">
        <f t="shared" si="339"/>
        <v>3576</v>
      </c>
      <c r="O5354" s="96">
        <f t="shared" si="340"/>
        <v>3576</v>
      </c>
    </row>
    <row r="5355" spans="3:15" x14ac:dyDescent="0.2">
      <c r="C5355" t="str">
        <f t="shared" si="337"/>
        <v>3577</v>
      </c>
      <c r="G5355" s="96">
        <f t="shared" si="338"/>
        <v>3577</v>
      </c>
      <c r="J5355" t="str">
        <f t="shared" si="341"/>
        <v/>
      </c>
      <c r="K5355" t="str">
        <f t="shared" si="339"/>
        <v>3577</v>
      </c>
      <c r="O5355" s="96">
        <f t="shared" si="340"/>
        <v>3577</v>
      </c>
    </row>
    <row r="5356" spans="3:15" x14ac:dyDescent="0.2">
      <c r="C5356" t="str">
        <f t="shared" si="337"/>
        <v>3578</v>
      </c>
      <c r="G5356" s="96">
        <f t="shared" si="338"/>
        <v>3578</v>
      </c>
      <c r="J5356" t="str">
        <f t="shared" si="341"/>
        <v/>
      </c>
      <c r="K5356" t="str">
        <f t="shared" si="339"/>
        <v>3578</v>
      </c>
      <c r="O5356" s="96">
        <f t="shared" si="340"/>
        <v>3578</v>
      </c>
    </row>
    <row r="5357" spans="3:15" x14ac:dyDescent="0.2">
      <c r="C5357" t="str">
        <f t="shared" si="337"/>
        <v>3579</v>
      </c>
      <c r="G5357" s="96">
        <f t="shared" si="338"/>
        <v>3579</v>
      </c>
      <c r="J5357" t="str">
        <f t="shared" si="341"/>
        <v/>
      </c>
      <c r="K5357" t="str">
        <f t="shared" si="339"/>
        <v>3579</v>
      </c>
      <c r="O5357" s="96">
        <f t="shared" si="340"/>
        <v>3579</v>
      </c>
    </row>
    <row r="5358" spans="3:15" x14ac:dyDescent="0.2">
      <c r="C5358" t="str">
        <f t="shared" si="337"/>
        <v>3580</v>
      </c>
      <c r="G5358" s="96">
        <f t="shared" si="338"/>
        <v>3580</v>
      </c>
      <c r="J5358" t="str">
        <f t="shared" si="341"/>
        <v/>
      </c>
      <c r="K5358" t="str">
        <f t="shared" si="339"/>
        <v>3580</v>
      </c>
      <c r="O5358" s="96">
        <f t="shared" si="340"/>
        <v>3580</v>
      </c>
    </row>
    <row r="5359" spans="3:15" x14ac:dyDescent="0.2">
      <c r="C5359" t="str">
        <f t="shared" si="337"/>
        <v>3581</v>
      </c>
      <c r="G5359" s="96">
        <f t="shared" si="338"/>
        <v>3581</v>
      </c>
      <c r="J5359" t="str">
        <f t="shared" si="341"/>
        <v/>
      </c>
      <c r="K5359" t="str">
        <f t="shared" si="339"/>
        <v>3581</v>
      </c>
      <c r="O5359" s="96">
        <f t="shared" si="340"/>
        <v>3581</v>
      </c>
    </row>
    <row r="5360" spans="3:15" x14ac:dyDescent="0.2">
      <c r="C5360" t="str">
        <f t="shared" si="337"/>
        <v>3582</v>
      </c>
      <c r="G5360" s="96">
        <f t="shared" si="338"/>
        <v>3582</v>
      </c>
      <c r="J5360" t="str">
        <f t="shared" si="341"/>
        <v/>
      </c>
      <c r="K5360" t="str">
        <f t="shared" si="339"/>
        <v>3582</v>
      </c>
      <c r="O5360" s="96">
        <f t="shared" si="340"/>
        <v>3582</v>
      </c>
    </row>
    <row r="5361" spans="3:15" x14ac:dyDescent="0.2">
      <c r="C5361" t="str">
        <f t="shared" si="337"/>
        <v>3583</v>
      </c>
      <c r="G5361" s="96">
        <f t="shared" si="338"/>
        <v>3583</v>
      </c>
      <c r="J5361" t="str">
        <f t="shared" si="341"/>
        <v/>
      </c>
      <c r="K5361" t="str">
        <f t="shared" si="339"/>
        <v>3583</v>
      </c>
      <c r="O5361" s="96">
        <f t="shared" si="340"/>
        <v>3583</v>
      </c>
    </row>
    <row r="5362" spans="3:15" x14ac:dyDescent="0.2">
      <c r="C5362" t="str">
        <f t="shared" si="337"/>
        <v>3584</v>
      </c>
      <c r="G5362" s="96">
        <f t="shared" si="338"/>
        <v>3584</v>
      </c>
      <c r="J5362" t="str">
        <f t="shared" si="341"/>
        <v/>
      </c>
      <c r="K5362" t="str">
        <f t="shared" si="339"/>
        <v>3584</v>
      </c>
      <c r="O5362" s="96">
        <f t="shared" si="340"/>
        <v>3584</v>
      </c>
    </row>
    <row r="5363" spans="3:15" x14ac:dyDescent="0.2">
      <c r="C5363" t="str">
        <f t="shared" si="337"/>
        <v>3585</v>
      </c>
      <c r="G5363" s="96">
        <f t="shared" si="338"/>
        <v>3585</v>
      </c>
      <c r="J5363" t="str">
        <f t="shared" si="341"/>
        <v/>
      </c>
      <c r="K5363" t="str">
        <f t="shared" si="339"/>
        <v>3585</v>
      </c>
      <c r="O5363" s="96">
        <f t="shared" si="340"/>
        <v>3585</v>
      </c>
    </row>
    <row r="5364" spans="3:15" x14ac:dyDescent="0.2">
      <c r="C5364" t="str">
        <f t="shared" si="337"/>
        <v>3586</v>
      </c>
      <c r="G5364" s="96">
        <f t="shared" si="338"/>
        <v>3586</v>
      </c>
      <c r="J5364" t="str">
        <f t="shared" si="341"/>
        <v/>
      </c>
      <c r="K5364" t="str">
        <f t="shared" si="339"/>
        <v>3586</v>
      </c>
      <c r="O5364" s="96">
        <f t="shared" si="340"/>
        <v>3586</v>
      </c>
    </row>
    <row r="5365" spans="3:15" x14ac:dyDescent="0.2">
      <c r="C5365" t="str">
        <f t="shared" si="337"/>
        <v>3587</v>
      </c>
      <c r="G5365" s="96">
        <f t="shared" si="338"/>
        <v>3587</v>
      </c>
      <c r="J5365" t="str">
        <f t="shared" si="341"/>
        <v/>
      </c>
      <c r="K5365" t="str">
        <f t="shared" si="339"/>
        <v>3587</v>
      </c>
      <c r="O5365" s="96">
        <f t="shared" si="340"/>
        <v>3587</v>
      </c>
    </row>
    <row r="5366" spans="3:15" x14ac:dyDescent="0.2">
      <c r="C5366" t="str">
        <f t="shared" si="337"/>
        <v>3588</v>
      </c>
      <c r="G5366" s="96">
        <f t="shared" si="338"/>
        <v>3588</v>
      </c>
      <c r="J5366" t="str">
        <f t="shared" si="341"/>
        <v/>
      </c>
      <c r="K5366" t="str">
        <f t="shared" si="339"/>
        <v>3588</v>
      </c>
      <c r="O5366" s="96">
        <f t="shared" si="340"/>
        <v>3588</v>
      </c>
    </row>
    <row r="5367" spans="3:15" x14ac:dyDescent="0.2">
      <c r="C5367" t="str">
        <f t="shared" si="337"/>
        <v>3589</v>
      </c>
      <c r="G5367" s="96">
        <f t="shared" si="338"/>
        <v>3589</v>
      </c>
      <c r="J5367" t="str">
        <f t="shared" si="341"/>
        <v/>
      </c>
      <c r="K5367" t="str">
        <f t="shared" si="339"/>
        <v>3589</v>
      </c>
      <c r="O5367" s="96">
        <f t="shared" si="340"/>
        <v>3589</v>
      </c>
    </row>
    <row r="5368" spans="3:15" x14ac:dyDescent="0.2">
      <c r="C5368" t="str">
        <f t="shared" si="337"/>
        <v>3590</v>
      </c>
      <c r="G5368" s="96">
        <f t="shared" si="338"/>
        <v>3590</v>
      </c>
      <c r="J5368" t="str">
        <f t="shared" si="341"/>
        <v/>
      </c>
      <c r="K5368" t="str">
        <f t="shared" si="339"/>
        <v>3590</v>
      </c>
      <c r="O5368" s="96">
        <f t="shared" si="340"/>
        <v>3590</v>
      </c>
    </row>
    <row r="5369" spans="3:15" x14ac:dyDescent="0.2">
      <c r="C5369" t="str">
        <f t="shared" si="337"/>
        <v>3591</v>
      </c>
      <c r="G5369" s="96">
        <f t="shared" si="338"/>
        <v>3591</v>
      </c>
      <c r="J5369" t="str">
        <f t="shared" si="341"/>
        <v/>
      </c>
      <c r="K5369" t="str">
        <f t="shared" si="339"/>
        <v>3591</v>
      </c>
      <c r="O5369" s="96">
        <f t="shared" si="340"/>
        <v>3591</v>
      </c>
    </row>
    <row r="5370" spans="3:15" x14ac:dyDescent="0.2">
      <c r="C5370" t="str">
        <f t="shared" si="337"/>
        <v>3592</v>
      </c>
      <c r="G5370" s="96">
        <f t="shared" si="338"/>
        <v>3592</v>
      </c>
      <c r="J5370" t="str">
        <f t="shared" si="341"/>
        <v/>
      </c>
      <c r="K5370" t="str">
        <f t="shared" si="339"/>
        <v>3592</v>
      </c>
      <c r="O5370" s="96">
        <f t="shared" si="340"/>
        <v>3592</v>
      </c>
    </row>
    <row r="5371" spans="3:15" x14ac:dyDescent="0.2">
      <c r="C5371" t="str">
        <f t="shared" si="337"/>
        <v>3593</v>
      </c>
      <c r="G5371" s="96">
        <f t="shared" si="338"/>
        <v>3593</v>
      </c>
      <c r="J5371" t="str">
        <f t="shared" si="341"/>
        <v/>
      </c>
      <c r="K5371" t="str">
        <f t="shared" si="339"/>
        <v>3593</v>
      </c>
      <c r="O5371" s="96">
        <f t="shared" si="340"/>
        <v>3593</v>
      </c>
    </row>
    <row r="5372" spans="3:15" x14ac:dyDescent="0.2">
      <c r="C5372" t="str">
        <f t="shared" si="337"/>
        <v>3594</v>
      </c>
      <c r="G5372" s="96">
        <f t="shared" si="338"/>
        <v>3594</v>
      </c>
      <c r="J5372" t="str">
        <f t="shared" si="341"/>
        <v/>
      </c>
      <c r="K5372" t="str">
        <f t="shared" si="339"/>
        <v>3594</v>
      </c>
      <c r="O5372" s="96">
        <f t="shared" si="340"/>
        <v>3594</v>
      </c>
    </row>
    <row r="5373" spans="3:15" x14ac:dyDescent="0.2">
      <c r="C5373" t="str">
        <f t="shared" si="337"/>
        <v>3595</v>
      </c>
      <c r="G5373" s="96">
        <f t="shared" si="338"/>
        <v>3595</v>
      </c>
      <c r="J5373" t="str">
        <f t="shared" si="341"/>
        <v/>
      </c>
      <c r="K5373" t="str">
        <f t="shared" si="339"/>
        <v>3595</v>
      </c>
      <c r="O5373" s="96">
        <f t="shared" si="340"/>
        <v>3595</v>
      </c>
    </row>
    <row r="5374" spans="3:15" x14ac:dyDescent="0.2">
      <c r="C5374" t="str">
        <f t="shared" si="337"/>
        <v>3596</v>
      </c>
      <c r="G5374" s="96">
        <f t="shared" si="338"/>
        <v>3596</v>
      </c>
      <c r="J5374" t="str">
        <f t="shared" si="341"/>
        <v/>
      </c>
      <c r="K5374" t="str">
        <f t="shared" si="339"/>
        <v>3596</v>
      </c>
      <c r="O5374" s="96">
        <f t="shared" si="340"/>
        <v>3596</v>
      </c>
    </row>
    <row r="5375" spans="3:15" x14ac:dyDescent="0.2">
      <c r="C5375" t="str">
        <f t="shared" si="337"/>
        <v>3597</v>
      </c>
      <c r="G5375" s="96">
        <f t="shared" si="338"/>
        <v>3597</v>
      </c>
      <c r="J5375" t="str">
        <f t="shared" si="341"/>
        <v/>
      </c>
      <c r="K5375" t="str">
        <f t="shared" si="339"/>
        <v>3597</v>
      </c>
      <c r="O5375" s="96">
        <f t="shared" si="340"/>
        <v>3597</v>
      </c>
    </row>
    <row r="5376" spans="3:15" x14ac:dyDescent="0.2">
      <c r="C5376" t="str">
        <f t="shared" si="337"/>
        <v>3598</v>
      </c>
      <c r="G5376" s="96">
        <f t="shared" si="338"/>
        <v>3598</v>
      </c>
      <c r="J5376" t="str">
        <f t="shared" si="341"/>
        <v/>
      </c>
      <c r="K5376" t="str">
        <f t="shared" si="339"/>
        <v>3598</v>
      </c>
      <c r="O5376" s="96">
        <f t="shared" si="340"/>
        <v>3598</v>
      </c>
    </row>
    <row r="5377" spans="3:15" x14ac:dyDescent="0.2">
      <c r="C5377" t="str">
        <f t="shared" si="337"/>
        <v>3599</v>
      </c>
      <c r="G5377" s="96">
        <f t="shared" si="338"/>
        <v>3599</v>
      </c>
      <c r="J5377" t="str">
        <f t="shared" si="341"/>
        <v/>
      </c>
      <c r="K5377" t="str">
        <f t="shared" si="339"/>
        <v>3599</v>
      </c>
      <c r="O5377" s="96">
        <f t="shared" si="340"/>
        <v>3599</v>
      </c>
    </row>
    <row r="5378" spans="3:15" x14ac:dyDescent="0.2">
      <c r="C5378" t="str">
        <f t="shared" si="337"/>
        <v>3600</v>
      </c>
      <c r="G5378" s="96">
        <f t="shared" si="338"/>
        <v>3600</v>
      </c>
      <c r="J5378" t="str">
        <f t="shared" si="341"/>
        <v/>
      </c>
      <c r="K5378" t="str">
        <f t="shared" si="339"/>
        <v>3600</v>
      </c>
      <c r="O5378" s="96">
        <f t="shared" si="340"/>
        <v>3600</v>
      </c>
    </row>
    <row r="5379" spans="3:15" x14ac:dyDescent="0.2">
      <c r="C5379" t="str">
        <f t="shared" ref="C5379:C5442" si="342">D5379&amp;G5379</f>
        <v>3601</v>
      </c>
      <c r="G5379" s="96">
        <f t="shared" ref="G5379:G5442" si="343">IF(D5379&lt;&gt;D5378,1,G5378+1)</f>
        <v>3601</v>
      </c>
      <c r="J5379" t="str">
        <f t="shared" si="341"/>
        <v/>
      </c>
      <c r="K5379" t="str">
        <f t="shared" ref="K5379:K5442" si="344">L5379&amp;O5379</f>
        <v>3601</v>
      </c>
      <c r="O5379" s="96">
        <f t="shared" ref="O5379:O5442" si="345">IF(L5379&lt;&gt;L5378,1,O5378+1)</f>
        <v>3601</v>
      </c>
    </row>
    <row r="5380" spans="3:15" x14ac:dyDescent="0.2">
      <c r="C5380" t="str">
        <f t="shared" si="342"/>
        <v>3602</v>
      </c>
      <c r="G5380" s="96">
        <f t="shared" si="343"/>
        <v>3602</v>
      </c>
      <c r="J5380" t="str">
        <f t="shared" si="341"/>
        <v/>
      </c>
      <c r="K5380" t="str">
        <f t="shared" si="344"/>
        <v>3602</v>
      </c>
      <c r="O5380" s="96">
        <f t="shared" si="345"/>
        <v>3602</v>
      </c>
    </row>
    <row r="5381" spans="3:15" x14ac:dyDescent="0.2">
      <c r="C5381" t="str">
        <f t="shared" si="342"/>
        <v>3603</v>
      </c>
      <c r="G5381" s="96">
        <f t="shared" si="343"/>
        <v>3603</v>
      </c>
      <c r="J5381" t="str">
        <f t="shared" si="341"/>
        <v/>
      </c>
      <c r="K5381" t="str">
        <f t="shared" si="344"/>
        <v>3603</v>
      </c>
      <c r="O5381" s="96">
        <f t="shared" si="345"/>
        <v>3603</v>
      </c>
    </row>
    <row r="5382" spans="3:15" x14ac:dyDescent="0.2">
      <c r="C5382" t="str">
        <f t="shared" si="342"/>
        <v>3604</v>
      </c>
      <c r="G5382" s="96">
        <f t="shared" si="343"/>
        <v>3604</v>
      </c>
      <c r="J5382" t="str">
        <f t="shared" si="341"/>
        <v/>
      </c>
      <c r="K5382" t="str">
        <f t="shared" si="344"/>
        <v>3604</v>
      </c>
      <c r="O5382" s="96">
        <f t="shared" si="345"/>
        <v>3604</v>
      </c>
    </row>
    <row r="5383" spans="3:15" x14ac:dyDescent="0.2">
      <c r="C5383" t="str">
        <f t="shared" si="342"/>
        <v>3605</v>
      </c>
      <c r="G5383" s="96">
        <f t="shared" si="343"/>
        <v>3605</v>
      </c>
      <c r="J5383" t="str">
        <f t="shared" si="341"/>
        <v/>
      </c>
      <c r="K5383" t="str">
        <f t="shared" si="344"/>
        <v>3605</v>
      </c>
      <c r="O5383" s="96">
        <f t="shared" si="345"/>
        <v>3605</v>
      </c>
    </row>
    <row r="5384" spans="3:15" x14ac:dyDescent="0.2">
      <c r="C5384" t="str">
        <f t="shared" si="342"/>
        <v>3606</v>
      </c>
      <c r="G5384" s="96">
        <f t="shared" si="343"/>
        <v>3606</v>
      </c>
      <c r="J5384" t="str">
        <f t="shared" si="341"/>
        <v/>
      </c>
      <c r="K5384" t="str">
        <f t="shared" si="344"/>
        <v>3606</v>
      </c>
      <c r="O5384" s="96">
        <f t="shared" si="345"/>
        <v>3606</v>
      </c>
    </row>
    <row r="5385" spans="3:15" x14ac:dyDescent="0.2">
      <c r="C5385" t="str">
        <f t="shared" si="342"/>
        <v>3607</v>
      </c>
      <c r="G5385" s="96">
        <f t="shared" si="343"/>
        <v>3607</v>
      </c>
      <c r="J5385" t="str">
        <f t="shared" si="341"/>
        <v/>
      </c>
      <c r="K5385" t="str">
        <f t="shared" si="344"/>
        <v>3607</v>
      </c>
      <c r="O5385" s="96">
        <f t="shared" si="345"/>
        <v>3607</v>
      </c>
    </row>
    <row r="5386" spans="3:15" x14ac:dyDescent="0.2">
      <c r="C5386" t="str">
        <f t="shared" si="342"/>
        <v>3608</v>
      </c>
      <c r="G5386" s="96">
        <f t="shared" si="343"/>
        <v>3608</v>
      </c>
      <c r="J5386" t="str">
        <f t="shared" ref="J5386:J5449" si="346">L5386&amp;M5386</f>
        <v/>
      </c>
      <c r="K5386" t="str">
        <f t="shared" si="344"/>
        <v>3608</v>
      </c>
      <c r="O5386" s="96">
        <f t="shared" si="345"/>
        <v>3608</v>
      </c>
    </row>
    <row r="5387" spans="3:15" x14ac:dyDescent="0.2">
      <c r="C5387" t="str">
        <f t="shared" si="342"/>
        <v>3609</v>
      </c>
      <c r="G5387" s="96">
        <f t="shared" si="343"/>
        <v>3609</v>
      </c>
      <c r="J5387" t="str">
        <f t="shared" si="346"/>
        <v/>
      </c>
      <c r="K5387" t="str">
        <f t="shared" si="344"/>
        <v>3609</v>
      </c>
      <c r="O5387" s="96">
        <f t="shared" si="345"/>
        <v>3609</v>
      </c>
    </row>
    <row r="5388" spans="3:15" x14ac:dyDescent="0.2">
      <c r="C5388" t="str">
        <f t="shared" si="342"/>
        <v>3610</v>
      </c>
      <c r="G5388" s="96">
        <f t="shared" si="343"/>
        <v>3610</v>
      </c>
      <c r="J5388" t="str">
        <f t="shared" si="346"/>
        <v/>
      </c>
      <c r="K5388" t="str">
        <f t="shared" si="344"/>
        <v>3610</v>
      </c>
      <c r="O5388" s="96">
        <f t="shared" si="345"/>
        <v>3610</v>
      </c>
    </row>
    <row r="5389" spans="3:15" x14ac:dyDescent="0.2">
      <c r="C5389" t="str">
        <f t="shared" si="342"/>
        <v>3611</v>
      </c>
      <c r="G5389" s="96">
        <f t="shared" si="343"/>
        <v>3611</v>
      </c>
      <c r="J5389" t="str">
        <f t="shared" si="346"/>
        <v/>
      </c>
      <c r="K5389" t="str">
        <f t="shared" si="344"/>
        <v>3611</v>
      </c>
      <c r="O5389" s="96">
        <f t="shared" si="345"/>
        <v>3611</v>
      </c>
    </row>
    <row r="5390" spans="3:15" x14ac:dyDescent="0.2">
      <c r="C5390" t="str">
        <f t="shared" si="342"/>
        <v>3612</v>
      </c>
      <c r="G5390" s="96">
        <f t="shared" si="343"/>
        <v>3612</v>
      </c>
      <c r="J5390" t="str">
        <f t="shared" si="346"/>
        <v/>
      </c>
      <c r="K5390" t="str">
        <f t="shared" si="344"/>
        <v>3612</v>
      </c>
      <c r="O5390" s="96">
        <f t="shared" si="345"/>
        <v>3612</v>
      </c>
    </row>
    <row r="5391" spans="3:15" x14ac:dyDescent="0.2">
      <c r="C5391" t="str">
        <f t="shared" si="342"/>
        <v>3613</v>
      </c>
      <c r="G5391" s="96">
        <f t="shared" si="343"/>
        <v>3613</v>
      </c>
      <c r="J5391" t="str">
        <f t="shared" si="346"/>
        <v/>
      </c>
      <c r="K5391" t="str">
        <f t="shared" si="344"/>
        <v>3613</v>
      </c>
      <c r="O5391" s="96">
        <f t="shared" si="345"/>
        <v>3613</v>
      </c>
    </row>
    <row r="5392" spans="3:15" x14ac:dyDescent="0.2">
      <c r="C5392" t="str">
        <f t="shared" si="342"/>
        <v>3614</v>
      </c>
      <c r="G5392" s="96">
        <f t="shared" si="343"/>
        <v>3614</v>
      </c>
      <c r="J5392" t="str">
        <f t="shared" si="346"/>
        <v/>
      </c>
      <c r="K5392" t="str">
        <f t="shared" si="344"/>
        <v>3614</v>
      </c>
      <c r="O5392" s="96">
        <f t="shared" si="345"/>
        <v>3614</v>
      </c>
    </row>
    <row r="5393" spans="3:15" x14ac:dyDescent="0.2">
      <c r="C5393" t="str">
        <f t="shared" si="342"/>
        <v>3615</v>
      </c>
      <c r="G5393" s="96">
        <f t="shared" si="343"/>
        <v>3615</v>
      </c>
      <c r="J5393" t="str">
        <f t="shared" si="346"/>
        <v/>
      </c>
      <c r="K5393" t="str">
        <f t="shared" si="344"/>
        <v>3615</v>
      </c>
      <c r="O5393" s="96">
        <f t="shared" si="345"/>
        <v>3615</v>
      </c>
    </row>
    <row r="5394" spans="3:15" x14ac:dyDescent="0.2">
      <c r="C5394" t="str">
        <f t="shared" si="342"/>
        <v>3616</v>
      </c>
      <c r="G5394" s="96">
        <f t="shared" si="343"/>
        <v>3616</v>
      </c>
      <c r="J5394" t="str">
        <f t="shared" si="346"/>
        <v/>
      </c>
      <c r="K5394" t="str">
        <f t="shared" si="344"/>
        <v>3616</v>
      </c>
      <c r="O5394" s="96">
        <f t="shared" si="345"/>
        <v>3616</v>
      </c>
    </row>
    <row r="5395" spans="3:15" x14ac:dyDescent="0.2">
      <c r="C5395" t="str">
        <f t="shared" si="342"/>
        <v>3617</v>
      </c>
      <c r="G5395" s="96">
        <f t="shared" si="343"/>
        <v>3617</v>
      </c>
      <c r="J5395" t="str">
        <f t="shared" si="346"/>
        <v/>
      </c>
      <c r="K5395" t="str">
        <f t="shared" si="344"/>
        <v>3617</v>
      </c>
      <c r="O5395" s="96">
        <f t="shared" si="345"/>
        <v>3617</v>
      </c>
    </row>
    <row r="5396" spans="3:15" x14ac:dyDescent="0.2">
      <c r="C5396" t="str">
        <f t="shared" si="342"/>
        <v>3618</v>
      </c>
      <c r="G5396" s="96">
        <f t="shared" si="343"/>
        <v>3618</v>
      </c>
      <c r="J5396" t="str">
        <f t="shared" si="346"/>
        <v/>
      </c>
      <c r="K5396" t="str">
        <f t="shared" si="344"/>
        <v>3618</v>
      </c>
      <c r="O5396" s="96">
        <f t="shared" si="345"/>
        <v>3618</v>
      </c>
    </row>
    <row r="5397" spans="3:15" x14ac:dyDescent="0.2">
      <c r="C5397" t="str">
        <f t="shared" si="342"/>
        <v>3619</v>
      </c>
      <c r="G5397" s="96">
        <f t="shared" si="343"/>
        <v>3619</v>
      </c>
      <c r="J5397" t="str">
        <f t="shared" si="346"/>
        <v/>
      </c>
      <c r="K5397" t="str">
        <f t="shared" si="344"/>
        <v>3619</v>
      </c>
      <c r="O5397" s="96">
        <f t="shared" si="345"/>
        <v>3619</v>
      </c>
    </row>
    <row r="5398" spans="3:15" x14ac:dyDescent="0.2">
      <c r="C5398" t="str">
        <f t="shared" si="342"/>
        <v>3620</v>
      </c>
      <c r="G5398" s="96">
        <f t="shared" si="343"/>
        <v>3620</v>
      </c>
      <c r="J5398" t="str">
        <f t="shared" si="346"/>
        <v/>
      </c>
      <c r="K5398" t="str">
        <f t="shared" si="344"/>
        <v>3620</v>
      </c>
      <c r="O5398" s="96">
        <f t="shared" si="345"/>
        <v>3620</v>
      </c>
    </row>
    <row r="5399" spans="3:15" x14ac:dyDescent="0.2">
      <c r="C5399" t="str">
        <f t="shared" si="342"/>
        <v>3621</v>
      </c>
      <c r="G5399" s="96">
        <f t="shared" si="343"/>
        <v>3621</v>
      </c>
      <c r="J5399" t="str">
        <f t="shared" si="346"/>
        <v/>
      </c>
      <c r="K5399" t="str">
        <f t="shared" si="344"/>
        <v>3621</v>
      </c>
      <c r="O5399" s="96">
        <f t="shared" si="345"/>
        <v>3621</v>
      </c>
    </row>
    <row r="5400" spans="3:15" x14ac:dyDescent="0.2">
      <c r="C5400" t="str">
        <f t="shared" si="342"/>
        <v>3622</v>
      </c>
      <c r="G5400" s="96">
        <f t="shared" si="343"/>
        <v>3622</v>
      </c>
      <c r="J5400" t="str">
        <f t="shared" si="346"/>
        <v/>
      </c>
      <c r="K5400" t="str">
        <f t="shared" si="344"/>
        <v>3622</v>
      </c>
      <c r="O5400" s="96">
        <f t="shared" si="345"/>
        <v>3622</v>
      </c>
    </row>
    <row r="5401" spans="3:15" x14ac:dyDescent="0.2">
      <c r="C5401" t="str">
        <f t="shared" si="342"/>
        <v>3623</v>
      </c>
      <c r="G5401" s="96">
        <f t="shared" si="343"/>
        <v>3623</v>
      </c>
      <c r="J5401" t="str">
        <f t="shared" si="346"/>
        <v/>
      </c>
      <c r="K5401" t="str">
        <f t="shared" si="344"/>
        <v>3623</v>
      </c>
      <c r="O5401" s="96">
        <f t="shared" si="345"/>
        <v>3623</v>
      </c>
    </row>
    <row r="5402" spans="3:15" x14ac:dyDescent="0.2">
      <c r="C5402" t="str">
        <f t="shared" si="342"/>
        <v>3624</v>
      </c>
      <c r="G5402" s="96">
        <f t="shared" si="343"/>
        <v>3624</v>
      </c>
      <c r="J5402" t="str">
        <f t="shared" si="346"/>
        <v/>
      </c>
      <c r="K5402" t="str">
        <f t="shared" si="344"/>
        <v>3624</v>
      </c>
      <c r="O5402" s="96">
        <f t="shared" si="345"/>
        <v>3624</v>
      </c>
    </row>
    <row r="5403" spans="3:15" x14ac:dyDescent="0.2">
      <c r="C5403" t="str">
        <f t="shared" si="342"/>
        <v>3625</v>
      </c>
      <c r="G5403" s="96">
        <f t="shared" si="343"/>
        <v>3625</v>
      </c>
      <c r="J5403" t="str">
        <f t="shared" si="346"/>
        <v/>
      </c>
      <c r="K5403" t="str">
        <f t="shared" si="344"/>
        <v>3625</v>
      </c>
      <c r="O5403" s="96">
        <f t="shared" si="345"/>
        <v>3625</v>
      </c>
    </row>
    <row r="5404" spans="3:15" x14ac:dyDescent="0.2">
      <c r="C5404" t="str">
        <f t="shared" si="342"/>
        <v>3626</v>
      </c>
      <c r="G5404" s="96">
        <f t="shared" si="343"/>
        <v>3626</v>
      </c>
      <c r="J5404" t="str">
        <f t="shared" si="346"/>
        <v/>
      </c>
      <c r="K5404" t="str">
        <f t="shared" si="344"/>
        <v>3626</v>
      </c>
      <c r="O5404" s="96">
        <f t="shared" si="345"/>
        <v>3626</v>
      </c>
    </row>
    <row r="5405" spans="3:15" x14ac:dyDescent="0.2">
      <c r="C5405" t="str">
        <f t="shared" si="342"/>
        <v>3627</v>
      </c>
      <c r="G5405" s="96">
        <f t="shared" si="343"/>
        <v>3627</v>
      </c>
      <c r="J5405" t="str">
        <f t="shared" si="346"/>
        <v/>
      </c>
      <c r="K5405" t="str">
        <f t="shared" si="344"/>
        <v>3627</v>
      </c>
      <c r="O5405" s="96">
        <f t="shared" si="345"/>
        <v>3627</v>
      </c>
    </row>
    <row r="5406" spans="3:15" x14ac:dyDescent="0.2">
      <c r="C5406" t="str">
        <f t="shared" si="342"/>
        <v>3628</v>
      </c>
      <c r="G5406" s="96">
        <f t="shared" si="343"/>
        <v>3628</v>
      </c>
      <c r="J5406" t="str">
        <f t="shared" si="346"/>
        <v/>
      </c>
      <c r="K5406" t="str">
        <f t="shared" si="344"/>
        <v>3628</v>
      </c>
      <c r="O5406" s="96">
        <f t="shared" si="345"/>
        <v>3628</v>
      </c>
    </row>
    <row r="5407" spans="3:15" x14ac:dyDescent="0.2">
      <c r="C5407" t="str">
        <f t="shared" si="342"/>
        <v>3629</v>
      </c>
      <c r="G5407" s="96">
        <f t="shared" si="343"/>
        <v>3629</v>
      </c>
      <c r="J5407" t="str">
        <f t="shared" si="346"/>
        <v/>
      </c>
      <c r="K5407" t="str">
        <f t="shared" si="344"/>
        <v>3629</v>
      </c>
      <c r="O5407" s="96">
        <f t="shared" si="345"/>
        <v>3629</v>
      </c>
    </row>
    <row r="5408" spans="3:15" x14ac:dyDescent="0.2">
      <c r="C5408" t="str">
        <f t="shared" si="342"/>
        <v>3630</v>
      </c>
      <c r="G5408" s="96">
        <f t="shared" si="343"/>
        <v>3630</v>
      </c>
      <c r="J5408" t="str">
        <f t="shared" si="346"/>
        <v/>
      </c>
      <c r="K5408" t="str">
        <f t="shared" si="344"/>
        <v>3630</v>
      </c>
      <c r="O5408" s="96">
        <f t="shared" si="345"/>
        <v>3630</v>
      </c>
    </row>
    <row r="5409" spans="3:15" x14ac:dyDescent="0.2">
      <c r="C5409" t="str">
        <f t="shared" si="342"/>
        <v>3631</v>
      </c>
      <c r="G5409" s="96">
        <f t="shared" si="343"/>
        <v>3631</v>
      </c>
      <c r="J5409" t="str">
        <f t="shared" si="346"/>
        <v/>
      </c>
      <c r="K5409" t="str">
        <f t="shared" si="344"/>
        <v>3631</v>
      </c>
      <c r="O5409" s="96">
        <f t="shared" si="345"/>
        <v>3631</v>
      </c>
    </row>
    <row r="5410" spans="3:15" x14ac:dyDescent="0.2">
      <c r="C5410" t="str">
        <f t="shared" si="342"/>
        <v>3632</v>
      </c>
      <c r="G5410" s="96">
        <f t="shared" si="343"/>
        <v>3632</v>
      </c>
      <c r="J5410" t="str">
        <f t="shared" si="346"/>
        <v/>
      </c>
      <c r="K5410" t="str">
        <f t="shared" si="344"/>
        <v>3632</v>
      </c>
      <c r="O5410" s="96">
        <f t="shared" si="345"/>
        <v>3632</v>
      </c>
    </row>
    <row r="5411" spans="3:15" x14ac:dyDescent="0.2">
      <c r="C5411" t="str">
        <f t="shared" si="342"/>
        <v>3633</v>
      </c>
      <c r="G5411" s="96">
        <f t="shared" si="343"/>
        <v>3633</v>
      </c>
      <c r="J5411" t="str">
        <f t="shared" si="346"/>
        <v/>
      </c>
      <c r="K5411" t="str">
        <f t="shared" si="344"/>
        <v>3633</v>
      </c>
      <c r="O5411" s="96">
        <f t="shared" si="345"/>
        <v>3633</v>
      </c>
    </row>
    <row r="5412" spans="3:15" x14ac:dyDescent="0.2">
      <c r="C5412" t="str">
        <f t="shared" si="342"/>
        <v>3634</v>
      </c>
      <c r="G5412" s="96">
        <f t="shared" si="343"/>
        <v>3634</v>
      </c>
      <c r="J5412" t="str">
        <f t="shared" si="346"/>
        <v/>
      </c>
      <c r="K5412" t="str">
        <f t="shared" si="344"/>
        <v>3634</v>
      </c>
      <c r="O5412" s="96">
        <f t="shared" si="345"/>
        <v>3634</v>
      </c>
    </row>
    <row r="5413" spans="3:15" x14ac:dyDescent="0.2">
      <c r="C5413" t="str">
        <f t="shared" si="342"/>
        <v>3635</v>
      </c>
      <c r="G5413" s="96">
        <f t="shared" si="343"/>
        <v>3635</v>
      </c>
      <c r="J5413" t="str">
        <f t="shared" si="346"/>
        <v/>
      </c>
      <c r="K5413" t="str">
        <f t="shared" si="344"/>
        <v>3635</v>
      </c>
      <c r="O5413" s="96">
        <f t="shared" si="345"/>
        <v>3635</v>
      </c>
    </row>
    <row r="5414" spans="3:15" x14ac:dyDescent="0.2">
      <c r="C5414" t="str">
        <f t="shared" si="342"/>
        <v>3636</v>
      </c>
      <c r="G5414" s="96">
        <f t="shared" si="343"/>
        <v>3636</v>
      </c>
      <c r="J5414" t="str">
        <f t="shared" si="346"/>
        <v/>
      </c>
      <c r="K5414" t="str">
        <f t="shared" si="344"/>
        <v>3636</v>
      </c>
      <c r="O5414" s="96">
        <f t="shared" si="345"/>
        <v>3636</v>
      </c>
    </row>
    <row r="5415" spans="3:15" x14ac:dyDescent="0.2">
      <c r="C5415" t="str">
        <f t="shared" si="342"/>
        <v>3637</v>
      </c>
      <c r="G5415" s="96">
        <f t="shared" si="343"/>
        <v>3637</v>
      </c>
      <c r="J5415" t="str">
        <f t="shared" si="346"/>
        <v/>
      </c>
      <c r="K5415" t="str">
        <f t="shared" si="344"/>
        <v>3637</v>
      </c>
      <c r="O5415" s="96">
        <f t="shared" si="345"/>
        <v>3637</v>
      </c>
    </row>
    <row r="5416" spans="3:15" x14ac:dyDescent="0.2">
      <c r="C5416" t="str">
        <f t="shared" si="342"/>
        <v>3638</v>
      </c>
      <c r="G5416" s="96">
        <f t="shared" si="343"/>
        <v>3638</v>
      </c>
      <c r="J5416" t="str">
        <f t="shared" si="346"/>
        <v/>
      </c>
      <c r="K5416" t="str">
        <f t="shared" si="344"/>
        <v>3638</v>
      </c>
      <c r="O5416" s="96">
        <f t="shared" si="345"/>
        <v>3638</v>
      </c>
    </row>
    <row r="5417" spans="3:15" x14ac:dyDescent="0.2">
      <c r="C5417" t="str">
        <f t="shared" si="342"/>
        <v>3639</v>
      </c>
      <c r="G5417" s="96">
        <f t="shared" si="343"/>
        <v>3639</v>
      </c>
      <c r="J5417" t="str">
        <f t="shared" si="346"/>
        <v/>
      </c>
      <c r="K5417" t="str">
        <f t="shared" si="344"/>
        <v>3639</v>
      </c>
      <c r="O5417" s="96">
        <f t="shared" si="345"/>
        <v>3639</v>
      </c>
    </row>
    <row r="5418" spans="3:15" x14ac:dyDescent="0.2">
      <c r="C5418" t="str">
        <f t="shared" si="342"/>
        <v>3640</v>
      </c>
      <c r="G5418" s="96">
        <f t="shared" si="343"/>
        <v>3640</v>
      </c>
      <c r="J5418" t="str">
        <f t="shared" si="346"/>
        <v/>
      </c>
      <c r="K5418" t="str">
        <f t="shared" si="344"/>
        <v>3640</v>
      </c>
      <c r="O5418" s="96">
        <f t="shared" si="345"/>
        <v>3640</v>
      </c>
    </row>
    <row r="5419" spans="3:15" x14ac:dyDescent="0.2">
      <c r="C5419" t="str">
        <f t="shared" si="342"/>
        <v>3641</v>
      </c>
      <c r="G5419" s="96">
        <f t="shared" si="343"/>
        <v>3641</v>
      </c>
      <c r="J5419" t="str">
        <f t="shared" si="346"/>
        <v/>
      </c>
      <c r="K5419" t="str">
        <f t="shared" si="344"/>
        <v>3641</v>
      </c>
      <c r="O5419" s="96">
        <f t="shared" si="345"/>
        <v>3641</v>
      </c>
    </row>
    <row r="5420" spans="3:15" x14ac:dyDescent="0.2">
      <c r="C5420" t="str">
        <f t="shared" si="342"/>
        <v>3642</v>
      </c>
      <c r="G5420" s="96">
        <f t="shared" si="343"/>
        <v>3642</v>
      </c>
      <c r="J5420" t="str">
        <f t="shared" si="346"/>
        <v/>
      </c>
      <c r="K5420" t="str">
        <f t="shared" si="344"/>
        <v>3642</v>
      </c>
      <c r="O5420" s="96">
        <f t="shared" si="345"/>
        <v>3642</v>
      </c>
    </row>
    <row r="5421" spans="3:15" x14ac:dyDescent="0.2">
      <c r="C5421" t="str">
        <f t="shared" si="342"/>
        <v>3643</v>
      </c>
      <c r="G5421" s="96">
        <f t="shared" si="343"/>
        <v>3643</v>
      </c>
      <c r="J5421" t="str">
        <f t="shared" si="346"/>
        <v/>
      </c>
      <c r="K5421" t="str">
        <f t="shared" si="344"/>
        <v>3643</v>
      </c>
      <c r="O5421" s="96">
        <f t="shared" si="345"/>
        <v>3643</v>
      </c>
    </row>
    <row r="5422" spans="3:15" x14ac:dyDescent="0.2">
      <c r="C5422" t="str">
        <f t="shared" si="342"/>
        <v>3644</v>
      </c>
      <c r="G5422" s="96">
        <f t="shared" si="343"/>
        <v>3644</v>
      </c>
      <c r="J5422" t="str">
        <f t="shared" si="346"/>
        <v/>
      </c>
      <c r="K5422" t="str">
        <f t="shared" si="344"/>
        <v>3644</v>
      </c>
      <c r="O5422" s="96">
        <f t="shared" si="345"/>
        <v>3644</v>
      </c>
    </row>
    <row r="5423" spans="3:15" x14ac:dyDescent="0.2">
      <c r="C5423" t="str">
        <f t="shared" si="342"/>
        <v>3645</v>
      </c>
      <c r="G5423" s="96">
        <f t="shared" si="343"/>
        <v>3645</v>
      </c>
      <c r="J5423" t="str">
        <f t="shared" si="346"/>
        <v/>
      </c>
      <c r="K5423" t="str">
        <f t="shared" si="344"/>
        <v>3645</v>
      </c>
      <c r="O5423" s="96">
        <f t="shared" si="345"/>
        <v>3645</v>
      </c>
    </row>
    <row r="5424" spans="3:15" x14ac:dyDescent="0.2">
      <c r="C5424" t="str">
        <f t="shared" si="342"/>
        <v>3646</v>
      </c>
      <c r="G5424" s="96">
        <f t="shared" si="343"/>
        <v>3646</v>
      </c>
      <c r="J5424" t="str">
        <f t="shared" si="346"/>
        <v/>
      </c>
      <c r="K5424" t="str">
        <f t="shared" si="344"/>
        <v>3646</v>
      </c>
      <c r="O5424" s="96">
        <f t="shared" si="345"/>
        <v>3646</v>
      </c>
    </row>
    <row r="5425" spans="3:15" x14ac:dyDescent="0.2">
      <c r="C5425" t="str">
        <f t="shared" si="342"/>
        <v>3647</v>
      </c>
      <c r="G5425" s="96">
        <f t="shared" si="343"/>
        <v>3647</v>
      </c>
      <c r="J5425" t="str">
        <f t="shared" si="346"/>
        <v/>
      </c>
      <c r="K5425" t="str">
        <f t="shared" si="344"/>
        <v>3647</v>
      </c>
      <c r="O5425" s="96">
        <f t="shared" si="345"/>
        <v>3647</v>
      </c>
    </row>
    <row r="5426" spans="3:15" x14ac:dyDescent="0.2">
      <c r="C5426" t="str">
        <f t="shared" si="342"/>
        <v>3648</v>
      </c>
      <c r="G5426" s="96">
        <f t="shared" si="343"/>
        <v>3648</v>
      </c>
      <c r="J5426" t="str">
        <f t="shared" si="346"/>
        <v/>
      </c>
      <c r="K5426" t="str">
        <f t="shared" si="344"/>
        <v>3648</v>
      </c>
      <c r="O5426" s="96">
        <f t="shared" si="345"/>
        <v>3648</v>
      </c>
    </row>
    <row r="5427" spans="3:15" x14ac:dyDescent="0.2">
      <c r="C5427" t="str">
        <f t="shared" si="342"/>
        <v>3649</v>
      </c>
      <c r="G5427" s="96">
        <f t="shared" si="343"/>
        <v>3649</v>
      </c>
      <c r="J5427" t="str">
        <f t="shared" si="346"/>
        <v/>
      </c>
      <c r="K5427" t="str">
        <f t="shared" si="344"/>
        <v>3649</v>
      </c>
      <c r="O5427" s="96">
        <f t="shared" si="345"/>
        <v>3649</v>
      </c>
    </row>
    <row r="5428" spans="3:15" x14ac:dyDescent="0.2">
      <c r="C5428" t="str">
        <f t="shared" si="342"/>
        <v>3650</v>
      </c>
      <c r="G5428" s="96">
        <f t="shared" si="343"/>
        <v>3650</v>
      </c>
      <c r="J5428" t="str">
        <f t="shared" si="346"/>
        <v/>
      </c>
      <c r="K5428" t="str">
        <f t="shared" si="344"/>
        <v>3650</v>
      </c>
      <c r="O5428" s="96">
        <f t="shared" si="345"/>
        <v>3650</v>
      </c>
    </row>
    <row r="5429" spans="3:15" x14ac:dyDescent="0.2">
      <c r="C5429" t="str">
        <f t="shared" si="342"/>
        <v>3651</v>
      </c>
      <c r="G5429" s="96">
        <f t="shared" si="343"/>
        <v>3651</v>
      </c>
      <c r="J5429" t="str">
        <f t="shared" si="346"/>
        <v/>
      </c>
      <c r="K5429" t="str">
        <f t="shared" si="344"/>
        <v>3651</v>
      </c>
      <c r="O5429" s="96">
        <f t="shared" si="345"/>
        <v>3651</v>
      </c>
    </row>
    <row r="5430" spans="3:15" x14ac:dyDescent="0.2">
      <c r="C5430" t="str">
        <f t="shared" si="342"/>
        <v>3652</v>
      </c>
      <c r="G5430" s="96">
        <f t="shared" si="343"/>
        <v>3652</v>
      </c>
      <c r="J5430" t="str">
        <f t="shared" si="346"/>
        <v/>
      </c>
      <c r="K5430" t="str">
        <f t="shared" si="344"/>
        <v>3652</v>
      </c>
      <c r="O5430" s="96">
        <f t="shared" si="345"/>
        <v>3652</v>
      </c>
    </row>
    <row r="5431" spans="3:15" x14ac:dyDescent="0.2">
      <c r="C5431" t="str">
        <f t="shared" si="342"/>
        <v>3653</v>
      </c>
      <c r="G5431" s="96">
        <f t="shared" si="343"/>
        <v>3653</v>
      </c>
      <c r="J5431" t="str">
        <f t="shared" si="346"/>
        <v/>
      </c>
      <c r="K5431" t="str">
        <f t="shared" si="344"/>
        <v>3653</v>
      </c>
      <c r="O5431" s="96">
        <f t="shared" si="345"/>
        <v>3653</v>
      </c>
    </row>
    <row r="5432" spans="3:15" x14ac:dyDescent="0.2">
      <c r="C5432" t="str">
        <f t="shared" si="342"/>
        <v>3654</v>
      </c>
      <c r="G5432" s="96">
        <f t="shared" si="343"/>
        <v>3654</v>
      </c>
      <c r="J5432" t="str">
        <f t="shared" si="346"/>
        <v/>
      </c>
      <c r="K5432" t="str">
        <f t="shared" si="344"/>
        <v>3654</v>
      </c>
      <c r="O5432" s="96">
        <f t="shared" si="345"/>
        <v>3654</v>
      </c>
    </row>
    <row r="5433" spans="3:15" x14ac:dyDescent="0.2">
      <c r="C5433" t="str">
        <f t="shared" si="342"/>
        <v>3655</v>
      </c>
      <c r="G5433" s="96">
        <f t="shared" si="343"/>
        <v>3655</v>
      </c>
      <c r="J5433" t="str">
        <f t="shared" si="346"/>
        <v/>
      </c>
      <c r="K5433" t="str">
        <f t="shared" si="344"/>
        <v>3655</v>
      </c>
      <c r="O5433" s="96">
        <f t="shared" si="345"/>
        <v>3655</v>
      </c>
    </row>
    <row r="5434" spans="3:15" x14ac:dyDescent="0.2">
      <c r="C5434" t="str">
        <f t="shared" si="342"/>
        <v>3656</v>
      </c>
      <c r="G5434" s="96">
        <f t="shared" si="343"/>
        <v>3656</v>
      </c>
      <c r="J5434" t="str">
        <f t="shared" si="346"/>
        <v/>
      </c>
      <c r="K5434" t="str">
        <f t="shared" si="344"/>
        <v>3656</v>
      </c>
      <c r="O5434" s="96">
        <f t="shared" si="345"/>
        <v>3656</v>
      </c>
    </row>
    <row r="5435" spans="3:15" x14ac:dyDescent="0.2">
      <c r="C5435" t="str">
        <f t="shared" si="342"/>
        <v>3657</v>
      </c>
      <c r="G5435" s="96">
        <f t="shared" si="343"/>
        <v>3657</v>
      </c>
      <c r="J5435" t="str">
        <f t="shared" si="346"/>
        <v/>
      </c>
      <c r="K5435" t="str">
        <f t="shared" si="344"/>
        <v>3657</v>
      </c>
      <c r="O5435" s="96">
        <f t="shared" si="345"/>
        <v>3657</v>
      </c>
    </row>
    <row r="5436" spans="3:15" x14ac:dyDescent="0.2">
      <c r="C5436" t="str">
        <f t="shared" si="342"/>
        <v>3658</v>
      </c>
      <c r="G5436" s="96">
        <f t="shared" si="343"/>
        <v>3658</v>
      </c>
      <c r="J5436" t="str">
        <f t="shared" si="346"/>
        <v/>
      </c>
      <c r="K5436" t="str">
        <f t="shared" si="344"/>
        <v>3658</v>
      </c>
      <c r="O5436" s="96">
        <f t="shared" si="345"/>
        <v>3658</v>
      </c>
    </row>
    <row r="5437" spans="3:15" x14ac:dyDescent="0.2">
      <c r="C5437" t="str">
        <f t="shared" si="342"/>
        <v>3659</v>
      </c>
      <c r="G5437" s="96">
        <f t="shared" si="343"/>
        <v>3659</v>
      </c>
      <c r="J5437" t="str">
        <f t="shared" si="346"/>
        <v/>
      </c>
      <c r="K5437" t="str">
        <f t="shared" si="344"/>
        <v>3659</v>
      </c>
      <c r="O5437" s="96">
        <f t="shared" si="345"/>
        <v>3659</v>
      </c>
    </row>
    <row r="5438" spans="3:15" x14ac:dyDescent="0.2">
      <c r="C5438" t="str">
        <f t="shared" si="342"/>
        <v>3660</v>
      </c>
      <c r="G5438" s="96">
        <f t="shared" si="343"/>
        <v>3660</v>
      </c>
      <c r="J5438" t="str">
        <f t="shared" si="346"/>
        <v/>
      </c>
      <c r="K5438" t="str">
        <f t="shared" si="344"/>
        <v>3660</v>
      </c>
      <c r="O5438" s="96">
        <f t="shared" si="345"/>
        <v>3660</v>
      </c>
    </row>
    <row r="5439" spans="3:15" x14ac:dyDescent="0.2">
      <c r="C5439" t="str">
        <f t="shared" si="342"/>
        <v>3661</v>
      </c>
      <c r="G5439" s="96">
        <f t="shared" si="343"/>
        <v>3661</v>
      </c>
      <c r="J5439" t="str">
        <f t="shared" si="346"/>
        <v/>
      </c>
      <c r="K5439" t="str">
        <f t="shared" si="344"/>
        <v>3661</v>
      </c>
      <c r="O5439" s="96">
        <f t="shared" si="345"/>
        <v>3661</v>
      </c>
    </row>
    <row r="5440" spans="3:15" x14ac:dyDescent="0.2">
      <c r="C5440" t="str">
        <f t="shared" si="342"/>
        <v>3662</v>
      </c>
      <c r="G5440" s="96">
        <f t="shared" si="343"/>
        <v>3662</v>
      </c>
      <c r="J5440" t="str">
        <f t="shared" si="346"/>
        <v/>
      </c>
      <c r="K5440" t="str">
        <f t="shared" si="344"/>
        <v>3662</v>
      </c>
      <c r="O5440" s="96">
        <f t="shared" si="345"/>
        <v>3662</v>
      </c>
    </row>
    <row r="5441" spans="3:15" x14ac:dyDescent="0.2">
      <c r="C5441" t="str">
        <f t="shared" si="342"/>
        <v>3663</v>
      </c>
      <c r="G5441" s="96">
        <f t="shared" si="343"/>
        <v>3663</v>
      </c>
      <c r="J5441" t="str">
        <f t="shared" si="346"/>
        <v/>
      </c>
      <c r="K5441" t="str">
        <f t="shared" si="344"/>
        <v>3663</v>
      </c>
      <c r="O5441" s="96">
        <f t="shared" si="345"/>
        <v>3663</v>
      </c>
    </row>
    <row r="5442" spans="3:15" x14ac:dyDescent="0.2">
      <c r="C5442" t="str">
        <f t="shared" si="342"/>
        <v>3664</v>
      </c>
      <c r="G5442" s="96">
        <f t="shared" si="343"/>
        <v>3664</v>
      </c>
      <c r="J5442" t="str">
        <f t="shared" si="346"/>
        <v/>
      </c>
      <c r="K5442" t="str">
        <f t="shared" si="344"/>
        <v>3664</v>
      </c>
      <c r="O5442" s="96">
        <f t="shared" si="345"/>
        <v>3664</v>
      </c>
    </row>
    <row r="5443" spans="3:15" x14ac:dyDescent="0.2">
      <c r="C5443" t="str">
        <f t="shared" ref="C5443:C5506" si="347">D5443&amp;G5443</f>
        <v>3665</v>
      </c>
      <c r="G5443" s="96">
        <f t="shared" ref="G5443:G5506" si="348">IF(D5443&lt;&gt;D5442,1,G5442+1)</f>
        <v>3665</v>
      </c>
      <c r="J5443" t="str">
        <f t="shared" si="346"/>
        <v/>
      </c>
      <c r="K5443" t="str">
        <f t="shared" ref="K5443:K5506" si="349">L5443&amp;O5443</f>
        <v>3665</v>
      </c>
      <c r="O5443" s="96">
        <f t="shared" ref="O5443:O5506" si="350">IF(L5443&lt;&gt;L5442,1,O5442+1)</f>
        <v>3665</v>
      </c>
    </row>
    <row r="5444" spans="3:15" x14ac:dyDescent="0.2">
      <c r="C5444" t="str">
        <f t="shared" si="347"/>
        <v>3666</v>
      </c>
      <c r="G5444" s="96">
        <f t="shared" si="348"/>
        <v>3666</v>
      </c>
      <c r="J5444" t="str">
        <f t="shared" si="346"/>
        <v/>
      </c>
      <c r="K5444" t="str">
        <f t="shared" si="349"/>
        <v>3666</v>
      </c>
      <c r="O5444" s="96">
        <f t="shared" si="350"/>
        <v>3666</v>
      </c>
    </row>
    <row r="5445" spans="3:15" x14ac:dyDescent="0.2">
      <c r="C5445" t="str">
        <f t="shared" si="347"/>
        <v>3667</v>
      </c>
      <c r="G5445" s="96">
        <f t="shared" si="348"/>
        <v>3667</v>
      </c>
      <c r="J5445" t="str">
        <f t="shared" si="346"/>
        <v/>
      </c>
      <c r="K5445" t="str">
        <f t="shared" si="349"/>
        <v>3667</v>
      </c>
      <c r="O5445" s="96">
        <f t="shared" si="350"/>
        <v>3667</v>
      </c>
    </row>
    <row r="5446" spans="3:15" x14ac:dyDescent="0.2">
      <c r="C5446" t="str">
        <f t="shared" si="347"/>
        <v>3668</v>
      </c>
      <c r="G5446" s="96">
        <f t="shared" si="348"/>
        <v>3668</v>
      </c>
      <c r="J5446" t="str">
        <f t="shared" si="346"/>
        <v/>
      </c>
      <c r="K5446" t="str">
        <f t="shared" si="349"/>
        <v>3668</v>
      </c>
      <c r="O5446" s="96">
        <f t="shared" si="350"/>
        <v>3668</v>
      </c>
    </row>
    <row r="5447" spans="3:15" x14ac:dyDescent="0.2">
      <c r="C5447" t="str">
        <f t="shared" si="347"/>
        <v>3669</v>
      </c>
      <c r="G5447" s="96">
        <f t="shared" si="348"/>
        <v>3669</v>
      </c>
      <c r="J5447" t="str">
        <f t="shared" si="346"/>
        <v/>
      </c>
      <c r="K5447" t="str">
        <f t="shared" si="349"/>
        <v>3669</v>
      </c>
      <c r="O5447" s="96">
        <f t="shared" si="350"/>
        <v>3669</v>
      </c>
    </row>
    <row r="5448" spans="3:15" x14ac:dyDescent="0.2">
      <c r="C5448" t="str">
        <f t="shared" si="347"/>
        <v>3670</v>
      </c>
      <c r="G5448" s="96">
        <f t="shared" si="348"/>
        <v>3670</v>
      </c>
      <c r="J5448" t="str">
        <f t="shared" si="346"/>
        <v/>
      </c>
      <c r="K5448" t="str">
        <f t="shared" si="349"/>
        <v>3670</v>
      </c>
      <c r="O5448" s="96">
        <f t="shared" si="350"/>
        <v>3670</v>
      </c>
    </row>
    <row r="5449" spans="3:15" x14ac:dyDescent="0.2">
      <c r="C5449" t="str">
        <f t="shared" si="347"/>
        <v>3671</v>
      </c>
      <c r="G5449" s="96">
        <f t="shared" si="348"/>
        <v>3671</v>
      </c>
      <c r="J5449" t="str">
        <f t="shared" si="346"/>
        <v/>
      </c>
      <c r="K5449" t="str">
        <f t="shared" si="349"/>
        <v>3671</v>
      </c>
      <c r="O5449" s="96">
        <f t="shared" si="350"/>
        <v>3671</v>
      </c>
    </row>
    <row r="5450" spans="3:15" x14ac:dyDescent="0.2">
      <c r="C5450" t="str">
        <f t="shared" si="347"/>
        <v>3672</v>
      </c>
      <c r="G5450" s="96">
        <f t="shared" si="348"/>
        <v>3672</v>
      </c>
      <c r="J5450" t="str">
        <f t="shared" ref="J5450:J5513" si="351">L5450&amp;M5450</f>
        <v/>
      </c>
      <c r="K5450" t="str">
        <f t="shared" si="349"/>
        <v>3672</v>
      </c>
      <c r="O5450" s="96">
        <f t="shared" si="350"/>
        <v>3672</v>
      </c>
    </row>
    <row r="5451" spans="3:15" x14ac:dyDescent="0.2">
      <c r="C5451" t="str">
        <f t="shared" si="347"/>
        <v>3673</v>
      </c>
      <c r="G5451" s="96">
        <f t="shared" si="348"/>
        <v>3673</v>
      </c>
      <c r="J5451" t="str">
        <f t="shared" si="351"/>
        <v/>
      </c>
      <c r="K5451" t="str">
        <f t="shared" si="349"/>
        <v>3673</v>
      </c>
      <c r="O5451" s="96">
        <f t="shared" si="350"/>
        <v>3673</v>
      </c>
    </row>
    <row r="5452" spans="3:15" x14ac:dyDescent="0.2">
      <c r="C5452" t="str">
        <f t="shared" si="347"/>
        <v>3674</v>
      </c>
      <c r="G5452" s="96">
        <f t="shared" si="348"/>
        <v>3674</v>
      </c>
      <c r="J5452" t="str">
        <f t="shared" si="351"/>
        <v/>
      </c>
      <c r="K5452" t="str">
        <f t="shared" si="349"/>
        <v>3674</v>
      </c>
      <c r="O5452" s="96">
        <f t="shared" si="350"/>
        <v>3674</v>
      </c>
    </row>
    <row r="5453" spans="3:15" x14ac:dyDescent="0.2">
      <c r="C5453" t="str">
        <f t="shared" si="347"/>
        <v>3675</v>
      </c>
      <c r="G5453" s="96">
        <f t="shared" si="348"/>
        <v>3675</v>
      </c>
      <c r="J5453" t="str">
        <f t="shared" si="351"/>
        <v/>
      </c>
      <c r="K5453" t="str">
        <f t="shared" si="349"/>
        <v>3675</v>
      </c>
      <c r="O5453" s="96">
        <f t="shared" si="350"/>
        <v>3675</v>
      </c>
    </row>
    <row r="5454" spans="3:15" x14ac:dyDescent="0.2">
      <c r="C5454" t="str">
        <f t="shared" si="347"/>
        <v>3676</v>
      </c>
      <c r="G5454" s="96">
        <f t="shared" si="348"/>
        <v>3676</v>
      </c>
      <c r="J5454" t="str">
        <f t="shared" si="351"/>
        <v/>
      </c>
      <c r="K5454" t="str">
        <f t="shared" si="349"/>
        <v>3676</v>
      </c>
      <c r="O5454" s="96">
        <f t="shared" si="350"/>
        <v>3676</v>
      </c>
    </row>
    <row r="5455" spans="3:15" x14ac:dyDescent="0.2">
      <c r="C5455" t="str">
        <f t="shared" si="347"/>
        <v>3677</v>
      </c>
      <c r="G5455" s="96">
        <f t="shared" si="348"/>
        <v>3677</v>
      </c>
      <c r="J5455" t="str">
        <f t="shared" si="351"/>
        <v/>
      </c>
      <c r="K5455" t="str">
        <f t="shared" si="349"/>
        <v>3677</v>
      </c>
      <c r="O5455" s="96">
        <f t="shared" si="350"/>
        <v>3677</v>
      </c>
    </row>
    <row r="5456" spans="3:15" x14ac:dyDescent="0.2">
      <c r="C5456" t="str">
        <f t="shared" si="347"/>
        <v>3678</v>
      </c>
      <c r="G5456" s="96">
        <f t="shared" si="348"/>
        <v>3678</v>
      </c>
      <c r="J5456" t="str">
        <f t="shared" si="351"/>
        <v/>
      </c>
      <c r="K5456" t="str">
        <f t="shared" si="349"/>
        <v>3678</v>
      </c>
      <c r="O5456" s="96">
        <f t="shared" si="350"/>
        <v>3678</v>
      </c>
    </row>
    <row r="5457" spans="3:15" x14ac:dyDescent="0.2">
      <c r="C5457" t="str">
        <f t="shared" si="347"/>
        <v>3679</v>
      </c>
      <c r="G5457" s="96">
        <f t="shared" si="348"/>
        <v>3679</v>
      </c>
      <c r="J5457" t="str">
        <f t="shared" si="351"/>
        <v/>
      </c>
      <c r="K5457" t="str">
        <f t="shared" si="349"/>
        <v>3679</v>
      </c>
      <c r="O5457" s="96">
        <f t="shared" si="350"/>
        <v>3679</v>
      </c>
    </row>
    <row r="5458" spans="3:15" x14ac:dyDescent="0.2">
      <c r="C5458" t="str">
        <f t="shared" si="347"/>
        <v>3680</v>
      </c>
      <c r="G5458" s="96">
        <f t="shared" si="348"/>
        <v>3680</v>
      </c>
      <c r="J5458" t="str">
        <f t="shared" si="351"/>
        <v/>
      </c>
      <c r="K5458" t="str">
        <f t="shared" si="349"/>
        <v>3680</v>
      </c>
      <c r="O5458" s="96">
        <f t="shared" si="350"/>
        <v>3680</v>
      </c>
    </row>
    <row r="5459" spans="3:15" x14ac:dyDescent="0.2">
      <c r="C5459" t="str">
        <f t="shared" si="347"/>
        <v>3681</v>
      </c>
      <c r="G5459" s="96">
        <f t="shared" si="348"/>
        <v>3681</v>
      </c>
      <c r="J5459" t="str">
        <f t="shared" si="351"/>
        <v/>
      </c>
      <c r="K5459" t="str">
        <f t="shared" si="349"/>
        <v>3681</v>
      </c>
      <c r="O5459" s="96">
        <f t="shared" si="350"/>
        <v>3681</v>
      </c>
    </row>
    <row r="5460" spans="3:15" x14ac:dyDescent="0.2">
      <c r="C5460" t="str">
        <f t="shared" si="347"/>
        <v>3682</v>
      </c>
      <c r="G5460" s="96">
        <f t="shared" si="348"/>
        <v>3682</v>
      </c>
      <c r="J5460" t="str">
        <f t="shared" si="351"/>
        <v/>
      </c>
      <c r="K5460" t="str">
        <f t="shared" si="349"/>
        <v>3682</v>
      </c>
      <c r="O5460" s="96">
        <f t="shared" si="350"/>
        <v>3682</v>
      </c>
    </row>
    <row r="5461" spans="3:15" x14ac:dyDescent="0.2">
      <c r="C5461" t="str">
        <f t="shared" si="347"/>
        <v>3683</v>
      </c>
      <c r="G5461" s="96">
        <f t="shared" si="348"/>
        <v>3683</v>
      </c>
      <c r="J5461" t="str">
        <f t="shared" si="351"/>
        <v/>
      </c>
      <c r="K5461" t="str">
        <f t="shared" si="349"/>
        <v>3683</v>
      </c>
      <c r="O5461" s="96">
        <f t="shared" si="350"/>
        <v>3683</v>
      </c>
    </row>
    <row r="5462" spans="3:15" x14ac:dyDescent="0.2">
      <c r="C5462" t="str">
        <f t="shared" si="347"/>
        <v>3684</v>
      </c>
      <c r="G5462" s="96">
        <f t="shared" si="348"/>
        <v>3684</v>
      </c>
      <c r="J5462" t="str">
        <f t="shared" si="351"/>
        <v/>
      </c>
      <c r="K5462" t="str">
        <f t="shared" si="349"/>
        <v>3684</v>
      </c>
      <c r="O5462" s="96">
        <f t="shared" si="350"/>
        <v>3684</v>
      </c>
    </row>
    <row r="5463" spans="3:15" x14ac:dyDescent="0.2">
      <c r="C5463" t="str">
        <f t="shared" si="347"/>
        <v>3685</v>
      </c>
      <c r="G5463" s="96">
        <f t="shared" si="348"/>
        <v>3685</v>
      </c>
      <c r="J5463" t="str">
        <f t="shared" si="351"/>
        <v/>
      </c>
      <c r="K5463" t="str">
        <f t="shared" si="349"/>
        <v>3685</v>
      </c>
      <c r="O5463" s="96">
        <f t="shared" si="350"/>
        <v>3685</v>
      </c>
    </row>
    <row r="5464" spans="3:15" x14ac:dyDescent="0.2">
      <c r="C5464" t="str">
        <f t="shared" si="347"/>
        <v>3686</v>
      </c>
      <c r="G5464" s="96">
        <f t="shared" si="348"/>
        <v>3686</v>
      </c>
      <c r="J5464" t="str">
        <f t="shared" si="351"/>
        <v/>
      </c>
      <c r="K5464" t="str">
        <f t="shared" si="349"/>
        <v>3686</v>
      </c>
      <c r="O5464" s="96">
        <f t="shared" si="350"/>
        <v>3686</v>
      </c>
    </row>
    <row r="5465" spans="3:15" x14ac:dyDescent="0.2">
      <c r="C5465" t="str">
        <f t="shared" si="347"/>
        <v>3687</v>
      </c>
      <c r="G5465" s="96">
        <f t="shared" si="348"/>
        <v>3687</v>
      </c>
      <c r="J5465" t="str">
        <f t="shared" si="351"/>
        <v/>
      </c>
      <c r="K5465" t="str">
        <f t="shared" si="349"/>
        <v>3687</v>
      </c>
      <c r="O5465" s="96">
        <f t="shared" si="350"/>
        <v>3687</v>
      </c>
    </row>
    <row r="5466" spans="3:15" x14ac:dyDescent="0.2">
      <c r="C5466" t="str">
        <f t="shared" si="347"/>
        <v>3688</v>
      </c>
      <c r="G5466" s="96">
        <f t="shared" si="348"/>
        <v>3688</v>
      </c>
      <c r="J5466" t="str">
        <f t="shared" si="351"/>
        <v/>
      </c>
      <c r="K5466" t="str">
        <f t="shared" si="349"/>
        <v>3688</v>
      </c>
      <c r="O5466" s="96">
        <f t="shared" si="350"/>
        <v>3688</v>
      </c>
    </row>
    <row r="5467" spans="3:15" x14ac:dyDescent="0.2">
      <c r="C5467" t="str">
        <f t="shared" si="347"/>
        <v>3689</v>
      </c>
      <c r="G5467" s="96">
        <f t="shared" si="348"/>
        <v>3689</v>
      </c>
      <c r="J5467" t="str">
        <f t="shared" si="351"/>
        <v/>
      </c>
      <c r="K5467" t="str">
        <f t="shared" si="349"/>
        <v>3689</v>
      </c>
      <c r="O5467" s="96">
        <f t="shared" si="350"/>
        <v>3689</v>
      </c>
    </row>
    <row r="5468" spans="3:15" x14ac:dyDescent="0.2">
      <c r="C5468" t="str">
        <f t="shared" si="347"/>
        <v>3690</v>
      </c>
      <c r="G5468" s="96">
        <f t="shared" si="348"/>
        <v>3690</v>
      </c>
      <c r="J5468" t="str">
        <f t="shared" si="351"/>
        <v/>
      </c>
      <c r="K5468" t="str">
        <f t="shared" si="349"/>
        <v>3690</v>
      </c>
      <c r="O5468" s="96">
        <f t="shared" si="350"/>
        <v>3690</v>
      </c>
    </row>
    <row r="5469" spans="3:15" x14ac:dyDescent="0.2">
      <c r="C5469" t="str">
        <f t="shared" si="347"/>
        <v>3691</v>
      </c>
      <c r="G5469" s="96">
        <f t="shared" si="348"/>
        <v>3691</v>
      </c>
      <c r="J5469" t="str">
        <f t="shared" si="351"/>
        <v/>
      </c>
      <c r="K5469" t="str">
        <f t="shared" si="349"/>
        <v>3691</v>
      </c>
      <c r="O5469" s="96">
        <f t="shared" si="350"/>
        <v>3691</v>
      </c>
    </row>
    <row r="5470" spans="3:15" x14ac:dyDescent="0.2">
      <c r="C5470" t="str">
        <f t="shared" si="347"/>
        <v>3692</v>
      </c>
      <c r="G5470" s="96">
        <f t="shared" si="348"/>
        <v>3692</v>
      </c>
      <c r="J5470" t="str">
        <f t="shared" si="351"/>
        <v/>
      </c>
      <c r="K5470" t="str">
        <f t="shared" si="349"/>
        <v>3692</v>
      </c>
      <c r="O5470" s="96">
        <f t="shared" si="350"/>
        <v>3692</v>
      </c>
    </row>
    <row r="5471" spans="3:15" x14ac:dyDescent="0.2">
      <c r="C5471" t="str">
        <f t="shared" si="347"/>
        <v>3693</v>
      </c>
      <c r="G5471" s="96">
        <f t="shared" si="348"/>
        <v>3693</v>
      </c>
      <c r="J5471" t="str">
        <f t="shared" si="351"/>
        <v/>
      </c>
      <c r="K5471" t="str">
        <f t="shared" si="349"/>
        <v>3693</v>
      </c>
      <c r="O5471" s="96">
        <f t="shared" si="350"/>
        <v>3693</v>
      </c>
    </row>
    <row r="5472" spans="3:15" x14ac:dyDescent="0.2">
      <c r="C5472" t="str">
        <f t="shared" si="347"/>
        <v>3694</v>
      </c>
      <c r="G5472" s="96">
        <f t="shared" si="348"/>
        <v>3694</v>
      </c>
      <c r="J5472" t="str">
        <f t="shared" si="351"/>
        <v/>
      </c>
      <c r="K5472" t="str">
        <f t="shared" si="349"/>
        <v>3694</v>
      </c>
      <c r="O5472" s="96">
        <f t="shared" si="350"/>
        <v>3694</v>
      </c>
    </row>
    <row r="5473" spans="3:15" x14ac:dyDescent="0.2">
      <c r="C5473" t="str">
        <f t="shared" si="347"/>
        <v>3695</v>
      </c>
      <c r="G5473" s="96">
        <f t="shared" si="348"/>
        <v>3695</v>
      </c>
      <c r="J5473" t="str">
        <f t="shared" si="351"/>
        <v/>
      </c>
      <c r="K5473" t="str">
        <f t="shared" si="349"/>
        <v>3695</v>
      </c>
      <c r="O5473" s="96">
        <f t="shared" si="350"/>
        <v>3695</v>
      </c>
    </row>
    <row r="5474" spans="3:15" x14ac:dyDescent="0.2">
      <c r="C5474" t="str">
        <f t="shared" si="347"/>
        <v>3696</v>
      </c>
      <c r="G5474" s="96">
        <f t="shared" si="348"/>
        <v>3696</v>
      </c>
      <c r="J5474" t="str">
        <f t="shared" si="351"/>
        <v/>
      </c>
      <c r="K5474" t="str">
        <f t="shared" si="349"/>
        <v>3696</v>
      </c>
      <c r="O5474" s="96">
        <f t="shared" si="350"/>
        <v>3696</v>
      </c>
    </row>
    <row r="5475" spans="3:15" x14ac:dyDescent="0.2">
      <c r="C5475" t="str">
        <f t="shared" si="347"/>
        <v>3697</v>
      </c>
      <c r="G5475" s="96">
        <f t="shared" si="348"/>
        <v>3697</v>
      </c>
      <c r="J5475" t="str">
        <f t="shared" si="351"/>
        <v/>
      </c>
      <c r="K5475" t="str">
        <f t="shared" si="349"/>
        <v>3697</v>
      </c>
      <c r="O5475" s="96">
        <f t="shared" si="350"/>
        <v>3697</v>
      </c>
    </row>
    <row r="5476" spans="3:15" x14ac:dyDescent="0.2">
      <c r="C5476" t="str">
        <f t="shared" si="347"/>
        <v>3698</v>
      </c>
      <c r="G5476" s="96">
        <f t="shared" si="348"/>
        <v>3698</v>
      </c>
      <c r="J5476" t="str">
        <f t="shared" si="351"/>
        <v/>
      </c>
      <c r="K5476" t="str">
        <f t="shared" si="349"/>
        <v>3698</v>
      </c>
      <c r="O5476" s="96">
        <f t="shared" si="350"/>
        <v>3698</v>
      </c>
    </row>
    <row r="5477" spans="3:15" x14ac:dyDescent="0.2">
      <c r="C5477" t="str">
        <f t="shared" si="347"/>
        <v>3699</v>
      </c>
      <c r="G5477" s="96">
        <f t="shared" si="348"/>
        <v>3699</v>
      </c>
      <c r="J5477" t="str">
        <f t="shared" si="351"/>
        <v/>
      </c>
      <c r="K5477" t="str">
        <f t="shared" si="349"/>
        <v>3699</v>
      </c>
      <c r="O5477" s="96">
        <f t="shared" si="350"/>
        <v>3699</v>
      </c>
    </row>
    <row r="5478" spans="3:15" x14ac:dyDescent="0.2">
      <c r="C5478" t="str">
        <f t="shared" si="347"/>
        <v>3700</v>
      </c>
      <c r="G5478" s="96">
        <f t="shared" si="348"/>
        <v>3700</v>
      </c>
      <c r="J5478" t="str">
        <f t="shared" si="351"/>
        <v/>
      </c>
      <c r="K5478" t="str">
        <f t="shared" si="349"/>
        <v>3700</v>
      </c>
      <c r="O5478" s="96">
        <f t="shared" si="350"/>
        <v>3700</v>
      </c>
    </row>
    <row r="5479" spans="3:15" x14ac:dyDescent="0.2">
      <c r="C5479" t="str">
        <f t="shared" si="347"/>
        <v>3701</v>
      </c>
      <c r="G5479" s="96">
        <f t="shared" si="348"/>
        <v>3701</v>
      </c>
      <c r="J5479" t="str">
        <f t="shared" si="351"/>
        <v/>
      </c>
      <c r="K5479" t="str">
        <f t="shared" si="349"/>
        <v>3701</v>
      </c>
      <c r="O5479" s="96">
        <f t="shared" si="350"/>
        <v>3701</v>
      </c>
    </row>
    <row r="5480" spans="3:15" x14ac:dyDescent="0.2">
      <c r="C5480" t="str">
        <f t="shared" si="347"/>
        <v>3702</v>
      </c>
      <c r="G5480" s="96">
        <f t="shared" si="348"/>
        <v>3702</v>
      </c>
      <c r="J5480" t="str">
        <f t="shared" si="351"/>
        <v/>
      </c>
      <c r="K5480" t="str">
        <f t="shared" si="349"/>
        <v>3702</v>
      </c>
      <c r="O5480" s="96">
        <f t="shared" si="350"/>
        <v>3702</v>
      </c>
    </row>
    <row r="5481" spans="3:15" x14ac:dyDescent="0.2">
      <c r="C5481" t="str">
        <f t="shared" si="347"/>
        <v>3703</v>
      </c>
      <c r="G5481" s="96">
        <f t="shared" si="348"/>
        <v>3703</v>
      </c>
      <c r="J5481" t="str">
        <f t="shared" si="351"/>
        <v/>
      </c>
      <c r="K5481" t="str">
        <f t="shared" si="349"/>
        <v>3703</v>
      </c>
      <c r="O5481" s="96">
        <f t="shared" si="350"/>
        <v>3703</v>
      </c>
    </row>
    <row r="5482" spans="3:15" x14ac:dyDescent="0.2">
      <c r="C5482" t="str">
        <f t="shared" si="347"/>
        <v>3704</v>
      </c>
      <c r="G5482" s="96">
        <f t="shared" si="348"/>
        <v>3704</v>
      </c>
      <c r="J5482" t="str">
        <f t="shared" si="351"/>
        <v/>
      </c>
      <c r="K5482" t="str">
        <f t="shared" si="349"/>
        <v>3704</v>
      </c>
      <c r="O5482" s="96">
        <f t="shared" si="350"/>
        <v>3704</v>
      </c>
    </row>
    <row r="5483" spans="3:15" x14ac:dyDescent="0.2">
      <c r="C5483" t="str">
        <f t="shared" si="347"/>
        <v>3705</v>
      </c>
      <c r="G5483" s="96">
        <f t="shared" si="348"/>
        <v>3705</v>
      </c>
      <c r="J5483" t="str">
        <f t="shared" si="351"/>
        <v/>
      </c>
      <c r="K5483" t="str">
        <f t="shared" si="349"/>
        <v>3705</v>
      </c>
      <c r="O5483" s="96">
        <f t="shared" si="350"/>
        <v>3705</v>
      </c>
    </row>
    <row r="5484" spans="3:15" x14ac:dyDescent="0.2">
      <c r="C5484" t="str">
        <f t="shared" si="347"/>
        <v>3706</v>
      </c>
      <c r="G5484" s="96">
        <f t="shared" si="348"/>
        <v>3706</v>
      </c>
      <c r="J5484" t="str">
        <f t="shared" si="351"/>
        <v/>
      </c>
      <c r="K5484" t="str">
        <f t="shared" si="349"/>
        <v>3706</v>
      </c>
      <c r="O5484" s="96">
        <f t="shared" si="350"/>
        <v>3706</v>
      </c>
    </row>
    <row r="5485" spans="3:15" x14ac:dyDescent="0.2">
      <c r="C5485" t="str">
        <f t="shared" si="347"/>
        <v>3707</v>
      </c>
      <c r="G5485" s="96">
        <f t="shared" si="348"/>
        <v>3707</v>
      </c>
      <c r="J5485" t="str">
        <f t="shared" si="351"/>
        <v/>
      </c>
      <c r="K5485" t="str">
        <f t="shared" si="349"/>
        <v>3707</v>
      </c>
      <c r="O5485" s="96">
        <f t="shared" si="350"/>
        <v>3707</v>
      </c>
    </row>
    <row r="5486" spans="3:15" x14ac:dyDescent="0.2">
      <c r="C5486" t="str">
        <f t="shared" si="347"/>
        <v>3708</v>
      </c>
      <c r="G5486" s="96">
        <f t="shared" si="348"/>
        <v>3708</v>
      </c>
      <c r="J5486" t="str">
        <f t="shared" si="351"/>
        <v/>
      </c>
      <c r="K5486" t="str">
        <f t="shared" si="349"/>
        <v>3708</v>
      </c>
      <c r="O5486" s="96">
        <f t="shared" si="350"/>
        <v>3708</v>
      </c>
    </row>
    <row r="5487" spans="3:15" x14ac:dyDescent="0.2">
      <c r="C5487" t="str">
        <f t="shared" si="347"/>
        <v>3709</v>
      </c>
      <c r="G5487" s="96">
        <f t="shared" si="348"/>
        <v>3709</v>
      </c>
      <c r="J5487" t="str">
        <f t="shared" si="351"/>
        <v/>
      </c>
      <c r="K5487" t="str">
        <f t="shared" si="349"/>
        <v>3709</v>
      </c>
      <c r="O5487" s="96">
        <f t="shared" si="350"/>
        <v>3709</v>
      </c>
    </row>
    <row r="5488" spans="3:15" x14ac:dyDescent="0.2">
      <c r="C5488" t="str">
        <f t="shared" si="347"/>
        <v>3710</v>
      </c>
      <c r="G5488" s="96">
        <f t="shared" si="348"/>
        <v>3710</v>
      </c>
      <c r="J5488" t="str">
        <f t="shared" si="351"/>
        <v/>
      </c>
      <c r="K5488" t="str">
        <f t="shared" si="349"/>
        <v>3710</v>
      </c>
      <c r="O5488" s="96">
        <f t="shared" si="350"/>
        <v>3710</v>
      </c>
    </row>
    <row r="5489" spans="3:15" x14ac:dyDescent="0.2">
      <c r="C5489" t="str">
        <f t="shared" si="347"/>
        <v>3711</v>
      </c>
      <c r="G5489" s="96">
        <f t="shared" si="348"/>
        <v>3711</v>
      </c>
      <c r="J5489" t="str">
        <f t="shared" si="351"/>
        <v/>
      </c>
      <c r="K5489" t="str">
        <f t="shared" si="349"/>
        <v>3711</v>
      </c>
      <c r="O5489" s="96">
        <f t="shared" si="350"/>
        <v>3711</v>
      </c>
    </row>
    <row r="5490" spans="3:15" x14ac:dyDescent="0.2">
      <c r="C5490" t="str">
        <f t="shared" si="347"/>
        <v>3712</v>
      </c>
      <c r="G5490" s="96">
        <f t="shared" si="348"/>
        <v>3712</v>
      </c>
      <c r="J5490" t="str">
        <f t="shared" si="351"/>
        <v/>
      </c>
      <c r="K5490" t="str">
        <f t="shared" si="349"/>
        <v>3712</v>
      </c>
      <c r="O5490" s="96">
        <f t="shared" si="350"/>
        <v>3712</v>
      </c>
    </row>
    <row r="5491" spans="3:15" x14ac:dyDescent="0.2">
      <c r="C5491" t="str">
        <f t="shared" si="347"/>
        <v>3713</v>
      </c>
      <c r="G5491" s="96">
        <f t="shared" si="348"/>
        <v>3713</v>
      </c>
      <c r="J5491" t="str">
        <f t="shared" si="351"/>
        <v/>
      </c>
      <c r="K5491" t="str">
        <f t="shared" si="349"/>
        <v>3713</v>
      </c>
      <c r="O5491" s="96">
        <f t="shared" si="350"/>
        <v>3713</v>
      </c>
    </row>
    <row r="5492" spans="3:15" x14ac:dyDescent="0.2">
      <c r="C5492" t="str">
        <f t="shared" si="347"/>
        <v>3714</v>
      </c>
      <c r="G5492" s="96">
        <f t="shared" si="348"/>
        <v>3714</v>
      </c>
      <c r="J5492" t="str">
        <f t="shared" si="351"/>
        <v/>
      </c>
      <c r="K5492" t="str">
        <f t="shared" si="349"/>
        <v>3714</v>
      </c>
      <c r="O5492" s="96">
        <f t="shared" si="350"/>
        <v>3714</v>
      </c>
    </row>
    <row r="5493" spans="3:15" x14ac:dyDescent="0.2">
      <c r="C5493" t="str">
        <f t="shared" si="347"/>
        <v>3715</v>
      </c>
      <c r="G5493" s="96">
        <f t="shared" si="348"/>
        <v>3715</v>
      </c>
      <c r="J5493" t="str">
        <f t="shared" si="351"/>
        <v/>
      </c>
      <c r="K5493" t="str">
        <f t="shared" si="349"/>
        <v>3715</v>
      </c>
      <c r="O5493" s="96">
        <f t="shared" si="350"/>
        <v>3715</v>
      </c>
    </row>
    <row r="5494" spans="3:15" x14ac:dyDescent="0.2">
      <c r="C5494" t="str">
        <f t="shared" si="347"/>
        <v>3716</v>
      </c>
      <c r="G5494" s="96">
        <f t="shared" si="348"/>
        <v>3716</v>
      </c>
      <c r="J5494" t="str">
        <f t="shared" si="351"/>
        <v/>
      </c>
      <c r="K5494" t="str">
        <f t="shared" si="349"/>
        <v>3716</v>
      </c>
      <c r="O5494" s="96">
        <f t="shared" si="350"/>
        <v>3716</v>
      </c>
    </row>
    <row r="5495" spans="3:15" x14ac:dyDescent="0.2">
      <c r="C5495" t="str">
        <f t="shared" si="347"/>
        <v>3717</v>
      </c>
      <c r="G5495" s="96">
        <f t="shared" si="348"/>
        <v>3717</v>
      </c>
      <c r="J5495" t="str">
        <f t="shared" si="351"/>
        <v/>
      </c>
      <c r="K5495" t="str">
        <f t="shared" si="349"/>
        <v>3717</v>
      </c>
      <c r="O5495" s="96">
        <f t="shared" si="350"/>
        <v>3717</v>
      </c>
    </row>
    <row r="5496" spans="3:15" x14ac:dyDescent="0.2">
      <c r="C5496" t="str">
        <f t="shared" si="347"/>
        <v>3718</v>
      </c>
      <c r="G5496" s="96">
        <f t="shared" si="348"/>
        <v>3718</v>
      </c>
      <c r="J5496" t="str">
        <f t="shared" si="351"/>
        <v/>
      </c>
      <c r="K5496" t="str">
        <f t="shared" si="349"/>
        <v>3718</v>
      </c>
      <c r="O5496" s="96">
        <f t="shared" si="350"/>
        <v>3718</v>
      </c>
    </row>
    <row r="5497" spans="3:15" x14ac:dyDescent="0.2">
      <c r="C5497" t="str">
        <f t="shared" si="347"/>
        <v>3719</v>
      </c>
      <c r="G5497" s="96">
        <f t="shared" si="348"/>
        <v>3719</v>
      </c>
      <c r="J5497" t="str">
        <f t="shared" si="351"/>
        <v/>
      </c>
      <c r="K5497" t="str">
        <f t="shared" si="349"/>
        <v>3719</v>
      </c>
      <c r="O5497" s="96">
        <f t="shared" si="350"/>
        <v>3719</v>
      </c>
    </row>
    <row r="5498" spans="3:15" x14ac:dyDescent="0.2">
      <c r="C5498" t="str">
        <f t="shared" si="347"/>
        <v>3720</v>
      </c>
      <c r="G5498" s="96">
        <f t="shared" si="348"/>
        <v>3720</v>
      </c>
      <c r="J5498" t="str">
        <f t="shared" si="351"/>
        <v/>
      </c>
      <c r="K5498" t="str">
        <f t="shared" si="349"/>
        <v>3720</v>
      </c>
      <c r="O5498" s="96">
        <f t="shared" si="350"/>
        <v>3720</v>
      </c>
    </row>
    <row r="5499" spans="3:15" x14ac:dyDescent="0.2">
      <c r="C5499" t="str">
        <f t="shared" si="347"/>
        <v>3721</v>
      </c>
      <c r="G5499" s="96">
        <f t="shared" si="348"/>
        <v>3721</v>
      </c>
      <c r="J5499" t="str">
        <f t="shared" si="351"/>
        <v/>
      </c>
      <c r="K5499" t="str">
        <f t="shared" si="349"/>
        <v>3721</v>
      </c>
      <c r="O5499" s="96">
        <f t="shared" si="350"/>
        <v>3721</v>
      </c>
    </row>
    <row r="5500" spans="3:15" x14ac:dyDescent="0.2">
      <c r="C5500" t="str">
        <f t="shared" si="347"/>
        <v>3722</v>
      </c>
      <c r="G5500" s="96">
        <f t="shared" si="348"/>
        <v>3722</v>
      </c>
      <c r="J5500" t="str">
        <f t="shared" si="351"/>
        <v/>
      </c>
      <c r="K5500" t="str">
        <f t="shared" si="349"/>
        <v>3722</v>
      </c>
      <c r="O5500" s="96">
        <f t="shared" si="350"/>
        <v>3722</v>
      </c>
    </row>
    <row r="5501" spans="3:15" x14ac:dyDescent="0.2">
      <c r="C5501" t="str">
        <f t="shared" si="347"/>
        <v>3723</v>
      </c>
      <c r="G5501" s="96">
        <f t="shared" si="348"/>
        <v>3723</v>
      </c>
      <c r="J5501" t="str">
        <f t="shared" si="351"/>
        <v/>
      </c>
      <c r="K5501" t="str">
        <f t="shared" si="349"/>
        <v>3723</v>
      </c>
      <c r="O5501" s="96">
        <f t="shared" si="350"/>
        <v>3723</v>
      </c>
    </row>
    <row r="5502" spans="3:15" x14ac:dyDescent="0.2">
      <c r="C5502" t="str">
        <f t="shared" si="347"/>
        <v>3724</v>
      </c>
      <c r="G5502" s="96">
        <f t="shared" si="348"/>
        <v>3724</v>
      </c>
      <c r="J5502" t="str">
        <f t="shared" si="351"/>
        <v/>
      </c>
      <c r="K5502" t="str">
        <f t="shared" si="349"/>
        <v>3724</v>
      </c>
      <c r="O5502" s="96">
        <f t="shared" si="350"/>
        <v>3724</v>
      </c>
    </row>
    <row r="5503" spans="3:15" x14ac:dyDescent="0.2">
      <c r="C5503" t="str">
        <f t="shared" si="347"/>
        <v>3725</v>
      </c>
      <c r="G5503" s="96">
        <f t="shared" si="348"/>
        <v>3725</v>
      </c>
      <c r="J5503" t="str">
        <f t="shared" si="351"/>
        <v/>
      </c>
      <c r="K5503" t="str">
        <f t="shared" si="349"/>
        <v>3725</v>
      </c>
      <c r="O5503" s="96">
        <f t="shared" si="350"/>
        <v>3725</v>
      </c>
    </row>
    <row r="5504" spans="3:15" x14ac:dyDescent="0.2">
      <c r="C5504" t="str">
        <f t="shared" si="347"/>
        <v>3726</v>
      </c>
      <c r="G5504" s="96">
        <f t="shared" si="348"/>
        <v>3726</v>
      </c>
      <c r="J5504" t="str">
        <f t="shared" si="351"/>
        <v/>
      </c>
      <c r="K5504" t="str">
        <f t="shared" si="349"/>
        <v>3726</v>
      </c>
      <c r="O5504" s="96">
        <f t="shared" si="350"/>
        <v>3726</v>
      </c>
    </row>
    <row r="5505" spans="3:15" x14ac:dyDescent="0.2">
      <c r="C5505" t="str">
        <f t="shared" si="347"/>
        <v>3727</v>
      </c>
      <c r="G5505" s="96">
        <f t="shared" si="348"/>
        <v>3727</v>
      </c>
      <c r="J5505" t="str">
        <f t="shared" si="351"/>
        <v/>
      </c>
      <c r="K5505" t="str">
        <f t="shared" si="349"/>
        <v>3727</v>
      </c>
      <c r="O5505" s="96">
        <f t="shared" si="350"/>
        <v>3727</v>
      </c>
    </row>
    <row r="5506" spans="3:15" x14ac:dyDescent="0.2">
      <c r="C5506" t="str">
        <f t="shared" si="347"/>
        <v>3728</v>
      </c>
      <c r="G5506" s="96">
        <f t="shared" si="348"/>
        <v>3728</v>
      </c>
      <c r="J5506" t="str">
        <f t="shared" si="351"/>
        <v/>
      </c>
      <c r="K5506" t="str">
        <f t="shared" si="349"/>
        <v>3728</v>
      </c>
      <c r="O5506" s="96">
        <f t="shared" si="350"/>
        <v>3728</v>
      </c>
    </row>
    <row r="5507" spans="3:15" x14ac:dyDescent="0.2">
      <c r="C5507" t="str">
        <f t="shared" ref="C5507:C5570" si="352">D5507&amp;G5507</f>
        <v>3729</v>
      </c>
      <c r="G5507" s="96">
        <f t="shared" ref="G5507:G5570" si="353">IF(D5507&lt;&gt;D5506,1,G5506+1)</f>
        <v>3729</v>
      </c>
      <c r="J5507" t="str">
        <f t="shared" si="351"/>
        <v/>
      </c>
      <c r="K5507" t="str">
        <f t="shared" ref="K5507:K5570" si="354">L5507&amp;O5507</f>
        <v>3729</v>
      </c>
      <c r="O5507" s="96">
        <f t="shared" ref="O5507:O5570" si="355">IF(L5507&lt;&gt;L5506,1,O5506+1)</f>
        <v>3729</v>
      </c>
    </row>
    <row r="5508" spans="3:15" x14ac:dyDescent="0.2">
      <c r="C5508" t="str">
        <f t="shared" si="352"/>
        <v>3730</v>
      </c>
      <c r="G5508" s="96">
        <f t="shared" si="353"/>
        <v>3730</v>
      </c>
      <c r="J5508" t="str">
        <f t="shared" si="351"/>
        <v/>
      </c>
      <c r="K5508" t="str">
        <f t="shared" si="354"/>
        <v>3730</v>
      </c>
      <c r="O5508" s="96">
        <f t="shared" si="355"/>
        <v>3730</v>
      </c>
    </row>
    <row r="5509" spans="3:15" x14ac:dyDescent="0.2">
      <c r="C5509" t="str">
        <f t="shared" si="352"/>
        <v>3731</v>
      </c>
      <c r="G5509" s="96">
        <f t="shared" si="353"/>
        <v>3731</v>
      </c>
      <c r="J5509" t="str">
        <f t="shared" si="351"/>
        <v/>
      </c>
      <c r="K5509" t="str">
        <f t="shared" si="354"/>
        <v>3731</v>
      </c>
      <c r="O5509" s="96">
        <f t="shared" si="355"/>
        <v>3731</v>
      </c>
    </row>
    <row r="5510" spans="3:15" x14ac:dyDescent="0.2">
      <c r="C5510" t="str">
        <f t="shared" si="352"/>
        <v>3732</v>
      </c>
      <c r="G5510" s="96">
        <f t="shared" si="353"/>
        <v>3732</v>
      </c>
      <c r="J5510" t="str">
        <f t="shared" si="351"/>
        <v/>
      </c>
      <c r="K5510" t="str">
        <f t="shared" si="354"/>
        <v>3732</v>
      </c>
      <c r="O5510" s="96">
        <f t="shared" si="355"/>
        <v>3732</v>
      </c>
    </row>
    <row r="5511" spans="3:15" x14ac:dyDescent="0.2">
      <c r="C5511" t="str">
        <f t="shared" si="352"/>
        <v>3733</v>
      </c>
      <c r="G5511" s="96">
        <f t="shared" si="353"/>
        <v>3733</v>
      </c>
      <c r="J5511" t="str">
        <f t="shared" si="351"/>
        <v/>
      </c>
      <c r="K5511" t="str">
        <f t="shared" si="354"/>
        <v>3733</v>
      </c>
      <c r="O5511" s="96">
        <f t="shared" si="355"/>
        <v>3733</v>
      </c>
    </row>
    <row r="5512" spans="3:15" x14ac:dyDescent="0.2">
      <c r="C5512" t="str">
        <f t="shared" si="352"/>
        <v>3734</v>
      </c>
      <c r="G5512" s="96">
        <f t="shared" si="353"/>
        <v>3734</v>
      </c>
      <c r="J5512" t="str">
        <f t="shared" si="351"/>
        <v/>
      </c>
      <c r="K5512" t="str">
        <f t="shared" si="354"/>
        <v>3734</v>
      </c>
      <c r="O5512" s="96">
        <f t="shared" si="355"/>
        <v>3734</v>
      </c>
    </row>
    <row r="5513" spans="3:15" x14ac:dyDescent="0.2">
      <c r="C5513" t="str">
        <f t="shared" si="352"/>
        <v>3735</v>
      </c>
      <c r="G5513" s="96">
        <f t="shared" si="353"/>
        <v>3735</v>
      </c>
      <c r="J5513" t="str">
        <f t="shared" si="351"/>
        <v/>
      </c>
      <c r="K5513" t="str">
        <f t="shared" si="354"/>
        <v>3735</v>
      </c>
      <c r="O5513" s="96">
        <f t="shared" si="355"/>
        <v>3735</v>
      </c>
    </row>
    <row r="5514" spans="3:15" x14ac:dyDescent="0.2">
      <c r="C5514" t="str">
        <f t="shared" si="352"/>
        <v>3736</v>
      </c>
      <c r="G5514" s="96">
        <f t="shared" si="353"/>
        <v>3736</v>
      </c>
      <c r="J5514" t="str">
        <f t="shared" ref="J5514:J5577" si="356">L5514&amp;M5514</f>
        <v/>
      </c>
      <c r="K5514" t="str">
        <f t="shared" si="354"/>
        <v>3736</v>
      </c>
      <c r="O5514" s="96">
        <f t="shared" si="355"/>
        <v>3736</v>
      </c>
    </row>
    <row r="5515" spans="3:15" x14ac:dyDescent="0.2">
      <c r="C5515" t="str">
        <f t="shared" si="352"/>
        <v>3737</v>
      </c>
      <c r="G5515" s="96">
        <f t="shared" si="353"/>
        <v>3737</v>
      </c>
      <c r="J5515" t="str">
        <f t="shared" si="356"/>
        <v/>
      </c>
      <c r="K5515" t="str">
        <f t="shared" si="354"/>
        <v>3737</v>
      </c>
      <c r="O5515" s="96">
        <f t="shared" si="355"/>
        <v>3737</v>
      </c>
    </row>
    <row r="5516" spans="3:15" x14ac:dyDescent="0.2">
      <c r="C5516" t="str">
        <f t="shared" si="352"/>
        <v>3738</v>
      </c>
      <c r="G5516" s="96">
        <f t="shared" si="353"/>
        <v>3738</v>
      </c>
      <c r="J5516" t="str">
        <f t="shared" si="356"/>
        <v/>
      </c>
      <c r="K5516" t="str">
        <f t="shared" si="354"/>
        <v>3738</v>
      </c>
      <c r="O5516" s="96">
        <f t="shared" si="355"/>
        <v>3738</v>
      </c>
    </row>
    <row r="5517" spans="3:15" x14ac:dyDescent="0.2">
      <c r="C5517" t="str">
        <f t="shared" si="352"/>
        <v>3739</v>
      </c>
      <c r="G5517" s="96">
        <f t="shared" si="353"/>
        <v>3739</v>
      </c>
      <c r="J5517" t="str">
        <f t="shared" si="356"/>
        <v/>
      </c>
      <c r="K5517" t="str">
        <f t="shared" si="354"/>
        <v>3739</v>
      </c>
      <c r="O5517" s="96">
        <f t="shared" si="355"/>
        <v>3739</v>
      </c>
    </row>
    <row r="5518" spans="3:15" x14ac:dyDescent="0.2">
      <c r="C5518" t="str">
        <f t="shared" si="352"/>
        <v>3740</v>
      </c>
      <c r="G5518" s="96">
        <f t="shared" si="353"/>
        <v>3740</v>
      </c>
      <c r="J5518" t="str">
        <f t="shared" si="356"/>
        <v/>
      </c>
      <c r="K5518" t="str">
        <f t="shared" si="354"/>
        <v>3740</v>
      </c>
      <c r="O5518" s="96">
        <f t="shared" si="355"/>
        <v>3740</v>
      </c>
    </row>
    <row r="5519" spans="3:15" x14ac:dyDescent="0.2">
      <c r="C5519" t="str">
        <f t="shared" si="352"/>
        <v>3741</v>
      </c>
      <c r="G5519" s="96">
        <f t="shared" si="353"/>
        <v>3741</v>
      </c>
      <c r="J5519" t="str">
        <f t="shared" si="356"/>
        <v/>
      </c>
      <c r="K5519" t="str">
        <f t="shared" si="354"/>
        <v>3741</v>
      </c>
      <c r="O5519" s="96">
        <f t="shared" si="355"/>
        <v>3741</v>
      </c>
    </row>
    <row r="5520" spans="3:15" x14ac:dyDescent="0.2">
      <c r="C5520" t="str">
        <f t="shared" si="352"/>
        <v>3742</v>
      </c>
      <c r="G5520" s="96">
        <f t="shared" si="353"/>
        <v>3742</v>
      </c>
      <c r="J5520" t="str">
        <f t="shared" si="356"/>
        <v/>
      </c>
      <c r="K5520" t="str">
        <f t="shared" si="354"/>
        <v>3742</v>
      </c>
      <c r="O5520" s="96">
        <f t="shared" si="355"/>
        <v>3742</v>
      </c>
    </row>
    <row r="5521" spans="3:15" x14ac:dyDescent="0.2">
      <c r="C5521" t="str">
        <f t="shared" si="352"/>
        <v>3743</v>
      </c>
      <c r="G5521" s="96">
        <f t="shared" si="353"/>
        <v>3743</v>
      </c>
      <c r="J5521" t="str">
        <f t="shared" si="356"/>
        <v/>
      </c>
      <c r="K5521" t="str">
        <f t="shared" si="354"/>
        <v>3743</v>
      </c>
      <c r="O5521" s="96">
        <f t="shared" si="355"/>
        <v>3743</v>
      </c>
    </row>
    <row r="5522" spans="3:15" x14ac:dyDescent="0.2">
      <c r="C5522" t="str">
        <f t="shared" si="352"/>
        <v>3744</v>
      </c>
      <c r="G5522" s="96">
        <f t="shared" si="353"/>
        <v>3744</v>
      </c>
      <c r="J5522" t="str">
        <f t="shared" si="356"/>
        <v/>
      </c>
      <c r="K5522" t="str">
        <f t="shared" si="354"/>
        <v>3744</v>
      </c>
      <c r="O5522" s="96">
        <f t="shared" si="355"/>
        <v>3744</v>
      </c>
    </row>
    <row r="5523" spans="3:15" x14ac:dyDescent="0.2">
      <c r="C5523" t="str">
        <f t="shared" si="352"/>
        <v>3745</v>
      </c>
      <c r="G5523" s="96">
        <f t="shared" si="353"/>
        <v>3745</v>
      </c>
      <c r="J5523" t="str">
        <f t="shared" si="356"/>
        <v/>
      </c>
      <c r="K5523" t="str">
        <f t="shared" si="354"/>
        <v>3745</v>
      </c>
      <c r="O5523" s="96">
        <f t="shared" si="355"/>
        <v>3745</v>
      </c>
    </row>
    <row r="5524" spans="3:15" x14ac:dyDescent="0.2">
      <c r="C5524" t="str">
        <f t="shared" si="352"/>
        <v>3746</v>
      </c>
      <c r="G5524" s="96">
        <f t="shared" si="353"/>
        <v>3746</v>
      </c>
      <c r="J5524" t="str">
        <f t="shared" si="356"/>
        <v/>
      </c>
      <c r="K5524" t="str">
        <f t="shared" si="354"/>
        <v>3746</v>
      </c>
      <c r="O5524" s="96">
        <f t="shared" si="355"/>
        <v>3746</v>
      </c>
    </row>
    <row r="5525" spans="3:15" x14ac:dyDescent="0.2">
      <c r="C5525" t="str">
        <f t="shared" si="352"/>
        <v>3747</v>
      </c>
      <c r="G5525" s="96">
        <f t="shared" si="353"/>
        <v>3747</v>
      </c>
      <c r="J5525" t="str">
        <f t="shared" si="356"/>
        <v/>
      </c>
      <c r="K5525" t="str">
        <f t="shared" si="354"/>
        <v>3747</v>
      </c>
      <c r="O5525" s="96">
        <f t="shared" si="355"/>
        <v>3747</v>
      </c>
    </row>
    <row r="5526" spans="3:15" x14ac:dyDescent="0.2">
      <c r="C5526" t="str">
        <f t="shared" si="352"/>
        <v>3748</v>
      </c>
      <c r="G5526" s="96">
        <f t="shared" si="353"/>
        <v>3748</v>
      </c>
      <c r="J5526" t="str">
        <f t="shared" si="356"/>
        <v/>
      </c>
      <c r="K5526" t="str">
        <f t="shared" si="354"/>
        <v>3748</v>
      </c>
      <c r="O5526" s="96">
        <f t="shared" si="355"/>
        <v>3748</v>
      </c>
    </row>
    <row r="5527" spans="3:15" x14ac:dyDescent="0.2">
      <c r="C5527" t="str">
        <f t="shared" si="352"/>
        <v>3749</v>
      </c>
      <c r="G5527" s="96">
        <f t="shared" si="353"/>
        <v>3749</v>
      </c>
      <c r="J5527" t="str">
        <f t="shared" si="356"/>
        <v/>
      </c>
      <c r="K5527" t="str">
        <f t="shared" si="354"/>
        <v>3749</v>
      </c>
      <c r="O5527" s="96">
        <f t="shared" si="355"/>
        <v>3749</v>
      </c>
    </row>
    <row r="5528" spans="3:15" x14ac:dyDescent="0.2">
      <c r="C5528" t="str">
        <f t="shared" si="352"/>
        <v>3750</v>
      </c>
      <c r="G5528" s="96">
        <f t="shared" si="353"/>
        <v>3750</v>
      </c>
      <c r="J5528" t="str">
        <f t="shared" si="356"/>
        <v/>
      </c>
      <c r="K5528" t="str">
        <f t="shared" si="354"/>
        <v>3750</v>
      </c>
      <c r="O5528" s="96">
        <f t="shared" si="355"/>
        <v>3750</v>
      </c>
    </row>
    <row r="5529" spans="3:15" x14ac:dyDescent="0.2">
      <c r="C5529" t="str">
        <f t="shared" si="352"/>
        <v>3751</v>
      </c>
      <c r="G5529" s="96">
        <f t="shared" si="353"/>
        <v>3751</v>
      </c>
      <c r="J5529" t="str">
        <f t="shared" si="356"/>
        <v/>
      </c>
      <c r="K5529" t="str">
        <f t="shared" si="354"/>
        <v>3751</v>
      </c>
      <c r="O5529" s="96">
        <f t="shared" si="355"/>
        <v>3751</v>
      </c>
    </row>
    <row r="5530" spans="3:15" x14ac:dyDescent="0.2">
      <c r="C5530" t="str">
        <f t="shared" si="352"/>
        <v>3752</v>
      </c>
      <c r="G5530" s="96">
        <f t="shared" si="353"/>
        <v>3752</v>
      </c>
      <c r="J5530" t="str">
        <f t="shared" si="356"/>
        <v/>
      </c>
      <c r="K5530" t="str">
        <f t="shared" si="354"/>
        <v>3752</v>
      </c>
      <c r="O5530" s="96">
        <f t="shared" si="355"/>
        <v>3752</v>
      </c>
    </row>
    <row r="5531" spans="3:15" x14ac:dyDescent="0.2">
      <c r="C5531" t="str">
        <f t="shared" si="352"/>
        <v>3753</v>
      </c>
      <c r="G5531" s="96">
        <f t="shared" si="353"/>
        <v>3753</v>
      </c>
      <c r="J5531" t="str">
        <f t="shared" si="356"/>
        <v/>
      </c>
      <c r="K5531" t="str">
        <f t="shared" si="354"/>
        <v>3753</v>
      </c>
      <c r="O5531" s="96">
        <f t="shared" si="355"/>
        <v>3753</v>
      </c>
    </row>
    <row r="5532" spans="3:15" x14ac:dyDescent="0.2">
      <c r="C5532" t="str">
        <f t="shared" si="352"/>
        <v>3754</v>
      </c>
      <c r="G5532" s="96">
        <f t="shared" si="353"/>
        <v>3754</v>
      </c>
      <c r="J5532" t="str">
        <f t="shared" si="356"/>
        <v/>
      </c>
      <c r="K5532" t="str">
        <f t="shared" si="354"/>
        <v>3754</v>
      </c>
      <c r="O5532" s="96">
        <f t="shared" si="355"/>
        <v>3754</v>
      </c>
    </row>
    <row r="5533" spans="3:15" x14ac:dyDescent="0.2">
      <c r="C5533" t="str">
        <f t="shared" si="352"/>
        <v>3755</v>
      </c>
      <c r="G5533" s="96">
        <f t="shared" si="353"/>
        <v>3755</v>
      </c>
      <c r="J5533" t="str">
        <f t="shared" si="356"/>
        <v/>
      </c>
      <c r="K5533" t="str">
        <f t="shared" si="354"/>
        <v>3755</v>
      </c>
      <c r="O5533" s="96">
        <f t="shared" si="355"/>
        <v>3755</v>
      </c>
    </row>
    <row r="5534" spans="3:15" x14ac:dyDescent="0.2">
      <c r="C5534" t="str">
        <f t="shared" si="352"/>
        <v>3756</v>
      </c>
      <c r="G5534" s="96">
        <f t="shared" si="353"/>
        <v>3756</v>
      </c>
      <c r="J5534" t="str">
        <f t="shared" si="356"/>
        <v/>
      </c>
      <c r="K5534" t="str">
        <f t="shared" si="354"/>
        <v>3756</v>
      </c>
      <c r="O5534" s="96">
        <f t="shared" si="355"/>
        <v>3756</v>
      </c>
    </row>
    <row r="5535" spans="3:15" x14ac:dyDescent="0.2">
      <c r="C5535" t="str">
        <f t="shared" si="352"/>
        <v>3757</v>
      </c>
      <c r="G5535" s="96">
        <f t="shared" si="353"/>
        <v>3757</v>
      </c>
      <c r="J5535" t="str">
        <f t="shared" si="356"/>
        <v/>
      </c>
      <c r="K5535" t="str">
        <f t="shared" si="354"/>
        <v>3757</v>
      </c>
      <c r="O5535" s="96">
        <f t="shared" si="355"/>
        <v>3757</v>
      </c>
    </row>
    <row r="5536" spans="3:15" x14ac:dyDescent="0.2">
      <c r="C5536" t="str">
        <f t="shared" si="352"/>
        <v>3758</v>
      </c>
      <c r="G5536" s="96">
        <f t="shared" si="353"/>
        <v>3758</v>
      </c>
      <c r="J5536" t="str">
        <f t="shared" si="356"/>
        <v/>
      </c>
      <c r="K5536" t="str">
        <f t="shared" si="354"/>
        <v>3758</v>
      </c>
      <c r="O5536" s="96">
        <f t="shared" si="355"/>
        <v>3758</v>
      </c>
    </row>
    <row r="5537" spans="3:15" x14ac:dyDescent="0.2">
      <c r="C5537" t="str">
        <f t="shared" si="352"/>
        <v>3759</v>
      </c>
      <c r="G5537" s="96">
        <f t="shared" si="353"/>
        <v>3759</v>
      </c>
      <c r="J5537" t="str">
        <f t="shared" si="356"/>
        <v/>
      </c>
      <c r="K5537" t="str">
        <f t="shared" si="354"/>
        <v>3759</v>
      </c>
      <c r="O5537" s="96">
        <f t="shared" si="355"/>
        <v>3759</v>
      </c>
    </row>
    <row r="5538" spans="3:15" x14ac:dyDescent="0.2">
      <c r="C5538" t="str">
        <f t="shared" si="352"/>
        <v>3760</v>
      </c>
      <c r="G5538" s="96">
        <f t="shared" si="353"/>
        <v>3760</v>
      </c>
      <c r="J5538" t="str">
        <f t="shared" si="356"/>
        <v/>
      </c>
      <c r="K5538" t="str">
        <f t="shared" si="354"/>
        <v>3760</v>
      </c>
      <c r="O5538" s="96">
        <f t="shared" si="355"/>
        <v>3760</v>
      </c>
    </row>
    <row r="5539" spans="3:15" x14ac:dyDescent="0.2">
      <c r="C5539" t="str">
        <f t="shared" si="352"/>
        <v>3761</v>
      </c>
      <c r="G5539" s="96">
        <f t="shared" si="353"/>
        <v>3761</v>
      </c>
      <c r="J5539" t="str">
        <f t="shared" si="356"/>
        <v/>
      </c>
      <c r="K5539" t="str">
        <f t="shared" si="354"/>
        <v>3761</v>
      </c>
      <c r="O5539" s="96">
        <f t="shared" si="355"/>
        <v>3761</v>
      </c>
    </row>
    <row r="5540" spans="3:15" x14ac:dyDescent="0.2">
      <c r="C5540" t="str">
        <f t="shared" si="352"/>
        <v>3762</v>
      </c>
      <c r="G5540" s="96">
        <f t="shared" si="353"/>
        <v>3762</v>
      </c>
      <c r="J5540" t="str">
        <f t="shared" si="356"/>
        <v/>
      </c>
      <c r="K5540" t="str">
        <f t="shared" si="354"/>
        <v>3762</v>
      </c>
      <c r="O5540" s="96">
        <f t="shared" si="355"/>
        <v>3762</v>
      </c>
    </row>
    <row r="5541" spans="3:15" x14ac:dyDescent="0.2">
      <c r="C5541" t="str">
        <f t="shared" si="352"/>
        <v>3763</v>
      </c>
      <c r="G5541" s="96">
        <f t="shared" si="353"/>
        <v>3763</v>
      </c>
      <c r="J5541" t="str">
        <f t="shared" si="356"/>
        <v/>
      </c>
      <c r="K5541" t="str">
        <f t="shared" si="354"/>
        <v>3763</v>
      </c>
      <c r="O5541" s="96">
        <f t="shared" si="355"/>
        <v>3763</v>
      </c>
    </row>
    <row r="5542" spans="3:15" x14ac:dyDescent="0.2">
      <c r="C5542" t="str">
        <f t="shared" si="352"/>
        <v>3764</v>
      </c>
      <c r="G5542" s="96">
        <f t="shared" si="353"/>
        <v>3764</v>
      </c>
      <c r="J5542" t="str">
        <f t="shared" si="356"/>
        <v/>
      </c>
      <c r="K5542" t="str">
        <f t="shared" si="354"/>
        <v>3764</v>
      </c>
      <c r="O5542" s="96">
        <f t="shared" si="355"/>
        <v>3764</v>
      </c>
    </row>
    <row r="5543" spans="3:15" x14ac:dyDescent="0.2">
      <c r="C5543" t="str">
        <f t="shared" si="352"/>
        <v>3765</v>
      </c>
      <c r="G5543" s="96">
        <f t="shared" si="353"/>
        <v>3765</v>
      </c>
      <c r="J5543" t="str">
        <f t="shared" si="356"/>
        <v/>
      </c>
      <c r="K5543" t="str">
        <f t="shared" si="354"/>
        <v>3765</v>
      </c>
      <c r="O5543" s="96">
        <f t="shared" si="355"/>
        <v>3765</v>
      </c>
    </row>
    <row r="5544" spans="3:15" x14ac:dyDescent="0.2">
      <c r="C5544" t="str">
        <f t="shared" si="352"/>
        <v>3766</v>
      </c>
      <c r="G5544" s="96">
        <f t="shared" si="353"/>
        <v>3766</v>
      </c>
      <c r="J5544" t="str">
        <f t="shared" si="356"/>
        <v/>
      </c>
      <c r="K5544" t="str">
        <f t="shared" si="354"/>
        <v>3766</v>
      </c>
      <c r="O5544" s="96">
        <f t="shared" si="355"/>
        <v>3766</v>
      </c>
    </row>
    <row r="5545" spans="3:15" x14ac:dyDescent="0.2">
      <c r="C5545" t="str">
        <f t="shared" si="352"/>
        <v>3767</v>
      </c>
      <c r="G5545" s="96">
        <f t="shared" si="353"/>
        <v>3767</v>
      </c>
      <c r="J5545" t="str">
        <f t="shared" si="356"/>
        <v/>
      </c>
      <c r="K5545" t="str">
        <f t="shared" si="354"/>
        <v>3767</v>
      </c>
      <c r="O5545" s="96">
        <f t="shared" si="355"/>
        <v>3767</v>
      </c>
    </row>
    <row r="5546" spans="3:15" x14ac:dyDescent="0.2">
      <c r="C5546" t="str">
        <f t="shared" si="352"/>
        <v>3768</v>
      </c>
      <c r="G5546" s="96">
        <f t="shared" si="353"/>
        <v>3768</v>
      </c>
      <c r="J5546" t="str">
        <f t="shared" si="356"/>
        <v/>
      </c>
      <c r="K5546" t="str">
        <f t="shared" si="354"/>
        <v>3768</v>
      </c>
      <c r="O5546" s="96">
        <f t="shared" si="355"/>
        <v>3768</v>
      </c>
    </row>
    <row r="5547" spans="3:15" x14ac:dyDescent="0.2">
      <c r="C5547" t="str">
        <f t="shared" si="352"/>
        <v>3769</v>
      </c>
      <c r="G5547" s="96">
        <f t="shared" si="353"/>
        <v>3769</v>
      </c>
      <c r="J5547" t="str">
        <f t="shared" si="356"/>
        <v/>
      </c>
      <c r="K5547" t="str">
        <f t="shared" si="354"/>
        <v>3769</v>
      </c>
      <c r="O5547" s="96">
        <f t="shared" si="355"/>
        <v>3769</v>
      </c>
    </row>
    <row r="5548" spans="3:15" x14ac:dyDescent="0.2">
      <c r="C5548" t="str">
        <f t="shared" si="352"/>
        <v>3770</v>
      </c>
      <c r="G5548" s="96">
        <f t="shared" si="353"/>
        <v>3770</v>
      </c>
      <c r="J5548" t="str">
        <f t="shared" si="356"/>
        <v/>
      </c>
      <c r="K5548" t="str">
        <f t="shared" si="354"/>
        <v>3770</v>
      </c>
      <c r="O5548" s="96">
        <f t="shared" si="355"/>
        <v>3770</v>
      </c>
    </row>
    <row r="5549" spans="3:15" x14ac:dyDescent="0.2">
      <c r="C5549" t="str">
        <f t="shared" si="352"/>
        <v>3771</v>
      </c>
      <c r="G5549" s="96">
        <f t="shared" si="353"/>
        <v>3771</v>
      </c>
      <c r="J5549" t="str">
        <f t="shared" si="356"/>
        <v/>
      </c>
      <c r="K5549" t="str">
        <f t="shared" si="354"/>
        <v>3771</v>
      </c>
      <c r="O5549" s="96">
        <f t="shared" si="355"/>
        <v>3771</v>
      </c>
    </row>
    <row r="5550" spans="3:15" x14ac:dyDescent="0.2">
      <c r="C5550" t="str">
        <f t="shared" si="352"/>
        <v>3772</v>
      </c>
      <c r="G5550" s="96">
        <f t="shared" si="353"/>
        <v>3772</v>
      </c>
      <c r="J5550" t="str">
        <f t="shared" si="356"/>
        <v/>
      </c>
      <c r="K5550" t="str">
        <f t="shared" si="354"/>
        <v>3772</v>
      </c>
      <c r="O5550" s="96">
        <f t="shared" si="355"/>
        <v>3772</v>
      </c>
    </row>
    <row r="5551" spans="3:15" x14ac:dyDescent="0.2">
      <c r="C5551" t="str">
        <f t="shared" si="352"/>
        <v>3773</v>
      </c>
      <c r="G5551" s="96">
        <f t="shared" si="353"/>
        <v>3773</v>
      </c>
      <c r="J5551" t="str">
        <f t="shared" si="356"/>
        <v/>
      </c>
      <c r="K5551" t="str">
        <f t="shared" si="354"/>
        <v>3773</v>
      </c>
      <c r="O5551" s="96">
        <f t="shared" si="355"/>
        <v>3773</v>
      </c>
    </row>
    <row r="5552" spans="3:15" x14ac:dyDescent="0.2">
      <c r="C5552" t="str">
        <f t="shared" si="352"/>
        <v>3774</v>
      </c>
      <c r="G5552" s="96">
        <f t="shared" si="353"/>
        <v>3774</v>
      </c>
      <c r="J5552" t="str">
        <f t="shared" si="356"/>
        <v/>
      </c>
      <c r="K5552" t="str">
        <f t="shared" si="354"/>
        <v>3774</v>
      </c>
      <c r="O5552" s="96">
        <f t="shared" si="355"/>
        <v>3774</v>
      </c>
    </row>
    <row r="5553" spans="3:15" x14ac:dyDescent="0.2">
      <c r="C5553" t="str">
        <f t="shared" si="352"/>
        <v>3775</v>
      </c>
      <c r="G5553" s="96">
        <f t="shared" si="353"/>
        <v>3775</v>
      </c>
      <c r="J5553" t="str">
        <f t="shared" si="356"/>
        <v/>
      </c>
      <c r="K5553" t="str">
        <f t="shared" si="354"/>
        <v>3775</v>
      </c>
      <c r="O5553" s="96">
        <f t="shared" si="355"/>
        <v>3775</v>
      </c>
    </row>
    <row r="5554" spans="3:15" x14ac:dyDescent="0.2">
      <c r="C5554" t="str">
        <f t="shared" si="352"/>
        <v>3776</v>
      </c>
      <c r="G5554" s="96">
        <f t="shared" si="353"/>
        <v>3776</v>
      </c>
      <c r="J5554" t="str">
        <f t="shared" si="356"/>
        <v/>
      </c>
      <c r="K5554" t="str">
        <f t="shared" si="354"/>
        <v>3776</v>
      </c>
      <c r="O5554" s="96">
        <f t="shared" si="355"/>
        <v>3776</v>
      </c>
    </row>
    <row r="5555" spans="3:15" x14ac:dyDescent="0.2">
      <c r="C5555" t="str">
        <f t="shared" si="352"/>
        <v>3777</v>
      </c>
      <c r="G5555" s="96">
        <f t="shared" si="353"/>
        <v>3777</v>
      </c>
      <c r="J5555" t="str">
        <f t="shared" si="356"/>
        <v/>
      </c>
      <c r="K5555" t="str">
        <f t="shared" si="354"/>
        <v>3777</v>
      </c>
      <c r="O5555" s="96">
        <f t="shared" si="355"/>
        <v>3777</v>
      </c>
    </row>
    <row r="5556" spans="3:15" x14ac:dyDescent="0.2">
      <c r="C5556" t="str">
        <f t="shared" si="352"/>
        <v>3778</v>
      </c>
      <c r="G5556" s="96">
        <f t="shared" si="353"/>
        <v>3778</v>
      </c>
      <c r="J5556" t="str">
        <f t="shared" si="356"/>
        <v/>
      </c>
      <c r="K5556" t="str">
        <f t="shared" si="354"/>
        <v>3778</v>
      </c>
      <c r="O5556" s="96">
        <f t="shared" si="355"/>
        <v>3778</v>
      </c>
    </row>
    <row r="5557" spans="3:15" x14ac:dyDescent="0.2">
      <c r="C5557" t="str">
        <f t="shared" si="352"/>
        <v>3779</v>
      </c>
      <c r="G5557" s="96">
        <f t="shared" si="353"/>
        <v>3779</v>
      </c>
      <c r="J5557" t="str">
        <f t="shared" si="356"/>
        <v/>
      </c>
      <c r="K5557" t="str">
        <f t="shared" si="354"/>
        <v>3779</v>
      </c>
      <c r="O5557" s="96">
        <f t="shared" si="355"/>
        <v>3779</v>
      </c>
    </row>
    <row r="5558" spans="3:15" x14ac:dyDescent="0.2">
      <c r="C5558" t="str">
        <f t="shared" si="352"/>
        <v>3780</v>
      </c>
      <c r="G5558" s="96">
        <f t="shared" si="353"/>
        <v>3780</v>
      </c>
      <c r="J5558" t="str">
        <f t="shared" si="356"/>
        <v/>
      </c>
      <c r="K5558" t="str">
        <f t="shared" si="354"/>
        <v>3780</v>
      </c>
      <c r="O5558" s="96">
        <f t="shared" si="355"/>
        <v>3780</v>
      </c>
    </row>
    <row r="5559" spans="3:15" x14ac:dyDescent="0.2">
      <c r="C5559" t="str">
        <f t="shared" si="352"/>
        <v>3781</v>
      </c>
      <c r="G5559" s="96">
        <f t="shared" si="353"/>
        <v>3781</v>
      </c>
      <c r="J5559" t="str">
        <f t="shared" si="356"/>
        <v/>
      </c>
      <c r="K5559" t="str">
        <f t="shared" si="354"/>
        <v>3781</v>
      </c>
      <c r="O5559" s="96">
        <f t="shared" si="355"/>
        <v>3781</v>
      </c>
    </row>
    <row r="5560" spans="3:15" x14ac:dyDescent="0.2">
      <c r="C5560" t="str">
        <f t="shared" si="352"/>
        <v>3782</v>
      </c>
      <c r="G5560" s="96">
        <f t="shared" si="353"/>
        <v>3782</v>
      </c>
      <c r="J5560" t="str">
        <f t="shared" si="356"/>
        <v/>
      </c>
      <c r="K5560" t="str">
        <f t="shared" si="354"/>
        <v>3782</v>
      </c>
      <c r="O5560" s="96">
        <f t="shared" si="355"/>
        <v>3782</v>
      </c>
    </row>
    <row r="5561" spans="3:15" x14ac:dyDescent="0.2">
      <c r="C5561" t="str">
        <f t="shared" si="352"/>
        <v>3783</v>
      </c>
      <c r="G5561" s="96">
        <f t="shared" si="353"/>
        <v>3783</v>
      </c>
      <c r="J5561" t="str">
        <f t="shared" si="356"/>
        <v/>
      </c>
      <c r="K5561" t="str">
        <f t="shared" si="354"/>
        <v>3783</v>
      </c>
      <c r="O5561" s="96">
        <f t="shared" si="355"/>
        <v>3783</v>
      </c>
    </row>
    <row r="5562" spans="3:15" x14ac:dyDescent="0.2">
      <c r="C5562" t="str">
        <f t="shared" si="352"/>
        <v>3784</v>
      </c>
      <c r="G5562" s="96">
        <f t="shared" si="353"/>
        <v>3784</v>
      </c>
      <c r="J5562" t="str">
        <f t="shared" si="356"/>
        <v/>
      </c>
      <c r="K5562" t="str">
        <f t="shared" si="354"/>
        <v>3784</v>
      </c>
      <c r="O5562" s="96">
        <f t="shared" si="355"/>
        <v>3784</v>
      </c>
    </row>
    <row r="5563" spans="3:15" x14ac:dyDescent="0.2">
      <c r="C5563" t="str">
        <f t="shared" si="352"/>
        <v>3785</v>
      </c>
      <c r="G5563" s="96">
        <f t="shared" si="353"/>
        <v>3785</v>
      </c>
      <c r="J5563" t="str">
        <f t="shared" si="356"/>
        <v/>
      </c>
      <c r="K5563" t="str">
        <f t="shared" si="354"/>
        <v>3785</v>
      </c>
      <c r="O5563" s="96">
        <f t="shared" si="355"/>
        <v>3785</v>
      </c>
    </row>
    <row r="5564" spans="3:15" x14ac:dyDescent="0.2">
      <c r="C5564" t="str">
        <f t="shared" si="352"/>
        <v>3786</v>
      </c>
      <c r="G5564" s="96">
        <f t="shared" si="353"/>
        <v>3786</v>
      </c>
      <c r="J5564" t="str">
        <f t="shared" si="356"/>
        <v/>
      </c>
      <c r="K5564" t="str">
        <f t="shared" si="354"/>
        <v>3786</v>
      </c>
      <c r="O5564" s="96">
        <f t="shared" si="355"/>
        <v>3786</v>
      </c>
    </row>
    <row r="5565" spans="3:15" x14ac:dyDescent="0.2">
      <c r="C5565" t="str">
        <f t="shared" si="352"/>
        <v>3787</v>
      </c>
      <c r="G5565" s="96">
        <f t="shared" si="353"/>
        <v>3787</v>
      </c>
      <c r="J5565" t="str">
        <f t="shared" si="356"/>
        <v/>
      </c>
      <c r="K5565" t="str">
        <f t="shared" si="354"/>
        <v>3787</v>
      </c>
      <c r="O5565" s="96">
        <f t="shared" si="355"/>
        <v>3787</v>
      </c>
    </row>
    <row r="5566" spans="3:15" x14ac:dyDescent="0.2">
      <c r="C5566" t="str">
        <f t="shared" si="352"/>
        <v>3788</v>
      </c>
      <c r="G5566" s="96">
        <f t="shared" si="353"/>
        <v>3788</v>
      </c>
      <c r="J5566" t="str">
        <f t="shared" si="356"/>
        <v/>
      </c>
      <c r="K5566" t="str">
        <f t="shared" si="354"/>
        <v>3788</v>
      </c>
      <c r="O5566" s="96">
        <f t="shared" si="355"/>
        <v>3788</v>
      </c>
    </row>
    <row r="5567" spans="3:15" x14ac:dyDescent="0.2">
      <c r="C5567" t="str">
        <f t="shared" si="352"/>
        <v>3789</v>
      </c>
      <c r="G5567" s="96">
        <f t="shared" si="353"/>
        <v>3789</v>
      </c>
      <c r="J5567" t="str">
        <f t="shared" si="356"/>
        <v/>
      </c>
      <c r="K5567" t="str">
        <f t="shared" si="354"/>
        <v>3789</v>
      </c>
      <c r="O5567" s="96">
        <f t="shared" si="355"/>
        <v>3789</v>
      </c>
    </row>
    <row r="5568" spans="3:15" x14ac:dyDescent="0.2">
      <c r="C5568" t="str">
        <f t="shared" si="352"/>
        <v>3790</v>
      </c>
      <c r="G5568" s="96">
        <f t="shared" si="353"/>
        <v>3790</v>
      </c>
      <c r="J5568" t="str">
        <f t="shared" si="356"/>
        <v/>
      </c>
      <c r="K5568" t="str">
        <f t="shared" si="354"/>
        <v>3790</v>
      </c>
      <c r="O5568" s="96">
        <f t="shared" si="355"/>
        <v>3790</v>
      </c>
    </row>
    <row r="5569" spans="3:15" x14ac:dyDescent="0.2">
      <c r="C5569" t="str">
        <f t="shared" si="352"/>
        <v>3791</v>
      </c>
      <c r="G5569" s="96">
        <f t="shared" si="353"/>
        <v>3791</v>
      </c>
      <c r="J5569" t="str">
        <f t="shared" si="356"/>
        <v/>
      </c>
      <c r="K5569" t="str">
        <f t="shared" si="354"/>
        <v>3791</v>
      </c>
      <c r="O5569" s="96">
        <f t="shared" si="355"/>
        <v>3791</v>
      </c>
    </row>
    <row r="5570" spans="3:15" x14ac:dyDescent="0.2">
      <c r="C5570" t="str">
        <f t="shared" si="352"/>
        <v>3792</v>
      </c>
      <c r="G5570" s="96">
        <f t="shared" si="353"/>
        <v>3792</v>
      </c>
      <c r="J5570" t="str">
        <f t="shared" si="356"/>
        <v/>
      </c>
      <c r="K5570" t="str">
        <f t="shared" si="354"/>
        <v>3792</v>
      </c>
      <c r="O5570" s="96">
        <f t="shared" si="355"/>
        <v>3792</v>
      </c>
    </row>
    <row r="5571" spans="3:15" x14ac:dyDescent="0.2">
      <c r="C5571" t="str">
        <f t="shared" ref="C5571:C5634" si="357">D5571&amp;G5571</f>
        <v>3793</v>
      </c>
      <c r="G5571" s="96">
        <f t="shared" ref="G5571:G5634" si="358">IF(D5571&lt;&gt;D5570,1,G5570+1)</f>
        <v>3793</v>
      </c>
      <c r="J5571" t="str">
        <f t="shared" si="356"/>
        <v/>
      </c>
      <c r="K5571" t="str">
        <f t="shared" ref="K5571:K5634" si="359">L5571&amp;O5571</f>
        <v>3793</v>
      </c>
      <c r="O5571" s="96">
        <f t="shared" ref="O5571:O5634" si="360">IF(L5571&lt;&gt;L5570,1,O5570+1)</f>
        <v>3793</v>
      </c>
    </row>
    <row r="5572" spans="3:15" x14ac:dyDescent="0.2">
      <c r="C5572" t="str">
        <f t="shared" si="357"/>
        <v>3794</v>
      </c>
      <c r="G5572" s="96">
        <f t="shared" si="358"/>
        <v>3794</v>
      </c>
      <c r="J5572" t="str">
        <f t="shared" si="356"/>
        <v/>
      </c>
      <c r="K5572" t="str">
        <f t="shared" si="359"/>
        <v>3794</v>
      </c>
      <c r="O5572" s="96">
        <f t="shared" si="360"/>
        <v>3794</v>
      </c>
    </row>
    <row r="5573" spans="3:15" x14ac:dyDescent="0.2">
      <c r="C5573" t="str">
        <f t="shared" si="357"/>
        <v>3795</v>
      </c>
      <c r="G5573" s="96">
        <f t="shared" si="358"/>
        <v>3795</v>
      </c>
      <c r="J5573" t="str">
        <f t="shared" si="356"/>
        <v/>
      </c>
      <c r="K5573" t="str">
        <f t="shared" si="359"/>
        <v>3795</v>
      </c>
      <c r="O5573" s="96">
        <f t="shared" si="360"/>
        <v>3795</v>
      </c>
    </row>
    <row r="5574" spans="3:15" x14ac:dyDescent="0.2">
      <c r="C5574" t="str">
        <f t="shared" si="357"/>
        <v>3796</v>
      </c>
      <c r="G5574" s="96">
        <f t="shared" si="358"/>
        <v>3796</v>
      </c>
      <c r="J5574" t="str">
        <f t="shared" si="356"/>
        <v/>
      </c>
      <c r="K5574" t="str">
        <f t="shared" si="359"/>
        <v>3796</v>
      </c>
      <c r="O5574" s="96">
        <f t="shared" si="360"/>
        <v>3796</v>
      </c>
    </row>
    <row r="5575" spans="3:15" x14ac:dyDescent="0.2">
      <c r="C5575" t="str">
        <f t="shared" si="357"/>
        <v>3797</v>
      </c>
      <c r="G5575" s="96">
        <f t="shared" si="358"/>
        <v>3797</v>
      </c>
      <c r="J5575" t="str">
        <f t="shared" si="356"/>
        <v/>
      </c>
      <c r="K5575" t="str">
        <f t="shared" si="359"/>
        <v>3797</v>
      </c>
      <c r="O5575" s="96">
        <f t="shared" si="360"/>
        <v>3797</v>
      </c>
    </row>
    <row r="5576" spans="3:15" x14ac:dyDescent="0.2">
      <c r="C5576" t="str">
        <f t="shared" si="357"/>
        <v>3798</v>
      </c>
      <c r="G5576" s="96">
        <f t="shared" si="358"/>
        <v>3798</v>
      </c>
      <c r="J5576" t="str">
        <f t="shared" si="356"/>
        <v/>
      </c>
      <c r="K5576" t="str">
        <f t="shared" si="359"/>
        <v>3798</v>
      </c>
      <c r="O5576" s="96">
        <f t="shared" si="360"/>
        <v>3798</v>
      </c>
    </row>
    <row r="5577" spans="3:15" x14ac:dyDescent="0.2">
      <c r="C5577" t="str">
        <f t="shared" si="357"/>
        <v>3799</v>
      </c>
      <c r="G5577" s="96">
        <f t="shared" si="358"/>
        <v>3799</v>
      </c>
      <c r="J5577" t="str">
        <f t="shared" si="356"/>
        <v/>
      </c>
      <c r="K5577" t="str">
        <f t="shared" si="359"/>
        <v>3799</v>
      </c>
      <c r="O5577" s="96">
        <f t="shared" si="360"/>
        <v>3799</v>
      </c>
    </row>
    <row r="5578" spans="3:15" x14ac:dyDescent="0.2">
      <c r="C5578" t="str">
        <f t="shared" si="357"/>
        <v>3800</v>
      </c>
      <c r="G5578" s="96">
        <f t="shared" si="358"/>
        <v>3800</v>
      </c>
      <c r="J5578" t="str">
        <f t="shared" ref="J5578:J5641" si="361">L5578&amp;M5578</f>
        <v/>
      </c>
      <c r="K5578" t="str">
        <f t="shared" si="359"/>
        <v>3800</v>
      </c>
      <c r="O5578" s="96">
        <f t="shared" si="360"/>
        <v>3800</v>
      </c>
    </row>
    <row r="5579" spans="3:15" x14ac:dyDescent="0.2">
      <c r="C5579" t="str">
        <f t="shared" si="357"/>
        <v>3801</v>
      </c>
      <c r="G5579" s="96">
        <f t="shared" si="358"/>
        <v>3801</v>
      </c>
      <c r="J5579" t="str">
        <f t="shared" si="361"/>
        <v/>
      </c>
      <c r="K5579" t="str">
        <f t="shared" si="359"/>
        <v>3801</v>
      </c>
      <c r="O5579" s="96">
        <f t="shared" si="360"/>
        <v>3801</v>
      </c>
    </row>
    <row r="5580" spans="3:15" x14ac:dyDescent="0.2">
      <c r="C5580" t="str">
        <f t="shared" si="357"/>
        <v>3802</v>
      </c>
      <c r="G5580" s="96">
        <f t="shared" si="358"/>
        <v>3802</v>
      </c>
      <c r="J5580" t="str">
        <f t="shared" si="361"/>
        <v/>
      </c>
      <c r="K5580" t="str">
        <f t="shared" si="359"/>
        <v>3802</v>
      </c>
      <c r="O5580" s="96">
        <f t="shared" si="360"/>
        <v>3802</v>
      </c>
    </row>
    <row r="5581" spans="3:15" x14ac:dyDescent="0.2">
      <c r="C5581" t="str">
        <f t="shared" si="357"/>
        <v>3803</v>
      </c>
      <c r="G5581" s="96">
        <f t="shared" si="358"/>
        <v>3803</v>
      </c>
      <c r="J5581" t="str">
        <f t="shared" si="361"/>
        <v/>
      </c>
      <c r="K5581" t="str">
        <f t="shared" si="359"/>
        <v>3803</v>
      </c>
      <c r="O5581" s="96">
        <f t="shared" si="360"/>
        <v>3803</v>
      </c>
    </row>
    <row r="5582" spans="3:15" x14ac:dyDescent="0.2">
      <c r="C5582" t="str">
        <f t="shared" si="357"/>
        <v>3804</v>
      </c>
      <c r="G5582" s="96">
        <f t="shared" si="358"/>
        <v>3804</v>
      </c>
      <c r="J5582" t="str">
        <f t="shared" si="361"/>
        <v/>
      </c>
      <c r="K5582" t="str">
        <f t="shared" si="359"/>
        <v>3804</v>
      </c>
      <c r="O5582" s="96">
        <f t="shared" si="360"/>
        <v>3804</v>
      </c>
    </row>
    <row r="5583" spans="3:15" x14ac:dyDescent="0.2">
      <c r="C5583" t="str">
        <f t="shared" si="357"/>
        <v>3805</v>
      </c>
      <c r="G5583" s="96">
        <f t="shared" si="358"/>
        <v>3805</v>
      </c>
      <c r="J5583" t="str">
        <f t="shared" si="361"/>
        <v/>
      </c>
      <c r="K5583" t="str">
        <f t="shared" si="359"/>
        <v>3805</v>
      </c>
      <c r="O5583" s="96">
        <f t="shared" si="360"/>
        <v>3805</v>
      </c>
    </row>
    <row r="5584" spans="3:15" x14ac:dyDescent="0.2">
      <c r="C5584" t="str">
        <f t="shared" si="357"/>
        <v>3806</v>
      </c>
      <c r="G5584" s="96">
        <f t="shared" si="358"/>
        <v>3806</v>
      </c>
      <c r="J5584" t="str">
        <f t="shared" si="361"/>
        <v/>
      </c>
      <c r="K5584" t="str">
        <f t="shared" si="359"/>
        <v>3806</v>
      </c>
      <c r="O5584" s="96">
        <f t="shared" si="360"/>
        <v>3806</v>
      </c>
    </row>
    <row r="5585" spans="3:15" x14ac:dyDescent="0.2">
      <c r="C5585" t="str">
        <f t="shared" si="357"/>
        <v>3807</v>
      </c>
      <c r="G5585" s="96">
        <f t="shared" si="358"/>
        <v>3807</v>
      </c>
      <c r="J5585" t="str">
        <f t="shared" si="361"/>
        <v/>
      </c>
      <c r="K5585" t="str">
        <f t="shared" si="359"/>
        <v>3807</v>
      </c>
      <c r="O5585" s="96">
        <f t="shared" si="360"/>
        <v>3807</v>
      </c>
    </row>
    <row r="5586" spans="3:15" x14ac:dyDescent="0.2">
      <c r="C5586" t="str">
        <f t="shared" si="357"/>
        <v>3808</v>
      </c>
      <c r="G5586" s="96">
        <f t="shared" si="358"/>
        <v>3808</v>
      </c>
      <c r="J5586" t="str">
        <f t="shared" si="361"/>
        <v/>
      </c>
      <c r="K5586" t="str">
        <f t="shared" si="359"/>
        <v>3808</v>
      </c>
      <c r="O5586" s="96">
        <f t="shared" si="360"/>
        <v>3808</v>
      </c>
    </row>
    <row r="5587" spans="3:15" x14ac:dyDescent="0.2">
      <c r="C5587" t="str">
        <f t="shared" si="357"/>
        <v>3809</v>
      </c>
      <c r="G5587" s="96">
        <f t="shared" si="358"/>
        <v>3809</v>
      </c>
      <c r="J5587" t="str">
        <f t="shared" si="361"/>
        <v/>
      </c>
      <c r="K5587" t="str">
        <f t="shared" si="359"/>
        <v>3809</v>
      </c>
      <c r="O5587" s="96">
        <f t="shared" si="360"/>
        <v>3809</v>
      </c>
    </row>
    <row r="5588" spans="3:15" x14ac:dyDescent="0.2">
      <c r="C5588" t="str">
        <f t="shared" si="357"/>
        <v>3810</v>
      </c>
      <c r="G5588" s="96">
        <f t="shared" si="358"/>
        <v>3810</v>
      </c>
      <c r="J5588" t="str">
        <f t="shared" si="361"/>
        <v/>
      </c>
      <c r="K5588" t="str">
        <f t="shared" si="359"/>
        <v>3810</v>
      </c>
      <c r="O5588" s="96">
        <f t="shared" si="360"/>
        <v>3810</v>
      </c>
    </row>
    <row r="5589" spans="3:15" x14ac:dyDescent="0.2">
      <c r="C5589" t="str">
        <f t="shared" si="357"/>
        <v>3811</v>
      </c>
      <c r="G5589" s="96">
        <f t="shared" si="358"/>
        <v>3811</v>
      </c>
      <c r="J5589" t="str">
        <f t="shared" si="361"/>
        <v/>
      </c>
      <c r="K5589" t="str">
        <f t="shared" si="359"/>
        <v>3811</v>
      </c>
      <c r="O5589" s="96">
        <f t="shared" si="360"/>
        <v>3811</v>
      </c>
    </row>
    <row r="5590" spans="3:15" x14ac:dyDescent="0.2">
      <c r="C5590" t="str">
        <f t="shared" si="357"/>
        <v>3812</v>
      </c>
      <c r="G5590" s="96">
        <f t="shared" si="358"/>
        <v>3812</v>
      </c>
      <c r="J5590" t="str">
        <f t="shared" si="361"/>
        <v/>
      </c>
      <c r="K5590" t="str">
        <f t="shared" si="359"/>
        <v>3812</v>
      </c>
      <c r="O5590" s="96">
        <f t="shared" si="360"/>
        <v>3812</v>
      </c>
    </row>
    <row r="5591" spans="3:15" x14ac:dyDescent="0.2">
      <c r="C5591" t="str">
        <f t="shared" si="357"/>
        <v>3813</v>
      </c>
      <c r="G5591" s="96">
        <f t="shared" si="358"/>
        <v>3813</v>
      </c>
      <c r="J5591" t="str">
        <f t="shared" si="361"/>
        <v/>
      </c>
      <c r="K5591" t="str">
        <f t="shared" si="359"/>
        <v>3813</v>
      </c>
      <c r="O5591" s="96">
        <f t="shared" si="360"/>
        <v>3813</v>
      </c>
    </row>
    <row r="5592" spans="3:15" x14ac:dyDescent="0.2">
      <c r="C5592" t="str">
        <f t="shared" si="357"/>
        <v>3814</v>
      </c>
      <c r="G5592" s="96">
        <f t="shared" si="358"/>
        <v>3814</v>
      </c>
      <c r="J5592" t="str">
        <f t="shared" si="361"/>
        <v/>
      </c>
      <c r="K5592" t="str">
        <f t="shared" si="359"/>
        <v>3814</v>
      </c>
      <c r="O5592" s="96">
        <f t="shared" si="360"/>
        <v>3814</v>
      </c>
    </row>
    <row r="5593" spans="3:15" x14ac:dyDescent="0.2">
      <c r="C5593" t="str">
        <f t="shared" si="357"/>
        <v>3815</v>
      </c>
      <c r="G5593" s="96">
        <f t="shared" si="358"/>
        <v>3815</v>
      </c>
      <c r="J5593" t="str">
        <f t="shared" si="361"/>
        <v/>
      </c>
      <c r="K5593" t="str">
        <f t="shared" si="359"/>
        <v>3815</v>
      </c>
      <c r="O5593" s="96">
        <f t="shared" si="360"/>
        <v>3815</v>
      </c>
    </row>
    <row r="5594" spans="3:15" x14ac:dyDescent="0.2">
      <c r="C5594" t="str">
        <f t="shared" si="357"/>
        <v>3816</v>
      </c>
      <c r="G5594" s="96">
        <f t="shared" si="358"/>
        <v>3816</v>
      </c>
      <c r="J5594" t="str">
        <f t="shared" si="361"/>
        <v/>
      </c>
      <c r="K5594" t="str">
        <f t="shared" si="359"/>
        <v>3816</v>
      </c>
      <c r="O5594" s="96">
        <f t="shared" si="360"/>
        <v>3816</v>
      </c>
    </row>
    <row r="5595" spans="3:15" x14ac:dyDescent="0.2">
      <c r="C5595" t="str">
        <f t="shared" si="357"/>
        <v>3817</v>
      </c>
      <c r="G5595" s="96">
        <f t="shared" si="358"/>
        <v>3817</v>
      </c>
      <c r="J5595" t="str">
        <f t="shared" si="361"/>
        <v/>
      </c>
      <c r="K5595" t="str">
        <f t="shared" si="359"/>
        <v>3817</v>
      </c>
      <c r="O5595" s="96">
        <f t="shared" si="360"/>
        <v>3817</v>
      </c>
    </row>
    <row r="5596" spans="3:15" x14ac:dyDescent="0.2">
      <c r="C5596" t="str">
        <f t="shared" si="357"/>
        <v>3818</v>
      </c>
      <c r="G5596" s="96">
        <f t="shared" si="358"/>
        <v>3818</v>
      </c>
      <c r="J5596" t="str">
        <f t="shared" si="361"/>
        <v/>
      </c>
      <c r="K5596" t="str">
        <f t="shared" si="359"/>
        <v>3818</v>
      </c>
      <c r="O5596" s="96">
        <f t="shared" si="360"/>
        <v>3818</v>
      </c>
    </row>
    <row r="5597" spans="3:15" x14ac:dyDescent="0.2">
      <c r="C5597" t="str">
        <f t="shared" si="357"/>
        <v>3819</v>
      </c>
      <c r="G5597" s="96">
        <f t="shared" si="358"/>
        <v>3819</v>
      </c>
      <c r="J5597" t="str">
        <f t="shared" si="361"/>
        <v/>
      </c>
      <c r="K5597" t="str">
        <f t="shared" si="359"/>
        <v>3819</v>
      </c>
      <c r="O5597" s="96">
        <f t="shared" si="360"/>
        <v>3819</v>
      </c>
    </row>
    <row r="5598" spans="3:15" x14ac:dyDescent="0.2">
      <c r="C5598" t="str">
        <f t="shared" si="357"/>
        <v>3820</v>
      </c>
      <c r="G5598" s="96">
        <f t="shared" si="358"/>
        <v>3820</v>
      </c>
      <c r="J5598" t="str">
        <f t="shared" si="361"/>
        <v/>
      </c>
      <c r="K5598" t="str">
        <f t="shared" si="359"/>
        <v>3820</v>
      </c>
      <c r="O5598" s="96">
        <f t="shared" si="360"/>
        <v>3820</v>
      </c>
    </row>
    <row r="5599" spans="3:15" x14ac:dyDescent="0.2">
      <c r="C5599" t="str">
        <f t="shared" si="357"/>
        <v>3821</v>
      </c>
      <c r="G5599" s="96">
        <f t="shared" si="358"/>
        <v>3821</v>
      </c>
      <c r="J5599" t="str">
        <f t="shared" si="361"/>
        <v/>
      </c>
      <c r="K5599" t="str">
        <f t="shared" si="359"/>
        <v>3821</v>
      </c>
      <c r="O5599" s="96">
        <f t="shared" si="360"/>
        <v>3821</v>
      </c>
    </row>
    <row r="5600" spans="3:15" x14ac:dyDescent="0.2">
      <c r="C5600" t="str">
        <f t="shared" si="357"/>
        <v>3822</v>
      </c>
      <c r="G5600" s="96">
        <f t="shared" si="358"/>
        <v>3822</v>
      </c>
      <c r="J5600" t="str">
        <f t="shared" si="361"/>
        <v/>
      </c>
      <c r="K5600" t="str">
        <f t="shared" si="359"/>
        <v>3822</v>
      </c>
      <c r="O5600" s="96">
        <f t="shared" si="360"/>
        <v>3822</v>
      </c>
    </row>
    <row r="5601" spans="3:15" x14ac:dyDescent="0.2">
      <c r="C5601" t="str">
        <f t="shared" si="357"/>
        <v>3823</v>
      </c>
      <c r="G5601" s="96">
        <f t="shared" si="358"/>
        <v>3823</v>
      </c>
      <c r="J5601" t="str">
        <f t="shared" si="361"/>
        <v/>
      </c>
      <c r="K5601" t="str">
        <f t="shared" si="359"/>
        <v>3823</v>
      </c>
      <c r="O5601" s="96">
        <f t="shared" si="360"/>
        <v>3823</v>
      </c>
    </row>
    <row r="5602" spans="3:15" x14ac:dyDescent="0.2">
      <c r="C5602" t="str">
        <f t="shared" si="357"/>
        <v>3824</v>
      </c>
      <c r="G5602" s="96">
        <f t="shared" si="358"/>
        <v>3824</v>
      </c>
      <c r="J5602" t="str">
        <f t="shared" si="361"/>
        <v/>
      </c>
      <c r="K5602" t="str">
        <f t="shared" si="359"/>
        <v>3824</v>
      </c>
      <c r="O5602" s="96">
        <f t="shared" si="360"/>
        <v>3824</v>
      </c>
    </row>
    <row r="5603" spans="3:15" x14ac:dyDescent="0.2">
      <c r="C5603" t="str">
        <f t="shared" si="357"/>
        <v>3825</v>
      </c>
      <c r="G5603" s="96">
        <f t="shared" si="358"/>
        <v>3825</v>
      </c>
      <c r="J5603" t="str">
        <f t="shared" si="361"/>
        <v/>
      </c>
      <c r="K5603" t="str">
        <f t="shared" si="359"/>
        <v>3825</v>
      </c>
      <c r="O5603" s="96">
        <f t="shared" si="360"/>
        <v>3825</v>
      </c>
    </row>
    <row r="5604" spans="3:15" x14ac:dyDescent="0.2">
      <c r="C5604" t="str">
        <f t="shared" si="357"/>
        <v>3826</v>
      </c>
      <c r="G5604" s="96">
        <f t="shared" si="358"/>
        <v>3826</v>
      </c>
      <c r="J5604" t="str">
        <f t="shared" si="361"/>
        <v/>
      </c>
      <c r="K5604" t="str">
        <f t="shared" si="359"/>
        <v>3826</v>
      </c>
      <c r="O5604" s="96">
        <f t="shared" si="360"/>
        <v>3826</v>
      </c>
    </row>
    <row r="5605" spans="3:15" x14ac:dyDescent="0.2">
      <c r="C5605" t="str">
        <f t="shared" si="357"/>
        <v>3827</v>
      </c>
      <c r="G5605" s="96">
        <f t="shared" si="358"/>
        <v>3827</v>
      </c>
      <c r="J5605" t="str">
        <f t="shared" si="361"/>
        <v/>
      </c>
      <c r="K5605" t="str">
        <f t="shared" si="359"/>
        <v>3827</v>
      </c>
      <c r="O5605" s="96">
        <f t="shared" si="360"/>
        <v>3827</v>
      </c>
    </row>
    <row r="5606" spans="3:15" x14ac:dyDescent="0.2">
      <c r="C5606" t="str">
        <f t="shared" si="357"/>
        <v>3828</v>
      </c>
      <c r="G5606" s="96">
        <f t="shared" si="358"/>
        <v>3828</v>
      </c>
      <c r="J5606" t="str">
        <f t="shared" si="361"/>
        <v/>
      </c>
      <c r="K5606" t="str">
        <f t="shared" si="359"/>
        <v>3828</v>
      </c>
      <c r="O5606" s="96">
        <f t="shared" si="360"/>
        <v>3828</v>
      </c>
    </row>
    <row r="5607" spans="3:15" x14ac:dyDescent="0.2">
      <c r="C5607" t="str">
        <f t="shared" si="357"/>
        <v>3829</v>
      </c>
      <c r="G5607" s="96">
        <f t="shared" si="358"/>
        <v>3829</v>
      </c>
      <c r="J5607" t="str">
        <f t="shared" si="361"/>
        <v/>
      </c>
      <c r="K5607" t="str">
        <f t="shared" si="359"/>
        <v>3829</v>
      </c>
      <c r="O5607" s="96">
        <f t="shared" si="360"/>
        <v>3829</v>
      </c>
    </row>
    <row r="5608" spans="3:15" x14ac:dyDescent="0.2">
      <c r="C5608" t="str">
        <f t="shared" si="357"/>
        <v>3830</v>
      </c>
      <c r="G5608" s="96">
        <f t="shared" si="358"/>
        <v>3830</v>
      </c>
      <c r="J5608" t="str">
        <f t="shared" si="361"/>
        <v/>
      </c>
      <c r="K5608" t="str">
        <f t="shared" si="359"/>
        <v>3830</v>
      </c>
      <c r="O5608" s="96">
        <f t="shared" si="360"/>
        <v>3830</v>
      </c>
    </row>
    <row r="5609" spans="3:15" x14ac:dyDescent="0.2">
      <c r="C5609" t="str">
        <f t="shared" si="357"/>
        <v>3831</v>
      </c>
      <c r="G5609" s="96">
        <f t="shared" si="358"/>
        <v>3831</v>
      </c>
      <c r="J5609" t="str">
        <f t="shared" si="361"/>
        <v/>
      </c>
      <c r="K5609" t="str">
        <f t="shared" si="359"/>
        <v>3831</v>
      </c>
      <c r="O5609" s="96">
        <f t="shared" si="360"/>
        <v>3831</v>
      </c>
    </row>
    <row r="5610" spans="3:15" x14ac:dyDescent="0.2">
      <c r="C5610" t="str">
        <f t="shared" si="357"/>
        <v>3832</v>
      </c>
      <c r="G5610" s="96">
        <f t="shared" si="358"/>
        <v>3832</v>
      </c>
      <c r="J5610" t="str">
        <f t="shared" si="361"/>
        <v/>
      </c>
      <c r="K5610" t="str">
        <f t="shared" si="359"/>
        <v>3832</v>
      </c>
      <c r="O5610" s="96">
        <f t="shared" si="360"/>
        <v>3832</v>
      </c>
    </row>
    <row r="5611" spans="3:15" x14ac:dyDescent="0.2">
      <c r="C5611" t="str">
        <f t="shared" si="357"/>
        <v>3833</v>
      </c>
      <c r="G5611" s="96">
        <f t="shared" si="358"/>
        <v>3833</v>
      </c>
      <c r="J5611" t="str">
        <f t="shared" si="361"/>
        <v/>
      </c>
      <c r="K5611" t="str">
        <f t="shared" si="359"/>
        <v>3833</v>
      </c>
      <c r="O5611" s="96">
        <f t="shared" si="360"/>
        <v>3833</v>
      </c>
    </row>
    <row r="5612" spans="3:15" x14ac:dyDescent="0.2">
      <c r="C5612" t="str">
        <f t="shared" si="357"/>
        <v>3834</v>
      </c>
      <c r="G5612" s="96">
        <f t="shared" si="358"/>
        <v>3834</v>
      </c>
      <c r="J5612" t="str">
        <f t="shared" si="361"/>
        <v/>
      </c>
      <c r="K5612" t="str">
        <f t="shared" si="359"/>
        <v>3834</v>
      </c>
      <c r="O5612" s="96">
        <f t="shared" si="360"/>
        <v>3834</v>
      </c>
    </row>
    <row r="5613" spans="3:15" x14ac:dyDescent="0.2">
      <c r="C5613" t="str">
        <f t="shared" si="357"/>
        <v>3835</v>
      </c>
      <c r="G5613" s="96">
        <f t="shared" si="358"/>
        <v>3835</v>
      </c>
      <c r="J5613" t="str">
        <f t="shared" si="361"/>
        <v/>
      </c>
      <c r="K5613" t="str">
        <f t="shared" si="359"/>
        <v>3835</v>
      </c>
      <c r="O5613" s="96">
        <f t="shared" si="360"/>
        <v>3835</v>
      </c>
    </row>
    <row r="5614" spans="3:15" x14ac:dyDescent="0.2">
      <c r="C5614" t="str">
        <f t="shared" si="357"/>
        <v>3836</v>
      </c>
      <c r="G5614" s="96">
        <f t="shared" si="358"/>
        <v>3836</v>
      </c>
      <c r="J5614" t="str">
        <f t="shared" si="361"/>
        <v/>
      </c>
      <c r="K5614" t="str">
        <f t="shared" si="359"/>
        <v>3836</v>
      </c>
      <c r="O5614" s="96">
        <f t="shared" si="360"/>
        <v>3836</v>
      </c>
    </row>
    <row r="5615" spans="3:15" x14ac:dyDescent="0.2">
      <c r="C5615" t="str">
        <f t="shared" si="357"/>
        <v>3837</v>
      </c>
      <c r="G5615" s="96">
        <f t="shared" si="358"/>
        <v>3837</v>
      </c>
      <c r="J5615" t="str">
        <f t="shared" si="361"/>
        <v/>
      </c>
      <c r="K5615" t="str">
        <f t="shared" si="359"/>
        <v>3837</v>
      </c>
      <c r="O5615" s="96">
        <f t="shared" si="360"/>
        <v>3837</v>
      </c>
    </row>
    <row r="5616" spans="3:15" x14ac:dyDescent="0.2">
      <c r="C5616" t="str">
        <f t="shared" si="357"/>
        <v>3838</v>
      </c>
      <c r="G5616" s="96">
        <f t="shared" si="358"/>
        <v>3838</v>
      </c>
      <c r="J5616" t="str">
        <f t="shared" si="361"/>
        <v/>
      </c>
      <c r="K5616" t="str">
        <f t="shared" si="359"/>
        <v>3838</v>
      </c>
      <c r="O5616" s="96">
        <f t="shared" si="360"/>
        <v>3838</v>
      </c>
    </row>
    <row r="5617" spans="3:15" x14ac:dyDescent="0.2">
      <c r="C5617" t="str">
        <f t="shared" si="357"/>
        <v>3839</v>
      </c>
      <c r="G5617" s="96">
        <f t="shared" si="358"/>
        <v>3839</v>
      </c>
      <c r="J5617" t="str">
        <f t="shared" si="361"/>
        <v/>
      </c>
      <c r="K5617" t="str">
        <f t="shared" si="359"/>
        <v>3839</v>
      </c>
      <c r="O5617" s="96">
        <f t="shared" si="360"/>
        <v>3839</v>
      </c>
    </row>
    <row r="5618" spans="3:15" x14ac:dyDescent="0.2">
      <c r="C5618" t="str">
        <f t="shared" si="357"/>
        <v>3840</v>
      </c>
      <c r="G5618" s="96">
        <f t="shared" si="358"/>
        <v>3840</v>
      </c>
      <c r="J5618" t="str">
        <f t="shared" si="361"/>
        <v/>
      </c>
      <c r="K5618" t="str">
        <f t="shared" si="359"/>
        <v>3840</v>
      </c>
      <c r="O5618" s="96">
        <f t="shared" si="360"/>
        <v>3840</v>
      </c>
    </row>
    <row r="5619" spans="3:15" x14ac:dyDescent="0.2">
      <c r="C5619" t="str">
        <f t="shared" si="357"/>
        <v>3841</v>
      </c>
      <c r="G5619" s="96">
        <f t="shared" si="358"/>
        <v>3841</v>
      </c>
      <c r="J5619" t="str">
        <f t="shared" si="361"/>
        <v/>
      </c>
      <c r="K5619" t="str">
        <f t="shared" si="359"/>
        <v>3841</v>
      </c>
      <c r="O5619" s="96">
        <f t="shared" si="360"/>
        <v>3841</v>
      </c>
    </row>
    <row r="5620" spans="3:15" x14ac:dyDescent="0.2">
      <c r="C5620" t="str">
        <f t="shared" si="357"/>
        <v>3842</v>
      </c>
      <c r="G5620" s="96">
        <f t="shared" si="358"/>
        <v>3842</v>
      </c>
      <c r="J5620" t="str">
        <f t="shared" si="361"/>
        <v/>
      </c>
      <c r="K5620" t="str">
        <f t="shared" si="359"/>
        <v>3842</v>
      </c>
      <c r="O5620" s="96">
        <f t="shared" si="360"/>
        <v>3842</v>
      </c>
    </row>
    <row r="5621" spans="3:15" x14ac:dyDescent="0.2">
      <c r="C5621" t="str">
        <f t="shared" si="357"/>
        <v>3843</v>
      </c>
      <c r="G5621" s="96">
        <f t="shared" si="358"/>
        <v>3843</v>
      </c>
      <c r="J5621" t="str">
        <f t="shared" si="361"/>
        <v/>
      </c>
      <c r="K5621" t="str">
        <f t="shared" si="359"/>
        <v>3843</v>
      </c>
      <c r="O5621" s="96">
        <f t="shared" si="360"/>
        <v>3843</v>
      </c>
    </row>
    <row r="5622" spans="3:15" x14ac:dyDescent="0.2">
      <c r="C5622" t="str">
        <f t="shared" si="357"/>
        <v>3844</v>
      </c>
      <c r="G5622" s="96">
        <f t="shared" si="358"/>
        <v>3844</v>
      </c>
      <c r="J5622" t="str">
        <f t="shared" si="361"/>
        <v/>
      </c>
      <c r="K5622" t="str">
        <f t="shared" si="359"/>
        <v>3844</v>
      </c>
      <c r="O5622" s="96">
        <f t="shared" si="360"/>
        <v>3844</v>
      </c>
    </row>
    <row r="5623" spans="3:15" x14ac:dyDescent="0.2">
      <c r="C5623" t="str">
        <f t="shared" si="357"/>
        <v>3845</v>
      </c>
      <c r="G5623" s="96">
        <f t="shared" si="358"/>
        <v>3845</v>
      </c>
      <c r="J5623" t="str">
        <f t="shared" si="361"/>
        <v/>
      </c>
      <c r="K5623" t="str">
        <f t="shared" si="359"/>
        <v>3845</v>
      </c>
      <c r="O5623" s="96">
        <f t="shared" si="360"/>
        <v>3845</v>
      </c>
    </row>
    <row r="5624" spans="3:15" x14ac:dyDescent="0.2">
      <c r="C5624" t="str">
        <f t="shared" si="357"/>
        <v>3846</v>
      </c>
      <c r="G5624" s="96">
        <f t="shared" si="358"/>
        <v>3846</v>
      </c>
      <c r="J5624" t="str">
        <f t="shared" si="361"/>
        <v/>
      </c>
      <c r="K5624" t="str">
        <f t="shared" si="359"/>
        <v>3846</v>
      </c>
      <c r="O5624" s="96">
        <f t="shared" si="360"/>
        <v>3846</v>
      </c>
    </row>
    <row r="5625" spans="3:15" x14ac:dyDescent="0.2">
      <c r="C5625" t="str">
        <f t="shared" si="357"/>
        <v>3847</v>
      </c>
      <c r="G5625" s="96">
        <f t="shared" si="358"/>
        <v>3847</v>
      </c>
      <c r="J5625" t="str">
        <f t="shared" si="361"/>
        <v/>
      </c>
      <c r="K5625" t="str">
        <f t="shared" si="359"/>
        <v>3847</v>
      </c>
      <c r="O5625" s="96">
        <f t="shared" si="360"/>
        <v>3847</v>
      </c>
    </row>
    <row r="5626" spans="3:15" x14ac:dyDescent="0.2">
      <c r="C5626" t="str">
        <f t="shared" si="357"/>
        <v>3848</v>
      </c>
      <c r="G5626" s="96">
        <f t="shared" si="358"/>
        <v>3848</v>
      </c>
      <c r="J5626" t="str">
        <f t="shared" si="361"/>
        <v/>
      </c>
      <c r="K5626" t="str">
        <f t="shared" si="359"/>
        <v>3848</v>
      </c>
      <c r="O5626" s="96">
        <f t="shared" si="360"/>
        <v>3848</v>
      </c>
    </row>
    <row r="5627" spans="3:15" x14ac:dyDescent="0.2">
      <c r="C5627" t="str">
        <f t="shared" si="357"/>
        <v>3849</v>
      </c>
      <c r="G5627" s="96">
        <f t="shared" si="358"/>
        <v>3849</v>
      </c>
      <c r="J5627" t="str">
        <f t="shared" si="361"/>
        <v/>
      </c>
      <c r="K5627" t="str">
        <f t="shared" si="359"/>
        <v>3849</v>
      </c>
      <c r="O5627" s="96">
        <f t="shared" si="360"/>
        <v>3849</v>
      </c>
    </row>
    <row r="5628" spans="3:15" x14ac:dyDescent="0.2">
      <c r="C5628" t="str">
        <f t="shared" si="357"/>
        <v>3850</v>
      </c>
      <c r="G5628" s="96">
        <f t="shared" si="358"/>
        <v>3850</v>
      </c>
      <c r="J5628" t="str">
        <f t="shared" si="361"/>
        <v/>
      </c>
      <c r="K5628" t="str">
        <f t="shared" si="359"/>
        <v>3850</v>
      </c>
      <c r="O5628" s="96">
        <f t="shared" si="360"/>
        <v>3850</v>
      </c>
    </row>
    <row r="5629" spans="3:15" x14ac:dyDescent="0.2">
      <c r="C5629" t="str">
        <f t="shared" si="357"/>
        <v>3851</v>
      </c>
      <c r="G5629" s="96">
        <f t="shared" si="358"/>
        <v>3851</v>
      </c>
      <c r="J5629" t="str">
        <f t="shared" si="361"/>
        <v/>
      </c>
      <c r="K5629" t="str">
        <f t="shared" si="359"/>
        <v>3851</v>
      </c>
      <c r="O5629" s="96">
        <f t="shared" si="360"/>
        <v>3851</v>
      </c>
    </row>
    <row r="5630" spans="3:15" x14ac:dyDescent="0.2">
      <c r="C5630" t="str">
        <f t="shared" si="357"/>
        <v>3852</v>
      </c>
      <c r="G5630" s="96">
        <f t="shared" si="358"/>
        <v>3852</v>
      </c>
      <c r="J5630" t="str">
        <f t="shared" si="361"/>
        <v/>
      </c>
      <c r="K5630" t="str">
        <f t="shared" si="359"/>
        <v>3852</v>
      </c>
      <c r="O5630" s="96">
        <f t="shared" si="360"/>
        <v>3852</v>
      </c>
    </row>
    <row r="5631" spans="3:15" x14ac:dyDescent="0.2">
      <c r="C5631" t="str">
        <f t="shared" si="357"/>
        <v>3853</v>
      </c>
      <c r="G5631" s="96">
        <f t="shared" si="358"/>
        <v>3853</v>
      </c>
      <c r="J5631" t="str">
        <f t="shared" si="361"/>
        <v/>
      </c>
      <c r="K5631" t="str">
        <f t="shared" si="359"/>
        <v>3853</v>
      </c>
      <c r="O5631" s="96">
        <f t="shared" si="360"/>
        <v>3853</v>
      </c>
    </row>
    <row r="5632" spans="3:15" x14ac:dyDescent="0.2">
      <c r="C5632" t="str">
        <f t="shared" si="357"/>
        <v>3854</v>
      </c>
      <c r="G5632" s="96">
        <f t="shared" si="358"/>
        <v>3854</v>
      </c>
      <c r="J5632" t="str">
        <f t="shared" si="361"/>
        <v/>
      </c>
      <c r="K5632" t="str">
        <f t="shared" si="359"/>
        <v>3854</v>
      </c>
      <c r="O5632" s="96">
        <f t="shared" si="360"/>
        <v>3854</v>
      </c>
    </row>
    <row r="5633" spans="3:15" x14ac:dyDescent="0.2">
      <c r="C5633" t="str">
        <f t="shared" si="357"/>
        <v>3855</v>
      </c>
      <c r="G5633" s="96">
        <f t="shared" si="358"/>
        <v>3855</v>
      </c>
      <c r="J5633" t="str">
        <f t="shared" si="361"/>
        <v/>
      </c>
      <c r="K5633" t="str">
        <f t="shared" si="359"/>
        <v>3855</v>
      </c>
      <c r="O5633" s="96">
        <f t="shared" si="360"/>
        <v>3855</v>
      </c>
    </row>
    <row r="5634" spans="3:15" x14ac:dyDescent="0.2">
      <c r="C5634" t="str">
        <f t="shared" si="357"/>
        <v>3856</v>
      </c>
      <c r="G5634" s="96">
        <f t="shared" si="358"/>
        <v>3856</v>
      </c>
      <c r="J5634" t="str">
        <f t="shared" si="361"/>
        <v/>
      </c>
      <c r="K5634" t="str">
        <f t="shared" si="359"/>
        <v>3856</v>
      </c>
      <c r="O5634" s="96">
        <f t="shared" si="360"/>
        <v>3856</v>
      </c>
    </row>
    <row r="5635" spans="3:15" x14ac:dyDescent="0.2">
      <c r="C5635" t="str">
        <f t="shared" ref="C5635:C5698" si="362">D5635&amp;G5635</f>
        <v>3857</v>
      </c>
      <c r="G5635" s="96">
        <f t="shared" ref="G5635:G5698" si="363">IF(D5635&lt;&gt;D5634,1,G5634+1)</f>
        <v>3857</v>
      </c>
      <c r="J5635" t="str">
        <f t="shared" si="361"/>
        <v/>
      </c>
      <c r="K5635" t="str">
        <f t="shared" ref="K5635:K5698" si="364">L5635&amp;O5635</f>
        <v>3857</v>
      </c>
      <c r="O5635" s="96">
        <f t="shared" ref="O5635:O5698" si="365">IF(L5635&lt;&gt;L5634,1,O5634+1)</f>
        <v>3857</v>
      </c>
    </row>
    <row r="5636" spans="3:15" x14ac:dyDescent="0.2">
      <c r="C5636" t="str">
        <f t="shared" si="362"/>
        <v>3858</v>
      </c>
      <c r="G5636" s="96">
        <f t="shared" si="363"/>
        <v>3858</v>
      </c>
      <c r="J5636" t="str">
        <f t="shared" si="361"/>
        <v/>
      </c>
      <c r="K5636" t="str">
        <f t="shared" si="364"/>
        <v>3858</v>
      </c>
      <c r="O5636" s="96">
        <f t="shared" si="365"/>
        <v>3858</v>
      </c>
    </row>
    <row r="5637" spans="3:15" x14ac:dyDescent="0.2">
      <c r="C5637" t="str">
        <f t="shared" si="362"/>
        <v>3859</v>
      </c>
      <c r="G5637" s="96">
        <f t="shared" si="363"/>
        <v>3859</v>
      </c>
      <c r="J5637" t="str">
        <f t="shared" si="361"/>
        <v/>
      </c>
      <c r="K5637" t="str">
        <f t="shared" si="364"/>
        <v>3859</v>
      </c>
      <c r="O5637" s="96">
        <f t="shared" si="365"/>
        <v>3859</v>
      </c>
    </row>
    <row r="5638" spans="3:15" x14ac:dyDescent="0.2">
      <c r="C5638" t="str">
        <f t="shared" si="362"/>
        <v>3860</v>
      </c>
      <c r="G5638" s="96">
        <f t="shared" si="363"/>
        <v>3860</v>
      </c>
      <c r="J5638" t="str">
        <f t="shared" si="361"/>
        <v/>
      </c>
      <c r="K5638" t="str">
        <f t="shared" si="364"/>
        <v>3860</v>
      </c>
      <c r="O5638" s="96">
        <f t="shared" si="365"/>
        <v>3860</v>
      </c>
    </row>
    <row r="5639" spans="3:15" x14ac:dyDescent="0.2">
      <c r="C5639" t="str">
        <f t="shared" si="362"/>
        <v>3861</v>
      </c>
      <c r="G5639" s="96">
        <f t="shared" si="363"/>
        <v>3861</v>
      </c>
      <c r="J5639" t="str">
        <f t="shared" si="361"/>
        <v/>
      </c>
      <c r="K5639" t="str">
        <f t="shared" si="364"/>
        <v>3861</v>
      </c>
      <c r="O5639" s="96">
        <f t="shared" si="365"/>
        <v>3861</v>
      </c>
    </row>
    <row r="5640" spans="3:15" x14ac:dyDescent="0.2">
      <c r="C5640" t="str">
        <f t="shared" si="362"/>
        <v>3862</v>
      </c>
      <c r="G5640" s="96">
        <f t="shared" si="363"/>
        <v>3862</v>
      </c>
      <c r="J5640" t="str">
        <f t="shared" si="361"/>
        <v/>
      </c>
      <c r="K5640" t="str">
        <f t="shared" si="364"/>
        <v>3862</v>
      </c>
      <c r="O5640" s="96">
        <f t="shared" si="365"/>
        <v>3862</v>
      </c>
    </row>
    <row r="5641" spans="3:15" x14ac:dyDescent="0.2">
      <c r="C5641" t="str">
        <f t="shared" si="362"/>
        <v>3863</v>
      </c>
      <c r="G5641" s="96">
        <f t="shared" si="363"/>
        <v>3863</v>
      </c>
      <c r="J5641" t="str">
        <f t="shared" si="361"/>
        <v/>
      </c>
      <c r="K5641" t="str">
        <f t="shared" si="364"/>
        <v>3863</v>
      </c>
      <c r="O5641" s="96">
        <f t="shared" si="365"/>
        <v>3863</v>
      </c>
    </row>
    <row r="5642" spans="3:15" x14ac:dyDescent="0.2">
      <c r="C5642" t="str">
        <f t="shared" si="362"/>
        <v>3864</v>
      </c>
      <c r="G5642" s="96">
        <f t="shared" si="363"/>
        <v>3864</v>
      </c>
      <c r="J5642" t="str">
        <f t="shared" ref="J5642:J5705" si="366">L5642&amp;M5642</f>
        <v/>
      </c>
      <c r="K5642" t="str">
        <f t="shared" si="364"/>
        <v>3864</v>
      </c>
      <c r="O5642" s="96">
        <f t="shared" si="365"/>
        <v>3864</v>
      </c>
    </row>
    <row r="5643" spans="3:15" x14ac:dyDescent="0.2">
      <c r="C5643" t="str">
        <f t="shared" si="362"/>
        <v>3865</v>
      </c>
      <c r="G5643" s="96">
        <f t="shared" si="363"/>
        <v>3865</v>
      </c>
      <c r="J5643" t="str">
        <f t="shared" si="366"/>
        <v/>
      </c>
      <c r="K5643" t="str">
        <f t="shared" si="364"/>
        <v>3865</v>
      </c>
      <c r="O5643" s="96">
        <f t="shared" si="365"/>
        <v>3865</v>
      </c>
    </row>
    <row r="5644" spans="3:15" x14ac:dyDescent="0.2">
      <c r="C5644" t="str">
        <f t="shared" si="362"/>
        <v>3866</v>
      </c>
      <c r="G5644" s="96">
        <f t="shared" si="363"/>
        <v>3866</v>
      </c>
      <c r="J5644" t="str">
        <f t="shared" si="366"/>
        <v/>
      </c>
      <c r="K5644" t="str">
        <f t="shared" si="364"/>
        <v>3866</v>
      </c>
      <c r="O5644" s="96">
        <f t="shared" si="365"/>
        <v>3866</v>
      </c>
    </row>
    <row r="5645" spans="3:15" x14ac:dyDescent="0.2">
      <c r="C5645" t="str">
        <f t="shared" si="362"/>
        <v>3867</v>
      </c>
      <c r="G5645" s="96">
        <f t="shared" si="363"/>
        <v>3867</v>
      </c>
      <c r="J5645" t="str">
        <f t="shared" si="366"/>
        <v/>
      </c>
      <c r="K5645" t="str">
        <f t="shared" si="364"/>
        <v>3867</v>
      </c>
      <c r="O5645" s="96">
        <f t="shared" si="365"/>
        <v>3867</v>
      </c>
    </row>
    <row r="5646" spans="3:15" x14ac:dyDescent="0.2">
      <c r="C5646" t="str">
        <f t="shared" si="362"/>
        <v>3868</v>
      </c>
      <c r="G5646" s="96">
        <f t="shared" si="363"/>
        <v>3868</v>
      </c>
      <c r="J5646" t="str">
        <f t="shared" si="366"/>
        <v/>
      </c>
      <c r="K5646" t="str">
        <f t="shared" si="364"/>
        <v>3868</v>
      </c>
      <c r="O5646" s="96">
        <f t="shared" si="365"/>
        <v>3868</v>
      </c>
    </row>
    <row r="5647" spans="3:15" x14ac:dyDescent="0.2">
      <c r="C5647" t="str">
        <f t="shared" si="362"/>
        <v>3869</v>
      </c>
      <c r="G5647" s="96">
        <f t="shared" si="363"/>
        <v>3869</v>
      </c>
      <c r="J5647" t="str">
        <f t="shared" si="366"/>
        <v/>
      </c>
      <c r="K5647" t="str">
        <f t="shared" si="364"/>
        <v>3869</v>
      </c>
      <c r="O5647" s="96">
        <f t="shared" si="365"/>
        <v>3869</v>
      </c>
    </row>
    <row r="5648" spans="3:15" x14ac:dyDescent="0.2">
      <c r="C5648" t="str">
        <f t="shared" si="362"/>
        <v>3870</v>
      </c>
      <c r="G5648" s="96">
        <f t="shared" si="363"/>
        <v>3870</v>
      </c>
      <c r="J5648" t="str">
        <f t="shared" si="366"/>
        <v/>
      </c>
      <c r="K5648" t="str">
        <f t="shared" si="364"/>
        <v>3870</v>
      </c>
      <c r="O5648" s="96">
        <f t="shared" si="365"/>
        <v>3870</v>
      </c>
    </row>
    <row r="5649" spans="3:15" x14ac:dyDescent="0.2">
      <c r="C5649" t="str">
        <f t="shared" si="362"/>
        <v>3871</v>
      </c>
      <c r="G5649" s="96">
        <f t="shared" si="363"/>
        <v>3871</v>
      </c>
      <c r="J5649" t="str">
        <f t="shared" si="366"/>
        <v/>
      </c>
      <c r="K5649" t="str">
        <f t="shared" si="364"/>
        <v>3871</v>
      </c>
      <c r="O5649" s="96">
        <f t="shared" si="365"/>
        <v>3871</v>
      </c>
    </row>
    <row r="5650" spans="3:15" x14ac:dyDescent="0.2">
      <c r="C5650" t="str">
        <f t="shared" si="362"/>
        <v>3872</v>
      </c>
      <c r="G5650" s="96">
        <f t="shared" si="363"/>
        <v>3872</v>
      </c>
      <c r="J5650" t="str">
        <f t="shared" si="366"/>
        <v/>
      </c>
      <c r="K5650" t="str">
        <f t="shared" si="364"/>
        <v>3872</v>
      </c>
      <c r="O5650" s="96">
        <f t="shared" si="365"/>
        <v>3872</v>
      </c>
    </row>
    <row r="5651" spans="3:15" x14ac:dyDescent="0.2">
      <c r="C5651" t="str">
        <f t="shared" si="362"/>
        <v>3873</v>
      </c>
      <c r="G5651" s="96">
        <f t="shared" si="363"/>
        <v>3873</v>
      </c>
      <c r="J5651" t="str">
        <f t="shared" si="366"/>
        <v/>
      </c>
      <c r="K5651" t="str">
        <f t="shared" si="364"/>
        <v>3873</v>
      </c>
      <c r="O5651" s="96">
        <f t="shared" si="365"/>
        <v>3873</v>
      </c>
    </row>
    <row r="5652" spans="3:15" x14ac:dyDescent="0.2">
      <c r="C5652" t="str">
        <f t="shared" si="362"/>
        <v>3874</v>
      </c>
      <c r="G5652" s="96">
        <f t="shared" si="363"/>
        <v>3874</v>
      </c>
      <c r="J5652" t="str">
        <f t="shared" si="366"/>
        <v/>
      </c>
      <c r="K5652" t="str">
        <f t="shared" si="364"/>
        <v>3874</v>
      </c>
      <c r="O5652" s="96">
        <f t="shared" si="365"/>
        <v>3874</v>
      </c>
    </row>
    <row r="5653" spans="3:15" x14ac:dyDescent="0.2">
      <c r="C5653" t="str">
        <f t="shared" si="362"/>
        <v>3875</v>
      </c>
      <c r="G5653" s="96">
        <f t="shared" si="363"/>
        <v>3875</v>
      </c>
      <c r="J5653" t="str">
        <f t="shared" si="366"/>
        <v/>
      </c>
      <c r="K5653" t="str">
        <f t="shared" si="364"/>
        <v>3875</v>
      </c>
      <c r="O5653" s="96">
        <f t="shared" si="365"/>
        <v>3875</v>
      </c>
    </row>
    <row r="5654" spans="3:15" x14ac:dyDescent="0.2">
      <c r="C5654" t="str">
        <f t="shared" si="362"/>
        <v>3876</v>
      </c>
      <c r="G5654" s="96">
        <f t="shared" si="363"/>
        <v>3876</v>
      </c>
      <c r="J5654" t="str">
        <f t="shared" si="366"/>
        <v/>
      </c>
      <c r="K5654" t="str">
        <f t="shared" si="364"/>
        <v>3876</v>
      </c>
      <c r="O5654" s="96">
        <f t="shared" si="365"/>
        <v>3876</v>
      </c>
    </row>
    <row r="5655" spans="3:15" x14ac:dyDescent="0.2">
      <c r="C5655" t="str">
        <f t="shared" si="362"/>
        <v>3877</v>
      </c>
      <c r="G5655" s="96">
        <f t="shared" si="363"/>
        <v>3877</v>
      </c>
      <c r="J5655" t="str">
        <f t="shared" si="366"/>
        <v/>
      </c>
      <c r="K5655" t="str">
        <f t="shared" si="364"/>
        <v>3877</v>
      </c>
      <c r="O5655" s="96">
        <f t="shared" si="365"/>
        <v>3877</v>
      </c>
    </row>
    <row r="5656" spans="3:15" x14ac:dyDescent="0.2">
      <c r="C5656" t="str">
        <f t="shared" si="362"/>
        <v>3878</v>
      </c>
      <c r="G5656" s="96">
        <f t="shared" si="363"/>
        <v>3878</v>
      </c>
      <c r="J5656" t="str">
        <f t="shared" si="366"/>
        <v/>
      </c>
      <c r="K5656" t="str">
        <f t="shared" si="364"/>
        <v>3878</v>
      </c>
      <c r="O5656" s="96">
        <f t="shared" si="365"/>
        <v>3878</v>
      </c>
    </row>
    <row r="5657" spans="3:15" x14ac:dyDescent="0.2">
      <c r="C5657" t="str">
        <f t="shared" si="362"/>
        <v>3879</v>
      </c>
      <c r="G5657" s="96">
        <f t="shared" si="363"/>
        <v>3879</v>
      </c>
      <c r="J5657" t="str">
        <f t="shared" si="366"/>
        <v/>
      </c>
      <c r="K5657" t="str">
        <f t="shared" si="364"/>
        <v>3879</v>
      </c>
      <c r="O5657" s="96">
        <f t="shared" si="365"/>
        <v>3879</v>
      </c>
    </row>
    <row r="5658" spans="3:15" x14ac:dyDescent="0.2">
      <c r="C5658" t="str">
        <f t="shared" si="362"/>
        <v>3880</v>
      </c>
      <c r="G5658" s="96">
        <f t="shared" si="363"/>
        <v>3880</v>
      </c>
      <c r="J5658" t="str">
        <f t="shared" si="366"/>
        <v/>
      </c>
      <c r="K5658" t="str">
        <f t="shared" si="364"/>
        <v>3880</v>
      </c>
      <c r="O5658" s="96">
        <f t="shared" si="365"/>
        <v>3880</v>
      </c>
    </row>
    <row r="5659" spans="3:15" x14ac:dyDescent="0.2">
      <c r="C5659" t="str">
        <f t="shared" si="362"/>
        <v>3881</v>
      </c>
      <c r="G5659" s="96">
        <f t="shared" si="363"/>
        <v>3881</v>
      </c>
      <c r="J5659" t="str">
        <f t="shared" si="366"/>
        <v/>
      </c>
      <c r="K5659" t="str">
        <f t="shared" si="364"/>
        <v>3881</v>
      </c>
      <c r="O5659" s="96">
        <f t="shared" si="365"/>
        <v>3881</v>
      </c>
    </row>
    <row r="5660" spans="3:15" x14ac:dyDescent="0.2">
      <c r="C5660" t="str">
        <f t="shared" si="362"/>
        <v>3882</v>
      </c>
      <c r="G5660" s="96">
        <f t="shared" si="363"/>
        <v>3882</v>
      </c>
      <c r="J5660" t="str">
        <f t="shared" si="366"/>
        <v/>
      </c>
      <c r="K5660" t="str">
        <f t="shared" si="364"/>
        <v>3882</v>
      </c>
      <c r="O5660" s="96">
        <f t="shared" si="365"/>
        <v>3882</v>
      </c>
    </row>
    <row r="5661" spans="3:15" x14ac:dyDescent="0.2">
      <c r="C5661" t="str">
        <f t="shared" si="362"/>
        <v>3883</v>
      </c>
      <c r="G5661" s="96">
        <f t="shared" si="363"/>
        <v>3883</v>
      </c>
      <c r="J5661" t="str">
        <f t="shared" si="366"/>
        <v/>
      </c>
      <c r="K5661" t="str">
        <f t="shared" si="364"/>
        <v>3883</v>
      </c>
      <c r="O5661" s="96">
        <f t="shared" si="365"/>
        <v>3883</v>
      </c>
    </row>
    <row r="5662" spans="3:15" x14ac:dyDescent="0.2">
      <c r="C5662" t="str">
        <f t="shared" si="362"/>
        <v>3884</v>
      </c>
      <c r="G5662" s="96">
        <f t="shared" si="363"/>
        <v>3884</v>
      </c>
      <c r="J5662" t="str">
        <f t="shared" si="366"/>
        <v/>
      </c>
      <c r="K5662" t="str">
        <f t="shared" si="364"/>
        <v>3884</v>
      </c>
      <c r="O5662" s="96">
        <f t="shared" si="365"/>
        <v>3884</v>
      </c>
    </row>
    <row r="5663" spans="3:15" x14ac:dyDescent="0.2">
      <c r="C5663" t="str">
        <f t="shared" si="362"/>
        <v>3885</v>
      </c>
      <c r="G5663" s="96">
        <f t="shared" si="363"/>
        <v>3885</v>
      </c>
      <c r="J5663" t="str">
        <f t="shared" si="366"/>
        <v/>
      </c>
      <c r="K5663" t="str">
        <f t="shared" si="364"/>
        <v>3885</v>
      </c>
      <c r="O5663" s="96">
        <f t="shared" si="365"/>
        <v>3885</v>
      </c>
    </row>
    <row r="5664" spans="3:15" x14ac:dyDescent="0.2">
      <c r="C5664" t="str">
        <f t="shared" si="362"/>
        <v>3886</v>
      </c>
      <c r="G5664" s="96">
        <f t="shared" si="363"/>
        <v>3886</v>
      </c>
      <c r="J5664" t="str">
        <f t="shared" si="366"/>
        <v/>
      </c>
      <c r="K5664" t="str">
        <f t="shared" si="364"/>
        <v>3886</v>
      </c>
      <c r="O5664" s="96">
        <f t="shared" si="365"/>
        <v>3886</v>
      </c>
    </row>
    <row r="5665" spans="3:15" x14ac:dyDescent="0.2">
      <c r="C5665" t="str">
        <f t="shared" si="362"/>
        <v>3887</v>
      </c>
      <c r="G5665" s="96">
        <f t="shared" si="363"/>
        <v>3887</v>
      </c>
      <c r="J5665" t="str">
        <f t="shared" si="366"/>
        <v/>
      </c>
      <c r="K5665" t="str">
        <f t="shared" si="364"/>
        <v>3887</v>
      </c>
      <c r="O5665" s="96">
        <f t="shared" si="365"/>
        <v>3887</v>
      </c>
    </row>
    <row r="5666" spans="3:15" x14ac:dyDescent="0.2">
      <c r="C5666" t="str">
        <f t="shared" si="362"/>
        <v>3888</v>
      </c>
      <c r="G5666" s="96">
        <f t="shared" si="363"/>
        <v>3888</v>
      </c>
      <c r="J5666" t="str">
        <f t="shared" si="366"/>
        <v/>
      </c>
      <c r="K5666" t="str">
        <f t="shared" si="364"/>
        <v>3888</v>
      </c>
      <c r="O5666" s="96">
        <f t="shared" si="365"/>
        <v>3888</v>
      </c>
    </row>
    <row r="5667" spans="3:15" x14ac:dyDescent="0.2">
      <c r="C5667" t="str">
        <f t="shared" si="362"/>
        <v>3889</v>
      </c>
      <c r="G5667" s="96">
        <f t="shared" si="363"/>
        <v>3889</v>
      </c>
      <c r="J5667" t="str">
        <f t="shared" si="366"/>
        <v/>
      </c>
      <c r="K5667" t="str">
        <f t="shared" si="364"/>
        <v>3889</v>
      </c>
      <c r="O5667" s="96">
        <f t="shared" si="365"/>
        <v>3889</v>
      </c>
    </row>
    <row r="5668" spans="3:15" x14ac:dyDescent="0.2">
      <c r="C5668" t="str">
        <f t="shared" si="362"/>
        <v>3890</v>
      </c>
      <c r="G5668" s="96">
        <f t="shared" si="363"/>
        <v>3890</v>
      </c>
      <c r="J5668" t="str">
        <f t="shared" si="366"/>
        <v/>
      </c>
      <c r="K5668" t="str">
        <f t="shared" si="364"/>
        <v>3890</v>
      </c>
      <c r="O5668" s="96">
        <f t="shared" si="365"/>
        <v>3890</v>
      </c>
    </row>
    <row r="5669" spans="3:15" x14ac:dyDescent="0.2">
      <c r="C5669" t="str">
        <f t="shared" si="362"/>
        <v>3891</v>
      </c>
      <c r="G5669" s="96">
        <f t="shared" si="363"/>
        <v>3891</v>
      </c>
      <c r="J5669" t="str">
        <f t="shared" si="366"/>
        <v/>
      </c>
      <c r="K5669" t="str">
        <f t="shared" si="364"/>
        <v>3891</v>
      </c>
      <c r="O5669" s="96">
        <f t="shared" si="365"/>
        <v>3891</v>
      </c>
    </row>
    <row r="5670" spans="3:15" x14ac:dyDescent="0.2">
      <c r="C5670" t="str">
        <f t="shared" si="362"/>
        <v>3892</v>
      </c>
      <c r="G5670" s="96">
        <f t="shared" si="363"/>
        <v>3892</v>
      </c>
      <c r="J5670" t="str">
        <f t="shared" si="366"/>
        <v/>
      </c>
      <c r="K5670" t="str">
        <f t="shared" si="364"/>
        <v>3892</v>
      </c>
      <c r="O5670" s="96">
        <f t="shared" si="365"/>
        <v>3892</v>
      </c>
    </row>
    <row r="5671" spans="3:15" x14ac:dyDescent="0.2">
      <c r="C5671" t="str">
        <f t="shared" si="362"/>
        <v>3893</v>
      </c>
      <c r="G5671" s="96">
        <f t="shared" si="363"/>
        <v>3893</v>
      </c>
      <c r="J5671" t="str">
        <f t="shared" si="366"/>
        <v/>
      </c>
      <c r="K5671" t="str">
        <f t="shared" si="364"/>
        <v>3893</v>
      </c>
      <c r="O5671" s="96">
        <f t="shared" si="365"/>
        <v>3893</v>
      </c>
    </row>
    <row r="5672" spans="3:15" x14ac:dyDescent="0.2">
      <c r="C5672" t="str">
        <f t="shared" si="362"/>
        <v>3894</v>
      </c>
      <c r="G5672" s="96">
        <f t="shared" si="363"/>
        <v>3894</v>
      </c>
      <c r="J5672" t="str">
        <f t="shared" si="366"/>
        <v/>
      </c>
      <c r="K5672" t="str">
        <f t="shared" si="364"/>
        <v>3894</v>
      </c>
      <c r="O5672" s="96">
        <f t="shared" si="365"/>
        <v>3894</v>
      </c>
    </row>
    <row r="5673" spans="3:15" x14ac:dyDescent="0.2">
      <c r="C5673" t="str">
        <f t="shared" si="362"/>
        <v>3895</v>
      </c>
      <c r="G5673" s="96">
        <f t="shared" si="363"/>
        <v>3895</v>
      </c>
      <c r="J5673" t="str">
        <f t="shared" si="366"/>
        <v/>
      </c>
      <c r="K5673" t="str">
        <f t="shared" si="364"/>
        <v>3895</v>
      </c>
      <c r="O5673" s="96">
        <f t="shared" si="365"/>
        <v>3895</v>
      </c>
    </row>
    <row r="5674" spans="3:15" x14ac:dyDescent="0.2">
      <c r="C5674" t="str">
        <f t="shared" si="362"/>
        <v>3896</v>
      </c>
      <c r="G5674" s="96">
        <f t="shared" si="363"/>
        <v>3896</v>
      </c>
      <c r="J5674" t="str">
        <f t="shared" si="366"/>
        <v/>
      </c>
      <c r="K5674" t="str">
        <f t="shared" si="364"/>
        <v>3896</v>
      </c>
      <c r="O5674" s="96">
        <f t="shared" si="365"/>
        <v>3896</v>
      </c>
    </row>
    <row r="5675" spans="3:15" x14ac:dyDescent="0.2">
      <c r="C5675" t="str">
        <f t="shared" si="362"/>
        <v>3897</v>
      </c>
      <c r="G5675" s="96">
        <f t="shared" si="363"/>
        <v>3897</v>
      </c>
      <c r="J5675" t="str">
        <f t="shared" si="366"/>
        <v/>
      </c>
      <c r="K5675" t="str">
        <f t="shared" si="364"/>
        <v>3897</v>
      </c>
      <c r="O5675" s="96">
        <f t="shared" si="365"/>
        <v>3897</v>
      </c>
    </row>
    <row r="5676" spans="3:15" x14ac:dyDescent="0.2">
      <c r="C5676" t="str">
        <f t="shared" si="362"/>
        <v>3898</v>
      </c>
      <c r="G5676" s="96">
        <f t="shared" si="363"/>
        <v>3898</v>
      </c>
      <c r="J5676" t="str">
        <f t="shared" si="366"/>
        <v/>
      </c>
      <c r="K5676" t="str">
        <f t="shared" si="364"/>
        <v>3898</v>
      </c>
      <c r="O5676" s="96">
        <f t="shared" si="365"/>
        <v>3898</v>
      </c>
    </row>
    <row r="5677" spans="3:15" x14ac:dyDescent="0.2">
      <c r="C5677" t="str">
        <f t="shared" si="362"/>
        <v>3899</v>
      </c>
      <c r="G5677" s="96">
        <f t="shared" si="363"/>
        <v>3899</v>
      </c>
      <c r="J5677" t="str">
        <f t="shared" si="366"/>
        <v/>
      </c>
      <c r="K5677" t="str">
        <f t="shared" si="364"/>
        <v>3899</v>
      </c>
      <c r="O5677" s="96">
        <f t="shared" si="365"/>
        <v>3899</v>
      </c>
    </row>
    <row r="5678" spans="3:15" x14ac:dyDescent="0.2">
      <c r="C5678" t="str">
        <f t="shared" si="362"/>
        <v>3900</v>
      </c>
      <c r="G5678" s="96">
        <f t="shared" si="363"/>
        <v>3900</v>
      </c>
      <c r="J5678" t="str">
        <f t="shared" si="366"/>
        <v/>
      </c>
      <c r="K5678" t="str">
        <f t="shared" si="364"/>
        <v>3900</v>
      </c>
      <c r="O5678" s="96">
        <f t="shared" si="365"/>
        <v>3900</v>
      </c>
    </row>
    <row r="5679" spans="3:15" x14ac:dyDescent="0.2">
      <c r="C5679" t="str">
        <f t="shared" si="362"/>
        <v>3901</v>
      </c>
      <c r="G5679" s="96">
        <f t="shared" si="363"/>
        <v>3901</v>
      </c>
      <c r="J5679" t="str">
        <f t="shared" si="366"/>
        <v/>
      </c>
      <c r="K5679" t="str">
        <f t="shared" si="364"/>
        <v>3901</v>
      </c>
      <c r="O5679" s="96">
        <f t="shared" si="365"/>
        <v>3901</v>
      </c>
    </row>
    <row r="5680" spans="3:15" x14ac:dyDescent="0.2">
      <c r="C5680" t="str">
        <f t="shared" si="362"/>
        <v>3902</v>
      </c>
      <c r="G5680" s="96">
        <f t="shared" si="363"/>
        <v>3902</v>
      </c>
      <c r="J5680" t="str">
        <f t="shared" si="366"/>
        <v/>
      </c>
      <c r="K5680" t="str">
        <f t="shared" si="364"/>
        <v>3902</v>
      </c>
      <c r="O5680" s="96">
        <f t="shared" si="365"/>
        <v>3902</v>
      </c>
    </row>
    <row r="5681" spans="3:15" x14ac:dyDescent="0.2">
      <c r="C5681" t="str">
        <f t="shared" si="362"/>
        <v>3903</v>
      </c>
      <c r="G5681" s="96">
        <f t="shared" si="363"/>
        <v>3903</v>
      </c>
      <c r="J5681" t="str">
        <f t="shared" si="366"/>
        <v/>
      </c>
      <c r="K5681" t="str">
        <f t="shared" si="364"/>
        <v>3903</v>
      </c>
      <c r="O5681" s="96">
        <f t="shared" si="365"/>
        <v>3903</v>
      </c>
    </row>
    <row r="5682" spans="3:15" x14ac:dyDescent="0.2">
      <c r="C5682" t="str">
        <f t="shared" si="362"/>
        <v>3904</v>
      </c>
      <c r="G5682" s="96">
        <f t="shared" si="363"/>
        <v>3904</v>
      </c>
      <c r="J5682" t="str">
        <f t="shared" si="366"/>
        <v/>
      </c>
      <c r="K5682" t="str">
        <f t="shared" si="364"/>
        <v>3904</v>
      </c>
      <c r="O5682" s="96">
        <f t="shared" si="365"/>
        <v>3904</v>
      </c>
    </row>
    <row r="5683" spans="3:15" x14ac:dyDescent="0.2">
      <c r="C5683" t="str">
        <f t="shared" si="362"/>
        <v>3905</v>
      </c>
      <c r="G5683" s="96">
        <f t="shared" si="363"/>
        <v>3905</v>
      </c>
      <c r="J5683" t="str">
        <f t="shared" si="366"/>
        <v/>
      </c>
      <c r="K5683" t="str">
        <f t="shared" si="364"/>
        <v>3905</v>
      </c>
      <c r="O5683" s="96">
        <f t="shared" si="365"/>
        <v>3905</v>
      </c>
    </row>
    <row r="5684" spans="3:15" x14ac:dyDescent="0.2">
      <c r="C5684" t="str">
        <f t="shared" si="362"/>
        <v>3906</v>
      </c>
      <c r="G5684" s="96">
        <f t="shared" si="363"/>
        <v>3906</v>
      </c>
      <c r="J5684" t="str">
        <f t="shared" si="366"/>
        <v/>
      </c>
      <c r="K5684" t="str">
        <f t="shared" si="364"/>
        <v>3906</v>
      </c>
      <c r="O5684" s="96">
        <f t="shared" si="365"/>
        <v>3906</v>
      </c>
    </row>
    <row r="5685" spans="3:15" x14ac:dyDescent="0.2">
      <c r="C5685" t="str">
        <f t="shared" si="362"/>
        <v>3907</v>
      </c>
      <c r="G5685" s="96">
        <f t="shared" si="363"/>
        <v>3907</v>
      </c>
      <c r="J5685" t="str">
        <f t="shared" si="366"/>
        <v/>
      </c>
      <c r="K5685" t="str">
        <f t="shared" si="364"/>
        <v>3907</v>
      </c>
      <c r="O5685" s="96">
        <f t="shared" si="365"/>
        <v>3907</v>
      </c>
    </row>
    <row r="5686" spans="3:15" x14ac:dyDescent="0.2">
      <c r="C5686" t="str">
        <f t="shared" si="362"/>
        <v>3908</v>
      </c>
      <c r="G5686" s="96">
        <f t="shared" si="363"/>
        <v>3908</v>
      </c>
      <c r="J5686" t="str">
        <f t="shared" si="366"/>
        <v/>
      </c>
      <c r="K5686" t="str">
        <f t="shared" si="364"/>
        <v>3908</v>
      </c>
      <c r="O5686" s="96">
        <f t="shared" si="365"/>
        <v>3908</v>
      </c>
    </row>
    <row r="5687" spans="3:15" x14ac:dyDescent="0.2">
      <c r="C5687" t="str">
        <f t="shared" si="362"/>
        <v>3909</v>
      </c>
      <c r="G5687" s="96">
        <f t="shared" si="363"/>
        <v>3909</v>
      </c>
      <c r="J5687" t="str">
        <f t="shared" si="366"/>
        <v/>
      </c>
      <c r="K5687" t="str">
        <f t="shared" si="364"/>
        <v>3909</v>
      </c>
      <c r="O5687" s="96">
        <f t="shared" si="365"/>
        <v>3909</v>
      </c>
    </row>
    <row r="5688" spans="3:15" x14ac:dyDescent="0.2">
      <c r="C5688" t="str">
        <f t="shared" si="362"/>
        <v>3910</v>
      </c>
      <c r="G5688" s="96">
        <f t="shared" si="363"/>
        <v>3910</v>
      </c>
      <c r="J5688" t="str">
        <f t="shared" si="366"/>
        <v/>
      </c>
      <c r="K5688" t="str">
        <f t="shared" si="364"/>
        <v>3910</v>
      </c>
      <c r="O5688" s="96">
        <f t="shared" si="365"/>
        <v>3910</v>
      </c>
    </row>
    <row r="5689" spans="3:15" x14ac:dyDescent="0.2">
      <c r="C5689" t="str">
        <f t="shared" si="362"/>
        <v>3911</v>
      </c>
      <c r="G5689" s="96">
        <f t="shared" si="363"/>
        <v>3911</v>
      </c>
      <c r="J5689" t="str">
        <f t="shared" si="366"/>
        <v/>
      </c>
      <c r="K5689" t="str">
        <f t="shared" si="364"/>
        <v>3911</v>
      </c>
      <c r="O5689" s="96">
        <f t="shared" si="365"/>
        <v>3911</v>
      </c>
    </row>
    <row r="5690" spans="3:15" x14ac:dyDescent="0.2">
      <c r="C5690" t="str">
        <f t="shared" si="362"/>
        <v>3912</v>
      </c>
      <c r="G5690" s="96">
        <f t="shared" si="363"/>
        <v>3912</v>
      </c>
      <c r="J5690" t="str">
        <f t="shared" si="366"/>
        <v/>
      </c>
      <c r="K5690" t="str">
        <f t="shared" si="364"/>
        <v>3912</v>
      </c>
      <c r="O5690" s="96">
        <f t="shared" si="365"/>
        <v>3912</v>
      </c>
    </row>
    <row r="5691" spans="3:15" x14ac:dyDescent="0.2">
      <c r="C5691" t="str">
        <f t="shared" si="362"/>
        <v>3913</v>
      </c>
      <c r="G5691" s="96">
        <f t="shared" si="363"/>
        <v>3913</v>
      </c>
      <c r="J5691" t="str">
        <f t="shared" si="366"/>
        <v/>
      </c>
      <c r="K5691" t="str">
        <f t="shared" si="364"/>
        <v>3913</v>
      </c>
      <c r="O5691" s="96">
        <f t="shared" si="365"/>
        <v>3913</v>
      </c>
    </row>
    <row r="5692" spans="3:15" x14ac:dyDescent="0.2">
      <c r="C5692" t="str">
        <f t="shared" si="362"/>
        <v>3914</v>
      </c>
      <c r="G5692" s="96">
        <f t="shared" si="363"/>
        <v>3914</v>
      </c>
      <c r="J5692" t="str">
        <f t="shared" si="366"/>
        <v/>
      </c>
      <c r="K5692" t="str">
        <f t="shared" si="364"/>
        <v>3914</v>
      </c>
      <c r="O5692" s="96">
        <f t="shared" si="365"/>
        <v>3914</v>
      </c>
    </row>
    <row r="5693" spans="3:15" x14ac:dyDescent="0.2">
      <c r="C5693" t="str">
        <f t="shared" si="362"/>
        <v>3915</v>
      </c>
      <c r="G5693" s="96">
        <f t="shared" si="363"/>
        <v>3915</v>
      </c>
      <c r="J5693" t="str">
        <f t="shared" si="366"/>
        <v/>
      </c>
      <c r="K5693" t="str">
        <f t="shared" si="364"/>
        <v>3915</v>
      </c>
      <c r="O5693" s="96">
        <f t="shared" si="365"/>
        <v>3915</v>
      </c>
    </row>
    <row r="5694" spans="3:15" x14ac:dyDescent="0.2">
      <c r="C5694" t="str">
        <f t="shared" si="362"/>
        <v>3916</v>
      </c>
      <c r="G5694" s="96">
        <f t="shared" si="363"/>
        <v>3916</v>
      </c>
      <c r="J5694" t="str">
        <f t="shared" si="366"/>
        <v/>
      </c>
      <c r="K5694" t="str">
        <f t="shared" si="364"/>
        <v>3916</v>
      </c>
      <c r="O5694" s="96">
        <f t="shared" si="365"/>
        <v>3916</v>
      </c>
    </row>
    <row r="5695" spans="3:15" x14ac:dyDescent="0.2">
      <c r="C5695" t="str">
        <f t="shared" si="362"/>
        <v>3917</v>
      </c>
      <c r="G5695" s="96">
        <f t="shared" si="363"/>
        <v>3917</v>
      </c>
      <c r="J5695" t="str">
        <f t="shared" si="366"/>
        <v/>
      </c>
      <c r="K5695" t="str">
        <f t="shared" si="364"/>
        <v>3917</v>
      </c>
      <c r="O5695" s="96">
        <f t="shared" si="365"/>
        <v>3917</v>
      </c>
    </row>
    <row r="5696" spans="3:15" x14ac:dyDescent="0.2">
      <c r="C5696" t="str">
        <f t="shared" si="362"/>
        <v>3918</v>
      </c>
      <c r="G5696" s="96">
        <f t="shared" si="363"/>
        <v>3918</v>
      </c>
      <c r="J5696" t="str">
        <f t="shared" si="366"/>
        <v/>
      </c>
      <c r="K5696" t="str">
        <f t="shared" si="364"/>
        <v>3918</v>
      </c>
      <c r="O5696" s="96">
        <f t="shared" si="365"/>
        <v>3918</v>
      </c>
    </row>
    <row r="5697" spans="3:15" x14ac:dyDescent="0.2">
      <c r="C5697" t="str">
        <f t="shared" si="362"/>
        <v>3919</v>
      </c>
      <c r="G5697" s="96">
        <f t="shared" si="363"/>
        <v>3919</v>
      </c>
      <c r="J5697" t="str">
        <f t="shared" si="366"/>
        <v/>
      </c>
      <c r="K5697" t="str">
        <f t="shared" si="364"/>
        <v>3919</v>
      </c>
      <c r="O5697" s="96">
        <f t="shared" si="365"/>
        <v>3919</v>
      </c>
    </row>
    <row r="5698" spans="3:15" x14ac:dyDescent="0.2">
      <c r="C5698" t="str">
        <f t="shared" si="362"/>
        <v>3920</v>
      </c>
      <c r="G5698" s="96">
        <f t="shared" si="363"/>
        <v>3920</v>
      </c>
      <c r="J5698" t="str">
        <f t="shared" si="366"/>
        <v/>
      </c>
      <c r="K5698" t="str">
        <f t="shared" si="364"/>
        <v>3920</v>
      </c>
      <c r="O5698" s="96">
        <f t="shared" si="365"/>
        <v>3920</v>
      </c>
    </row>
    <row r="5699" spans="3:15" x14ac:dyDescent="0.2">
      <c r="C5699" t="str">
        <f t="shared" ref="C5699:C5762" si="367">D5699&amp;G5699</f>
        <v>3921</v>
      </c>
      <c r="G5699" s="96">
        <f t="shared" ref="G5699:G5762" si="368">IF(D5699&lt;&gt;D5698,1,G5698+1)</f>
        <v>3921</v>
      </c>
      <c r="J5699" t="str">
        <f t="shared" si="366"/>
        <v/>
      </c>
      <c r="K5699" t="str">
        <f t="shared" ref="K5699:K5762" si="369">L5699&amp;O5699</f>
        <v>3921</v>
      </c>
      <c r="O5699" s="96">
        <f t="shared" ref="O5699:O5762" si="370">IF(L5699&lt;&gt;L5698,1,O5698+1)</f>
        <v>3921</v>
      </c>
    </row>
    <row r="5700" spans="3:15" x14ac:dyDescent="0.2">
      <c r="C5700" t="str">
        <f t="shared" si="367"/>
        <v>3922</v>
      </c>
      <c r="G5700" s="96">
        <f t="shared" si="368"/>
        <v>3922</v>
      </c>
      <c r="J5700" t="str">
        <f t="shared" si="366"/>
        <v/>
      </c>
      <c r="K5700" t="str">
        <f t="shared" si="369"/>
        <v>3922</v>
      </c>
      <c r="O5700" s="96">
        <f t="shared" si="370"/>
        <v>3922</v>
      </c>
    </row>
    <row r="5701" spans="3:15" x14ac:dyDescent="0.2">
      <c r="C5701" t="str">
        <f t="shared" si="367"/>
        <v>3923</v>
      </c>
      <c r="G5701" s="96">
        <f t="shared" si="368"/>
        <v>3923</v>
      </c>
      <c r="J5701" t="str">
        <f t="shared" si="366"/>
        <v/>
      </c>
      <c r="K5701" t="str">
        <f t="shared" si="369"/>
        <v>3923</v>
      </c>
      <c r="O5701" s="96">
        <f t="shared" si="370"/>
        <v>3923</v>
      </c>
    </row>
    <row r="5702" spans="3:15" x14ac:dyDescent="0.2">
      <c r="C5702" t="str">
        <f t="shared" si="367"/>
        <v>3924</v>
      </c>
      <c r="G5702" s="96">
        <f t="shared" si="368"/>
        <v>3924</v>
      </c>
      <c r="J5702" t="str">
        <f t="shared" si="366"/>
        <v/>
      </c>
      <c r="K5702" t="str">
        <f t="shared" si="369"/>
        <v>3924</v>
      </c>
      <c r="O5702" s="96">
        <f t="shared" si="370"/>
        <v>3924</v>
      </c>
    </row>
    <row r="5703" spans="3:15" x14ac:dyDescent="0.2">
      <c r="C5703" t="str">
        <f t="shared" si="367"/>
        <v>3925</v>
      </c>
      <c r="G5703" s="96">
        <f t="shared" si="368"/>
        <v>3925</v>
      </c>
      <c r="J5703" t="str">
        <f t="shared" si="366"/>
        <v/>
      </c>
      <c r="K5703" t="str">
        <f t="shared" si="369"/>
        <v>3925</v>
      </c>
      <c r="O5703" s="96">
        <f t="shared" si="370"/>
        <v>3925</v>
      </c>
    </row>
    <row r="5704" spans="3:15" x14ac:dyDescent="0.2">
      <c r="C5704" t="str">
        <f t="shared" si="367"/>
        <v>3926</v>
      </c>
      <c r="G5704" s="96">
        <f t="shared" si="368"/>
        <v>3926</v>
      </c>
      <c r="J5704" t="str">
        <f t="shared" si="366"/>
        <v/>
      </c>
      <c r="K5704" t="str">
        <f t="shared" si="369"/>
        <v>3926</v>
      </c>
      <c r="O5704" s="96">
        <f t="shared" si="370"/>
        <v>3926</v>
      </c>
    </row>
    <row r="5705" spans="3:15" x14ac:dyDescent="0.2">
      <c r="C5705" t="str">
        <f t="shared" si="367"/>
        <v>3927</v>
      </c>
      <c r="G5705" s="96">
        <f t="shared" si="368"/>
        <v>3927</v>
      </c>
      <c r="J5705" t="str">
        <f t="shared" si="366"/>
        <v/>
      </c>
      <c r="K5705" t="str">
        <f t="shared" si="369"/>
        <v>3927</v>
      </c>
      <c r="O5705" s="96">
        <f t="shared" si="370"/>
        <v>3927</v>
      </c>
    </row>
    <row r="5706" spans="3:15" x14ac:dyDescent="0.2">
      <c r="C5706" t="str">
        <f t="shared" si="367"/>
        <v>3928</v>
      </c>
      <c r="G5706" s="96">
        <f t="shared" si="368"/>
        <v>3928</v>
      </c>
      <c r="J5706" t="str">
        <f t="shared" ref="J5706:J5769" si="371">L5706&amp;M5706</f>
        <v/>
      </c>
      <c r="K5706" t="str">
        <f t="shared" si="369"/>
        <v>3928</v>
      </c>
      <c r="O5706" s="96">
        <f t="shared" si="370"/>
        <v>3928</v>
      </c>
    </row>
    <row r="5707" spans="3:15" x14ac:dyDescent="0.2">
      <c r="C5707" t="str">
        <f t="shared" si="367"/>
        <v>3929</v>
      </c>
      <c r="G5707" s="96">
        <f t="shared" si="368"/>
        <v>3929</v>
      </c>
      <c r="J5707" t="str">
        <f t="shared" si="371"/>
        <v/>
      </c>
      <c r="K5707" t="str">
        <f t="shared" si="369"/>
        <v>3929</v>
      </c>
      <c r="O5707" s="96">
        <f t="shared" si="370"/>
        <v>3929</v>
      </c>
    </row>
    <row r="5708" spans="3:15" x14ac:dyDescent="0.2">
      <c r="C5708" t="str">
        <f t="shared" si="367"/>
        <v>3930</v>
      </c>
      <c r="G5708" s="96">
        <f t="shared" si="368"/>
        <v>3930</v>
      </c>
      <c r="J5708" t="str">
        <f t="shared" si="371"/>
        <v/>
      </c>
      <c r="K5708" t="str">
        <f t="shared" si="369"/>
        <v>3930</v>
      </c>
      <c r="O5708" s="96">
        <f t="shared" si="370"/>
        <v>3930</v>
      </c>
    </row>
    <row r="5709" spans="3:15" x14ac:dyDescent="0.2">
      <c r="C5709" t="str">
        <f t="shared" si="367"/>
        <v>3931</v>
      </c>
      <c r="G5709" s="96">
        <f t="shared" si="368"/>
        <v>3931</v>
      </c>
      <c r="J5709" t="str">
        <f t="shared" si="371"/>
        <v/>
      </c>
      <c r="K5709" t="str">
        <f t="shared" si="369"/>
        <v>3931</v>
      </c>
      <c r="O5709" s="96">
        <f t="shared" si="370"/>
        <v>3931</v>
      </c>
    </row>
    <row r="5710" spans="3:15" x14ac:dyDescent="0.2">
      <c r="C5710" t="str">
        <f t="shared" si="367"/>
        <v>3932</v>
      </c>
      <c r="G5710" s="96">
        <f t="shared" si="368"/>
        <v>3932</v>
      </c>
      <c r="J5710" t="str">
        <f t="shared" si="371"/>
        <v/>
      </c>
      <c r="K5710" t="str">
        <f t="shared" si="369"/>
        <v>3932</v>
      </c>
      <c r="O5710" s="96">
        <f t="shared" si="370"/>
        <v>3932</v>
      </c>
    </row>
    <row r="5711" spans="3:15" x14ac:dyDescent="0.2">
      <c r="C5711" t="str">
        <f t="shared" si="367"/>
        <v>3933</v>
      </c>
      <c r="G5711" s="96">
        <f t="shared" si="368"/>
        <v>3933</v>
      </c>
      <c r="J5711" t="str">
        <f t="shared" si="371"/>
        <v/>
      </c>
      <c r="K5711" t="str">
        <f t="shared" si="369"/>
        <v>3933</v>
      </c>
      <c r="O5711" s="96">
        <f t="shared" si="370"/>
        <v>3933</v>
      </c>
    </row>
    <row r="5712" spans="3:15" x14ac:dyDescent="0.2">
      <c r="C5712" t="str">
        <f t="shared" si="367"/>
        <v>3934</v>
      </c>
      <c r="G5712" s="96">
        <f t="shared" si="368"/>
        <v>3934</v>
      </c>
      <c r="J5712" t="str">
        <f t="shared" si="371"/>
        <v/>
      </c>
      <c r="K5712" t="str">
        <f t="shared" si="369"/>
        <v>3934</v>
      </c>
      <c r="O5712" s="96">
        <f t="shared" si="370"/>
        <v>3934</v>
      </c>
    </row>
    <row r="5713" spans="3:15" x14ac:dyDescent="0.2">
      <c r="C5713" t="str">
        <f t="shared" si="367"/>
        <v>3935</v>
      </c>
      <c r="G5713" s="96">
        <f t="shared" si="368"/>
        <v>3935</v>
      </c>
      <c r="J5713" t="str">
        <f t="shared" si="371"/>
        <v/>
      </c>
      <c r="K5713" t="str">
        <f t="shared" si="369"/>
        <v>3935</v>
      </c>
      <c r="O5713" s="96">
        <f t="shared" si="370"/>
        <v>3935</v>
      </c>
    </row>
    <row r="5714" spans="3:15" x14ac:dyDescent="0.2">
      <c r="C5714" t="str">
        <f t="shared" si="367"/>
        <v>3936</v>
      </c>
      <c r="G5714" s="96">
        <f t="shared" si="368"/>
        <v>3936</v>
      </c>
      <c r="J5714" t="str">
        <f t="shared" si="371"/>
        <v/>
      </c>
      <c r="K5714" t="str">
        <f t="shared" si="369"/>
        <v>3936</v>
      </c>
      <c r="O5714" s="96">
        <f t="shared" si="370"/>
        <v>3936</v>
      </c>
    </row>
    <row r="5715" spans="3:15" x14ac:dyDescent="0.2">
      <c r="C5715" t="str">
        <f t="shared" si="367"/>
        <v>3937</v>
      </c>
      <c r="G5715" s="96">
        <f t="shared" si="368"/>
        <v>3937</v>
      </c>
      <c r="J5715" t="str">
        <f t="shared" si="371"/>
        <v/>
      </c>
      <c r="K5715" t="str">
        <f t="shared" si="369"/>
        <v>3937</v>
      </c>
      <c r="O5715" s="96">
        <f t="shared" si="370"/>
        <v>3937</v>
      </c>
    </row>
    <row r="5716" spans="3:15" x14ac:dyDescent="0.2">
      <c r="C5716" t="str">
        <f t="shared" si="367"/>
        <v>3938</v>
      </c>
      <c r="G5716" s="96">
        <f t="shared" si="368"/>
        <v>3938</v>
      </c>
      <c r="J5716" t="str">
        <f t="shared" si="371"/>
        <v/>
      </c>
      <c r="K5716" t="str">
        <f t="shared" si="369"/>
        <v>3938</v>
      </c>
      <c r="O5716" s="96">
        <f t="shared" si="370"/>
        <v>3938</v>
      </c>
    </row>
    <row r="5717" spans="3:15" x14ac:dyDescent="0.2">
      <c r="C5717" t="str">
        <f t="shared" si="367"/>
        <v>3939</v>
      </c>
      <c r="G5717" s="96">
        <f t="shared" si="368"/>
        <v>3939</v>
      </c>
      <c r="J5717" t="str">
        <f t="shared" si="371"/>
        <v/>
      </c>
      <c r="K5717" t="str">
        <f t="shared" si="369"/>
        <v>3939</v>
      </c>
      <c r="O5717" s="96">
        <f t="shared" si="370"/>
        <v>3939</v>
      </c>
    </row>
    <row r="5718" spans="3:15" x14ac:dyDescent="0.2">
      <c r="C5718" t="str">
        <f t="shared" si="367"/>
        <v>3940</v>
      </c>
      <c r="G5718" s="96">
        <f t="shared" si="368"/>
        <v>3940</v>
      </c>
      <c r="J5718" t="str">
        <f t="shared" si="371"/>
        <v/>
      </c>
      <c r="K5718" t="str">
        <f t="shared" si="369"/>
        <v>3940</v>
      </c>
      <c r="O5718" s="96">
        <f t="shared" si="370"/>
        <v>3940</v>
      </c>
    </row>
    <row r="5719" spans="3:15" x14ac:dyDescent="0.2">
      <c r="C5719" t="str">
        <f t="shared" si="367"/>
        <v>3941</v>
      </c>
      <c r="G5719" s="96">
        <f t="shared" si="368"/>
        <v>3941</v>
      </c>
      <c r="J5719" t="str">
        <f t="shared" si="371"/>
        <v/>
      </c>
      <c r="K5719" t="str">
        <f t="shared" si="369"/>
        <v>3941</v>
      </c>
      <c r="O5719" s="96">
        <f t="shared" si="370"/>
        <v>3941</v>
      </c>
    </row>
    <row r="5720" spans="3:15" x14ac:dyDescent="0.2">
      <c r="C5720" t="str">
        <f t="shared" si="367"/>
        <v>3942</v>
      </c>
      <c r="G5720" s="96">
        <f t="shared" si="368"/>
        <v>3942</v>
      </c>
      <c r="J5720" t="str">
        <f t="shared" si="371"/>
        <v/>
      </c>
      <c r="K5720" t="str">
        <f t="shared" si="369"/>
        <v>3942</v>
      </c>
      <c r="O5720" s="96">
        <f t="shared" si="370"/>
        <v>3942</v>
      </c>
    </row>
    <row r="5721" spans="3:15" x14ac:dyDescent="0.2">
      <c r="C5721" t="str">
        <f t="shared" si="367"/>
        <v>3943</v>
      </c>
      <c r="G5721" s="96">
        <f t="shared" si="368"/>
        <v>3943</v>
      </c>
      <c r="J5721" t="str">
        <f t="shared" si="371"/>
        <v/>
      </c>
      <c r="K5721" t="str">
        <f t="shared" si="369"/>
        <v>3943</v>
      </c>
      <c r="O5721" s="96">
        <f t="shared" si="370"/>
        <v>3943</v>
      </c>
    </row>
    <row r="5722" spans="3:15" x14ac:dyDescent="0.2">
      <c r="C5722" t="str">
        <f t="shared" si="367"/>
        <v>3944</v>
      </c>
      <c r="G5722" s="96">
        <f t="shared" si="368"/>
        <v>3944</v>
      </c>
      <c r="J5722" t="str">
        <f t="shared" si="371"/>
        <v/>
      </c>
      <c r="K5722" t="str">
        <f t="shared" si="369"/>
        <v>3944</v>
      </c>
      <c r="O5722" s="96">
        <f t="shared" si="370"/>
        <v>3944</v>
      </c>
    </row>
    <row r="5723" spans="3:15" x14ac:dyDescent="0.2">
      <c r="C5723" t="str">
        <f t="shared" si="367"/>
        <v>3945</v>
      </c>
      <c r="G5723" s="96">
        <f t="shared" si="368"/>
        <v>3945</v>
      </c>
      <c r="J5723" t="str">
        <f t="shared" si="371"/>
        <v/>
      </c>
      <c r="K5723" t="str">
        <f t="shared" si="369"/>
        <v>3945</v>
      </c>
      <c r="O5723" s="96">
        <f t="shared" si="370"/>
        <v>3945</v>
      </c>
    </row>
    <row r="5724" spans="3:15" x14ac:dyDescent="0.2">
      <c r="C5724" t="str">
        <f t="shared" si="367"/>
        <v>3946</v>
      </c>
      <c r="G5724" s="96">
        <f t="shared" si="368"/>
        <v>3946</v>
      </c>
      <c r="J5724" t="str">
        <f t="shared" si="371"/>
        <v/>
      </c>
      <c r="K5724" t="str">
        <f t="shared" si="369"/>
        <v>3946</v>
      </c>
      <c r="O5724" s="96">
        <f t="shared" si="370"/>
        <v>3946</v>
      </c>
    </row>
    <row r="5725" spans="3:15" x14ac:dyDescent="0.2">
      <c r="C5725" t="str">
        <f t="shared" si="367"/>
        <v>3947</v>
      </c>
      <c r="G5725" s="96">
        <f t="shared" si="368"/>
        <v>3947</v>
      </c>
      <c r="J5725" t="str">
        <f t="shared" si="371"/>
        <v/>
      </c>
      <c r="K5725" t="str">
        <f t="shared" si="369"/>
        <v>3947</v>
      </c>
      <c r="O5725" s="96">
        <f t="shared" si="370"/>
        <v>3947</v>
      </c>
    </row>
    <row r="5726" spans="3:15" x14ac:dyDescent="0.2">
      <c r="C5726" t="str">
        <f t="shared" si="367"/>
        <v>3948</v>
      </c>
      <c r="G5726" s="96">
        <f t="shared" si="368"/>
        <v>3948</v>
      </c>
      <c r="J5726" t="str">
        <f t="shared" si="371"/>
        <v/>
      </c>
      <c r="K5726" t="str">
        <f t="shared" si="369"/>
        <v>3948</v>
      </c>
      <c r="O5726" s="96">
        <f t="shared" si="370"/>
        <v>3948</v>
      </c>
    </row>
    <row r="5727" spans="3:15" x14ac:dyDescent="0.2">
      <c r="C5727" t="str">
        <f t="shared" si="367"/>
        <v>3949</v>
      </c>
      <c r="G5727" s="96">
        <f t="shared" si="368"/>
        <v>3949</v>
      </c>
      <c r="J5727" t="str">
        <f t="shared" si="371"/>
        <v/>
      </c>
      <c r="K5727" t="str">
        <f t="shared" si="369"/>
        <v>3949</v>
      </c>
      <c r="O5727" s="96">
        <f t="shared" si="370"/>
        <v>3949</v>
      </c>
    </row>
    <row r="5728" spans="3:15" x14ac:dyDescent="0.2">
      <c r="C5728" t="str">
        <f t="shared" si="367"/>
        <v>3950</v>
      </c>
      <c r="G5728" s="96">
        <f t="shared" si="368"/>
        <v>3950</v>
      </c>
      <c r="J5728" t="str">
        <f t="shared" si="371"/>
        <v/>
      </c>
      <c r="K5728" t="str">
        <f t="shared" si="369"/>
        <v>3950</v>
      </c>
      <c r="O5728" s="96">
        <f t="shared" si="370"/>
        <v>3950</v>
      </c>
    </row>
    <row r="5729" spans="3:15" x14ac:dyDescent="0.2">
      <c r="C5729" t="str">
        <f t="shared" si="367"/>
        <v>3951</v>
      </c>
      <c r="G5729" s="96">
        <f t="shared" si="368"/>
        <v>3951</v>
      </c>
      <c r="J5729" t="str">
        <f t="shared" si="371"/>
        <v/>
      </c>
      <c r="K5729" t="str">
        <f t="shared" si="369"/>
        <v>3951</v>
      </c>
      <c r="O5729" s="96">
        <f t="shared" si="370"/>
        <v>3951</v>
      </c>
    </row>
    <row r="5730" spans="3:15" x14ac:dyDescent="0.2">
      <c r="C5730" t="str">
        <f t="shared" si="367"/>
        <v>3952</v>
      </c>
      <c r="G5730" s="96">
        <f t="shared" si="368"/>
        <v>3952</v>
      </c>
      <c r="J5730" t="str">
        <f t="shared" si="371"/>
        <v/>
      </c>
      <c r="K5730" t="str">
        <f t="shared" si="369"/>
        <v>3952</v>
      </c>
      <c r="O5730" s="96">
        <f t="shared" si="370"/>
        <v>3952</v>
      </c>
    </row>
    <row r="5731" spans="3:15" x14ac:dyDescent="0.2">
      <c r="C5731" t="str">
        <f t="shared" si="367"/>
        <v>3953</v>
      </c>
      <c r="G5731" s="96">
        <f t="shared" si="368"/>
        <v>3953</v>
      </c>
      <c r="J5731" t="str">
        <f t="shared" si="371"/>
        <v/>
      </c>
      <c r="K5731" t="str">
        <f t="shared" si="369"/>
        <v>3953</v>
      </c>
      <c r="O5731" s="96">
        <f t="shared" si="370"/>
        <v>3953</v>
      </c>
    </row>
    <row r="5732" spans="3:15" x14ac:dyDescent="0.2">
      <c r="C5732" t="str">
        <f t="shared" si="367"/>
        <v>3954</v>
      </c>
      <c r="G5732" s="96">
        <f t="shared" si="368"/>
        <v>3954</v>
      </c>
      <c r="J5732" t="str">
        <f t="shared" si="371"/>
        <v/>
      </c>
      <c r="K5732" t="str">
        <f t="shared" si="369"/>
        <v>3954</v>
      </c>
      <c r="O5732" s="96">
        <f t="shared" si="370"/>
        <v>3954</v>
      </c>
    </row>
    <row r="5733" spans="3:15" x14ac:dyDescent="0.2">
      <c r="C5733" t="str">
        <f t="shared" si="367"/>
        <v>3955</v>
      </c>
      <c r="G5733" s="96">
        <f t="shared" si="368"/>
        <v>3955</v>
      </c>
      <c r="J5733" t="str">
        <f t="shared" si="371"/>
        <v/>
      </c>
      <c r="K5733" t="str">
        <f t="shared" si="369"/>
        <v>3955</v>
      </c>
      <c r="O5733" s="96">
        <f t="shared" si="370"/>
        <v>3955</v>
      </c>
    </row>
    <row r="5734" spans="3:15" x14ac:dyDescent="0.2">
      <c r="C5734" t="str">
        <f t="shared" si="367"/>
        <v>3956</v>
      </c>
      <c r="G5734" s="96">
        <f t="shared" si="368"/>
        <v>3956</v>
      </c>
      <c r="J5734" t="str">
        <f t="shared" si="371"/>
        <v/>
      </c>
      <c r="K5734" t="str">
        <f t="shared" si="369"/>
        <v>3956</v>
      </c>
      <c r="O5734" s="96">
        <f t="shared" si="370"/>
        <v>3956</v>
      </c>
    </row>
    <row r="5735" spans="3:15" x14ac:dyDescent="0.2">
      <c r="C5735" t="str">
        <f t="shared" si="367"/>
        <v>3957</v>
      </c>
      <c r="G5735" s="96">
        <f t="shared" si="368"/>
        <v>3957</v>
      </c>
      <c r="J5735" t="str">
        <f t="shared" si="371"/>
        <v/>
      </c>
      <c r="K5735" t="str">
        <f t="shared" si="369"/>
        <v>3957</v>
      </c>
      <c r="O5735" s="96">
        <f t="shared" si="370"/>
        <v>3957</v>
      </c>
    </row>
    <row r="5736" spans="3:15" x14ac:dyDescent="0.2">
      <c r="C5736" t="str">
        <f t="shared" si="367"/>
        <v>3958</v>
      </c>
      <c r="G5736" s="96">
        <f t="shared" si="368"/>
        <v>3958</v>
      </c>
      <c r="J5736" t="str">
        <f t="shared" si="371"/>
        <v/>
      </c>
      <c r="K5736" t="str">
        <f t="shared" si="369"/>
        <v>3958</v>
      </c>
      <c r="O5736" s="96">
        <f t="shared" si="370"/>
        <v>3958</v>
      </c>
    </row>
    <row r="5737" spans="3:15" x14ac:dyDescent="0.2">
      <c r="C5737" t="str">
        <f t="shared" si="367"/>
        <v>3959</v>
      </c>
      <c r="G5737" s="96">
        <f t="shared" si="368"/>
        <v>3959</v>
      </c>
      <c r="J5737" t="str">
        <f t="shared" si="371"/>
        <v/>
      </c>
      <c r="K5737" t="str">
        <f t="shared" si="369"/>
        <v>3959</v>
      </c>
      <c r="O5737" s="96">
        <f t="shared" si="370"/>
        <v>3959</v>
      </c>
    </row>
    <row r="5738" spans="3:15" x14ac:dyDescent="0.2">
      <c r="C5738" t="str">
        <f t="shared" si="367"/>
        <v>3960</v>
      </c>
      <c r="G5738" s="96">
        <f t="shared" si="368"/>
        <v>3960</v>
      </c>
      <c r="J5738" t="str">
        <f t="shared" si="371"/>
        <v/>
      </c>
      <c r="K5738" t="str">
        <f t="shared" si="369"/>
        <v>3960</v>
      </c>
      <c r="O5738" s="96">
        <f t="shared" si="370"/>
        <v>3960</v>
      </c>
    </row>
    <row r="5739" spans="3:15" x14ac:dyDescent="0.2">
      <c r="C5739" t="str">
        <f t="shared" si="367"/>
        <v>3961</v>
      </c>
      <c r="G5739" s="96">
        <f t="shared" si="368"/>
        <v>3961</v>
      </c>
      <c r="J5739" t="str">
        <f t="shared" si="371"/>
        <v/>
      </c>
      <c r="K5739" t="str">
        <f t="shared" si="369"/>
        <v>3961</v>
      </c>
      <c r="O5739" s="96">
        <f t="shared" si="370"/>
        <v>3961</v>
      </c>
    </row>
    <row r="5740" spans="3:15" x14ac:dyDescent="0.2">
      <c r="C5740" t="str">
        <f t="shared" si="367"/>
        <v>3962</v>
      </c>
      <c r="G5740" s="96">
        <f t="shared" si="368"/>
        <v>3962</v>
      </c>
      <c r="J5740" t="str">
        <f t="shared" si="371"/>
        <v/>
      </c>
      <c r="K5740" t="str">
        <f t="shared" si="369"/>
        <v>3962</v>
      </c>
      <c r="O5740" s="96">
        <f t="shared" si="370"/>
        <v>3962</v>
      </c>
    </row>
    <row r="5741" spans="3:15" x14ac:dyDescent="0.2">
      <c r="C5741" t="str">
        <f t="shared" si="367"/>
        <v>3963</v>
      </c>
      <c r="G5741" s="96">
        <f t="shared" si="368"/>
        <v>3963</v>
      </c>
      <c r="J5741" t="str">
        <f t="shared" si="371"/>
        <v/>
      </c>
      <c r="K5741" t="str">
        <f t="shared" si="369"/>
        <v>3963</v>
      </c>
      <c r="O5741" s="96">
        <f t="shared" si="370"/>
        <v>3963</v>
      </c>
    </row>
    <row r="5742" spans="3:15" x14ac:dyDescent="0.2">
      <c r="C5742" t="str">
        <f t="shared" si="367"/>
        <v>3964</v>
      </c>
      <c r="G5742" s="96">
        <f t="shared" si="368"/>
        <v>3964</v>
      </c>
      <c r="J5742" t="str">
        <f t="shared" si="371"/>
        <v/>
      </c>
      <c r="K5742" t="str">
        <f t="shared" si="369"/>
        <v>3964</v>
      </c>
      <c r="O5742" s="96">
        <f t="shared" si="370"/>
        <v>3964</v>
      </c>
    </row>
    <row r="5743" spans="3:15" x14ac:dyDescent="0.2">
      <c r="C5743" t="str">
        <f t="shared" si="367"/>
        <v>3965</v>
      </c>
      <c r="G5743" s="96">
        <f t="shared" si="368"/>
        <v>3965</v>
      </c>
      <c r="J5743" t="str">
        <f t="shared" si="371"/>
        <v/>
      </c>
      <c r="K5743" t="str">
        <f t="shared" si="369"/>
        <v>3965</v>
      </c>
      <c r="O5743" s="96">
        <f t="shared" si="370"/>
        <v>3965</v>
      </c>
    </row>
    <row r="5744" spans="3:15" x14ac:dyDescent="0.2">
      <c r="C5744" t="str">
        <f t="shared" si="367"/>
        <v>3966</v>
      </c>
      <c r="G5744" s="96">
        <f t="shared" si="368"/>
        <v>3966</v>
      </c>
      <c r="J5744" t="str">
        <f t="shared" si="371"/>
        <v/>
      </c>
      <c r="K5744" t="str">
        <f t="shared" si="369"/>
        <v>3966</v>
      </c>
      <c r="O5744" s="96">
        <f t="shared" si="370"/>
        <v>3966</v>
      </c>
    </row>
    <row r="5745" spans="3:15" x14ac:dyDescent="0.2">
      <c r="C5745" t="str">
        <f t="shared" si="367"/>
        <v>3967</v>
      </c>
      <c r="G5745" s="96">
        <f t="shared" si="368"/>
        <v>3967</v>
      </c>
      <c r="J5745" t="str">
        <f t="shared" si="371"/>
        <v/>
      </c>
      <c r="K5745" t="str">
        <f t="shared" si="369"/>
        <v>3967</v>
      </c>
      <c r="O5745" s="96">
        <f t="shared" si="370"/>
        <v>3967</v>
      </c>
    </row>
    <row r="5746" spans="3:15" x14ac:dyDescent="0.2">
      <c r="C5746" t="str">
        <f t="shared" si="367"/>
        <v>3968</v>
      </c>
      <c r="G5746" s="96">
        <f t="shared" si="368"/>
        <v>3968</v>
      </c>
      <c r="J5746" t="str">
        <f t="shared" si="371"/>
        <v/>
      </c>
      <c r="K5746" t="str">
        <f t="shared" si="369"/>
        <v>3968</v>
      </c>
      <c r="O5746" s="96">
        <f t="shared" si="370"/>
        <v>3968</v>
      </c>
    </row>
    <row r="5747" spans="3:15" x14ac:dyDescent="0.2">
      <c r="C5747" t="str">
        <f t="shared" si="367"/>
        <v>3969</v>
      </c>
      <c r="G5747" s="96">
        <f t="shared" si="368"/>
        <v>3969</v>
      </c>
      <c r="J5747" t="str">
        <f t="shared" si="371"/>
        <v/>
      </c>
      <c r="K5747" t="str">
        <f t="shared" si="369"/>
        <v>3969</v>
      </c>
      <c r="O5747" s="96">
        <f t="shared" si="370"/>
        <v>3969</v>
      </c>
    </row>
    <row r="5748" spans="3:15" x14ac:dyDescent="0.2">
      <c r="C5748" t="str">
        <f t="shared" si="367"/>
        <v>3970</v>
      </c>
      <c r="G5748" s="96">
        <f t="shared" si="368"/>
        <v>3970</v>
      </c>
      <c r="J5748" t="str">
        <f t="shared" si="371"/>
        <v/>
      </c>
      <c r="K5748" t="str">
        <f t="shared" si="369"/>
        <v>3970</v>
      </c>
      <c r="O5748" s="96">
        <f t="shared" si="370"/>
        <v>3970</v>
      </c>
    </row>
    <row r="5749" spans="3:15" x14ac:dyDescent="0.2">
      <c r="C5749" t="str">
        <f t="shared" si="367"/>
        <v>3971</v>
      </c>
      <c r="G5749" s="96">
        <f t="shared" si="368"/>
        <v>3971</v>
      </c>
      <c r="J5749" t="str">
        <f t="shared" si="371"/>
        <v/>
      </c>
      <c r="K5749" t="str">
        <f t="shared" si="369"/>
        <v>3971</v>
      </c>
      <c r="O5749" s="96">
        <f t="shared" si="370"/>
        <v>3971</v>
      </c>
    </row>
    <row r="5750" spans="3:15" x14ac:dyDescent="0.2">
      <c r="C5750" t="str">
        <f t="shared" si="367"/>
        <v>3972</v>
      </c>
      <c r="G5750" s="96">
        <f t="shared" si="368"/>
        <v>3972</v>
      </c>
      <c r="J5750" t="str">
        <f t="shared" si="371"/>
        <v/>
      </c>
      <c r="K5750" t="str">
        <f t="shared" si="369"/>
        <v>3972</v>
      </c>
      <c r="O5750" s="96">
        <f t="shared" si="370"/>
        <v>3972</v>
      </c>
    </row>
    <row r="5751" spans="3:15" x14ac:dyDescent="0.2">
      <c r="C5751" t="str">
        <f t="shared" si="367"/>
        <v>3973</v>
      </c>
      <c r="G5751" s="96">
        <f t="shared" si="368"/>
        <v>3973</v>
      </c>
      <c r="J5751" t="str">
        <f t="shared" si="371"/>
        <v/>
      </c>
      <c r="K5751" t="str">
        <f t="shared" si="369"/>
        <v>3973</v>
      </c>
      <c r="O5751" s="96">
        <f t="shared" si="370"/>
        <v>3973</v>
      </c>
    </row>
    <row r="5752" spans="3:15" x14ac:dyDescent="0.2">
      <c r="C5752" t="str">
        <f t="shared" si="367"/>
        <v>3974</v>
      </c>
      <c r="G5752" s="96">
        <f t="shared" si="368"/>
        <v>3974</v>
      </c>
      <c r="J5752" t="str">
        <f t="shared" si="371"/>
        <v/>
      </c>
      <c r="K5752" t="str">
        <f t="shared" si="369"/>
        <v>3974</v>
      </c>
      <c r="O5752" s="96">
        <f t="shared" si="370"/>
        <v>3974</v>
      </c>
    </row>
    <row r="5753" spans="3:15" x14ac:dyDescent="0.2">
      <c r="C5753" t="str">
        <f t="shared" si="367"/>
        <v>3975</v>
      </c>
      <c r="G5753" s="96">
        <f t="shared" si="368"/>
        <v>3975</v>
      </c>
      <c r="J5753" t="str">
        <f t="shared" si="371"/>
        <v/>
      </c>
      <c r="K5753" t="str">
        <f t="shared" si="369"/>
        <v>3975</v>
      </c>
      <c r="O5753" s="96">
        <f t="shared" si="370"/>
        <v>3975</v>
      </c>
    </row>
    <row r="5754" spans="3:15" x14ac:dyDescent="0.2">
      <c r="C5754" t="str">
        <f t="shared" si="367"/>
        <v>3976</v>
      </c>
      <c r="G5754" s="96">
        <f t="shared" si="368"/>
        <v>3976</v>
      </c>
      <c r="J5754" t="str">
        <f t="shared" si="371"/>
        <v/>
      </c>
      <c r="K5754" t="str">
        <f t="shared" si="369"/>
        <v>3976</v>
      </c>
      <c r="O5754" s="96">
        <f t="shared" si="370"/>
        <v>3976</v>
      </c>
    </row>
    <row r="5755" spans="3:15" x14ac:dyDescent="0.2">
      <c r="C5755" t="str">
        <f t="shared" si="367"/>
        <v>3977</v>
      </c>
      <c r="G5755" s="96">
        <f t="shared" si="368"/>
        <v>3977</v>
      </c>
      <c r="J5755" t="str">
        <f t="shared" si="371"/>
        <v/>
      </c>
      <c r="K5755" t="str">
        <f t="shared" si="369"/>
        <v>3977</v>
      </c>
      <c r="O5755" s="96">
        <f t="shared" si="370"/>
        <v>3977</v>
      </c>
    </row>
    <row r="5756" spans="3:15" x14ac:dyDescent="0.2">
      <c r="C5756" t="str">
        <f t="shared" si="367"/>
        <v>3978</v>
      </c>
      <c r="G5756" s="96">
        <f t="shared" si="368"/>
        <v>3978</v>
      </c>
      <c r="J5756" t="str">
        <f t="shared" si="371"/>
        <v/>
      </c>
      <c r="K5756" t="str">
        <f t="shared" si="369"/>
        <v>3978</v>
      </c>
      <c r="O5756" s="96">
        <f t="shared" si="370"/>
        <v>3978</v>
      </c>
    </row>
    <row r="5757" spans="3:15" x14ac:dyDescent="0.2">
      <c r="C5757" t="str">
        <f t="shared" si="367"/>
        <v>3979</v>
      </c>
      <c r="G5757" s="96">
        <f t="shared" si="368"/>
        <v>3979</v>
      </c>
      <c r="J5757" t="str">
        <f t="shared" si="371"/>
        <v/>
      </c>
      <c r="K5757" t="str">
        <f t="shared" si="369"/>
        <v>3979</v>
      </c>
      <c r="O5757" s="96">
        <f t="shared" si="370"/>
        <v>3979</v>
      </c>
    </row>
    <row r="5758" spans="3:15" x14ac:dyDescent="0.2">
      <c r="C5758" t="str">
        <f t="shared" si="367"/>
        <v>3980</v>
      </c>
      <c r="G5758" s="96">
        <f t="shared" si="368"/>
        <v>3980</v>
      </c>
      <c r="J5758" t="str">
        <f t="shared" si="371"/>
        <v/>
      </c>
      <c r="K5758" t="str">
        <f t="shared" si="369"/>
        <v>3980</v>
      </c>
      <c r="O5758" s="96">
        <f t="shared" si="370"/>
        <v>3980</v>
      </c>
    </row>
    <row r="5759" spans="3:15" x14ac:dyDescent="0.2">
      <c r="C5759" t="str">
        <f t="shared" si="367"/>
        <v>3981</v>
      </c>
      <c r="G5759" s="96">
        <f t="shared" si="368"/>
        <v>3981</v>
      </c>
      <c r="J5759" t="str">
        <f t="shared" si="371"/>
        <v/>
      </c>
      <c r="K5759" t="str">
        <f t="shared" si="369"/>
        <v>3981</v>
      </c>
      <c r="O5759" s="96">
        <f t="shared" si="370"/>
        <v>3981</v>
      </c>
    </row>
    <row r="5760" spans="3:15" x14ac:dyDescent="0.2">
      <c r="C5760" t="str">
        <f t="shared" si="367"/>
        <v>3982</v>
      </c>
      <c r="G5760" s="96">
        <f t="shared" si="368"/>
        <v>3982</v>
      </c>
      <c r="J5760" t="str">
        <f t="shared" si="371"/>
        <v/>
      </c>
      <c r="K5760" t="str">
        <f t="shared" si="369"/>
        <v>3982</v>
      </c>
      <c r="O5760" s="96">
        <f t="shared" si="370"/>
        <v>3982</v>
      </c>
    </row>
    <row r="5761" spans="3:15" x14ac:dyDescent="0.2">
      <c r="C5761" t="str">
        <f t="shared" si="367"/>
        <v>3983</v>
      </c>
      <c r="G5761" s="96">
        <f t="shared" si="368"/>
        <v>3983</v>
      </c>
      <c r="J5761" t="str">
        <f t="shared" si="371"/>
        <v/>
      </c>
      <c r="K5761" t="str">
        <f t="shared" si="369"/>
        <v>3983</v>
      </c>
      <c r="O5761" s="96">
        <f t="shared" si="370"/>
        <v>3983</v>
      </c>
    </row>
    <row r="5762" spans="3:15" x14ac:dyDescent="0.2">
      <c r="C5762" t="str">
        <f t="shared" si="367"/>
        <v>3984</v>
      </c>
      <c r="G5762" s="96">
        <f t="shared" si="368"/>
        <v>3984</v>
      </c>
      <c r="J5762" t="str">
        <f t="shared" si="371"/>
        <v/>
      </c>
      <c r="K5762" t="str">
        <f t="shared" si="369"/>
        <v>3984</v>
      </c>
      <c r="O5762" s="96">
        <f t="shared" si="370"/>
        <v>3984</v>
      </c>
    </row>
    <row r="5763" spans="3:15" x14ac:dyDescent="0.2">
      <c r="C5763" t="str">
        <f t="shared" ref="C5763:C5826" si="372">D5763&amp;G5763</f>
        <v>3985</v>
      </c>
      <c r="G5763" s="96">
        <f t="shared" ref="G5763:G5826" si="373">IF(D5763&lt;&gt;D5762,1,G5762+1)</f>
        <v>3985</v>
      </c>
      <c r="J5763" t="str">
        <f t="shared" si="371"/>
        <v/>
      </c>
      <c r="K5763" t="str">
        <f t="shared" ref="K5763:K5826" si="374">L5763&amp;O5763</f>
        <v>3985</v>
      </c>
      <c r="O5763" s="96">
        <f t="shared" ref="O5763:O5826" si="375">IF(L5763&lt;&gt;L5762,1,O5762+1)</f>
        <v>3985</v>
      </c>
    </row>
    <row r="5764" spans="3:15" x14ac:dyDescent="0.2">
      <c r="C5764" t="str">
        <f t="shared" si="372"/>
        <v>3986</v>
      </c>
      <c r="G5764" s="96">
        <f t="shared" si="373"/>
        <v>3986</v>
      </c>
      <c r="J5764" t="str">
        <f t="shared" si="371"/>
        <v/>
      </c>
      <c r="K5764" t="str">
        <f t="shared" si="374"/>
        <v>3986</v>
      </c>
      <c r="O5764" s="96">
        <f t="shared" si="375"/>
        <v>3986</v>
      </c>
    </row>
    <row r="5765" spans="3:15" x14ac:dyDescent="0.2">
      <c r="C5765" t="str">
        <f t="shared" si="372"/>
        <v>3987</v>
      </c>
      <c r="G5765" s="96">
        <f t="shared" si="373"/>
        <v>3987</v>
      </c>
      <c r="J5765" t="str">
        <f t="shared" si="371"/>
        <v/>
      </c>
      <c r="K5765" t="str">
        <f t="shared" si="374"/>
        <v>3987</v>
      </c>
      <c r="O5765" s="96">
        <f t="shared" si="375"/>
        <v>3987</v>
      </c>
    </row>
    <row r="5766" spans="3:15" x14ac:dyDescent="0.2">
      <c r="C5766" t="str">
        <f t="shared" si="372"/>
        <v>3988</v>
      </c>
      <c r="G5766" s="96">
        <f t="shared" si="373"/>
        <v>3988</v>
      </c>
      <c r="J5766" t="str">
        <f t="shared" si="371"/>
        <v/>
      </c>
      <c r="K5766" t="str">
        <f t="shared" si="374"/>
        <v>3988</v>
      </c>
      <c r="O5766" s="96">
        <f t="shared" si="375"/>
        <v>3988</v>
      </c>
    </row>
    <row r="5767" spans="3:15" x14ac:dyDescent="0.2">
      <c r="C5767" t="str">
        <f t="shared" si="372"/>
        <v>3989</v>
      </c>
      <c r="G5767" s="96">
        <f t="shared" si="373"/>
        <v>3989</v>
      </c>
      <c r="J5767" t="str">
        <f t="shared" si="371"/>
        <v/>
      </c>
      <c r="K5767" t="str">
        <f t="shared" si="374"/>
        <v>3989</v>
      </c>
      <c r="O5767" s="96">
        <f t="shared" si="375"/>
        <v>3989</v>
      </c>
    </row>
    <row r="5768" spans="3:15" x14ac:dyDescent="0.2">
      <c r="C5768" t="str">
        <f t="shared" si="372"/>
        <v>3990</v>
      </c>
      <c r="G5768" s="96">
        <f t="shared" si="373"/>
        <v>3990</v>
      </c>
      <c r="J5768" t="str">
        <f t="shared" si="371"/>
        <v/>
      </c>
      <c r="K5768" t="str">
        <f t="shared" si="374"/>
        <v>3990</v>
      </c>
      <c r="O5768" s="96">
        <f t="shared" si="375"/>
        <v>3990</v>
      </c>
    </row>
    <row r="5769" spans="3:15" x14ac:dyDescent="0.2">
      <c r="C5769" t="str">
        <f t="shared" si="372"/>
        <v>3991</v>
      </c>
      <c r="G5769" s="96">
        <f t="shared" si="373"/>
        <v>3991</v>
      </c>
      <c r="J5769" t="str">
        <f t="shared" si="371"/>
        <v/>
      </c>
      <c r="K5769" t="str">
        <f t="shared" si="374"/>
        <v>3991</v>
      </c>
      <c r="O5769" s="96">
        <f t="shared" si="375"/>
        <v>3991</v>
      </c>
    </row>
    <row r="5770" spans="3:15" x14ac:dyDescent="0.2">
      <c r="C5770" t="str">
        <f t="shared" si="372"/>
        <v>3992</v>
      </c>
      <c r="G5770" s="96">
        <f t="shared" si="373"/>
        <v>3992</v>
      </c>
      <c r="J5770" t="str">
        <f t="shared" ref="J5770:J5833" si="376">L5770&amp;M5770</f>
        <v/>
      </c>
      <c r="K5770" t="str">
        <f t="shared" si="374"/>
        <v>3992</v>
      </c>
      <c r="O5770" s="96">
        <f t="shared" si="375"/>
        <v>3992</v>
      </c>
    </row>
    <row r="5771" spans="3:15" x14ac:dyDescent="0.2">
      <c r="C5771" t="str">
        <f t="shared" si="372"/>
        <v>3993</v>
      </c>
      <c r="G5771" s="96">
        <f t="shared" si="373"/>
        <v>3993</v>
      </c>
      <c r="J5771" t="str">
        <f t="shared" si="376"/>
        <v/>
      </c>
      <c r="K5771" t="str">
        <f t="shared" si="374"/>
        <v>3993</v>
      </c>
      <c r="O5771" s="96">
        <f t="shared" si="375"/>
        <v>3993</v>
      </c>
    </row>
    <row r="5772" spans="3:15" x14ac:dyDescent="0.2">
      <c r="C5772" t="str">
        <f t="shared" si="372"/>
        <v>3994</v>
      </c>
      <c r="G5772" s="96">
        <f t="shared" si="373"/>
        <v>3994</v>
      </c>
      <c r="J5772" t="str">
        <f t="shared" si="376"/>
        <v/>
      </c>
      <c r="K5772" t="str">
        <f t="shared" si="374"/>
        <v>3994</v>
      </c>
      <c r="O5772" s="96">
        <f t="shared" si="375"/>
        <v>3994</v>
      </c>
    </row>
    <row r="5773" spans="3:15" x14ac:dyDescent="0.2">
      <c r="C5773" t="str">
        <f t="shared" si="372"/>
        <v>3995</v>
      </c>
      <c r="G5773" s="96">
        <f t="shared" si="373"/>
        <v>3995</v>
      </c>
      <c r="J5773" t="str">
        <f t="shared" si="376"/>
        <v/>
      </c>
      <c r="K5773" t="str">
        <f t="shared" si="374"/>
        <v>3995</v>
      </c>
      <c r="O5773" s="96">
        <f t="shared" si="375"/>
        <v>3995</v>
      </c>
    </row>
    <row r="5774" spans="3:15" x14ac:dyDescent="0.2">
      <c r="C5774" t="str">
        <f t="shared" si="372"/>
        <v>3996</v>
      </c>
      <c r="G5774" s="96">
        <f t="shared" si="373"/>
        <v>3996</v>
      </c>
      <c r="J5774" t="str">
        <f t="shared" si="376"/>
        <v/>
      </c>
      <c r="K5774" t="str">
        <f t="shared" si="374"/>
        <v>3996</v>
      </c>
      <c r="O5774" s="96">
        <f t="shared" si="375"/>
        <v>3996</v>
      </c>
    </row>
    <row r="5775" spans="3:15" x14ac:dyDescent="0.2">
      <c r="C5775" t="str">
        <f t="shared" si="372"/>
        <v>3997</v>
      </c>
      <c r="G5775" s="96">
        <f t="shared" si="373"/>
        <v>3997</v>
      </c>
      <c r="J5775" t="str">
        <f t="shared" si="376"/>
        <v/>
      </c>
      <c r="K5775" t="str">
        <f t="shared" si="374"/>
        <v>3997</v>
      </c>
      <c r="O5775" s="96">
        <f t="shared" si="375"/>
        <v>3997</v>
      </c>
    </row>
    <row r="5776" spans="3:15" x14ac:dyDescent="0.2">
      <c r="C5776" t="str">
        <f t="shared" si="372"/>
        <v>3998</v>
      </c>
      <c r="G5776" s="96">
        <f t="shared" si="373"/>
        <v>3998</v>
      </c>
      <c r="J5776" t="str">
        <f t="shared" si="376"/>
        <v/>
      </c>
      <c r="K5776" t="str">
        <f t="shared" si="374"/>
        <v>3998</v>
      </c>
      <c r="O5776" s="96">
        <f t="shared" si="375"/>
        <v>3998</v>
      </c>
    </row>
    <row r="5777" spans="3:15" x14ac:dyDescent="0.2">
      <c r="C5777" t="str">
        <f t="shared" si="372"/>
        <v>3999</v>
      </c>
      <c r="G5777" s="96">
        <f t="shared" si="373"/>
        <v>3999</v>
      </c>
      <c r="J5777" t="str">
        <f t="shared" si="376"/>
        <v/>
      </c>
      <c r="K5777" t="str">
        <f t="shared" si="374"/>
        <v>3999</v>
      </c>
      <c r="O5777" s="96">
        <f t="shared" si="375"/>
        <v>3999</v>
      </c>
    </row>
    <row r="5778" spans="3:15" x14ac:dyDescent="0.2">
      <c r="C5778" t="str">
        <f t="shared" si="372"/>
        <v>4000</v>
      </c>
      <c r="G5778" s="96">
        <f t="shared" si="373"/>
        <v>4000</v>
      </c>
      <c r="J5778" t="str">
        <f t="shared" si="376"/>
        <v/>
      </c>
      <c r="K5778" t="str">
        <f t="shared" si="374"/>
        <v>4000</v>
      </c>
      <c r="O5778" s="96">
        <f t="shared" si="375"/>
        <v>4000</v>
      </c>
    </row>
    <row r="5779" spans="3:15" x14ac:dyDescent="0.2">
      <c r="C5779" t="str">
        <f t="shared" si="372"/>
        <v>4001</v>
      </c>
      <c r="G5779" s="96">
        <f t="shared" si="373"/>
        <v>4001</v>
      </c>
      <c r="J5779" t="str">
        <f t="shared" si="376"/>
        <v/>
      </c>
      <c r="K5779" t="str">
        <f t="shared" si="374"/>
        <v>4001</v>
      </c>
      <c r="O5779" s="96">
        <f t="shared" si="375"/>
        <v>4001</v>
      </c>
    </row>
    <row r="5780" spans="3:15" x14ac:dyDescent="0.2">
      <c r="C5780" t="str">
        <f t="shared" si="372"/>
        <v>4002</v>
      </c>
      <c r="G5780" s="96">
        <f t="shared" si="373"/>
        <v>4002</v>
      </c>
      <c r="J5780" t="str">
        <f t="shared" si="376"/>
        <v/>
      </c>
      <c r="K5780" t="str">
        <f t="shared" si="374"/>
        <v>4002</v>
      </c>
      <c r="O5780" s="96">
        <f t="shared" si="375"/>
        <v>4002</v>
      </c>
    </row>
    <row r="5781" spans="3:15" x14ac:dyDescent="0.2">
      <c r="C5781" t="str">
        <f t="shared" si="372"/>
        <v>4003</v>
      </c>
      <c r="G5781" s="96">
        <f t="shared" si="373"/>
        <v>4003</v>
      </c>
      <c r="J5781" t="str">
        <f t="shared" si="376"/>
        <v/>
      </c>
      <c r="K5781" t="str">
        <f t="shared" si="374"/>
        <v>4003</v>
      </c>
      <c r="O5781" s="96">
        <f t="shared" si="375"/>
        <v>4003</v>
      </c>
    </row>
    <row r="5782" spans="3:15" x14ac:dyDescent="0.2">
      <c r="C5782" t="str">
        <f t="shared" si="372"/>
        <v>4004</v>
      </c>
      <c r="G5782" s="96">
        <f t="shared" si="373"/>
        <v>4004</v>
      </c>
      <c r="J5782" t="str">
        <f t="shared" si="376"/>
        <v/>
      </c>
      <c r="K5782" t="str">
        <f t="shared" si="374"/>
        <v>4004</v>
      </c>
      <c r="O5782" s="96">
        <f t="shared" si="375"/>
        <v>4004</v>
      </c>
    </row>
    <row r="5783" spans="3:15" x14ac:dyDescent="0.2">
      <c r="C5783" t="str">
        <f t="shared" si="372"/>
        <v>4005</v>
      </c>
      <c r="G5783" s="96">
        <f t="shared" si="373"/>
        <v>4005</v>
      </c>
      <c r="J5783" t="str">
        <f t="shared" si="376"/>
        <v/>
      </c>
      <c r="K5783" t="str">
        <f t="shared" si="374"/>
        <v>4005</v>
      </c>
      <c r="O5783" s="96">
        <f t="shared" si="375"/>
        <v>4005</v>
      </c>
    </row>
    <row r="5784" spans="3:15" x14ac:dyDescent="0.2">
      <c r="C5784" t="str">
        <f t="shared" si="372"/>
        <v>4006</v>
      </c>
      <c r="G5784" s="96">
        <f t="shared" si="373"/>
        <v>4006</v>
      </c>
      <c r="J5784" t="str">
        <f t="shared" si="376"/>
        <v/>
      </c>
      <c r="K5784" t="str">
        <f t="shared" si="374"/>
        <v>4006</v>
      </c>
      <c r="O5784" s="96">
        <f t="shared" si="375"/>
        <v>4006</v>
      </c>
    </row>
    <row r="5785" spans="3:15" x14ac:dyDescent="0.2">
      <c r="C5785" t="str">
        <f t="shared" si="372"/>
        <v>4007</v>
      </c>
      <c r="G5785" s="96">
        <f t="shared" si="373"/>
        <v>4007</v>
      </c>
      <c r="J5785" t="str">
        <f t="shared" si="376"/>
        <v/>
      </c>
      <c r="K5785" t="str">
        <f t="shared" si="374"/>
        <v>4007</v>
      </c>
      <c r="O5785" s="96">
        <f t="shared" si="375"/>
        <v>4007</v>
      </c>
    </row>
    <row r="5786" spans="3:15" x14ac:dyDescent="0.2">
      <c r="C5786" t="str">
        <f t="shared" si="372"/>
        <v>4008</v>
      </c>
      <c r="G5786" s="96">
        <f t="shared" si="373"/>
        <v>4008</v>
      </c>
      <c r="J5786" t="str">
        <f t="shared" si="376"/>
        <v/>
      </c>
      <c r="K5786" t="str">
        <f t="shared" si="374"/>
        <v>4008</v>
      </c>
      <c r="O5786" s="96">
        <f t="shared" si="375"/>
        <v>4008</v>
      </c>
    </row>
    <row r="5787" spans="3:15" x14ac:dyDescent="0.2">
      <c r="C5787" t="str">
        <f t="shared" si="372"/>
        <v>4009</v>
      </c>
      <c r="G5787" s="96">
        <f t="shared" si="373"/>
        <v>4009</v>
      </c>
      <c r="J5787" t="str">
        <f t="shared" si="376"/>
        <v/>
      </c>
      <c r="K5787" t="str">
        <f t="shared" si="374"/>
        <v>4009</v>
      </c>
      <c r="O5787" s="96">
        <f t="shared" si="375"/>
        <v>4009</v>
      </c>
    </row>
    <row r="5788" spans="3:15" x14ac:dyDescent="0.2">
      <c r="C5788" t="str">
        <f t="shared" si="372"/>
        <v>4010</v>
      </c>
      <c r="G5788" s="96">
        <f t="shared" si="373"/>
        <v>4010</v>
      </c>
      <c r="J5788" t="str">
        <f t="shared" si="376"/>
        <v/>
      </c>
      <c r="K5788" t="str">
        <f t="shared" si="374"/>
        <v>4010</v>
      </c>
      <c r="O5788" s="96">
        <f t="shared" si="375"/>
        <v>4010</v>
      </c>
    </row>
    <row r="5789" spans="3:15" x14ac:dyDescent="0.2">
      <c r="C5789" t="str">
        <f t="shared" si="372"/>
        <v>4011</v>
      </c>
      <c r="G5789" s="96">
        <f t="shared" si="373"/>
        <v>4011</v>
      </c>
      <c r="J5789" t="str">
        <f t="shared" si="376"/>
        <v/>
      </c>
      <c r="K5789" t="str">
        <f t="shared" si="374"/>
        <v>4011</v>
      </c>
      <c r="O5789" s="96">
        <f t="shared" si="375"/>
        <v>4011</v>
      </c>
    </row>
    <row r="5790" spans="3:15" x14ac:dyDescent="0.2">
      <c r="C5790" t="str">
        <f t="shared" si="372"/>
        <v>4012</v>
      </c>
      <c r="G5790" s="96">
        <f t="shared" si="373"/>
        <v>4012</v>
      </c>
      <c r="J5790" t="str">
        <f t="shared" si="376"/>
        <v/>
      </c>
      <c r="K5790" t="str">
        <f t="shared" si="374"/>
        <v>4012</v>
      </c>
      <c r="O5790" s="96">
        <f t="shared" si="375"/>
        <v>4012</v>
      </c>
    </row>
    <row r="5791" spans="3:15" x14ac:dyDescent="0.2">
      <c r="C5791" t="str">
        <f t="shared" si="372"/>
        <v>4013</v>
      </c>
      <c r="G5791" s="96">
        <f t="shared" si="373"/>
        <v>4013</v>
      </c>
      <c r="J5791" t="str">
        <f t="shared" si="376"/>
        <v/>
      </c>
      <c r="K5791" t="str">
        <f t="shared" si="374"/>
        <v>4013</v>
      </c>
      <c r="O5791" s="96">
        <f t="shared" si="375"/>
        <v>4013</v>
      </c>
    </row>
    <row r="5792" spans="3:15" x14ac:dyDescent="0.2">
      <c r="C5792" t="str">
        <f t="shared" si="372"/>
        <v>4014</v>
      </c>
      <c r="G5792" s="96">
        <f t="shared" si="373"/>
        <v>4014</v>
      </c>
      <c r="J5792" t="str">
        <f t="shared" si="376"/>
        <v/>
      </c>
      <c r="K5792" t="str">
        <f t="shared" si="374"/>
        <v>4014</v>
      </c>
      <c r="O5792" s="96">
        <f t="shared" si="375"/>
        <v>4014</v>
      </c>
    </row>
    <row r="5793" spans="3:15" x14ac:dyDescent="0.2">
      <c r="C5793" t="str">
        <f t="shared" si="372"/>
        <v>4015</v>
      </c>
      <c r="G5793" s="96">
        <f t="shared" si="373"/>
        <v>4015</v>
      </c>
      <c r="J5793" t="str">
        <f t="shared" si="376"/>
        <v/>
      </c>
      <c r="K5793" t="str">
        <f t="shared" si="374"/>
        <v>4015</v>
      </c>
      <c r="O5793" s="96">
        <f t="shared" si="375"/>
        <v>4015</v>
      </c>
    </row>
    <row r="5794" spans="3:15" x14ac:dyDescent="0.2">
      <c r="C5794" t="str">
        <f t="shared" si="372"/>
        <v>4016</v>
      </c>
      <c r="G5794" s="96">
        <f t="shared" si="373"/>
        <v>4016</v>
      </c>
      <c r="J5794" t="str">
        <f t="shared" si="376"/>
        <v/>
      </c>
      <c r="K5794" t="str">
        <f t="shared" si="374"/>
        <v>4016</v>
      </c>
      <c r="O5794" s="96">
        <f t="shared" si="375"/>
        <v>4016</v>
      </c>
    </row>
    <row r="5795" spans="3:15" x14ac:dyDescent="0.2">
      <c r="C5795" t="str">
        <f t="shared" si="372"/>
        <v>4017</v>
      </c>
      <c r="G5795" s="96">
        <f t="shared" si="373"/>
        <v>4017</v>
      </c>
      <c r="J5795" t="str">
        <f t="shared" si="376"/>
        <v/>
      </c>
      <c r="K5795" t="str">
        <f t="shared" si="374"/>
        <v>4017</v>
      </c>
      <c r="O5795" s="96">
        <f t="shared" si="375"/>
        <v>4017</v>
      </c>
    </row>
    <row r="5796" spans="3:15" x14ac:dyDescent="0.2">
      <c r="C5796" t="str">
        <f t="shared" si="372"/>
        <v>4018</v>
      </c>
      <c r="G5796" s="96">
        <f t="shared" si="373"/>
        <v>4018</v>
      </c>
      <c r="J5796" t="str">
        <f t="shared" si="376"/>
        <v/>
      </c>
      <c r="K5796" t="str">
        <f t="shared" si="374"/>
        <v>4018</v>
      </c>
      <c r="O5796" s="96">
        <f t="shared" si="375"/>
        <v>4018</v>
      </c>
    </row>
    <row r="5797" spans="3:15" x14ac:dyDescent="0.2">
      <c r="C5797" t="str">
        <f t="shared" si="372"/>
        <v>4019</v>
      </c>
      <c r="G5797" s="96">
        <f t="shared" si="373"/>
        <v>4019</v>
      </c>
      <c r="J5797" t="str">
        <f t="shared" si="376"/>
        <v/>
      </c>
      <c r="K5797" t="str">
        <f t="shared" si="374"/>
        <v>4019</v>
      </c>
      <c r="O5797" s="96">
        <f t="shared" si="375"/>
        <v>4019</v>
      </c>
    </row>
    <row r="5798" spans="3:15" x14ac:dyDescent="0.2">
      <c r="C5798" t="str">
        <f t="shared" si="372"/>
        <v>4020</v>
      </c>
      <c r="G5798" s="96">
        <f t="shared" si="373"/>
        <v>4020</v>
      </c>
      <c r="J5798" t="str">
        <f t="shared" si="376"/>
        <v/>
      </c>
      <c r="K5798" t="str">
        <f t="shared" si="374"/>
        <v>4020</v>
      </c>
      <c r="O5798" s="96">
        <f t="shared" si="375"/>
        <v>4020</v>
      </c>
    </row>
    <row r="5799" spans="3:15" x14ac:dyDescent="0.2">
      <c r="C5799" t="str">
        <f t="shared" si="372"/>
        <v>4021</v>
      </c>
      <c r="G5799" s="96">
        <f t="shared" si="373"/>
        <v>4021</v>
      </c>
      <c r="J5799" t="str">
        <f t="shared" si="376"/>
        <v/>
      </c>
      <c r="K5799" t="str">
        <f t="shared" si="374"/>
        <v>4021</v>
      </c>
      <c r="O5799" s="96">
        <f t="shared" si="375"/>
        <v>4021</v>
      </c>
    </row>
    <row r="5800" spans="3:15" x14ac:dyDescent="0.2">
      <c r="C5800" t="str">
        <f t="shared" si="372"/>
        <v>4022</v>
      </c>
      <c r="G5800" s="96">
        <f t="shared" si="373"/>
        <v>4022</v>
      </c>
      <c r="J5800" t="str">
        <f t="shared" si="376"/>
        <v/>
      </c>
      <c r="K5800" t="str">
        <f t="shared" si="374"/>
        <v>4022</v>
      </c>
      <c r="O5800" s="96">
        <f t="shared" si="375"/>
        <v>4022</v>
      </c>
    </row>
    <row r="5801" spans="3:15" x14ac:dyDescent="0.2">
      <c r="C5801" t="str">
        <f t="shared" si="372"/>
        <v>4023</v>
      </c>
      <c r="G5801" s="96">
        <f t="shared" si="373"/>
        <v>4023</v>
      </c>
      <c r="J5801" t="str">
        <f t="shared" si="376"/>
        <v/>
      </c>
      <c r="K5801" t="str">
        <f t="shared" si="374"/>
        <v>4023</v>
      </c>
      <c r="O5801" s="96">
        <f t="shared" si="375"/>
        <v>4023</v>
      </c>
    </row>
    <row r="5802" spans="3:15" x14ac:dyDescent="0.2">
      <c r="C5802" t="str">
        <f t="shared" si="372"/>
        <v>4024</v>
      </c>
      <c r="G5802" s="96">
        <f t="shared" si="373"/>
        <v>4024</v>
      </c>
      <c r="J5802" t="str">
        <f t="shared" si="376"/>
        <v/>
      </c>
      <c r="K5802" t="str">
        <f t="shared" si="374"/>
        <v>4024</v>
      </c>
      <c r="O5802" s="96">
        <f t="shared" si="375"/>
        <v>4024</v>
      </c>
    </row>
    <row r="5803" spans="3:15" x14ac:dyDescent="0.2">
      <c r="C5803" t="str">
        <f t="shared" si="372"/>
        <v>4025</v>
      </c>
      <c r="G5803" s="96">
        <f t="shared" si="373"/>
        <v>4025</v>
      </c>
      <c r="J5803" t="str">
        <f t="shared" si="376"/>
        <v/>
      </c>
      <c r="K5803" t="str">
        <f t="shared" si="374"/>
        <v>4025</v>
      </c>
      <c r="O5803" s="96">
        <f t="shared" si="375"/>
        <v>4025</v>
      </c>
    </row>
    <row r="5804" spans="3:15" x14ac:dyDescent="0.2">
      <c r="C5804" t="str">
        <f t="shared" si="372"/>
        <v>4026</v>
      </c>
      <c r="G5804" s="96">
        <f t="shared" si="373"/>
        <v>4026</v>
      </c>
      <c r="J5804" t="str">
        <f t="shared" si="376"/>
        <v/>
      </c>
      <c r="K5804" t="str">
        <f t="shared" si="374"/>
        <v>4026</v>
      </c>
      <c r="O5804" s="96">
        <f t="shared" si="375"/>
        <v>4026</v>
      </c>
    </row>
    <row r="5805" spans="3:15" x14ac:dyDescent="0.2">
      <c r="C5805" t="str">
        <f t="shared" si="372"/>
        <v>4027</v>
      </c>
      <c r="G5805" s="96">
        <f t="shared" si="373"/>
        <v>4027</v>
      </c>
      <c r="J5805" t="str">
        <f t="shared" si="376"/>
        <v/>
      </c>
      <c r="K5805" t="str">
        <f t="shared" si="374"/>
        <v>4027</v>
      </c>
      <c r="O5805" s="96">
        <f t="shared" si="375"/>
        <v>4027</v>
      </c>
    </row>
    <row r="5806" spans="3:15" x14ac:dyDescent="0.2">
      <c r="C5806" t="str">
        <f t="shared" si="372"/>
        <v>4028</v>
      </c>
      <c r="G5806" s="96">
        <f t="shared" si="373"/>
        <v>4028</v>
      </c>
      <c r="J5806" t="str">
        <f t="shared" si="376"/>
        <v/>
      </c>
      <c r="K5806" t="str">
        <f t="shared" si="374"/>
        <v>4028</v>
      </c>
      <c r="O5806" s="96">
        <f t="shared" si="375"/>
        <v>4028</v>
      </c>
    </row>
    <row r="5807" spans="3:15" x14ac:dyDescent="0.2">
      <c r="C5807" t="str">
        <f t="shared" si="372"/>
        <v>4029</v>
      </c>
      <c r="G5807" s="96">
        <f t="shared" si="373"/>
        <v>4029</v>
      </c>
      <c r="J5807" t="str">
        <f t="shared" si="376"/>
        <v/>
      </c>
      <c r="K5807" t="str">
        <f t="shared" si="374"/>
        <v>4029</v>
      </c>
      <c r="O5807" s="96">
        <f t="shared" si="375"/>
        <v>4029</v>
      </c>
    </row>
    <row r="5808" spans="3:15" x14ac:dyDescent="0.2">
      <c r="C5808" t="str">
        <f t="shared" si="372"/>
        <v>4030</v>
      </c>
      <c r="G5808" s="96">
        <f t="shared" si="373"/>
        <v>4030</v>
      </c>
      <c r="J5808" t="str">
        <f t="shared" si="376"/>
        <v/>
      </c>
      <c r="K5808" t="str">
        <f t="shared" si="374"/>
        <v>4030</v>
      </c>
      <c r="O5808" s="96">
        <f t="shared" si="375"/>
        <v>4030</v>
      </c>
    </row>
    <row r="5809" spans="3:15" x14ac:dyDescent="0.2">
      <c r="C5809" t="str">
        <f t="shared" si="372"/>
        <v>4031</v>
      </c>
      <c r="G5809" s="96">
        <f t="shared" si="373"/>
        <v>4031</v>
      </c>
      <c r="J5809" t="str">
        <f t="shared" si="376"/>
        <v/>
      </c>
      <c r="K5809" t="str">
        <f t="shared" si="374"/>
        <v>4031</v>
      </c>
      <c r="O5809" s="96">
        <f t="shared" si="375"/>
        <v>4031</v>
      </c>
    </row>
    <row r="5810" spans="3:15" x14ac:dyDescent="0.2">
      <c r="C5810" t="str">
        <f t="shared" si="372"/>
        <v>4032</v>
      </c>
      <c r="G5810" s="96">
        <f t="shared" si="373"/>
        <v>4032</v>
      </c>
      <c r="J5810" t="str">
        <f t="shared" si="376"/>
        <v/>
      </c>
      <c r="K5810" t="str">
        <f t="shared" si="374"/>
        <v>4032</v>
      </c>
      <c r="O5810" s="96">
        <f t="shared" si="375"/>
        <v>4032</v>
      </c>
    </row>
    <row r="5811" spans="3:15" x14ac:dyDescent="0.2">
      <c r="C5811" t="str">
        <f t="shared" si="372"/>
        <v>4033</v>
      </c>
      <c r="G5811" s="96">
        <f t="shared" si="373"/>
        <v>4033</v>
      </c>
      <c r="J5811" t="str">
        <f t="shared" si="376"/>
        <v/>
      </c>
      <c r="K5811" t="str">
        <f t="shared" si="374"/>
        <v>4033</v>
      </c>
      <c r="O5811" s="96">
        <f t="shared" si="375"/>
        <v>4033</v>
      </c>
    </row>
    <row r="5812" spans="3:15" x14ac:dyDescent="0.2">
      <c r="C5812" t="str">
        <f t="shared" si="372"/>
        <v>4034</v>
      </c>
      <c r="G5812" s="96">
        <f t="shared" si="373"/>
        <v>4034</v>
      </c>
      <c r="J5812" t="str">
        <f t="shared" si="376"/>
        <v/>
      </c>
      <c r="K5812" t="str">
        <f t="shared" si="374"/>
        <v>4034</v>
      </c>
      <c r="O5812" s="96">
        <f t="shared" si="375"/>
        <v>4034</v>
      </c>
    </row>
    <row r="5813" spans="3:15" x14ac:dyDescent="0.2">
      <c r="C5813" t="str">
        <f t="shared" si="372"/>
        <v>4035</v>
      </c>
      <c r="G5813" s="96">
        <f t="shared" si="373"/>
        <v>4035</v>
      </c>
      <c r="J5813" t="str">
        <f t="shared" si="376"/>
        <v/>
      </c>
      <c r="K5813" t="str">
        <f t="shared" si="374"/>
        <v>4035</v>
      </c>
      <c r="O5813" s="96">
        <f t="shared" si="375"/>
        <v>4035</v>
      </c>
    </row>
    <row r="5814" spans="3:15" x14ac:dyDescent="0.2">
      <c r="C5814" t="str">
        <f t="shared" si="372"/>
        <v>4036</v>
      </c>
      <c r="G5814" s="96">
        <f t="shared" si="373"/>
        <v>4036</v>
      </c>
      <c r="J5814" t="str">
        <f t="shared" si="376"/>
        <v/>
      </c>
      <c r="K5814" t="str">
        <f t="shared" si="374"/>
        <v>4036</v>
      </c>
      <c r="O5814" s="96">
        <f t="shared" si="375"/>
        <v>4036</v>
      </c>
    </row>
    <row r="5815" spans="3:15" x14ac:dyDescent="0.2">
      <c r="C5815" t="str">
        <f t="shared" si="372"/>
        <v>4037</v>
      </c>
      <c r="G5815" s="96">
        <f t="shared" si="373"/>
        <v>4037</v>
      </c>
      <c r="J5815" t="str">
        <f t="shared" si="376"/>
        <v/>
      </c>
      <c r="K5815" t="str">
        <f t="shared" si="374"/>
        <v>4037</v>
      </c>
      <c r="O5815" s="96">
        <f t="shared" si="375"/>
        <v>4037</v>
      </c>
    </row>
    <row r="5816" spans="3:15" x14ac:dyDescent="0.2">
      <c r="C5816" t="str">
        <f t="shared" si="372"/>
        <v>4038</v>
      </c>
      <c r="G5816" s="96">
        <f t="shared" si="373"/>
        <v>4038</v>
      </c>
      <c r="J5816" t="str">
        <f t="shared" si="376"/>
        <v/>
      </c>
      <c r="K5816" t="str">
        <f t="shared" si="374"/>
        <v>4038</v>
      </c>
      <c r="O5816" s="96">
        <f t="shared" si="375"/>
        <v>4038</v>
      </c>
    </row>
    <row r="5817" spans="3:15" x14ac:dyDescent="0.2">
      <c r="C5817" t="str">
        <f t="shared" si="372"/>
        <v>4039</v>
      </c>
      <c r="G5817" s="96">
        <f t="shared" si="373"/>
        <v>4039</v>
      </c>
      <c r="J5817" t="str">
        <f t="shared" si="376"/>
        <v/>
      </c>
      <c r="K5817" t="str">
        <f t="shared" si="374"/>
        <v>4039</v>
      </c>
      <c r="O5817" s="96">
        <f t="shared" si="375"/>
        <v>4039</v>
      </c>
    </row>
    <row r="5818" spans="3:15" x14ac:dyDescent="0.2">
      <c r="C5818" t="str">
        <f t="shared" si="372"/>
        <v>4040</v>
      </c>
      <c r="G5818" s="96">
        <f t="shared" si="373"/>
        <v>4040</v>
      </c>
      <c r="J5818" t="str">
        <f t="shared" si="376"/>
        <v/>
      </c>
      <c r="K5818" t="str">
        <f t="shared" si="374"/>
        <v>4040</v>
      </c>
      <c r="O5818" s="96">
        <f t="shared" si="375"/>
        <v>4040</v>
      </c>
    </row>
    <row r="5819" spans="3:15" x14ac:dyDescent="0.2">
      <c r="C5819" t="str">
        <f t="shared" si="372"/>
        <v>4041</v>
      </c>
      <c r="G5819" s="96">
        <f t="shared" si="373"/>
        <v>4041</v>
      </c>
      <c r="J5819" t="str">
        <f t="shared" si="376"/>
        <v/>
      </c>
      <c r="K5819" t="str">
        <f t="shared" si="374"/>
        <v>4041</v>
      </c>
      <c r="O5819" s="96">
        <f t="shared" si="375"/>
        <v>4041</v>
      </c>
    </row>
    <row r="5820" spans="3:15" x14ac:dyDescent="0.2">
      <c r="C5820" t="str">
        <f t="shared" si="372"/>
        <v>4042</v>
      </c>
      <c r="G5820" s="96">
        <f t="shared" si="373"/>
        <v>4042</v>
      </c>
      <c r="J5820" t="str">
        <f t="shared" si="376"/>
        <v/>
      </c>
      <c r="K5820" t="str">
        <f t="shared" si="374"/>
        <v>4042</v>
      </c>
      <c r="O5820" s="96">
        <f t="shared" si="375"/>
        <v>4042</v>
      </c>
    </row>
    <row r="5821" spans="3:15" x14ac:dyDescent="0.2">
      <c r="C5821" t="str">
        <f t="shared" si="372"/>
        <v>4043</v>
      </c>
      <c r="G5821" s="96">
        <f t="shared" si="373"/>
        <v>4043</v>
      </c>
      <c r="J5821" t="str">
        <f t="shared" si="376"/>
        <v/>
      </c>
      <c r="K5821" t="str">
        <f t="shared" si="374"/>
        <v>4043</v>
      </c>
      <c r="O5821" s="96">
        <f t="shared" si="375"/>
        <v>4043</v>
      </c>
    </row>
    <row r="5822" spans="3:15" x14ac:dyDescent="0.2">
      <c r="C5822" t="str">
        <f t="shared" si="372"/>
        <v>4044</v>
      </c>
      <c r="G5822" s="96">
        <f t="shared" si="373"/>
        <v>4044</v>
      </c>
      <c r="J5822" t="str">
        <f t="shared" si="376"/>
        <v/>
      </c>
      <c r="K5822" t="str">
        <f t="shared" si="374"/>
        <v>4044</v>
      </c>
      <c r="O5822" s="96">
        <f t="shared" si="375"/>
        <v>4044</v>
      </c>
    </row>
    <row r="5823" spans="3:15" x14ac:dyDescent="0.2">
      <c r="C5823" t="str">
        <f t="shared" si="372"/>
        <v>4045</v>
      </c>
      <c r="G5823" s="96">
        <f t="shared" si="373"/>
        <v>4045</v>
      </c>
      <c r="J5823" t="str">
        <f t="shared" si="376"/>
        <v/>
      </c>
      <c r="K5823" t="str">
        <f t="shared" si="374"/>
        <v>4045</v>
      </c>
      <c r="O5823" s="96">
        <f t="shared" si="375"/>
        <v>4045</v>
      </c>
    </row>
    <row r="5824" spans="3:15" x14ac:dyDescent="0.2">
      <c r="C5824" t="str">
        <f t="shared" si="372"/>
        <v>4046</v>
      </c>
      <c r="G5824" s="96">
        <f t="shared" si="373"/>
        <v>4046</v>
      </c>
      <c r="J5824" t="str">
        <f t="shared" si="376"/>
        <v/>
      </c>
      <c r="K5824" t="str">
        <f t="shared" si="374"/>
        <v>4046</v>
      </c>
      <c r="O5824" s="96">
        <f t="shared" si="375"/>
        <v>4046</v>
      </c>
    </row>
    <row r="5825" spans="3:15" x14ac:dyDescent="0.2">
      <c r="C5825" t="str">
        <f t="shared" si="372"/>
        <v>4047</v>
      </c>
      <c r="G5825" s="96">
        <f t="shared" si="373"/>
        <v>4047</v>
      </c>
      <c r="J5825" t="str">
        <f t="shared" si="376"/>
        <v/>
      </c>
      <c r="K5825" t="str">
        <f t="shared" si="374"/>
        <v>4047</v>
      </c>
      <c r="O5825" s="96">
        <f t="shared" si="375"/>
        <v>4047</v>
      </c>
    </row>
    <row r="5826" spans="3:15" x14ac:dyDescent="0.2">
      <c r="C5826" t="str">
        <f t="shared" si="372"/>
        <v>4048</v>
      </c>
      <c r="G5826" s="96">
        <f t="shared" si="373"/>
        <v>4048</v>
      </c>
      <c r="J5826" t="str">
        <f t="shared" si="376"/>
        <v/>
      </c>
      <c r="K5826" t="str">
        <f t="shared" si="374"/>
        <v>4048</v>
      </c>
      <c r="O5826" s="96">
        <f t="shared" si="375"/>
        <v>4048</v>
      </c>
    </row>
    <row r="5827" spans="3:15" x14ac:dyDescent="0.2">
      <c r="C5827" t="str">
        <f t="shared" ref="C5827:C5890" si="377">D5827&amp;G5827</f>
        <v>4049</v>
      </c>
      <c r="G5827" s="96">
        <f t="shared" ref="G5827:G5890" si="378">IF(D5827&lt;&gt;D5826,1,G5826+1)</f>
        <v>4049</v>
      </c>
      <c r="J5827" t="str">
        <f t="shared" si="376"/>
        <v/>
      </c>
      <c r="K5827" t="str">
        <f t="shared" ref="K5827:K5890" si="379">L5827&amp;O5827</f>
        <v>4049</v>
      </c>
      <c r="O5827" s="96">
        <f t="shared" ref="O5827:O5890" si="380">IF(L5827&lt;&gt;L5826,1,O5826+1)</f>
        <v>4049</v>
      </c>
    </row>
    <row r="5828" spans="3:15" x14ac:dyDescent="0.2">
      <c r="C5828" t="str">
        <f t="shared" si="377"/>
        <v>4050</v>
      </c>
      <c r="G5828" s="96">
        <f t="shared" si="378"/>
        <v>4050</v>
      </c>
      <c r="J5828" t="str">
        <f t="shared" si="376"/>
        <v/>
      </c>
      <c r="K5828" t="str">
        <f t="shared" si="379"/>
        <v>4050</v>
      </c>
      <c r="O5828" s="96">
        <f t="shared" si="380"/>
        <v>4050</v>
      </c>
    </row>
    <row r="5829" spans="3:15" x14ac:dyDescent="0.2">
      <c r="C5829" t="str">
        <f t="shared" si="377"/>
        <v>4051</v>
      </c>
      <c r="G5829" s="96">
        <f t="shared" si="378"/>
        <v>4051</v>
      </c>
      <c r="J5829" t="str">
        <f t="shared" si="376"/>
        <v/>
      </c>
      <c r="K5829" t="str">
        <f t="shared" si="379"/>
        <v>4051</v>
      </c>
      <c r="O5829" s="96">
        <f t="shared" si="380"/>
        <v>4051</v>
      </c>
    </row>
    <row r="5830" spans="3:15" x14ac:dyDescent="0.2">
      <c r="C5830" t="str">
        <f t="shared" si="377"/>
        <v>4052</v>
      </c>
      <c r="G5830" s="96">
        <f t="shared" si="378"/>
        <v>4052</v>
      </c>
      <c r="J5830" t="str">
        <f t="shared" si="376"/>
        <v/>
      </c>
      <c r="K5830" t="str">
        <f t="shared" si="379"/>
        <v>4052</v>
      </c>
      <c r="O5830" s="96">
        <f t="shared" si="380"/>
        <v>4052</v>
      </c>
    </row>
    <row r="5831" spans="3:15" x14ac:dyDescent="0.2">
      <c r="C5831" t="str">
        <f t="shared" si="377"/>
        <v>4053</v>
      </c>
      <c r="G5831" s="96">
        <f t="shared" si="378"/>
        <v>4053</v>
      </c>
      <c r="J5831" t="str">
        <f t="shared" si="376"/>
        <v/>
      </c>
      <c r="K5831" t="str">
        <f t="shared" si="379"/>
        <v>4053</v>
      </c>
      <c r="O5831" s="96">
        <f t="shared" si="380"/>
        <v>4053</v>
      </c>
    </row>
    <row r="5832" spans="3:15" x14ac:dyDescent="0.2">
      <c r="C5832" t="str">
        <f t="shared" si="377"/>
        <v>4054</v>
      </c>
      <c r="G5832" s="96">
        <f t="shared" si="378"/>
        <v>4054</v>
      </c>
      <c r="J5832" t="str">
        <f t="shared" si="376"/>
        <v/>
      </c>
      <c r="K5832" t="str">
        <f t="shared" si="379"/>
        <v>4054</v>
      </c>
      <c r="O5832" s="96">
        <f t="shared" si="380"/>
        <v>4054</v>
      </c>
    </row>
    <row r="5833" spans="3:15" x14ac:dyDescent="0.2">
      <c r="C5833" t="str">
        <f t="shared" si="377"/>
        <v>4055</v>
      </c>
      <c r="G5833" s="96">
        <f t="shared" si="378"/>
        <v>4055</v>
      </c>
      <c r="J5833" t="str">
        <f t="shared" si="376"/>
        <v/>
      </c>
      <c r="K5833" t="str">
        <f t="shared" si="379"/>
        <v>4055</v>
      </c>
      <c r="O5833" s="96">
        <f t="shared" si="380"/>
        <v>4055</v>
      </c>
    </row>
    <row r="5834" spans="3:15" x14ac:dyDescent="0.2">
      <c r="C5834" t="str">
        <f t="shared" si="377"/>
        <v>4056</v>
      </c>
      <c r="G5834" s="96">
        <f t="shared" si="378"/>
        <v>4056</v>
      </c>
      <c r="J5834" t="str">
        <f t="shared" ref="J5834:J5897" si="381">L5834&amp;M5834</f>
        <v/>
      </c>
      <c r="K5834" t="str">
        <f t="shared" si="379"/>
        <v>4056</v>
      </c>
      <c r="O5834" s="96">
        <f t="shared" si="380"/>
        <v>4056</v>
      </c>
    </row>
    <row r="5835" spans="3:15" x14ac:dyDescent="0.2">
      <c r="C5835" t="str">
        <f t="shared" si="377"/>
        <v>4057</v>
      </c>
      <c r="G5835" s="96">
        <f t="shared" si="378"/>
        <v>4057</v>
      </c>
      <c r="J5835" t="str">
        <f t="shared" si="381"/>
        <v/>
      </c>
      <c r="K5835" t="str">
        <f t="shared" si="379"/>
        <v>4057</v>
      </c>
      <c r="O5835" s="96">
        <f t="shared" si="380"/>
        <v>4057</v>
      </c>
    </row>
    <row r="5836" spans="3:15" x14ac:dyDescent="0.2">
      <c r="C5836" t="str">
        <f t="shared" si="377"/>
        <v>4058</v>
      </c>
      <c r="G5836" s="96">
        <f t="shared" si="378"/>
        <v>4058</v>
      </c>
      <c r="J5836" t="str">
        <f t="shared" si="381"/>
        <v/>
      </c>
      <c r="K5836" t="str">
        <f t="shared" si="379"/>
        <v>4058</v>
      </c>
      <c r="O5836" s="96">
        <f t="shared" si="380"/>
        <v>4058</v>
      </c>
    </row>
    <row r="5837" spans="3:15" x14ac:dyDescent="0.2">
      <c r="C5837" t="str">
        <f t="shared" si="377"/>
        <v>4059</v>
      </c>
      <c r="G5837" s="96">
        <f t="shared" si="378"/>
        <v>4059</v>
      </c>
      <c r="J5837" t="str">
        <f t="shared" si="381"/>
        <v/>
      </c>
      <c r="K5837" t="str">
        <f t="shared" si="379"/>
        <v>4059</v>
      </c>
      <c r="O5837" s="96">
        <f t="shared" si="380"/>
        <v>4059</v>
      </c>
    </row>
    <row r="5838" spans="3:15" x14ac:dyDescent="0.2">
      <c r="C5838" t="str">
        <f t="shared" si="377"/>
        <v>4060</v>
      </c>
      <c r="G5838" s="96">
        <f t="shared" si="378"/>
        <v>4060</v>
      </c>
      <c r="J5838" t="str">
        <f t="shared" si="381"/>
        <v/>
      </c>
      <c r="K5838" t="str">
        <f t="shared" si="379"/>
        <v>4060</v>
      </c>
      <c r="O5838" s="96">
        <f t="shared" si="380"/>
        <v>4060</v>
      </c>
    </row>
    <row r="5839" spans="3:15" x14ac:dyDescent="0.2">
      <c r="C5839" t="str">
        <f t="shared" si="377"/>
        <v>4061</v>
      </c>
      <c r="G5839" s="96">
        <f t="shared" si="378"/>
        <v>4061</v>
      </c>
      <c r="J5839" t="str">
        <f t="shared" si="381"/>
        <v/>
      </c>
      <c r="K5839" t="str">
        <f t="shared" si="379"/>
        <v>4061</v>
      </c>
      <c r="O5839" s="96">
        <f t="shared" si="380"/>
        <v>4061</v>
      </c>
    </row>
    <row r="5840" spans="3:15" x14ac:dyDescent="0.2">
      <c r="C5840" t="str">
        <f t="shared" si="377"/>
        <v>4062</v>
      </c>
      <c r="G5840" s="96">
        <f t="shared" si="378"/>
        <v>4062</v>
      </c>
      <c r="J5840" t="str">
        <f t="shared" si="381"/>
        <v/>
      </c>
      <c r="K5840" t="str">
        <f t="shared" si="379"/>
        <v>4062</v>
      </c>
      <c r="O5840" s="96">
        <f t="shared" si="380"/>
        <v>4062</v>
      </c>
    </row>
    <row r="5841" spans="3:15" x14ac:dyDescent="0.2">
      <c r="C5841" t="str">
        <f t="shared" si="377"/>
        <v>4063</v>
      </c>
      <c r="G5841" s="96">
        <f t="shared" si="378"/>
        <v>4063</v>
      </c>
      <c r="J5841" t="str">
        <f t="shared" si="381"/>
        <v/>
      </c>
      <c r="K5841" t="str">
        <f t="shared" si="379"/>
        <v>4063</v>
      </c>
      <c r="O5841" s="96">
        <f t="shared" si="380"/>
        <v>4063</v>
      </c>
    </row>
    <row r="5842" spans="3:15" x14ac:dyDescent="0.2">
      <c r="C5842" t="str">
        <f t="shared" si="377"/>
        <v>4064</v>
      </c>
      <c r="G5842" s="96">
        <f t="shared" si="378"/>
        <v>4064</v>
      </c>
      <c r="J5842" t="str">
        <f t="shared" si="381"/>
        <v/>
      </c>
      <c r="K5842" t="str">
        <f t="shared" si="379"/>
        <v>4064</v>
      </c>
      <c r="O5842" s="96">
        <f t="shared" si="380"/>
        <v>4064</v>
      </c>
    </row>
    <row r="5843" spans="3:15" x14ac:dyDescent="0.2">
      <c r="C5843" t="str">
        <f t="shared" si="377"/>
        <v>4065</v>
      </c>
      <c r="G5843" s="96">
        <f t="shared" si="378"/>
        <v>4065</v>
      </c>
      <c r="J5843" t="str">
        <f t="shared" si="381"/>
        <v/>
      </c>
      <c r="K5843" t="str">
        <f t="shared" si="379"/>
        <v>4065</v>
      </c>
      <c r="O5843" s="96">
        <f t="shared" si="380"/>
        <v>4065</v>
      </c>
    </row>
    <row r="5844" spans="3:15" x14ac:dyDescent="0.2">
      <c r="C5844" t="str">
        <f t="shared" si="377"/>
        <v>4066</v>
      </c>
      <c r="G5844" s="96">
        <f t="shared" si="378"/>
        <v>4066</v>
      </c>
      <c r="J5844" t="str">
        <f t="shared" si="381"/>
        <v/>
      </c>
      <c r="K5844" t="str">
        <f t="shared" si="379"/>
        <v>4066</v>
      </c>
      <c r="O5844" s="96">
        <f t="shared" si="380"/>
        <v>4066</v>
      </c>
    </row>
    <row r="5845" spans="3:15" x14ac:dyDescent="0.2">
      <c r="C5845" t="str">
        <f t="shared" si="377"/>
        <v>4067</v>
      </c>
      <c r="G5845" s="96">
        <f t="shared" si="378"/>
        <v>4067</v>
      </c>
      <c r="J5845" t="str">
        <f t="shared" si="381"/>
        <v/>
      </c>
      <c r="K5845" t="str">
        <f t="shared" si="379"/>
        <v>4067</v>
      </c>
      <c r="O5845" s="96">
        <f t="shared" si="380"/>
        <v>4067</v>
      </c>
    </row>
    <row r="5846" spans="3:15" x14ac:dyDescent="0.2">
      <c r="C5846" t="str">
        <f t="shared" si="377"/>
        <v>4068</v>
      </c>
      <c r="G5846" s="96">
        <f t="shared" si="378"/>
        <v>4068</v>
      </c>
      <c r="J5846" t="str">
        <f t="shared" si="381"/>
        <v/>
      </c>
      <c r="K5846" t="str">
        <f t="shared" si="379"/>
        <v>4068</v>
      </c>
      <c r="O5846" s="96">
        <f t="shared" si="380"/>
        <v>4068</v>
      </c>
    </row>
    <row r="5847" spans="3:15" x14ac:dyDescent="0.2">
      <c r="C5847" t="str">
        <f t="shared" si="377"/>
        <v>4069</v>
      </c>
      <c r="G5847" s="96">
        <f t="shared" si="378"/>
        <v>4069</v>
      </c>
      <c r="J5847" t="str">
        <f t="shared" si="381"/>
        <v/>
      </c>
      <c r="K5847" t="str">
        <f t="shared" si="379"/>
        <v>4069</v>
      </c>
      <c r="O5847" s="96">
        <f t="shared" si="380"/>
        <v>4069</v>
      </c>
    </row>
    <row r="5848" spans="3:15" x14ac:dyDescent="0.2">
      <c r="C5848" t="str">
        <f t="shared" si="377"/>
        <v>4070</v>
      </c>
      <c r="G5848" s="96">
        <f t="shared" si="378"/>
        <v>4070</v>
      </c>
      <c r="J5848" t="str">
        <f t="shared" si="381"/>
        <v/>
      </c>
      <c r="K5848" t="str">
        <f t="shared" si="379"/>
        <v>4070</v>
      </c>
      <c r="O5848" s="96">
        <f t="shared" si="380"/>
        <v>4070</v>
      </c>
    </row>
    <row r="5849" spans="3:15" x14ac:dyDescent="0.2">
      <c r="C5849" t="str">
        <f t="shared" si="377"/>
        <v>4071</v>
      </c>
      <c r="G5849" s="96">
        <f t="shared" si="378"/>
        <v>4071</v>
      </c>
      <c r="J5849" t="str">
        <f t="shared" si="381"/>
        <v/>
      </c>
      <c r="K5849" t="str">
        <f t="shared" si="379"/>
        <v>4071</v>
      </c>
      <c r="O5849" s="96">
        <f t="shared" si="380"/>
        <v>4071</v>
      </c>
    </row>
    <row r="5850" spans="3:15" x14ac:dyDescent="0.2">
      <c r="C5850" t="str">
        <f t="shared" si="377"/>
        <v>4072</v>
      </c>
      <c r="G5850" s="96">
        <f t="shared" si="378"/>
        <v>4072</v>
      </c>
      <c r="J5850" t="str">
        <f t="shared" si="381"/>
        <v/>
      </c>
      <c r="K5850" t="str">
        <f t="shared" si="379"/>
        <v>4072</v>
      </c>
      <c r="O5850" s="96">
        <f t="shared" si="380"/>
        <v>4072</v>
      </c>
    </row>
    <row r="5851" spans="3:15" x14ac:dyDescent="0.2">
      <c r="C5851" t="str">
        <f t="shared" si="377"/>
        <v>4073</v>
      </c>
      <c r="G5851" s="96">
        <f t="shared" si="378"/>
        <v>4073</v>
      </c>
      <c r="J5851" t="str">
        <f t="shared" si="381"/>
        <v/>
      </c>
      <c r="K5851" t="str">
        <f t="shared" si="379"/>
        <v>4073</v>
      </c>
      <c r="O5851" s="96">
        <f t="shared" si="380"/>
        <v>4073</v>
      </c>
    </row>
    <row r="5852" spans="3:15" x14ac:dyDescent="0.2">
      <c r="C5852" t="str">
        <f t="shared" si="377"/>
        <v>4074</v>
      </c>
      <c r="G5852" s="96">
        <f t="shared" si="378"/>
        <v>4074</v>
      </c>
      <c r="J5852" t="str">
        <f t="shared" si="381"/>
        <v/>
      </c>
      <c r="K5852" t="str">
        <f t="shared" si="379"/>
        <v>4074</v>
      </c>
      <c r="O5852" s="96">
        <f t="shared" si="380"/>
        <v>4074</v>
      </c>
    </row>
    <row r="5853" spans="3:15" x14ac:dyDescent="0.2">
      <c r="C5853" t="str">
        <f t="shared" si="377"/>
        <v>4075</v>
      </c>
      <c r="G5853" s="96">
        <f t="shared" si="378"/>
        <v>4075</v>
      </c>
      <c r="J5853" t="str">
        <f t="shared" si="381"/>
        <v/>
      </c>
      <c r="K5853" t="str">
        <f t="shared" si="379"/>
        <v>4075</v>
      </c>
      <c r="O5853" s="96">
        <f t="shared" si="380"/>
        <v>4075</v>
      </c>
    </row>
    <row r="5854" spans="3:15" x14ac:dyDescent="0.2">
      <c r="C5854" t="str">
        <f t="shared" si="377"/>
        <v>4076</v>
      </c>
      <c r="G5854" s="96">
        <f t="shared" si="378"/>
        <v>4076</v>
      </c>
      <c r="J5854" t="str">
        <f t="shared" si="381"/>
        <v/>
      </c>
      <c r="K5854" t="str">
        <f t="shared" si="379"/>
        <v>4076</v>
      </c>
      <c r="O5854" s="96">
        <f t="shared" si="380"/>
        <v>4076</v>
      </c>
    </row>
    <row r="5855" spans="3:15" x14ac:dyDescent="0.2">
      <c r="C5855" t="str">
        <f t="shared" si="377"/>
        <v>4077</v>
      </c>
      <c r="G5855" s="96">
        <f t="shared" si="378"/>
        <v>4077</v>
      </c>
      <c r="J5855" t="str">
        <f t="shared" si="381"/>
        <v/>
      </c>
      <c r="K5855" t="str">
        <f t="shared" si="379"/>
        <v>4077</v>
      </c>
      <c r="O5855" s="96">
        <f t="shared" si="380"/>
        <v>4077</v>
      </c>
    </row>
    <row r="5856" spans="3:15" x14ac:dyDescent="0.2">
      <c r="C5856" t="str">
        <f t="shared" si="377"/>
        <v>4078</v>
      </c>
      <c r="G5856" s="96">
        <f t="shared" si="378"/>
        <v>4078</v>
      </c>
      <c r="J5856" t="str">
        <f t="shared" si="381"/>
        <v/>
      </c>
      <c r="K5856" t="str">
        <f t="shared" si="379"/>
        <v>4078</v>
      </c>
      <c r="O5856" s="96">
        <f t="shared" si="380"/>
        <v>4078</v>
      </c>
    </row>
    <row r="5857" spans="3:15" x14ac:dyDescent="0.2">
      <c r="C5857" t="str">
        <f t="shared" si="377"/>
        <v>4079</v>
      </c>
      <c r="G5857" s="96">
        <f t="shared" si="378"/>
        <v>4079</v>
      </c>
      <c r="J5857" t="str">
        <f t="shared" si="381"/>
        <v/>
      </c>
      <c r="K5857" t="str">
        <f t="shared" si="379"/>
        <v>4079</v>
      </c>
      <c r="O5857" s="96">
        <f t="shared" si="380"/>
        <v>4079</v>
      </c>
    </row>
    <row r="5858" spans="3:15" x14ac:dyDescent="0.2">
      <c r="C5858" t="str">
        <f t="shared" si="377"/>
        <v>4080</v>
      </c>
      <c r="G5858" s="96">
        <f t="shared" si="378"/>
        <v>4080</v>
      </c>
      <c r="J5858" t="str">
        <f t="shared" si="381"/>
        <v/>
      </c>
      <c r="K5858" t="str">
        <f t="shared" si="379"/>
        <v>4080</v>
      </c>
      <c r="O5858" s="96">
        <f t="shared" si="380"/>
        <v>4080</v>
      </c>
    </row>
    <row r="5859" spans="3:15" x14ac:dyDescent="0.2">
      <c r="C5859" t="str">
        <f t="shared" si="377"/>
        <v>4081</v>
      </c>
      <c r="G5859" s="96">
        <f t="shared" si="378"/>
        <v>4081</v>
      </c>
      <c r="J5859" t="str">
        <f t="shared" si="381"/>
        <v/>
      </c>
      <c r="K5859" t="str">
        <f t="shared" si="379"/>
        <v>4081</v>
      </c>
      <c r="O5859" s="96">
        <f t="shared" si="380"/>
        <v>4081</v>
      </c>
    </row>
    <row r="5860" spans="3:15" x14ac:dyDescent="0.2">
      <c r="C5860" t="str">
        <f t="shared" si="377"/>
        <v>4082</v>
      </c>
      <c r="G5860" s="96">
        <f t="shared" si="378"/>
        <v>4082</v>
      </c>
      <c r="J5860" t="str">
        <f t="shared" si="381"/>
        <v/>
      </c>
      <c r="K5860" t="str">
        <f t="shared" si="379"/>
        <v>4082</v>
      </c>
      <c r="O5860" s="96">
        <f t="shared" si="380"/>
        <v>4082</v>
      </c>
    </row>
    <row r="5861" spans="3:15" x14ac:dyDescent="0.2">
      <c r="C5861" t="str">
        <f t="shared" si="377"/>
        <v>4083</v>
      </c>
      <c r="G5861" s="96">
        <f t="shared" si="378"/>
        <v>4083</v>
      </c>
      <c r="J5861" t="str">
        <f t="shared" si="381"/>
        <v/>
      </c>
      <c r="K5861" t="str">
        <f t="shared" si="379"/>
        <v>4083</v>
      </c>
      <c r="O5861" s="96">
        <f t="shared" si="380"/>
        <v>4083</v>
      </c>
    </row>
    <row r="5862" spans="3:15" x14ac:dyDescent="0.2">
      <c r="C5862" t="str">
        <f t="shared" si="377"/>
        <v>4084</v>
      </c>
      <c r="G5862" s="96">
        <f t="shared" si="378"/>
        <v>4084</v>
      </c>
      <c r="J5862" t="str">
        <f t="shared" si="381"/>
        <v/>
      </c>
      <c r="K5862" t="str">
        <f t="shared" si="379"/>
        <v>4084</v>
      </c>
      <c r="O5862" s="96">
        <f t="shared" si="380"/>
        <v>4084</v>
      </c>
    </row>
    <row r="5863" spans="3:15" x14ac:dyDescent="0.2">
      <c r="C5863" t="str">
        <f t="shared" si="377"/>
        <v>4085</v>
      </c>
      <c r="G5863" s="96">
        <f t="shared" si="378"/>
        <v>4085</v>
      </c>
      <c r="J5863" t="str">
        <f t="shared" si="381"/>
        <v/>
      </c>
      <c r="K5863" t="str">
        <f t="shared" si="379"/>
        <v>4085</v>
      </c>
      <c r="O5863" s="96">
        <f t="shared" si="380"/>
        <v>4085</v>
      </c>
    </row>
    <row r="5864" spans="3:15" x14ac:dyDescent="0.2">
      <c r="C5864" t="str">
        <f t="shared" si="377"/>
        <v>4086</v>
      </c>
      <c r="G5864" s="96">
        <f t="shared" si="378"/>
        <v>4086</v>
      </c>
      <c r="J5864" t="str">
        <f t="shared" si="381"/>
        <v/>
      </c>
      <c r="K5864" t="str">
        <f t="shared" si="379"/>
        <v>4086</v>
      </c>
      <c r="O5864" s="96">
        <f t="shared" si="380"/>
        <v>4086</v>
      </c>
    </row>
    <row r="5865" spans="3:15" x14ac:dyDescent="0.2">
      <c r="C5865" t="str">
        <f t="shared" si="377"/>
        <v>4087</v>
      </c>
      <c r="G5865" s="96">
        <f t="shared" si="378"/>
        <v>4087</v>
      </c>
      <c r="J5865" t="str">
        <f t="shared" si="381"/>
        <v/>
      </c>
      <c r="K5865" t="str">
        <f t="shared" si="379"/>
        <v>4087</v>
      </c>
      <c r="O5865" s="96">
        <f t="shared" si="380"/>
        <v>4087</v>
      </c>
    </row>
    <row r="5866" spans="3:15" x14ac:dyDescent="0.2">
      <c r="C5866" t="str">
        <f t="shared" si="377"/>
        <v>4088</v>
      </c>
      <c r="G5866" s="96">
        <f t="shared" si="378"/>
        <v>4088</v>
      </c>
      <c r="J5866" t="str">
        <f t="shared" si="381"/>
        <v/>
      </c>
      <c r="K5866" t="str">
        <f t="shared" si="379"/>
        <v>4088</v>
      </c>
      <c r="O5866" s="96">
        <f t="shared" si="380"/>
        <v>4088</v>
      </c>
    </row>
    <row r="5867" spans="3:15" x14ac:dyDescent="0.2">
      <c r="C5867" t="str">
        <f t="shared" si="377"/>
        <v>4089</v>
      </c>
      <c r="G5867" s="96">
        <f t="shared" si="378"/>
        <v>4089</v>
      </c>
      <c r="J5867" t="str">
        <f t="shared" si="381"/>
        <v/>
      </c>
      <c r="K5867" t="str">
        <f t="shared" si="379"/>
        <v>4089</v>
      </c>
      <c r="O5867" s="96">
        <f t="shared" si="380"/>
        <v>4089</v>
      </c>
    </row>
    <row r="5868" spans="3:15" x14ac:dyDescent="0.2">
      <c r="C5868" t="str">
        <f t="shared" si="377"/>
        <v>4090</v>
      </c>
      <c r="G5868" s="96">
        <f t="shared" si="378"/>
        <v>4090</v>
      </c>
      <c r="J5868" t="str">
        <f t="shared" si="381"/>
        <v/>
      </c>
      <c r="K5868" t="str">
        <f t="shared" si="379"/>
        <v>4090</v>
      </c>
      <c r="O5868" s="96">
        <f t="shared" si="380"/>
        <v>4090</v>
      </c>
    </row>
    <row r="5869" spans="3:15" x14ac:dyDescent="0.2">
      <c r="C5869" t="str">
        <f t="shared" si="377"/>
        <v>4091</v>
      </c>
      <c r="G5869" s="96">
        <f t="shared" si="378"/>
        <v>4091</v>
      </c>
      <c r="J5869" t="str">
        <f t="shared" si="381"/>
        <v/>
      </c>
      <c r="K5869" t="str">
        <f t="shared" si="379"/>
        <v>4091</v>
      </c>
      <c r="O5869" s="96">
        <f t="shared" si="380"/>
        <v>4091</v>
      </c>
    </row>
    <row r="5870" spans="3:15" x14ac:dyDescent="0.2">
      <c r="C5870" t="str">
        <f t="shared" si="377"/>
        <v>4092</v>
      </c>
      <c r="G5870" s="96">
        <f t="shared" si="378"/>
        <v>4092</v>
      </c>
      <c r="J5870" t="str">
        <f t="shared" si="381"/>
        <v/>
      </c>
      <c r="K5870" t="str">
        <f t="shared" si="379"/>
        <v>4092</v>
      </c>
      <c r="O5870" s="96">
        <f t="shared" si="380"/>
        <v>4092</v>
      </c>
    </row>
    <row r="5871" spans="3:15" x14ac:dyDescent="0.2">
      <c r="C5871" t="str">
        <f t="shared" si="377"/>
        <v>4093</v>
      </c>
      <c r="G5871" s="96">
        <f t="shared" si="378"/>
        <v>4093</v>
      </c>
      <c r="J5871" t="str">
        <f t="shared" si="381"/>
        <v/>
      </c>
      <c r="K5871" t="str">
        <f t="shared" si="379"/>
        <v>4093</v>
      </c>
      <c r="O5871" s="96">
        <f t="shared" si="380"/>
        <v>4093</v>
      </c>
    </row>
    <row r="5872" spans="3:15" x14ac:dyDescent="0.2">
      <c r="C5872" t="str">
        <f t="shared" si="377"/>
        <v>4094</v>
      </c>
      <c r="G5872" s="96">
        <f t="shared" si="378"/>
        <v>4094</v>
      </c>
      <c r="J5872" t="str">
        <f t="shared" si="381"/>
        <v/>
      </c>
      <c r="K5872" t="str">
        <f t="shared" si="379"/>
        <v>4094</v>
      </c>
      <c r="O5872" s="96">
        <f t="shared" si="380"/>
        <v>4094</v>
      </c>
    </row>
    <row r="5873" spans="3:15" x14ac:dyDescent="0.2">
      <c r="C5873" t="str">
        <f t="shared" si="377"/>
        <v>4095</v>
      </c>
      <c r="G5873" s="96">
        <f t="shared" si="378"/>
        <v>4095</v>
      </c>
      <c r="J5873" t="str">
        <f t="shared" si="381"/>
        <v/>
      </c>
      <c r="K5873" t="str">
        <f t="shared" si="379"/>
        <v>4095</v>
      </c>
      <c r="O5873" s="96">
        <f t="shared" si="380"/>
        <v>4095</v>
      </c>
    </row>
    <row r="5874" spans="3:15" x14ac:dyDescent="0.2">
      <c r="C5874" t="str">
        <f t="shared" si="377"/>
        <v>4096</v>
      </c>
      <c r="G5874" s="96">
        <f t="shared" si="378"/>
        <v>4096</v>
      </c>
      <c r="J5874" t="str">
        <f t="shared" si="381"/>
        <v/>
      </c>
      <c r="K5874" t="str">
        <f t="shared" si="379"/>
        <v>4096</v>
      </c>
      <c r="O5874" s="96">
        <f t="shared" si="380"/>
        <v>4096</v>
      </c>
    </row>
    <row r="5875" spans="3:15" x14ac:dyDescent="0.2">
      <c r="C5875" t="str">
        <f t="shared" si="377"/>
        <v>4097</v>
      </c>
      <c r="G5875" s="96">
        <f t="shared" si="378"/>
        <v>4097</v>
      </c>
      <c r="J5875" t="str">
        <f t="shared" si="381"/>
        <v/>
      </c>
      <c r="K5875" t="str">
        <f t="shared" si="379"/>
        <v>4097</v>
      </c>
      <c r="O5875" s="96">
        <f t="shared" si="380"/>
        <v>4097</v>
      </c>
    </row>
    <row r="5876" spans="3:15" x14ac:dyDescent="0.2">
      <c r="C5876" t="str">
        <f t="shared" si="377"/>
        <v>4098</v>
      </c>
      <c r="G5876" s="96">
        <f t="shared" si="378"/>
        <v>4098</v>
      </c>
      <c r="J5876" t="str">
        <f t="shared" si="381"/>
        <v/>
      </c>
      <c r="K5876" t="str">
        <f t="shared" si="379"/>
        <v>4098</v>
      </c>
      <c r="O5876" s="96">
        <f t="shared" si="380"/>
        <v>4098</v>
      </c>
    </row>
    <row r="5877" spans="3:15" x14ac:dyDescent="0.2">
      <c r="C5877" t="str">
        <f t="shared" si="377"/>
        <v>4099</v>
      </c>
      <c r="G5877" s="96">
        <f t="shared" si="378"/>
        <v>4099</v>
      </c>
      <c r="J5877" t="str">
        <f t="shared" si="381"/>
        <v/>
      </c>
      <c r="K5877" t="str">
        <f t="shared" si="379"/>
        <v>4099</v>
      </c>
      <c r="O5877" s="96">
        <f t="shared" si="380"/>
        <v>4099</v>
      </c>
    </row>
    <row r="5878" spans="3:15" x14ac:dyDescent="0.2">
      <c r="C5878" t="str">
        <f t="shared" si="377"/>
        <v>4100</v>
      </c>
      <c r="G5878" s="96">
        <f t="shared" si="378"/>
        <v>4100</v>
      </c>
      <c r="J5878" t="str">
        <f t="shared" si="381"/>
        <v/>
      </c>
      <c r="K5878" t="str">
        <f t="shared" si="379"/>
        <v>4100</v>
      </c>
      <c r="O5878" s="96">
        <f t="shared" si="380"/>
        <v>4100</v>
      </c>
    </row>
    <row r="5879" spans="3:15" x14ac:dyDescent="0.2">
      <c r="C5879" t="str">
        <f t="shared" si="377"/>
        <v>4101</v>
      </c>
      <c r="G5879" s="96">
        <f t="shared" si="378"/>
        <v>4101</v>
      </c>
      <c r="J5879" t="str">
        <f t="shared" si="381"/>
        <v/>
      </c>
      <c r="K5879" t="str">
        <f t="shared" si="379"/>
        <v>4101</v>
      </c>
      <c r="O5879" s="96">
        <f t="shared" si="380"/>
        <v>4101</v>
      </c>
    </row>
    <row r="5880" spans="3:15" x14ac:dyDescent="0.2">
      <c r="C5880" t="str">
        <f t="shared" si="377"/>
        <v>4102</v>
      </c>
      <c r="G5880" s="96">
        <f t="shared" si="378"/>
        <v>4102</v>
      </c>
      <c r="J5880" t="str">
        <f t="shared" si="381"/>
        <v/>
      </c>
      <c r="K5880" t="str">
        <f t="shared" si="379"/>
        <v>4102</v>
      </c>
      <c r="O5880" s="96">
        <f t="shared" si="380"/>
        <v>4102</v>
      </c>
    </row>
    <row r="5881" spans="3:15" x14ac:dyDescent="0.2">
      <c r="C5881" t="str">
        <f t="shared" si="377"/>
        <v>4103</v>
      </c>
      <c r="G5881" s="96">
        <f t="shared" si="378"/>
        <v>4103</v>
      </c>
      <c r="J5881" t="str">
        <f t="shared" si="381"/>
        <v/>
      </c>
      <c r="K5881" t="str">
        <f t="shared" si="379"/>
        <v>4103</v>
      </c>
      <c r="O5881" s="96">
        <f t="shared" si="380"/>
        <v>4103</v>
      </c>
    </row>
    <row r="5882" spans="3:15" x14ac:dyDescent="0.2">
      <c r="C5882" t="str">
        <f t="shared" si="377"/>
        <v>4104</v>
      </c>
      <c r="G5882" s="96">
        <f t="shared" si="378"/>
        <v>4104</v>
      </c>
      <c r="J5882" t="str">
        <f t="shared" si="381"/>
        <v/>
      </c>
      <c r="K5882" t="str">
        <f t="shared" si="379"/>
        <v>4104</v>
      </c>
      <c r="O5882" s="96">
        <f t="shared" si="380"/>
        <v>4104</v>
      </c>
    </row>
    <row r="5883" spans="3:15" x14ac:dyDescent="0.2">
      <c r="C5883" t="str">
        <f t="shared" si="377"/>
        <v>4105</v>
      </c>
      <c r="G5883" s="96">
        <f t="shared" si="378"/>
        <v>4105</v>
      </c>
      <c r="J5883" t="str">
        <f t="shared" si="381"/>
        <v/>
      </c>
      <c r="K5883" t="str">
        <f t="shared" si="379"/>
        <v>4105</v>
      </c>
      <c r="O5883" s="96">
        <f t="shared" si="380"/>
        <v>4105</v>
      </c>
    </row>
    <row r="5884" spans="3:15" x14ac:dyDescent="0.2">
      <c r="C5884" t="str">
        <f t="shared" si="377"/>
        <v>4106</v>
      </c>
      <c r="G5884" s="96">
        <f t="shared" si="378"/>
        <v>4106</v>
      </c>
      <c r="J5884" t="str">
        <f t="shared" si="381"/>
        <v/>
      </c>
      <c r="K5884" t="str">
        <f t="shared" si="379"/>
        <v>4106</v>
      </c>
      <c r="O5884" s="96">
        <f t="shared" si="380"/>
        <v>4106</v>
      </c>
    </row>
    <row r="5885" spans="3:15" x14ac:dyDescent="0.2">
      <c r="C5885" t="str">
        <f t="shared" si="377"/>
        <v>4107</v>
      </c>
      <c r="G5885" s="96">
        <f t="shared" si="378"/>
        <v>4107</v>
      </c>
      <c r="J5885" t="str">
        <f t="shared" si="381"/>
        <v/>
      </c>
      <c r="K5885" t="str">
        <f t="shared" si="379"/>
        <v>4107</v>
      </c>
      <c r="O5885" s="96">
        <f t="shared" si="380"/>
        <v>4107</v>
      </c>
    </row>
    <row r="5886" spans="3:15" x14ac:dyDescent="0.2">
      <c r="C5886" t="str">
        <f t="shared" si="377"/>
        <v>4108</v>
      </c>
      <c r="G5886" s="96">
        <f t="shared" si="378"/>
        <v>4108</v>
      </c>
      <c r="J5886" t="str">
        <f t="shared" si="381"/>
        <v/>
      </c>
      <c r="K5886" t="str">
        <f t="shared" si="379"/>
        <v>4108</v>
      </c>
      <c r="O5886" s="96">
        <f t="shared" si="380"/>
        <v>4108</v>
      </c>
    </row>
    <row r="5887" spans="3:15" x14ac:dyDescent="0.2">
      <c r="C5887" t="str">
        <f t="shared" si="377"/>
        <v>4109</v>
      </c>
      <c r="G5887" s="96">
        <f t="shared" si="378"/>
        <v>4109</v>
      </c>
      <c r="J5887" t="str">
        <f t="shared" si="381"/>
        <v/>
      </c>
      <c r="K5887" t="str">
        <f t="shared" si="379"/>
        <v>4109</v>
      </c>
      <c r="O5887" s="96">
        <f t="shared" si="380"/>
        <v>4109</v>
      </c>
    </row>
    <row r="5888" spans="3:15" x14ac:dyDescent="0.2">
      <c r="C5888" t="str">
        <f t="shared" si="377"/>
        <v>4110</v>
      </c>
      <c r="G5888" s="96">
        <f t="shared" si="378"/>
        <v>4110</v>
      </c>
      <c r="J5888" t="str">
        <f t="shared" si="381"/>
        <v/>
      </c>
      <c r="K5888" t="str">
        <f t="shared" si="379"/>
        <v>4110</v>
      </c>
      <c r="O5888" s="96">
        <f t="shared" si="380"/>
        <v>4110</v>
      </c>
    </row>
    <row r="5889" spans="3:15" x14ac:dyDescent="0.2">
      <c r="C5889" t="str">
        <f t="shared" si="377"/>
        <v>4111</v>
      </c>
      <c r="G5889" s="96">
        <f t="shared" si="378"/>
        <v>4111</v>
      </c>
      <c r="J5889" t="str">
        <f t="shared" si="381"/>
        <v/>
      </c>
      <c r="K5889" t="str">
        <f t="shared" si="379"/>
        <v>4111</v>
      </c>
      <c r="O5889" s="96">
        <f t="shared" si="380"/>
        <v>4111</v>
      </c>
    </row>
    <row r="5890" spans="3:15" x14ac:dyDescent="0.2">
      <c r="C5890" t="str">
        <f t="shared" si="377"/>
        <v>4112</v>
      </c>
      <c r="G5890" s="96">
        <f t="shared" si="378"/>
        <v>4112</v>
      </c>
      <c r="J5890" t="str">
        <f t="shared" si="381"/>
        <v/>
      </c>
      <c r="K5890" t="str">
        <f t="shared" si="379"/>
        <v>4112</v>
      </c>
      <c r="O5890" s="96">
        <f t="shared" si="380"/>
        <v>4112</v>
      </c>
    </row>
    <row r="5891" spans="3:15" x14ac:dyDescent="0.2">
      <c r="C5891" t="str">
        <f t="shared" ref="C5891:C5954" si="382">D5891&amp;G5891</f>
        <v>4113</v>
      </c>
      <c r="G5891" s="96">
        <f t="shared" ref="G5891:G5954" si="383">IF(D5891&lt;&gt;D5890,1,G5890+1)</f>
        <v>4113</v>
      </c>
      <c r="J5891" t="str">
        <f t="shared" si="381"/>
        <v/>
      </c>
      <c r="K5891" t="str">
        <f t="shared" ref="K5891:K5954" si="384">L5891&amp;O5891</f>
        <v>4113</v>
      </c>
      <c r="O5891" s="96">
        <f t="shared" ref="O5891:O5954" si="385">IF(L5891&lt;&gt;L5890,1,O5890+1)</f>
        <v>4113</v>
      </c>
    </row>
    <row r="5892" spans="3:15" x14ac:dyDescent="0.2">
      <c r="C5892" t="str">
        <f t="shared" si="382"/>
        <v>4114</v>
      </c>
      <c r="G5892" s="96">
        <f t="shared" si="383"/>
        <v>4114</v>
      </c>
      <c r="J5892" t="str">
        <f t="shared" si="381"/>
        <v/>
      </c>
      <c r="K5892" t="str">
        <f t="shared" si="384"/>
        <v>4114</v>
      </c>
      <c r="O5892" s="96">
        <f t="shared" si="385"/>
        <v>4114</v>
      </c>
    </row>
    <row r="5893" spans="3:15" x14ac:dyDescent="0.2">
      <c r="C5893" t="str">
        <f t="shared" si="382"/>
        <v>4115</v>
      </c>
      <c r="G5893" s="96">
        <f t="shared" si="383"/>
        <v>4115</v>
      </c>
      <c r="J5893" t="str">
        <f t="shared" si="381"/>
        <v/>
      </c>
      <c r="K5893" t="str">
        <f t="shared" si="384"/>
        <v>4115</v>
      </c>
      <c r="O5893" s="96">
        <f t="shared" si="385"/>
        <v>4115</v>
      </c>
    </row>
    <row r="5894" spans="3:15" x14ac:dyDescent="0.2">
      <c r="C5894" t="str">
        <f t="shared" si="382"/>
        <v>4116</v>
      </c>
      <c r="G5894" s="96">
        <f t="shared" si="383"/>
        <v>4116</v>
      </c>
      <c r="J5894" t="str">
        <f t="shared" si="381"/>
        <v/>
      </c>
      <c r="K5894" t="str">
        <f t="shared" si="384"/>
        <v>4116</v>
      </c>
      <c r="O5894" s="96">
        <f t="shared" si="385"/>
        <v>4116</v>
      </c>
    </row>
    <row r="5895" spans="3:15" x14ac:dyDescent="0.2">
      <c r="C5895" t="str">
        <f t="shared" si="382"/>
        <v>4117</v>
      </c>
      <c r="G5895" s="96">
        <f t="shared" si="383"/>
        <v>4117</v>
      </c>
      <c r="J5895" t="str">
        <f t="shared" si="381"/>
        <v/>
      </c>
      <c r="K5895" t="str">
        <f t="shared" si="384"/>
        <v>4117</v>
      </c>
      <c r="O5895" s="96">
        <f t="shared" si="385"/>
        <v>4117</v>
      </c>
    </row>
    <row r="5896" spans="3:15" x14ac:dyDescent="0.2">
      <c r="C5896" t="str">
        <f t="shared" si="382"/>
        <v>4118</v>
      </c>
      <c r="G5896" s="96">
        <f t="shared" si="383"/>
        <v>4118</v>
      </c>
      <c r="J5896" t="str">
        <f t="shared" si="381"/>
        <v/>
      </c>
      <c r="K5896" t="str">
        <f t="shared" si="384"/>
        <v>4118</v>
      </c>
      <c r="O5896" s="96">
        <f t="shared" si="385"/>
        <v>4118</v>
      </c>
    </row>
    <row r="5897" spans="3:15" x14ac:dyDescent="0.2">
      <c r="C5897" t="str">
        <f t="shared" si="382"/>
        <v>4119</v>
      </c>
      <c r="G5897" s="96">
        <f t="shared" si="383"/>
        <v>4119</v>
      </c>
      <c r="J5897" t="str">
        <f t="shared" si="381"/>
        <v/>
      </c>
      <c r="K5897" t="str">
        <f t="shared" si="384"/>
        <v>4119</v>
      </c>
      <c r="O5897" s="96">
        <f t="shared" si="385"/>
        <v>4119</v>
      </c>
    </row>
    <row r="5898" spans="3:15" x14ac:dyDescent="0.2">
      <c r="C5898" t="str">
        <f t="shared" si="382"/>
        <v>4120</v>
      </c>
      <c r="G5898" s="96">
        <f t="shared" si="383"/>
        <v>4120</v>
      </c>
      <c r="J5898" t="str">
        <f t="shared" ref="J5898:J5961" si="386">L5898&amp;M5898</f>
        <v/>
      </c>
      <c r="K5898" t="str">
        <f t="shared" si="384"/>
        <v>4120</v>
      </c>
      <c r="O5898" s="96">
        <f t="shared" si="385"/>
        <v>4120</v>
      </c>
    </row>
    <row r="5899" spans="3:15" x14ac:dyDescent="0.2">
      <c r="C5899" t="str">
        <f t="shared" si="382"/>
        <v>4121</v>
      </c>
      <c r="G5899" s="96">
        <f t="shared" si="383"/>
        <v>4121</v>
      </c>
      <c r="J5899" t="str">
        <f t="shared" si="386"/>
        <v/>
      </c>
      <c r="K5899" t="str">
        <f t="shared" si="384"/>
        <v>4121</v>
      </c>
      <c r="O5899" s="96">
        <f t="shared" si="385"/>
        <v>4121</v>
      </c>
    </row>
    <row r="5900" spans="3:15" x14ac:dyDescent="0.2">
      <c r="C5900" t="str">
        <f t="shared" si="382"/>
        <v>4122</v>
      </c>
      <c r="G5900" s="96">
        <f t="shared" si="383"/>
        <v>4122</v>
      </c>
      <c r="J5900" t="str">
        <f t="shared" si="386"/>
        <v/>
      </c>
      <c r="K5900" t="str">
        <f t="shared" si="384"/>
        <v>4122</v>
      </c>
      <c r="O5900" s="96">
        <f t="shared" si="385"/>
        <v>4122</v>
      </c>
    </row>
    <row r="5901" spans="3:15" x14ac:dyDescent="0.2">
      <c r="C5901" t="str">
        <f t="shared" si="382"/>
        <v>4123</v>
      </c>
      <c r="G5901" s="96">
        <f t="shared" si="383"/>
        <v>4123</v>
      </c>
      <c r="J5901" t="str">
        <f t="shared" si="386"/>
        <v/>
      </c>
      <c r="K5901" t="str">
        <f t="shared" si="384"/>
        <v>4123</v>
      </c>
      <c r="O5901" s="96">
        <f t="shared" si="385"/>
        <v>4123</v>
      </c>
    </row>
    <row r="5902" spans="3:15" x14ac:dyDescent="0.2">
      <c r="C5902" t="str">
        <f t="shared" si="382"/>
        <v>4124</v>
      </c>
      <c r="G5902" s="96">
        <f t="shared" si="383"/>
        <v>4124</v>
      </c>
      <c r="J5902" t="str">
        <f t="shared" si="386"/>
        <v/>
      </c>
      <c r="K5902" t="str">
        <f t="shared" si="384"/>
        <v>4124</v>
      </c>
      <c r="O5902" s="96">
        <f t="shared" si="385"/>
        <v>4124</v>
      </c>
    </row>
    <row r="5903" spans="3:15" x14ac:dyDescent="0.2">
      <c r="C5903" t="str">
        <f t="shared" si="382"/>
        <v>4125</v>
      </c>
      <c r="G5903" s="96">
        <f t="shared" si="383"/>
        <v>4125</v>
      </c>
      <c r="J5903" t="str">
        <f t="shared" si="386"/>
        <v/>
      </c>
      <c r="K5903" t="str">
        <f t="shared" si="384"/>
        <v>4125</v>
      </c>
      <c r="O5903" s="96">
        <f t="shared" si="385"/>
        <v>4125</v>
      </c>
    </row>
    <row r="5904" spans="3:15" x14ac:dyDescent="0.2">
      <c r="C5904" t="str">
        <f t="shared" si="382"/>
        <v>4126</v>
      </c>
      <c r="G5904" s="96">
        <f t="shared" si="383"/>
        <v>4126</v>
      </c>
      <c r="J5904" t="str">
        <f t="shared" si="386"/>
        <v/>
      </c>
      <c r="K5904" t="str">
        <f t="shared" si="384"/>
        <v>4126</v>
      </c>
      <c r="O5904" s="96">
        <f t="shared" si="385"/>
        <v>4126</v>
      </c>
    </row>
    <row r="5905" spans="3:15" x14ac:dyDescent="0.2">
      <c r="C5905" t="str">
        <f t="shared" si="382"/>
        <v>4127</v>
      </c>
      <c r="G5905" s="96">
        <f t="shared" si="383"/>
        <v>4127</v>
      </c>
      <c r="J5905" t="str">
        <f t="shared" si="386"/>
        <v/>
      </c>
      <c r="K5905" t="str">
        <f t="shared" si="384"/>
        <v>4127</v>
      </c>
      <c r="O5905" s="96">
        <f t="shared" si="385"/>
        <v>4127</v>
      </c>
    </row>
    <row r="5906" spans="3:15" x14ac:dyDescent="0.2">
      <c r="C5906" t="str">
        <f t="shared" si="382"/>
        <v>4128</v>
      </c>
      <c r="G5906" s="96">
        <f t="shared" si="383"/>
        <v>4128</v>
      </c>
      <c r="J5906" t="str">
        <f t="shared" si="386"/>
        <v/>
      </c>
      <c r="K5906" t="str">
        <f t="shared" si="384"/>
        <v>4128</v>
      </c>
      <c r="O5906" s="96">
        <f t="shared" si="385"/>
        <v>4128</v>
      </c>
    </row>
    <row r="5907" spans="3:15" x14ac:dyDescent="0.2">
      <c r="C5907" t="str">
        <f t="shared" si="382"/>
        <v>4129</v>
      </c>
      <c r="G5907" s="96">
        <f t="shared" si="383"/>
        <v>4129</v>
      </c>
      <c r="J5907" t="str">
        <f t="shared" si="386"/>
        <v/>
      </c>
      <c r="K5907" t="str">
        <f t="shared" si="384"/>
        <v>4129</v>
      </c>
      <c r="O5907" s="96">
        <f t="shared" si="385"/>
        <v>4129</v>
      </c>
    </row>
    <row r="5908" spans="3:15" x14ac:dyDescent="0.2">
      <c r="C5908" t="str">
        <f t="shared" si="382"/>
        <v>4130</v>
      </c>
      <c r="G5908" s="96">
        <f t="shared" si="383"/>
        <v>4130</v>
      </c>
      <c r="J5908" t="str">
        <f t="shared" si="386"/>
        <v/>
      </c>
      <c r="K5908" t="str">
        <f t="shared" si="384"/>
        <v>4130</v>
      </c>
      <c r="O5908" s="96">
        <f t="shared" si="385"/>
        <v>4130</v>
      </c>
    </row>
    <row r="5909" spans="3:15" x14ac:dyDescent="0.2">
      <c r="C5909" t="str">
        <f t="shared" si="382"/>
        <v>4131</v>
      </c>
      <c r="G5909" s="96">
        <f t="shared" si="383"/>
        <v>4131</v>
      </c>
      <c r="J5909" t="str">
        <f t="shared" si="386"/>
        <v/>
      </c>
      <c r="K5909" t="str">
        <f t="shared" si="384"/>
        <v>4131</v>
      </c>
      <c r="O5909" s="96">
        <f t="shared" si="385"/>
        <v>4131</v>
      </c>
    </row>
    <row r="5910" spans="3:15" x14ac:dyDescent="0.2">
      <c r="C5910" t="str">
        <f t="shared" si="382"/>
        <v>4132</v>
      </c>
      <c r="G5910" s="96">
        <f t="shared" si="383"/>
        <v>4132</v>
      </c>
      <c r="J5910" t="str">
        <f t="shared" si="386"/>
        <v/>
      </c>
      <c r="K5910" t="str">
        <f t="shared" si="384"/>
        <v>4132</v>
      </c>
      <c r="O5910" s="96">
        <f t="shared" si="385"/>
        <v>4132</v>
      </c>
    </row>
    <row r="5911" spans="3:15" x14ac:dyDescent="0.2">
      <c r="C5911" t="str">
        <f t="shared" si="382"/>
        <v>4133</v>
      </c>
      <c r="G5911" s="96">
        <f t="shared" si="383"/>
        <v>4133</v>
      </c>
      <c r="J5911" t="str">
        <f t="shared" si="386"/>
        <v/>
      </c>
      <c r="K5911" t="str">
        <f t="shared" si="384"/>
        <v>4133</v>
      </c>
      <c r="O5911" s="96">
        <f t="shared" si="385"/>
        <v>4133</v>
      </c>
    </row>
    <row r="5912" spans="3:15" x14ac:dyDescent="0.2">
      <c r="C5912" t="str">
        <f t="shared" si="382"/>
        <v>4134</v>
      </c>
      <c r="G5912" s="96">
        <f t="shared" si="383"/>
        <v>4134</v>
      </c>
      <c r="J5912" t="str">
        <f t="shared" si="386"/>
        <v/>
      </c>
      <c r="K5912" t="str">
        <f t="shared" si="384"/>
        <v>4134</v>
      </c>
      <c r="O5912" s="96">
        <f t="shared" si="385"/>
        <v>4134</v>
      </c>
    </row>
    <row r="5913" spans="3:15" x14ac:dyDescent="0.2">
      <c r="C5913" t="str">
        <f t="shared" si="382"/>
        <v>4135</v>
      </c>
      <c r="G5913" s="96">
        <f t="shared" si="383"/>
        <v>4135</v>
      </c>
      <c r="J5913" t="str">
        <f t="shared" si="386"/>
        <v/>
      </c>
      <c r="K5913" t="str">
        <f t="shared" si="384"/>
        <v>4135</v>
      </c>
      <c r="O5913" s="96">
        <f t="shared" si="385"/>
        <v>4135</v>
      </c>
    </row>
    <row r="5914" spans="3:15" x14ac:dyDescent="0.2">
      <c r="C5914" t="str">
        <f t="shared" si="382"/>
        <v>4136</v>
      </c>
      <c r="G5914" s="96">
        <f t="shared" si="383"/>
        <v>4136</v>
      </c>
      <c r="J5914" t="str">
        <f t="shared" si="386"/>
        <v/>
      </c>
      <c r="K5914" t="str">
        <f t="shared" si="384"/>
        <v>4136</v>
      </c>
      <c r="O5914" s="96">
        <f t="shared" si="385"/>
        <v>4136</v>
      </c>
    </row>
    <row r="5915" spans="3:15" x14ac:dyDescent="0.2">
      <c r="C5915" t="str">
        <f t="shared" si="382"/>
        <v>4137</v>
      </c>
      <c r="G5915" s="96">
        <f t="shared" si="383"/>
        <v>4137</v>
      </c>
      <c r="J5915" t="str">
        <f t="shared" si="386"/>
        <v/>
      </c>
      <c r="K5915" t="str">
        <f t="shared" si="384"/>
        <v>4137</v>
      </c>
      <c r="O5915" s="96">
        <f t="shared" si="385"/>
        <v>4137</v>
      </c>
    </row>
    <row r="5916" spans="3:15" x14ac:dyDescent="0.2">
      <c r="C5916" t="str">
        <f t="shared" si="382"/>
        <v>4138</v>
      </c>
      <c r="G5916" s="96">
        <f t="shared" si="383"/>
        <v>4138</v>
      </c>
      <c r="J5916" t="str">
        <f t="shared" si="386"/>
        <v/>
      </c>
      <c r="K5916" t="str">
        <f t="shared" si="384"/>
        <v>4138</v>
      </c>
      <c r="O5916" s="96">
        <f t="shared" si="385"/>
        <v>4138</v>
      </c>
    </row>
    <row r="5917" spans="3:15" x14ac:dyDescent="0.2">
      <c r="C5917" t="str">
        <f t="shared" si="382"/>
        <v>4139</v>
      </c>
      <c r="G5917" s="96">
        <f t="shared" si="383"/>
        <v>4139</v>
      </c>
      <c r="J5917" t="str">
        <f t="shared" si="386"/>
        <v/>
      </c>
      <c r="K5917" t="str">
        <f t="shared" si="384"/>
        <v>4139</v>
      </c>
      <c r="O5917" s="96">
        <f t="shared" si="385"/>
        <v>4139</v>
      </c>
    </row>
    <row r="5918" spans="3:15" x14ac:dyDescent="0.2">
      <c r="C5918" t="str">
        <f t="shared" si="382"/>
        <v>4140</v>
      </c>
      <c r="G5918" s="96">
        <f t="shared" si="383"/>
        <v>4140</v>
      </c>
      <c r="J5918" t="str">
        <f t="shared" si="386"/>
        <v/>
      </c>
      <c r="K5918" t="str">
        <f t="shared" si="384"/>
        <v>4140</v>
      </c>
      <c r="O5918" s="96">
        <f t="shared" si="385"/>
        <v>4140</v>
      </c>
    </row>
    <row r="5919" spans="3:15" x14ac:dyDescent="0.2">
      <c r="C5919" t="str">
        <f t="shared" si="382"/>
        <v>4141</v>
      </c>
      <c r="G5919" s="96">
        <f t="shared" si="383"/>
        <v>4141</v>
      </c>
      <c r="J5919" t="str">
        <f t="shared" si="386"/>
        <v/>
      </c>
      <c r="K5919" t="str">
        <f t="shared" si="384"/>
        <v>4141</v>
      </c>
      <c r="O5919" s="96">
        <f t="shared" si="385"/>
        <v>4141</v>
      </c>
    </row>
    <row r="5920" spans="3:15" x14ac:dyDescent="0.2">
      <c r="C5920" t="str">
        <f t="shared" si="382"/>
        <v>4142</v>
      </c>
      <c r="G5920" s="96">
        <f t="shared" si="383"/>
        <v>4142</v>
      </c>
      <c r="J5920" t="str">
        <f t="shared" si="386"/>
        <v/>
      </c>
      <c r="K5920" t="str">
        <f t="shared" si="384"/>
        <v>4142</v>
      </c>
      <c r="O5920" s="96">
        <f t="shared" si="385"/>
        <v>4142</v>
      </c>
    </row>
    <row r="5921" spans="3:15" x14ac:dyDescent="0.2">
      <c r="C5921" t="str">
        <f t="shared" si="382"/>
        <v>4143</v>
      </c>
      <c r="G5921" s="96">
        <f t="shared" si="383"/>
        <v>4143</v>
      </c>
      <c r="J5921" t="str">
        <f t="shared" si="386"/>
        <v/>
      </c>
      <c r="K5921" t="str">
        <f t="shared" si="384"/>
        <v>4143</v>
      </c>
      <c r="O5921" s="96">
        <f t="shared" si="385"/>
        <v>4143</v>
      </c>
    </row>
    <row r="5922" spans="3:15" x14ac:dyDescent="0.2">
      <c r="C5922" t="str">
        <f t="shared" si="382"/>
        <v>4144</v>
      </c>
      <c r="G5922" s="96">
        <f t="shared" si="383"/>
        <v>4144</v>
      </c>
      <c r="J5922" t="str">
        <f t="shared" si="386"/>
        <v/>
      </c>
      <c r="K5922" t="str">
        <f t="shared" si="384"/>
        <v>4144</v>
      </c>
      <c r="O5922" s="96">
        <f t="shared" si="385"/>
        <v>4144</v>
      </c>
    </row>
    <row r="5923" spans="3:15" x14ac:dyDescent="0.2">
      <c r="C5923" t="str">
        <f t="shared" si="382"/>
        <v>4145</v>
      </c>
      <c r="G5923" s="96">
        <f t="shared" si="383"/>
        <v>4145</v>
      </c>
      <c r="J5923" t="str">
        <f t="shared" si="386"/>
        <v/>
      </c>
      <c r="K5923" t="str">
        <f t="shared" si="384"/>
        <v>4145</v>
      </c>
      <c r="O5923" s="96">
        <f t="shared" si="385"/>
        <v>4145</v>
      </c>
    </row>
    <row r="5924" spans="3:15" x14ac:dyDescent="0.2">
      <c r="C5924" t="str">
        <f t="shared" si="382"/>
        <v>4146</v>
      </c>
      <c r="G5924" s="96">
        <f t="shared" si="383"/>
        <v>4146</v>
      </c>
      <c r="J5924" t="str">
        <f t="shared" si="386"/>
        <v/>
      </c>
      <c r="K5924" t="str">
        <f t="shared" si="384"/>
        <v>4146</v>
      </c>
      <c r="O5924" s="96">
        <f t="shared" si="385"/>
        <v>4146</v>
      </c>
    </row>
    <row r="5925" spans="3:15" x14ac:dyDescent="0.2">
      <c r="C5925" t="str">
        <f t="shared" si="382"/>
        <v>4147</v>
      </c>
      <c r="G5925" s="96">
        <f t="shared" si="383"/>
        <v>4147</v>
      </c>
      <c r="J5925" t="str">
        <f t="shared" si="386"/>
        <v/>
      </c>
      <c r="K5925" t="str">
        <f t="shared" si="384"/>
        <v>4147</v>
      </c>
      <c r="O5925" s="96">
        <f t="shared" si="385"/>
        <v>4147</v>
      </c>
    </row>
    <row r="5926" spans="3:15" x14ac:dyDescent="0.2">
      <c r="C5926" t="str">
        <f t="shared" si="382"/>
        <v>4148</v>
      </c>
      <c r="G5926" s="96">
        <f t="shared" si="383"/>
        <v>4148</v>
      </c>
      <c r="J5926" t="str">
        <f t="shared" si="386"/>
        <v/>
      </c>
      <c r="K5926" t="str">
        <f t="shared" si="384"/>
        <v>4148</v>
      </c>
      <c r="O5926" s="96">
        <f t="shared" si="385"/>
        <v>4148</v>
      </c>
    </row>
    <row r="5927" spans="3:15" x14ac:dyDescent="0.2">
      <c r="C5927" t="str">
        <f t="shared" si="382"/>
        <v>4149</v>
      </c>
      <c r="G5927" s="96">
        <f t="shared" si="383"/>
        <v>4149</v>
      </c>
      <c r="J5927" t="str">
        <f t="shared" si="386"/>
        <v/>
      </c>
      <c r="K5927" t="str">
        <f t="shared" si="384"/>
        <v>4149</v>
      </c>
      <c r="O5927" s="96">
        <f t="shared" si="385"/>
        <v>4149</v>
      </c>
    </row>
    <row r="5928" spans="3:15" x14ac:dyDescent="0.2">
      <c r="C5928" t="str">
        <f t="shared" si="382"/>
        <v>4150</v>
      </c>
      <c r="G5928" s="96">
        <f t="shared" si="383"/>
        <v>4150</v>
      </c>
      <c r="J5928" t="str">
        <f t="shared" si="386"/>
        <v/>
      </c>
      <c r="K5928" t="str">
        <f t="shared" si="384"/>
        <v>4150</v>
      </c>
      <c r="O5928" s="96">
        <f t="shared" si="385"/>
        <v>4150</v>
      </c>
    </row>
    <row r="5929" spans="3:15" x14ac:dyDescent="0.2">
      <c r="C5929" t="str">
        <f t="shared" si="382"/>
        <v>4151</v>
      </c>
      <c r="G5929" s="96">
        <f t="shared" si="383"/>
        <v>4151</v>
      </c>
      <c r="J5929" t="str">
        <f t="shared" si="386"/>
        <v/>
      </c>
      <c r="K5929" t="str">
        <f t="shared" si="384"/>
        <v>4151</v>
      </c>
      <c r="O5929" s="96">
        <f t="shared" si="385"/>
        <v>4151</v>
      </c>
    </row>
    <row r="5930" spans="3:15" x14ac:dyDescent="0.2">
      <c r="C5930" t="str">
        <f t="shared" si="382"/>
        <v>4152</v>
      </c>
      <c r="G5930" s="96">
        <f t="shared" si="383"/>
        <v>4152</v>
      </c>
      <c r="J5930" t="str">
        <f t="shared" si="386"/>
        <v/>
      </c>
      <c r="K5930" t="str">
        <f t="shared" si="384"/>
        <v>4152</v>
      </c>
      <c r="O5930" s="96">
        <f t="shared" si="385"/>
        <v>4152</v>
      </c>
    </row>
    <row r="5931" spans="3:15" x14ac:dyDescent="0.2">
      <c r="C5931" t="str">
        <f t="shared" si="382"/>
        <v>4153</v>
      </c>
      <c r="G5931" s="96">
        <f t="shared" si="383"/>
        <v>4153</v>
      </c>
      <c r="J5931" t="str">
        <f t="shared" si="386"/>
        <v/>
      </c>
      <c r="K5931" t="str">
        <f t="shared" si="384"/>
        <v>4153</v>
      </c>
      <c r="O5931" s="96">
        <f t="shared" si="385"/>
        <v>4153</v>
      </c>
    </row>
    <row r="5932" spans="3:15" x14ac:dyDescent="0.2">
      <c r="C5932" t="str">
        <f t="shared" si="382"/>
        <v>4154</v>
      </c>
      <c r="G5932" s="96">
        <f t="shared" si="383"/>
        <v>4154</v>
      </c>
      <c r="J5932" t="str">
        <f t="shared" si="386"/>
        <v/>
      </c>
      <c r="K5932" t="str">
        <f t="shared" si="384"/>
        <v>4154</v>
      </c>
      <c r="O5932" s="96">
        <f t="shared" si="385"/>
        <v>4154</v>
      </c>
    </row>
    <row r="5933" spans="3:15" x14ac:dyDescent="0.2">
      <c r="C5933" t="str">
        <f t="shared" si="382"/>
        <v>4155</v>
      </c>
      <c r="G5933" s="96">
        <f t="shared" si="383"/>
        <v>4155</v>
      </c>
      <c r="J5933" t="str">
        <f t="shared" si="386"/>
        <v/>
      </c>
      <c r="K5933" t="str">
        <f t="shared" si="384"/>
        <v>4155</v>
      </c>
      <c r="O5933" s="96">
        <f t="shared" si="385"/>
        <v>4155</v>
      </c>
    </row>
    <row r="5934" spans="3:15" x14ac:dyDescent="0.2">
      <c r="C5934" t="str">
        <f t="shared" si="382"/>
        <v>4156</v>
      </c>
      <c r="G5934" s="96">
        <f t="shared" si="383"/>
        <v>4156</v>
      </c>
      <c r="J5934" t="str">
        <f t="shared" si="386"/>
        <v/>
      </c>
      <c r="K5934" t="str">
        <f t="shared" si="384"/>
        <v>4156</v>
      </c>
      <c r="O5934" s="96">
        <f t="shared" si="385"/>
        <v>4156</v>
      </c>
    </row>
    <row r="5935" spans="3:15" x14ac:dyDescent="0.2">
      <c r="C5935" t="str">
        <f t="shared" si="382"/>
        <v>4157</v>
      </c>
      <c r="G5935" s="96">
        <f t="shared" si="383"/>
        <v>4157</v>
      </c>
      <c r="J5935" t="str">
        <f t="shared" si="386"/>
        <v/>
      </c>
      <c r="K5935" t="str">
        <f t="shared" si="384"/>
        <v>4157</v>
      </c>
      <c r="O5935" s="96">
        <f t="shared" si="385"/>
        <v>4157</v>
      </c>
    </row>
    <row r="5936" spans="3:15" x14ac:dyDescent="0.2">
      <c r="C5936" t="str">
        <f t="shared" si="382"/>
        <v>4158</v>
      </c>
      <c r="G5936" s="96">
        <f t="shared" si="383"/>
        <v>4158</v>
      </c>
      <c r="J5936" t="str">
        <f t="shared" si="386"/>
        <v/>
      </c>
      <c r="K5936" t="str">
        <f t="shared" si="384"/>
        <v>4158</v>
      </c>
      <c r="O5936" s="96">
        <f t="shared" si="385"/>
        <v>4158</v>
      </c>
    </row>
    <row r="5937" spans="3:15" x14ac:dyDescent="0.2">
      <c r="C5937" t="str">
        <f t="shared" si="382"/>
        <v>4159</v>
      </c>
      <c r="G5937" s="96">
        <f t="shared" si="383"/>
        <v>4159</v>
      </c>
      <c r="J5937" t="str">
        <f t="shared" si="386"/>
        <v/>
      </c>
      <c r="K5937" t="str">
        <f t="shared" si="384"/>
        <v>4159</v>
      </c>
      <c r="O5937" s="96">
        <f t="shared" si="385"/>
        <v>4159</v>
      </c>
    </row>
    <row r="5938" spans="3:15" x14ac:dyDescent="0.2">
      <c r="C5938" t="str">
        <f t="shared" si="382"/>
        <v>4160</v>
      </c>
      <c r="G5938" s="96">
        <f t="shared" si="383"/>
        <v>4160</v>
      </c>
      <c r="J5938" t="str">
        <f t="shared" si="386"/>
        <v/>
      </c>
      <c r="K5938" t="str">
        <f t="shared" si="384"/>
        <v>4160</v>
      </c>
      <c r="O5938" s="96">
        <f t="shared" si="385"/>
        <v>4160</v>
      </c>
    </row>
    <row r="5939" spans="3:15" x14ac:dyDescent="0.2">
      <c r="C5939" t="str">
        <f t="shared" si="382"/>
        <v>4161</v>
      </c>
      <c r="G5939" s="96">
        <f t="shared" si="383"/>
        <v>4161</v>
      </c>
      <c r="J5939" t="str">
        <f t="shared" si="386"/>
        <v/>
      </c>
      <c r="K5939" t="str">
        <f t="shared" si="384"/>
        <v>4161</v>
      </c>
      <c r="O5939" s="96">
        <f t="shared" si="385"/>
        <v>4161</v>
      </c>
    </row>
    <row r="5940" spans="3:15" x14ac:dyDescent="0.2">
      <c r="C5940" t="str">
        <f t="shared" si="382"/>
        <v>4162</v>
      </c>
      <c r="G5940" s="96">
        <f t="shared" si="383"/>
        <v>4162</v>
      </c>
      <c r="J5940" t="str">
        <f t="shared" si="386"/>
        <v/>
      </c>
      <c r="K5940" t="str">
        <f t="shared" si="384"/>
        <v>4162</v>
      </c>
      <c r="O5940" s="96">
        <f t="shared" si="385"/>
        <v>4162</v>
      </c>
    </row>
    <row r="5941" spans="3:15" x14ac:dyDescent="0.2">
      <c r="C5941" t="str">
        <f t="shared" si="382"/>
        <v>4163</v>
      </c>
      <c r="G5941" s="96">
        <f t="shared" si="383"/>
        <v>4163</v>
      </c>
      <c r="J5941" t="str">
        <f t="shared" si="386"/>
        <v/>
      </c>
      <c r="K5941" t="str">
        <f t="shared" si="384"/>
        <v>4163</v>
      </c>
      <c r="O5941" s="96">
        <f t="shared" si="385"/>
        <v>4163</v>
      </c>
    </row>
    <row r="5942" spans="3:15" x14ac:dyDescent="0.2">
      <c r="C5942" t="str">
        <f t="shared" si="382"/>
        <v>4164</v>
      </c>
      <c r="G5942" s="96">
        <f t="shared" si="383"/>
        <v>4164</v>
      </c>
      <c r="J5942" t="str">
        <f t="shared" si="386"/>
        <v/>
      </c>
      <c r="K5942" t="str">
        <f t="shared" si="384"/>
        <v>4164</v>
      </c>
      <c r="O5942" s="96">
        <f t="shared" si="385"/>
        <v>4164</v>
      </c>
    </row>
    <row r="5943" spans="3:15" x14ac:dyDescent="0.2">
      <c r="C5943" t="str">
        <f t="shared" si="382"/>
        <v>4165</v>
      </c>
      <c r="G5943" s="96">
        <f t="shared" si="383"/>
        <v>4165</v>
      </c>
      <c r="J5943" t="str">
        <f t="shared" si="386"/>
        <v/>
      </c>
      <c r="K5943" t="str">
        <f t="shared" si="384"/>
        <v>4165</v>
      </c>
      <c r="O5943" s="96">
        <f t="shared" si="385"/>
        <v>4165</v>
      </c>
    </row>
    <row r="5944" spans="3:15" x14ac:dyDescent="0.2">
      <c r="C5944" t="str">
        <f t="shared" si="382"/>
        <v>4166</v>
      </c>
      <c r="G5944" s="96">
        <f t="shared" si="383"/>
        <v>4166</v>
      </c>
      <c r="J5944" t="str">
        <f t="shared" si="386"/>
        <v/>
      </c>
      <c r="K5944" t="str">
        <f t="shared" si="384"/>
        <v>4166</v>
      </c>
      <c r="O5944" s="96">
        <f t="shared" si="385"/>
        <v>4166</v>
      </c>
    </row>
    <row r="5945" spans="3:15" x14ac:dyDescent="0.2">
      <c r="C5945" t="str">
        <f t="shared" si="382"/>
        <v>4167</v>
      </c>
      <c r="G5945" s="96">
        <f t="shared" si="383"/>
        <v>4167</v>
      </c>
      <c r="J5945" t="str">
        <f t="shared" si="386"/>
        <v/>
      </c>
      <c r="K5945" t="str">
        <f t="shared" si="384"/>
        <v>4167</v>
      </c>
      <c r="O5945" s="96">
        <f t="shared" si="385"/>
        <v>4167</v>
      </c>
    </row>
    <row r="5946" spans="3:15" x14ac:dyDescent="0.2">
      <c r="C5946" t="str">
        <f t="shared" si="382"/>
        <v>4168</v>
      </c>
      <c r="G5946" s="96">
        <f t="shared" si="383"/>
        <v>4168</v>
      </c>
      <c r="J5946" t="str">
        <f t="shared" si="386"/>
        <v/>
      </c>
      <c r="K5946" t="str">
        <f t="shared" si="384"/>
        <v>4168</v>
      </c>
      <c r="O5946" s="96">
        <f t="shared" si="385"/>
        <v>4168</v>
      </c>
    </row>
    <row r="5947" spans="3:15" x14ac:dyDescent="0.2">
      <c r="C5947" t="str">
        <f t="shared" si="382"/>
        <v>4169</v>
      </c>
      <c r="G5947" s="96">
        <f t="shared" si="383"/>
        <v>4169</v>
      </c>
      <c r="J5947" t="str">
        <f t="shared" si="386"/>
        <v/>
      </c>
      <c r="K5947" t="str">
        <f t="shared" si="384"/>
        <v>4169</v>
      </c>
      <c r="O5947" s="96">
        <f t="shared" si="385"/>
        <v>4169</v>
      </c>
    </row>
    <row r="5948" spans="3:15" x14ac:dyDescent="0.2">
      <c r="C5948" t="str">
        <f t="shared" si="382"/>
        <v>4170</v>
      </c>
      <c r="G5948" s="96">
        <f t="shared" si="383"/>
        <v>4170</v>
      </c>
      <c r="J5948" t="str">
        <f t="shared" si="386"/>
        <v/>
      </c>
      <c r="K5948" t="str">
        <f t="shared" si="384"/>
        <v>4170</v>
      </c>
      <c r="O5948" s="96">
        <f t="shared" si="385"/>
        <v>4170</v>
      </c>
    </row>
    <row r="5949" spans="3:15" x14ac:dyDescent="0.2">
      <c r="C5949" t="str">
        <f t="shared" si="382"/>
        <v>4171</v>
      </c>
      <c r="G5949" s="96">
        <f t="shared" si="383"/>
        <v>4171</v>
      </c>
      <c r="J5949" t="str">
        <f t="shared" si="386"/>
        <v/>
      </c>
      <c r="K5949" t="str">
        <f t="shared" si="384"/>
        <v>4171</v>
      </c>
      <c r="O5949" s="96">
        <f t="shared" si="385"/>
        <v>4171</v>
      </c>
    </row>
    <row r="5950" spans="3:15" x14ac:dyDescent="0.2">
      <c r="C5950" t="str">
        <f t="shared" si="382"/>
        <v>4172</v>
      </c>
      <c r="G5950" s="96">
        <f t="shared" si="383"/>
        <v>4172</v>
      </c>
      <c r="J5950" t="str">
        <f t="shared" si="386"/>
        <v/>
      </c>
      <c r="K5950" t="str">
        <f t="shared" si="384"/>
        <v>4172</v>
      </c>
      <c r="O5950" s="96">
        <f t="shared" si="385"/>
        <v>4172</v>
      </c>
    </row>
    <row r="5951" spans="3:15" x14ac:dyDescent="0.2">
      <c r="C5951" t="str">
        <f t="shared" si="382"/>
        <v>4173</v>
      </c>
      <c r="G5951" s="96">
        <f t="shared" si="383"/>
        <v>4173</v>
      </c>
      <c r="J5951" t="str">
        <f t="shared" si="386"/>
        <v/>
      </c>
      <c r="K5951" t="str">
        <f t="shared" si="384"/>
        <v>4173</v>
      </c>
      <c r="O5951" s="96">
        <f t="shared" si="385"/>
        <v>4173</v>
      </c>
    </row>
    <row r="5952" spans="3:15" x14ac:dyDescent="0.2">
      <c r="C5952" t="str">
        <f t="shared" si="382"/>
        <v>4174</v>
      </c>
      <c r="G5952" s="96">
        <f t="shared" si="383"/>
        <v>4174</v>
      </c>
      <c r="J5952" t="str">
        <f t="shared" si="386"/>
        <v/>
      </c>
      <c r="K5952" t="str">
        <f t="shared" si="384"/>
        <v>4174</v>
      </c>
      <c r="O5952" s="96">
        <f t="shared" si="385"/>
        <v>4174</v>
      </c>
    </row>
    <row r="5953" spans="3:15" x14ac:dyDescent="0.2">
      <c r="C5953" t="str">
        <f t="shared" si="382"/>
        <v>4175</v>
      </c>
      <c r="G5953" s="96">
        <f t="shared" si="383"/>
        <v>4175</v>
      </c>
      <c r="J5953" t="str">
        <f t="shared" si="386"/>
        <v/>
      </c>
      <c r="K5953" t="str">
        <f t="shared" si="384"/>
        <v>4175</v>
      </c>
      <c r="O5953" s="96">
        <f t="shared" si="385"/>
        <v>4175</v>
      </c>
    </row>
    <row r="5954" spans="3:15" x14ac:dyDescent="0.2">
      <c r="C5954" t="str">
        <f t="shared" si="382"/>
        <v>4176</v>
      </c>
      <c r="G5954" s="96">
        <f t="shared" si="383"/>
        <v>4176</v>
      </c>
      <c r="J5954" t="str">
        <f t="shared" si="386"/>
        <v/>
      </c>
      <c r="K5954" t="str">
        <f t="shared" si="384"/>
        <v>4176</v>
      </c>
      <c r="O5954" s="96">
        <f t="shared" si="385"/>
        <v>4176</v>
      </c>
    </row>
    <row r="5955" spans="3:15" x14ac:dyDescent="0.2">
      <c r="C5955" t="str">
        <f t="shared" ref="C5955:C6001" si="387">D5955&amp;G5955</f>
        <v>4177</v>
      </c>
      <c r="G5955" s="96">
        <f t="shared" ref="G5955:G6001" si="388">IF(D5955&lt;&gt;D5954,1,G5954+1)</f>
        <v>4177</v>
      </c>
      <c r="J5955" t="str">
        <f t="shared" si="386"/>
        <v/>
      </c>
      <c r="K5955" t="str">
        <f t="shared" ref="K5955:K6001" si="389">L5955&amp;O5955</f>
        <v>4177</v>
      </c>
      <c r="O5955" s="96">
        <f t="shared" ref="O5955:O6001" si="390">IF(L5955&lt;&gt;L5954,1,O5954+1)</f>
        <v>4177</v>
      </c>
    </row>
    <row r="5956" spans="3:15" x14ac:dyDescent="0.2">
      <c r="C5956" t="str">
        <f t="shared" si="387"/>
        <v>4178</v>
      </c>
      <c r="G5956" s="96">
        <f t="shared" si="388"/>
        <v>4178</v>
      </c>
      <c r="J5956" t="str">
        <f t="shared" si="386"/>
        <v/>
      </c>
      <c r="K5956" t="str">
        <f t="shared" si="389"/>
        <v>4178</v>
      </c>
      <c r="O5956" s="96">
        <f t="shared" si="390"/>
        <v>4178</v>
      </c>
    </row>
    <row r="5957" spans="3:15" x14ac:dyDescent="0.2">
      <c r="C5957" t="str">
        <f t="shared" si="387"/>
        <v>4179</v>
      </c>
      <c r="G5957" s="96">
        <f t="shared" si="388"/>
        <v>4179</v>
      </c>
      <c r="J5957" t="str">
        <f t="shared" si="386"/>
        <v/>
      </c>
      <c r="K5957" t="str">
        <f t="shared" si="389"/>
        <v>4179</v>
      </c>
      <c r="O5957" s="96">
        <f t="shared" si="390"/>
        <v>4179</v>
      </c>
    </row>
    <row r="5958" spans="3:15" x14ac:dyDescent="0.2">
      <c r="C5958" t="str">
        <f t="shared" si="387"/>
        <v>4180</v>
      </c>
      <c r="G5958" s="96">
        <f t="shared" si="388"/>
        <v>4180</v>
      </c>
      <c r="J5958" t="str">
        <f t="shared" si="386"/>
        <v/>
      </c>
      <c r="K5958" t="str">
        <f t="shared" si="389"/>
        <v>4180</v>
      </c>
      <c r="O5958" s="96">
        <f t="shared" si="390"/>
        <v>4180</v>
      </c>
    </row>
    <row r="5959" spans="3:15" x14ac:dyDescent="0.2">
      <c r="C5959" t="str">
        <f t="shared" si="387"/>
        <v>4181</v>
      </c>
      <c r="G5959" s="96">
        <f t="shared" si="388"/>
        <v>4181</v>
      </c>
      <c r="J5959" t="str">
        <f t="shared" si="386"/>
        <v/>
      </c>
      <c r="K5959" t="str">
        <f t="shared" si="389"/>
        <v>4181</v>
      </c>
      <c r="O5959" s="96">
        <f t="shared" si="390"/>
        <v>4181</v>
      </c>
    </row>
    <row r="5960" spans="3:15" x14ac:dyDescent="0.2">
      <c r="C5960" t="str">
        <f t="shared" si="387"/>
        <v>4182</v>
      </c>
      <c r="G5960" s="96">
        <f t="shared" si="388"/>
        <v>4182</v>
      </c>
      <c r="J5960" t="str">
        <f t="shared" si="386"/>
        <v/>
      </c>
      <c r="K5960" t="str">
        <f t="shared" si="389"/>
        <v>4182</v>
      </c>
      <c r="O5960" s="96">
        <f t="shared" si="390"/>
        <v>4182</v>
      </c>
    </row>
    <row r="5961" spans="3:15" x14ac:dyDescent="0.2">
      <c r="C5961" t="str">
        <f t="shared" si="387"/>
        <v>4183</v>
      </c>
      <c r="G5961" s="96">
        <f t="shared" si="388"/>
        <v>4183</v>
      </c>
      <c r="J5961" t="str">
        <f t="shared" si="386"/>
        <v/>
      </c>
      <c r="K5961" t="str">
        <f t="shared" si="389"/>
        <v>4183</v>
      </c>
      <c r="O5961" s="96">
        <f t="shared" si="390"/>
        <v>4183</v>
      </c>
    </row>
    <row r="5962" spans="3:15" x14ac:dyDescent="0.2">
      <c r="C5962" t="str">
        <f t="shared" si="387"/>
        <v>4184</v>
      </c>
      <c r="G5962" s="96">
        <f t="shared" si="388"/>
        <v>4184</v>
      </c>
      <c r="J5962" t="str">
        <f t="shared" ref="J5962:J6001" si="391">L5962&amp;M5962</f>
        <v/>
      </c>
      <c r="K5962" t="str">
        <f t="shared" si="389"/>
        <v>4184</v>
      </c>
      <c r="O5962" s="96">
        <f t="shared" si="390"/>
        <v>4184</v>
      </c>
    </row>
    <row r="5963" spans="3:15" x14ac:dyDescent="0.2">
      <c r="C5963" t="str">
        <f t="shared" si="387"/>
        <v>4185</v>
      </c>
      <c r="G5963" s="96">
        <f t="shared" si="388"/>
        <v>4185</v>
      </c>
      <c r="J5963" t="str">
        <f t="shared" si="391"/>
        <v/>
      </c>
      <c r="K5963" t="str">
        <f t="shared" si="389"/>
        <v>4185</v>
      </c>
      <c r="O5963" s="96">
        <f t="shared" si="390"/>
        <v>4185</v>
      </c>
    </row>
    <row r="5964" spans="3:15" x14ac:dyDescent="0.2">
      <c r="C5964" t="str">
        <f t="shared" si="387"/>
        <v>4186</v>
      </c>
      <c r="G5964" s="96">
        <f t="shared" si="388"/>
        <v>4186</v>
      </c>
      <c r="J5964" t="str">
        <f t="shared" si="391"/>
        <v/>
      </c>
      <c r="K5964" t="str">
        <f t="shared" si="389"/>
        <v>4186</v>
      </c>
      <c r="O5964" s="96">
        <f t="shared" si="390"/>
        <v>4186</v>
      </c>
    </row>
    <row r="5965" spans="3:15" x14ac:dyDescent="0.2">
      <c r="C5965" t="str">
        <f t="shared" si="387"/>
        <v>4187</v>
      </c>
      <c r="G5965" s="96">
        <f t="shared" si="388"/>
        <v>4187</v>
      </c>
      <c r="J5965" t="str">
        <f t="shared" si="391"/>
        <v/>
      </c>
      <c r="K5965" t="str">
        <f t="shared" si="389"/>
        <v>4187</v>
      </c>
      <c r="O5965" s="96">
        <f t="shared" si="390"/>
        <v>4187</v>
      </c>
    </row>
    <row r="5966" spans="3:15" x14ac:dyDescent="0.2">
      <c r="C5966" t="str">
        <f t="shared" si="387"/>
        <v>4188</v>
      </c>
      <c r="G5966" s="96">
        <f t="shared" si="388"/>
        <v>4188</v>
      </c>
      <c r="J5966" t="str">
        <f t="shared" si="391"/>
        <v/>
      </c>
      <c r="K5966" t="str">
        <f t="shared" si="389"/>
        <v>4188</v>
      </c>
      <c r="O5966" s="96">
        <f t="shared" si="390"/>
        <v>4188</v>
      </c>
    </row>
    <row r="5967" spans="3:15" x14ac:dyDescent="0.2">
      <c r="C5967" t="str">
        <f t="shared" si="387"/>
        <v>4189</v>
      </c>
      <c r="G5967" s="96">
        <f t="shared" si="388"/>
        <v>4189</v>
      </c>
      <c r="J5967" t="str">
        <f t="shared" si="391"/>
        <v/>
      </c>
      <c r="K5967" t="str">
        <f t="shared" si="389"/>
        <v>4189</v>
      </c>
      <c r="O5967" s="96">
        <f t="shared" si="390"/>
        <v>4189</v>
      </c>
    </row>
    <row r="5968" spans="3:15" x14ac:dyDescent="0.2">
      <c r="C5968" t="str">
        <f t="shared" si="387"/>
        <v>4190</v>
      </c>
      <c r="G5968" s="96">
        <f t="shared" si="388"/>
        <v>4190</v>
      </c>
      <c r="J5968" t="str">
        <f t="shared" si="391"/>
        <v/>
      </c>
      <c r="K5968" t="str">
        <f t="shared" si="389"/>
        <v>4190</v>
      </c>
      <c r="O5968" s="96">
        <f t="shared" si="390"/>
        <v>4190</v>
      </c>
    </row>
    <row r="5969" spans="3:15" x14ac:dyDescent="0.2">
      <c r="C5969" t="str">
        <f t="shared" si="387"/>
        <v>4191</v>
      </c>
      <c r="G5969" s="96">
        <f t="shared" si="388"/>
        <v>4191</v>
      </c>
      <c r="J5969" t="str">
        <f t="shared" si="391"/>
        <v/>
      </c>
      <c r="K5969" t="str">
        <f t="shared" si="389"/>
        <v>4191</v>
      </c>
      <c r="O5969" s="96">
        <f t="shared" si="390"/>
        <v>4191</v>
      </c>
    </row>
    <row r="5970" spans="3:15" x14ac:dyDescent="0.2">
      <c r="C5970" t="str">
        <f t="shared" si="387"/>
        <v>4192</v>
      </c>
      <c r="G5970" s="96">
        <f t="shared" si="388"/>
        <v>4192</v>
      </c>
      <c r="J5970" t="str">
        <f t="shared" si="391"/>
        <v/>
      </c>
      <c r="K5970" t="str">
        <f t="shared" si="389"/>
        <v>4192</v>
      </c>
      <c r="O5970" s="96">
        <f t="shared" si="390"/>
        <v>4192</v>
      </c>
    </row>
    <row r="5971" spans="3:15" x14ac:dyDescent="0.2">
      <c r="C5971" t="str">
        <f t="shared" si="387"/>
        <v>4193</v>
      </c>
      <c r="G5971" s="96">
        <f t="shared" si="388"/>
        <v>4193</v>
      </c>
      <c r="J5971" t="str">
        <f t="shared" si="391"/>
        <v/>
      </c>
      <c r="K5971" t="str">
        <f t="shared" si="389"/>
        <v>4193</v>
      </c>
      <c r="O5971" s="96">
        <f t="shared" si="390"/>
        <v>4193</v>
      </c>
    </row>
    <row r="5972" spans="3:15" x14ac:dyDescent="0.2">
      <c r="C5972" t="str">
        <f t="shared" si="387"/>
        <v>4194</v>
      </c>
      <c r="G5972" s="96">
        <f t="shared" si="388"/>
        <v>4194</v>
      </c>
      <c r="J5972" t="str">
        <f t="shared" si="391"/>
        <v/>
      </c>
      <c r="K5972" t="str">
        <f t="shared" si="389"/>
        <v>4194</v>
      </c>
      <c r="O5972" s="96">
        <f t="shared" si="390"/>
        <v>4194</v>
      </c>
    </row>
    <row r="5973" spans="3:15" x14ac:dyDescent="0.2">
      <c r="C5973" t="str">
        <f t="shared" si="387"/>
        <v>4195</v>
      </c>
      <c r="G5973" s="96">
        <f t="shared" si="388"/>
        <v>4195</v>
      </c>
      <c r="J5973" t="str">
        <f t="shared" si="391"/>
        <v/>
      </c>
      <c r="K5973" t="str">
        <f t="shared" si="389"/>
        <v>4195</v>
      </c>
      <c r="O5973" s="96">
        <f t="shared" si="390"/>
        <v>4195</v>
      </c>
    </row>
    <row r="5974" spans="3:15" x14ac:dyDescent="0.2">
      <c r="C5974" t="str">
        <f t="shared" si="387"/>
        <v>4196</v>
      </c>
      <c r="G5974" s="96">
        <f t="shared" si="388"/>
        <v>4196</v>
      </c>
      <c r="J5974" t="str">
        <f t="shared" si="391"/>
        <v/>
      </c>
      <c r="K5974" t="str">
        <f t="shared" si="389"/>
        <v>4196</v>
      </c>
      <c r="O5974" s="96">
        <f t="shared" si="390"/>
        <v>4196</v>
      </c>
    </row>
    <row r="5975" spans="3:15" x14ac:dyDescent="0.2">
      <c r="C5975" t="str">
        <f t="shared" si="387"/>
        <v>4197</v>
      </c>
      <c r="G5975" s="96">
        <f t="shared" si="388"/>
        <v>4197</v>
      </c>
      <c r="J5975" t="str">
        <f t="shared" si="391"/>
        <v/>
      </c>
      <c r="K5975" t="str">
        <f t="shared" si="389"/>
        <v>4197</v>
      </c>
      <c r="O5975" s="96">
        <f t="shared" si="390"/>
        <v>4197</v>
      </c>
    </row>
    <row r="5976" spans="3:15" x14ac:dyDescent="0.2">
      <c r="C5976" t="str">
        <f t="shared" si="387"/>
        <v>4198</v>
      </c>
      <c r="G5976" s="96">
        <f t="shared" si="388"/>
        <v>4198</v>
      </c>
      <c r="J5976" t="str">
        <f t="shared" si="391"/>
        <v/>
      </c>
      <c r="K5976" t="str">
        <f t="shared" si="389"/>
        <v>4198</v>
      </c>
      <c r="O5976" s="96">
        <f t="shared" si="390"/>
        <v>4198</v>
      </c>
    </row>
    <row r="5977" spans="3:15" x14ac:dyDescent="0.2">
      <c r="C5977" t="str">
        <f t="shared" si="387"/>
        <v>4199</v>
      </c>
      <c r="G5977" s="96">
        <f t="shared" si="388"/>
        <v>4199</v>
      </c>
      <c r="J5977" t="str">
        <f t="shared" si="391"/>
        <v/>
      </c>
      <c r="K5977" t="str">
        <f t="shared" si="389"/>
        <v>4199</v>
      </c>
      <c r="O5977" s="96">
        <f t="shared" si="390"/>
        <v>4199</v>
      </c>
    </row>
    <row r="5978" spans="3:15" x14ac:dyDescent="0.2">
      <c r="C5978" t="str">
        <f t="shared" si="387"/>
        <v>4200</v>
      </c>
      <c r="G5978" s="96">
        <f t="shared" si="388"/>
        <v>4200</v>
      </c>
      <c r="J5978" t="str">
        <f t="shared" si="391"/>
        <v/>
      </c>
      <c r="K5978" t="str">
        <f t="shared" si="389"/>
        <v>4200</v>
      </c>
      <c r="O5978" s="96">
        <f t="shared" si="390"/>
        <v>4200</v>
      </c>
    </row>
    <row r="5979" spans="3:15" x14ac:dyDescent="0.2">
      <c r="C5979" t="str">
        <f t="shared" si="387"/>
        <v>4201</v>
      </c>
      <c r="G5979" s="96">
        <f t="shared" si="388"/>
        <v>4201</v>
      </c>
      <c r="J5979" t="str">
        <f t="shared" si="391"/>
        <v/>
      </c>
      <c r="K5979" t="str">
        <f t="shared" si="389"/>
        <v>4201</v>
      </c>
      <c r="O5979" s="96">
        <f t="shared" si="390"/>
        <v>4201</v>
      </c>
    </row>
    <row r="5980" spans="3:15" x14ac:dyDescent="0.2">
      <c r="C5980" t="str">
        <f t="shared" si="387"/>
        <v>4202</v>
      </c>
      <c r="G5980" s="96">
        <f t="shared" si="388"/>
        <v>4202</v>
      </c>
      <c r="J5980" t="str">
        <f t="shared" si="391"/>
        <v/>
      </c>
      <c r="K5980" t="str">
        <f t="shared" si="389"/>
        <v>4202</v>
      </c>
      <c r="O5980" s="96">
        <f t="shared" si="390"/>
        <v>4202</v>
      </c>
    </row>
    <row r="5981" spans="3:15" x14ac:dyDescent="0.2">
      <c r="C5981" t="str">
        <f t="shared" si="387"/>
        <v>4203</v>
      </c>
      <c r="G5981" s="96">
        <f t="shared" si="388"/>
        <v>4203</v>
      </c>
      <c r="J5981" t="str">
        <f t="shared" si="391"/>
        <v/>
      </c>
      <c r="K5981" t="str">
        <f t="shared" si="389"/>
        <v>4203</v>
      </c>
      <c r="O5981" s="96">
        <f t="shared" si="390"/>
        <v>4203</v>
      </c>
    </row>
    <row r="5982" spans="3:15" x14ac:dyDescent="0.2">
      <c r="C5982" t="str">
        <f t="shared" si="387"/>
        <v>4204</v>
      </c>
      <c r="G5982" s="96">
        <f t="shared" si="388"/>
        <v>4204</v>
      </c>
      <c r="J5982" t="str">
        <f t="shared" si="391"/>
        <v/>
      </c>
      <c r="K5982" t="str">
        <f t="shared" si="389"/>
        <v>4204</v>
      </c>
      <c r="O5982" s="96">
        <f t="shared" si="390"/>
        <v>4204</v>
      </c>
    </row>
    <row r="5983" spans="3:15" x14ac:dyDescent="0.2">
      <c r="C5983" t="str">
        <f t="shared" si="387"/>
        <v>4205</v>
      </c>
      <c r="G5983" s="96">
        <f t="shared" si="388"/>
        <v>4205</v>
      </c>
      <c r="J5983" t="str">
        <f t="shared" si="391"/>
        <v/>
      </c>
      <c r="K5983" t="str">
        <f t="shared" si="389"/>
        <v>4205</v>
      </c>
      <c r="O5983" s="96">
        <f t="shared" si="390"/>
        <v>4205</v>
      </c>
    </row>
    <row r="5984" spans="3:15" x14ac:dyDescent="0.2">
      <c r="C5984" t="str">
        <f t="shared" si="387"/>
        <v>4206</v>
      </c>
      <c r="G5984" s="96">
        <f t="shared" si="388"/>
        <v>4206</v>
      </c>
      <c r="J5984" t="str">
        <f t="shared" si="391"/>
        <v/>
      </c>
      <c r="K5984" t="str">
        <f t="shared" si="389"/>
        <v>4206</v>
      </c>
      <c r="O5984" s="96">
        <f t="shared" si="390"/>
        <v>4206</v>
      </c>
    </row>
    <row r="5985" spans="3:15" x14ac:dyDescent="0.2">
      <c r="C5985" t="str">
        <f t="shared" si="387"/>
        <v>4207</v>
      </c>
      <c r="G5985" s="96">
        <f t="shared" si="388"/>
        <v>4207</v>
      </c>
      <c r="J5985" t="str">
        <f t="shared" si="391"/>
        <v/>
      </c>
      <c r="K5985" t="str">
        <f t="shared" si="389"/>
        <v>4207</v>
      </c>
      <c r="O5985" s="96">
        <f t="shared" si="390"/>
        <v>4207</v>
      </c>
    </row>
    <row r="5986" spans="3:15" x14ac:dyDescent="0.2">
      <c r="C5986" t="str">
        <f t="shared" si="387"/>
        <v>4208</v>
      </c>
      <c r="G5986" s="96">
        <f t="shared" si="388"/>
        <v>4208</v>
      </c>
      <c r="J5986" t="str">
        <f t="shared" si="391"/>
        <v/>
      </c>
      <c r="K5986" t="str">
        <f t="shared" si="389"/>
        <v>4208</v>
      </c>
      <c r="O5986" s="96">
        <f t="shared" si="390"/>
        <v>4208</v>
      </c>
    </row>
    <row r="5987" spans="3:15" x14ac:dyDescent="0.2">
      <c r="C5987" t="str">
        <f t="shared" si="387"/>
        <v>4209</v>
      </c>
      <c r="G5987" s="96">
        <f t="shared" si="388"/>
        <v>4209</v>
      </c>
      <c r="J5987" t="str">
        <f t="shared" si="391"/>
        <v/>
      </c>
      <c r="K5987" t="str">
        <f t="shared" si="389"/>
        <v>4209</v>
      </c>
      <c r="O5987" s="96">
        <f t="shared" si="390"/>
        <v>4209</v>
      </c>
    </row>
    <row r="5988" spans="3:15" x14ac:dyDescent="0.2">
      <c r="C5988" t="str">
        <f t="shared" si="387"/>
        <v>4210</v>
      </c>
      <c r="G5988" s="96">
        <f t="shared" si="388"/>
        <v>4210</v>
      </c>
      <c r="J5988" t="str">
        <f t="shared" si="391"/>
        <v/>
      </c>
      <c r="K5988" t="str">
        <f t="shared" si="389"/>
        <v>4210</v>
      </c>
      <c r="O5988" s="96">
        <f t="shared" si="390"/>
        <v>4210</v>
      </c>
    </row>
    <row r="5989" spans="3:15" x14ac:dyDescent="0.2">
      <c r="C5989" t="str">
        <f t="shared" si="387"/>
        <v>4211</v>
      </c>
      <c r="G5989" s="96">
        <f t="shared" si="388"/>
        <v>4211</v>
      </c>
      <c r="J5989" t="str">
        <f t="shared" si="391"/>
        <v/>
      </c>
      <c r="K5989" t="str">
        <f t="shared" si="389"/>
        <v>4211</v>
      </c>
      <c r="O5989" s="96">
        <f t="shared" si="390"/>
        <v>4211</v>
      </c>
    </row>
    <row r="5990" spans="3:15" x14ac:dyDescent="0.2">
      <c r="C5990" t="str">
        <f t="shared" si="387"/>
        <v>4212</v>
      </c>
      <c r="G5990" s="96">
        <f t="shared" si="388"/>
        <v>4212</v>
      </c>
      <c r="J5990" t="str">
        <f t="shared" si="391"/>
        <v/>
      </c>
      <c r="K5990" t="str">
        <f t="shared" si="389"/>
        <v>4212</v>
      </c>
      <c r="O5990" s="96">
        <f t="shared" si="390"/>
        <v>4212</v>
      </c>
    </row>
    <row r="5991" spans="3:15" x14ac:dyDescent="0.2">
      <c r="C5991" t="str">
        <f t="shared" si="387"/>
        <v>4213</v>
      </c>
      <c r="G5991" s="96">
        <f t="shared" si="388"/>
        <v>4213</v>
      </c>
      <c r="J5991" t="str">
        <f t="shared" si="391"/>
        <v/>
      </c>
      <c r="K5991" t="str">
        <f t="shared" si="389"/>
        <v>4213</v>
      </c>
      <c r="O5991" s="96">
        <f t="shared" si="390"/>
        <v>4213</v>
      </c>
    </row>
    <row r="5992" spans="3:15" x14ac:dyDescent="0.2">
      <c r="C5992" t="str">
        <f t="shared" si="387"/>
        <v>4214</v>
      </c>
      <c r="G5992" s="96">
        <f t="shared" si="388"/>
        <v>4214</v>
      </c>
      <c r="J5992" t="str">
        <f t="shared" si="391"/>
        <v/>
      </c>
      <c r="K5992" t="str">
        <f t="shared" si="389"/>
        <v>4214</v>
      </c>
      <c r="O5992" s="96">
        <f t="shared" si="390"/>
        <v>4214</v>
      </c>
    </row>
    <row r="5993" spans="3:15" x14ac:dyDescent="0.2">
      <c r="C5993" t="str">
        <f t="shared" si="387"/>
        <v>4215</v>
      </c>
      <c r="G5993" s="96">
        <f t="shared" si="388"/>
        <v>4215</v>
      </c>
      <c r="J5993" t="str">
        <f t="shared" si="391"/>
        <v/>
      </c>
      <c r="K5993" t="str">
        <f t="shared" si="389"/>
        <v>4215</v>
      </c>
      <c r="O5993" s="96">
        <f t="shared" si="390"/>
        <v>4215</v>
      </c>
    </row>
    <row r="5994" spans="3:15" x14ac:dyDescent="0.2">
      <c r="C5994" t="str">
        <f t="shared" si="387"/>
        <v>4216</v>
      </c>
      <c r="G5994" s="96">
        <f t="shared" si="388"/>
        <v>4216</v>
      </c>
      <c r="J5994" t="str">
        <f t="shared" si="391"/>
        <v/>
      </c>
      <c r="K5994" t="str">
        <f t="shared" si="389"/>
        <v>4216</v>
      </c>
      <c r="O5994" s="96">
        <f t="shared" si="390"/>
        <v>4216</v>
      </c>
    </row>
    <row r="5995" spans="3:15" x14ac:dyDescent="0.2">
      <c r="C5995" t="str">
        <f t="shared" si="387"/>
        <v>4217</v>
      </c>
      <c r="G5995" s="96">
        <f t="shared" si="388"/>
        <v>4217</v>
      </c>
      <c r="J5995" t="str">
        <f t="shared" si="391"/>
        <v/>
      </c>
      <c r="K5995" t="str">
        <f t="shared" si="389"/>
        <v>4217</v>
      </c>
      <c r="O5995" s="96">
        <f t="shared" si="390"/>
        <v>4217</v>
      </c>
    </row>
    <row r="5996" spans="3:15" x14ac:dyDescent="0.2">
      <c r="C5996" t="str">
        <f t="shared" si="387"/>
        <v>4218</v>
      </c>
      <c r="G5996" s="96">
        <f t="shared" si="388"/>
        <v>4218</v>
      </c>
      <c r="J5996" t="str">
        <f t="shared" si="391"/>
        <v/>
      </c>
      <c r="K5996" t="str">
        <f t="shared" si="389"/>
        <v>4218</v>
      </c>
      <c r="O5996" s="96">
        <f t="shared" si="390"/>
        <v>4218</v>
      </c>
    </row>
    <row r="5997" spans="3:15" x14ac:dyDescent="0.2">
      <c r="C5997" t="str">
        <f t="shared" si="387"/>
        <v>4219</v>
      </c>
      <c r="G5997" s="96">
        <f t="shared" si="388"/>
        <v>4219</v>
      </c>
      <c r="J5997" t="str">
        <f t="shared" si="391"/>
        <v/>
      </c>
      <c r="K5997" t="str">
        <f t="shared" si="389"/>
        <v>4219</v>
      </c>
      <c r="O5997" s="96">
        <f t="shared" si="390"/>
        <v>4219</v>
      </c>
    </row>
    <row r="5998" spans="3:15" x14ac:dyDescent="0.2">
      <c r="C5998" t="str">
        <f t="shared" si="387"/>
        <v>4220</v>
      </c>
      <c r="G5998" s="96">
        <f t="shared" si="388"/>
        <v>4220</v>
      </c>
      <c r="J5998" t="str">
        <f t="shared" si="391"/>
        <v/>
      </c>
      <c r="K5998" t="str">
        <f t="shared" si="389"/>
        <v>4220</v>
      </c>
      <c r="O5998" s="96">
        <f t="shared" si="390"/>
        <v>4220</v>
      </c>
    </row>
    <row r="5999" spans="3:15" x14ac:dyDescent="0.2">
      <c r="C5999" t="str">
        <f t="shared" si="387"/>
        <v>4221</v>
      </c>
      <c r="G5999" s="96">
        <f t="shared" si="388"/>
        <v>4221</v>
      </c>
      <c r="J5999" t="str">
        <f t="shared" si="391"/>
        <v/>
      </c>
      <c r="K5999" t="str">
        <f t="shared" si="389"/>
        <v>4221</v>
      </c>
      <c r="O5999" s="96">
        <f t="shared" si="390"/>
        <v>4221</v>
      </c>
    </row>
    <row r="6000" spans="3:15" x14ac:dyDescent="0.2">
      <c r="C6000" t="str">
        <f t="shared" si="387"/>
        <v>4222</v>
      </c>
      <c r="G6000" s="96">
        <f t="shared" si="388"/>
        <v>4222</v>
      </c>
      <c r="J6000" t="str">
        <f t="shared" si="391"/>
        <v/>
      </c>
      <c r="K6000" t="str">
        <f t="shared" si="389"/>
        <v>4222</v>
      </c>
      <c r="O6000" s="96">
        <f t="shared" si="390"/>
        <v>4222</v>
      </c>
    </row>
    <row r="6001" spans="3:15" x14ac:dyDescent="0.2">
      <c r="C6001" t="str">
        <f t="shared" si="387"/>
        <v>4223</v>
      </c>
      <c r="G6001" s="96">
        <f t="shared" si="388"/>
        <v>4223</v>
      </c>
      <c r="J6001" t="str">
        <f t="shared" si="391"/>
        <v/>
      </c>
      <c r="K6001" t="str">
        <f t="shared" si="389"/>
        <v>4223</v>
      </c>
      <c r="O6001" s="96">
        <f t="shared" si="390"/>
        <v>4223</v>
      </c>
    </row>
    <row r="6002" spans="3:15" x14ac:dyDescent="0.2">
      <c r="O6002" s="96"/>
    </row>
    <row r="6003" spans="3:15" x14ac:dyDescent="0.2">
      <c r="O6003" s="96"/>
    </row>
    <row r="6004" spans="3:15" x14ac:dyDescent="0.2">
      <c r="O6004" s="96"/>
    </row>
    <row r="6005" spans="3:15" x14ac:dyDescent="0.2">
      <c r="O6005" s="96"/>
    </row>
    <row r="6006" spans="3:15" x14ac:dyDescent="0.2">
      <c r="O6006" s="96"/>
    </row>
    <row r="6007" spans="3:15" x14ac:dyDescent="0.2">
      <c r="O6007" s="96"/>
    </row>
  </sheetData>
  <phoneticPr fontId="13" type="noConversion"/>
  <conditionalFormatting sqref="S14:AL14 S48:AL48 S22:AL22 S44:AL44 S6:AL6 S8:AL8 S16:AL16 S56:AL56 S4:AL4 S20:AL20 S42:AL42 S32:AL32 S28:AL28 S12:AL12 S18:AL18 S30:AL30 S50:AL50 S38:AL38 S40:AL40 S58:AL58 S46:AL46 S52:AL52 S60:AL60 S34:AL34 S36:AL36 S54:AL54 S24:AL24 S10:AL10 S26:AL26 S62:AL62 S64:AL64 S66:AL66 S68:AL68 S70:AL70 S72:AL72 S74:AL74 S76:AL76 S78:AL78 S80:AL80 S82:AL82 S84:AL84 S86:AL86 S88:AL88 S90:AL90 S92:AL92 S94:AL94 S96:AL96 S98:AL98 S100:AL100 S102:AL102 S104:AL104 S106:AL106 S108:AL108 S110:AL110 S112:AL112 S114:AL114 S116:AL116 S118:AL118 S120:AL120 S122:AL122 S124:AL124 S126:AL126 S128:AL128 S130:AL130 S132:AL132 S134:AL134 S136:AL136 S138:AL138 S140:AL140 S142:AL142 S144:AL144 S146:AL146 S148:AL148 S150:AL150 S152:AL152 S154:AL154 S156:AL156 S158:AL158 S160:AL160 S162:AL162 S164:AL164 S166:AL166 S168:AL168 S170:AL170 S172:AL172 S174:AL174 S176:AL176 S178:AL178 S180:AL180 S182:AL182 S184:AL184 S186:AL186 S188:AL188 S190:AL190 S192:AL192 S194:AL194 S196:AL196 S198:AL198 S200:AL200 S202:AL202 S204:AL204 S206:AL206 S208:AL208 S210:AL210 S212:AL212 S214:AL214 S216:AL216 S218:AL218 S220:AL220 S222:AL222 S224:AL224 S226:AL226 S228:AL228 S230:AL230 S232:AL232 S234:AL234 S236:AL236 S238:AL238 S240:AL240 S242:AL242 S244:AL244 S246:AL246 S248:AL248 S250:AL250 S252:AL252 S254:AL254 S256:AL256 S258:AL258 S260:AL260 S262:AL262 S264:AL264 S266:AL266 S268:AL268 S270:AL270 S272:AL272 S274:AL274 S276:AL276 S278:AL278 S280:AL280 S282:AL282 S284:AL284 S286:AL286 S288:AL288 S290:AL290 S292:AL292 S294:AL294 S296:AL296 S298:AL298 S300:AL300 S302:AK302 S304:AK304 S306:AK306 S308:AK308 S310:AK310 S312:AK312 S314:AK314 S316:AK316 S318:AK318 S320:AK320 S322:AK322 S324:AK324 S326:AK326 S328:AK328 S330:AK330 S332:AK332 S334:AK334 S336:AK336 S338:AK338 S340:AK340 S342:AK342 S344:AK344 S346:AK346 S348:AK348 S360:AK360 S350:AK350 S352:AK352 S354:AK354 S356:AK356 S358:AK358 S362:AK362 S364:AK364 S366:AK366 S368:AK368 S370:AK370 S372:AK372 S374:AK374 S376:AK376 S378:AK378 S380:AK380 S382:AK382 S384:AK384 S386:AK386 S388:AK388 S390:AK390 S392:AK392 S394:AK394 S396:AK396 S398:AK398 S400:AK400">
    <cfRule type="expression" dxfId="1" priority="1" stopIfTrue="1">
      <formula>S4&lt;&gt;S5</formula>
    </cfRule>
  </conditionalFormatting>
  <conditionalFormatting sqref="D3:F3">
    <cfRule type="expression" dxfId="0" priority="2" stopIfTrue="1">
      <formula>#REF!="Updated"</formula>
    </cfRule>
  </conditionalFormatting>
  <pageMargins left="0.75" right="0.75" top="1" bottom="1" header="0.5" footer="0.5"/>
  <pageSetup paperSize="9" orientation="portrait" horizontalDpi="1200" verticalDpi="12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3:AA148"/>
  <sheetViews>
    <sheetView showGridLines="0" zoomScale="85" workbookViewId="0">
      <selection activeCell="C19" sqref="C19"/>
    </sheetView>
  </sheetViews>
  <sheetFormatPr defaultRowHeight="12.75" outlineLevelRow="1" x14ac:dyDescent="0.2"/>
  <cols>
    <col min="3" max="3" width="10.7109375" bestFit="1" customWidth="1"/>
    <col min="4" max="4" width="11.28515625" bestFit="1" customWidth="1"/>
    <col min="5" max="23" width="12.7109375" bestFit="1" customWidth="1"/>
    <col min="24" max="24" width="14.28515625" customWidth="1"/>
    <col min="25" max="25" width="13.7109375" customWidth="1"/>
    <col min="26" max="26" width="9.5703125" bestFit="1" customWidth="1"/>
  </cols>
  <sheetData>
    <row r="3" spans="2:25" x14ac:dyDescent="0.2">
      <c r="B3" s="1" t="s">
        <v>22</v>
      </c>
      <c r="C3" s="1" t="s">
        <v>24</v>
      </c>
      <c r="D3" s="1" t="s">
        <v>23</v>
      </c>
      <c r="E3">
        <v>0</v>
      </c>
      <c r="F3">
        <f>E3+1</f>
        <v>1</v>
      </c>
      <c r="G3">
        <f t="shared" ref="G3:X3" si="0">F3+1</f>
        <v>2</v>
      </c>
      <c r="H3">
        <f t="shared" si="0"/>
        <v>3</v>
      </c>
      <c r="I3">
        <f t="shared" si="0"/>
        <v>4</v>
      </c>
      <c r="J3">
        <f t="shared" si="0"/>
        <v>5</v>
      </c>
      <c r="K3">
        <f t="shared" si="0"/>
        <v>6</v>
      </c>
      <c r="L3">
        <f t="shared" si="0"/>
        <v>7</v>
      </c>
      <c r="M3">
        <f t="shared" si="0"/>
        <v>8</v>
      </c>
      <c r="N3">
        <f t="shared" si="0"/>
        <v>9</v>
      </c>
      <c r="O3">
        <f t="shared" si="0"/>
        <v>10</v>
      </c>
      <c r="P3">
        <f t="shared" si="0"/>
        <v>11</v>
      </c>
      <c r="Q3">
        <f t="shared" si="0"/>
        <v>12</v>
      </c>
      <c r="R3">
        <f t="shared" si="0"/>
        <v>13</v>
      </c>
      <c r="S3">
        <f t="shared" si="0"/>
        <v>14</v>
      </c>
      <c r="T3">
        <f t="shared" si="0"/>
        <v>15</v>
      </c>
      <c r="U3">
        <f t="shared" si="0"/>
        <v>16</v>
      </c>
      <c r="V3">
        <f t="shared" si="0"/>
        <v>17</v>
      </c>
      <c r="W3">
        <f t="shared" si="0"/>
        <v>18</v>
      </c>
      <c r="X3">
        <f t="shared" si="0"/>
        <v>19</v>
      </c>
      <c r="Y3">
        <v>20</v>
      </c>
    </row>
    <row r="4" spans="2:25" x14ac:dyDescent="0.2">
      <c r="E4" s="5">
        <f>E3*$C$12</f>
        <v>0</v>
      </c>
      <c r="F4" s="5">
        <f t="shared" ref="F4:Y4" si="1">F3*$C$12</f>
        <v>1.1259148057796959E-5</v>
      </c>
      <c r="G4" s="5">
        <f t="shared" si="1"/>
        <v>2.2518296115593919E-5</v>
      </c>
      <c r="H4" s="5">
        <f t="shared" si="1"/>
        <v>3.3777444173390876E-5</v>
      </c>
      <c r="I4" s="5">
        <f t="shared" si="1"/>
        <v>4.5036592231187838E-5</v>
      </c>
      <c r="J4" s="5">
        <f t="shared" si="1"/>
        <v>5.6295740288984799E-5</v>
      </c>
      <c r="K4" s="5">
        <f t="shared" si="1"/>
        <v>6.7554888346781753E-5</v>
      </c>
      <c r="L4" s="5">
        <f t="shared" si="1"/>
        <v>7.8814036404578714E-5</v>
      </c>
      <c r="M4" s="5">
        <f t="shared" si="1"/>
        <v>9.0073184462375675E-5</v>
      </c>
      <c r="N4" s="5">
        <f t="shared" si="1"/>
        <v>1.0133233252017264E-4</v>
      </c>
      <c r="O4" s="5">
        <f t="shared" si="1"/>
        <v>1.125914805779696E-4</v>
      </c>
      <c r="P4" s="5">
        <f t="shared" si="1"/>
        <v>1.2385062863576654E-4</v>
      </c>
      <c r="Q4" s="5">
        <f t="shared" si="1"/>
        <v>1.3510977669356351E-4</v>
      </c>
      <c r="R4" s="5">
        <f t="shared" si="1"/>
        <v>1.4636892475136047E-4</v>
      </c>
      <c r="S4" s="5">
        <f t="shared" si="1"/>
        <v>1.5762807280915743E-4</v>
      </c>
      <c r="T4" s="5">
        <f t="shared" si="1"/>
        <v>1.6888722086695439E-4</v>
      </c>
      <c r="U4" s="5">
        <f t="shared" si="1"/>
        <v>1.8014636892475135E-4</v>
      </c>
      <c r="V4" s="5">
        <f t="shared" si="1"/>
        <v>1.9140551698254831E-4</v>
      </c>
      <c r="W4" s="5">
        <f t="shared" si="1"/>
        <v>2.0266466504034527E-4</v>
      </c>
      <c r="X4" s="5">
        <f t="shared" si="1"/>
        <v>2.1392381309814223E-4</v>
      </c>
      <c r="Y4" s="5">
        <f t="shared" si="1"/>
        <v>2.2518296115593919E-4</v>
      </c>
    </row>
    <row r="5" spans="2:25" x14ac:dyDescent="0.2">
      <c r="D5">
        <v>20</v>
      </c>
      <c r="Y5" s="3">
        <f>$E$25*$C$17^Y$3*$C$19^(Y$3-$D5)</f>
        <v>3186.7793387666293</v>
      </c>
    </row>
    <row r="6" spans="2:25" x14ac:dyDescent="0.2">
      <c r="D6">
        <f t="shared" ref="D6:D22" si="2">D7+1</f>
        <v>19</v>
      </c>
      <c r="X6" s="3">
        <f>$E$25*$C$17^X$3*$C$19^(X$3-$D6)</f>
        <v>3177.1700201587196</v>
      </c>
    </row>
    <row r="7" spans="2:25" x14ac:dyDescent="0.2">
      <c r="D7">
        <f t="shared" si="2"/>
        <v>18</v>
      </c>
      <c r="W7" s="3">
        <f>$E$25*$C$17^W$3*$C$19^(W$3-$D7)</f>
        <v>3167.5896772012356</v>
      </c>
      <c r="Y7" s="3">
        <f>$E$25*$C$17^Y$3*$C$19^(Y$3-$D7)</f>
        <v>3167.5896772012347</v>
      </c>
    </row>
    <row r="8" spans="2:25" x14ac:dyDescent="0.2">
      <c r="D8">
        <f t="shared" si="2"/>
        <v>17</v>
      </c>
      <c r="V8" s="3">
        <f>$E$25*$C$17^V$3*$C$19^(V$3-$D8)</f>
        <v>3158.0382225218741</v>
      </c>
      <c r="X8" s="3">
        <f>$E$25*$C$17^X$3*$C$19^(X$3-$D8)</f>
        <v>3158.0382225218741</v>
      </c>
    </row>
    <row r="9" spans="2:25" x14ac:dyDescent="0.2">
      <c r="B9">
        <v>3000</v>
      </c>
      <c r="C9" s="7">
        <f>Pricer!L9*EXP(-Pricer!K9*C14)</f>
        <v>0</v>
      </c>
      <c r="D9">
        <f t="shared" si="2"/>
        <v>16</v>
      </c>
      <c r="U9" s="3">
        <f>$E$25*$C$17^U$3*$C$19^(U$3-$D9)</f>
        <v>3148.5155690117886</v>
      </c>
      <c r="W9" s="3">
        <f>$E$25*$C$17^W$3*$C$19^(W$3-$D9)</f>
        <v>3148.5155690117886</v>
      </c>
      <c r="Y9" s="3">
        <f>$E$25*$C$17^Y$3*$C$19^(Y$3-$D9)</f>
        <v>3148.5155690117872</v>
      </c>
    </row>
    <row r="10" spans="2:25" x14ac:dyDescent="0.2">
      <c r="D10">
        <f t="shared" si="2"/>
        <v>15</v>
      </c>
      <c r="T10" s="3">
        <f>$E$25*$C$17^T$3*$C$19^(T$3-$D10)</f>
        <v>3139.021629824801</v>
      </c>
      <c r="V10" s="3">
        <f>$E$25*$C$17^V$3*$C$19^(V$3-$D10)</f>
        <v>3139.0216298248001</v>
      </c>
      <c r="X10" s="3">
        <f>$E$25*$C$17^X$3*$C$19^(X$3-$D10)</f>
        <v>3139.0216298248001</v>
      </c>
    </row>
    <row r="11" spans="2:25" x14ac:dyDescent="0.2">
      <c r="D11">
        <f t="shared" si="2"/>
        <v>14</v>
      </c>
      <c r="S11" s="3">
        <f>$E$25*$C$17^S$3*$C$19^(S$3-$D11)</f>
        <v>3129.5563183766026</v>
      </c>
      <c r="U11" s="3">
        <f>$E$25*$C$17^U$3*$C$19^(U$3-$D11)</f>
        <v>3129.5563183766017</v>
      </c>
      <c r="W11" s="3">
        <f>$E$25*$C$17^W$3*$C$19^(W$3-$D11)</f>
        <v>3129.5563183766012</v>
      </c>
      <c r="Y11" s="3">
        <f>$E$25*$C$17^Y$3*$C$19^(Y$3-$D11)</f>
        <v>3129.5563183766003</v>
      </c>
    </row>
    <row r="12" spans="2:25" x14ac:dyDescent="0.2">
      <c r="B12" t="s">
        <v>26</v>
      </c>
      <c r="C12" s="10">
        <f>Pricer!C19/365/20</f>
        <v>1.1259148057796959E-5</v>
      </c>
      <c r="D12">
        <f t="shared" si="2"/>
        <v>13</v>
      </c>
      <c r="R12" s="3">
        <f>$E$25*$C$17^R$3*$C$19^(R$3-$D12)</f>
        <v>3120.1195483439715</v>
      </c>
      <c r="T12" s="3">
        <f>$E$25*$C$17^T$3*$C$19^(T$3-$D12)</f>
        <v>3120.1195483439715</v>
      </c>
      <c r="V12" s="3">
        <f>$E$25*$C$17^V$3*$C$19^(V$3-$D12)</f>
        <v>3120.1195483439706</v>
      </c>
      <c r="X12" s="3">
        <f>$E$25*$C$17^X$3*$C$19^(X$3-$D12)</f>
        <v>3120.1195483439706</v>
      </c>
    </row>
    <row r="13" spans="2:25" x14ac:dyDescent="0.2">
      <c r="B13" t="s">
        <v>25</v>
      </c>
      <c r="C13" s="10"/>
      <c r="D13">
        <f t="shared" si="2"/>
        <v>12</v>
      </c>
      <c r="E13" s="1"/>
      <c r="F13" s="1"/>
      <c r="Q13" s="3">
        <f>$E$25*$C$17^Q$3*$C$19^(Q$3-$D13)</f>
        <v>3110.7112336639816</v>
      </c>
      <c r="S13" s="3">
        <f>$E$25*$C$17^S$3*$C$19^(S$3-$D13)</f>
        <v>3110.7112336639807</v>
      </c>
      <c r="U13" s="3">
        <f>$E$25*$C$17^U$3*$C$19^(U$3-$D13)</f>
        <v>3110.7112336639798</v>
      </c>
      <c r="W13" s="3">
        <f>$E$25*$C$17^W$3*$C$19^(W$3-$D13)</f>
        <v>3110.7112336639798</v>
      </c>
      <c r="Y13" s="3">
        <f>$E$25*$C$17^Y$3*$C$19^(Y$3-$D13)</f>
        <v>3110.7112336639784</v>
      </c>
    </row>
    <row r="14" spans="2:25" x14ac:dyDescent="0.2">
      <c r="B14" t="s">
        <v>20</v>
      </c>
      <c r="C14" s="10">
        <f>Pricer!G34</f>
        <v>4.0554899999999998E-2</v>
      </c>
      <c r="D14">
        <f t="shared" si="2"/>
        <v>11</v>
      </c>
      <c r="P14" s="3">
        <f>$E$25*$C$17^P$3*$C$19^(P$3-$D14)</f>
        <v>3101.331288533218</v>
      </c>
      <c r="R14" s="3">
        <f>$E$25*$C$17^R$3*$C$19^(R$3-$D14)</f>
        <v>3101.3312885332166</v>
      </c>
      <c r="T14" s="3">
        <f>$E$25*$C$17^T$3*$C$19^(T$3-$D14)</f>
        <v>3101.3312885332166</v>
      </c>
      <c r="V14" s="3">
        <f>$E$25*$C$17^V$3*$C$19^(V$3-$D14)</f>
        <v>3101.3312885332157</v>
      </c>
      <c r="X14" s="3">
        <f>$E$25*$C$17^X$3*$C$19^(X$3-$D14)</f>
        <v>3101.3312885332152</v>
      </c>
    </row>
    <row r="15" spans="2:25" x14ac:dyDescent="0.2">
      <c r="B15" t="s">
        <v>27</v>
      </c>
      <c r="C15" s="12">
        <v>0.9</v>
      </c>
      <c r="D15">
        <f t="shared" si="2"/>
        <v>10</v>
      </c>
      <c r="O15" s="3">
        <f>$E$25*$C$17^O$3*$C$19^(O$3-$D15)</f>
        <v>3091.9796274069931</v>
      </c>
      <c r="Q15" s="3">
        <f>$E$25*$C$17^Q$3*$C$19^(Q$3-$D15)</f>
        <v>3091.9796274069931</v>
      </c>
      <c r="S15" s="3">
        <f>$E$25*$C$17^S$3*$C$19^(S$3-$D15)</f>
        <v>3091.9796274069922</v>
      </c>
      <c r="U15" s="3">
        <f>$E$25*$C$17^U$3*$C$19^(U$3-$D15)</f>
        <v>3091.9796274069913</v>
      </c>
      <c r="W15" s="3">
        <f>$E$25*$C$17^W$3*$C$19^(W$3-$D15)</f>
        <v>3091.9796274069909</v>
      </c>
      <c r="Y15" s="3">
        <f>$E$25*$C$17^Y$3*$C$19^(Y$3-$D15)</f>
        <v>3091.9796274069899</v>
      </c>
    </row>
    <row r="16" spans="2:25" x14ac:dyDescent="0.2">
      <c r="B16" t="s">
        <v>21</v>
      </c>
      <c r="C16" s="10">
        <f>1+EXP((2*$C$14+$C$15^2)*$C$12)</f>
        <v>2.0000100331875061</v>
      </c>
      <c r="D16">
        <f t="shared" si="2"/>
        <v>9</v>
      </c>
      <c r="N16" s="3">
        <f>$E$25*$C$17^N$3*$C$19^(N$3-$D16)</f>
        <v>3082.6561649985729</v>
      </c>
      <c r="P16" s="3">
        <f>$E$25*$C$17^P$3*$C$19^(P$3-$D16)</f>
        <v>3082.6561649985729</v>
      </c>
      <c r="R16" s="3">
        <f>$E$25*$C$17^R$3*$C$19^(R$3-$D16)</f>
        <v>3082.6561649985715</v>
      </c>
      <c r="T16" s="3">
        <f>$E$25*$C$17^T$3*$C$19^(T$3-$D16)</f>
        <v>3082.6561649985715</v>
      </c>
      <c r="V16" s="3">
        <f>$E$25*$C$17^V$3*$C$19^(V$3-$D16)</f>
        <v>3082.6561649985701</v>
      </c>
      <c r="X16" s="3">
        <f>$E$25*$C$17^X$3*$C$19^(X$3-$D16)</f>
        <v>3082.6561649985701</v>
      </c>
    </row>
    <row r="17" spans="2:25" x14ac:dyDescent="0.2">
      <c r="B17" t="s">
        <v>25</v>
      </c>
      <c r="C17" s="16">
        <f>(C16+SQRT(C16^2-4*EXP(2*C14*C12)))/(2*EXP(C14*C12))</f>
        <v>1.003024489890985</v>
      </c>
      <c r="D17">
        <f t="shared" si="2"/>
        <v>8</v>
      </c>
      <c r="M17" s="3">
        <f>$E$25*$C$17^M$3*$C$19^(M$3-$D17)</f>
        <v>3073.3608162783894</v>
      </c>
      <c r="O17" s="3">
        <f>$E$25*$C$17^O$3*$C$19^(O$3-$D17)</f>
        <v>3073.3608162783885</v>
      </c>
      <c r="Q17" s="3">
        <f>$E$25*$C$17^Q$3*$C$19^(Q$3-$D17)</f>
        <v>3073.360816278388</v>
      </c>
      <c r="S17" s="3">
        <f>$E$25*$C$17^S$3*$C$19^(S$3-$D17)</f>
        <v>3073.3608162783876</v>
      </c>
      <c r="U17" s="3">
        <f>$E$25*$C$17^U$3*$C$19^(U$3-$D17)</f>
        <v>3073.3608162783862</v>
      </c>
      <c r="W17" s="3">
        <f>$E$25*$C$17^W$3*$C$19^(W$3-$D17)</f>
        <v>3073.3608162783862</v>
      </c>
      <c r="Y17" s="3">
        <f>$E$25*$C$17^Y$3*$C$19^(Y$3-$D17)</f>
        <v>3073.3608162783853</v>
      </c>
    </row>
    <row r="18" spans="2:25" x14ac:dyDescent="0.2">
      <c r="B18" t="s">
        <v>28</v>
      </c>
      <c r="C18" s="16">
        <f>EXP(C15*SQRT(C12))</f>
        <v>1.003024483409628</v>
      </c>
      <c r="D18">
        <f t="shared" si="2"/>
        <v>7</v>
      </c>
      <c r="L18" s="3">
        <f>$E$25*$C$17^L$3*$C$19^(L$3-$D18)</f>
        <v>3064.0934964732737</v>
      </c>
      <c r="N18" s="3">
        <f>$E$25*$C$17^N$3*$C$19^(N$3-$D18)</f>
        <v>3064.0934964732728</v>
      </c>
      <c r="P18" s="3">
        <f>$E$25*$C$17^P$3*$C$19^(P$3-$D18)</f>
        <v>3064.0934964732724</v>
      </c>
      <c r="R18" s="3">
        <f>$E$25*$C$17^R$3*$C$19^(R$3-$D18)</f>
        <v>3064.0934964732714</v>
      </c>
      <c r="T18" s="3">
        <f>$E$25*$C$17^T$3*$C$19^(T$3-$D18)</f>
        <v>3064.093496473271</v>
      </c>
      <c r="V18" s="3">
        <f>$E$25*$C$17^V$3*$C$19^(V$3-$D18)</f>
        <v>3064.0934964732701</v>
      </c>
      <c r="X18" s="3">
        <f>$E$25*$C$17^X$3*$C$19^(X$3-$D18)</f>
        <v>3064.0934964732701</v>
      </c>
    </row>
    <row r="19" spans="2:25" x14ac:dyDescent="0.2">
      <c r="B19" t="s">
        <v>29</v>
      </c>
      <c r="C19" s="10">
        <f>1/C17</f>
        <v>0.99698463006490123</v>
      </c>
      <c r="D19">
        <f t="shared" si="2"/>
        <v>6</v>
      </c>
      <c r="K19" s="3">
        <f>$E$25*$C$17^K$3*$C$19^(K$3-$D19)</f>
        <v>3054.8541210656763</v>
      </c>
      <c r="M19" s="3">
        <f>$E$25*$C$17^M$3*$C$19^(M$3-$D19)</f>
        <v>3054.8541210656758</v>
      </c>
      <c r="O19" s="3">
        <f>$E$25*$C$17^O$3*$C$19^(O$3-$D19)</f>
        <v>3054.8541210656749</v>
      </c>
      <c r="Q19" s="3">
        <f>$E$25*$C$17^Q$3*$C$19^(Q$3-$D19)</f>
        <v>3054.8541210656745</v>
      </c>
      <c r="S19" s="3">
        <f>$E$25*$C$17^S$3*$C$19^(S$3-$D19)</f>
        <v>3054.8541210656736</v>
      </c>
      <c r="U19" s="3">
        <f>$E$25*$C$17^U$3*$C$19^(U$3-$D19)</f>
        <v>3054.8541210656726</v>
      </c>
      <c r="W19" s="3">
        <f>$E$25*$C$17^W$3*$C$19^(W$3-$D19)</f>
        <v>3054.8541210656726</v>
      </c>
      <c r="Y19" s="3">
        <f>$E$25*$C$17^Y$3*$C$19^(Y$3-$D19)</f>
        <v>3054.8541210656717</v>
      </c>
    </row>
    <row r="20" spans="2:25" x14ac:dyDescent="0.2">
      <c r="B20" t="s">
        <v>30</v>
      </c>
      <c r="C20" s="10">
        <f>(EXP(C14*C12) - C19)/(C17-C19)</f>
        <v>0.49932061929687632</v>
      </c>
      <c r="D20">
        <f t="shared" si="2"/>
        <v>5</v>
      </c>
      <c r="J20" s="3">
        <f>$E$25*$C$17^J$3*$C$19^(J$3-$D20)</f>
        <v>3045.6426057929025</v>
      </c>
      <c r="L20" s="3">
        <f>$E$25*$C$17^L$3*$C$19^(L$3-$D20)</f>
        <v>3045.6426057929025</v>
      </c>
      <c r="N20" s="3">
        <f>$E$25*$C$17^N$3*$C$19^(N$3-$D20)</f>
        <v>3045.6426057929016</v>
      </c>
      <c r="P20" s="3">
        <f>$E$25*$C$17^P$3*$C$19^(P$3-$D20)</f>
        <v>3045.6426057929016</v>
      </c>
      <c r="R20" s="3">
        <f>$E$25*$C$17^R$3*$C$19^(R$3-$D20)</f>
        <v>3045.6426057928998</v>
      </c>
      <c r="T20" s="3">
        <f>$E$25*$C$17^T$3*$C$19^(T$3-$D20)</f>
        <v>3045.6426057928993</v>
      </c>
      <c r="V20" s="3">
        <f>$E$25*$C$17^V$3*$C$19^(V$3-$D20)</f>
        <v>3045.6426057928988</v>
      </c>
      <c r="X20" s="3">
        <f>$E$25*$C$17^X$3*$C$19^(X$3-$D20)</f>
        <v>3045.6426057928988</v>
      </c>
      <c r="Y20" s="3"/>
    </row>
    <row r="21" spans="2:25" x14ac:dyDescent="0.2">
      <c r="B21" t="s">
        <v>34</v>
      </c>
      <c r="C21" s="10">
        <f>IF(C22="Put",-1,1)</f>
        <v>1</v>
      </c>
      <c r="D21">
        <f t="shared" si="2"/>
        <v>4</v>
      </c>
      <c r="I21" s="3">
        <f>$E$25*$C$17^I$3*$C$19^(I$3-$D21)</f>
        <v>3036.4588666463387</v>
      </c>
      <c r="K21" s="3">
        <f>$E$25*$C$17^K$3*$C$19^(K$3-$D21)</f>
        <v>3036.4588666463383</v>
      </c>
      <c r="M21" s="3">
        <f>$E$25*$C$17^M$3*$C$19^(M$3-$D21)</f>
        <v>3036.4588666463378</v>
      </c>
      <c r="O21" s="3">
        <f>$E$25*$C$17^O$3*$C$19^(O$3-$D21)</f>
        <v>3036.4588666463369</v>
      </c>
      <c r="Q21" s="3">
        <f>$E$25*$C$17^Q$3*$C$19^(Q$3-$D21)</f>
        <v>3036.4588666463364</v>
      </c>
      <c r="S21" s="3">
        <f>$E$25*$C$17^S$3*$C$19^(S$3-$D21)</f>
        <v>3036.4588666463355</v>
      </c>
      <c r="U21" s="3">
        <f>$E$25*$C$17^U$3*$C$19^(U$3-$D21)</f>
        <v>3036.4588666463346</v>
      </c>
      <c r="W21" s="3">
        <f>$E$25*$C$17^W$3*$C$19^(W$3-$D21)</f>
        <v>3036.4588666463351</v>
      </c>
      <c r="X21" s="3"/>
      <c r="Y21" s="3">
        <f>$E$25*$C$17^Y$3*$C$19^(Y$3-$D21)</f>
        <v>3036.4588666463333</v>
      </c>
    </row>
    <row r="22" spans="2:25" x14ac:dyDescent="0.2">
      <c r="B22" t="s">
        <v>34</v>
      </c>
      <c r="C22" s="15" t="s">
        <v>18</v>
      </c>
      <c r="D22">
        <f t="shared" si="2"/>
        <v>3</v>
      </c>
      <c r="H22" s="3">
        <f>$E$25*$C$17^H$3*$C$19^(H$3-$D22)</f>
        <v>3027.3028198706897</v>
      </c>
      <c r="J22" s="3">
        <f>$E$25*$C$17^J$3*$C$19^(J$3-$D22)</f>
        <v>3027.3028198706893</v>
      </c>
      <c r="L22" s="3">
        <f>$E$25*$C$17^L$3*$C$19^(L$3-$D22)</f>
        <v>3027.3028198706888</v>
      </c>
      <c r="N22" s="3">
        <f>$E$25*$C$17^N$3*$C$19^(N$3-$D22)</f>
        <v>3027.3028198706884</v>
      </c>
      <c r="P22" s="3">
        <f>$E$25*$C$17^P$3*$C$19^(P$3-$D22)</f>
        <v>3027.3028198706879</v>
      </c>
      <c r="R22" s="3">
        <f>$E$25*$C$17^R$3*$C$19^(R$3-$D22)</f>
        <v>3027.3028198706866</v>
      </c>
      <c r="T22" s="3">
        <f>$E$25*$C$17^T$3*$C$19^(T$3-$D22)</f>
        <v>3027.3028198706861</v>
      </c>
      <c r="V22" s="3">
        <f>$E$25*$C$17^V$3*$C$19^(V$3-$D22)</f>
        <v>3027.3028198706857</v>
      </c>
      <c r="W22" s="3"/>
      <c r="X22" s="3">
        <f>$E$25*$C$17^X$3*$C$19^(X$3-$D22)</f>
        <v>3027.3028198706852</v>
      </c>
    </row>
    <row r="23" spans="2:25" x14ac:dyDescent="0.2">
      <c r="B23" t="s">
        <v>3</v>
      </c>
      <c r="C23" s="13">
        <f>Pricer!C15</f>
        <v>29</v>
      </c>
      <c r="D23">
        <f>D24+1</f>
        <v>2</v>
      </c>
      <c r="G23" s="3">
        <f>$E$25*$C$17^G$3*$C$19^(G$3-$D23)</f>
        <v>3018.174381963212</v>
      </c>
      <c r="H23" s="3"/>
      <c r="I23" s="3">
        <f>$E$25*$C$17^I$3*$C$19^(I$3-$D23)</f>
        <v>3018.1743819632115</v>
      </c>
      <c r="K23" s="3">
        <f>$E$25*$C$17^K$3*$C$19^(K$3-$D23)</f>
        <v>3018.1743819632111</v>
      </c>
      <c r="M23" s="3">
        <f>$E$25*$C$17^M$3*$C$19^(M$3-$D23)</f>
        <v>3018.1743819632106</v>
      </c>
      <c r="O23" s="3">
        <f>$E$25*$C$17^O$3*$C$19^(O$3-$D23)</f>
        <v>3018.1743819632093</v>
      </c>
      <c r="Q23" s="3">
        <f>$E$25*$C$17^Q$3*$C$19^(Q$3-$D23)</f>
        <v>3018.1743819632093</v>
      </c>
      <c r="S23" s="3">
        <f>$E$25*$C$17^S$3*$C$19^(S$3-$D23)</f>
        <v>3018.1743819632084</v>
      </c>
      <c r="U23" s="3">
        <f>$E$25*$C$17^U$3*$C$19^(U$3-$D23)</f>
        <v>3018.1743819632079</v>
      </c>
      <c r="V23" s="3"/>
      <c r="W23" s="3">
        <f>$E$25*$C$17^W$3*$C$19^(W$3-$D23)</f>
        <v>3018.174381963207</v>
      </c>
      <c r="Y23" s="3">
        <f>$E$25*$C$17^Y$3*$C$19^(Y$3-$D23)</f>
        <v>3018.1743819632061</v>
      </c>
    </row>
    <row r="24" spans="2:25" x14ac:dyDescent="0.2">
      <c r="C24" s="10"/>
      <c r="D24">
        <v>1</v>
      </c>
      <c r="F24" s="3">
        <f>$E$25*$C$17^F$3*$C$19^(F$3-$D24)</f>
        <v>3009.0734696729551</v>
      </c>
      <c r="H24" s="3">
        <f>$E$25*$C$17^H$3*$C$19^(H$3-$D24)</f>
        <v>3009.0734696729546</v>
      </c>
      <c r="I24" s="3"/>
      <c r="J24" s="3">
        <f>$E$25*$C$17^J$3*$C$19^(J$3-$D24)</f>
        <v>3009.0734696729542</v>
      </c>
      <c r="L24" s="3">
        <f>$E$25*$C$17^L$3*$C$19^(L$3-$D24)</f>
        <v>3009.0734696729542</v>
      </c>
      <c r="N24" s="3">
        <f>$E$25*$C$17^N$3*$C$19^(N$3-$D24)</f>
        <v>3009.0734696729528</v>
      </c>
      <c r="P24" s="3">
        <f>$E$25*$C$17^P$3*$C$19^(P$3-$D24)</f>
        <v>3009.0734696729528</v>
      </c>
      <c r="R24" s="3">
        <f>$E$25*$C$17^R$3*$C$19^(R$3-$D24)</f>
        <v>3009.0734696729514</v>
      </c>
      <c r="T24" s="3">
        <f>$E$25*$C$17^T$3*$C$19^(T$3-$D24)</f>
        <v>3009.0734696729514</v>
      </c>
      <c r="U24" s="3"/>
      <c r="V24" s="3">
        <f>$E$25*$C$17^V$3*$C$19^(V$3-$D24)</f>
        <v>3009.0734696729501</v>
      </c>
      <c r="X24" s="3">
        <f>$E$25*$C$17^X$3*$C$19^(X$3-$D24)</f>
        <v>3009.0734696729501</v>
      </c>
    </row>
    <row r="25" spans="2:25" x14ac:dyDescent="0.2">
      <c r="B25" t="s">
        <v>35</v>
      </c>
      <c r="C25" s="10"/>
      <c r="E25" s="8">
        <f>B9-C9</f>
        <v>3000</v>
      </c>
      <c r="G25" s="3">
        <f>$E$25*$C$17^G$3*$C$19^(G$3-$D25)</f>
        <v>2999.9999999999995</v>
      </c>
      <c r="I25" s="3">
        <f>$E$25*$C$17^I$3*$C$19^(I$3-$D25)</f>
        <v>2999.9999999999986</v>
      </c>
      <c r="K25" s="3">
        <f>$E$25*$C$17^K$3*$C$19^(K$3-$D25)</f>
        <v>2999.9999999999986</v>
      </c>
      <c r="M25" s="3">
        <f>$E$25*$C$17^M$3*$C$19^(M$3-$D25)</f>
        <v>2999.9999999999977</v>
      </c>
      <c r="O25" s="3">
        <f>$E$25*$C$17^O$3*$C$19^(O$3-$D25)</f>
        <v>2999.9999999999968</v>
      </c>
      <c r="Q25" s="3">
        <f>$E$25*$C$17^Q$3*$C$19^(Q$3-$D25)</f>
        <v>2999.9999999999968</v>
      </c>
      <c r="S25" s="3">
        <f>$E$25*$C$17^S$3*$C$19^(S$3-$D25)</f>
        <v>2999.9999999999964</v>
      </c>
      <c r="T25" s="3"/>
      <c r="U25" s="3">
        <f>$E$25*$C$17^U$3*$C$19^(U$3-$D25)</f>
        <v>2999.999999999995</v>
      </c>
      <c r="W25" s="3">
        <f>$E$25*$C$17^W$3*$C$19^(W$3-$D25)</f>
        <v>2999.999999999995</v>
      </c>
      <c r="Y25" s="3">
        <f>X24*$C$19</f>
        <v>2999.999999999995</v>
      </c>
    </row>
    <row r="26" spans="2:25" x14ac:dyDescent="0.2">
      <c r="B26" s="2">
        <v>4</v>
      </c>
      <c r="C26" s="4">
        <v>0.1</v>
      </c>
      <c r="D26">
        <v>-1</v>
      </c>
      <c r="F26" s="3">
        <f>$E$25*$C$17^F$3*$C$19^(F$3-$D26)</f>
        <v>2990.9538901947035</v>
      </c>
      <c r="H26" s="3">
        <f>$E$25*$C$17^H$3*$C$19^(H$3-$D26)</f>
        <v>2990.953890194703</v>
      </c>
      <c r="J26" s="3">
        <f>$E$25*$C$17^J$3*$C$19^(J$3-$D26)</f>
        <v>2990.9538901947026</v>
      </c>
      <c r="L26" s="3">
        <f>$E$25*$C$17^L$3*$C$19^(L$3-$D26)</f>
        <v>2990.9538901947021</v>
      </c>
      <c r="N26" s="3">
        <f>$E$25*$C$17^N$3*$C$19^(N$3-$D26)</f>
        <v>2990.9538901947012</v>
      </c>
      <c r="P26" s="3">
        <f>$E$25*$C$17^P$3*$C$19^(P$3-$D26)</f>
        <v>2990.9538901947012</v>
      </c>
      <c r="R26" s="3">
        <f>$E$25*$C$17^R$3*$C$19^(R$3-$D26)</f>
        <v>2990.9538901947003</v>
      </c>
      <c r="S26" s="3"/>
      <c r="T26" s="3">
        <f>$E$25*$C$17^T$3*$C$19^(T$3-$D26)</f>
        <v>2990.9538901946994</v>
      </c>
      <c r="V26" s="3">
        <f>$E$25*$C$17^V$3*$C$19^(V$3-$D26)</f>
        <v>2990.9538901946989</v>
      </c>
      <c r="X26" s="3">
        <f>W25*$C$19</f>
        <v>2990.9538901946985</v>
      </c>
    </row>
    <row r="27" spans="2:25" x14ac:dyDescent="0.2">
      <c r="C27" s="10"/>
      <c r="D27">
        <v>-2</v>
      </c>
      <c r="G27" s="3">
        <f>$E$25*$C$17^G$3*$C$19^(G$3-$D27)</f>
        <v>2981.9350577569435</v>
      </c>
      <c r="I27" s="3">
        <f>$E$25*$C$17^I$3*$C$19^(I$3-$D27)</f>
        <v>2981.935057756943</v>
      </c>
      <c r="K27" s="3">
        <f>$E$25*$C$17^K$3*$C$19^(K$3-$D27)</f>
        <v>2981.9350577569421</v>
      </c>
      <c r="M27" s="3">
        <f>$E$25*$C$17^M$3*$C$19^(M$3-$D27)</f>
        <v>2981.9350577569417</v>
      </c>
      <c r="O27" s="3">
        <f>$E$25*$C$17^O$3*$C$19^(O$3-$D27)</f>
        <v>2981.9350577569408</v>
      </c>
      <c r="Q27" s="3">
        <f>$E$25*$C$17^Q$3*$C$19^(Q$3-$D27)</f>
        <v>2981.9350577569408</v>
      </c>
      <c r="R27" s="3"/>
      <c r="S27" s="3">
        <f>$E$25*$C$17^S$3*$C$19^(S$3-$D27)</f>
        <v>2981.9350577569398</v>
      </c>
      <c r="U27" s="3">
        <f>$E$25*$C$17^U$3*$C$19^(U$3-$D27)</f>
        <v>2981.9350577569385</v>
      </c>
      <c r="W27" s="3">
        <f>V26*$C$19</f>
        <v>2981.9350577569389</v>
      </c>
      <c r="Y27" s="3">
        <f>X26*$C$19</f>
        <v>2981.9350577569385</v>
      </c>
    </row>
    <row r="28" spans="2:25" x14ac:dyDescent="0.2">
      <c r="B28" t="s">
        <v>36</v>
      </c>
      <c r="C28" s="10"/>
      <c r="D28">
        <v>-3</v>
      </c>
      <c r="H28" s="3">
        <f>$E$25*$C$17^H$3*$C$19^(H$3-$D28)</f>
        <v>2972.9434204353661</v>
      </c>
      <c r="J28" s="3">
        <f>$E$25*$C$17^J$3*$C$19^(J$3-$D28)</f>
        <v>2972.9434204353652</v>
      </c>
      <c r="L28" s="3">
        <f>$E$25*$C$17^L$3*$C$19^(L$3-$D28)</f>
        <v>2972.9434204353647</v>
      </c>
      <c r="N28" s="3">
        <f>$E$25*$C$17^N$3*$C$19^(N$3-$D28)</f>
        <v>2972.9434204353638</v>
      </c>
      <c r="P28" s="3">
        <f>$E$25*$C$17^P$3*$C$19^(P$3-$D28)</f>
        <v>2972.9434204353643</v>
      </c>
      <c r="Q28" s="3"/>
      <c r="R28" s="3">
        <f>$E$25*$C$17^R$3*$C$19^(R$3-$D28)</f>
        <v>2972.9434204353624</v>
      </c>
      <c r="T28" s="3">
        <f>$E$25*$C$17^T$3*$C$19^(T$3-$D28)</f>
        <v>2972.9434204353624</v>
      </c>
      <c r="V28" s="3">
        <f>U27*$C$19</f>
        <v>2972.9434204353611</v>
      </c>
      <c r="X28" s="3">
        <f>W27*$C$19</f>
        <v>2972.9434204353615</v>
      </c>
    </row>
    <row r="29" spans="2:25" x14ac:dyDescent="0.2">
      <c r="B29" s="2">
        <v>0</v>
      </c>
      <c r="C29" s="2">
        <v>0</v>
      </c>
      <c r="D29">
        <v>-4</v>
      </c>
      <c r="H29" s="3"/>
      <c r="I29" s="3">
        <f>$E$25*$C$17^I$3*$C$19^(I$3-$D29)</f>
        <v>2963.9788962266348</v>
      </c>
      <c r="K29" s="3">
        <f>$E$25*$C$17^K$3*$C$19^(K$3-$D29)</f>
        <v>2963.9788962266343</v>
      </c>
      <c r="M29" s="3">
        <f>$E$25*$C$17^M$3*$C$19^(M$3-$D29)</f>
        <v>2963.9788962266334</v>
      </c>
      <c r="O29" s="3">
        <f>$E$25*$C$17^O$3*$C$19^(O$3-$D29)</f>
        <v>2963.978896226633</v>
      </c>
      <c r="P29" s="3"/>
      <c r="Q29" s="3">
        <f>$E$25*$C$17^Q$3*$C$19^(Q$3-$D29)</f>
        <v>2963.9788962266325</v>
      </c>
      <c r="S29" s="3">
        <f>$E$25*$C$17^S$3*$C$19^(S$3-$D29)</f>
        <v>2963.9788962266321</v>
      </c>
      <c r="U29" s="3">
        <f>T28*$C$19</f>
        <v>2963.9788962266321</v>
      </c>
      <c r="W29" s="3">
        <f>V28*$C$19</f>
        <v>2963.9788962266307</v>
      </c>
      <c r="Y29" s="3">
        <f>X28*$C$19</f>
        <v>2963.9788962266312</v>
      </c>
    </row>
    <row r="30" spans="2:25" x14ac:dyDescent="0.2">
      <c r="C30" s="10"/>
      <c r="D30">
        <v>-5</v>
      </c>
      <c r="J30" s="3">
        <f>$E$25*$C$17^J$3*$C$19^(J$3-$D30)</f>
        <v>2955.0414033746852</v>
      </c>
      <c r="L30" s="3">
        <f>$E$25*$C$17^L$3*$C$19^(L$3-$D30)</f>
        <v>2955.0414033746852</v>
      </c>
      <c r="N30" s="3">
        <f>$E$25*$C$17^N$3*$C$19^(N$3-$D30)</f>
        <v>2955.0414033746847</v>
      </c>
      <c r="O30" s="3"/>
      <c r="P30" s="3">
        <f>$E$25*$C$17^P$3*$C$19^(P$3-$D30)</f>
        <v>2955.0414033746843</v>
      </c>
      <c r="R30" s="3">
        <f>$E$25*$C$17^R$3*$C$19^(R$3-$D30)</f>
        <v>2955.0414033746829</v>
      </c>
      <c r="T30" s="3">
        <f>S29*$C$19</f>
        <v>2955.0414033746829</v>
      </c>
      <c r="V30" s="3">
        <f>U29*$C$19</f>
        <v>2955.0414033746829</v>
      </c>
      <c r="X30" s="3">
        <f>W29*$C$19</f>
        <v>2955.0414033746815</v>
      </c>
    </row>
    <row r="31" spans="2:25" x14ac:dyDescent="0.2">
      <c r="B31" t="s">
        <v>37</v>
      </c>
      <c r="C31" s="14">
        <f>C12*365</f>
        <v>4.10958904109589E-3</v>
      </c>
      <c r="D31">
        <v>-6</v>
      </c>
      <c r="K31" s="3">
        <f>$E$25*$C$17^K$3*$C$19^(K$3-$D31)</f>
        <v>2946.1308603699772</v>
      </c>
      <c r="M31" s="3">
        <f>$E$25*$C$17^M$3*$C$19^(M$3-$D31)</f>
        <v>2946.1308603699767</v>
      </c>
      <c r="N31" s="3"/>
      <c r="O31" s="3">
        <f>$E$25*$C$17^O$3*$C$19^(O$3-$D31)</f>
        <v>2946.1308603699754</v>
      </c>
      <c r="Q31" s="3">
        <f>$E$25*$C$17^Q$3*$C$19^(Q$3-$D31)</f>
        <v>2946.1308603699754</v>
      </c>
      <c r="S31" s="3">
        <f>R30*$C$19</f>
        <v>2946.1308603699749</v>
      </c>
      <c r="U31" s="3">
        <f>T30*$C$19</f>
        <v>2946.1308603699749</v>
      </c>
      <c r="W31" s="3">
        <f>V30*$C$19</f>
        <v>2946.1308603699749</v>
      </c>
      <c r="Y31" s="3">
        <f>X30*$C$19</f>
        <v>2946.1308603699736</v>
      </c>
    </row>
    <row r="32" spans="2:25" x14ac:dyDescent="0.2">
      <c r="D32">
        <f>D31-1</f>
        <v>-7</v>
      </c>
      <c r="L32" s="3">
        <f>$E$25*$C$17^L$3*$C$19^(L$3-$D32)</f>
        <v>2937.2471859487514</v>
      </c>
      <c r="N32" s="3">
        <f>$E$25*$C$17^N$3*$C$19^(N$3-$D32)</f>
        <v>2937.2471859487496</v>
      </c>
      <c r="P32" s="3">
        <f>O31*$C$19</f>
        <v>2937.2471859487491</v>
      </c>
      <c r="R32" s="3">
        <f>Q31*$C$19</f>
        <v>2937.2471859487491</v>
      </c>
      <c r="T32" s="3">
        <f>S31*$C$19</f>
        <v>2937.2471859487487</v>
      </c>
      <c r="V32" s="3">
        <f>U31*$C$19</f>
        <v>2937.2471859487487</v>
      </c>
      <c r="X32" s="3">
        <f>W31*$C$19</f>
        <v>2937.2471859487487</v>
      </c>
    </row>
    <row r="33" spans="4:25" x14ac:dyDescent="0.2">
      <c r="D33">
        <f t="shared" ref="D33:D45" si="3">D32-1</f>
        <v>-8</v>
      </c>
      <c r="M33" s="3">
        <f>$E$25*$C$17^M$3*$C$19^(M$3-$D33)</f>
        <v>2928.3902990922866</v>
      </c>
      <c r="O33" s="3">
        <f>$E$25*$C$17^O$3*$C$19^(O$3-$D33)</f>
        <v>2928.3902990922857</v>
      </c>
      <c r="Q33" s="3">
        <f>P32*$C$19</f>
        <v>2928.3902990922857</v>
      </c>
      <c r="S33" s="3">
        <f>R32*$C$19</f>
        <v>2928.3902990922857</v>
      </c>
      <c r="U33" s="3">
        <f>T32*$C$19</f>
        <v>2928.3902990922852</v>
      </c>
      <c r="W33" s="3">
        <f>V32*$C$19</f>
        <v>2928.3902990922852</v>
      </c>
      <c r="Y33" s="3">
        <f>X32*$C$19</f>
        <v>2928.3902990922852</v>
      </c>
    </row>
    <row r="34" spans="4:25" x14ac:dyDescent="0.2">
      <c r="D34">
        <f t="shared" si="3"/>
        <v>-9</v>
      </c>
      <c r="N34" s="3">
        <f>$E$25*$C$17^N$3*$C$19^(N$3-$D34)</f>
        <v>2919.5601190261686</v>
      </c>
      <c r="P34" s="3">
        <f>O33*$C$19</f>
        <v>2919.5601190261677</v>
      </c>
      <c r="R34" s="3">
        <f>Q33*$C$19</f>
        <v>2919.5601190261677</v>
      </c>
      <c r="T34" s="3">
        <f>S33*$C$19</f>
        <v>2919.5601190261677</v>
      </c>
      <c r="V34" s="3">
        <f>U33*$C$19</f>
        <v>2919.5601190261673</v>
      </c>
      <c r="X34" s="3">
        <f>W33*$C$19</f>
        <v>2919.5601190261673</v>
      </c>
    </row>
    <row r="35" spans="4:25" x14ac:dyDescent="0.2">
      <c r="D35">
        <f t="shared" si="3"/>
        <v>-10</v>
      </c>
      <c r="O35" s="3">
        <f>$E$25*$C$17^O$3*$C$19^(O$3-$D35)</f>
        <v>2910.7565652195431</v>
      </c>
      <c r="Q35" s="3">
        <f>P34*$C$19</f>
        <v>2910.7565652195431</v>
      </c>
      <c r="S35" s="3">
        <f>R34*$C$19</f>
        <v>2910.7565652195431</v>
      </c>
      <c r="U35" s="3">
        <f>T34*$C$19</f>
        <v>2910.7565652195431</v>
      </c>
      <c r="W35" s="3">
        <f>V34*$C$19</f>
        <v>2910.7565652195426</v>
      </c>
      <c r="Y35" s="3">
        <f>X34*$C$19</f>
        <v>2910.7565652195426</v>
      </c>
    </row>
    <row r="36" spans="4:25" x14ac:dyDescent="0.2">
      <c r="D36">
        <f t="shared" si="3"/>
        <v>-11</v>
      </c>
      <c r="P36" s="3">
        <f>$E$25*$C$17^P$3*$C$19^(P$3-$D36)</f>
        <v>2901.9795573843894</v>
      </c>
      <c r="R36" s="3">
        <f>Q35*$C$19</f>
        <v>2901.9795573843885</v>
      </c>
      <c r="T36" s="3">
        <f>S35*$C$19</f>
        <v>2901.9795573843885</v>
      </c>
      <c r="V36" s="3">
        <f>U35*$C$19</f>
        <v>2901.9795573843885</v>
      </c>
      <c r="X36" s="3">
        <f>W35*$C$19</f>
        <v>2901.979557384388</v>
      </c>
    </row>
    <row r="37" spans="4:25" x14ac:dyDescent="0.2">
      <c r="D37">
        <f t="shared" si="3"/>
        <v>-12</v>
      </c>
      <c r="Q37" s="3">
        <f>$E$25*$C$17^Q$3*$C$19^(Q$3-$D37)</f>
        <v>2893.2290154747802</v>
      </c>
      <c r="S37" s="3">
        <f>R36*$C$19</f>
        <v>2893.2290154747802</v>
      </c>
      <c r="U37" s="3">
        <f>T36*$C$19</f>
        <v>2893.2290154747802</v>
      </c>
      <c r="W37" s="3">
        <f>V36*$C$19</f>
        <v>2893.2290154747802</v>
      </c>
      <c r="Y37" s="3">
        <f>X36*$C$19</f>
        <v>2893.2290154747798</v>
      </c>
    </row>
    <row r="38" spans="4:25" x14ac:dyDescent="0.2">
      <c r="D38">
        <f t="shared" si="3"/>
        <v>-13</v>
      </c>
      <c r="R38" s="3">
        <f>$E$25*$C$17^R$3*$C$19^(R$3-$D38)</f>
        <v>2884.5048596861611</v>
      </c>
      <c r="T38" s="3">
        <f>S37*$C$19</f>
        <v>2884.504859686162</v>
      </c>
      <c r="V38" s="3">
        <f>U37*$C$19</f>
        <v>2884.504859686162</v>
      </c>
      <c r="X38" s="3">
        <f>W37*$C$19</f>
        <v>2884.504859686162</v>
      </c>
    </row>
    <row r="39" spans="4:25" x14ac:dyDescent="0.2">
      <c r="D39">
        <f t="shared" si="3"/>
        <v>-14</v>
      </c>
      <c r="S39" s="3">
        <f>$E$25*$C$17^S$3*$C$19^(S$3-$D39)</f>
        <v>2875.8070104546173</v>
      </c>
      <c r="U39" s="3">
        <f>T38*$C$19</f>
        <v>2875.8070104546182</v>
      </c>
      <c r="W39" s="3">
        <f>V38*$C$19</f>
        <v>2875.8070104546182</v>
      </c>
      <c r="Y39" s="3">
        <f>X38*$C$19</f>
        <v>2875.8070104546182</v>
      </c>
    </row>
    <row r="40" spans="4:25" x14ac:dyDescent="0.2">
      <c r="D40">
        <f t="shared" si="3"/>
        <v>-15</v>
      </c>
      <c r="T40" s="3">
        <f>S39*$C$19</f>
        <v>2867.1353884561463</v>
      </c>
      <c r="V40" s="3">
        <f>U39*$C$19</f>
        <v>2867.1353884561472</v>
      </c>
      <c r="X40" s="3">
        <f>W39*$C$19</f>
        <v>2867.1353884561472</v>
      </c>
    </row>
    <row r="41" spans="4:25" x14ac:dyDescent="0.2">
      <c r="D41">
        <f t="shared" si="3"/>
        <v>-16</v>
      </c>
      <c r="U41" s="3">
        <f>$E$25*$C$17^U$3*$C$19^(U$3-$D41)</f>
        <v>2858.4899146059361</v>
      </c>
      <c r="W41" s="3">
        <f>V40*$C$19</f>
        <v>2858.4899146059388</v>
      </c>
      <c r="Y41" s="3">
        <f>$E$25*$C$17^Y$3*$C$19^(Y$3-$D41)</f>
        <v>2858.4899146059352</v>
      </c>
    </row>
    <row r="42" spans="4:25" x14ac:dyDescent="0.2">
      <c r="D42">
        <f t="shared" si="3"/>
        <v>-17</v>
      </c>
      <c r="V42" s="3">
        <f>$E$25*$C$17^V$3*$C$19^(V$3-$D42)</f>
        <v>2849.8705100576508</v>
      </c>
      <c r="X42" s="3">
        <f>$E$25*$C$17^X$3*$C$19^(X$3-$D42)</f>
        <v>2849.8705100576503</v>
      </c>
    </row>
    <row r="43" spans="4:25" x14ac:dyDescent="0.2">
      <c r="D43">
        <f t="shared" si="3"/>
        <v>-18</v>
      </c>
      <c r="W43" s="3">
        <f>$E$25*$C$17^W$3*$C$19^(W$3-$D43)</f>
        <v>2841.277096202698</v>
      </c>
      <c r="Y43" s="3">
        <f>$E$25*$C$17^Y$3*$C$19^(Y$3-$D43)</f>
        <v>2841.2770962026971</v>
      </c>
    </row>
    <row r="44" spans="4:25" x14ac:dyDescent="0.2">
      <c r="D44">
        <f t="shared" si="3"/>
        <v>-19</v>
      </c>
      <c r="X44" s="3">
        <f>$E$25*$C$17^X$3*$C$19^(X$3-$D44)</f>
        <v>2832.709594669524</v>
      </c>
    </row>
    <row r="45" spans="4:25" x14ac:dyDescent="0.2">
      <c r="D45">
        <f t="shared" si="3"/>
        <v>-20</v>
      </c>
      <c r="Y45" s="3">
        <f>$E$25*$C$17^Y$3*$C$19^(Y$3-$D45)</f>
        <v>2824.1679273228901</v>
      </c>
    </row>
    <row r="47" spans="4:25" x14ac:dyDescent="0.2">
      <c r="D47" t="s">
        <v>31</v>
      </c>
      <c r="E47">
        <f>Pricer!$K$9</f>
        <v>3.5616438356164383E-2</v>
      </c>
    </row>
    <row r="48" spans="4:25" x14ac:dyDescent="0.2">
      <c r="D48" t="s">
        <v>33</v>
      </c>
      <c r="E48">
        <f t="shared" ref="E48:O48" si="4">EXP(-($E$47-E4)*$C$14)</f>
        <v>0.99855662157818015</v>
      </c>
      <c r="F48">
        <f t="shared" si="4"/>
        <v>0.99855707753284162</v>
      </c>
      <c r="G48">
        <f t="shared" si="4"/>
        <v>0.99855753348771115</v>
      </c>
      <c r="H48">
        <f t="shared" si="4"/>
        <v>0.99855798944278895</v>
      </c>
      <c r="I48">
        <f t="shared" si="4"/>
        <v>0.99855844539807503</v>
      </c>
      <c r="J48">
        <f t="shared" si="4"/>
        <v>0.99855890135356917</v>
      </c>
      <c r="K48">
        <f t="shared" si="4"/>
        <v>0.99855935730927159</v>
      </c>
      <c r="L48">
        <f t="shared" si="4"/>
        <v>0.99855981326518217</v>
      </c>
      <c r="M48">
        <f t="shared" si="4"/>
        <v>0.99856026922130092</v>
      </c>
      <c r="N48">
        <f t="shared" si="4"/>
        <v>0.99856072517762795</v>
      </c>
      <c r="O48">
        <f t="shared" si="4"/>
        <v>0.99856118113416314</v>
      </c>
    </row>
    <row r="49" spans="4:26" x14ac:dyDescent="0.2">
      <c r="D49" t="s">
        <v>32</v>
      </c>
      <c r="E49">
        <f>E48*Pricer!$L$9</f>
        <v>0</v>
      </c>
      <c r="F49">
        <f>F48*Pricer!$L$9</f>
        <v>0</v>
      </c>
      <c r="G49">
        <f>G48*Pricer!$L$9</f>
        <v>0</v>
      </c>
      <c r="H49">
        <f>H48*Pricer!$L$9</f>
        <v>0</v>
      </c>
      <c r="I49">
        <f>I48*Pricer!$L$9</f>
        <v>0</v>
      </c>
      <c r="J49">
        <f>J48*Pricer!$L$9</f>
        <v>0</v>
      </c>
      <c r="K49">
        <f>K48*Pricer!$L$9</f>
        <v>0</v>
      </c>
      <c r="L49">
        <f>L48*Pricer!$L$9</f>
        <v>0</v>
      </c>
      <c r="M49">
        <f>M48*Pricer!$L$9</f>
        <v>0</v>
      </c>
      <c r="N49">
        <f>N48*Pricer!$L$9</f>
        <v>0</v>
      </c>
      <c r="O49">
        <f>O48*Pricer!$L$9</f>
        <v>0</v>
      </c>
      <c r="P49">
        <f>P48*Pricer!$L$9</f>
        <v>0</v>
      </c>
      <c r="Q49">
        <f>Q48*Pricer!$L$9</f>
        <v>0</v>
      </c>
      <c r="R49">
        <f>R48*Pricer!$L$9</f>
        <v>0</v>
      </c>
      <c r="S49">
        <f>S48*Pricer!$L$9</f>
        <v>0</v>
      </c>
      <c r="T49">
        <f>T48*Pricer!$L$9</f>
        <v>0</v>
      </c>
      <c r="U49">
        <f>U48*Pricer!$L$9</f>
        <v>0</v>
      </c>
      <c r="V49">
        <f>V48*Pricer!$L$9</f>
        <v>0</v>
      </c>
      <c r="W49">
        <f>W48*Pricer!$L$9</f>
        <v>0</v>
      </c>
      <c r="X49">
        <f>X48*Pricer!$L$9</f>
        <v>0</v>
      </c>
    </row>
    <row r="53" spans="4:26" outlineLevel="1" x14ac:dyDescent="0.2">
      <c r="E53">
        <f>E3</f>
        <v>0</v>
      </c>
      <c r="F53">
        <f t="shared" ref="F53:X53" si="5">F3</f>
        <v>1</v>
      </c>
      <c r="G53">
        <f t="shared" si="5"/>
        <v>2</v>
      </c>
      <c r="H53">
        <f t="shared" si="5"/>
        <v>3</v>
      </c>
      <c r="I53">
        <f t="shared" si="5"/>
        <v>4</v>
      </c>
      <c r="J53">
        <f t="shared" si="5"/>
        <v>5</v>
      </c>
      <c r="K53">
        <f t="shared" si="5"/>
        <v>6</v>
      </c>
      <c r="L53">
        <f t="shared" si="5"/>
        <v>7</v>
      </c>
      <c r="M53">
        <f t="shared" si="5"/>
        <v>8</v>
      </c>
      <c r="N53">
        <f t="shared" si="5"/>
        <v>9</v>
      </c>
      <c r="O53">
        <f t="shared" si="5"/>
        <v>10</v>
      </c>
      <c r="P53">
        <f t="shared" si="5"/>
        <v>11</v>
      </c>
      <c r="Q53">
        <f t="shared" si="5"/>
        <v>12</v>
      </c>
      <c r="R53">
        <f t="shared" si="5"/>
        <v>13</v>
      </c>
      <c r="S53">
        <f t="shared" si="5"/>
        <v>14</v>
      </c>
      <c r="T53">
        <f t="shared" si="5"/>
        <v>15</v>
      </c>
      <c r="U53">
        <f t="shared" si="5"/>
        <v>16</v>
      </c>
      <c r="V53">
        <f t="shared" si="5"/>
        <v>17</v>
      </c>
      <c r="W53">
        <f t="shared" si="5"/>
        <v>18</v>
      </c>
      <c r="X53">
        <f t="shared" si="5"/>
        <v>19</v>
      </c>
      <c r="Y53">
        <v>20</v>
      </c>
    </row>
    <row r="54" spans="4:26" outlineLevel="1" x14ac:dyDescent="0.2">
      <c r="D54">
        <f t="shared" ref="D54:D71" si="6">D55+1</f>
        <v>20</v>
      </c>
      <c r="E54" s="3" t="str">
        <f t="shared" ref="E54:Y54" si="7">IF(E5&lt;&gt;"",E5+E$49,"")</f>
        <v/>
      </c>
      <c r="F54" s="3" t="str">
        <f t="shared" si="7"/>
        <v/>
      </c>
      <c r="G54" s="3" t="str">
        <f t="shared" si="7"/>
        <v/>
      </c>
      <c r="H54" s="3" t="str">
        <f t="shared" si="7"/>
        <v/>
      </c>
      <c r="I54" s="3" t="str">
        <f t="shared" si="7"/>
        <v/>
      </c>
      <c r="J54" s="3" t="str">
        <f t="shared" si="7"/>
        <v/>
      </c>
      <c r="K54" s="3" t="str">
        <f t="shared" si="7"/>
        <v/>
      </c>
      <c r="L54" s="3" t="str">
        <f t="shared" si="7"/>
        <v/>
      </c>
      <c r="M54" s="3" t="str">
        <f t="shared" si="7"/>
        <v/>
      </c>
      <c r="N54" s="3" t="str">
        <f t="shared" si="7"/>
        <v/>
      </c>
      <c r="O54" s="3" t="str">
        <f t="shared" si="7"/>
        <v/>
      </c>
      <c r="P54" s="3" t="str">
        <f t="shared" si="7"/>
        <v/>
      </c>
      <c r="Q54" s="3" t="str">
        <f t="shared" si="7"/>
        <v/>
      </c>
      <c r="R54" s="3" t="str">
        <f t="shared" si="7"/>
        <v/>
      </c>
      <c r="S54" s="3" t="str">
        <f t="shared" si="7"/>
        <v/>
      </c>
      <c r="T54" s="3" t="str">
        <f t="shared" si="7"/>
        <v/>
      </c>
      <c r="U54" s="3" t="str">
        <f t="shared" si="7"/>
        <v/>
      </c>
      <c r="V54" s="3" t="str">
        <f t="shared" si="7"/>
        <v/>
      </c>
      <c r="W54" s="3" t="str">
        <f t="shared" si="7"/>
        <v/>
      </c>
      <c r="X54" s="3" t="str">
        <f t="shared" si="7"/>
        <v/>
      </c>
      <c r="Y54" s="3">
        <f t="shared" si="7"/>
        <v>3186.7793387666293</v>
      </c>
    </row>
    <row r="55" spans="4:26" outlineLevel="1" x14ac:dyDescent="0.2">
      <c r="D55">
        <f t="shared" si="6"/>
        <v>19</v>
      </c>
      <c r="E55" s="3" t="str">
        <f t="shared" ref="E55:Y55" si="8">IF(E6&lt;&gt;"",E6+E$49,"")</f>
        <v/>
      </c>
      <c r="F55" s="3" t="str">
        <f t="shared" si="8"/>
        <v/>
      </c>
      <c r="G55" s="3" t="str">
        <f t="shared" si="8"/>
        <v/>
      </c>
      <c r="H55" s="3" t="str">
        <f t="shared" si="8"/>
        <v/>
      </c>
      <c r="I55" s="3" t="str">
        <f t="shared" si="8"/>
        <v/>
      </c>
      <c r="J55" s="3" t="str">
        <f t="shared" si="8"/>
        <v/>
      </c>
      <c r="K55" s="3" t="str">
        <f t="shared" si="8"/>
        <v/>
      </c>
      <c r="L55" s="3" t="str">
        <f t="shared" si="8"/>
        <v/>
      </c>
      <c r="M55" s="3" t="str">
        <f t="shared" si="8"/>
        <v/>
      </c>
      <c r="N55" s="3" t="str">
        <f t="shared" si="8"/>
        <v/>
      </c>
      <c r="O55" s="3" t="str">
        <f t="shared" si="8"/>
        <v/>
      </c>
      <c r="P55" s="3" t="str">
        <f t="shared" si="8"/>
        <v/>
      </c>
      <c r="Q55" s="3" t="str">
        <f t="shared" si="8"/>
        <v/>
      </c>
      <c r="R55" s="3" t="str">
        <f t="shared" si="8"/>
        <v/>
      </c>
      <c r="S55" s="3" t="str">
        <f t="shared" si="8"/>
        <v/>
      </c>
      <c r="T55" s="3" t="str">
        <f t="shared" si="8"/>
        <v/>
      </c>
      <c r="U55" s="3" t="str">
        <f t="shared" si="8"/>
        <v/>
      </c>
      <c r="V55" s="3" t="str">
        <f t="shared" si="8"/>
        <v/>
      </c>
      <c r="W55" s="3" t="str">
        <f t="shared" si="8"/>
        <v/>
      </c>
      <c r="X55" s="3">
        <f t="shared" si="8"/>
        <v>3177.1700201587196</v>
      </c>
      <c r="Y55" s="3" t="str">
        <f t="shared" si="8"/>
        <v/>
      </c>
    </row>
    <row r="56" spans="4:26" outlineLevel="1" x14ac:dyDescent="0.2">
      <c r="D56">
        <f t="shared" si="6"/>
        <v>18</v>
      </c>
      <c r="E56" s="3" t="str">
        <f t="shared" ref="E56:Y56" si="9">IF(E7&lt;&gt;"",E7+E$49,"")</f>
        <v/>
      </c>
      <c r="F56" s="3" t="str">
        <f t="shared" si="9"/>
        <v/>
      </c>
      <c r="G56" s="3" t="str">
        <f t="shared" si="9"/>
        <v/>
      </c>
      <c r="H56" s="3" t="str">
        <f t="shared" si="9"/>
        <v/>
      </c>
      <c r="I56" s="3" t="str">
        <f t="shared" si="9"/>
        <v/>
      </c>
      <c r="J56" s="3" t="str">
        <f t="shared" si="9"/>
        <v/>
      </c>
      <c r="K56" s="3" t="str">
        <f t="shared" si="9"/>
        <v/>
      </c>
      <c r="L56" s="3" t="str">
        <f t="shared" si="9"/>
        <v/>
      </c>
      <c r="M56" s="3" t="str">
        <f t="shared" si="9"/>
        <v/>
      </c>
      <c r="N56" s="3" t="str">
        <f t="shared" si="9"/>
        <v/>
      </c>
      <c r="O56" s="3" t="str">
        <f t="shared" si="9"/>
        <v/>
      </c>
      <c r="P56" s="3" t="str">
        <f t="shared" si="9"/>
        <v/>
      </c>
      <c r="Q56" s="3" t="str">
        <f t="shared" si="9"/>
        <v/>
      </c>
      <c r="R56" s="3" t="str">
        <f t="shared" si="9"/>
        <v/>
      </c>
      <c r="S56" s="3" t="str">
        <f t="shared" si="9"/>
        <v/>
      </c>
      <c r="T56" s="3" t="str">
        <f t="shared" si="9"/>
        <v/>
      </c>
      <c r="U56" s="3" t="str">
        <f t="shared" si="9"/>
        <v/>
      </c>
      <c r="V56" s="3" t="str">
        <f t="shared" si="9"/>
        <v/>
      </c>
      <c r="W56" s="3">
        <f t="shared" si="9"/>
        <v>3167.5896772012356</v>
      </c>
      <c r="X56" s="3" t="str">
        <f t="shared" si="9"/>
        <v/>
      </c>
      <c r="Y56" s="3">
        <f t="shared" si="9"/>
        <v>3167.5896772012347</v>
      </c>
    </row>
    <row r="57" spans="4:26" outlineLevel="1" x14ac:dyDescent="0.2">
      <c r="D57">
        <f t="shared" si="6"/>
        <v>17</v>
      </c>
      <c r="E57" s="3" t="str">
        <f t="shared" ref="E57:Y57" si="10">IF(E8&lt;&gt;"",E8+E$49,"")</f>
        <v/>
      </c>
      <c r="F57" s="3" t="str">
        <f t="shared" si="10"/>
        <v/>
      </c>
      <c r="G57" s="3" t="str">
        <f t="shared" si="10"/>
        <v/>
      </c>
      <c r="H57" s="3" t="str">
        <f t="shared" si="10"/>
        <v/>
      </c>
      <c r="I57" s="3" t="str">
        <f t="shared" si="10"/>
        <v/>
      </c>
      <c r="J57" s="3" t="str">
        <f t="shared" si="10"/>
        <v/>
      </c>
      <c r="K57" s="3" t="str">
        <f t="shared" si="10"/>
        <v/>
      </c>
      <c r="L57" s="3" t="str">
        <f t="shared" si="10"/>
        <v/>
      </c>
      <c r="M57" s="3" t="str">
        <f t="shared" si="10"/>
        <v/>
      </c>
      <c r="N57" s="3" t="str">
        <f t="shared" si="10"/>
        <v/>
      </c>
      <c r="O57" s="3" t="str">
        <f t="shared" si="10"/>
        <v/>
      </c>
      <c r="P57" s="3" t="str">
        <f t="shared" si="10"/>
        <v/>
      </c>
      <c r="Q57" s="3" t="str">
        <f t="shared" si="10"/>
        <v/>
      </c>
      <c r="R57" s="3" t="str">
        <f t="shared" si="10"/>
        <v/>
      </c>
      <c r="S57" s="3" t="str">
        <f t="shared" si="10"/>
        <v/>
      </c>
      <c r="T57" s="3" t="str">
        <f t="shared" si="10"/>
        <v/>
      </c>
      <c r="U57" s="3" t="str">
        <f t="shared" si="10"/>
        <v/>
      </c>
      <c r="V57" s="3">
        <f t="shared" si="10"/>
        <v>3158.0382225218741</v>
      </c>
      <c r="W57" s="3" t="str">
        <f t="shared" si="10"/>
        <v/>
      </c>
      <c r="X57" s="3">
        <f t="shared" si="10"/>
        <v>3158.0382225218741</v>
      </c>
      <c r="Y57" s="3" t="str">
        <f t="shared" si="10"/>
        <v/>
      </c>
    </row>
    <row r="58" spans="4:26" outlineLevel="1" x14ac:dyDescent="0.2">
      <c r="D58">
        <f t="shared" si="6"/>
        <v>16</v>
      </c>
      <c r="E58" s="3" t="str">
        <f t="shared" ref="E58:Y58" si="11">IF(E9&lt;&gt;"",E9+E$49,"")</f>
        <v/>
      </c>
      <c r="F58" s="3" t="str">
        <f t="shared" si="11"/>
        <v/>
      </c>
      <c r="G58" s="3" t="str">
        <f t="shared" si="11"/>
        <v/>
      </c>
      <c r="H58" s="3" t="str">
        <f t="shared" si="11"/>
        <v/>
      </c>
      <c r="I58" s="3" t="str">
        <f t="shared" si="11"/>
        <v/>
      </c>
      <c r="J58" s="3" t="str">
        <f t="shared" si="11"/>
        <v/>
      </c>
      <c r="K58" s="3" t="str">
        <f t="shared" si="11"/>
        <v/>
      </c>
      <c r="L58" s="3" t="str">
        <f t="shared" si="11"/>
        <v/>
      </c>
      <c r="M58" s="3" t="str">
        <f t="shared" si="11"/>
        <v/>
      </c>
      <c r="N58" s="3" t="str">
        <f t="shared" si="11"/>
        <v/>
      </c>
      <c r="O58" s="3" t="str">
        <f t="shared" si="11"/>
        <v/>
      </c>
      <c r="P58" s="3" t="str">
        <f t="shared" si="11"/>
        <v/>
      </c>
      <c r="Q58" s="3" t="str">
        <f t="shared" si="11"/>
        <v/>
      </c>
      <c r="R58" s="3" t="str">
        <f t="shared" si="11"/>
        <v/>
      </c>
      <c r="S58" s="3" t="str">
        <f t="shared" si="11"/>
        <v/>
      </c>
      <c r="T58" s="3" t="str">
        <f t="shared" si="11"/>
        <v/>
      </c>
      <c r="U58" s="3">
        <f t="shared" si="11"/>
        <v>3148.5155690117886</v>
      </c>
      <c r="V58" s="3" t="str">
        <f t="shared" si="11"/>
        <v/>
      </c>
      <c r="W58" s="3">
        <f t="shared" si="11"/>
        <v>3148.5155690117886</v>
      </c>
      <c r="X58" s="3" t="str">
        <f t="shared" si="11"/>
        <v/>
      </c>
      <c r="Y58" s="3">
        <f t="shared" si="11"/>
        <v>3148.5155690117872</v>
      </c>
    </row>
    <row r="59" spans="4:26" outlineLevel="1" x14ac:dyDescent="0.2">
      <c r="D59">
        <f t="shared" si="6"/>
        <v>15</v>
      </c>
      <c r="E59" s="3" t="str">
        <f t="shared" ref="E59:Y59" si="12">IF(E10&lt;&gt;"",E10+E$49,"")</f>
        <v/>
      </c>
      <c r="F59" s="3" t="str">
        <f t="shared" si="12"/>
        <v/>
      </c>
      <c r="G59" s="3" t="str">
        <f t="shared" si="12"/>
        <v/>
      </c>
      <c r="H59" s="3" t="str">
        <f t="shared" si="12"/>
        <v/>
      </c>
      <c r="I59" s="3" t="str">
        <f t="shared" si="12"/>
        <v/>
      </c>
      <c r="J59" s="3" t="str">
        <f t="shared" si="12"/>
        <v/>
      </c>
      <c r="K59" s="3" t="str">
        <f t="shared" si="12"/>
        <v/>
      </c>
      <c r="L59" s="3" t="str">
        <f t="shared" si="12"/>
        <v/>
      </c>
      <c r="M59" s="3" t="str">
        <f t="shared" si="12"/>
        <v/>
      </c>
      <c r="N59" s="3" t="str">
        <f t="shared" si="12"/>
        <v/>
      </c>
      <c r="O59" s="3" t="str">
        <f t="shared" si="12"/>
        <v/>
      </c>
      <c r="P59" s="3" t="str">
        <f t="shared" si="12"/>
        <v/>
      </c>
      <c r="Q59" s="3" t="str">
        <f t="shared" si="12"/>
        <v/>
      </c>
      <c r="R59" s="3" t="str">
        <f t="shared" si="12"/>
        <v/>
      </c>
      <c r="S59" s="3" t="str">
        <f t="shared" si="12"/>
        <v/>
      </c>
      <c r="T59" s="3">
        <f t="shared" si="12"/>
        <v>3139.021629824801</v>
      </c>
      <c r="U59" s="3" t="str">
        <f t="shared" si="12"/>
        <v/>
      </c>
      <c r="V59" s="3">
        <f t="shared" si="12"/>
        <v>3139.0216298248001</v>
      </c>
      <c r="W59" s="3" t="str">
        <f t="shared" si="12"/>
        <v/>
      </c>
      <c r="X59" s="3">
        <f t="shared" si="12"/>
        <v>3139.0216298248001</v>
      </c>
      <c r="Y59" s="3" t="str">
        <f t="shared" si="12"/>
        <v/>
      </c>
    </row>
    <row r="60" spans="4:26" outlineLevel="1" x14ac:dyDescent="0.2">
      <c r="D60">
        <f t="shared" si="6"/>
        <v>14</v>
      </c>
      <c r="E60" s="3" t="str">
        <f t="shared" ref="E60:Y60" si="13">IF(E11&lt;&gt;"",E11+E$49,"")</f>
        <v/>
      </c>
      <c r="F60" s="3" t="str">
        <f t="shared" si="13"/>
        <v/>
      </c>
      <c r="G60" s="3" t="str">
        <f t="shared" si="13"/>
        <v/>
      </c>
      <c r="H60" s="3" t="str">
        <f t="shared" si="13"/>
        <v/>
      </c>
      <c r="I60" s="3" t="str">
        <f t="shared" si="13"/>
        <v/>
      </c>
      <c r="J60" s="3" t="str">
        <f t="shared" si="13"/>
        <v/>
      </c>
      <c r="K60" s="3" t="str">
        <f t="shared" si="13"/>
        <v/>
      </c>
      <c r="L60" s="3" t="str">
        <f t="shared" si="13"/>
        <v/>
      </c>
      <c r="M60" s="3" t="str">
        <f t="shared" si="13"/>
        <v/>
      </c>
      <c r="N60" s="3" t="str">
        <f t="shared" si="13"/>
        <v/>
      </c>
      <c r="O60" s="3" t="str">
        <f t="shared" si="13"/>
        <v/>
      </c>
      <c r="P60" s="3" t="str">
        <f t="shared" si="13"/>
        <v/>
      </c>
      <c r="Q60" s="3" t="str">
        <f t="shared" si="13"/>
        <v/>
      </c>
      <c r="R60" s="3" t="str">
        <f t="shared" si="13"/>
        <v/>
      </c>
      <c r="S60" s="3">
        <f t="shared" si="13"/>
        <v>3129.5563183766026</v>
      </c>
      <c r="T60" s="3" t="str">
        <f t="shared" si="13"/>
        <v/>
      </c>
      <c r="U60" s="3">
        <f t="shared" si="13"/>
        <v>3129.5563183766017</v>
      </c>
      <c r="V60" s="3" t="str">
        <f t="shared" si="13"/>
        <v/>
      </c>
      <c r="W60" s="3">
        <f t="shared" si="13"/>
        <v>3129.5563183766012</v>
      </c>
      <c r="X60" s="3" t="str">
        <f t="shared" si="13"/>
        <v/>
      </c>
      <c r="Y60" s="3">
        <f t="shared" si="13"/>
        <v>3129.5563183766003</v>
      </c>
    </row>
    <row r="61" spans="4:26" outlineLevel="1" x14ac:dyDescent="0.2">
      <c r="D61">
        <f t="shared" si="6"/>
        <v>13</v>
      </c>
      <c r="E61" s="3" t="str">
        <f t="shared" ref="E61:Y61" si="14">IF(E12&lt;&gt;"",E12+E$49,"")</f>
        <v/>
      </c>
      <c r="F61" s="3" t="str">
        <f t="shared" si="14"/>
        <v/>
      </c>
      <c r="G61" s="3" t="str">
        <f t="shared" si="14"/>
        <v/>
      </c>
      <c r="H61" s="3" t="str">
        <f t="shared" si="14"/>
        <v/>
      </c>
      <c r="I61" s="3" t="str">
        <f t="shared" si="14"/>
        <v/>
      </c>
      <c r="J61" s="3" t="str">
        <f t="shared" si="14"/>
        <v/>
      </c>
      <c r="K61" s="3" t="str">
        <f t="shared" si="14"/>
        <v/>
      </c>
      <c r="L61" s="3" t="str">
        <f t="shared" si="14"/>
        <v/>
      </c>
      <c r="M61" s="3" t="str">
        <f t="shared" si="14"/>
        <v/>
      </c>
      <c r="N61" s="3" t="str">
        <f t="shared" si="14"/>
        <v/>
      </c>
      <c r="O61" s="3" t="str">
        <f t="shared" si="14"/>
        <v/>
      </c>
      <c r="P61" s="3" t="str">
        <f t="shared" si="14"/>
        <v/>
      </c>
      <c r="Q61" s="3" t="str">
        <f t="shared" si="14"/>
        <v/>
      </c>
      <c r="R61" s="3">
        <f t="shared" si="14"/>
        <v>3120.1195483439715</v>
      </c>
      <c r="S61" s="3" t="str">
        <f t="shared" si="14"/>
        <v/>
      </c>
      <c r="T61" s="3">
        <f t="shared" si="14"/>
        <v>3120.1195483439715</v>
      </c>
      <c r="U61" s="3" t="str">
        <f t="shared" si="14"/>
        <v/>
      </c>
      <c r="V61" s="3">
        <f t="shared" si="14"/>
        <v>3120.1195483439706</v>
      </c>
      <c r="W61" s="3" t="str">
        <f t="shared" si="14"/>
        <v/>
      </c>
      <c r="X61" s="3">
        <f t="shared" si="14"/>
        <v>3120.1195483439706</v>
      </c>
      <c r="Y61" s="3" t="str">
        <f t="shared" si="14"/>
        <v/>
      </c>
      <c r="Z61" s="3"/>
    </row>
    <row r="62" spans="4:26" outlineLevel="1" x14ac:dyDescent="0.2">
      <c r="D62">
        <f t="shared" si="6"/>
        <v>12</v>
      </c>
      <c r="E62" s="3" t="str">
        <f t="shared" ref="E62:Y62" si="15">IF(E13&lt;&gt;"",E13+E$49,"")</f>
        <v/>
      </c>
      <c r="F62" s="3" t="str">
        <f t="shared" si="15"/>
        <v/>
      </c>
      <c r="G62" s="3" t="str">
        <f t="shared" si="15"/>
        <v/>
      </c>
      <c r="H62" s="3" t="str">
        <f t="shared" si="15"/>
        <v/>
      </c>
      <c r="I62" s="3" t="str">
        <f t="shared" si="15"/>
        <v/>
      </c>
      <c r="J62" s="3" t="str">
        <f t="shared" si="15"/>
        <v/>
      </c>
      <c r="K62" s="3" t="str">
        <f t="shared" si="15"/>
        <v/>
      </c>
      <c r="L62" s="3" t="str">
        <f t="shared" si="15"/>
        <v/>
      </c>
      <c r="M62" s="3" t="str">
        <f t="shared" si="15"/>
        <v/>
      </c>
      <c r="N62" s="3" t="str">
        <f t="shared" si="15"/>
        <v/>
      </c>
      <c r="O62" s="3" t="str">
        <f t="shared" si="15"/>
        <v/>
      </c>
      <c r="P62" s="3" t="str">
        <f t="shared" si="15"/>
        <v/>
      </c>
      <c r="Q62" s="3">
        <f t="shared" si="15"/>
        <v>3110.7112336639816</v>
      </c>
      <c r="R62" s="3" t="str">
        <f t="shared" si="15"/>
        <v/>
      </c>
      <c r="S62" s="3">
        <f t="shared" si="15"/>
        <v>3110.7112336639807</v>
      </c>
      <c r="T62" s="3" t="str">
        <f t="shared" si="15"/>
        <v/>
      </c>
      <c r="U62" s="3">
        <f t="shared" si="15"/>
        <v>3110.7112336639798</v>
      </c>
      <c r="V62" s="3" t="str">
        <f t="shared" si="15"/>
        <v/>
      </c>
      <c r="W62" s="3">
        <f t="shared" si="15"/>
        <v>3110.7112336639798</v>
      </c>
      <c r="X62" s="3" t="str">
        <f t="shared" si="15"/>
        <v/>
      </c>
      <c r="Y62" s="3">
        <f t="shared" si="15"/>
        <v>3110.7112336639784</v>
      </c>
    </row>
    <row r="63" spans="4:26" outlineLevel="1" x14ac:dyDescent="0.2">
      <c r="D63">
        <f t="shared" si="6"/>
        <v>11</v>
      </c>
      <c r="E63" s="3" t="str">
        <f t="shared" ref="E63:Y63" si="16">IF(E14&lt;&gt;"",E14+E$49,"")</f>
        <v/>
      </c>
      <c r="F63" s="3" t="str">
        <f t="shared" si="16"/>
        <v/>
      </c>
      <c r="G63" s="3" t="str">
        <f t="shared" si="16"/>
        <v/>
      </c>
      <c r="H63" s="3" t="str">
        <f t="shared" si="16"/>
        <v/>
      </c>
      <c r="I63" s="3" t="str">
        <f t="shared" si="16"/>
        <v/>
      </c>
      <c r="J63" s="3" t="str">
        <f t="shared" si="16"/>
        <v/>
      </c>
      <c r="K63" s="3" t="str">
        <f t="shared" si="16"/>
        <v/>
      </c>
      <c r="L63" s="3" t="str">
        <f t="shared" si="16"/>
        <v/>
      </c>
      <c r="M63" s="3" t="str">
        <f t="shared" si="16"/>
        <v/>
      </c>
      <c r="N63" s="3" t="str">
        <f t="shared" si="16"/>
        <v/>
      </c>
      <c r="O63" s="3" t="str">
        <f t="shared" si="16"/>
        <v/>
      </c>
      <c r="P63" s="3">
        <f t="shared" si="16"/>
        <v>3101.331288533218</v>
      </c>
      <c r="Q63" s="3" t="str">
        <f t="shared" si="16"/>
        <v/>
      </c>
      <c r="R63" s="3">
        <f t="shared" si="16"/>
        <v>3101.3312885332166</v>
      </c>
      <c r="S63" s="3" t="str">
        <f t="shared" si="16"/>
        <v/>
      </c>
      <c r="T63" s="3">
        <f t="shared" si="16"/>
        <v>3101.3312885332166</v>
      </c>
      <c r="U63" s="3" t="str">
        <f t="shared" si="16"/>
        <v/>
      </c>
      <c r="V63" s="3">
        <f t="shared" si="16"/>
        <v>3101.3312885332157</v>
      </c>
      <c r="W63" s="3" t="str">
        <f t="shared" si="16"/>
        <v/>
      </c>
      <c r="X63" s="3">
        <f t="shared" si="16"/>
        <v>3101.3312885332152</v>
      </c>
      <c r="Y63" s="3" t="str">
        <f t="shared" si="16"/>
        <v/>
      </c>
      <c r="Z63" s="3"/>
    </row>
    <row r="64" spans="4:26" outlineLevel="1" x14ac:dyDescent="0.2">
      <c r="D64">
        <f t="shared" si="6"/>
        <v>10</v>
      </c>
      <c r="E64" s="3" t="str">
        <f t="shared" ref="E64:Y64" si="17">IF(E15&lt;&gt;"",E15+E$49,"")</f>
        <v/>
      </c>
      <c r="F64" s="3" t="str">
        <f t="shared" si="17"/>
        <v/>
      </c>
      <c r="G64" s="3" t="str">
        <f t="shared" si="17"/>
        <v/>
      </c>
      <c r="H64" s="3" t="str">
        <f t="shared" si="17"/>
        <v/>
      </c>
      <c r="I64" s="3" t="str">
        <f t="shared" si="17"/>
        <v/>
      </c>
      <c r="J64" s="3" t="str">
        <f t="shared" si="17"/>
        <v/>
      </c>
      <c r="K64" s="3" t="str">
        <f t="shared" si="17"/>
        <v/>
      </c>
      <c r="L64" s="3" t="str">
        <f t="shared" si="17"/>
        <v/>
      </c>
      <c r="M64" s="3" t="str">
        <f t="shared" si="17"/>
        <v/>
      </c>
      <c r="N64" s="3" t="str">
        <f t="shared" si="17"/>
        <v/>
      </c>
      <c r="O64" s="3">
        <f t="shared" si="17"/>
        <v>3091.9796274069931</v>
      </c>
      <c r="P64" s="3" t="str">
        <f t="shared" si="17"/>
        <v/>
      </c>
      <c r="Q64" s="3">
        <f t="shared" si="17"/>
        <v>3091.9796274069931</v>
      </c>
      <c r="R64" s="3" t="str">
        <f t="shared" si="17"/>
        <v/>
      </c>
      <c r="S64" s="3">
        <f t="shared" si="17"/>
        <v>3091.9796274069922</v>
      </c>
      <c r="T64" s="3" t="str">
        <f t="shared" si="17"/>
        <v/>
      </c>
      <c r="U64" s="3">
        <f t="shared" si="17"/>
        <v>3091.9796274069913</v>
      </c>
      <c r="V64" s="3" t="str">
        <f t="shared" si="17"/>
        <v/>
      </c>
      <c r="W64" s="3">
        <f t="shared" si="17"/>
        <v>3091.9796274069909</v>
      </c>
      <c r="X64" s="3" t="str">
        <f t="shared" si="17"/>
        <v/>
      </c>
      <c r="Y64" s="3">
        <f t="shared" si="17"/>
        <v>3091.9796274069899</v>
      </c>
    </row>
    <row r="65" spans="4:26" outlineLevel="1" x14ac:dyDescent="0.2">
      <c r="D65">
        <f t="shared" si="6"/>
        <v>9</v>
      </c>
      <c r="E65" s="3" t="str">
        <f t="shared" ref="E65:Y65" si="18">IF(E16&lt;&gt;"",E16+E$49,"")</f>
        <v/>
      </c>
      <c r="F65" s="3" t="str">
        <f t="shared" si="18"/>
        <v/>
      </c>
      <c r="G65" s="3" t="str">
        <f t="shared" si="18"/>
        <v/>
      </c>
      <c r="H65" s="3" t="str">
        <f t="shared" si="18"/>
        <v/>
      </c>
      <c r="I65" s="3" t="str">
        <f t="shared" si="18"/>
        <v/>
      </c>
      <c r="J65" s="3" t="str">
        <f t="shared" si="18"/>
        <v/>
      </c>
      <c r="K65" s="3" t="str">
        <f t="shared" si="18"/>
        <v/>
      </c>
      <c r="L65" s="3" t="str">
        <f t="shared" si="18"/>
        <v/>
      </c>
      <c r="M65" s="3" t="str">
        <f t="shared" si="18"/>
        <v/>
      </c>
      <c r="N65" s="3">
        <f t="shared" si="18"/>
        <v>3082.6561649985729</v>
      </c>
      <c r="O65" s="3" t="str">
        <f t="shared" si="18"/>
        <v/>
      </c>
      <c r="P65" s="3">
        <f t="shared" si="18"/>
        <v>3082.6561649985729</v>
      </c>
      <c r="Q65" s="3" t="str">
        <f t="shared" si="18"/>
        <v/>
      </c>
      <c r="R65" s="3">
        <f t="shared" si="18"/>
        <v>3082.6561649985715</v>
      </c>
      <c r="S65" s="3" t="str">
        <f t="shared" si="18"/>
        <v/>
      </c>
      <c r="T65" s="3">
        <f t="shared" si="18"/>
        <v>3082.6561649985715</v>
      </c>
      <c r="U65" s="3" t="str">
        <f t="shared" si="18"/>
        <v/>
      </c>
      <c r="V65" s="3">
        <f t="shared" si="18"/>
        <v>3082.6561649985701</v>
      </c>
      <c r="W65" s="3" t="str">
        <f t="shared" si="18"/>
        <v/>
      </c>
      <c r="X65" s="3">
        <f t="shared" si="18"/>
        <v>3082.6561649985701</v>
      </c>
      <c r="Y65" s="3" t="str">
        <f t="shared" si="18"/>
        <v/>
      </c>
      <c r="Z65" s="3"/>
    </row>
    <row r="66" spans="4:26" outlineLevel="1" x14ac:dyDescent="0.2">
      <c r="D66">
        <f t="shared" si="6"/>
        <v>8</v>
      </c>
      <c r="E66" s="3" t="str">
        <f t="shared" ref="E66:Y66" si="19">IF(E17&lt;&gt;"",E17+E$49,"")</f>
        <v/>
      </c>
      <c r="F66" s="3" t="str">
        <f t="shared" si="19"/>
        <v/>
      </c>
      <c r="G66" s="3" t="str">
        <f t="shared" si="19"/>
        <v/>
      </c>
      <c r="H66" s="3" t="str">
        <f t="shared" si="19"/>
        <v/>
      </c>
      <c r="I66" s="3" t="str">
        <f t="shared" si="19"/>
        <v/>
      </c>
      <c r="J66" s="3" t="str">
        <f t="shared" si="19"/>
        <v/>
      </c>
      <c r="K66" s="3" t="str">
        <f t="shared" si="19"/>
        <v/>
      </c>
      <c r="L66" s="3" t="str">
        <f t="shared" si="19"/>
        <v/>
      </c>
      <c r="M66" s="3">
        <f t="shared" si="19"/>
        <v>3073.3608162783894</v>
      </c>
      <c r="N66" s="3" t="str">
        <f t="shared" si="19"/>
        <v/>
      </c>
      <c r="O66" s="3">
        <f t="shared" si="19"/>
        <v>3073.3608162783885</v>
      </c>
      <c r="P66" s="3" t="str">
        <f t="shared" si="19"/>
        <v/>
      </c>
      <c r="Q66" s="3">
        <f t="shared" si="19"/>
        <v>3073.360816278388</v>
      </c>
      <c r="R66" s="3" t="str">
        <f t="shared" si="19"/>
        <v/>
      </c>
      <c r="S66" s="3">
        <f t="shared" si="19"/>
        <v>3073.3608162783876</v>
      </c>
      <c r="T66" s="3" t="str">
        <f t="shared" si="19"/>
        <v/>
      </c>
      <c r="U66" s="3">
        <f t="shared" si="19"/>
        <v>3073.3608162783862</v>
      </c>
      <c r="V66" s="3" t="str">
        <f t="shared" si="19"/>
        <v/>
      </c>
      <c r="W66" s="3">
        <f t="shared" si="19"/>
        <v>3073.3608162783862</v>
      </c>
      <c r="X66" s="3" t="str">
        <f t="shared" si="19"/>
        <v/>
      </c>
      <c r="Y66" s="3">
        <f t="shared" si="19"/>
        <v>3073.3608162783853</v>
      </c>
      <c r="Z66" s="3"/>
    </row>
    <row r="67" spans="4:26" outlineLevel="1" x14ac:dyDescent="0.2">
      <c r="D67">
        <f t="shared" si="6"/>
        <v>7</v>
      </c>
      <c r="E67" s="3" t="str">
        <f t="shared" ref="E67:Y67" si="20">IF(E18&lt;&gt;"",E18+E$49,"")</f>
        <v/>
      </c>
      <c r="F67" s="3" t="str">
        <f t="shared" si="20"/>
        <v/>
      </c>
      <c r="G67" s="3" t="str">
        <f t="shared" si="20"/>
        <v/>
      </c>
      <c r="H67" s="3" t="str">
        <f t="shared" si="20"/>
        <v/>
      </c>
      <c r="I67" s="3" t="str">
        <f t="shared" si="20"/>
        <v/>
      </c>
      <c r="J67" s="3" t="str">
        <f t="shared" si="20"/>
        <v/>
      </c>
      <c r="K67" s="3" t="str">
        <f t="shared" si="20"/>
        <v/>
      </c>
      <c r="L67" s="3">
        <f t="shared" si="20"/>
        <v>3064.0934964732737</v>
      </c>
      <c r="M67" s="3" t="str">
        <f t="shared" si="20"/>
        <v/>
      </c>
      <c r="N67" s="3">
        <f t="shared" si="20"/>
        <v>3064.0934964732728</v>
      </c>
      <c r="O67" s="3" t="str">
        <f t="shared" si="20"/>
        <v/>
      </c>
      <c r="P67" s="3">
        <f t="shared" si="20"/>
        <v>3064.0934964732724</v>
      </c>
      <c r="Q67" s="3" t="str">
        <f t="shared" si="20"/>
        <v/>
      </c>
      <c r="R67" s="3">
        <f t="shared" si="20"/>
        <v>3064.0934964732714</v>
      </c>
      <c r="S67" s="3" t="str">
        <f t="shared" si="20"/>
        <v/>
      </c>
      <c r="T67" s="3">
        <f t="shared" si="20"/>
        <v>3064.093496473271</v>
      </c>
      <c r="U67" s="3" t="str">
        <f t="shared" si="20"/>
        <v/>
      </c>
      <c r="V67" s="3">
        <f t="shared" si="20"/>
        <v>3064.0934964732701</v>
      </c>
      <c r="W67" s="3" t="str">
        <f t="shared" si="20"/>
        <v/>
      </c>
      <c r="X67" s="9">
        <f t="shared" si="20"/>
        <v>3064.0934964732701</v>
      </c>
      <c r="Y67" s="3" t="str">
        <f t="shared" si="20"/>
        <v/>
      </c>
      <c r="Z67" s="3"/>
    </row>
    <row r="68" spans="4:26" outlineLevel="1" x14ac:dyDescent="0.2">
      <c r="D68">
        <f t="shared" si="6"/>
        <v>6</v>
      </c>
      <c r="E68" s="3" t="str">
        <f t="shared" ref="E68:Y68" si="21">IF(E19&lt;&gt;"",E19+E$49,"")</f>
        <v/>
      </c>
      <c r="F68" s="3" t="str">
        <f t="shared" si="21"/>
        <v/>
      </c>
      <c r="G68" s="3" t="str">
        <f t="shared" si="21"/>
        <v/>
      </c>
      <c r="H68" s="3" t="str">
        <f t="shared" si="21"/>
        <v/>
      </c>
      <c r="I68" s="3" t="str">
        <f t="shared" si="21"/>
        <v/>
      </c>
      <c r="J68" s="3" t="str">
        <f t="shared" si="21"/>
        <v/>
      </c>
      <c r="K68" s="3">
        <f t="shared" si="21"/>
        <v>3054.8541210656763</v>
      </c>
      <c r="L68" s="3" t="str">
        <f t="shared" si="21"/>
        <v/>
      </c>
      <c r="M68" s="3">
        <f t="shared" si="21"/>
        <v>3054.8541210656758</v>
      </c>
      <c r="N68" s="3" t="str">
        <f t="shared" si="21"/>
        <v/>
      </c>
      <c r="O68" s="3">
        <f t="shared" si="21"/>
        <v>3054.8541210656749</v>
      </c>
      <c r="P68" s="3" t="str">
        <f t="shared" si="21"/>
        <v/>
      </c>
      <c r="Q68" s="3">
        <f t="shared" si="21"/>
        <v>3054.8541210656745</v>
      </c>
      <c r="R68" s="3" t="str">
        <f t="shared" si="21"/>
        <v/>
      </c>
      <c r="S68" s="3">
        <f t="shared" si="21"/>
        <v>3054.8541210656736</v>
      </c>
      <c r="T68" s="3" t="str">
        <f t="shared" si="21"/>
        <v/>
      </c>
      <c r="U68" s="3">
        <f t="shared" si="21"/>
        <v>3054.8541210656726</v>
      </c>
      <c r="V68" s="3" t="str">
        <f t="shared" si="21"/>
        <v/>
      </c>
      <c r="W68" s="3">
        <f t="shared" si="21"/>
        <v>3054.8541210656726</v>
      </c>
      <c r="X68" s="9" t="str">
        <f t="shared" si="21"/>
        <v/>
      </c>
      <c r="Y68" s="3">
        <f t="shared" si="21"/>
        <v>3054.8541210656717</v>
      </c>
      <c r="Z68" s="3"/>
    </row>
    <row r="69" spans="4:26" outlineLevel="1" x14ac:dyDescent="0.2">
      <c r="D69">
        <f t="shared" si="6"/>
        <v>5</v>
      </c>
      <c r="E69" s="3" t="str">
        <f t="shared" ref="E69:Y69" si="22">IF(E20&lt;&gt;"",E20+E$49,"")</f>
        <v/>
      </c>
      <c r="F69" s="3" t="str">
        <f t="shared" si="22"/>
        <v/>
      </c>
      <c r="G69" s="3" t="str">
        <f t="shared" si="22"/>
        <v/>
      </c>
      <c r="H69" s="3" t="str">
        <f t="shared" si="22"/>
        <v/>
      </c>
      <c r="I69" s="3" t="str">
        <f t="shared" si="22"/>
        <v/>
      </c>
      <c r="J69" s="3">
        <f t="shared" si="22"/>
        <v>3045.6426057929025</v>
      </c>
      <c r="K69" s="3" t="str">
        <f t="shared" si="22"/>
        <v/>
      </c>
      <c r="L69" s="3">
        <f t="shared" si="22"/>
        <v>3045.6426057929025</v>
      </c>
      <c r="M69" s="3" t="str">
        <f t="shared" si="22"/>
        <v/>
      </c>
      <c r="N69" s="3">
        <f t="shared" si="22"/>
        <v>3045.6426057929016</v>
      </c>
      <c r="O69" s="3" t="str">
        <f t="shared" si="22"/>
        <v/>
      </c>
      <c r="P69" s="3">
        <f t="shared" si="22"/>
        <v>3045.6426057929016</v>
      </c>
      <c r="Q69" s="3" t="str">
        <f t="shared" si="22"/>
        <v/>
      </c>
      <c r="R69" s="3">
        <f t="shared" si="22"/>
        <v>3045.6426057928998</v>
      </c>
      <c r="S69" s="3" t="str">
        <f t="shared" si="22"/>
        <v/>
      </c>
      <c r="T69" s="3">
        <f t="shared" si="22"/>
        <v>3045.6426057928993</v>
      </c>
      <c r="U69" s="3" t="str">
        <f t="shared" si="22"/>
        <v/>
      </c>
      <c r="V69" s="3">
        <f t="shared" si="22"/>
        <v>3045.6426057928988</v>
      </c>
      <c r="W69" s="3" t="str">
        <f t="shared" si="22"/>
        <v/>
      </c>
      <c r="X69" s="9">
        <f t="shared" si="22"/>
        <v>3045.6426057928988</v>
      </c>
      <c r="Y69" s="3" t="str">
        <f t="shared" si="22"/>
        <v/>
      </c>
      <c r="Z69" s="3"/>
    </row>
    <row r="70" spans="4:26" outlineLevel="1" x14ac:dyDescent="0.2">
      <c r="D70">
        <f t="shared" si="6"/>
        <v>4</v>
      </c>
      <c r="E70" s="3" t="str">
        <f t="shared" ref="E70:Y70" si="23">IF(E21&lt;&gt;"",E21+E$49,"")</f>
        <v/>
      </c>
      <c r="F70" s="3" t="str">
        <f t="shared" si="23"/>
        <v/>
      </c>
      <c r="G70" s="3" t="str">
        <f t="shared" si="23"/>
        <v/>
      </c>
      <c r="H70" s="3" t="str">
        <f t="shared" si="23"/>
        <v/>
      </c>
      <c r="I70" s="3">
        <f t="shared" si="23"/>
        <v>3036.4588666463387</v>
      </c>
      <c r="J70" s="3" t="str">
        <f t="shared" si="23"/>
        <v/>
      </c>
      <c r="K70" s="3">
        <f t="shared" si="23"/>
        <v>3036.4588666463383</v>
      </c>
      <c r="L70" s="3" t="str">
        <f t="shared" si="23"/>
        <v/>
      </c>
      <c r="M70" s="3">
        <f t="shared" si="23"/>
        <v>3036.4588666463378</v>
      </c>
      <c r="N70" s="3" t="str">
        <f t="shared" si="23"/>
        <v/>
      </c>
      <c r="O70" s="3">
        <f t="shared" si="23"/>
        <v>3036.4588666463369</v>
      </c>
      <c r="P70" s="3" t="str">
        <f t="shared" si="23"/>
        <v/>
      </c>
      <c r="Q70" s="3">
        <f t="shared" si="23"/>
        <v>3036.4588666463364</v>
      </c>
      <c r="R70" s="3" t="str">
        <f t="shared" si="23"/>
        <v/>
      </c>
      <c r="S70" s="3">
        <f t="shared" si="23"/>
        <v>3036.4588666463355</v>
      </c>
      <c r="T70" s="3" t="str">
        <f t="shared" si="23"/>
        <v/>
      </c>
      <c r="U70" s="3">
        <f t="shared" si="23"/>
        <v>3036.4588666463346</v>
      </c>
      <c r="V70" s="3" t="str">
        <f t="shared" si="23"/>
        <v/>
      </c>
      <c r="W70" s="3">
        <f t="shared" si="23"/>
        <v>3036.4588666463351</v>
      </c>
      <c r="X70" s="9" t="str">
        <f t="shared" si="23"/>
        <v/>
      </c>
      <c r="Y70" s="3">
        <f t="shared" si="23"/>
        <v>3036.4588666463333</v>
      </c>
      <c r="Z70" s="3"/>
    </row>
    <row r="71" spans="4:26" outlineLevel="1" x14ac:dyDescent="0.2">
      <c r="D71">
        <f t="shared" si="6"/>
        <v>3</v>
      </c>
      <c r="E71" s="3" t="str">
        <f t="shared" ref="E71:Y71" si="24">IF(E22&lt;&gt;"",E22+E$49,"")</f>
        <v/>
      </c>
      <c r="F71" s="3" t="str">
        <f t="shared" si="24"/>
        <v/>
      </c>
      <c r="G71" s="3" t="str">
        <f t="shared" si="24"/>
        <v/>
      </c>
      <c r="H71" s="3">
        <f t="shared" si="24"/>
        <v>3027.3028198706897</v>
      </c>
      <c r="I71" s="3" t="str">
        <f t="shared" si="24"/>
        <v/>
      </c>
      <c r="J71" s="3">
        <f t="shared" si="24"/>
        <v>3027.3028198706893</v>
      </c>
      <c r="K71" s="3" t="str">
        <f t="shared" si="24"/>
        <v/>
      </c>
      <c r="L71" s="3">
        <f t="shared" si="24"/>
        <v>3027.3028198706888</v>
      </c>
      <c r="M71" s="3" t="str">
        <f t="shared" si="24"/>
        <v/>
      </c>
      <c r="N71" s="3">
        <f t="shared" si="24"/>
        <v>3027.3028198706884</v>
      </c>
      <c r="O71" s="3" t="str">
        <f t="shared" si="24"/>
        <v/>
      </c>
      <c r="P71" s="3">
        <f t="shared" si="24"/>
        <v>3027.3028198706879</v>
      </c>
      <c r="Q71" s="3" t="str">
        <f t="shared" si="24"/>
        <v/>
      </c>
      <c r="R71" s="3">
        <f t="shared" si="24"/>
        <v>3027.3028198706866</v>
      </c>
      <c r="S71" s="3" t="str">
        <f t="shared" si="24"/>
        <v/>
      </c>
      <c r="T71" s="3">
        <f t="shared" si="24"/>
        <v>3027.3028198706861</v>
      </c>
      <c r="U71" s="3" t="str">
        <f t="shared" si="24"/>
        <v/>
      </c>
      <c r="V71" s="3">
        <f t="shared" si="24"/>
        <v>3027.3028198706857</v>
      </c>
      <c r="W71" s="3" t="str">
        <f t="shared" si="24"/>
        <v/>
      </c>
      <c r="X71" s="9">
        <f t="shared" si="24"/>
        <v>3027.3028198706852</v>
      </c>
      <c r="Y71" s="3" t="str">
        <f t="shared" si="24"/>
        <v/>
      </c>
      <c r="Z71" s="3"/>
    </row>
    <row r="72" spans="4:26" outlineLevel="1" x14ac:dyDescent="0.2">
      <c r="D72">
        <f>D73+1</f>
        <v>2</v>
      </c>
      <c r="E72" s="3" t="str">
        <f t="shared" ref="E72:Y72" si="25">IF(E23&lt;&gt;"",E23+E$49,"")</f>
        <v/>
      </c>
      <c r="F72" s="3" t="str">
        <f t="shared" si="25"/>
        <v/>
      </c>
      <c r="G72" s="3">
        <f t="shared" si="25"/>
        <v>3018.174381963212</v>
      </c>
      <c r="H72" s="3" t="str">
        <f t="shared" si="25"/>
        <v/>
      </c>
      <c r="I72" s="3">
        <f t="shared" si="25"/>
        <v>3018.1743819632115</v>
      </c>
      <c r="J72" s="3" t="str">
        <f t="shared" si="25"/>
        <v/>
      </c>
      <c r="K72" s="3">
        <f t="shared" si="25"/>
        <v>3018.1743819632111</v>
      </c>
      <c r="L72" s="3" t="str">
        <f t="shared" si="25"/>
        <v/>
      </c>
      <c r="M72" s="3">
        <f t="shared" si="25"/>
        <v>3018.1743819632106</v>
      </c>
      <c r="N72" s="3" t="str">
        <f t="shared" si="25"/>
        <v/>
      </c>
      <c r="O72" s="3">
        <f t="shared" si="25"/>
        <v>3018.1743819632093</v>
      </c>
      <c r="P72" s="3" t="str">
        <f t="shared" si="25"/>
        <v/>
      </c>
      <c r="Q72" s="3">
        <f t="shared" si="25"/>
        <v>3018.1743819632093</v>
      </c>
      <c r="R72" s="3" t="str">
        <f t="shared" si="25"/>
        <v/>
      </c>
      <c r="S72" s="3">
        <f t="shared" si="25"/>
        <v>3018.1743819632084</v>
      </c>
      <c r="T72" s="3" t="str">
        <f t="shared" si="25"/>
        <v/>
      </c>
      <c r="U72" s="3">
        <f t="shared" si="25"/>
        <v>3018.1743819632079</v>
      </c>
      <c r="V72" s="3" t="str">
        <f t="shared" si="25"/>
        <v/>
      </c>
      <c r="W72" s="3">
        <f t="shared" si="25"/>
        <v>3018.174381963207</v>
      </c>
      <c r="X72" s="3" t="str">
        <f t="shared" si="25"/>
        <v/>
      </c>
      <c r="Y72" s="3">
        <f t="shared" si="25"/>
        <v>3018.1743819632061</v>
      </c>
      <c r="Z72" s="3"/>
    </row>
    <row r="73" spans="4:26" outlineLevel="1" x14ac:dyDescent="0.2">
      <c r="D73">
        <v>1</v>
      </c>
      <c r="E73" s="3" t="str">
        <f t="shared" ref="E73:Y73" si="26">IF(E24&lt;&gt;"",E24+E$49,"")</f>
        <v/>
      </c>
      <c r="F73" s="3">
        <f>IF(F24&lt;&gt;"",F24+F$49,"")</f>
        <v>3009.0734696729551</v>
      </c>
      <c r="G73" s="3" t="str">
        <f t="shared" si="26"/>
        <v/>
      </c>
      <c r="H73" s="3">
        <f t="shared" si="26"/>
        <v>3009.0734696729546</v>
      </c>
      <c r="I73" s="3" t="str">
        <f t="shared" si="26"/>
        <v/>
      </c>
      <c r="J73" s="3">
        <f t="shared" si="26"/>
        <v>3009.0734696729542</v>
      </c>
      <c r="K73" s="3" t="str">
        <f t="shared" si="26"/>
        <v/>
      </c>
      <c r="L73" s="3">
        <f t="shared" si="26"/>
        <v>3009.0734696729542</v>
      </c>
      <c r="M73" s="3" t="str">
        <f t="shared" si="26"/>
        <v/>
      </c>
      <c r="N73" s="3">
        <f t="shared" si="26"/>
        <v>3009.0734696729528</v>
      </c>
      <c r="O73" s="3" t="str">
        <f t="shared" si="26"/>
        <v/>
      </c>
      <c r="P73" s="3">
        <f t="shared" si="26"/>
        <v>3009.0734696729528</v>
      </c>
      <c r="Q73" s="3" t="str">
        <f t="shared" si="26"/>
        <v/>
      </c>
      <c r="R73" s="3">
        <f t="shared" si="26"/>
        <v>3009.0734696729514</v>
      </c>
      <c r="S73" s="3" t="str">
        <f t="shared" si="26"/>
        <v/>
      </c>
      <c r="T73" s="3">
        <f t="shared" si="26"/>
        <v>3009.0734696729514</v>
      </c>
      <c r="U73" s="3" t="str">
        <f t="shared" si="26"/>
        <v/>
      </c>
      <c r="V73" s="3">
        <f t="shared" si="26"/>
        <v>3009.0734696729501</v>
      </c>
      <c r="W73" s="3" t="str">
        <f t="shared" si="26"/>
        <v/>
      </c>
      <c r="X73" s="3">
        <f t="shared" si="26"/>
        <v>3009.0734696729501</v>
      </c>
      <c r="Y73" s="3" t="str">
        <f t="shared" si="26"/>
        <v/>
      </c>
      <c r="Z73" s="3"/>
    </row>
    <row r="74" spans="4:26" outlineLevel="1" x14ac:dyDescent="0.2">
      <c r="E74" s="3">
        <f>IF(E25&lt;&gt;"",E25+E$49,"")</f>
        <v>3000</v>
      </c>
      <c r="F74" s="3" t="str">
        <f t="shared" ref="F74:Y74" si="27">IF(F25&lt;&gt;"",F25+F$49,"")</f>
        <v/>
      </c>
      <c r="G74" s="3">
        <f t="shared" si="27"/>
        <v>2999.9999999999995</v>
      </c>
      <c r="H74" s="3" t="str">
        <f t="shared" si="27"/>
        <v/>
      </c>
      <c r="I74" s="3">
        <f t="shared" si="27"/>
        <v>2999.9999999999986</v>
      </c>
      <c r="J74" s="3" t="str">
        <f t="shared" si="27"/>
        <v/>
      </c>
      <c r="K74" s="3">
        <f t="shared" si="27"/>
        <v>2999.9999999999986</v>
      </c>
      <c r="L74" s="3" t="str">
        <f t="shared" si="27"/>
        <v/>
      </c>
      <c r="M74" s="3">
        <f t="shared" si="27"/>
        <v>2999.9999999999977</v>
      </c>
      <c r="N74" s="3" t="str">
        <f t="shared" si="27"/>
        <v/>
      </c>
      <c r="O74" s="3">
        <f t="shared" si="27"/>
        <v>2999.9999999999968</v>
      </c>
      <c r="P74" s="3" t="str">
        <f t="shared" si="27"/>
        <v/>
      </c>
      <c r="Q74" s="3">
        <f t="shared" si="27"/>
        <v>2999.9999999999968</v>
      </c>
      <c r="R74" s="3" t="str">
        <f t="shared" si="27"/>
        <v/>
      </c>
      <c r="S74" s="3">
        <f t="shared" si="27"/>
        <v>2999.9999999999964</v>
      </c>
      <c r="T74" s="3" t="str">
        <f t="shared" si="27"/>
        <v/>
      </c>
      <c r="U74" s="3">
        <f t="shared" si="27"/>
        <v>2999.999999999995</v>
      </c>
      <c r="V74" s="3" t="str">
        <f t="shared" si="27"/>
        <v/>
      </c>
      <c r="W74" s="3">
        <f t="shared" si="27"/>
        <v>2999.999999999995</v>
      </c>
      <c r="X74" s="3" t="str">
        <f t="shared" si="27"/>
        <v/>
      </c>
      <c r="Y74" s="3">
        <f t="shared" si="27"/>
        <v>2999.999999999995</v>
      </c>
      <c r="Z74" s="3"/>
    </row>
    <row r="75" spans="4:26" outlineLevel="1" x14ac:dyDescent="0.2">
      <c r="D75">
        <v>-1</v>
      </c>
      <c r="E75" s="3" t="str">
        <f t="shared" ref="E75:Y75" si="28">IF(E26&lt;&gt;"",E26+E$49,"")</f>
        <v/>
      </c>
      <c r="F75" s="3">
        <f t="shared" si="28"/>
        <v>2990.9538901947035</v>
      </c>
      <c r="G75" s="3" t="str">
        <f t="shared" si="28"/>
        <v/>
      </c>
      <c r="H75" s="3">
        <f t="shared" si="28"/>
        <v>2990.953890194703</v>
      </c>
      <c r="I75" s="3" t="str">
        <f t="shared" si="28"/>
        <v/>
      </c>
      <c r="J75" s="3">
        <f t="shared" si="28"/>
        <v>2990.9538901947026</v>
      </c>
      <c r="K75" s="3" t="str">
        <f t="shared" si="28"/>
        <v/>
      </c>
      <c r="L75" s="3">
        <f t="shared" si="28"/>
        <v>2990.9538901947021</v>
      </c>
      <c r="M75" s="3" t="str">
        <f t="shared" si="28"/>
        <v/>
      </c>
      <c r="N75" s="3">
        <f t="shared" si="28"/>
        <v>2990.9538901947012</v>
      </c>
      <c r="O75" s="3" t="str">
        <f t="shared" si="28"/>
        <v/>
      </c>
      <c r="P75" s="3">
        <f t="shared" si="28"/>
        <v>2990.9538901947012</v>
      </c>
      <c r="Q75" s="3" t="str">
        <f t="shared" si="28"/>
        <v/>
      </c>
      <c r="R75" s="3">
        <f t="shared" si="28"/>
        <v>2990.9538901947003</v>
      </c>
      <c r="S75" s="3" t="str">
        <f t="shared" si="28"/>
        <v/>
      </c>
      <c r="T75" s="3">
        <f t="shared" si="28"/>
        <v>2990.9538901946994</v>
      </c>
      <c r="U75" s="3" t="str">
        <f t="shared" si="28"/>
        <v/>
      </c>
      <c r="V75" s="3">
        <f t="shared" si="28"/>
        <v>2990.9538901946989</v>
      </c>
      <c r="W75" s="3" t="str">
        <f t="shared" si="28"/>
        <v/>
      </c>
      <c r="X75" s="3">
        <f t="shared" si="28"/>
        <v>2990.9538901946985</v>
      </c>
      <c r="Y75" s="3" t="str">
        <f t="shared" si="28"/>
        <v/>
      </c>
    </row>
    <row r="76" spans="4:26" outlineLevel="1" x14ac:dyDescent="0.2">
      <c r="D76">
        <v>-2</v>
      </c>
      <c r="E76" s="3" t="str">
        <f t="shared" ref="E76:Y76" si="29">IF(E27&lt;&gt;"",E27+E$49,"")</f>
        <v/>
      </c>
      <c r="F76" s="3" t="str">
        <f t="shared" si="29"/>
        <v/>
      </c>
      <c r="G76" s="3">
        <f t="shared" si="29"/>
        <v>2981.9350577569435</v>
      </c>
      <c r="H76" s="3" t="str">
        <f t="shared" si="29"/>
        <v/>
      </c>
      <c r="I76" s="3">
        <f t="shared" si="29"/>
        <v>2981.935057756943</v>
      </c>
      <c r="J76" s="3" t="str">
        <f t="shared" si="29"/>
        <v/>
      </c>
      <c r="K76" s="3">
        <f t="shared" si="29"/>
        <v>2981.9350577569421</v>
      </c>
      <c r="L76" s="3" t="str">
        <f t="shared" si="29"/>
        <v/>
      </c>
      <c r="M76" s="3">
        <f t="shared" si="29"/>
        <v>2981.9350577569417</v>
      </c>
      <c r="N76" s="3" t="str">
        <f t="shared" si="29"/>
        <v/>
      </c>
      <c r="O76" s="3">
        <f t="shared" si="29"/>
        <v>2981.9350577569408</v>
      </c>
      <c r="P76" s="3" t="str">
        <f t="shared" si="29"/>
        <v/>
      </c>
      <c r="Q76" s="3">
        <f t="shared" si="29"/>
        <v>2981.9350577569408</v>
      </c>
      <c r="R76" s="3" t="str">
        <f t="shared" si="29"/>
        <v/>
      </c>
      <c r="S76" s="3">
        <f t="shared" si="29"/>
        <v>2981.9350577569398</v>
      </c>
      <c r="T76" s="3" t="str">
        <f t="shared" si="29"/>
        <v/>
      </c>
      <c r="U76" s="3">
        <f t="shared" si="29"/>
        <v>2981.9350577569385</v>
      </c>
      <c r="V76" s="3" t="str">
        <f t="shared" si="29"/>
        <v/>
      </c>
      <c r="W76" s="3">
        <f t="shared" si="29"/>
        <v>2981.9350577569389</v>
      </c>
      <c r="X76" s="3" t="str">
        <f t="shared" si="29"/>
        <v/>
      </c>
      <c r="Y76" s="3">
        <f t="shared" si="29"/>
        <v>2981.9350577569385</v>
      </c>
      <c r="Z76" s="3"/>
    </row>
    <row r="77" spans="4:26" outlineLevel="1" x14ac:dyDescent="0.2">
      <c r="D77">
        <v>-3</v>
      </c>
      <c r="E77" s="3" t="str">
        <f t="shared" ref="E77:Y77" si="30">IF(E28&lt;&gt;"",E28+E$49,"")</f>
        <v/>
      </c>
      <c r="F77" s="3" t="str">
        <f t="shared" si="30"/>
        <v/>
      </c>
      <c r="G77" s="3" t="str">
        <f t="shared" si="30"/>
        <v/>
      </c>
      <c r="H77" s="3">
        <f t="shared" si="30"/>
        <v>2972.9434204353661</v>
      </c>
      <c r="I77" s="3" t="str">
        <f t="shared" si="30"/>
        <v/>
      </c>
      <c r="J77" s="3">
        <f t="shared" si="30"/>
        <v>2972.9434204353652</v>
      </c>
      <c r="K77" s="3" t="str">
        <f t="shared" si="30"/>
        <v/>
      </c>
      <c r="L77" s="3">
        <f t="shared" si="30"/>
        <v>2972.9434204353647</v>
      </c>
      <c r="M77" s="3" t="str">
        <f t="shared" si="30"/>
        <v/>
      </c>
      <c r="N77" s="3">
        <f t="shared" si="30"/>
        <v>2972.9434204353638</v>
      </c>
      <c r="O77" s="3" t="str">
        <f t="shared" si="30"/>
        <v/>
      </c>
      <c r="P77" s="3">
        <f t="shared" si="30"/>
        <v>2972.9434204353643</v>
      </c>
      <c r="Q77" s="3" t="str">
        <f t="shared" si="30"/>
        <v/>
      </c>
      <c r="R77" s="3">
        <f t="shared" si="30"/>
        <v>2972.9434204353624</v>
      </c>
      <c r="S77" s="3" t="str">
        <f t="shared" si="30"/>
        <v/>
      </c>
      <c r="T77" s="3">
        <f t="shared" si="30"/>
        <v>2972.9434204353624</v>
      </c>
      <c r="U77" s="3" t="str">
        <f t="shared" si="30"/>
        <v/>
      </c>
      <c r="V77" s="3">
        <f t="shared" si="30"/>
        <v>2972.9434204353611</v>
      </c>
      <c r="W77" s="3" t="str">
        <f t="shared" si="30"/>
        <v/>
      </c>
      <c r="X77" s="3">
        <f t="shared" si="30"/>
        <v>2972.9434204353615</v>
      </c>
      <c r="Y77" s="3" t="str">
        <f t="shared" si="30"/>
        <v/>
      </c>
    </row>
    <row r="78" spans="4:26" outlineLevel="1" x14ac:dyDescent="0.2">
      <c r="D78">
        <v>-4</v>
      </c>
      <c r="E78" s="3" t="str">
        <f t="shared" ref="E78:Y78" si="31">IF(E29&lt;&gt;"",E29+E$49,"")</f>
        <v/>
      </c>
      <c r="F78" s="3" t="str">
        <f t="shared" si="31"/>
        <v/>
      </c>
      <c r="G78" s="3" t="str">
        <f t="shared" si="31"/>
        <v/>
      </c>
      <c r="H78" s="3" t="str">
        <f t="shared" si="31"/>
        <v/>
      </c>
      <c r="I78" s="3">
        <f t="shared" si="31"/>
        <v>2963.9788962266348</v>
      </c>
      <c r="J78" s="3" t="str">
        <f t="shared" si="31"/>
        <v/>
      </c>
      <c r="K78" s="3">
        <f t="shared" si="31"/>
        <v>2963.9788962266343</v>
      </c>
      <c r="L78" s="3" t="str">
        <f t="shared" si="31"/>
        <v/>
      </c>
      <c r="M78" s="3">
        <f t="shared" si="31"/>
        <v>2963.9788962266334</v>
      </c>
      <c r="N78" s="3" t="str">
        <f t="shared" si="31"/>
        <v/>
      </c>
      <c r="O78" s="3">
        <f t="shared" si="31"/>
        <v>2963.978896226633</v>
      </c>
      <c r="P78" s="3" t="str">
        <f t="shared" si="31"/>
        <v/>
      </c>
      <c r="Q78" s="3">
        <f t="shared" si="31"/>
        <v>2963.9788962266325</v>
      </c>
      <c r="R78" s="3" t="str">
        <f t="shared" si="31"/>
        <v/>
      </c>
      <c r="S78" s="3">
        <f t="shared" si="31"/>
        <v>2963.9788962266321</v>
      </c>
      <c r="T78" s="3" t="str">
        <f t="shared" si="31"/>
        <v/>
      </c>
      <c r="U78" s="3">
        <f t="shared" si="31"/>
        <v>2963.9788962266321</v>
      </c>
      <c r="V78" s="3" t="str">
        <f t="shared" si="31"/>
        <v/>
      </c>
      <c r="W78" s="3">
        <f t="shared" si="31"/>
        <v>2963.9788962266307</v>
      </c>
      <c r="X78" s="3" t="str">
        <f t="shared" si="31"/>
        <v/>
      </c>
      <c r="Y78" s="3">
        <f t="shared" si="31"/>
        <v>2963.9788962266312</v>
      </c>
      <c r="Z78" s="3"/>
    </row>
    <row r="79" spans="4:26" outlineLevel="1" x14ac:dyDescent="0.2">
      <c r="D79">
        <v>-5</v>
      </c>
      <c r="E79" s="3" t="str">
        <f t="shared" ref="E79:Y79" si="32">IF(E30&lt;&gt;"",E30+E$49,"")</f>
        <v/>
      </c>
      <c r="F79" s="3" t="str">
        <f t="shared" si="32"/>
        <v/>
      </c>
      <c r="G79" s="3" t="str">
        <f t="shared" si="32"/>
        <v/>
      </c>
      <c r="H79" s="3" t="str">
        <f t="shared" si="32"/>
        <v/>
      </c>
      <c r="I79" s="3" t="str">
        <f t="shared" si="32"/>
        <v/>
      </c>
      <c r="J79" s="3">
        <f t="shared" si="32"/>
        <v>2955.0414033746852</v>
      </c>
      <c r="K79" s="3" t="str">
        <f t="shared" si="32"/>
        <v/>
      </c>
      <c r="L79" s="3">
        <f t="shared" si="32"/>
        <v>2955.0414033746852</v>
      </c>
      <c r="M79" s="3" t="str">
        <f t="shared" si="32"/>
        <v/>
      </c>
      <c r="N79" s="3">
        <f t="shared" si="32"/>
        <v>2955.0414033746847</v>
      </c>
      <c r="O79" s="3" t="str">
        <f t="shared" si="32"/>
        <v/>
      </c>
      <c r="P79" s="3">
        <f t="shared" si="32"/>
        <v>2955.0414033746843</v>
      </c>
      <c r="Q79" s="3" t="str">
        <f t="shared" si="32"/>
        <v/>
      </c>
      <c r="R79" s="3">
        <f t="shared" si="32"/>
        <v>2955.0414033746829</v>
      </c>
      <c r="S79" s="3" t="str">
        <f t="shared" si="32"/>
        <v/>
      </c>
      <c r="T79" s="3">
        <f t="shared" si="32"/>
        <v>2955.0414033746829</v>
      </c>
      <c r="U79" s="3" t="str">
        <f t="shared" si="32"/>
        <v/>
      </c>
      <c r="V79" s="3">
        <f t="shared" si="32"/>
        <v>2955.0414033746829</v>
      </c>
      <c r="W79" s="3" t="str">
        <f t="shared" si="32"/>
        <v/>
      </c>
      <c r="X79" s="3">
        <f t="shared" si="32"/>
        <v>2955.0414033746815</v>
      </c>
      <c r="Y79" s="3" t="str">
        <f t="shared" si="32"/>
        <v/>
      </c>
    </row>
    <row r="80" spans="4:26" outlineLevel="1" x14ac:dyDescent="0.2">
      <c r="D80">
        <v>-6</v>
      </c>
      <c r="E80" s="3" t="str">
        <f t="shared" ref="E80:Y80" si="33">IF(E31&lt;&gt;"",E31+E$49,"")</f>
        <v/>
      </c>
      <c r="F80" s="3" t="str">
        <f t="shared" si="33"/>
        <v/>
      </c>
      <c r="G80" s="3" t="str">
        <f t="shared" si="33"/>
        <v/>
      </c>
      <c r="H80" s="3" t="str">
        <f t="shared" si="33"/>
        <v/>
      </c>
      <c r="I80" s="3" t="str">
        <f t="shared" si="33"/>
        <v/>
      </c>
      <c r="J80" s="3" t="str">
        <f t="shared" si="33"/>
        <v/>
      </c>
      <c r="K80" s="3">
        <f t="shared" si="33"/>
        <v>2946.1308603699772</v>
      </c>
      <c r="L80" s="3" t="str">
        <f t="shared" si="33"/>
        <v/>
      </c>
      <c r="M80" s="3">
        <f t="shared" si="33"/>
        <v>2946.1308603699767</v>
      </c>
      <c r="N80" s="3" t="str">
        <f t="shared" si="33"/>
        <v/>
      </c>
      <c r="O80" s="3">
        <f t="shared" si="33"/>
        <v>2946.1308603699754</v>
      </c>
      <c r="P80" s="3" t="str">
        <f t="shared" si="33"/>
        <v/>
      </c>
      <c r="Q80" s="3">
        <f t="shared" si="33"/>
        <v>2946.1308603699754</v>
      </c>
      <c r="R80" s="3" t="str">
        <f t="shared" si="33"/>
        <v/>
      </c>
      <c r="S80" s="3">
        <f t="shared" si="33"/>
        <v>2946.1308603699749</v>
      </c>
      <c r="T80" s="3" t="str">
        <f t="shared" si="33"/>
        <v/>
      </c>
      <c r="U80" s="3">
        <f t="shared" si="33"/>
        <v>2946.1308603699749</v>
      </c>
      <c r="V80" s="3" t="str">
        <f t="shared" si="33"/>
        <v/>
      </c>
      <c r="W80" s="3">
        <f t="shared" si="33"/>
        <v>2946.1308603699749</v>
      </c>
      <c r="X80" s="3" t="str">
        <f t="shared" si="33"/>
        <v/>
      </c>
      <c r="Y80" s="3">
        <f t="shared" si="33"/>
        <v>2946.1308603699736</v>
      </c>
    </row>
    <row r="81" spans="4:25" outlineLevel="1" x14ac:dyDescent="0.2">
      <c r="D81">
        <f>D80-1</f>
        <v>-7</v>
      </c>
      <c r="E81" s="3" t="str">
        <f t="shared" ref="E81:Y81" si="34">IF(E32&lt;&gt;"",E32+E$49,"")</f>
        <v/>
      </c>
      <c r="F81" s="3" t="str">
        <f t="shared" si="34"/>
        <v/>
      </c>
      <c r="G81" s="3" t="str">
        <f t="shared" si="34"/>
        <v/>
      </c>
      <c r="H81" s="3" t="str">
        <f t="shared" si="34"/>
        <v/>
      </c>
      <c r="I81" s="3" t="str">
        <f t="shared" si="34"/>
        <v/>
      </c>
      <c r="J81" s="3" t="str">
        <f t="shared" si="34"/>
        <v/>
      </c>
      <c r="K81" s="3" t="str">
        <f t="shared" si="34"/>
        <v/>
      </c>
      <c r="L81" s="3">
        <f t="shared" si="34"/>
        <v>2937.2471859487514</v>
      </c>
      <c r="M81" s="3" t="str">
        <f t="shared" si="34"/>
        <v/>
      </c>
      <c r="N81" s="3">
        <f t="shared" si="34"/>
        <v>2937.2471859487496</v>
      </c>
      <c r="O81" s="3" t="str">
        <f t="shared" si="34"/>
        <v/>
      </c>
      <c r="P81" s="3">
        <f t="shared" si="34"/>
        <v>2937.2471859487491</v>
      </c>
      <c r="Q81" s="3" t="str">
        <f t="shared" si="34"/>
        <v/>
      </c>
      <c r="R81" s="3">
        <f t="shared" si="34"/>
        <v>2937.2471859487491</v>
      </c>
      <c r="S81" s="3" t="str">
        <f t="shared" si="34"/>
        <v/>
      </c>
      <c r="T81" s="3">
        <f t="shared" si="34"/>
        <v>2937.2471859487487</v>
      </c>
      <c r="U81" s="3" t="str">
        <f t="shared" si="34"/>
        <v/>
      </c>
      <c r="V81" s="3">
        <f t="shared" si="34"/>
        <v>2937.2471859487487</v>
      </c>
      <c r="W81" s="3" t="str">
        <f t="shared" si="34"/>
        <v/>
      </c>
      <c r="X81" s="3">
        <f t="shared" si="34"/>
        <v>2937.2471859487487</v>
      </c>
      <c r="Y81" s="3" t="str">
        <f t="shared" si="34"/>
        <v/>
      </c>
    </row>
    <row r="82" spans="4:25" outlineLevel="1" x14ac:dyDescent="0.2">
      <c r="D82">
        <f t="shared" ref="D82:D94" si="35">D81-1</f>
        <v>-8</v>
      </c>
      <c r="E82" s="3" t="str">
        <f t="shared" ref="E82:Y82" si="36">IF(E33&lt;&gt;"",E33+E$49,"")</f>
        <v/>
      </c>
      <c r="F82" s="3" t="str">
        <f t="shared" si="36"/>
        <v/>
      </c>
      <c r="G82" s="3" t="str">
        <f t="shared" si="36"/>
        <v/>
      </c>
      <c r="H82" s="3" t="str">
        <f t="shared" si="36"/>
        <v/>
      </c>
      <c r="I82" s="3" t="str">
        <f t="shared" si="36"/>
        <v/>
      </c>
      <c r="J82" s="3" t="str">
        <f t="shared" si="36"/>
        <v/>
      </c>
      <c r="K82" s="3" t="str">
        <f t="shared" si="36"/>
        <v/>
      </c>
      <c r="L82" s="3" t="str">
        <f t="shared" si="36"/>
        <v/>
      </c>
      <c r="M82" s="3">
        <f t="shared" si="36"/>
        <v>2928.3902990922866</v>
      </c>
      <c r="N82" s="3" t="str">
        <f t="shared" si="36"/>
        <v/>
      </c>
      <c r="O82" s="3">
        <f t="shared" si="36"/>
        <v>2928.3902990922857</v>
      </c>
      <c r="P82" s="3" t="str">
        <f t="shared" si="36"/>
        <v/>
      </c>
      <c r="Q82" s="3">
        <f t="shared" si="36"/>
        <v>2928.3902990922857</v>
      </c>
      <c r="R82" s="3" t="str">
        <f t="shared" si="36"/>
        <v/>
      </c>
      <c r="S82" s="3">
        <f t="shared" si="36"/>
        <v>2928.3902990922857</v>
      </c>
      <c r="T82" s="3" t="str">
        <f t="shared" si="36"/>
        <v/>
      </c>
      <c r="U82" s="3">
        <f t="shared" si="36"/>
        <v>2928.3902990922852</v>
      </c>
      <c r="V82" s="3" t="str">
        <f t="shared" si="36"/>
        <v/>
      </c>
      <c r="W82" s="3">
        <f t="shared" si="36"/>
        <v>2928.3902990922852</v>
      </c>
      <c r="X82" s="3" t="str">
        <f t="shared" si="36"/>
        <v/>
      </c>
      <c r="Y82" s="3">
        <f t="shared" si="36"/>
        <v>2928.3902990922852</v>
      </c>
    </row>
    <row r="83" spans="4:25" outlineLevel="1" x14ac:dyDescent="0.2">
      <c r="D83">
        <f t="shared" si="35"/>
        <v>-9</v>
      </c>
      <c r="E83" s="3" t="str">
        <f t="shared" ref="E83:Y83" si="37">IF(E34&lt;&gt;"",E34+E$49,"")</f>
        <v/>
      </c>
      <c r="F83" s="3" t="str">
        <f t="shared" si="37"/>
        <v/>
      </c>
      <c r="G83" s="3" t="str">
        <f t="shared" si="37"/>
        <v/>
      </c>
      <c r="H83" s="3" t="str">
        <f t="shared" si="37"/>
        <v/>
      </c>
      <c r="I83" s="3" t="str">
        <f t="shared" si="37"/>
        <v/>
      </c>
      <c r="J83" s="3" t="str">
        <f t="shared" si="37"/>
        <v/>
      </c>
      <c r="K83" s="3" t="str">
        <f t="shared" si="37"/>
        <v/>
      </c>
      <c r="L83" s="3" t="str">
        <f t="shared" si="37"/>
        <v/>
      </c>
      <c r="M83" s="3" t="str">
        <f t="shared" si="37"/>
        <v/>
      </c>
      <c r="N83" s="3">
        <f t="shared" si="37"/>
        <v>2919.5601190261686</v>
      </c>
      <c r="O83" s="3" t="str">
        <f t="shared" si="37"/>
        <v/>
      </c>
      <c r="P83" s="3">
        <f t="shared" si="37"/>
        <v>2919.5601190261677</v>
      </c>
      <c r="Q83" s="3" t="str">
        <f t="shared" si="37"/>
        <v/>
      </c>
      <c r="R83" s="3">
        <f t="shared" si="37"/>
        <v>2919.5601190261677</v>
      </c>
      <c r="S83" s="3" t="str">
        <f t="shared" si="37"/>
        <v/>
      </c>
      <c r="T83" s="3">
        <f t="shared" si="37"/>
        <v>2919.5601190261677</v>
      </c>
      <c r="U83" s="3" t="str">
        <f t="shared" si="37"/>
        <v/>
      </c>
      <c r="V83" s="3">
        <f t="shared" si="37"/>
        <v>2919.5601190261673</v>
      </c>
      <c r="W83" s="3" t="str">
        <f t="shared" si="37"/>
        <v/>
      </c>
      <c r="X83" s="3">
        <f t="shared" si="37"/>
        <v>2919.5601190261673</v>
      </c>
      <c r="Y83" s="3" t="str">
        <f t="shared" si="37"/>
        <v/>
      </c>
    </row>
    <row r="84" spans="4:25" outlineLevel="1" x14ac:dyDescent="0.2">
      <c r="D84">
        <f t="shared" si="35"/>
        <v>-10</v>
      </c>
      <c r="E84" s="3" t="str">
        <f t="shared" ref="E84:Y84" si="38">IF(E35&lt;&gt;"",E35+E$49,"")</f>
        <v/>
      </c>
      <c r="F84" s="3" t="str">
        <f t="shared" si="38"/>
        <v/>
      </c>
      <c r="G84" s="3" t="str">
        <f t="shared" si="38"/>
        <v/>
      </c>
      <c r="H84" s="3" t="str">
        <f t="shared" si="38"/>
        <v/>
      </c>
      <c r="I84" s="3" t="str">
        <f t="shared" si="38"/>
        <v/>
      </c>
      <c r="J84" s="3" t="str">
        <f t="shared" si="38"/>
        <v/>
      </c>
      <c r="K84" s="3" t="str">
        <f t="shared" si="38"/>
        <v/>
      </c>
      <c r="L84" s="3" t="str">
        <f t="shared" si="38"/>
        <v/>
      </c>
      <c r="M84" s="3" t="str">
        <f t="shared" si="38"/>
        <v/>
      </c>
      <c r="N84" s="3" t="str">
        <f t="shared" si="38"/>
        <v/>
      </c>
      <c r="O84" s="3">
        <f t="shared" si="38"/>
        <v>2910.7565652195431</v>
      </c>
      <c r="P84" s="3" t="str">
        <f t="shared" si="38"/>
        <v/>
      </c>
      <c r="Q84" s="3">
        <f t="shared" si="38"/>
        <v>2910.7565652195431</v>
      </c>
      <c r="R84" s="3" t="str">
        <f t="shared" si="38"/>
        <v/>
      </c>
      <c r="S84" s="3">
        <f t="shared" si="38"/>
        <v>2910.7565652195431</v>
      </c>
      <c r="T84" s="3" t="str">
        <f t="shared" si="38"/>
        <v/>
      </c>
      <c r="U84" s="3">
        <f t="shared" si="38"/>
        <v>2910.7565652195431</v>
      </c>
      <c r="V84" s="3" t="str">
        <f t="shared" si="38"/>
        <v/>
      </c>
      <c r="W84" s="3">
        <f t="shared" si="38"/>
        <v>2910.7565652195426</v>
      </c>
      <c r="X84" s="3" t="str">
        <f t="shared" si="38"/>
        <v/>
      </c>
      <c r="Y84" s="3">
        <f t="shared" si="38"/>
        <v>2910.7565652195426</v>
      </c>
    </row>
    <row r="85" spans="4:25" outlineLevel="1" x14ac:dyDescent="0.2">
      <c r="D85">
        <f t="shared" si="35"/>
        <v>-11</v>
      </c>
      <c r="E85" s="3" t="str">
        <f t="shared" ref="E85:Y85" si="39">IF(E36&lt;&gt;"",E36+E$49,"")</f>
        <v/>
      </c>
      <c r="F85" s="3" t="str">
        <f t="shared" si="39"/>
        <v/>
      </c>
      <c r="G85" s="3" t="str">
        <f t="shared" si="39"/>
        <v/>
      </c>
      <c r="H85" s="3" t="str">
        <f t="shared" si="39"/>
        <v/>
      </c>
      <c r="I85" s="3" t="str">
        <f t="shared" si="39"/>
        <v/>
      </c>
      <c r="J85" s="3" t="str">
        <f t="shared" si="39"/>
        <v/>
      </c>
      <c r="K85" s="3" t="str">
        <f t="shared" si="39"/>
        <v/>
      </c>
      <c r="L85" s="3" t="str">
        <f t="shared" si="39"/>
        <v/>
      </c>
      <c r="M85" s="3" t="str">
        <f t="shared" si="39"/>
        <v/>
      </c>
      <c r="N85" s="3" t="str">
        <f t="shared" si="39"/>
        <v/>
      </c>
      <c r="O85" s="3" t="str">
        <f t="shared" si="39"/>
        <v/>
      </c>
      <c r="P85" s="3">
        <f t="shared" si="39"/>
        <v>2901.9795573843894</v>
      </c>
      <c r="Q85" s="3" t="str">
        <f t="shared" si="39"/>
        <v/>
      </c>
      <c r="R85" s="3">
        <f t="shared" si="39"/>
        <v>2901.9795573843885</v>
      </c>
      <c r="S85" s="3" t="str">
        <f t="shared" si="39"/>
        <v/>
      </c>
      <c r="T85" s="3">
        <f t="shared" si="39"/>
        <v>2901.9795573843885</v>
      </c>
      <c r="U85" s="3" t="str">
        <f t="shared" si="39"/>
        <v/>
      </c>
      <c r="V85" s="3">
        <f t="shared" si="39"/>
        <v>2901.9795573843885</v>
      </c>
      <c r="W85" s="3" t="str">
        <f t="shared" si="39"/>
        <v/>
      </c>
      <c r="X85" s="3">
        <f t="shared" si="39"/>
        <v>2901.979557384388</v>
      </c>
      <c r="Y85" s="3" t="str">
        <f t="shared" si="39"/>
        <v/>
      </c>
    </row>
    <row r="86" spans="4:25" outlineLevel="1" x14ac:dyDescent="0.2">
      <c r="D86">
        <f t="shared" si="35"/>
        <v>-12</v>
      </c>
      <c r="E86" s="3" t="str">
        <f t="shared" ref="E86:Y86" si="40">IF(E37&lt;&gt;"",E37+E$49,"")</f>
        <v/>
      </c>
      <c r="F86" s="3" t="str">
        <f t="shared" si="40"/>
        <v/>
      </c>
      <c r="G86" s="3" t="str">
        <f t="shared" si="40"/>
        <v/>
      </c>
      <c r="H86" s="3" t="str">
        <f t="shared" si="40"/>
        <v/>
      </c>
      <c r="I86" s="3" t="str">
        <f t="shared" si="40"/>
        <v/>
      </c>
      <c r="J86" s="3" t="str">
        <f t="shared" si="40"/>
        <v/>
      </c>
      <c r="K86" s="3" t="str">
        <f t="shared" si="40"/>
        <v/>
      </c>
      <c r="L86" s="3" t="str">
        <f t="shared" si="40"/>
        <v/>
      </c>
      <c r="M86" s="3" t="str">
        <f t="shared" si="40"/>
        <v/>
      </c>
      <c r="N86" s="3" t="str">
        <f t="shared" si="40"/>
        <v/>
      </c>
      <c r="O86" s="3" t="str">
        <f t="shared" si="40"/>
        <v/>
      </c>
      <c r="P86" s="3" t="str">
        <f t="shared" si="40"/>
        <v/>
      </c>
      <c r="Q86" s="3">
        <f t="shared" si="40"/>
        <v>2893.2290154747802</v>
      </c>
      <c r="R86" s="3" t="str">
        <f t="shared" si="40"/>
        <v/>
      </c>
      <c r="S86" s="3">
        <f t="shared" si="40"/>
        <v>2893.2290154747802</v>
      </c>
      <c r="T86" s="3" t="str">
        <f t="shared" si="40"/>
        <v/>
      </c>
      <c r="U86" s="3">
        <f t="shared" si="40"/>
        <v>2893.2290154747802</v>
      </c>
      <c r="V86" s="3" t="str">
        <f t="shared" si="40"/>
        <v/>
      </c>
      <c r="W86" s="3">
        <f t="shared" si="40"/>
        <v>2893.2290154747802</v>
      </c>
      <c r="X86" s="3" t="str">
        <f t="shared" si="40"/>
        <v/>
      </c>
      <c r="Y86" s="3">
        <f t="shared" si="40"/>
        <v>2893.2290154747798</v>
      </c>
    </row>
    <row r="87" spans="4:25" outlineLevel="1" x14ac:dyDescent="0.2">
      <c r="D87">
        <f t="shared" si="35"/>
        <v>-13</v>
      </c>
      <c r="E87" s="3" t="str">
        <f t="shared" ref="E87:Y87" si="41">IF(E38&lt;&gt;"",E38+E$49,"")</f>
        <v/>
      </c>
      <c r="F87" s="3" t="str">
        <f t="shared" si="41"/>
        <v/>
      </c>
      <c r="G87" s="3" t="str">
        <f t="shared" si="41"/>
        <v/>
      </c>
      <c r="H87" s="3" t="str">
        <f t="shared" si="41"/>
        <v/>
      </c>
      <c r="I87" s="3" t="str">
        <f t="shared" si="41"/>
        <v/>
      </c>
      <c r="J87" s="3" t="str">
        <f t="shared" si="41"/>
        <v/>
      </c>
      <c r="K87" s="3" t="str">
        <f t="shared" si="41"/>
        <v/>
      </c>
      <c r="L87" s="3" t="str">
        <f t="shared" si="41"/>
        <v/>
      </c>
      <c r="M87" s="3" t="str">
        <f t="shared" si="41"/>
        <v/>
      </c>
      <c r="N87" s="3" t="str">
        <f t="shared" si="41"/>
        <v/>
      </c>
      <c r="O87" s="3" t="str">
        <f t="shared" si="41"/>
        <v/>
      </c>
      <c r="P87" s="3" t="str">
        <f t="shared" si="41"/>
        <v/>
      </c>
      <c r="Q87" s="3" t="str">
        <f t="shared" si="41"/>
        <v/>
      </c>
      <c r="R87" s="3">
        <f t="shared" si="41"/>
        <v>2884.5048596861611</v>
      </c>
      <c r="S87" s="3" t="str">
        <f t="shared" si="41"/>
        <v/>
      </c>
      <c r="T87" s="3">
        <f t="shared" si="41"/>
        <v>2884.504859686162</v>
      </c>
      <c r="U87" s="3" t="str">
        <f t="shared" si="41"/>
        <v/>
      </c>
      <c r="V87" s="3">
        <f t="shared" si="41"/>
        <v>2884.504859686162</v>
      </c>
      <c r="W87" s="3" t="str">
        <f t="shared" si="41"/>
        <v/>
      </c>
      <c r="X87" s="3">
        <f t="shared" si="41"/>
        <v>2884.504859686162</v>
      </c>
      <c r="Y87" s="3" t="str">
        <f t="shared" si="41"/>
        <v/>
      </c>
    </row>
    <row r="88" spans="4:25" outlineLevel="1" x14ac:dyDescent="0.2">
      <c r="D88">
        <f t="shared" si="35"/>
        <v>-14</v>
      </c>
      <c r="E88" s="3" t="str">
        <f t="shared" ref="E88:Y88" si="42">IF(E39&lt;&gt;"",E39+E$49,"")</f>
        <v/>
      </c>
      <c r="F88" s="3" t="str">
        <f t="shared" si="42"/>
        <v/>
      </c>
      <c r="G88" s="3" t="str">
        <f t="shared" si="42"/>
        <v/>
      </c>
      <c r="H88" s="3" t="str">
        <f t="shared" si="42"/>
        <v/>
      </c>
      <c r="I88" s="3" t="str">
        <f t="shared" si="42"/>
        <v/>
      </c>
      <c r="J88" s="3" t="str">
        <f t="shared" si="42"/>
        <v/>
      </c>
      <c r="K88" s="3" t="str">
        <f t="shared" si="42"/>
        <v/>
      </c>
      <c r="L88" s="3" t="str">
        <f t="shared" si="42"/>
        <v/>
      </c>
      <c r="M88" s="3" t="str">
        <f t="shared" si="42"/>
        <v/>
      </c>
      <c r="N88" s="3" t="str">
        <f t="shared" si="42"/>
        <v/>
      </c>
      <c r="O88" s="3" t="str">
        <f t="shared" si="42"/>
        <v/>
      </c>
      <c r="P88" s="3" t="str">
        <f t="shared" si="42"/>
        <v/>
      </c>
      <c r="Q88" s="3" t="str">
        <f t="shared" si="42"/>
        <v/>
      </c>
      <c r="R88" s="3" t="str">
        <f t="shared" si="42"/>
        <v/>
      </c>
      <c r="S88" s="3">
        <f t="shared" si="42"/>
        <v>2875.8070104546173</v>
      </c>
      <c r="T88" s="3" t="str">
        <f t="shared" si="42"/>
        <v/>
      </c>
      <c r="U88" s="3">
        <f t="shared" si="42"/>
        <v>2875.8070104546182</v>
      </c>
      <c r="V88" s="3" t="str">
        <f t="shared" si="42"/>
        <v/>
      </c>
      <c r="W88" s="3">
        <f t="shared" si="42"/>
        <v>2875.8070104546182</v>
      </c>
      <c r="X88" s="3" t="str">
        <f t="shared" si="42"/>
        <v/>
      </c>
      <c r="Y88" s="3">
        <f t="shared" si="42"/>
        <v>2875.8070104546182</v>
      </c>
    </row>
    <row r="89" spans="4:25" outlineLevel="1" x14ac:dyDescent="0.2">
      <c r="D89">
        <f t="shared" si="35"/>
        <v>-15</v>
      </c>
      <c r="E89" s="3" t="str">
        <f t="shared" ref="E89:Y89" si="43">IF(E40&lt;&gt;"",E40+E$49,"")</f>
        <v/>
      </c>
      <c r="F89" s="3" t="str">
        <f t="shared" si="43"/>
        <v/>
      </c>
      <c r="G89" s="3" t="str">
        <f t="shared" si="43"/>
        <v/>
      </c>
      <c r="H89" s="3" t="str">
        <f t="shared" si="43"/>
        <v/>
      </c>
      <c r="I89" s="3" t="str">
        <f t="shared" si="43"/>
        <v/>
      </c>
      <c r="J89" s="3" t="str">
        <f t="shared" si="43"/>
        <v/>
      </c>
      <c r="K89" s="3" t="str">
        <f t="shared" si="43"/>
        <v/>
      </c>
      <c r="L89" s="3" t="str">
        <f t="shared" si="43"/>
        <v/>
      </c>
      <c r="M89" s="3" t="str">
        <f t="shared" si="43"/>
        <v/>
      </c>
      <c r="N89" s="3" t="str">
        <f t="shared" si="43"/>
        <v/>
      </c>
      <c r="O89" s="3" t="str">
        <f t="shared" si="43"/>
        <v/>
      </c>
      <c r="P89" s="3" t="str">
        <f t="shared" si="43"/>
        <v/>
      </c>
      <c r="Q89" s="3" t="str">
        <f t="shared" si="43"/>
        <v/>
      </c>
      <c r="R89" s="3" t="str">
        <f t="shared" si="43"/>
        <v/>
      </c>
      <c r="S89" s="3" t="str">
        <f t="shared" si="43"/>
        <v/>
      </c>
      <c r="T89" s="3">
        <f t="shared" si="43"/>
        <v>2867.1353884561463</v>
      </c>
      <c r="U89" s="3" t="str">
        <f t="shared" si="43"/>
        <v/>
      </c>
      <c r="V89" s="3">
        <f t="shared" si="43"/>
        <v>2867.1353884561472</v>
      </c>
      <c r="W89" s="3" t="str">
        <f t="shared" si="43"/>
        <v/>
      </c>
      <c r="X89" s="3">
        <f t="shared" si="43"/>
        <v>2867.1353884561472</v>
      </c>
      <c r="Y89" s="3" t="str">
        <f t="shared" si="43"/>
        <v/>
      </c>
    </row>
    <row r="90" spans="4:25" outlineLevel="1" x14ac:dyDescent="0.2">
      <c r="D90">
        <f t="shared" si="35"/>
        <v>-16</v>
      </c>
      <c r="E90" s="3" t="str">
        <f t="shared" ref="E90:Y90" si="44">IF(E41&lt;&gt;"",E41+E$49,"")</f>
        <v/>
      </c>
      <c r="F90" s="3" t="str">
        <f t="shared" si="44"/>
        <v/>
      </c>
      <c r="G90" s="3" t="str">
        <f t="shared" si="44"/>
        <v/>
      </c>
      <c r="H90" s="3" t="str">
        <f t="shared" si="44"/>
        <v/>
      </c>
      <c r="I90" s="3" t="str">
        <f t="shared" si="44"/>
        <v/>
      </c>
      <c r="J90" s="3" t="str">
        <f t="shared" si="44"/>
        <v/>
      </c>
      <c r="K90" s="3" t="str">
        <f t="shared" si="44"/>
        <v/>
      </c>
      <c r="L90" s="3" t="str">
        <f t="shared" si="44"/>
        <v/>
      </c>
      <c r="M90" s="3" t="str">
        <f t="shared" si="44"/>
        <v/>
      </c>
      <c r="N90" s="3" t="str">
        <f t="shared" si="44"/>
        <v/>
      </c>
      <c r="O90" s="3" t="str">
        <f t="shared" si="44"/>
        <v/>
      </c>
      <c r="P90" s="3" t="str">
        <f t="shared" si="44"/>
        <v/>
      </c>
      <c r="Q90" s="3" t="str">
        <f t="shared" si="44"/>
        <v/>
      </c>
      <c r="R90" s="3" t="str">
        <f t="shared" si="44"/>
        <v/>
      </c>
      <c r="S90" s="3" t="str">
        <f t="shared" si="44"/>
        <v/>
      </c>
      <c r="T90" s="3" t="str">
        <f t="shared" si="44"/>
        <v/>
      </c>
      <c r="U90" s="3">
        <f t="shared" si="44"/>
        <v>2858.4899146059361</v>
      </c>
      <c r="V90" s="3" t="str">
        <f t="shared" si="44"/>
        <v/>
      </c>
      <c r="W90" s="3">
        <f t="shared" si="44"/>
        <v>2858.4899146059388</v>
      </c>
      <c r="X90" s="3" t="str">
        <f t="shared" si="44"/>
        <v/>
      </c>
      <c r="Y90" s="3">
        <f t="shared" si="44"/>
        <v>2858.4899146059352</v>
      </c>
    </row>
    <row r="91" spans="4:25" outlineLevel="1" x14ac:dyDescent="0.2">
      <c r="D91">
        <f t="shared" si="35"/>
        <v>-17</v>
      </c>
      <c r="E91" s="3" t="str">
        <f t="shared" ref="E91:Y91" si="45">IF(E42&lt;&gt;"",E42+E$49,"")</f>
        <v/>
      </c>
      <c r="F91" s="3" t="str">
        <f t="shared" si="45"/>
        <v/>
      </c>
      <c r="G91" s="3" t="str">
        <f t="shared" si="45"/>
        <v/>
      </c>
      <c r="H91" s="3" t="str">
        <f t="shared" si="45"/>
        <v/>
      </c>
      <c r="I91" s="3" t="str">
        <f t="shared" si="45"/>
        <v/>
      </c>
      <c r="J91" s="3" t="str">
        <f t="shared" si="45"/>
        <v/>
      </c>
      <c r="K91" s="3" t="str">
        <f t="shared" si="45"/>
        <v/>
      </c>
      <c r="L91" s="3" t="str">
        <f t="shared" si="45"/>
        <v/>
      </c>
      <c r="M91" s="3" t="str">
        <f t="shared" si="45"/>
        <v/>
      </c>
      <c r="N91" s="3" t="str">
        <f t="shared" si="45"/>
        <v/>
      </c>
      <c r="O91" s="3" t="str">
        <f t="shared" si="45"/>
        <v/>
      </c>
      <c r="P91" s="3" t="str">
        <f t="shared" si="45"/>
        <v/>
      </c>
      <c r="Q91" s="3" t="str">
        <f t="shared" si="45"/>
        <v/>
      </c>
      <c r="R91" s="3" t="str">
        <f t="shared" si="45"/>
        <v/>
      </c>
      <c r="S91" s="3" t="str">
        <f t="shared" si="45"/>
        <v/>
      </c>
      <c r="T91" s="3" t="str">
        <f t="shared" si="45"/>
        <v/>
      </c>
      <c r="U91" s="3" t="str">
        <f t="shared" si="45"/>
        <v/>
      </c>
      <c r="V91" s="3">
        <f t="shared" si="45"/>
        <v>2849.8705100576508</v>
      </c>
      <c r="W91" s="3" t="str">
        <f t="shared" si="45"/>
        <v/>
      </c>
      <c r="X91" s="3">
        <f t="shared" si="45"/>
        <v>2849.8705100576503</v>
      </c>
      <c r="Y91" s="3" t="str">
        <f t="shared" si="45"/>
        <v/>
      </c>
    </row>
    <row r="92" spans="4:25" outlineLevel="1" x14ac:dyDescent="0.2">
      <c r="D92">
        <f t="shared" si="35"/>
        <v>-18</v>
      </c>
      <c r="E92" s="3" t="str">
        <f t="shared" ref="E92:Y92" si="46">IF(E43&lt;&gt;"",E43+E$49,"")</f>
        <v/>
      </c>
      <c r="F92" s="3" t="str">
        <f t="shared" si="46"/>
        <v/>
      </c>
      <c r="G92" s="3" t="str">
        <f t="shared" si="46"/>
        <v/>
      </c>
      <c r="H92" s="3" t="str">
        <f t="shared" si="46"/>
        <v/>
      </c>
      <c r="I92" s="3" t="str">
        <f t="shared" si="46"/>
        <v/>
      </c>
      <c r="J92" s="3" t="str">
        <f t="shared" si="46"/>
        <v/>
      </c>
      <c r="K92" s="3" t="str">
        <f t="shared" si="46"/>
        <v/>
      </c>
      <c r="L92" s="3" t="str">
        <f t="shared" si="46"/>
        <v/>
      </c>
      <c r="M92" s="3" t="str">
        <f t="shared" si="46"/>
        <v/>
      </c>
      <c r="N92" s="3" t="str">
        <f t="shared" si="46"/>
        <v/>
      </c>
      <c r="O92" s="3" t="str">
        <f t="shared" si="46"/>
        <v/>
      </c>
      <c r="P92" s="3" t="str">
        <f t="shared" si="46"/>
        <v/>
      </c>
      <c r="Q92" s="3" t="str">
        <f t="shared" si="46"/>
        <v/>
      </c>
      <c r="R92" s="3" t="str">
        <f t="shared" si="46"/>
        <v/>
      </c>
      <c r="S92" s="3" t="str">
        <f t="shared" si="46"/>
        <v/>
      </c>
      <c r="T92" s="3" t="str">
        <f t="shared" si="46"/>
        <v/>
      </c>
      <c r="U92" s="3" t="str">
        <f t="shared" si="46"/>
        <v/>
      </c>
      <c r="V92" s="3" t="str">
        <f t="shared" si="46"/>
        <v/>
      </c>
      <c r="W92" s="3">
        <f t="shared" si="46"/>
        <v>2841.277096202698</v>
      </c>
      <c r="X92" s="3" t="str">
        <f t="shared" si="46"/>
        <v/>
      </c>
      <c r="Y92" s="3">
        <f t="shared" si="46"/>
        <v>2841.2770962026971</v>
      </c>
    </row>
    <row r="93" spans="4:25" outlineLevel="1" x14ac:dyDescent="0.2">
      <c r="D93">
        <f t="shared" si="35"/>
        <v>-19</v>
      </c>
      <c r="E93" s="3" t="str">
        <f t="shared" ref="E93:Y93" si="47">IF(E44&lt;&gt;"",E44+E$49,"")</f>
        <v/>
      </c>
      <c r="F93" s="3" t="str">
        <f t="shared" si="47"/>
        <v/>
      </c>
      <c r="G93" s="3" t="str">
        <f t="shared" si="47"/>
        <v/>
      </c>
      <c r="H93" s="3" t="str">
        <f t="shared" si="47"/>
        <v/>
      </c>
      <c r="I93" s="3" t="str">
        <f t="shared" si="47"/>
        <v/>
      </c>
      <c r="J93" s="3" t="str">
        <f t="shared" si="47"/>
        <v/>
      </c>
      <c r="K93" s="3" t="str">
        <f t="shared" si="47"/>
        <v/>
      </c>
      <c r="L93" s="3" t="str">
        <f t="shared" si="47"/>
        <v/>
      </c>
      <c r="M93" s="3" t="str">
        <f t="shared" si="47"/>
        <v/>
      </c>
      <c r="N93" s="3" t="str">
        <f t="shared" si="47"/>
        <v/>
      </c>
      <c r="O93" s="3" t="str">
        <f t="shared" si="47"/>
        <v/>
      </c>
      <c r="P93" s="3" t="str">
        <f t="shared" si="47"/>
        <v/>
      </c>
      <c r="Q93" s="3" t="str">
        <f t="shared" si="47"/>
        <v/>
      </c>
      <c r="R93" s="3" t="str">
        <f t="shared" si="47"/>
        <v/>
      </c>
      <c r="S93" s="3" t="str">
        <f t="shared" si="47"/>
        <v/>
      </c>
      <c r="T93" s="3" t="str">
        <f t="shared" si="47"/>
        <v/>
      </c>
      <c r="U93" s="3" t="str">
        <f t="shared" si="47"/>
        <v/>
      </c>
      <c r="V93" s="3" t="str">
        <f t="shared" si="47"/>
        <v/>
      </c>
      <c r="W93" s="3" t="str">
        <f t="shared" si="47"/>
        <v/>
      </c>
      <c r="X93" s="3">
        <f t="shared" si="47"/>
        <v>2832.709594669524</v>
      </c>
      <c r="Y93" s="3" t="str">
        <f t="shared" si="47"/>
        <v/>
      </c>
    </row>
    <row r="94" spans="4:25" outlineLevel="1" x14ac:dyDescent="0.2">
      <c r="D94">
        <f t="shared" si="35"/>
        <v>-20</v>
      </c>
      <c r="E94" s="3" t="str">
        <f t="shared" ref="E94:Y94" si="48">IF(E45&lt;&gt;"",E45+E$49,"")</f>
        <v/>
      </c>
      <c r="F94" s="3" t="str">
        <f t="shared" si="48"/>
        <v/>
      </c>
      <c r="G94" s="3" t="str">
        <f t="shared" si="48"/>
        <v/>
      </c>
      <c r="H94" s="3" t="str">
        <f t="shared" si="48"/>
        <v/>
      </c>
      <c r="I94" s="3" t="str">
        <f t="shared" si="48"/>
        <v/>
      </c>
      <c r="J94" s="3" t="str">
        <f t="shared" si="48"/>
        <v/>
      </c>
      <c r="K94" s="3" t="str">
        <f t="shared" si="48"/>
        <v/>
      </c>
      <c r="L94" s="3" t="str">
        <f t="shared" si="48"/>
        <v/>
      </c>
      <c r="M94" s="3" t="str">
        <f t="shared" si="48"/>
        <v/>
      </c>
      <c r="N94" s="3" t="str">
        <f t="shared" si="48"/>
        <v/>
      </c>
      <c r="O94" s="3" t="str">
        <f t="shared" si="48"/>
        <v/>
      </c>
      <c r="P94" s="3" t="str">
        <f t="shared" si="48"/>
        <v/>
      </c>
      <c r="Q94" s="3" t="str">
        <f t="shared" si="48"/>
        <v/>
      </c>
      <c r="R94" s="3" t="str">
        <f t="shared" si="48"/>
        <v/>
      </c>
      <c r="S94" s="3" t="str">
        <f t="shared" si="48"/>
        <v/>
      </c>
      <c r="T94" s="3" t="str">
        <f t="shared" si="48"/>
        <v/>
      </c>
      <c r="U94" s="3" t="str">
        <f t="shared" si="48"/>
        <v/>
      </c>
      <c r="V94" s="3" t="str">
        <f t="shared" si="48"/>
        <v/>
      </c>
      <c r="W94" s="3" t="str">
        <f t="shared" si="48"/>
        <v/>
      </c>
      <c r="X94" s="3" t="str">
        <f t="shared" si="48"/>
        <v/>
      </c>
      <c r="Y94" s="3">
        <f t="shared" si="48"/>
        <v>2824.1679273228901</v>
      </c>
    </row>
    <row r="95" spans="4:25" outlineLevel="1" x14ac:dyDescent="0.2"/>
    <row r="97" spans="4:27" x14ac:dyDescent="0.2">
      <c r="E97">
        <f>E53</f>
        <v>0</v>
      </c>
      <c r="F97">
        <f t="shared" ref="F97:Y97" si="49">F53</f>
        <v>1</v>
      </c>
      <c r="G97">
        <f t="shared" si="49"/>
        <v>2</v>
      </c>
      <c r="H97">
        <f t="shared" si="49"/>
        <v>3</v>
      </c>
      <c r="I97">
        <f t="shared" si="49"/>
        <v>4</v>
      </c>
      <c r="J97">
        <f t="shared" si="49"/>
        <v>5</v>
      </c>
      <c r="K97">
        <f t="shared" si="49"/>
        <v>6</v>
      </c>
      <c r="L97">
        <f t="shared" si="49"/>
        <v>7</v>
      </c>
      <c r="M97">
        <f t="shared" si="49"/>
        <v>8</v>
      </c>
      <c r="N97">
        <f t="shared" si="49"/>
        <v>9</v>
      </c>
      <c r="O97">
        <f t="shared" si="49"/>
        <v>10</v>
      </c>
      <c r="P97">
        <f t="shared" si="49"/>
        <v>11</v>
      </c>
      <c r="Q97">
        <f t="shared" si="49"/>
        <v>12</v>
      </c>
      <c r="R97">
        <f t="shared" si="49"/>
        <v>13</v>
      </c>
      <c r="S97">
        <f t="shared" si="49"/>
        <v>14</v>
      </c>
      <c r="T97">
        <f t="shared" si="49"/>
        <v>15</v>
      </c>
      <c r="U97">
        <f t="shared" si="49"/>
        <v>16</v>
      </c>
      <c r="V97">
        <f t="shared" si="49"/>
        <v>17</v>
      </c>
      <c r="W97">
        <f t="shared" si="49"/>
        <v>18</v>
      </c>
      <c r="X97">
        <f t="shared" si="49"/>
        <v>19</v>
      </c>
      <c r="Y97">
        <f t="shared" si="49"/>
        <v>20</v>
      </c>
    </row>
    <row r="98" spans="4:27" x14ac:dyDescent="0.2">
      <c r="D98">
        <f t="shared" ref="D98:D115" si="50">D99+1</f>
        <v>20</v>
      </c>
      <c r="Y98" s="3">
        <f>MAX($C$21*(Y54-$C$23),0)</f>
        <v>3157.7793387666293</v>
      </c>
    </row>
    <row r="99" spans="4:27" x14ac:dyDescent="0.2">
      <c r="D99">
        <f t="shared" si="50"/>
        <v>19</v>
      </c>
      <c r="X99" s="3">
        <f>MAX(EXP(-$C$14*$C$12)*(Y98*$C$20+Y100*(1-$C$20)),$C$21*(X55-$C$23))</f>
        <v>3148.1700334005104</v>
      </c>
      <c r="Z99" s="11" t="e">
        <f ca="1">_xll.QR.ExcelAPI.QrCall("BarrierPricer",$X55,$C$23,$C$15,$C$31,$C$22,$B$26:$C$26,$B$29:$C$29,"0",0)</f>
        <v>#NAME?</v>
      </c>
    </row>
    <row r="100" spans="4:27" x14ac:dyDescent="0.2">
      <c r="D100">
        <f t="shared" si="50"/>
        <v>18</v>
      </c>
      <c r="W100" s="3">
        <f>MAX(EXP(-$C$14*$C$12)*(X99*$C$20+X101*(1-$C$20)),$C$21*(W56-$C$23))</f>
        <v>3138.5897036848123</v>
      </c>
      <c r="X100" s="3"/>
      <c r="Y100" s="3">
        <f>MAX($C$21*(Y56-$C$23),0)</f>
        <v>3138.5896772012347</v>
      </c>
    </row>
    <row r="101" spans="4:27" x14ac:dyDescent="0.2">
      <c r="D101">
        <f t="shared" si="50"/>
        <v>17</v>
      </c>
      <c r="V101" s="3">
        <f>MAX(EXP(-$C$14*$C$12)*(W100*$C$20+W102*(1-$C$20)),$C$21*(V57-$C$23))</f>
        <v>3129.0382622472298</v>
      </c>
      <c r="X101" s="3">
        <f>MAX(EXP(-$C$14*$C$12)*(Y100*$C$20+Y102*(1-$C$20)),$C$21*(X57-$C$23))</f>
        <v>3129.0382357636645</v>
      </c>
      <c r="Z101" s="11" t="e">
        <f ca="1">_xll.QR.ExcelAPI.QrCall("BarrierPricer",$X57,$C$23,$C$15,$C$31,$C$22,$B$26:$C$26,$B$29:$C$29,"0",0)</f>
        <v>#NAME?</v>
      </c>
    </row>
    <row r="102" spans="4:27" x14ac:dyDescent="0.2">
      <c r="D102">
        <f t="shared" si="50"/>
        <v>16</v>
      </c>
      <c r="U102" s="3">
        <f>MAX(EXP(-$C$14*$C$12)*(V101*$C$20+V103*(1-$C$20)),$C$21*(U58-$C$23))</f>
        <v>3119.5156219789178</v>
      </c>
      <c r="W102" s="3">
        <f>MAX(EXP(-$C$14*$C$12)*(X101*$C$20+X103*(1-$C$20)),$C$21*(W58-$C$23))</f>
        <v>3119.5155954953648</v>
      </c>
      <c r="X102" s="3"/>
      <c r="Y102" s="3">
        <f>MAX($C$21*(Y58-$C$23),0)</f>
        <v>3119.5155690117872</v>
      </c>
    </row>
    <row r="103" spans="4:27" x14ac:dyDescent="0.2">
      <c r="D103">
        <f t="shared" si="50"/>
        <v>15</v>
      </c>
      <c r="T103" s="3">
        <f>MAX(EXP(-$C$14*$C$12)*(U102*$C$20+U104*(1-$C$20)),$C$21*(T59-$C$23))</f>
        <v>3110.0216960336966</v>
      </c>
      <c r="V103" s="3">
        <f>MAX(EXP(-$C$14*$C$12)*(W102*$C$20+W104*(1-$C$20)),$C$21*(V59-$C$23))</f>
        <v>3110.0216695501558</v>
      </c>
      <c r="X103" s="3">
        <f>MAX(EXP(-$C$14*$C$12)*(Y102*$C$20+Y104*(1-$C$20)),$C$21*(X59-$C$23))</f>
        <v>3110.0216430665905</v>
      </c>
      <c r="Z103" s="11" t="e">
        <f ca="1">_xll.QR.ExcelAPI.QrCall("BarrierPricer",$X59,$C$23,$C$15,$C$31,$C$22,$B$26:$C$26,$B$29:$C$29,"0",0)</f>
        <v>#NAME?</v>
      </c>
    </row>
    <row r="104" spans="4:27" x14ac:dyDescent="0.2">
      <c r="D104">
        <f t="shared" si="50"/>
        <v>14</v>
      </c>
      <c r="S104" s="3">
        <f>MAX(EXP(-$C$14*$C$12)*(T103*$C$20+T105*(1-$C$20)),$C$21*(S60-$C$23))</f>
        <v>3100.5563978272598</v>
      </c>
      <c r="U104" s="3">
        <f>MAX(EXP(-$C$14*$C$12)*(V103*$C$20+V105*(1-$C$20)),$C$21*(U60-$C$23))</f>
        <v>3100.5563713437309</v>
      </c>
      <c r="W104" s="3">
        <f>MAX(EXP(-$C$14*$C$12)*(X103*$C$20+X105*(1-$C$20)),$C$21*(W60-$C$23))</f>
        <v>3100.5563448601774</v>
      </c>
      <c r="Y104" s="3">
        <f>MAX($C$21*(Y60-$C$23),0)</f>
        <v>3100.5563183766003</v>
      </c>
    </row>
    <row r="105" spans="4:27" x14ac:dyDescent="0.2">
      <c r="D105">
        <f t="shared" si="50"/>
        <v>13</v>
      </c>
      <c r="R105" s="3">
        <f>MAX(EXP(-$C$14*$C$12)*(S104*$C$20+S106*(1-$C$20)),$C$21*(R61-$C$23))</f>
        <v>3091.1196410363841</v>
      </c>
      <c r="T105" s="3">
        <f>MAX(EXP(-$C$14*$C$12)*(U104*$C$20+U106*(1-$C$20)),$C$21*(T61-$C$23))</f>
        <v>3091.1196145528675</v>
      </c>
      <c r="V105" s="3">
        <f>MAX(EXP(-$C$14*$C$12)*(W104*$C$20+W106*(1-$C$20)),$C$21*(V61-$C$23))</f>
        <v>3091.1195880693258</v>
      </c>
      <c r="X105" s="3">
        <f>MAX(EXP(-$C$14*$C$12)*(Y104*$C$20+Y106*(1-$C$20)),$C$21*(X61-$C$23))</f>
        <v>3091.1195615857605</v>
      </c>
      <c r="Z105" s="11" t="e">
        <f ca="1">_xll.QR.ExcelAPI.QrCall("BarrierPricer",$X61,$C$23,$C$15,$C$31,$C$22,$B$26:$C$26,$B$29:$C$29,"0",0)</f>
        <v>#NAME?</v>
      </c>
    </row>
    <row r="106" spans="4:27" x14ac:dyDescent="0.2">
      <c r="D106">
        <f t="shared" si="50"/>
        <v>12</v>
      </c>
      <c r="Q106" s="3">
        <f>MAX(EXP(-$C$14*$C$12)*(R105*$C$20+R107*(1-$C$20)),$C$21*(Q62-$C$23))</f>
        <v>3081.7113395981437</v>
      </c>
      <c r="S106" s="3">
        <f>MAX(EXP(-$C$14*$C$12)*(T105*$C$20+T107*(1-$C$20)),$C$21*(S62-$C$23))</f>
        <v>3081.7113131146389</v>
      </c>
      <c r="U106" s="3">
        <f>MAX(EXP(-$C$14*$C$12)*(V105*$C$20+V107*(1-$C$20)),$C$21*(U62-$C$23))</f>
        <v>3081.7112866311095</v>
      </c>
      <c r="W106" s="3">
        <f>MAX(EXP(-$C$14*$C$12)*(X105*$C$20+X107*(1-$C$20)),$C$21*(W62-$C$23))</f>
        <v>3081.711260147556</v>
      </c>
      <c r="Y106" s="3">
        <f>MAX($C$21*(Y62-$C$23),0)</f>
        <v>3081.7112336639784</v>
      </c>
    </row>
    <row r="107" spans="4:27" x14ac:dyDescent="0.2">
      <c r="D107">
        <f t="shared" si="50"/>
        <v>11</v>
      </c>
      <c r="P107" s="3" t="e">
        <f ca="1">MAX(EXP(-$C$14*$C$12)*(Q106*$C$20+Q108*(1-$C$20)),$C$21*(P63-$C$23))</f>
        <v>#NAME?</v>
      </c>
      <c r="R107" s="3">
        <f>MAX(EXP(-$C$14*$C$12)*(S106*$C$20+S108*(1-$C$20)),$C$21*(R63-$C$23))</f>
        <v>3072.3313812256301</v>
      </c>
      <c r="T107" s="3">
        <f>MAX(EXP(-$C$14*$C$12)*(U106*$C$20+U108*(1-$C$20)),$C$21*(T63-$C$23))</f>
        <v>3072.331354742113</v>
      </c>
      <c r="V107" s="3">
        <f>MAX(EXP(-$C$14*$C$12)*(W106*$C$20+W108*(1-$C$20)),$C$21*(V63-$C$23))</f>
        <v>3072.3313282585714</v>
      </c>
      <c r="X107" s="3">
        <f>MAX(EXP(-$C$14*$C$12)*(Y106*$C$20+Y108*(1-$C$20)),$C$21*(X63-$C$23))</f>
        <v>3072.3313017750061</v>
      </c>
      <c r="Z107" s="11" t="e">
        <f ca="1">_xll.QR.ExcelAPI.QrCall("BarrierPricer",$X63,$C$23,$C$15,$C$31,$C$22,$B$26:$C$26,$B$29:$C$29,"0",0)</f>
        <v>#NAME?</v>
      </c>
    </row>
    <row r="108" spans="4:27" x14ac:dyDescent="0.2">
      <c r="D108">
        <f t="shared" si="50"/>
        <v>10</v>
      </c>
      <c r="O108" s="3" t="e">
        <f ca="1">MAX(EXP(-$C$14*$C$12)*(P107*$C$20+P109*(1-$C$20)),$C$21*(O64-$C$23))</f>
        <v>#NAME?</v>
      </c>
      <c r="Q108" s="3" t="e">
        <f ca="1">MAX(EXP(-$C$14*$C$12)*(R107*$C$20+R109*(1-$C$20)),$C$21*(Q64-$C$23))</f>
        <v>#NAME?</v>
      </c>
      <c r="S108" s="3">
        <f>MAX(EXP(-$C$14*$C$12)*(T107*$C$20+T109*(1-$C$20)),$C$21*(S64-$C$23))</f>
        <v>3062.9797068576504</v>
      </c>
      <c r="U108" s="3">
        <f>MAX(EXP(-$C$14*$C$12)*(V107*$C$20+V109*(1-$C$20)),$C$21*(U64-$C$23))</f>
        <v>3062.9796803741206</v>
      </c>
      <c r="W108" s="3">
        <f>MAX(EXP(-$C$14*$C$12)*(X107*$C$20+X109*(1-$C$20)),$C$21*(W64-$C$23))</f>
        <v>3062.9796538905675</v>
      </c>
      <c r="Y108" s="3">
        <f>MAX($C$21*(Y64-$C$23),0)</f>
        <v>3062.9796274069899</v>
      </c>
    </row>
    <row r="109" spans="4:27" x14ac:dyDescent="0.2">
      <c r="D109">
        <f t="shared" si="50"/>
        <v>9</v>
      </c>
      <c r="N109" s="3" t="e">
        <f ca="1">MAX(EXP(-$C$14*$C$12)*(O108*$C$20+O110*(1-$C$20)),$C$21*(N65-$C$23))</f>
        <v>#NAME?</v>
      </c>
      <c r="P109" s="3" t="e">
        <f ca="1">MAX(EXP(-$C$14*$C$12)*(Q108*$C$20+Q110*(1-$C$20)),$C$21*(P65-$C$23))</f>
        <v>#NAME?</v>
      </c>
      <c r="R109" s="3" t="e">
        <f ca="1">MAX(EXP(-$C$14*$C$12)*(S108*$C$20+S110*(1-$C$20)),$C$21*(R65-$C$23))</f>
        <v>#NAME?</v>
      </c>
      <c r="T109" s="3">
        <f>MAX(EXP(-$C$14*$C$12)*(U108*$C$20+U110*(1-$C$20)),$C$21*(T65-$C$23))</f>
        <v>3053.6562312074675</v>
      </c>
      <c r="V109" s="3">
        <f>MAX(EXP(-$C$14*$C$12)*(W108*$C$20+W110*(1-$C$20)),$C$21*(V65-$C$23))</f>
        <v>3053.6562047239258</v>
      </c>
      <c r="X109" s="3">
        <f>MAX(EXP(-$C$14*$C$12)*(Y108*$C$20+Y110*(1-$C$20)),$C$21*(X65-$C$23))</f>
        <v>3053.656178240361</v>
      </c>
      <c r="Z109" s="11" t="e">
        <f ca="1">_xll.QR.ExcelAPI.QrCall("BarrierPricer",$X65,$C$23,$C$15,$C$31,$C$22,$B$26:$C$26,$B$29:$C$29,"0",0)</f>
        <v>#NAME?</v>
      </c>
    </row>
    <row r="110" spans="4:27" x14ac:dyDescent="0.2">
      <c r="D110">
        <f t="shared" si="50"/>
        <v>8</v>
      </c>
      <c r="M110" s="3" t="e">
        <f ca="1">MAX(EXP(-$C$14*$C$12)*(N109*$C$20+N111*(1-$C$20)),$C$21*(M66-$C$23))</f>
        <v>#NAME?</v>
      </c>
      <c r="O110" s="3" t="e">
        <f ca="1">MAX(EXP(-$C$14*$C$12)*(P109*$C$20+P111*(1-$C$20)),$C$21*(O66-$C$23))</f>
        <v>#NAME?</v>
      </c>
      <c r="Q110" s="3" t="e">
        <f ca="1">MAX(EXP(-$C$14*$C$12)*(R109*$C$20+R111*(1-$C$20)),$C$21*(Q66-$C$23))</f>
        <v>#NAME?</v>
      </c>
      <c r="S110" s="3" t="e">
        <f ca="1">MAX(EXP(-$C$14*$C$12)*(T109*$C$20+T111*(1-$C$20)),$C$21*(S66-$C$23))</f>
        <v>#NAME?</v>
      </c>
      <c r="U110" s="3">
        <f>MAX(EXP(-$C$14*$C$12)*(V109*$C$20+V111*(1-$C$20)),$C$21*(U66-$C$23))</f>
        <v>3044.3608692455164</v>
      </c>
      <c r="W110" s="3">
        <f>MAX(EXP(-$C$14*$C$12)*(X109*$C$20+X111*(1-$C$20)),$C$21*(W66-$C$23))</f>
        <v>3044.3608427619629</v>
      </c>
      <c r="Y110" s="3">
        <f>MAX($C$21*(Y66-$C$23),0)</f>
        <v>3044.3608162783853</v>
      </c>
    </row>
    <row r="111" spans="4:27" x14ac:dyDescent="0.2">
      <c r="D111">
        <f t="shared" si="50"/>
        <v>7</v>
      </c>
      <c r="L111" s="3" t="e">
        <f ca="1">MAX(EXP(-$C$14*$C$12)*(M110*$C$20+M112*(1-$C$20)),$C$21*(L67-$C$23))</f>
        <v>#NAME?</v>
      </c>
      <c r="N111" s="3" t="e">
        <f ca="1">MAX(EXP(-$C$14*$C$12)*(O110*$C$20+O112*(1-$C$20)),$C$21*(N67-$C$23))</f>
        <v>#NAME?</v>
      </c>
      <c r="P111" s="3" t="e">
        <f ca="1">MAX(EXP(-$C$14*$C$12)*(Q110*$C$20+Q112*(1-$C$20)),$C$21*(P67-$C$23))</f>
        <v>#NAME?</v>
      </c>
      <c r="R111" s="3" t="e">
        <f ca="1">MAX(EXP(-$C$14*$C$12)*(S110*$C$20+S112*(1-$C$20)),$C$21*(R67-$C$23))</f>
        <v>#NAME?</v>
      </c>
      <c r="T111" s="3" t="e">
        <f ca="1">MAX(EXP(-$C$14*$C$12)*(U110*$C$20+U112*(1-$C$20)),$C$21*(T67-$C$23))</f>
        <v>#NAME?</v>
      </c>
      <c r="V111" s="3">
        <f>MAX(EXP(-$C$14*$C$12)*(W110*$C$20+W112*(1-$C$20)),$C$21*(V67-$C$23))</f>
        <v>3035.0935361986258</v>
      </c>
      <c r="X111" s="3">
        <f>MAX(EXP(-$C$14*$C$12)*(Y110*$C$20+Y112*(1-$C$20)),$C$21*(X67-$C$23))</f>
        <v>3035.0935097150605</v>
      </c>
      <c r="Z111" s="11" t="e">
        <f ca="1">_xll.QR.ExcelAPI.QrCall("BarrierPricer",$X67,$C$23,$C$15,$C$31,$C$22,$B$26:$C$26,$B$29:$C$29,"0",0)</f>
        <v>#NAME?</v>
      </c>
      <c r="AA111" t="e">
        <f ca="1">_xll.QR.ExcelAPI.QrCall()</f>
        <v>#NAME?</v>
      </c>
    </row>
    <row r="112" spans="4:27" x14ac:dyDescent="0.2">
      <c r="D112">
        <f t="shared" si="50"/>
        <v>6</v>
      </c>
      <c r="K112" s="3" t="e">
        <f ca="1">MAX(EXP(-$C$14*$C$12)*(L111*$C$20+L113*(1-$C$20)),$C$21*(K68-$C$23))</f>
        <v>#NAME?</v>
      </c>
      <c r="M112" s="3" t="e">
        <f ca="1">MAX(EXP(-$C$14*$C$12)*(N111*$C$20+N113*(1-$C$20)),$C$21*(M68-$C$23))</f>
        <v>#NAME?</v>
      </c>
      <c r="O112" s="3" t="e">
        <f ca="1">MAX(EXP(-$C$14*$C$12)*(P111*$C$20+P113*(1-$C$20)),$C$21*(O68-$C$23))</f>
        <v>#NAME?</v>
      </c>
      <c r="Q112" s="3" t="e">
        <f ca="1">MAX(EXP(-$C$14*$C$12)*(R111*$C$20+R113*(1-$C$20)),$C$21*(Q68-$C$23))</f>
        <v>#NAME?</v>
      </c>
      <c r="S112" s="3" t="e">
        <f ca="1">MAX(EXP(-$C$14*$C$12)*(T111*$C$20+T113*(1-$C$20)),$C$21*(S68-$C$23))</f>
        <v>#NAME?</v>
      </c>
      <c r="U112" s="3" t="e">
        <f ca="1">MAX(EXP(-$C$14*$C$12)*(V111*$C$20+V113*(1-$C$20)),$C$21*(U68-$C$23))</f>
        <v>#NAME?</v>
      </c>
      <c r="W112" s="3">
        <f>MAX(EXP(-$C$14*$C$12)*(X111*$C$20+X113*(1-$C$20)),$C$21*(W68-$C$23))</f>
        <v>3025.8541475492489</v>
      </c>
      <c r="X112" s="10"/>
      <c r="Y112" s="3">
        <f>MAX($C$21*(Y68-$C$23),0)</f>
        <v>3025.8541210656717</v>
      </c>
    </row>
    <row r="113" spans="3:26" x14ac:dyDescent="0.2">
      <c r="D113">
        <f t="shared" si="50"/>
        <v>5</v>
      </c>
      <c r="J113" s="3" t="e">
        <f ca="1">MAX(EXP(-$C$14*$C$12)*(K112*$C$20+K114*(1-$C$20)),$C$21*(J69-$C$23))</f>
        <v>#NAME?</v>
      </c>
      <c r="L113" s="3" t="e">
        <f ca="1">MAX(EXP(-$C$14*$C$12)*(M112*$C$20+M114*(1-$C$20)),$C$21*(L69-$C$23))</f>
        <v>#NAME?</v>
      </c>
      <c r="N113" s="3" t="e">
        <f ca="1">MAX(EXP(-$C$14*$C$12)*(O112*$C$20+O114*(1-$C$20)),$C$21*(N69-$C$23))</f>
        <v>#NAME?</v>
      </c>
      <c r="P113" s="3" t="e">
        <f ca="1">MAX(EXP(-$C$14*$C$12)*(Q112*$C$20+Q114*(1-$C$20)),$C$21*(P69-$C$23))</f>
        <v>#NAME?</v>
      </c>
      <c r="R113" s="3" t="e">
        <f ca="1">MAX(EXP(-$C$14*$C$12)*(S112*$C$20+S114*(1-$C$20)),$C$21*(R69-$C$23))</f>
        <v>#NAME?</v>
      </c>
      <c r="T113" s="3" t="e">
        <f ca="1">MAX(EXP(-$C$14*$C$12)*(U112*$C$20+U114*(1-$C$20)),$C$21*(T69-$C$23))</f>
        <v>#NAME?</v>
      </c>
      <c r="V113" s="3" t="e">
        <f ca="1">MAX(EXP(-$C$14*$C$12)*(W112*$C$20+W114*(1-$C$20)),$C$21*(V69-$C$23))</f>
        <v>#NAME?</v>
      </c>
      <c r="X113" s="3">
        <f>MAX(EXP(-$C$14*$C$12)*(Y112*$C$20+Y114*(1-$C$20)),$C$21*(X69-$C$23))</f>
        <v>3016.6426190346888</v>
      </c>
      <c r="Z113" s="11" t="e">
        <f ca="1">_xll.QR.ExcelAPI.QrCall("BarrierPricer",$X69,$C$23,$C$15,$C$31,$C$22,$B$26:$C$26,$B$29:$C$29,"0",0)</f>
        <v>#NAME?</v>
      </c>
    </row>
    <row r="114" spans="3:26" x14ac:dyDescent="0.2">
      <c r="D114">
        <f t="shared" si="50"/>
        <v>4</v>
      </c>
      <c r="I114" s="3" t="e">
        <f ca="1">MAX(EXP(-$C$14*$C$12)*(J113*$C$20+J115*(1-$C$20)),$C$21*(I70-$C$23))</f>
        <v>#NAME?</v>
      </c>
      <c r="K114" s="3" t="e">
        <f ca="1">MAX(EXP(-$C$14*$C$12)*(L113*$C$20+L115*(1-$C$20)),$C$21*(K70-$C$23))</f>
        <v>#NAME?</v>
      </c>
      <c r="M114" s="3" t="e">
        <f ca="1">MAX(EXP(-$C$14*$C$12)*(N113*$C$20+N115*(1-$C$20)),$C$21*(M70-$C$23))</f>
        <v>#NAME?</v>
      </c>
      <c r="O114" s="3" t="e">
        <f ca="1">MAX(EXP(-$C$14*$C$12)*(P113*$C$20+P115*(1-$C$20)),$C$21*(O70-$C$23))</f>
        <v>#NAME?</v>
      </c>
      <c r="Q114" s="3" t="e">
        <f ca="1">MAX(EXP(-$C$14*$C$12)*(R113*$C$20+R115*(1-$C$20)),$C$21*(Q70-$C$23))</f>
        <v>#NAME?</v>
      </c>
      <c r="S114" s="3" t="e">
        <f ca="1">MAX(EXP(-$C$14*$C$12)*(T113*$C$20+T115*(1-$C$20)),$C$21*(S70-$C$23))</f>
        <v>#NAME?</v>
      </c>
      <c r="U114" s="3" t="e">
        <f ca="1">MAX(EXP(-$C$14*$C$12)*(V113*$C$20+V115*(1-$C$20)),$C$21*(U70-$C$23))</f>
        <v>#NAME?</v>
      </c>
      <c r="W114" s="3" t="e">
        <f ca="1">MAX(EXP(-$C$14*$C$12)*(X113*$C$20+X115*(1-$C$20)),$C$21*(W70-$C$23))</f>
        <v>#NAME?</v>
      </c>
      <c r="X114" s="10"/>
      <c r="Y114" s="3">
        <f>MAX($C$21*(Y70-$C$23),0)</f>
        <v>3007.4588666463333</v>
      </c>
    </row>
    <row r="115" spans="3:26" x14ac:dyDescent="0.2">
      <c r="D115">
        <f t="shared" si="50"/>
        <v>3</v>
      </c>
      <c r="H115" s="3" t="e">
        <f ca="1">MAX(EXP(-$C$14*$C$12)*(I114*$C$20+I116*(1-$C$20)),$C$21*(H71-$C$23))</f>
        <v>#NAME?</v>
      </c>
      <c r="J115" s="3" t="e">
        <f ca="1">MAX(EXP(-$C$14*$C$12)*(K114*$C$20+K116*(1-$C$20)),$C$21*(J71-$C$23))</f>
        <v>#NAME?</v>
      </c>
      <c r="L115" s="3" t="e">
        <f ca="1">MAX(EXP(-$C$14*$C$12)*(M114*$C$20+M116*(1-$C$20)),$C$21*(L71-$C$23))</f>
        <v>#NAME?</v>
      </c>
      <c r="N115" s="3" t="e">
        <f ca="1">MAX(EXP(-$C$14*$C$12)*(O114*$C$20+O116*(1-$C$20)),$C$21*(N71-$C$23))</f>
        <v>#NAME?</v>
      </c>
      <c r="P115" s="3" t="e">
        <f ca="1">MAX(EXP(-$C$14*$C$12)*(Q114*$C$20+Q116*(1-$C$20)),$C$21*(P71-$C$23))</f>
        <v>#NAME?</v>
      </c>
      <c r="R115" s="3" t="e">
        <f ca="1">MAX(EXP(-$C$14*$C$12)*(S114*$C$20+S116*(1-$C$20)),$C$21*(R71-$C$23))</f>
        <v>#NAME?</v>
      </c>
      <c r="T115" s="3" t="e">
        <f ca="1">MAX(EXP(-$C$14*$C$12)*(U114*$C$20+U116*(1-$C$20)),$C$21*(T71-$C$23))</f>
        <v>#NAME?</v>
      </c>
      <c r="V115" s="3" t="e">
        <f ca="1">MAX(EXP(-$C$14*$C$12)*(W114*$C$20+W116*(1-$C$20)),$C$21*(V71-$C$23))</f>
        <v>#NAME?</v>
      </c>
      <c r="X115" s="9" t="e">
        <f ca="1">MAX(Z115,(X71-$C$23)*$C$21)</f>
        <v>#NAME?</v>
      </c>
      <c r="Z115" s="11" t="e">
        <f ca="1">_xll.QR.ExcelAPI.QrCall("BarrierPricer",$X71,$C$23,$C$15,$C$31,$C$22,$B$26:$C$26,$B$29:$C$29,"0",0)</f>
        <v>#NAME?</v>
      </c>
    </row>
    <row r="116" spans="3:26" x14ac:dyDescent="0.2">
      <c r="D116">
        <f>D117+1</f>
        <v>2</v>
      </c>
      <c r="G116" s="3" t="e">
        <f ca="1">MAX(EXP(-$C$14*$C$12)*(H115*$C$20+H117*(1-$C$20)),$C$21*(G72-$C$23))</f>
        <v>#NAME?</v>
      </c>
      <c r="I116" s="3" t="e">
        <f ca="1">MAX(EXP(-$C$14*$C$12)*(J115*$C$20+J117*(1-$C$20)),$C$21*(I72-$C$23))</f>
        <v>#NAME?</v>
      </c>
      <c r="K116" s="3" t="e">
        <f ca="1">MAX(EXP(-$C$14*$C$12)*(L115*$C$20+L117*(1-$C$20)),$C$21*(K72-$C$23))</f>
        <v>#NAME?</v>
      </c>
      <c r="M116" s="3" t="e">
        <f ca="1">MAX(EXP(-$C$14*$C$12)*(N115*$C$20+N117*(1-$C$20)),$C$21*(M72-$C$23))</f>
        <v>#NAME?</v>
      </c>
      <c r="O116" s="3" t="e">
        <f ca="1">MAX(EXP(-$C$14*$C$12)*(P115*$C$20+P117*(1-$C$20)),$C$21*(O72-$C$23))</f>
        <v>#NAME?</v>
      </c>
      <c r="Q116" s="3" t="e">
        <f ca="1">MAX(EXP(-$C$14*$C$12)*(R115*$C$20+R117*(1-$C$20)),$C$21*(Q72-$C$23))</f>
        <v>#NAME?</v>
      </c>
      <c r="S116" s="3" t="e">
        <f ca="1">MAX(EXP(-$C$14*$C$12)*(T115*$C$20+T117*(1-$C$20)),$C$21*(S72-$C$23))</f>
        <v>#NAME?</v>
      </c>
      <c r="U116" s="3" t="e">
        <f ca="1">MAX(EXP(-$C$14*$C$12)*(V115*$C$20+V117*(1-$C$20)),$C$21*(U72-$C$23))</f>
        <v>#NAME?</v>
      </c>
      <c r="W116" s="3" t="e">
        <f ca="1">MAX(EXP(-$C$14*$C$12)*(X115*$C$20+X117*(1-$C$20)),$C$21*(W72-$C$23))</f>
        <v>#NAME?</v>
      </c>
      <c r="Y116" s="3">
        <f>MAX($C$21*(Y72-$C$23),0)</f>
        <v>2989.1743819632061</v>
      </c>
      <c r="Z116" s="11"/>
    </row>
    <row r="117" spans="3:26" x14ac:dyDescent="0.2">
      <c r="D117">
        <v>1</v>
      </c>
      <c r="F117" s="3" t="e">
        <f ca="1">MAX(EXP(-$C$14*$C$12)*(G116*$C$20+G118*(1-$C$20)),$C$21*(F73-$C$23))</f>
        <v>#NAME?</v>
      </c>
      <c r="H117" s="3" t="e">
        <f ca="1">MAX(EXP(-$C$14*$C$12)*(I116*$C$20+I118*(1-$C$20)),$C$21*(H73-$C$23))</f>
        <v>#NAME?</v>
      </c>
      <c r="J117" s="3" t="e">
        <f ca="1">MAX(EXP(-$C$14*$C$12)*(K116*$C$20+K118*(1-$C$20)),$C$21*(J73-$C$23))</f>
        <v>#NAME?</v>
      </c>
      <c r="L117" s="3" t="e">
        <f ca="1">MAX(EXP(-$C$14*$C$12)*(M116*$C$20+M118*(1-$C$20)),$C$21*(L73-$C$23))</f>
        <v>#NAME?</v>
      </c>
      <c r="N117" s="3" t="e">
        <f ca="1">MAX(EXP(-$C$14*$C$12)*(O116*$C$20+O118*(1-$C$20)),$C$21*(N73-$C$23))</f>
        <v>#NAME?</v>
      </c>
      <c r="P117" s="3" t="e">
        <f ca="1">MAX(EXP(-$C$14*$C$12)*(Q116*$C$20+Q118*(1-$C$20)),$C$21*(P73-$C$23))</f>
        <v>#NAME?</v>
      </c>
      <c r="R117" s="3" t="e">
        <f ca="1">MAX(EXP(-$C$14*$C$12)*(S116*$C$20+S118*(1-$C$20)),$C$21*(R73-$C$23))</f>
        <v>#NAME?</v>
      </c>
      <c r="T117" s="3" t="e">
        <f ca="1">MAX(EXP(-$C$14*$C$12)*(U116*$C$20+U118*(1-$C$20)),$C$21*(T73-$C$23))</f>
        <v>#NAME?</v>
      </c>
      <c r="V117" s="3" t="e">
        <f ca="1">MAX(EXP(-$C$14*$C$12)*(W116*$C$20+W118*(1-$C$20)),$C$21*(V73-$C$23))</f>
        <v>#NAME?</v>
      </c>
      <c r="X117" s="9" t="e">
        <f ca="1">MAX(Z117,(X73-$C$23)*$C$21)</f>
        <v>#NAME?</v>
      </c>
      <c r="Z117" s="11" t="e">
        <f ca="1">_xll.QR.ExcelAPI.QrCall("BarrierPricer",$X73,$C$23,$C$15,$C$31,$C$22,$B$26:$C$26,$B$29:$C$29,"0",0)</f>
        <v>#NAME?</v>
      </c>
    </row>
    <row r="118" spans="3:26" x14ac:dyDescent="0.2">
      <c r="C118" s="6"/>
      <c r="E118" s="3" t="e">
        <f ca="1">MAX(EXP(-$C$14*$C$12)*(F117*$C$20+F119*(1-$C$20)),$C$21*(E74-$C$23))</f>
        <v>#NAME?</v>
      </c>
      <c r="G118" s="3" t="e">
        <f ca="1">MAX(EXP(-$C$14*$C$12)*(H117*$C$20+H119*(1-$C$20)),$C$21*(G74-$C$23))</f>
        <v>#NAME?</v>
      </c>
      <c r="I118" s="3" t="e">
        <f ca="1">MAX(EXP(-$C$14*$C$12)*(J117*$C$20+J119*(1-$C$20)),$C$21*(I74-$C$23))</f>
        <v>#NAME?</v>
      </c>
      <c r="K118" s="3" t="e">
        <f ca="1">MAX(EXP(-$C$14*$C$12)*(L117*$C$20+L119*(1-$C$20)),$C$21*(K74-$C$23))</f>
        <v>#NAME?</v>
      </c>
      <c r="M118" s="3" t="e">
        <f ca="1">MAX(EXP(-$C$14*$C$12)*(N117*$C$20+N119*(1-$C$20)),$C$21*(M74-$C$23))</f>
        <v>#NAME?</v>
      </c>
      <c r="O118" s="3" t="e">
        <f ca="1">MAX(EXP(-$C$14*$C$12)*(P117*$C$20+P119*(1-$C$20)),$C$21*(O74-$C$23))</f>
        <v>#NAME?</v>
      </c>
      <c r="Q118" s="3" t="e">
        <f ca="1">MAX(EXP(-$C$14*$C$12)*(R117*$C$20+R119*(1-$C$20)),$C$21*(Q74-$C$23))</f>
        <v>#NAME?</v>
      </c>
      <c r="S118" s="3" t="e">
        <f ca="1">MAX(EXP(-$C$14*$C$12)*(T117*$C$20+T119*(1-$C$20)),$C$21*(S74-$C$23))</f>
        <v>#NAME?</v>
      </c>
      <c r="U118" s="3" t="e">
        <f ca="1">MAX(EXP(-$C$14*$C$12)*(V117*$C$20+V119*(1-$C$20)),$C$21*(U74-$C$23))</f>
        <v>#NAME?</v>
      </c>
      <c r="W118" s="3" t="e">
        <f ca="1">MAX(EXP(-$C$14*$C$12)*(X117*$C$20+X119*(1-$C$20)),$C$21*(W74-$C$23))</f>
        <v>#NAME?</v>
      </c>
      <c r="Y118" s="3">
        <f>MAX($C$21*(Y74-$C$23),0)</f>
        <v>2970.999999999995</v>
      </c>
    </row>
    <row r="119" spans="3:26" x14ac:dyDescent="0.2">
      <c r="D119">
        <v>-1</v>
      </c>
      <c r="F119" s="3" t="e">
        <f ca="1">MAX(EXP(-$C$14*$C$12)*(G118*$C$20+G120*(1-$C$20)),$C$21*(F75-$C$23))</f>
        <v>#NAME?</v>
      </c>
      <c r="H119" s="3" t="e">
        <f ca="1">MAX(EXP(-$C$14*$C$12)*(I118*$C$20+I120*(1-$C$20)),$C$21*(H75-$C$23))</f>
        <v>#NAME?</v>
      </c>
      <c r="J119" s="3" t="e">
        <f ca="1">MAX(EXP(-$C$14*$C$12)*(K118*$C$20+K120*(1-$C$20)),$C$21*(J75-$C$23))</f>
        <v>#NAME?</v>
      </c>
      <c r="L119" s="3" t="e">
        <f ca="1">MAX(EXP(-$C$14*$C$12)*(M118*$C$20+M120*(1-$C$20)),$C$21*(L75-$C$23))</f>
        <v>#NAME?</v>
      </c>
      <c r="N119" s="3" t="e">
        <f ca="1">MAX(EXP(-$C$14*$C$12)*(O118*$C$20+O120*(1-$C$20)),$C$21*(N75-$C$23))</f>
        <v>#NAME?</v>
      </c>
      <c r="P119" s="3" t="e">
        <f ca="1">MAX(EXP(-$C$14*$C$12)*(Q118*$C$20+Q120*(1-$C$20)),$C$21*(P75-$C$23))</f>
        <v>#NAME?</v>
      </c>
      <c r="R119" s="3" t="e">
        <f ca="1">MAX(EXP(-$C$14*$C$12)*(S118*$C$20+S120*(1-$C$20)),$C$21*(R75-$C$23))</f>
        <v>#NAME?</v>
      </c>
      <c r="T119" s="3" t="e">
        <f ca="1">MAX(EXP(-$C$14*$C$12)*(U118*$C$20+U120*(1-$C$20)),$C$21*(T75-$C$23))</f>
        <v>#NAME?</v>
      </c>
      <c r="V119" s="3" t="e">
        <f ca="1">MAX(EXP(-$C$14*$C$12)*(W118*$C$20+W120*(1-$C$20)),$C$21*(V75-$C$23))</f>
        <v>#NAME?</v>
      </c>
      <c r="X119" s="9" t="e">
        <f ca="1">MAX(Z119,(X75-$C$23)*$C$21)</f>
        <v>#NAME?</v>
      </c>
      <c r="Z119" s="11" t="e">
        <f ca="1">_xll.QR.ExcelAPI.QrCall("BarrierPricer",$X75,$C$23,$C$15,$C$31,$C$22,$B$26:$C$26,$B$29:$C$29,"0",0)</f>
        <v>#NAME?</v>
      </c>
    </row>
    <row r="120" spans="3:26" x14ac:dyDescent="0.2">
      <c r="D120">
        <v>-2</v>
      </c>
      <c r="E120" s="3"/>
      <c r="G120" s="3" t="e">
        <f ca="1">MAX(EXP(-$C$14*$C$12)*(H119*$C$20+H121*(1-$C$20)),$C$21*(G76-$C$23))</f>
        <v>#NAME?</v>
      </c>
      <c r="I120" s="3" t="e">
        <f ca="1">MAX(EXP(-$C$14*$C$12)*(J119*$C$20+J121*(1-$C$20)),$C$21*(I76-$C$23))</f>
        <v>#NAME?</v>
      </c>
      <c r="K120" s="3" t="e">
        <f ca="1">MAX(EXP(-$C$14*$C$12)*(L119*$C$20+L121*(1-$C$20)),$C$21*(K76-$C$23))</f>
        <v>#NAME?</v>
      </c>
      <c r="M120" s="3" t="e">
        <f ca="1">MAX(EXP(-$C$14*$C$12)*(N119*$C$20+N121*(1-$C$20)),$C$21*(M76-$C$23))</f>
        <v>#NAME?</v>
      </c>
      <c r="O120" s="3" t="e">
        <f ca="1">MAX(EXP(-$C$14*$C$12)*(P119*$C$20+P121*(1-$C$20)),$C$21*(O76-$C$23))</f>
        <v>#NAME?</v>
      </c>
      <c r="Q120" s="3" t="e">
        <f ca="1">MAX(EXP(-$C$14*$C$12)*(R119*$C$20+R121*(1-$C$20)),$C$21*(Q76-$C$23))</f>
        <v>#NAME?</v>
      </c>
      <c r="S120" s="3" t="e">
        <f ca="1">MAX(EXP(-$C$14*$C$12)*(T119*$C$20+T121*(1-$C$20)),$C$21*(S76-$C$23))</f>
        <v>#NAME?</v>
      </c>
      <c r="U120" s="3" t="e">
        <f ca="1">MAX(EXP(-$C$14*$C$12)*(V119*$C$20+V121*(1-$C$20)),$C$21*(U76-$C$23))</f>
        <v>#NAME?</v>
      </c>
      <c r="W120" s="3" t="e">
        <f ca="1">MAX(EXP(-$C$14*$C$12)*(X119*$C$20+X121*(1-$C$20)),$C$21*(W76-$C$23))</f>
        <v>#NAME?</v>
      </c>
      <c r="Y120" s="3">
        <f>MAX($C$21*(Y76-$C$23),0)</f>
        <v>2952.9350577569385</v>
      </c>
    </row>
    <row r="121" spans="3:26" x14ac:dyDescent="0.2">
      <c r="D121">
        <v>-3</v>
      </c>
      <c r="F121" s="3"/>
      <c r="H121" s="3" t="e">
        <f ca="1">MAX(EXP(-$C$14*$C$12)*(I120*$C$20+I122*(1-$C$20)),$C$21*(H77-$C$23))</f>
        <v>#NAME?</v>
      </c>
      <c r="J121" s="3" t="e">
        <f ca="1">MAX(EXP(-$C$14*$C$12)*(K120*$C$20+K122*(1-$C$20)),$C$21*(J77-$C$23))</f>
        <v>#NAME?</v>
      </c>
      <c r="L121" s="3" t="e">
        <f ca="1">MAX(EXP(-$C$14*$C$12)*(M120*$C$20+M122*(1-$C$20)),$C$21*(L77-$C$23))</f>
        <v>#NAME?</v>
      </c>
      <c r="N121" s="3" t="e">
        <f ca="1">MAX(EXP(-$C$14*$C$12)*(O120*$C$20+O122*(1-$C$20)),$C$21*(N77-$C$23))</f>
        <v>#NAME?</v>
      </c>
      <c r="P121" s="3" t="e">
        <f ca="1">MAX(EXP(-$C$14*$C$12)*(Q120*$C$20+Q122*(1-$C$20)),$C$21*(P77-$C$23))</f>
        <v>#NAME?</v>
      </c>
      <c r="R121" s="3" t="e">
        <f ca="1">MAX(EXP(-$C$14*$C$12)*(S120*$C$20+S122*(1-$C$20)),$C$21*(R77-$C$23))</f>
        <v>#NAME?</v>
      </c>
      <c r="T121" s="3" t="e">
        <f ca="1">MAX(EXP(-$C$14*$C$12)*(U120*$C$20+U122*(1-$C$20)),$C$21*(T77-$C$23))</f>
        <v>#NAME?</v>
      </c>
      <c r="V121" s="3" t="e">
        <f ca="1">MAX(EXP(-$C$14*$C$12)*(W120*$C$20+W122*(1-$C$20)),$C$21*(V77-$C$23))</f>
        <v>#NAME?</v>
      </c>
      <c r="X121" s="3">
        <f>MAX(EXP(-$C$14*$C$12)*(Y120*$C$20+Y122*(1-$C$20)),$C$21*(X77-$C$23))</f>
        <v>2943.9434336771533</v>
      </c>
      <c r="Z121" s="11" t="e">
        <f ca="1">_xll.QR.ExcelAPI.QrCall("BarrierPricer",$X77,$C$23,$C$15,$C$31,$C$22,$B$26:$C$26,$B$29:$C$29,"0",0)</f>
        <v>#NAME?</v>
      </c>
    </row>
    <row r="122" spans="3:26" x14ac:dyDescent="0.2">
      <c r="D122">
        <v>-4</v>
      </c>
      <c r="G122" s="3"/>
      <c r="I122" s="3" t="e">
        <f ca="1">MAX(EXP(-$C$14*$C$12)*(J121*$C$20+J123*(1-$C$20)),$C$21*(I78-$C$23))</f>
        <v>#NAME?</v>
      </c>
      <c r="K122" s="3" t="e">
        <f ca="1">MAX(EXP(-$C$14*$C$12)*(L121*$C$20+L123*(1-$C$20)),$C$21*(K78-$C$23))</f>
        <v>#NAME?</v>
      </c>
      <c r="M122" s="3" t="e">
        <f ca="1">MAX(EXP(-$C$14*$C$12)*(N121*$C$20+N123*(1-$C$20)),$C$21*(M78-$C$23))</f>
        <v>#NAME?</v>
      </c>
      <c r="O122" s="3" t="e">
        <f ca="1">MAX(EXP(-$C$14*$C$12)*(P121*$C$20+P123*(1-$C$20)),$C$21*(O78-$C$23))</f>
        <v>#NAME?</v>
      </c>
      <c r="Q122" s="3" t="e">
        <f ca="1">MAX(EXP(-$C$14*$C$12)*(R121*$C$20+R123*(1-$C$20)),$C$21*(Q78-$C$23))</f>
        <v>#NAME?</v>
      </c>
      <c r="S122" s="3" t="e">
        <f ca="1">MAX(EXP(-$C$14*$C$12)*(T121*$C$20+T123*(1-$C$20)),$C$21*(S78-$C$23))</f>
        <v>#NAME?</v>
      </c>
      <c r="U122" s="3" t="e">
        <f ca="1">MAX(EXP(-$C$14*$C$12)*(V121*$C$20+V123*(1-$C$20)),$C$21*(U78-$C$23))</f>
        <v>#NAME?</v>
      </c>
      <c r="W122" s="3">
        <f>MAX(EXP(-$C$14*$C$12)*(X121*$C$20+X123*(1-$C$20)),$C$21*(W78-$C$23))</f>
        <v>2934.9789227102083</v>
      </c>
      <c r="Y122" s="3">
        <f>MAX($C$21*(Y78-$C$23),0)</f>
        <v>2934.9788962266312</v>
      </c>
    </row>
    <row r="123" spans="3:26" x14ac:dyDescent="0.2">
      <c r="D123">
        <v>-5</v>
      </c>
      <c r="F123" s="3"/>
      <c r="H123" s="3"/>
      <c r="J123" s="3" t="e">
        <f ca="1">MAX(EXP(-$C$14*$C$12)*(K122*$C$20+K124*(1-$C$20)),$C$21*(J79-$C$23))</f>
        <v>#NAME?</v>
      </c>
      <c r="L123" s="3" t="e">
        <f ca="1">MAX(EXP(-$C$14*$C$12)*(M122*$C$20+M124*(1-$C$20)),$C$21*(L79-$C$23))</f>
        <v>#NAME?</v>
      </c>
      <c r="N123" s="3" t="e">
        <f ca="1">MAX(EXP(-$C$14*$C$12)*(O122*$C$20+O124*(1-$C$20)),$C$21*(N79-$C$23))</f>
        <v>#NAME?</v>
      </c>
      <c r="P123" s="3" t="e">
        <f ca="1">MAX(EXP(-$C$14*$C$12)*(Q122*$C$20+Q124*(1-$C$20)),$C$21*(P79-$C$23))</f>
        <v>#NAME?</v>
      </c>
      <c r="R123" s="3" t="e">
        <f ca="1">MAX(EXP(-$C$14*$C$12)*(S122*$C$20+S124*(1-$C$20)),$C$21*(R79-$C$23))</f>
        <v>#NAME?</v>
      </c>
      <c r="T123" s="3" t="e">
        <f ca="1">MAX(EXP(-$C$14*$C$12)*(U122*$C$20+U124*(1-$C$20)),$C$21*(T79-$C$23))</f>
        <v>#NAME?</v>
      </c>
      <c r="V123" s="3">
        <f>MAX(EXP(-$C$14*$C$12)*(W122*$C$20+W124*(1-$C$20)),$C$21*(V79-$C$23))</f>
        <v>2926.041443100039</v>
      </c>
      <c r="X123" s="3">
        <f>MAX(EXP(-$C$14*$C$12)*(Y122*$C$20+Y124*(1-$C$20)),$C$21*(X79-$C$23))</f>
        <v>2926.0414166164737</v>
      </c>
      <c r="Z123" s="11" t="e">
        <f ca="1">_xll.QR.ExcelAPI.QrCall("BarrierPricer",$X79,$C$23,$C$15,$C$31,$C$22,$B$26:$C$26,$B$29:$C$29,"0",0)</f>
        <v>#NAME?</v>
      </c>
    </row>
    <row r="124" spans="3:26" x14ac:dyDescent="0.2">
      <c r="D124">
        <v>-6</v>
      </c>
      <c r="G124" s="3"/>
      <c r="I124" s="3"/>
      <c r="K124" s="3" t="e">
        <f ca="1">MAX(EXP(-$C$14*$C$12)*(L123*$C$20+L125*(1-$C$20)),$C$21*(K80-$C$23))</f>
        <v>#NAME?</v>
      </c>
      <c r="M124" s="3" t="e">
        <f ca="1">MAX(EXP(-$C$14*$C$12)*(N123*$C$20+N125*(1-$C$20)),$C$21*(M80-$C$23))</f>
        <v>#NAME?</v>
      </c>
      <c r="O124" s="3" t="e">
        <f ca="1">MAX(EXP(-$C$14*$C$12)*(P123*$C$20+P125*(1-$C$20)),$C$21*(O80-$C$23))</f>
        <v>#NAME?</v>
      </c>
      <c r="Q124" s="3" t="e">
        <f ca="1">MAX(EXP(-$C$14*$C$12)*(R123*$C$20+R125*(1-$C$20)),$C$21*(Q80-$C$23))</f>
        <v>#NAME?</v>
      </c>
      <c r="S124" s="3" t="e">
        <f ca="1">MAX(EXP(-$C$14*$C$12)*(T123*$C$20+T125*(1-$C$20)),$C$21*(S80-$C$23))</f>
        <v>#NAME?</v>
      </c>
      <c r="U124" s="3">
        <f>MAX(EXP(-$C$14*$C$12)*(V123*$C$20+V125*(1-$C$20)),$C$21*(U80-$C$23))</f>
        <v>2917.1309133371051</v>
      </c>
      <c r="W124" s="3">
        <f>MAX(EXP(-$C$14*$C$12)*(X123*$C$20+X125*(1-$C$20)),$C$21*(W80-$C$23))</f>
        <v>2917.1308868535516</v>
      </c>
      <c r="Y124" s="3">
        <f>MAX($C$21*(Y80-$C$23),0)</f>
        <v>2917.1308603699736</v>
      </c>
    </row>
    <row r="125" spans="3:26" x14ac:dyDescent="0.2">
      <c r="D125">
        <f>D124-1</f>
        <v>-7</v>
      </c>
      <c r="F125" s="3"/>
      <c r="H125" s="3"/>
      <c r="J125" s="3"/>
      <c r="L125" s="3" t="e">
        <f ca="1">MAX(EXP(-$C$14*$C$12)*(M124*$C$20+M126*(1-$C$20)),$C$21*(L81-$C$23))</f>
        <v>#NAME?</v>
      </c>
      <c r="N125" s="3" t="e">
        <f ca="1">MAX(EXP(-$C$14*$C$12)*(O124*$C$20+O126*(1-$C$20)),$C$21*(N81-$C$23))</f>
        <v>#NAME?</v>
      </c>
      <c r="P125" s="3" t="e">
        <f ca="1">MAX(EXP(-$C$14*$C$12)*(Q124*$C$20+Q126*(1-$C$20)),$C$21*(P81-$C$23))</f>
        <v>#NAME?</v>
      </c>
      <c r="R125" s="3" t="e">
        <f ca="1">MAX(EXP(-$C$14*$C$12)*(S124*$C$20+S126*(1-$C$20)),$C$21*(R81-$C$23))</f>
        <v>#NAME?</v>
      </c>
      <c r="T125" s="3">
        <f>MAX(EXP(-$C$14*$C$12)*(U124*$C$20+U126*(1-$C$20)),$C$21*(T81-$C$23))</f>
        <v>2908.2472521576465</v>
      </c>
      <c r="V125" s="3">
        <f>MAX(EXP(-$C$14*$C$12)*(W124*$C$20+W126*(1-$C$20)),$C$21*(V81-$C$23))</f>
        <v>2908.2472256741053</v>
      </c>
      <c r="X125" s="3">
        <f>MAX(EXP(-$C$14*$C$12)*(Y124*$C$20+Y126*(1-$C$20)),$C$21*(X81-$C$23))</f>
        <v>2908.2471991905395</v>
      </c>
      <c r="Z125" s="11" t="e">
        <f ca="1">_xll.QR.ExcelAPI.QrCall("BarrierPricer",$X81,$C$23,$C$15,$C$31,$C$22,$B$26:$C$26,$B$29:$C$29,"0",0)</f>
        <v>#NAME?</v>
      </c>
    </row>
    <row r="126" spans="3:26" x14ac:dyDescent="0.2">
      <c r="D126">
        <f t="shared" ref="D126:D138" si="51">D125-1</f>
        <v>-8</v>
      </c>
      <c r="G126" s="3"/>
      <c r="I126" s="3"/>
      <c r="K126" s="3"/>
      <c r="M126" s="3" t="e">
        <f ca="1">MAX(EXP(-$C$14*$C$12)*(N125*$C$20+N127*(1-$C$20)),$C$21*(M82-$C$23))</f>
        <v>#NAME?</v>
      </c>
      <c r="O126" s="3" t="e">
        <f ca="1">MAX(EXP(-$C$14*$C$12)*(P125*$C$20+P127*(1-$C$20)),$C$21*(O82-$C$23))</f>
        <v>#NAME?</v>
      </c>
      <c r="Q126" s="3" t="e">
        <f ca="1">MAX(EXP(-$C$14*$C$12)*(R125*$C$20+R127*(1-$C$20)),$C$21*(Q82-$C$23))</f>
        <v>#NAME?</v>
      </c>
      <c r="S126" s="3">
        <f>MAX(EXP(-$C$14*$C$12)*(T125*$C$20+T127*(1-$C$20)),$C$21*(S82-$C$23))</f>
        <v>2899.3903785429443</v>
      </c>
      <c r="U126" s="3">
        <f>MAX(EXP(-$C$14*$C$12)*(V125*$C$20+V127*(1-$C$20)),$C$21*(U82-$C$23))</f>
        <v>2899.3903520594158</v>
      </c>
      <c r="W126" s="3">
        <f>MAX(EXP(-$C$14*$C$12)*(X125*$C$20+X127*(1-$C$20)),$C$21*(W82-$C$23))</f>
        <v>2899.3903255758623</v>
      </c>
      <c r="Y126" s="3">
        <f>MAX($C$21*(Y82-$C$23),0)</f>
        <v>2899.3902990922852</v>
      </c>
    </row>
    <row r="127" spans="3:26" x14ac:dyDescent="0.2">
      <c r="D127">
        <f t="shared" si="51"/>
        <v>-9</v>
      </c>
      <c r="F127" s="3"/>
      <c r="H127" s="3"/>
      <c r="L127" s="3"/>
      <c r="N127" s="3" t="e">
        <f ca="1">MAX(EXP(-$C$14*$C$12)*(O126*$C$20+O128*(1-$C$20)),$C$21*(N83-$C$23))</f>
        <v>#NAME?</v>
      </c>
      <c r="P127" s="3" t="e">
        <f ca="1">MAX(EXP(-$C$14*$C$12)*(Q126*$C$20+Q128*(1-$C$20)),$C$21*(P83-$C$23))</f>
        <v>#NAME?</v>
      </c>
      <c r="R127" s="3">
        <f>MAX(EXP(-$C$14*$C$12)*(S126*$C$20+S128*(1-$C$20)),$C$21*(R83-$C$23))</f>
        <v>2890.5602117185822</v>
      </c>
      <c r="T127" s="3">
        <f>MAX(EXP(-$C$14*$C$12)*(U126*$C$20+U128*(1-$C$20)),$C$21*(T83-$C$23))</f>
        <v>2890.5601852350655</v>
      </c>
      <c r="V127" s="3">
        <f>MAX(EXP(-$C$14*$C$12)*(W126*$C$20+W128*(1-$C$20)),$C$21*(V83-$C$23))</f>
        <v>2890.5601587515243</v>
      </c>
      <c r="X127" s="3">
        <f>MAX(EXP(-$C$14*$C$12)*(Y126*$C$20+Y128*(1-$C$20)),$C$21*(X83-$C$23))</f>
        <v>2890.5601322679595</v>
      </c>
      <c r="Z127" s="11" t="e">
        <f ca="1">_xll.QR.ExcelAPI.QrCall("BarrierPricer",$X83,$C$23,$C$15,$C$31,$C$22,$B$26:$C$26,$B$29:$C$29,"0",0)</f>
        <v>#NAME?</v>
      </c>
    </row>
    <row r="128" spans="3:26" x14ac:dyDescent="0.2">
      <c r="D128">
        <f t="shared" si="51"/>
        <v>-10</v>
      </c>
      <c r="G128" s="3"/>
      <c r="K128" s="3"/>
      <c r="M128" s="3"/>
      <c r="O128" s="3" t="e">
        <f ca="1">MAX(EXP(-$C$14*$C$12)*(P127*$C$20+P129*(1-$C$20)),$C$21*(O84-$C$23))</f>
        <v>#NAME?</v>
      </c>
      <c r="Q128" s="3">
        <f>MAX(EXP(-$C$14*$C$12)*(R127*$C$20+R129*(1-$C$20)),$C$21*(Q84-$C$23))</f>
        <v>2881.756671153707</v>
      </c>
      <c r="S128" s="3">
        <f>MAX(EXP(-$C$14*$C$12)*(T127*$C$20+T129*(1-$C$20)),$C$21*(S84-$C$23))</f>
        <v>2881.7566446702021</v>
      </c>
      <c r="U128" s="3">
        <f>MAX(EXP(-$C$14*$C$12)*(V127*$C$20+V129*(1-$C$20)),$C$21*(U84-$C$23))</f>
        <v>2881.7566181866732</v>
      </c>
      <c r="W128" s="3">
        <f>MAX(EXP(-$C$14*$C$12)*(X127*$C$20+X129*(1-$C$20)),$C$21*(W84-$C$23))</f>
        <v>2881.7565917031202</v>
      </c>
      <c r="Y128" s="3">
        <f>MAX($C$21*(Y84-$C$23),0)</f>
        <v>2881.7565652195426</v>
      </c>
    </row>
    <row r="129" spans="4:26" x14ac:dyDescent="0.2">
      <c r="D129">
        <f t="shared" si="51"/>
        <v>-11</v>
      </c>
      <c r="F129" s="3"/>
      <c r="L129" s="3"/>
      <c r="N129" s="3"/>
      <c r="P129" s="3">
        <f>MAX(EXP(-$C$14*$C$12)*(Q128*$C$20+Q130*(1-$C$20)),$C$21*(P85-$C$23))</f>
        <v>2872.979676560296</v>
      </c>
      <c r="R129" s="3">
        <f>MAX(EXP(-$C$14*$C$12)*(S128*$C$20+S130*(1-$C$20)),$C$21*(R85-$C$23))</f>
        <v>2872.9796500768034</v>
      </c>
      <c r="T129" s="3">
        <f>MAX(EXP(-$C$14*$C$12)*(U128*$C$20+U130*(1-$C$20)),$C$21*(T85-$C$23))</f>
        <v>2872.9796235932863</v>
      </c>
      <c r="V129" s="3">
        <f>MAX(EXP(-$C$14*$C$12)*(W128*$C$20+W130*(1-$C$20)),$C$21*(V85-$C$23))</f>
        <v>2872.9795971097456</v>
      </c>
      <c r="X129" s="3">
        <f>MAX(EXP(-$C$14*$C$12)*(Y128*$C$20+Y130*(1-$C$20)),$C$21*(X85-$C$23))</f>
        <v>2872.9795706261798</v>
      </c>
      <c r="Z129" s="11" t="e">
        <f ca="1">_xll.QR.ExcelAPI.QrCall("BarrierPricer",$X85,$C$23,$C$15,$C$31,$C$22,$B$26:$C$26,$B$29:$C$29,"0",0)</f>
        <v>#NAME?</v>
      </c>
    </row>
    <row r="130" spans="4:26" x14ac:dyDescent="0.2">
      <c r="D130">
        <f t="shared" si="51"/>
        <v>-12</v>
      </c>
      <c r="K130" s="3"/>
      <c r="M130" s="3"/>
      <c r="O130" s="3"/>
      <c r="Q130" s="3">
        <f>MAX(EXP(-$C$14*$C$12)*(R129*$C$20+R131*(1-$C$20)),$C$21*(Q86-$C$23))</f>
        <v>2864.2291214089441</v>
      </c>
      <c r="S130" s="3">
        <f>MAX(EXP(-$C$14*$C$12)*(T129*$C$20+T131*(1-$C$20)),$C$21*(S86-$C$23))</f>
        <v>2864.2290949254398</v>
      </c>
      <c r="U130" s="3">
        <f>MAX(EXP(-$C$14*$C$12)*(V129*$C$20+V131*(1-$C$20)),$C$21*(U86-$C$23))</f>
        <v>2864.2290684419108</v>
      </c>
      <c r="W130" s="3">
        <f>MAX(EXP(-$C$14*$C$12)*(X129*$C$20+X131*(1-$C$20)),$C$21*(W86-$C$23))</f>
        <v>2864.2290419583574</v>
      </c>
      <c r="Y130" s="3">
        <f>MAX($C$21*(Y86-$C$23),0)</f>
        <v>2864.2290154747798</v>
      </c>
    </row>
    <row r="131" spans="4:26" x14ac:dyDescent="0.2">
      <c r="D131">
        <f t="shared" si="51"/>
        <v>-13</v>
      </c>
      <c r="L131" s="3"/>
      <c r="N131" s="3"/>
      <c r="P131" s="3"/>
      <c r="R131" s="3">
        <f>MAX(EXP(-$C$14*$C$12)*(S130*$C$20+S132*(1-$C$20)),$C$21*(R87-$C$23))</f>
        <v>2855.5049523785765</v>
      </c>
      <c r="T131" s="3">
        <f>MAX(EXP(-$C$14*$C$12)*(U130*$C$20+U132*(1-$C$20)),$C$21*(T87-$C$23))</f>
        <v>2855.5049258950598</v>
      </c>
      <c r="V131" s="3">
        <f>MAX(EXP(-$C$14*$C$12)*(W130*$C$20+W132*(1-$C$20)),$C$21*(V87-$C$23))</f>
        <v>2855.5048994115182</v>
      </c>
      <c r="X131" s="3">
        <f>MAX(EXP(-$C$14*$C$12)*(Y130*$C$20+Y132*(1-$C$20)),$C$21*(X87-$C$23))</f>
        <v>2855.5048729279538</v>
      </c>
      <c r="Z131" s="11" t="e">
        <f ca="1">_xll.QR.ExcelAPI.QrCall("BarrierPricer",$X87,$C$23,$C$15,$C$31,$C$22,$B$26:$C$26,$B$29:$C$29,"0",0)</f>
        <v>#NAME?</v>
      </c>
    </row>
    <row r="132" spans="4:26" x14ac:dyDescent="0.2">
      <c r="D132">
        <f t="shared" si="51"/>
        <v>-14</v>
      </c>
      <c r="K132" s="3"/>
      <c r="M132" s="3"/>
      <c r="O132" s="3"/>
      <c r="Q132" s="3"/>
      <c r="S132" s="3">
        <f>MAX(EXP(-$C$14*$C$12)*(T131*$C$20+T133*(1-$C$20)),$C$21*(S88-$C$23))</f>
        <v>2846.8070899052768</v>
      </c>
      <c r="U132" s="3">
        <f>MAX(EXP(-$C$14*$C$12)*(V131*$C$20+V133*(1-$C$20)),$C$21*(U88-$C$23))</f>
        <v>2846.8070634217474</v>
      </c>
      <c r="W132" s="3">
        <f>MAX(EXP(-$C$14*$C$12)*(X131*$C$20+X133*(1-$C$20)),$C$21*(W88-$C$23))</f>
        <v>2846.8070369381949</v>
      </c>
      <c r="Y132" s="3">
        <f>MAX($C$21*(Y88-$C$23),0)</f>
        <v>2846.8070104546182</v>
      </c>
    </row>
    <row r="133" spans="4:26" x14ac:dyDescent="0.2">
      <c r="D133">
        <f t="shared" si="51"/>
        <v>-15</v>
      </c>
      <c r="L133" s="3"/>
      <c r="N133" s="3"/>
      <c r="P133" s="3"/>
      <c r="R133" s="3"/>
      <c r="T133" s="3">
        <f>MAX(EXP(-$C$14*$C$12)*(U132*$C$20+U134*(1-$C$20)),$C$21*(T89-$C$23))</f>
        <v>2838.1354546650437</v>
      </c>
      <c r="V133" s="3">
        <f>MAX(EXP(-$C$14*$C$12)*(W132*$C$20+W134*(1-$C$20)),$C$21*(V89-$C$23))</f>
        <v>2838.1354281815024</v>
      </c>
      <c r="X133" s="3">
        <f>MAX(EXP(-$C$14*$C$12)*(Y132*$C$20+Y134*(1-$C$20)),$C$21*(X89-$C$23))</f>
        <v>2838.1354016979371</v>
      </c>
      <c r="Z133" s="11" t="e">
        <f ca="1">_xll.QR.ExcelAPI.QrCall("BarrierPricer",$X89,$C$23,$C$15,$C$31,$C$22,$B$26:$C$26,$B$29:$C$29,"0",0)</f>
        <v>#NAME?</v>
      </c>
    </row>
    <row r="134" spans="4:26" x14ac:dyDescent="0.2">
      <c r="D134">
        <f t="shared" si="51"/>
        <v>-16</v>
      </c>
      <c r="K134" s="3"/>
      <c r="M134" s="3"/>
      <c r="O134" s="3"/>
      <c r="Q134" s="3"/>
      <c r="S134" s="3"/>
      <c r="U134" s="3">
        <f>MAX(EXP(-$C$14*$C$12)*(V133*$C$20+V135*(1-$C$20)),$C$21*(U90-$C$23))</f>
        <v>2829.4899675730671</v>
      </c>
      <c r="W134" s="3">
        <f>MAX(EXP(-$C$14*$C$12)*(X133*$C$20+X135*(1-$C$20)),$C$21*(W90-$C$23))</f>
        <v>2829.4899410895132</v>
      </c>
      <c r="Y134" s="3">
        <f>MAX($C$21*(Y90-$C$23),0)</f>
        <v>2829.4899146059352</v>
      </c>
    </row>
    <row r="135" spans="4:26" x14ac:dyDescent="0.2">
      <c r="D135">
        <f t="shared" si="51"/>
        <v>-17</v>
      </c>
      <c r="L135" s="3"/>
      <c r="N135" s="3"/>
      <c r="P135" s="3"/>
      <c r="R135" s="3"/>
      <c r="T135" s="3"/>
      <c r="V135" s="3">
        <f>MAX(EXP(-$C$14*$C$12)*(W134*$C$20+W136*(1-$C$20)),$C$21*(V91-$C$23))</f>
        <v>2820.8705497830069</v>
      </c>
      <c r="X135" s="3">
        <f>MAX(EXP(-$C$14*$C$12)*(Y134*$C$20+Y136*(1-$C$20)),$C$21*(X91-$C$23))</f>
        <v>2820.8705232994412</v>
      </c>
      <c r="Z135" s="11" t="e">
        <f ca="1">_xll.QR.ExcelAPI.QrCall("BarrierPricer",$X91,$C$23,$C$15,$C$31,$C$22,$B$26:$C$26,$B$29:$C$29,"0",0)</f>
        <v>#NAME?</v>
      </c>
    </row>
    <row r="136" spans="4:26" x14ac:dyDescent="0.2">
      <c r="D136">
        <f t="shared" si="51"/>
        <v>-18</v>
      </c>
      <c r="K136" s="3"/>
      <c r="M136" s="3"/>
      <c r="O136" s="3"/>
      <c r="Q136" s="3"/>
      <c r="S136" s="3"/>
      <c r="U136" s="3"/>
      <c r="W136" s="3">
        <f>MAX(EXP(-$C$14*$C$12)*(X135*$C$20+X137*(1-$C$20)),$C$21*(W92-$C$23))</f>
        <v>2812.2771226862742</v>
      </c>
      <c r="Y136" s="3">
        <f>MAX($C$21*(Y92-$C$23),0)</f>
        <v>2812.2770962026971</v>
      </c>
    </row>
    <row r="137" spans="4:26" x14ac:dyDescent="0.2">
      <c r="D137">
        <f t="shared" si="51"/>
        <v>-19</v>
      </c>
      <c r="L137" s="3"/>
      <c r="N137" s="3"/>
      <c r="P137" s="3"/>
      <c r="R137" s="3"/>
      <c r="T137" s="3"/>
      <c r="V137" s="3"/>
      <c r="X137" s="3">
        <f>MAX(EXP(-$C$14*$C$12)*(Y136*$C$20+Y138*(1-$C$20)),$C$21*(X93-$C$23))</f>
        <v>2803.7096079113139</v>
      </c>
      <c r="Z137" s="11" t="e">
        <f ca="1">_xll.QR.ExcelAPI.QrCall("BarrierPricer",$X93,$C$23,$C$15,$C$31,$C$22,$B$26:$C$26,$B$29:$C$29,"0",0)</f>
        <v>#NAME?</v>
      </c>
    </row>
    <row r="138" spans="4:26" x14ac:dyDescent="0.2">
      <c r="D138">
        <f t="shared" si="51"/>
        <v>-20</v>
      </c>
      <c r="K138" s="3"/>
      <c r="M138" s="3"/>
      <c r="O138" s="3"/>
      <c r="Q138" s="3"/>
      <c r="S138" s="3"/>
      <c r="U138" s="3"/>
      <c r="Y138" s="3">
        <f>MAX($C$21*(Y94-$C$23),0)</f>
        <v>2795.1679273228901</v>
      </c>
    </row>
    <row r="139" spans="4:26" x14ac:dyDescent="0.2">
      <c r="L139" s="3"/>
      <c r="N139" s="3"/>
      <c r="P139" s="3"/>
      <c r="R139" s="3"/>
      <c r="T139" s="3"/>
      <c r="X139" s="3"/>
      <c r="Z139" s="11"/>
    </row>
    <row r="140" spans="4:26" x14ac:dyDescent="0.2">
      <c r="K140" s="3"/>
      <c r="M140" s="3"/>
      <c r="O140" s="3"/>
      <c r="Q140" s="3"/>
      <c r="S140" s="3"/>
    </row>
    <row r="141" spans="4:26" x14ac:dyDescent="0.2">
      <c r="L141" s="3"/>
      <c r="N141" s="3"/>
      <c r="P141" s="3"/>
      <c r="R141" s="3"/>
    </row>
    <row r="142" spans="4:26" x14ac:dyDescent="0.2">
      <c r="K142" s="3"/>
      <c r="M142" s="3"/>
      <c r="O142" s="3"/>
      <c r="Q142" s="3"/>
    </row>
    <row r="143" spans="4:26" x14ac:dyDescent="0.2">
      <c r="L143" s="3"/>
      <c r="N143" s="3"/>
      <c r="P143" s="3"/>
    </row>
    <row r="144" spans="4:26" x14ac:dyDescent="0.2">
      <c r="K144" s="3"/>
      <c r="M144" s="3"/>
      <c r="O144" s="3"/>
    </row>
    <row r="145" spans="11:14" x14ac:dyDescent="0.2">
      <c r="L145" s="3"/>
      <c r="N145" s="3"/>
    </row>
    <row r="146" spans="11:14" x14ac:dyDescent="0.2">
      <c r="K146" s="3"/>
      <c r="M146" s="3"/>
    </row>
    <row r="147" spans="11:14" x14ac:dyDescent="0.2">
      <c r="L147" s="3"/>
    </row>
    <row r="148" spans="11:14" x14ac:dyDescent="0.2">
      <c r="K148" s="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Pricer</vt:lpstr>
      <vt:lpstr>Zero_Curves</vt:lpstr>
      <vt:lpstr>Dividend Data</vt:lpstr>
      <vt:lpstr>Tree check</vt:lpstr>
      <vt:lpstr>Pricer!Print_Area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abarber</dc:creator>
  <cp:lastModifiedBy>Alex</cp:lastModifiedBy>
  <cp:lastPrinted>2008-06-18T05:16:09Z</cp:lastPrinted>
  <dcterms:created xsi:type="dcterms:W3CDTF">2007-11-22T06:27:38Z</dcterms:created>
  <dcterms:modified xsi:type="dcterms:W3CDTF">2018-01-29T07:52:44Z</dcterms:modified>
</cp:coreProperties>
</file>