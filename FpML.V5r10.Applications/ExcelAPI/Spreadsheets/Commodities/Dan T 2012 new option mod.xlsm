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5" yWindow="15" windowWidth="19020" windowHeight="11640" activeTab="1"/>
  </bookViews>
  <sheets>
    <sheet name="Option Model" sheetId="60" r:id="rId1"/>
    <sheet name="Opt grid 11" sheetId="64" r:id="rId2"/>
    <sheet name="Opt grid 12" sheetId="63" r:id="rId3"/>
    <sheet name="DEPower Expiry Dates" sheetId="59" r:id="rId4"/>
  </sheets>
  <functionGroups/>
  <externalReferences>
    <externalReference r:id="rId5"/>
  </externalReferences>
  <definedNames>
    <definedName name="amount">'[1]Option grid'!$B$5</definedName>
    <definedName name="call_skew">'[1]Option grid'!$H$5</definedName>
    <definedName name="call_skew_strikes">'[1]Option grid'!$I$9:$I$10</definedName>
    <definedName name="call_skew_vols">'[1]Option grid'!$J$9:$J$10</definedName>
    <definedName name="ex_type">'[1]Option grid'!$B$3</definedName>
    <definedName name="fut_expiry">'[1]Option grid'!$B$11</definedName>
    <definedName name="max_vol">'[1]Option grid'!$H$7</definedName>
    <definedName name="mid_price">'[1]Option grid'!$E$3</definedName>
    <definedName name="mid_strike">'[1]Option grid'!$E$5</definedName>
    <definedName name="mid_vol">'[1]Option grid'!$H$3</definedName>
    <definedName name="min_vol">'[1]Option grid'!$H$6</definedName>
    <definedName name="model">'[1]Option grid'!$B$6</definedName>
    <definedName name="model_parameters">'[1]Option grid'!$B$7:$B$9</definedName>
    <definedName name="opt_expiry">'[1]Option grid'!$B$4</definedName>
    <definedName name="pc_type1">'[1]Option grid'!$D$9</definedName>
    <definedName name="pc_type2">'[1]Option grid'!$D$10</definedName>
    <definedName name="pc_type3">'[1]Option grid'!$D$11</definedName>
    <definedName name="pc_type4">'[1]Option grid'!$D$12</definedName>
    <definedName name="pc_type5">'[1]Option grid'!$D$13</definedName>
    <definedName name="price_interval">'[1]Option grid'!$E$4</definedName>
    <definedName name="prices">'[1]Option grid'!$A$18:$A$172</definedName>
    <definedName name="put_skew">'[1]Option grid'!$H$4</definedName>
    <definedName name="put_skew_strikes">'[1]Option grid'!$I$5:$I$6</definedName>
    <definedName name="put_skew_vols">'[1]Option grid'!$J$5:$J$6</definedName>
    <definedName name="rate_curve">'[1]Option grid'!$B$12</definedName>
    <definedName name="return_choices1">'[1]Option grid'!$E$9</definedName>
    <definedName name="return_choices2">'[1]Option grid'!$E$10</definedName>
    <definedName name="return_choices3">'[1]Option grid'!$E$11</definedName>
    <definedName name="return_choices4">'[1]Option grid'!$E$12</definedName>
    <definedName name="return_choices5">'[1]Option grid'!$E$13</definedName>
    <definedName name="strike_interval">'[1]Option grid'!$E$6</definedName>
    <definedName name="strikes">'[1]Option grid'!$B$17:$V$17</definedName>
    <definedName name="value_date">'[1]Option grid'!$B$10</definedName>
    <definedName name="vols">'[1]Option grid'!$B$16:$V$16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78" i="60"/>
  <c r="K78"/>
  <c r="B79"/>
  <c r="C79"/>
  <c r="K79"/>
  <c r="K77"/>
  <c r="C66"/>
  <c r="Q66"/>
  <c r="B67"/>
  <c r="C67"/>
  <c r="K67"/>
  <c r="Q65"/>
  <c r="K66"/>
  <c r="Q67"/>
  <c r="K65"/>
  <c r="C76"/>
  <c r="Q76"/>
  <c r="B73"/>
  <c r="B74"/>
  <c r="B75"/>
  <c r="C75"/>
  <c r="K75"/>
  <c r="Q77"/>
  <c r="K76"/>
  <c r="Q75"/>
  <c r="C22"/>
  <c r="Q22"/>
  <c r="B18"/>
  <c r="B19"/>
  <c r="B20"/>
  <c r="B21"/>
  <c r="C21"/>
  <c r="E7"/>
  <c r="E8"/>
  <c r="E10"/>
  <c r="E12"/>
  <c r="E13"/>
  <c r="E15"/>
  <c r="E18"/>
  <c r="E19"/>
  <c r="E20"/>
  <c r="E21"/>
  <c r="K21"/>
  <c r="Q23"/>
  <c r="K22"/>
  <c r="Q21"/>
  <c r="K23"/>
  <c r="B68"/>
  <c r="B69"/>
  <c r="B70"/>
  <c r="C70"/>
  <c r="Q70"/>
  <c r="C69"/>
  <c r="K69"/>
  <c r="Q71"/>
  <c r="K70"/>
  <c r="Q69"/>
  <c r="K71"/>
  <c r="E37"/>
  <c r="E38"/>
  <c r="E39"/>
  <c r="E40"/>
  <c r="B12"/>
  <c r="B13"/>
  <c r="B14"/>
  <c r="B15"/>
  <c r="B16"/>
  <c r="C16"/>
  <c r="E16"/>
  <c r="Q16"/>
  <c r="C15"/>
  <c r="K15"/>
  <c r="Q17"/>
  <c r="K16"/>
  <c r="Q15"/>
  <c r="K17"/>
  <c r="B80"/>
  <c r="C80"/>
  <c r="B81"/>
  <c r="C81"/>
  <c r="Q79"/>
  <c r="Q78"/>
  <c r="B25"/>
  <c r="B26"/>
  <c r="B27"/>
  <c r="C27"/>
  <c r="E24"/>
  <c r="E25"/>
  <c r="E26"/>
  <c r="E27"/>
  <c r="K27"/>
  <c r="B28"/>
  <c r="C28"/>
  <c r="E28"/>
  <c r="Q28"/>
  <c r="K29"/>
  <c r="Q27"/>
  <c r="K28"/>
  <c r="Q29"/>
  <c r="B6"/>
  <c r="C6"/>
  <c r="Q6"/>
  <c r="B7"/>
  <c r="C7"/>
  <c r="Q7"/>
  <c r="Q5"/>
  <c r="K7"/>
  <c r="K6"/>
  <c r="K5"/>
  <c r="C73"/>
  <c r="Q73"/>
  <c r="C72"/>
  <c r="K72"/>
  <c r="K73"/>
  <c r="Q72"/>
  <c r="C57"/>
  <c r="K57"/>
  <c r="C58"/>
  <c r="K58"/>
  <c r="K59"/>
  <c r="Q57"/>
  <c r="Q58"/>
  <c r="Q59"/>
  <c r="C96"/>
  <c r="Q96"/>
  <c r="C97"/>
  <c r="Q97"/>
  <c r="Q95"/>
  <c r="K96"/>
  <c r="K97"/>
  <c r="K95"/>
  <c r="E49"/>
  <c r="E50"/>
  <c r="E51"/>
  <c r="E52"/>
  <c r="B37"/>
  <c r="B38"/>
  <c r="B39"/>
  <c r="B40"/>
  <c r="C40"/>
  <c r="K40"/>
  <c r="C39"/>
  <c r="G39"/>
  <c r="Q39"/>
  <c r="K41"/>
  <c r="Q40"/>
  <c r="K39"/>
  <c r="Q41"/>
  <c r="C90"/>
  <c r="C91"/>
  <c r="C92"/>
  <c r="C93"/>
  <c r="C94"/>
  <c r="C98"/>
  <c r="Q98"/>
  <c r="K98"/>
  <c r="C74"/>
  <c r="B52"/>
  <c r="U58"/>
  <c r="T58"/>
  <c r="S58"/>
  <c r="R58"/>
  <c r="O58"/>
  <c r="N58"/>
  <c r="M58"/>
  <c r="L58"/>
  <c r="D58"/>
  <c r="U57"/>
  <c r="T57"/>
  <c r="S57"/>
  <c r="R57"/>
  <c r="O57"/>
  <c r="N57"/>
  <c r="M57"/>
  <c r="L57"/>
  <c r="D57"/>
  <c r="B55"/>
  <c r="B56"/>
  <c r="C56"/>
  <c r="U56"/>
  <c r="T56"/>
  <c r="S56"/>
  <c r="R56"/>
  <c r="Q56"/>
  <c r="O56"/>
  <c r="N56"/>
  <c r="M56"/>
  <c r="L56"/>
  <c r="K56"/>
  <c r="D56"/>
  <c r="C55"/>
  <c r="U55"/>
  <c r="T55"/>
  <c r="S55"/>
  <c r="R55"/>
  <c r="Q55"/>
  <c r="O55"/>
  <c r="N55"/>
  <c r="M55"/>
  <c r="L55"/>
  <c r="K55"/>
  <c r="D55"/>
  <c r="C54"/>
  <c r="U54"/>
  <c r="T54"/>
  <c r="S54"/>
  <c r="R54"/>
  <c r="Q54"/>
  <c r="O54"/>
  <c r="N54"/>
  <c r="M54"/>
  <c r="L54"/>
  <c r="K54"/>
  <c r="D54"/>
  <c r="Q53"/>
  <c r="K53"/>
  <c r="C48"/>
  <c r="Q48"/>
  <c r="B49"/>
  <c r="C49"/>
  <c r="Q49"/>
  <c r="Q47"/>
  <c r="K48"/>
  <c r="K49"/>
  <c r="K47"/>
  <c r="U94"/>
  <c r="T94"/>
  <c r="S94"/>
  <c r="R94"/>
  <c r="Q94"/>
  <c r="O94"/>
  <c r="N94"/>
  <c r="M94"/>
  <c r="L94"/>
  <c r="K94"/>
  <c r="D94"/>
  <c r="U93"/>
  <c r="T93"/>
  <c r="S93"/>
  <c r="R93"/>
  <c r="Q93"/>
  <c r="O93"/>
  <c r="N93"/>
  <c r="M93"/>
  <c r="L93"/>
  <c r="K93"/>
  <c r="D93"/>
  <c r="U92"/>
  <c r="T92"/>
  <c r="S92"/>
  <c r="R92"/>
  <c r="Q92"/>
  <c r="O92"/>
  <c r="N92"/>
  <c r="M92"/>
  <c r="L92"/>
  <c r="K92"/>
  <c r="D92"/>
  <c r="U91"/>
  <c r="T91"/>
  <c r="S91"/>
  <c r="R91"/>
  <c r="Q91"/>
  <c r="O91"/>
  <c r="N91"/>
  <c r="M91"/>
  <c r="L91"/>
  <c r="K91"/>
  <c r="D91"/>
  <c r="U90"/>
  <c r="T90"/>
  <c r="S90"/>
  <c r="R90"/>
  <c r="Q90"/>
  <c r="O90"/>
  <c r="N90"/>
  <c r="M90"/>
  <c r="L90"/>
  <c r="K90"/>
  <c r="D90"/>
  <c r="C87"/>
  <c r="K87"/>
  <c r="C88"/>
  <c r="K88"/>
  <c r="Q87"/>
  <c r="Q88"/>
  <c r="D96"/>
  <c r="L96"/>
  <c r="M96"/>
  <c r="N96"/>
  <c r="O96"/>
  <c r="R96"/>
  <c r="S96"/>
  <c r="T96"/>
  <c r="U96"/>
  <c r="D97"/>
  <c r="L97"/>
  <c r="M97"/>
  <c r="N97"/>
  <c r="O97"/>
  <c r="R97"/>
  <c r="S97"/>
  <c r="T97"/>
  <c r="U97"/>
  <c r="D98"/>
  <c r="L98"/>
  <c r="M98"/>
  <c r="N98"/>
  <c r="O98"/>
  <c r="R98"/>
  <c r="S98"/>
  <c r="T98"/>
  <c r="U98"/>
  <c r="E30"/>
  <c r="C68"/>
  <c r="Q68"/>
  <c r="K68"/>
  <c r="C100"/>
  <c r="Q100"/>
  <c r="C99"/>
  <c r="K99"/>
  <c r="Q101"/>
  <c r="K100"/>
  <c r="Q99"/>
  <c r="K101"/>
  <c r="L99"/>
  <c r="C51"/>
  <c r="Q51"/>
  <c r="C52"/>
  <c r="Q52"/>
  <c r="K51"/>
  <c r="K52"/>
  <c r="Q74"/>
  <c r="K74"/>
  <c r="B43"/>
  <c r="B44"/>
  <c r="B45"/>
  <c r="C45"/>
  <c r="G45"/>
  <c r="Q45"/>
  <c r="B46"/>
  <c r="C46"/>
  <c r="G46"/>
  <c r="Q46"/>
  <c r="K45"/>
  <c r="K46"/>
  <c r="B50"/>
  <c r="C50"/>
  <c r="Q50"/>
  <c r="E31"/>
  <c r="E32"/>
  <c r="E33"/>
  <c r="E34"/>
  <c r="K50"/>
  <c r="C12"/>
  <c r="Q12"/>
  <c r="B8"/>
  <c r="B9"/>
  <c r="B10"/>
  <c r="C10"/>
  <c r="K10"/>
  <c r="K12"/>
  <c r="Q10"/>
  <c r="C13"/>
  <c r="Q13"/>
  <c r="K13"/>
  <c r="C25"/>
  <c r="K25"/>
  <c r="C24"/>
  <c r="Q24"/>
  <c r="Q25"/>
  <c r="K24"/>
  <c r="C60"/>
  <c r="Q60"/>
  <c r="B61"/>
  <c r="C61"/>
  <c r="K61"/>
  <c r="K60"/>
  <c r="Q61"/>
  <c r="E14"/>
  <c r="B62"/>
  <c r="B63"/>
  <c r="C64"/>
  <c r="Q64"/>
  <c r="C63"/>
  <c r="K63"/>
  <c r="K64"/>
  <c r="Q63"/>
  <c r="L66"/>
  <c r="C19"/>
  <c r="K19"/>
  <c r="C18"/>
  <c r="Q18"/>
  <c r="C62"/>
  <c r="Q19"/>
  <c r="K18"/>
  <c r="C9"/>
  <c r="K9"/>
  <c r="Q9"/>
  <c r="B85"/>
  <c r="C85"/>
  <c r="Q85"/>
  <c r="C84"/>
  <c r="K84"/>
  <c r="K85"/>
  <c r="Q84"/>
  <c r="C8"/>
  <c r="Q8"/>
  <c r="K8"/>
  <c r="C37"/>
  <c r="Q37"/>
  <c r="C36"/>
  <c r="K36"/>
  <c r="K37"/>
  <c r="Q36"/>
  <c r="H26" i="59"/>
  <c r="B86" i="60"/>
  <c r="C86"/>
  <c r="C26"/>
  <c r="L28"/>
  <c r="G26"/>
  <c r="K26"/>
  <c r="Q26"/>
  <c r="C14"/>
  <c r="K14"/>
  <c r="Q14"/>
  <c r="K62"/>
  <c r="Q62"/>
  <c r="C2"/>
  <c r="C20"/>
  <c r="Q20"/>
  <c r="K20"/>
  <c r="B31"/>
  <c r="B32"/>
  <c r="B33"/>
  <c r="B34"/>
  <c r="U70"/>
  <c r="T70"/>
  <c r="S70"/>
  <c r="R70"/>
  <c r="O70"/>
  <c r="N70"/>
  <c r="M70"/>
  <c r="L70"/>
  <c r="D70"/>
  <c r="U69"/>
  <c r="T69"/>
  <c r="S69"/>
  <c r="R69"/>
  <c r="O69"/>
  <c r="N69"/>
  <c r="M69"/>
  <c r="L69"/>
  <c r="D69"/>
  <c r="U68"/>
  <c r="T68"/>
  <c r="S68"/>
  <c r="R68"/>
  <c r="O68"/>
  <c r="N68"/>
  <c r="M68"/>
  <c r="L68"/>
  <c r="D68"/>
  <c r="U67"/>
  <c r="T67"/>
  <c r="S67"/>
  <c r="R67"/>
  <c r="O67"/>
  <c r="N67"/>
  <c r="M67"/>
  <c r="L67"/>
  <c r="D67"/>
  <c r="U66"/>
  <c r="T66"/>
  <c r="S66"/>
  <c r="R66"/>
  <c r="O66"/>
  <c r="N66"/>
  <c r="M66"/>
  <c r="D66"/>
  <c r="U100"/>
  <c r="T100"/>
  <c r="S100"/>
  <c r="R100"/>
  <c r="O100"/>
  <c r="N100"/>
  <c r="M100"/>
  <c r="L100"/>
  <c r="D100"/>
  <c r="U99"/>
  <c r="T99"/>
  <c r="S99"/>
  <c r="R99"/>
  <c r="O99"/>
  <c r="N99"/>
  <c r="M99"/>
  <c r="D99"/>
  <c r="U46"/>
  <c r="T46"/>
  <c r="S46"/>
  <c r="R46"/>
  <c r="O46"/>
  <c r="N46"/>
  <c r="M46"/>
  <c r="L46"/>
  <c r="D46"/>
  <c r="U45"/>
  <c r="T45"/>
  <c r="S45"/>
  <c r="R45"/>
  <c r="O45"/>
  <c r="N45"/>
  <c r="M45"/>
  <c r="L45"/>
  <c r="D45"/>
  <c r="C44"/>
  <c r="U44"/>
  <c r="T44"/>
  <c r="S44"/>
  <c r="R44"/>
  <c r="Q44"/>
  <c r="O44"/>
  <c r="N44"/>
  <c r="M44"/>
  <c r="L44"/>
  <c r="K44"/>
  <c r="D44"/>
  <c r="C43"/>
  <c r="U43"/>
  <c r="T43"/>
  <c r="S43"/>
  <c r="R43"/>
  <c r="Q43"/>
  <c r="O43"/>
  <c r="N43"/>
  <c r="M43"/>
  <c r="L43"/>
  <c r="K43"/>
  <c r="D43"/>
  <c r="C42"/>
  <c r="U42"/>
  <c r="T42"/>
  <c r="S42"/>
  <c r="R42"/>
  <c r="Q42"/>
  <c r="O42"/>
  <c r="N42"/>
  <c r="M42"/>
  <c r="L42"/>
  <c r="K42"/>
  <c r="D42"/>
  <c r="A53" i="63"/>
  <c r="F4" i="59"/>
  <c r="H4"/>
  <c r="F5"/>
  <c r="H5"/>
  <c r="F6"/>
  <c r="H6"/>
  <c r="F7"/>
  <c r="H7"/>
  <c r="F8"/>
  <c r="H8"/>
  <c r="F9"/>
  <c r="H9"/>
  <c r="F10"/>
  <c r="H10"/>
  <c r="F11"/>
  <c r="H11"/>
  <c r="F12"/>
  <c r="H12"/>
  <c r="F13"/>
  <c r="H13"/>
  <c r="F14"/>
  <c r="H14"/>
  <c r="F15"/>
  <c r="H15"/>
  <c r="F16"/>
  <c r="H16"/>
  <c r="F17"/>
  <c r="H17"/>
  <c r="F18"/>
  <c r="H18"/>
  <c r="F19"/>
  <c r="H19"/>
  <c r="F20"/>
  <c r="H20"/>
  <c r="F21"/>
  <c r="H21"/>
  <c r="F22"/>
  <c r="H22"/>
  <c r="F23"/>
  <c r="H23"/>
  <c r="F24"/>
  <c r="H24"/>
  <c r="F25"/>
  <c r="H25"/>
  <c r="F27"/>
  <c r="H27"/>
  <c r="F28"/>
  <c r="H28"/>
  <c r="F29"/>
  <c r="H29"/>
  <c r="F30"/>
  <c r="H30"/>
  <c r="F31"/>
  <c r="H31"/>
  <c r="F32"/>
  <c r="H32"/>
  <c r="F33"/>
  <c r="H33"/>
  <c r="F34"/>
  <c r="H34"/>
  <c r="F35"/>
  <c r="H35"/>
  <c r="F36"/>
  <c r="H36"/>
  <c r="F37"/>
  <c r="H37"/>
  <c r="H38"/>
  <c r="H39"/>
  <c r="H40"/>
  <c r="H41"/>
  <c r="H42"/>
  <c r="F3" i="64"/>
  <c r="FA3"/>
  <c r="C4"/>
  <c r="F4"/>
  <c r="R21" s="1"/>
  <c r="C6"/>
  <c r="F8"/>
  <c r="J8" s="1"/>
  <c r="G8"/>
  <c r="I8"/>
  <c r="F9"/>
  <c r="G9" s="1"/>
  <c r="H9"/>
  <c r="I9"/>
  <c r="J9"/>
  <c r="C16"/>
  <c r="W22"/>
  <c r="W21"/>
  <c r="AB21"/>
  <c r="AG21"/>
  <c r="AQ21"/>
  <c r="A53"/>
  <c r="A51"/>
  <c r="A49"/>
  <c r="A47"/>
  <c r="A45"/>
  <c r="A43" s="1"/>
  <c r="A41" s="1"/>
  <c r="A39" s="1"/>
  <c r="A37" s="1"/>
  <c r="A35" s="1"/>
  <c r="A33" s="1"/>
  <c r="A31" s="1"/>
  <c r="A29" s="1"/>
  <c r="A27" s="1"/>
  <c r="A25" s="1"/>
  <c r="A23" s="1"/>
  <c r="A55"/>
  <c r="A57"/>
  <c r="A59" s="1"/>
  <c r="A61" s="1"/>
  <c r="A63" s="1"/>
  <c r="A65" s="1"/>
  <c r="A67"/>
  <c r="A69"/>
  <c r="A71" s="1"/>
  <c r="A73" s="1"/>
  <c r="A75" s="1"/>
  <c r="A77" s="1"/>
  <c r="A79" s="1"/>
  <c r="A81" s="1"/>
  <c r="A83" s="1"/>
  <c r="F3" i="63"/>
  <c r="G3"/>
  <c r="H3"/>
  <c r="I3"/>
  <c r="J3"/>
  <c r="FA3"/>
  <c r="C4"/>
  <c r="F4"/>
  <c r="G4"/>
  <c r="H4"/>
  <c r="I4"/>
  <c r="J4"/>
  <c r="C6"/>
  <c r="F8"/>
  <c r="G8"/>
  <c r="H8"/>
  <c r="I8"/>
  <c r="J8"/>
  <c r="F9"/>
  <c r="G9"/>
  <c r="H9"/>
  <c r="I9"/>
  <c r="J9"/>
  <c r="C16"/>
  <c r="C22"/>
  <c r="C20"/>
  <c r="H22"/>
  <c r="G22"/>
  <c r="F22"/>
  <c r="E22"/>
  <c r="D22"/>
  <c r="D20"/>
  <c r="E20"/>
  <c r="F20"/>
  <c r="G20"/>
  <c r="H20"/>
  <c r="M22"/>
  <c r="L22"/>
  <c r="K22"/>
  <c r="J22"/>
  <c r="I22"/>
  <c r="I20"/>
  <c r="J20"/>
  <c r="K20"/>
  <c r="L20"/>
  <c r="M20"/>
  <c r="R22"/>
  <c r="Q22"/>
  <c r="P22"/>
  <c r="O22"/>
  <c r="N22"/>
  <c r="N20"/>
  <c r="O20"/>
  <c r="P20"/>
  <c r="Q20"/>
  <c r="R20"/>
  <c r="W22"/>
  <c r="V22"/>
  <c r="U22"/>
  <c r="T22"/>
  <c r="S22"/>
  <c r="S20"/>
  <c r="T20"/>
  <c r="U20"/>
  <c r="V20"/>
  <c r="X22"/>
  <c r="X20"/>
  <c r="Y22"/>
  <c r="Y20"/>
  <c r="Z22"/>
  <c r="Z20"/>
  <c r="AA22"/>
  <c r="AA20"/>
  <c r="AB22"/>
  <c r="AB20"/>
  <c r="AC22"/>
  <c r="AC20"/>
  <c r="AD22"/>
  <c r="AD20"/>
  <c r="AE22"/>
  <c r="AE20"/>
  <c r="AF22"/>
  <c r="AF20"/>
  <c r="AG22"/>
  <c r="AG20"/>
  <c r="AH22"/>
  <c r="AH20"/>
  <c r="AI22"/>
  <c r="AI20"/>
  <c r="AJ22"/>
  <c r="AJ20"/>
  <c r="AK22"/>
  <c r="AK20"/>
  <c r="AL22"/>
  <c r="AL20"/>
  <c r="AM22"/>
  <c r="AM20"/>
  <c r="AN22"/>
  <c r="AN20"/>
  <c r="AO22"/>
  <c r="AO20"/>
  <c r="AP22"/>
  <c r="AP20"/>
  <c r="AQ22"/>
  <c r="AQ20"/>
  <c r="C21"/>
  <c r="H21"/>
  <c r="D21"/>
  <c r="E21"/>
  <c r="F21"/>
  <c r="G21"/>
  <c r="M21"/>
  <c r="I21"/>
  <c r="J21"/>
  <c r="K21"/>
  <c r="L21"/>
  <c r="R21"/>
  <c r="N21"/>
  <c r="O21"/>
  <c r="P21"/>
  <c r="Q21"/>
  <c r="W21"/>
  <c r="S21"/>
  <c r="T21"/>
  <c r="U21"/>
  <c r="V21"/>
  <c r="AB21"/>
  <c r="X21"/>
  <c r="Y21"/>
  <c r="Z21"/>
  <c r="AA21"/>
  <c r="AG21"/>
  <c r="AC21"/>
  <c r="AD21"/>
  <c r="AE21"/>
  <c r="AF21"/>
  <c r="AL21"/>
  <c r="AH21"/>
  <c r="AI21"/>
  <c r="AJ21"/>
  <c r="AK21"/>
  <c r="AQ21"/>
  <c r="AM21"/>
  <c r="AN21"/>
  <c r="AO21"/>
  <c r="AP21"/>
  <c r="A51"/>
  <c r="A49"/>
  <c r="A47"/>
  <c r="A45"/>
  <c r="A43"/>
  <c r="A41"/>
  <c r="A39"/>
  <c r="A37"/>
  <c r="A35"/>
  <c r="A33"/>
  <c r="A31"/>
  <c r="A29"/>
  <c r="A27"/>
  <c r="A25"/>
  <c r="A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6" i="60"/>
  <c r="D6"/>
  <c r="L6"/>
  <c r="M6"/>
  <c r="N6"/>
  <c r="O6"/>
  <c r="R6"/>
  <c r="S6"/>
  <c r="T6"/>
  <c r="U6"/>
  <c r="D7"/>
  <c r="L7"/>
  <c r="M7"/>
  <c r="N7"/>
  <c r="O7"/>
  <c r="R7"/>
  <c r="S7"/>
  <c r="T7"/>
  <c r="U7"/>
  <c r="D8"/>
  <c r="L8"/>
  <c r="M8"/>
  <c r="N8"/>
  <c r="O8"/>
  <c r="R8"/>
  <c r="S8"/>
  <c r="T8"/>
  <c r="U8"/>
  <c r="D9"/>
  <c r="L9"/>
  <c r="M9"/>
  <c r="N9"/>
  <c r="O9"/>
  <c r="R9"/>
  <c r="S9"/>
  <c r="T9"/>
  <c r="U9"/>
  <c r="D10"/>
  <c r="L10"/>
  <c r="M10"/>
  <c r="N10"/>
  <c r="O10"/>
  <c r="R10"/>
  <c r="S10"/>
  <c r="T10"/>
  <c r="U10"/>
  <c r="D12"/>
  <c r="L12"/>
  <c r="M12"/>
  <c r="N12"/>
  <c r="O12"/>
  <c r="R12"/>
  <c r="S12"/>
  <c r="T12"/>
  <c r="U12"/>
  <c r="D13"/>
  <c r="L13"/>
  <c r="M13"/>
  <c r="N13"/>
  <c r="O13"/>
  <c r="R13"/>
  <c r="S13"/>
  <c r="T13"/>
  <c r="U13"/>
  <c r="D14"/>
  <c r="L14"/>
  <c r="M14"/>
  <c r="N14"/>
  <c r="O14"/>
  <c r="R14"/>
  <c r="S14"/>
  <c r="T14"/>
  <c r="U14"/>
  <c r="D15"/>
  <c r="L15"/>
  <c r="M15"/>
  <c r="N15"/>
  <c r="O15"/>
  <c r="R15"/>
  <c r="S15"/>
  <c r="T15"/>
  <c r="U15"/>
  <c r="D16"/>
  <c r="L16"/>
  <c r="M16"/>
  <c r="N16"/>
  <c r="O16"/>
  <c r="R16"/>
  <c r="S16"/>
  <c r="T16"/>
  <c r="U16"/>
  <c r="D18"/>
  <c r="L18"/>
  <c r="M18"/>
  <c r="N18"/>
  <c r="O18"/>
  <c r="R18"/>
  <c r="S18"/>
  <c r="T18"/>
  <c r="U18"/>
  <c r="D19"/>
  <c r="L19"/>
  <c r="M19"/>
  <c r="N19"/>
  <c r="O19"/>
  <c r="R19"/>
  <c r="S19"/>
  <c r="T19"/>
  <c r="U19"/>
  <c r="D20"/>
  <c r="L20"/>
  <c r="M20"/>
  <c r="N20"/>
  <c r="O20"/>
  <c r="R20"/>
  <c r="S20"/>
  <c r="T20"/>
  <c r="U20"/>
  <c r="D21"/>
  <c r="L21"/>
  <c r="M21"/>
  <c r="N21"/>
  <c r="O21"/>
  <c r="R21"/>
  <c r="S21"/>
  <c r="T21"/>
  <c r="U21"/>
  <c r="D22"/>
  <c r="L22"/>
  <c r="M22"/>
  <c r="N22"/>
  <c r="O22"/>
  <c r="R22"/>
  <c r="S22"/>
  <c r="T22"/>
  <c r="U22"/>
  <c r="D24"/>
  <c r="L24"/>
  <c r="M24"/>
  <c r="N24"/>
  <c r="O24"/>
  <c r="R24"/>
  <c r="S24"/>
  <c r="T24"/>
  <c r="U24"/>
  <c r="D25"/>
  <c r="L25"/>
  <c r="M25"/>
  <c r="N25"/>
  <c r="O25"/>
  <c r="R25"/>
  <c r="S25"/>
  <c r="T25"/>
  <c r="U25"/>
  <c r="D26"/>
  <c r="L26"/>
  <c r="M26"/>
  <c r="N26"/>
  <c r="O26"/>
  <c r="R26"/>
  <c r="S26"/>
  <c r="T26"/>
  <c r="U26"/>
  <c r="D27"/>
  <c r="L27"/>
  <c r="M27"/>
  <c r="N27"/>
  <c r="O27"/>
  <c r="R27"/>
  <c r="S27"/>
  <c r="T27"/>
  <c r="U27"/>
  <c r="D28"/>
  <c r="M28"/>
  <c r="N28"/>
  <c r="O28"/>
  <c r="R28"/>
  <c r="S28"/>
  <c r="T28"/>
  <c r="U28"/>
  <c r="C30"/>
  <c r="D30"/>
  <c r="G30"/>
  <c r="K30"/>
  <c r="L30"/>
  <c r="M30"/>
  <c r="N30"/>
  <c r="O30"/>
  <c r="Q30"/>
  <c r="R30"/>
  <c r="S30"/>
  <c r="T30"/>
  <c r="U30"/>
  <c r="C31"/>
  <c r="D31"/>
  <c r="K31"/>
  <c r="L31"/>
  <c r="M31"/>
  <c r="N31"/>
  <c r="O31"/>
  <c r="Q31"/>
  <c r="R31"/>
  <c r="S31"/>
  <c r="T31"/>
  <c r="U31"/>
  <c r="C32"/>
  <c r="D32"/>
  <c r="K32"/>
  <c r="L32"/>
  <c r="M32"/>
  <c r="N32"/>
  <c r="O32"/>
  <c r="Q32"/>
  <c r="R32"/>
  <c r="S32"/>
  <c r="T32"/>
  <c r="U32"/>
  <c r="C33"/>
  <c r="D33"/>
  <c r="K33"/>
  <c r="L33"/>
  <c r="M33"/>
  <c r="N33"/>
  <c r="O33"/>
  <c r="Q33"/>
  <c r="R33"/>
  <c r="S33"/>
  <c r="T33"/>
  <c r="U33"/>
  <c r="C34"/>
  <c r="D34"/>
  <c r="K34"/>
  <c r="L34"/>
  <c r="M34"/>
  <c r="N34"/>
  <c r="O34"/>
  <c r="Q34"/>
  <c r="R34"/>
  <c r="S34"/>
  <c r="T34"/>
  <c r="U34"/>
  <c r="D36"/>
  <c r="L36"/>
  <c r="M36"/>
  <c r="N36"/>
  <c r="O36"/>
  <c r="R36"/>
  <c r="S36"/>
  <c r="T36"/>
  <c r="U36"/>
  <c r="D37"/>
  <c r="L37"/>
  <c r="M37"/>
  <c r="N37"/>
  <c r="O37"/>
  <c r="R37"/>
  <c r="S37"/>
  <c r="T37"/>
  <c r="U37"/>
  <c r="C38"/>
  <c r="D38"/>
  <c r="K38"/>
  <c r="L38"/>
  <c r="M38"/>
  <c r="N38"/>
  <c r="O38"/>
  <c r="Q38"/>
  <c r="R38"/>
  <c r="S38"/>
  <c r="T38"/>
  <c r="U38"/>
  <c r="D39"/>
  <c r="L39"/>
  <c r="M39"/>
  <c r="N39"/>
  <c r="O39"/>
  <c r="R39"/>
  <c r="S39"/>
  <c r="T39"/>
  <c r="U39"/>
  <c r="D40"/>
  <c r="L40"/>
  <c r="M40"/>
  <c r="N40"/>
  <c r="O40"/>
  <c r="R40"/>
  <c r="S40"/>
  <c r="T40"/>
  <c r="U40"/>
  <c r="D48"/>
  <c r="L48"/>
  <c r="M48"/>
  <c r="N48"/>
  <c r="O48"/>
  <c r="R48"/>
  <c r="S48"/>
  <c r="T48"/>
  <c r="U48"/>
  <c r="D49"/>
  <c r="L49"/>
  <c r="M49"/>
  <c r="N49"/>
  <c r="O49"/>
  <c r="R49"/>
  <c r="S49"/>
  <c r="T49"/>
  <c r="U49"/>
  <c r="D50"/>
  <c r="L50"/>
  <c r="M50"/>
  <c r="N50"/>
  <c r="O50"/>
  <c r="R50"/>
  <c r="S50"/>
  <c r="T50"/>
  <c r="U50"/>
  <c r="D51"/>
  <c r="L51"/>
  <c r="M51"/>
  <c r="N51"/>
  <c r="O51"/>
  <c r="R51"/>
  <c r="S51"/>
  <c r="T51"/>
  <c r="U51"/>
  <c r="D52"/>
  <c r="L52"/>
  <c r="M52"/>
  <c r="N52"/>
  <c r="O52"/>
  <c r="R52"/>
  <c r="S52"/>
  <c r="T52"/>
  <c r="U52"/>
  <c r="D60"/>
  <c r="L60"/>
  <c r="M60"/>
  <c r="N60"/>
  <c r="O60"/>
  <c r="R60"/>
  <c r="S60"/>
  <c r="T60"/>
  <c r="U60"/>
  <c r="D61"/>
  <c r="L61"/>
  <c r="M61"/>
  <c r="N61"/>
  <c r="O61"/>
  <c r="R61"/>
  <c r="S61"/>
  <c r="T61"/>
  <c r="U61"/>
  <c r="D62"/>
  <c r="L62"/>
  <c r="M62"/>
  <c r="N62"/>
  <c r="O62"/>
  <c r="R62"/>
  <c r="S62"/>
  <c r="T62"/>
  <c r="U62"/>
  <c r="D63"/>
  <c r="L63"/>
  <c r="M63"/>
  <c r="N63"/>
  <c r="O63"/>
  <c r="R63"/>
  <c r="S63"/>
  <c r="T63"/>
  <c r="U63"/>
  <c r="D64"/>
  <c r="L64"/>
  <c r="M64"/>
  <c r="N64"/>
  <c r="O64"/>
  <c r="R64"/>
  <c r="S64"/>
  <c r="T64"/>
  <c r="U64"/>
  <c r="D72"/>
  <c r="L72"/>
  <c r="M72"/>
  <c r="N72"/>
  <c r="O72"/>
  <c r="R72"/>
  <c r="S72"/>
  <c r="T72"/>
  <c r="U72"/>
  <c r="D73"/>
  <c r="L73"/>
  <c r="M73"/>
  <c r="N73"/>
  <c r="O73"/>
  <c r="R73"/>
  <c r="S73"/>
  <c r="T73"/>
  <c r="U73"/>
  <c r="D74"/>
  <c r="L74"/>
  <c r="M74"/>
  <c r="N74"/>
  <c r="O74"/>
  <c r="R74"/>
  <c r="S74"/>
  <c r="T74"/>
  <c r="U74"/>
  <c r="D75"/>
  <c r="L75"/>
  <c r="M75"/>
  <c r="N75"/>
  <c r="O75"/>
  <c r="R75"/>
  <c r="S75"/>
  <c r="T75"/>
  <c r="U75"/>
  <c r="D76"/>
  <c r="L76"/>
  <c r="M76"/>
  <c r="N76"/>
  <c r="O76"/>
  <c r="R76"/>
  <c r="S76"/>
  <c r="T76"/>
  <c r="U76"/>
  <c r="D78"/>
  <c r="L78"/>
  <c r="M78"/>
  <c r="N78"/>
  <c r="O78"/>
  <c r="R78"/>
  <c r="S78"/>
  <c r="T78"/>
  <c r="U78"/>
  <c r="D79"/>
  <c r="L79"/>
  <c r="M79"/>
  <c r="N79"/>
  <c r="O79"/>
  <c r="R79"/>
  <c r="S79"/>
  <c r="T79"/>
  <c r="U79"/>
  <c r="D80"/>
  <c r="K80"/>
  <c r="L80"/>
  <c r="M80"/>
  <c r="N80"/>
  <c r="O80"/>
  <c r="Q80"/>
  <c r="R80"/>
  <c r="S80"/>
  <c r="T80"/>
  <c r="U80"/>
  <c r="D81"/>
  <c r="K81"/>
  <c r="L81"/>
  <c r="M81"/>
  <c r="N81"/>
  <c r="O81"/>
  <c r="Q81"/>
  <c r="R81"/>
  <c r="S81"/>
  <c r="T81"/>
  <c r="U81"/>
  <c r="B82"/>
  <c r="C82"/>
  <c r="D82"/>
  <c r="K82"/>
  <c r="L82"/>
  <c r="M82"/>
  <c r="N82"/>
  <c r="O82"/>
  <c r="Q82"/>
  <c r="R82"/>
  <c r="S82"/>
  <c r="T82"/>
  <c r="U82"/>
  <c r="D84"/>
  <c r="L84"/>
  <c r="M84"/>
  <c r="N84"/>
  <c r="O84"/>
  <c r="R84"/>
  <c r="S84"/>
  <c r="T84"/>
  <c r="U84"/>
  <c r="D85"/>
  <c r="L85"/>
  <c r="M85"/>
  <c r="N85"/>
  <c r="O85"/>
  <c r="R85"/>
  <c r="S85"/>
  <c r="T85"/>
  <c r="U85"/>
  <c r="D86"/>
  <c r="K86"/>
  <c r="L86"/>
  <c r="M86"/>
  <c r="N86"/>
  <c r="O86"/>
  <c r="Q86"/>
  <c r="R86"/>
  <c r="S86"/>
  <c r="T86"/>
  <c r="U86"/>
  <c r="D87"/>
  <c r="L87"/>
  <c r="M87"/>
  <c r="N87"/>
  <c r="O87"/>
  <c r="R87"/>
  <c r="S87"/>
  <c r="T87"/>
  <c r="U87"/>
  <c r="D88"/>
  <c r="L88"/>
  <c r="M88"/>
  <c r="N88"/>
  <c r="O88"/>
  <c r="R88"/>
  <c r="S88"/>
  <c r="T88"/>
  <c r="U88"/>
  <c r="T21" i="64" l="1"/>
  <c r="Q21"/>
  <c r="P21"/>
  <c r="O21"/>
  <c r="U21"/>
  <c r="V21"/>
  <c r="N21"/>
  <c r="M21"/>
  <c r="G4"/>
  <c r="Z21"/>
  <c r="AE21"/>
  <c r="AD21"/>
  <c r="AC21"/>
  <c r="AF21"/>
  <c r="J4"/>
  <c r="H21"/>
  <c r="I4"/>
  <c r="C21"/>
  <c r="H4"/>
  <c r="X21"/>
  <c r="AI21"/>
  <c r="X22"/>
  <c r="W20"/>
  <c r="J3"/>
  <c r="C22" s="1"/>
  <c r="C20" s="1"/>
  <c r="I3"/>
  <c r="H22" s="1"/>
  <c r="H3"/>
  <c r="M22" s="1"/>
  <c r="G3"/>
  <c r="R22" s="1"/>
  <c r="S21"/>
  <c r="H8"/>
  <c r="AL21"/>
  <c r="Y21"/>
  <c r="AH21"/>
  <c r="AA21"/>
  <c r="W77"/>
  <c r="W55"/>
  <c r="W79"/>
  <c r="W75"/>
  <c r="W69"/>
  <c r="W63"/>
  <c r="W48"/>
  <c r="W32"/>
  <c r="W81"/>
  <c r="W29"/>
  <c r="W74"/>
  <c r="W65"/>
  <c r="W54"/>
  <c r="W80"/>
  <c r="W64"/>
  <c r="W45"/>
  <c r="W38"/>
  <c r="W60"/>
  <c r="W23"/>
  <c r="W76"/>
  <c r="W67"/>
  <c r="W39"/>
  <c r="W84"/>
  <c r="W73"/>
  <c r="W70"/>
  <c r="W46"/>
  <c r="W30"/>
  <c r="W82"/>
  <c r="W71"/>
  <c r="W59"/>
  <c r="W47"/>
  <c r="W31"/>
  <c r="W40"/>
  <c r="W24"/>
  <c r="W83"/>
  <c r="W78"/>
  <c r="W68"/>
  <c r="W66"/>
  <c r="W53"/>
  <c r="W37"/>
  <c r="W72"/>
  <c r="W61"/>
  <c r="W56"/>
  <c r="W49"/>
  <c r="W41"/>
  <c r="W33"/>
  <c r="W25"/>
  <c r="W62"/>
  <c r="W50"/>
  <c r="W42"/>
  <c r="W34"/>
  <c r="W26"/>
  <c r="W57"/>
  <c r="W51"/>
  <c r="W43"/>
  <c r="W35"/>
  <c r="W27"/>
  <c r="W58"/>
  <c r="W52"/>
  <c r="W44"/>
  <c r="W36"/>
  <c r="W28"/>
  <c r="C70"/>
  <c r="C61"/>
  <c r="C83"/>
  <c r="C52"/>
  <c r="C42"/>
  <c r="C77"/>
  <c r="C67"/>
  <c r="C57"/>
  <c r="C36"/>
  <c r="C82"/>
  <c r="C73"/>
  <c r="C33"/>
  <c r="C84"/>
  <c r="C80"/>
  <c r="C43"/>
  <c r="C78"/>
  <c r="C65"/>
  <c r="C62"/>
  <c r="C26"/>
  <c r="C68"/>
  <c r="C49"/>
  <c r="C71"/>
  <c r="C63"/>
  <c r="C56"/>
  <c r="C27"/>
  <c r="C44"/>
  <c r="C81"/>
  <c r="C76"/>
  <c r="C50"/>
  <c r="C34"/>
  <c r="C79"/>
  <c r="C74"/>
  <c r="C66"/>
  <c r="C51"/>
  <c r="C35"/>
  <c r="C28"/>
  <c r="C75"/>
  <c r="C72"/>
  <c r="C58"/>
  <c r="C41"/>
  <c r="C25"/>
  <c r="C69"/>
  <c r="C64"/>
  <c r="C53"/>
  <c r="C45"/>
  <c r="C37"/>
  <c r="C29"/>
  <c r="C59"/>
  <c r="C54"/>
  <c r="C46"/>
  <c r="C38"/>
  <c r="C30"/>
  <c r="C60"/>
  <c r="C47"/>
  <c r="C39"/>
  <c r="C31"/>
  <c r="C23"/>
  <c r="C55"/>
  <c r="C48"/>
  <c r="C40"/>
  <c r="C32"/>
  <c r="C24"/>
  <c r="G22" l="1"/>
  <c r="H20"/>
  <c r="M20"/>
  <c r="L22"/>
  <c r="R20"/>
  <c r="Q22"/>
  <c r="Y22"/>
  <c r="X20"/>
  <c r="AJ21"/>
  <c r="AP21"/>
  <c r="AO21"/>
  <c r="AN21"/>
  <c r="AM21"/>
  <c r="AK21"/>
  <c r="D21"/>
  <c r="E21"/>
  <c r="F21"/>
  <c r="G21"/>
  <c r="L21"/>
  <c r="K21"/>
  <c r="J21"/>
  <c r="I21"/>
  <c r="V22"/>
  <c r="X27"/>
  <c r="X35"/>
  <c r="X43"/>
  <c r="X51"/>
  <c r="X57"/>
  <c r="X26"/>
  <c r="X34"/>
  <c r="X42"/>
  <c r="X50"/>
  <c r="X62"/>
  <c r="X25"/>
  <c r="X33"/>
  <c r="X41"/>
  <c r="X49"/>
  <c r="X56"/>
  <c r="X61"/>
  <c r="X24"/>
  <c r="X32"/>
  <c r="X40"/>
  <c r="X48"/>
  <c r="X55"/>
  <c r="X66"/>
  <c r="X71"/>
  <c r="X28"/>
  <c r="X44"/>
  <c r="X77"/>
  <c r="X31"/>
  <c r="X38"/>
  <c r="X54"/>
  <c r="X69"/>
  <c r="X76"/>
  <c r="X81"/>
  <c r="X37"/>
  <c r="X53"/>
  <c r="X58"/>
  <c r="X68"/>
  <c r="X78"/>
  <c r="X83"/>
  <c r="X45"/>
  <c r="X64"/>
  <c r="X80"/>
  <c r="X65"/>
  <c r="X29"/>
  <c r="X60"/>
  <c r="X73"/>
  <c r="X63"/>
  <c r="X75"/>
  <c r="X84"/>
  <c r="X70"/>
  <c r="X82"/>
  <c r="X39"/>
  <c r="X59"/>
  <c r="X79"/>
  <c r="X23"/>
  <c r="X30"/>
  <c r="X46"/>
  <c r="X74"/>
  <c r="X36"/>
  <c r="X47"/>
  <c r="X52"/>
  <c r="X67"/>
  <c r="X72"/>
  <c r="R25"/>
  <c r="R33"/>
  <c r="R41"/>
  <c r="R49"/>
  <c r="R56"/>
  <c r="R61"/>
  <c r="R24"/>
  <c r="R32"/>
  <c r="R40"/>
  <c r="R48"/>
  <c r="R55"/>
  <c r="R23"/>
  <c r="R31"/>
  <c r="R39"/>
  <c r="R47"/>
  <c r="R60"/>
  <c r="R30"/>
  <c r="R38"/>
  <c r="R46"/>
  <c r="R54"/>
  <c r="R59"/>
  <c r="R70"/>
  <c r="R34"/>
  <c r="R50"/>
  <c r="R63"/>
  <c r="R67"/>
  <c r="R76"/>
  <c r="R81"/>
  <c r="R37"/>
  <c r="R28"/>
  <c r="R44"/>
  <c r="R80"/>
  <c r="R27"/>
  <c r="R43"/>
  <c r="R69"/>
  <c r="R71"/>
  <c r="R82"/>
  <c r="R36"/>
  <c r="R65"/>
  <c r="R78"/>
  <c r="R51"/>
  <c r="R79"/>
  <c r="R35"/>
  <c r="R52"/>
  <c r="R58"/>
  <c r="R72"/>
  <c r="R73"/>
  <c r="R84"/>
  <c r="R75"/>
  <c r="R83"/>
  <c r="R42"/>
  <c r="R45"/>
  <c r="R66"/>
  <c r="R77"/>
  <c r="R53"/>
  <c r="R62"/>
  <c r="R64"/>
  <c r="R68"/>
  <c r="R26"/>
  <c r="R57"/>
  <c r="R29"/>
  <c r="R74"/>
  <c r="M30"/>
  <c r="M38"/>
  <c r="M46"/>
  <c r="M54"/>
  <c r="M59"/>
  <c r="M29"/>
  <c r="M37"/>
  <c r="M45"/>
  <c r="M53"/>
  <c r="M64"/>
  <c r="M28"/>
  <c r="M36"/>
  <c r="M44"/>
  <c r="M52"/>
  <c r="M58"/>
  <c r="M63"/>
  <c r="M27"/>
  <c r="M35"/>
  <c r="M43"/>
  <c r="M51"/>
  <c r="M57"/>
  <c r="M68"/>
  <c r="M31"/>
  <c r="M47"/>
  <c r="M70"/>
  <c r="M74"/>
  <c r="M79"/>
  <c r="M34"/>
  <c r="M25"/>
  <c r="M41"/>
  <c r="M55"/>
  <c r="M78"/>
  <c r="M83"/>
  <c r="M24"/>
  <c r="M40"/>
  <c r="M72"/>
  <c r="M80"/>
  <c r="M33"/>
  <c r="M69"/>
  <c r="M61"/>
  <c r="M62"/>
  <c r="M67"/>
  <c r="M23"/>
  <c r="M32"/>
  <c r="M49"/>
  <c r="M60"/>
  <c r="M75"/>
  <c r="M66"/>
  <c r="M73"/>
  <c r="M81"/>
  <c r="M39"/>
  <c r="M71"/>
  <c r="M42"/>
  <c r="M50"/>
  <c r="M65"/>
  <c r="M82"/>
  <c r="M77"/>
  <c r="M48"/>
  <c r="M56"/>
  <c r="M26"/>
  <c r="M84"/>
  <c r="M76"/>
  <c r="H27"/>
  <c r="H35"/>
  <c r="H43"/>
  <c r="H51"/>
  <c r="H57"/>
  <c r="H26"/>
  <c r="H34"/>
  <c r="H42"/>
  <c r="H50"/>
  <c r="H62"/>
  <c r="H25"/>
  <c r="H33"/>
  <c r="H41"/>
  <c r="H49"/>
  <c r="H56"/>
  <c r="H61"/>
  <c r="H24"/>
  <c r="H32"/>
  <c r="H40"/>
  <c r="H48"/>
  <c r="H55"/>
  <c r="H66"/>
  <c r="H71"/>
  <c r="H28"/>
  <c r="H44"/>
  <c r="H69"/>
  <c r="H77"/>
  <c r="H31"/>
  <c r="H38"/>
  <c r="H54"/>
  <c r="H76"/>
  <c r="H81"/>
  <c r="H37"/>
  <c r="H53"/>
  <c r="H58"/>
  <c r="H63"/>
  <c r="H78"/>
  <c r="H83"/>
  <c r="H30"/>
  <c r="H67"/>
  <c r="H73"/>
  <c r="H65"/>
  <c r="H82"/>
  <c r="H29"/>
  <c r="H46"/>
  <c r="H45"/>
  <c r="H74"/>
  <c r="H23"/>
  <c r="H36"/>
  <c r="H60"/>
  <c r="H68"/>
  <c r="H80"/>
  <c r="H39"/>
  <c r="H47"/>
  <c r="H75"/>
  <c r="H84"/>
  <c r="H52"/>
  <c r="H70"/>
  <c r="H79"/>
  <c r="H64"/>
  <c r="H72"/>
  <c r="H59"/>
  <c r="F22" l="1"/>
  <c r="G20"/>
  <c r="L20"/>
  <c r="K22"/>
  <c r="Q20"/>
  <c r="P22"/>
  <c r="U22"/>
  <c r="V20"/>
  <c r="Z22"/>
  <c r="Y20"/>
  <c r="V81"/>
  <c r="V66"/>
  <c r="V55"/>
  <c r="V60"/>
  <c r="V47"/>
  <c r="V65"/>
  <c r="V83"/>
  <c r="V75"/>
  <c r="V69"/>
  <c r="V59"/>
  <c r="V48"/>
  <c r="V41"/>
  <c r="V80"/>
  <c r="V68"/>
  <c r="V64"/>
  <c r="V38"/>
  <c r="V25"/>
  <c r="V54"/>
  <c r="V71"/>
  <c r="V76"/>
  <c r="V31"/>
  <c r="V82"/>
  <c r="V78"/>
  <c r="V49"/>
  <c r="V32"/>
  <c r="V79"/>
  <c r="V74"/>
  <c r="V72"/>
  <c r="V39"/>
  <c r="V23"/>
  <c r="V77"/>
  <c r="V40"/>
  <c r="V24"/>
  <c r="V33"/>
  <c r="V84"/>
  <c r="V73"/>
  <c r="V70"/>
  <c r="V61"/>
  <c r="V56"/>
  <c r="V46"/>
  <c r="V30"/>
  <c r="V67"/>
  <c r="V62"/>
  <c r="V50"/>
  <c r="V42"/>
  <c r="V34"/>
  <c r="V26"/>
  <c r="V57"/>
  <c r="V51"/>
  <c r="V43"/>
  <c r="V35"/>
  <c r="V27"/>
  <c r="V63"/>
  <c r="V58"/>
  <c r="V52"/>
  <c r="V44"/>
  <c r="V36"/>
  <c r="V28"/>
  <c r="V53"/>
  <c r="V45"/>
  <c r="V37"/>
  <c r="V29"/>
  <c r="Q54"/>
  <c r="Q70"/>
  <c r="Q83"/>
  <c r="Q79"/>
  <c r="Q51"/>
  <c r="Q46"/>
  <c r="Q44"/>
  <c r="Q76"/>
  <c r="Q67"/>
  <c r="Q66"/>
  <c r="Q63"/>
  <c r="Q45"/>
  <c r="Q38"/>
  <c r="Q81"/>
  <c r="Q73"/>
  <c r="Q72"/>
  <c r="Q35"/>
  <c r="Q62"/>
  <c r="Q59"/>
  <c r="Q78"/>
  <c r="Q28"/>
  <c r="Q84"/>
  <c r="Q68"/>
  <c r="Q80"/>
  <c r="Q74"/>
  <c r="Q29"/>
  <c r="Q77"/>
  <c r="Q64"/>
  <c r="Q57"/>
  <c r="Q52"/>
  <c r="Q36"/>
  <c r="Q75"/>
  <c r="Q58"/>
  <c r="Q53"/>
  <c r="Q37"/>
  <c r="Q30"/>
  <c r="Q82"/>
  <c r="Q71"/>
  <c r="Q69"/>
  <c r="Q43"/>
  <c r="Q27"/>
  <c r="Q65"/>
  <c r="Q60"/>
  <c r="Q47"/>
  <c r="Q39"/>
  <c r="Q31"/>
  <c r="Q23"/>
  <c r="Q55"/>
  <c r="Q48"/>
  <c r="Q40"/>
  <c r="Q32"/>
  <c r="Q24"/>
  <c r="Q61"/>
  <c r="Q56"/>
  <c r="Q49"/>
  <c r="Q41"/>
  <c r="Q33"/>
  <c r="Q25"/>
  <c r="Q50"/>
  <c r="Q42"/>
  <c r="Q34"/>
  <c r="Q26"/>
  <c r="L23"/>
  <c r="L31"/>
  <c r="L39"/>
  <c r="L47"/>
  <c r="L60"/>
  <c r="L30"/>
  <c r="L38"/>
  <c r="L46"/>
  <c r="L54"/>
  <c r="L59"/>
  <c r="L29"/>
  <c r="L37"/>
  <c r="L45"/>
  <c r="L53"/>
  <c r="L64"/>
  <c r="L28"/>
  <c r="L36"/>
  <c r="L44"/>
  <c r="L52"/>
  <c r="L58"/>
  <c r="L63"/>
  <c r="L24"/>
  <c r="L40"/>
  <c r="L57"/>
  <c r="L72"/>
  <c r="L80"/>
  <c r="L27"/>
  <c r="L34"/>
  <c r="L50"/>
  <c r="L66"/>
  <c r="L73"/>
  <c r="L84"/>
  <c r="L33"/>
  <c r="L49"/>
  <c r="L75"/>
  <c r="L43"/>
  <c r="L26"/>
  <c r="L76"/>
  <c r="L42"/>
  <c r="L82"/>
  <c r="L41"/>
  <c r="L48"/>
  <c r="L56"/>
  <c r="L62"/>
  <c r="L67"/>
  <c r="L81"/>
  <c r="L25"/>
  <c r="L69"/>
  <c r="L79"/>
  <c r="L83"/>
  <c r="L65"/>
  <c r="L61"/>
  <c r="L77"/>
  <c r="L32"/>
  <c r="L55"/>
  <c r="L70"/>
  <c r="L35"/>
  <c r="L71"/>
  <c r="L74"/>
  <c r="L78"/>
  <c r="L68"/>
  <c r="L51"/>
  <c r="G28"/>
  <c r="G36"/>
  <c r="G44"/>
  <c r="G52"/>
  <c r="G58"/>
  <c r="G27"/>
  <c r="G35"/>
  <c r="G43"/>
  <c r="G51"/>
  <c r="G57"/>
  <c r="G26"/>
  <c r="G34"/>
  <c r="G42"/>
  <c r="G50"/>
  <c r="G62"/>
  <c r="G25"/>
  <c r="G33"/>
  <c r="G41"/>
  <c r="G49"/>
  <c r="G56"/>
  <c r="G61"/>
  <c r="G72"/>
  <c r="G37"/>
  <c r="G53"/>
  <c r="G63"/>
  <c r="G71"/>
  <c r="G78"/>
  <c r="G83"/>
  <c r="G24"/>
  <c r="G40"/>
  <c r="G31"/>
  <c r="G47"/>
  <c r="G59"/>
  <c r="G65"/>
  <c r="G67"/>
  <c r="G82"/>
  <c r="G30"/>
  <c r="G46"/>
  <c r="G73"/>
  <c r="G84"/>
  <c r="G23"/>
  <c r="G64"/>
  <c r="G66"/>
  <c r="G77"/>
  <c r="G81"/>
  <c r="G75"/>
  <c r="G38"/>
  <c r="G79"/>
  <c r="G45"/>
  <c r="G29"/>
  <c r="G54"/>
  <c r="G76"/>
  <c r="G32"/>
  <c r="G55"/>
  <c r="G60"/>
  <c r="G68"/>
  <c r="G69"/>
  <c r="G80"/>
  <c r="G39"/>
  <c r="G70"/>
  <c r="G48"/>
  <c r="G74"/>
  <c r="Y76"/>
  <c r="Y80"/>
  <c r="Y43"/>
  <c r="Y57"/>
  <c r="Y74"/>
  <c r="Y70"/>
  <c r="Y46"/>
  <c r="Y30"/>
  <c r="Y83"/>
  <c r="Y53"/>
  <c r="Y27"/>
  <c r="Y52"/>
  <c r="Y73"/>
  <c r="Y71"/>
  <c r="Y54"/>
  <c r="Y79"/>
  <c r="Y69"/>
  <c r="Y68"/>
  <c r="Y72"/>
  <c r="Y81"/>
  <c r="Y36"/>
  <c r="Y78"/>
  <c r="Y37"/>
  <c r="Y84"/>
  <c r="Y63"/>
  <c r="Y58"/>
  <c r="Y77"/>
  <c r="Y66"/>
  <c r="Y62"/>
  <c r="Y44"/>
  <c r="Y28"/>
  <c r="Y75"/>
  <c r="Y67"/>
  <c r="Y64"/>
  <c r="Y45"/>
  <c r="Y29"/>
  <c r="Y38"/>
  <c r="Y82"/>
  <c r="Y59"/>
  <c r="Y51"/>
  <c r="Y35"/>
  <c r="Y65"/>
  <c r="Y60"/>
  <c r="Y47"/>
  <c r="Y39"/>
  <c r="Y31"/>
  <c r="Y23"/>
  <c r="Y55"/>
  <c r="Y48"/>
  <c r="Y40"/>
  <c r="Y32"/>
  <c r="Y24"/>
  <c r="Y61"/>
  <c r="Y56"/>
  <c r="Y49"/>
  <c r="Y41"/>
  <c r="Y33"/>
  <c r="Y25"/>
  <c r="Y50"/>
  <c r="Y42"/>
  <c r="Y34"/>
  <c r="Y26"/>
  <c r="AA22" l="1"/>
  <c r="Z20"/>
  <c r="F20"/>
  <c r="E22"/>
  <c r="K20"/>
  <c r="J22"/>
  <c r="O22"/>
  <c r="P20"/>
  <c r="T22"/>
  <c r="U20"/>
  <c r="P79"/>
  <c r="P37"/>
  <c r="P73"/>
  <c r="P72"/>
  <c r="P31"/>
  <c r="P80"/>
  <c r="P58"/>
  <c r="P28"/>
  <c r="P84"/>
  <c r="P59"/>
  <c r="P38"/>
  <c r="P82"/>
  <c r="P74"/>
  <c r="P47"/>
  <c r="P75"/>
  <c r="P69"/>
  <c r="P68"/>
  <c r="P44"/>
  <c r="P53"/>
  <c r="P70"/>
  <c r="P54"/>
  <c r="P83"/>
  <c r="P78"/>
  <c r="P45"/>
  <c r="P29"/>
  <c r="P81"/>
  <c r="P76"/>
  <c r="P67"/>
  <c r="P65"/>
  <c r="P63"/>
  <c r="P46"/>
  <c r="P30"/>
  <c r="P39"/>
  <c r="P23"/>
  <c r="P77"/>
  <c r="P64"/>
  <c r="P60"/>
  <c r="P52"/>
  <c r="P36"/>
  <c r="P71"/>
  <c r="P66"/>
  <c r="P55"/>
  <c r="P48"/>
  <c r="P40"/>
  <c r="P32"/>
  <c r="P24"/>
  <c r="P61"/>
  <c r="P56"/>
  <c r="P49"/>
  <c r="P41"/>
  <c r="P33"/>
  <c r="P25"/>
  <c r="P62"/>
  <c r="P50"/>
  <c r="P42"/>
  <c r="P34"/>
  <c r="P26"/>
  <c r="P57"/>
  <c r="P51"/>
  <c r="P43"/>
  <c r="P35"/>
  <c r="P27"/>
  <c r="K44"/>
  <c r="K67"/>
  <c r="K41"/>
  <c r="K73"/>
  <c r="K72"/>
  <c r="K63"/>
  <c r="K78"/>
  <c r="K71"/>
  <c r="K50"/>
  <c r="K58"/>
  <c r="K28"/>
  <c r="K83"/>
  <c r="K52"/>
  <c r="K25"/>
  <c r="K82"/>
  <c r="K77"/>
  <c r="K66"/>
  <c r="K34"/>
  <c r="K35"/>
  <c r="K84"/>
  <c r="K80"/>
  <c r="K57"/>
  <c r="K51"/>
  <c r="K81"/>
  <c r="K76"/>
  <c r="K65"/>
  <c r="K62"/>
  <c r="K61"/>
  <c r="K56"/>
  <c r="K42"/>
  <c r="K26"/>
  <c r="K79"/>
  <c r="K74"/>
  <c r="K70"/>
  <c r="K68"/>
  <c r="K43"/>
  <c r="K27"/>
  <c r="K36"/>
  <c r="K75"/>
  <c r="K49"/>
  <c r="K33"/>
  <c r="K69"/>
  <c r="K64"/>
  <c r="K53"/>
  <c r="K45"/>
  <c r="K37"/>
  <c r="K29"/>
  <c r="K59"/>
  <c r="K54"/>
  <c r="K46"/>
  <c r="K38"/>
  <c r="K30"/>
  <c r="K60"/>
  <c r="K47"/>
  <c r="K39"/>
  <c r="K31"/>
  <c r="K23"/>
  <c r="K55"/>
  <c r="K48"/>
  <c r="K40"/>
  <c r="K32"/>
  <c r="K24"/>
  <c r="F82"/>
  <c r="F78"/>
  <c r="F41"/>
  <c r="F75"/>
  <c r="F80"/>
  <c r="F60"/>
  <c r="F32"/>
  <c r="F76"/>
  <c r="F54"/>
  <c r="F25"/>
  <c r="F49"/>
  <c r="F71"/>
  <c r="F70"/>
  <c r="F38"/>
  <c r="F83"/>
  <c r="F31"/>
  <c r="F81"/>
  <c r="F65"/>
  <c r="F55"/>
  <c r="F47"/>
  <c r="F72"/>
  <c r="F59"/>
  <c r="F48"/>
  <c r="F79"/>
  <c r="F74"/>
  <c r="F68"/>
  <c r="F66"/>
  <c r="F64"/>
  <c r="F39"/>
  <c r="F23"/>
  <c r="F77"/>
  <c r="F69"/>
  <c r="F40"/>
  <c r="F24"/>
  <c r="F33"/>
  <c r="F84"/>
  <c r="F73"/>
  <c r="F61"/>
  <c r="F56"/>
  <c r="F46"/>
  <c r="F30"/>
  <c r="F67"/>
  <c r="F62"/>
  <c r="F50"/>
  <c r="F42"/>
  <c r="F34"/>
  <c r="F26"/>
  <c r="F57"/>
  <c r="F51"/>
  <c r="F43"/>
  <c r="F35"/>
  <c r="F27"/>
  <c r="F63"/>
  <c r="F58"/>
  <c r="F52"/>
  <c r="F44"/>
  <c r="F36"/>
  <c r="F28"/>
  <c r="F53"/>
  <c r="F45"/>
  <c r="F37"/>
  <c r="F29"/>
  <c r="Z58"/>
  <c r="Z63"/>
  <c r="Z45"/>
  <c r="Z84"/>
  <c r="Z64"/>
  <c r="Z67"/>
  <c r="Z66"/>
  <c r="Z73"/>
  <c r="Z78"/>
  <c r="Z37"/>
  <c r="Z74"/>
  <c r="Z34"/>
  <c r="Z72"/>
  <c r="Z83"/>
  <c r="Z62"/>
  <c r="Z53"/>
  <c r="Z27"/>
  <c r="Z77"/>
  <c r="Z43"/>
  <c r="Z44"/>
  <c r="Z79"/>
  <c r="Z75"/>
  <c r="Z68"/>
  <c r="Z50"/>
  <c r="Z28"/>
  <c r="Z82"/>
  <c r="Z51"/>
  <c r="Z35"/>
  <c r="Z80"/>
  <c r="Z65"/>
  <c r="Z57"/>
  <c r="Z52"/>
  <c r="Z36"/>
  <c r="Z29"/>
  <c r="Z81"/>
  <c r="Z76"/>
  <c r="Z71"/>
  <c r="Z69"/>
  <c r="Z42"/>
  <c r="Z26"/>
  <c r="Z70"/>
  <c r="Z59"/>
  <c r="Z54"/>
  <c r="Z46"/>
  <c r="Z38"/>
  <c r="Z30"/>
  <c r="Z60"/>
  <c r="Z47"/>
  <c r="Z39"/>
  <c r="Z31"/>
  <c r="Z23"/>
  <c r="Z55"/>
  <c r="Z48"/>
  <c r="Z40"/>
  <c r="Z32"/>
  <c r="Z24"/>
  <c r="Z61"/>
  <c r="Z56"/>
  <c r="Z49"/>
  <c r="Z41"/>
  <c r="Z33"/>
  <c r="Z25"/>
  <c r="U77"/>
  <c r="U65"/>
  <c r="U73"/>
  <c r="U75"/>
  <c r="U69"/>
  <c r="U41"/>
  <c r="U34"/>
  <c r="U84"/>
  <c r="U76"/>
  <c r="U56"/>
  <c r="U31"/>
  <c r="U82"/>
  <c r="U40"/>
  <c r="U67"/>
  <c r="U61"/>
  <c r="U50"/>
  <c r="U24"/>
  <c r="U71"/>
  <c r="U70"/>
  <c r="U81"/>
  <c r="U55"/>
  <c r="U47"/>
  <c r="U25"/>
  <c r="U42"/>
  <c r="U80"/>
  <c r="U60"/>
  <c r="U48"/>
  <c r="U32"/>
  <c r="U83"/>
  <c r="U78"/>
  <c r="U66"/>
  <c r="U49"/>
  <c r="U33"/>
  <c r="U26"/>
  <c r="U79"/>
  <c r="U74"/>
  <c r="U72"/>
  <c r="U62"/>
  <c r="U39"/>
  <c r="U23"/>
  <c r="U68"/>
  <c r="U57"/>
  <c r="U51"/>
  <c r="U43"/>
  <c r="U35"/>
  <c r="U27"/>
  <c r="U63"/>
  <c r="U58"/>
  <c r="U52"/>
  <c r="U44"/>
  <c r="U36"/>
  <c r="U28"/>
  <c r="U64"/>
  <c r="U53"/>
  <c r="U45"/>
  <c r="U37"/>
  <c r="U29"/>
  <c r="U59"/>
  <c r="U54"/>
  <c r="U46"/>
  <c r="U38"/>
  <c r="U30"/>
  <c r="S22" l="1"/>
  <c r="T20"/>
  <c r="AB22"/>
  <c r="AA20"/>
  <c r="D22"/>
  <c r="E20"/>
  <c r="J20"/>
  <c r="I22"/>
  <c r="O20"/>
  <c r="N22"/>
  <c r="J77"/>
  <c r="J53"/>
  <c r="J71"/>
  <c r="J50"/>
  <c r="J45"/>
  <c r="J28"/>
  <c r="J83"/>
  <c r="J79"/>
  <c r="J75"/>
  <c r="J69"/>
  <c r="J37"/>
  <c r="J73"/>
  <c r="J63"/>
  <c r="J34"/>
  <c r="J78"/>
  <c r="J64"/>
  <c r="J74"/>
  <c r="J58"/>
  <c r="J84"/>
  <c r="J43"/>
  <c r="J66"/>
  <c r="J27"/>
  <c r="J68"/>
  <c r="J44"/>
  <c r="J82"/>
  <c r="J67"/>
  <c r="J51"/>
  <c r="J35"/>
  <c r="J80"/>
  <c r="J72"/>
  <c r="J57"/>
  <c r="J52"/>
  <c r="J36"/>
  <c r="J29"/>
  <c r="J81"/>
  <c r="J76"/>
  <c r="J65"/>
  <c r="J62"/>
  <c r="J42"/>
  <c r="J26"/>
  <c r="J70"/>
  <c r="J59"/>
  <c r="J54"/>
  <c r="J46"/>
  <c r="J38"/>
  <c r="J30"/>
  <c r="J60"/>
  <c r="J47"/>
  <c r="J39"/>
  <c r="J31"/>
  <c r="J23"/>
  <c r="J55"/>
  <c r="J48"/>
  <c r="J40"/>
  <c r="J32"/>
  <c r="J24"/>
  <c r="J61"/>
  <c r="J56"/>
  <c r="J49"/>
  <c r="J41"/>
  <c r="J33"/>
  <c r="J25"/>
  <c r="E56"/>
  <c r="E65"/>
  <c r="E34"/>
  <c r="E61"/>
  <c r="E24"/>
  <c r="E25"/>
  <c r="E81"/>
  <c r="E75"/>
  <c r="E47"/>
  <c r="E76"/>
  <c r="E77"/>
  <c r="E73"/>
  <c r="E72"/>
  <c r="E67"/>
  <c r="E40"/>
  <c r="E50"/>
  <c r="E31"/>
  <c r="E55"/>
  <c r="E84"/>
  <c r="E69"/>
  <c r="E82"/>
  <c r="E41"/>
  <c r="E80"/>
  <c r="E70"/>
  <c r="E60"/>
  <c r="E48"/>
  <c r="E32"/>
  <c r="E83"/>
  <c r="E78"/>
  <c r="E71"/>
  <c r="E62"/>
  <c r="E49"/>
  <c r="E33"/>
  <c r="E42"/>
  <c r="E26"/>
  <c r="E79"/>
  <c r="E74"/>
  <c r="E66"/>
  <c r="E39"/>
  <c r="E23"/>
  <c r="E68"/>
  <c r="E57"/>
  <c r="E51"/>
  <c r="E43"/>
  <c r="E35"/>
  <c r="E27"/>
  <c r="E63"/>
  <c r="E58"/>
  <c r="E52"/>
  <c r="E44"/>
  <c r="E36"/>
  <c r="E28"/>
  <c r="E64"/>
  <c r="E53"/>
  <c r="E45"/>
  <c r="E37"/>
  <c r="E29"/>
  <c r="E59"/>
  <c r="E54"/>
  <c r="E46"/>
  <c r="E38"/>
  <c r="E30"/>
  <c r="AA68"/>
  <c r="AA50"/>
  <c r="AA28"/>
  <c r="AA84"/>
  <c r="AA82"/>
  <c r="AA73"/>
  <c r="AA65"/>
  <c r="AA57"/>
  <c r="AA51"/>
  <c r="AA44"/>
  <c r="AA78"/>
  <c r="AA70"/>
  <c r="AA41"/>
  <c r="AA80"/>
  <c r="AA25"/>
  <c r="AA66"/>
  <c r="AA52"/>
  <c r="AA72"/>
  <c r="AA34"/>
  <c r="AA58"/>
  <c r="AA77"/>
  <c r="AA83"/>
  <c r="AA62"/>
  <c r="AA35"/>
  <c r="AA81"/>
  <c r="AA76"/>
  <c r="AA71"/>
  <c r="AA61"/>
  <c r="AA56"/>
  <c r="AA42"/>
  <c r="AA26"/>
  <c r="AA79"/>
  <c r="AA74"/>
  <c r="AA63"/>
  <c r="AA43"/>
  <c r="AA27"/>
  <c r="AA36"/>
  <c r="AA75"/>
  <c r="AA67"/>
  <c r="AA49"/>
  <c r="AA33"/>
  <c r="AA69"/>
  <c r="AA64"/>
  <c r="AA53"/>
  <c r="AA45"/>
  <c r="AA37"/>
  <c r="AA29"/>
  <c r="AA59"/>
  <c r="AA54"/>
  <c r="AA46"/>
  <c r="AA38"/>
  <c r="AA30"/>
  <c r="AA60"/>
  <c r="AA47"/>
  <c r="AA39"/>
  <c r="AA31"/>
  <c r="AA23"/>
  <c r="AA55"/>
  <c r="AA48"/>
  <c r="AA40"/>
  <c r="AA32"/>
  <c r="AA24"/>
  <c r="T71"/>
  <c r="T82"/>
  <c r="T43"/>
  <c r="T78"/>
  <c r="T49"/>
  <c r="T34"/>
  <c r="T76"/>
  <c r="T27"/>
  <c r="T67"/>
  <c r="T62"/>
  <c r="T50"/>
  <c r="T24"/>
  <c r="T40"/>
  <c r="T57"/>
  <c r="T33"/>
  <c r="T83"/>
  <c r="T51"/>
  <c r="T81"/>
  <c r="T74"/>
  <c r="T69"/>
  <c r="T79"/>
  <c r="T77"/>
  <c r="T72"/>
  <c r="T66"/>
  <c r="T75"/>
  <c r="T65"/>
  <c r="T55"/>
  <c r="T41"/>
  <c r="T25"/>
  <c r="T84"/>
  <c r="T73"/>
  <c r="T70"/>
  <c r="T68"/>
  <c r="T61"/>
  <c r="T56"/>
  <c r="T42"/>
  <c r="T26"/>
  <c r="T35"/>
  <c r="T80"/>
  <c r="T48"/>
  <c r="T32"/>
  <c r="T63"/>
  <c r="T58"/>
  <c r="T52"/>
  <c r="T44"/>
  <c r="T36"/>
  <c r="T28"/>
  <c r="T64"/>
  <c r="T53"/>
  <c r="T45"/>
  <c r="T37"/>
  <c r="T29"/>
  <c r="T59"/>
  <c r="T54"/>
  <c r="T46"/>
  <c r="T38"/>
  <c r="T30"/>
  <c r="T60"/>
  <c r="T47"/>
  <c r="T39"/>
  <c r="T31"/>
  <c r="T23"/>
  <c r="O75"/>
  <c r="O59"/>
  <c r="O30"/>
  <c r="O67"/>
  <c r="O63"/>
  <c r="O48"/>
  <c r="O81"/>
  <c r="O77"/>
  <c r="O24"/>
  <c r="O74"/>
  <c r="O47"/>
  <c r="O76"/>
  <c r="O31"/>
  <c r="O71"/>
  <c r="O70"/>
  <c r="O65"/>
  <c r="O40"/>
  <c r="O80"/>
  <c r="O46"/>
  <c r="O37"/>
  <c r="O53"/>
  <c r="O64"/>
  <c r="O79"/>
  <c r="O60"/>
  <c r="O84"/>
  <c r="O73"/>
  <c r="O68"/>
  <c r="O66"/>
  <c r="O54"/>
  <c r="O38"/>
  <c r="O82"/>
  <c r="O69"/>
  <c r="O39"/>
  <c r="O23"/>
  <c r="O32"/>
  <c r="O83"/>
  <c r="O78"/>
  <c r="O55"/>
  <c r="O45"/>
  <c r="O29"/>
  <c r="O72"/>
  <c r="O61"/>
  <c r="O56"/>
  <c r="O49"/>
  <c r="O41"/>
  <c r="O33"/>
  <c r="O25"/>
  <c r="O62"/>
  <c r="O50"/>
  <c r="O42"/>
  <c r="O34"/>
  <c r="O26"/>
  <c r="O57"/>
  <c r="O51"/>
  <c r="O43"/>
  <c r="O35"/>
  <c r="O27"/>
  <c r="O58"/>
  <c r="O52"/>
  <c r="O44"/>
  <c r="O36"/>
  <c r="O28"/>
  <c r="S20" l="1"/>
  <c r="N20"/>
  <c r="AC22"/>
  <c r="AB20"/>
  <c r="D20"/>
  <c r="I20"/>
  <c r="I81"/>
  <c r="I66"/>
  <c r="I63"/>
  <c r="I73"/>
  <c r="I53"/>
  <c r="I62"/>
  <c r="I64"/>
  <c r="I74"/>
  <c r="I58"/>
  <c r="I79"/>
  <c r="I70"/>
  <c r="I52"/>
  <c r="I84"/>
  <c r="I43"/>
  <c r="I30"/>
  <c r="I72"/>
  <c r="I80"/>
  <c r="I76"/>
  <c r="I68"/>
  <c r="I57"/>
  <c r="I54"/>
  <c r="I36"/>
  <c r="I78"/>
  <c r="I27"/>
  <c r="I83"/>
  <c r="I46"/>
  <c r="I37"/>
  <c r="I38"/>
  <c r="I77"/>
  <c r="I71"/>
  <c r="I69"/>
  <c r="I44"/>
  <c r="I28"/>
  <c r="I75"/>
  <c r="I45"/>
  <c r="I29"/>
  <c r="I82"/>
  <c r="I67"/>
  <c r="I59"/>
  <c r="I51"/>
  <c r="I35"/>
  <c r="I65"/>
  <c r="I60"/>
  <c r="I47"/>
  <c r="I39"/>
  <c r="I31"/>
  <c r="I23"/>
  <c r="I55"/>
  <c r="I48"/>
  <c r="I40"/>
  <c r="I32"/>
  <c r="I24"/>
  <c r="I61"/>
  <c r="I56"/>
  <c r="I49"/>
  <c r="I41"/>
  <c r="I33"/>
  <c r="I25"/>
  <c r="I50"/>
  <c r="I42"/>
  <c r="I34"/>
  <c r="I26"/>
  <c r="D71"/>
  <c r="D50"/>
  <c r="D76"/>
  <c r="D69"/>
  <c r="D81"/>
  <c r="D49"/>
  <c r="D43"/>
  <c r="D77"/>
  <c r="D67"/>
  <c r="D57"/>
  <c r="D40"/>
  <c r="D24"/>
  <c r="D82"/>
  <c r="D66"/>
  <c r="D51"/>
  <c r="D33"/>
  <c r="D27"/>
  <c r="D83"/>
  <c r="D79"/>
  <c r="D78"/>
  <c r="D74"/>
  <c r="D65"/>
  <c r="D62"/>
  <c r="D34"/>
  <c r="D75"/>
  <c r="D72"/>
  <c r="D55"/>
  <c r="D41"/>
  <c r="D25"/>
  <c r="D84"/>
  <c r="D73"/>
  <c r="D61"/>
  <c r="D56"/>
  <c r="D42"/>
  <c r="D26"/>
  <c r="D35"/>
  <c r="D80"/>
  <c r="D70"/>
  <c r="D68"/>
  <c r="D48"/>
  <c r="D32"/>
  <c r="D63"/>
  <c r="D58"/>
  <c r="D52"/>
  <c r="D44"/>
  <c r="D36"/>
  <c r="D28"/>
  <c r="D64"/>
  <c r="D53"/>
  <c r="D45"/>
  <c r="D37"/>
  <c r="D29"/>
  <c r="D59"/>
  <c r="D54"/>
  <c r="D46"/>
  <c r="D38"/>
  <c r="D30"/>
  <c r="D60"/>
  <c r="D47"/>
  <c r="D39"/>
  <c r="D31"/>
  <c r="D23"/>
  <c r="AB23"/>
  <c r="AB31"/>
  <c r="AB39"/>
  <c r="AB47"/>
  <c r="AB60"/>
  <c r="AB30"/>
  <c r="AB38"/>
  <c r="AB46"/>
  <c r="AB54"/>
  <c r="AB59"/>
  <c r="AB29"/>
  <c r="AB37"/>
  <c r="AB45"/>
  <c r="AB53"/>
  <c r="AB64"/>
  <c r="AB28"/>
  <c r="AB36"/>
  <c r="AB44"/>
  <c r="AB52"/>
  <c r="AB58"/>
  <c r="AB63"/>
  <c r="AB24"/>
  <c r="AB40"/>
  <c r="AB57"/>
  <c r="AB65"/>
  <c r="AB80"/>
  <c r="AB27"/>
  <c r="AB43"/>
  <c r="AB34"/>
  <c r="AB50"/>
  <c r="AB72"/>
  <c r="AB73"/>
  <c r="AB84"/>
  <c r="AB33"/>
  <c r="AB49"/>
  <c r="AB67"/>
  <c r="AB69"/>
  <c r="AB75"/>
  <c r="AB42"/>
  <c r="AB61"/>
  <c r="AB66"/>
  <c r="AB32"/>
  <c r="AB35"/>
  <c r="AB41"/>
  <c r="AB48"/>
  <c r="AB56"/>
  <c r="AB70"/>
  <c r="AB74"/>
  <c r="AB78"/>
  <c r="AB81"/>
  <c r="AB55"/>
  <c r="AB51"/>
  <c r="AB82"/>
  <c r="AB71"/>
  <c r="AB77"/>
  <c r="AB26"/>
  <c r="AB25"/>
  <c r="AB68"/>
  <c r="AB76"/>
  <c r="AB83"/>
  <c r="AB79"/>
  <c r="AB62"/>
  <c r="N69"/>
  <c r="N46"/>
  <c r="N80"/>
  <c r="N30"/>
  <c r="N72"/>
  <c r="N61"/>
  <c r="N78"/>
  <c r="N65"/>
  <c r="N23"/>
  <c r="N56"/>
  <c r="N24"/>
  <c r="N82"/>
  <c r="N55"/>
  <c r="N39"/>
  <c r="N33"/>
  <c r="N76"/>
  <c r="N81"/>
  <c r="N83"/>
  <c r="N75"/>
  <c r="N49"/>
  <c r="N40"/>
  <c r="N79"/>
  <c r="N74"/>
  <c r="N70"/>
  <c r="N59"/>
  <c r="N47"/>
  <c r="N31"/>
  <c r="N77"/>
  <c r="N71"/>
  <c r="N64"/>
  <c r="N60"/>
  <c r="N48"/>
  <c r="N32"/>
  <c r="N41"/>
  <c r="N25"/>
  <c r="N84"/>
  <c r="N73"/>
  <c r="N68"/>
  <c r="N66"/>
  <c r="N54"/>
  <c r="N38"/>
  <c r="N67"/>
  <c r="N62"/>
  <c r="N50"/>
  <c r="N42"/>
  <c r="N34"/>
  <c r="N26"/>
  <c r="N57"/>
  <c r="N51"/>
  <c r="N43"/>
  <c r="N35"/>
  <c r="N27"/>
  <c r="N63"/>
  <c r="N58"/>
  <c r="N52"/>
  <c r="N44"/>
  <c r="N36"/>
  <c r="N28"/>
  <c r="N53"/>
  <c r="N45"/>
  <c r="N37"/>
  <c r="N29"/>
  <c r="S49"/>
  <c r="S78"/>
  <c r="S36"/>
  <c r="S57"/>
  <c r="S33"/>
  <c r="S27"/>
  <c r="S84"/>
  <c r="S80"/>
  <c r="S68"/>
  <c r="S56"/>
  <c r="S61"/>
  <c r="S26"/>
  <c r="S77"/>
  <c r="S66"/>
  <c r="S42"/>
  <c r="S70"/>
  <c r="S83"/>
  <c r="S82"/>
  <c r="S73"/>
  <c r="S71"/>
  <c r="S52"/>
  <c r="S43"/>
  <c r="S81"/>
  <c r="S76"/>
  <c r="S67"/>
  <c r="S63"/>
  <c r="S50"/>
  <c r="S34"/>
  <c r="S79"/>
  <c r="S74"/>
  <c r="S72"/>
  <c r="S62"/>
  <c r="S51"/>
  <c r="S35"/>
  <c r="S44"/>
  <c r="S28"/>
  <c r="S75"/>
  <c r="S65"/>
  <c r="S58"/>
  <c r="S41"/>
  <c r="S25"/>
  <c r="S69"/>
  <c r="S64"/>
  <c r="S53"/>
  <c r="S45"/>
  <c r="S37"/>
  <c r="S29"/>
  <c r="S59"/>
  <c r="S54"/>
  <c r="S46"/>
  <c r="S38"/>
  <c r="S30"/>
  <c r="S60"/>
  <c r="S47"/>
  <c r="S39"/>
  <c r="S31"/>
  <c r="S23"/>
  <c r="S55"/>
  <c r="S48"/>
  <c r="S40"/>
  <c r="S32"/>
  <c r="S24"/>
  <c r="AC20" l="1"/>
  <c r="AD22"/>
  <c r="AC75"/>
  <c r="AC61"/>
  <c r="AC62"/>
  <c r="AC84"/>
  <c r="AC32"/>
  <c r="AC81"/>
  <c r="AC72"/>
  <c r="AC66"/>
  <c r="AC26"/>
  <c r="AC77"/>
  <c r="AC73"/>
  <c r="AC71"/>
  <c r="AC23"/>
  <c r="AC50"/>
  <c r="AC67"/>
  <c r="AC60"/>
  <c r="AC49"/>
  <c r="AC33"/>
  <c r="AC82"/>
  <c r="AC42"/>
  <c r="AC39"/>
  <c r="AC76"/>
  <c r="AC69"/>
  <c r="AC56"/>
  <c r="AC48"/>
  <c r="AC80"/>
  <c r="AC65"/>
  <c r="AC40"/>
  <c r="AC24"/>
  <c r="AC83"/>
  <c r="AC78"/>
  <c r="AC70"/>
  <c r="AC55"/>
  <c r="AC41"/>
  <c r="AC25"/>
  <c r="AC34"/>
  <c r="AC79"/>
  <c r="AC74"/>
  <c r="AC47"/>
  <c r="AC31"/>
  <c r="AC68"/>
  <c r="AC57"/>
  <c r="AC51"/>
  <c r="AC43"/>
  <c r="AC35"/>
  <c r="AC27"/>
  <c r="AC63"/>
  <c r="AC58"/>
  <c r="AC52"/>
  <c r="AC44"/>
  <c r="AC36"/>
  <c r="AC28"/>
  <c r="AC64"/>
  <c r="AC53"/>
  <c r="AC45"/>
  <c r="AC37"/>
  <c r="AC29"/>
  <c r="AC59"/>
  <c r="AC54"/>
  <c r="AC46"/>
  <c r="AC38"/>
  <c r="AC30"/>
  <c r="AE22" l="1"/>
  <c r="AD20"/>
  <c r="AD69"/>
  <c r="AD56"/>
  <c r="AD83"/>
  <c r="AD75"/>
  <c r="AD39"/>
  <c r="AD55"/>
  <c r="AD49"/>
  <c r="AD33"/>
  <c r="AD81"/>
  <c r="AD65"/>
  <c r="AD46"/>
  <c r="AD30"/>
  <c r="AD61"/>
  <c r="AD40"/>
  <c r="AD71"/>
  <c r="AD23"/>
  <c r="AD80"/>
  <c r="AD76"/>
  <c r="AD82"/>
  <c r="AD78"/>
  <c r="AD70"/>
  <c r="AD24"/>
  <c r="AD41"/>
  <c r="AD79"/>
  <c r="AD74"/>
  <c r="AD59"/>
  <c r="AD47"/>
  <c r="AD31"/>
  <c r="AD77"/>
  <c r="AD68"/>
  <c r="AD66"/>
  <c r="AD60"/>
  <c r="AD48"/>
  <c r="AD32"/>
  <c r="AD25"/>
  <c r="AD84"/>
  <c r="AD73"/>
  <c r="AD72"/>
  <c r="AD64"/>
  <c r="AD54"/>
  <c r="AD38"/>
  <c r="AD67"/>
  <c r="AD62"/>
  <c r="AD50"/>
  <c r="AD42"/>
  <c r="AD34"/>
  <c r="AD26"/>
  <c r="AD57"/>
  <c r="AD51"/>
  <c r="AD43"/>
  <c r="AD35"/>
  <c r="AD27"/>
  <c r="AD63"/>
  <c r="AD58"/>
  <c r="AD52"/>
  <c r="AD44"/>
  <c r="AD36"/>
  <c r="AD28"/>
  <c r="AD53"/>
  <c r="AD45"/>
  <c r="AD37"/>
  <c r="AD29"/>
  <c r="AF22" l="1"/>
  <c r="AE20"/>
  <c r="AE48"/>
  <c r="AE69"/>
  <c r="AE76"/>
  <c r="AE60"/>
  <c r="AE40"/>
  <c r="AE67"/>
  <c r="AE66"/>
  <c r="AE37"/>
  <c r="AE79"/>
  <c r="AE68"/>
  <c r="AE80"/>
  <c r="AE81"/>
  <c r="AE77"/>
  <c r="AE65"/>
  <c r="AE59"/>
  <c r="AE46"/>
  <c r="AE30"/>
  <c r="AE24"/>
  <c r="AE63"/>
  <c r="AE75"/>
  <c r="AE47"/>
  <c r="AE74"/>
  <c r="AE71"/>
  <c r="AE53"/>
  <c r="AE31"/>
  <c r="AE84"/>
  <c r="AE73"/>
  <c r="AE64"/>
  <c r="AE54"/>
  <c r="AE38"/>
  <c r="AE82"/>
  <c r="AE39"/>
  <c r="AE23"/>
  <c r="AE32"/>
  <c r="AE83"/>
  <c r="AE78"/>
  <c r="AE70"/>
  <c r="AE55"/>
  <c r="AE45"/>
  <c r="AE29"/>
  <c r="AE72"/>
  <c r="AE61"/>
  <c r="AE56"/>
  <c r="AE49"/>
  <c r="AE41"/>
  <c r="AE33"/>
  <c r="AE25"/>
  <c r="AE62"/>
  <c r="AE50"/>
  <c r="AE42"/>
  <c r="AE34"/>
  <c r="AE26"/>
  <c r="AE57"/>
  <c r="AE51"/>
  <c r="AE43"/>
  <c r="AE35"/>
  <c r="AE27"/>
  <c r="AE58"/>
  <c r="AE52"/>
  <c r="AE44"/>
  <c r="AE36"/>
  <c r="AE28"/>
  <c r="AG22" l="1"/>
  <c r="AF20"/>
  <c r="AF74"/>
  <c r="AF82"/>
  <c r="AF53"/>
  <c r="AF31"/>
  <c r="AF79"/>
  <c r="AF80"/>
  <c r="AF67"/>
  <c r="AF54"/>
  <c r="AF84"/>
  <c r="AF44"/>
  <c r="AF64"/>
  <c r="AF69"/>
  <c r="AF47"/>
  <c r="AF73"/>
  <c r="AF37"/>
  <c r="AF28"/>
  <c r="AF58"/>
  <c r="AF75"/>
  <c r="AF65"/>
  <c r="AF59"/>
  <c r="AF38"/>
  <c r="AF83"/>
  <c r="AF78"/>
  <c r="AF72"/>
  <c r="AF70"/>
  <c r="AF45"/>
  <c r="AF29"/>
  <c r="AF81"/>
  <c r="AF76"/>
  <c r="AF46"/>
  <c r="AF30"/>
  <c r="AF39"/>
  <c r="AF23"/>
  <c r="AF77"/>
  <c r="AF68"/>
  <c r="AF63"/>
  <c r="AF60"/>
  <c r="AF52"/>
  <c r="AF36"/>
  <c r="AF71"/>
  <c r="AF66"/>
  <c r="AF55"/>
  <c r="AF48"/>
  <c r="AF40"/>
  <c r="AF32"/>
  <c r="AF24"/>
  <c r="AF61"/>
  <c r="AF56"/>
  <c r="AF49"/>
  <c r="AF41"/>
  <c r="AF33"/>
  <c r="AF25"/>
  <c r="AF62"/>
  <c r="AF50"/>
  <c r="AF42"/>
  <c r="AF34"/>
  <c r="AF26"/>
  <c r="AF57"/>
  <c r="AF51"/>
  <c r="AF43"/>
  <c r="AF35"/>
  <c r="AF27"/>
  <c r="AH22" l="1"/>
  <c r="AG20"/>
  <c r="AG26"/>
  <c r="AG34"/>
  <c r="AG42"/>
  <c r="AG50"/>
  <c r="AG25"/>
  <c r="AG33"/>
  <c r="AG41"/>
  <c r="AG49"/>
  <c r="AG56"/>
  <c r="AG61"/>
  <c r="AG24"/>
  <c r="AG32"/>
  <c r="AG40"/>
  <c r="AG48"/>
  <c r="AG55"/>
  <c r="AG23"/>
  <c r="AG31"/>
  <c r="AG39"/>
  <c r="AG47"/>
  <c r="AG60"/>
  <c r="AG65"/>
  <c r="AG27"/>
  <c r="AG43"/>
  <c r="AG66"/>
  <c r="AG82"/>
  <c r="AG30"/>
  <c r="AG37"/>
  <c r="AG53"/>
  <c r="AG58"/>
  <c r="AG62"/>
  <c r="AG69"/>
  <c r="AG71"/>
  <c r="AG75"/>
  <c r="AG36"/>
  <c r="AG52"/>
  <c r="AG57"/>
  <c r="AG63"/>
  <c r="AG68"/>
  <c r="AG77"/>
  <c r="AG46"/>
  <c r="AG73"/>
  <c r="AG81"/>
  <c r="AG29"/>
  <c r="AG44"/>
  <c r="AG51"/>
  <c r="AG79"/>
  <c r="AG28"/>
  <c r="AG35"/>
  <c r="AG54"/>
  <c r="AG67"/>
  <c r="AG72"/>
  <c r="AG76"/>
  <c r="AG80"/>
  <c r="AG84"/>
  <c r="AG64"/>
  <c r="AG83"/>
  <c r="AG45"/>
  <c r="AG74"/>
  <c r="AG38"/>
  <c r="AG70"/>
  <c r="AG59"/>
  <c r="AG78"/>
  <c r="AI22" l="1"/>
  <c r="AH20"/>
  <c r="AH73"/>
  <c r="AH71"/>
  <c r="AH65"/>
  <c r="AH61"/>
  <c r="AH83"/>
  <c r="AH64"/>
  <c r="AH58"/>
  <c r="AH36"/>
  <c r="AH79"/>
  <c r="AH75"/>
  <c r="AH29"/>
  <c r="AH84"/>
  <c r="AH57"/>
  <c r="AH26"/>
  <c r="AH78"/>
  <c r="AH42"/>
  <c r="AH62"/>
  <c r="AH35"/>
  <c r="AH68"/>
  <c r="AH52"/>
  <c r="AH72"/>
  <c r="AH53"/>
  <c r="AH74"/>
  <c r="AH63"/>
  <c r="AH45"/>
  <c r="AH69"/>
  <c r="AH77"/>
  <c r="AH51"/>
  <c r="AH82"/>
  <c r="AH66"/>
  <c r="AH43"/>
  <c r="AH27"/>
  <c r="AH80"/>
  <c r="AH67"/>
  <c r="AH44"/>
  <c r="AH28"/>
  <c r="AH37"/>
  <c r="AH81"/>
  <c r="AH76"/>
  <c r="AH50"/>
  <c r="AH34"/>
  <c r="AH70"/>
  <c r="AH59"/>
  <c r="AH54"/>
  <c r="AH46"/>
  <c r="AH38"/>
  <c r="AH30"/>
  <c r="AH60"/>
  <c r="AH47"/>
  <c r="AH39"/>
  <c r="AH31"/>
  <c r="AH23"/>
  <c r="AH55"/>
  <c r="AH48"/>
  <c r="AH40"/>
  <c r="AH32"/>
  <c r="AH24"/>
  <c r="AH56"/>
  <c r="AH49"/>
  <c r="AH41"/>
  <c r="AH33"/>
  <c r="AH25"/>
  <c r="AJ22" l="1"/>
  <c r="AI20"/>
  <c r="AI77"/>
  <c r="AI82"/>
  <c r="AI73"/>
  <c r="AI70"/>
  <c r="AI78"/>
  <c r="AI43"/>
  <c r="AI83"/>
  <c r="AI68"/>
  <c r="AI52"/>
  <c r="AI36"/>
  <c r="AI49"/>
  <c r="AI33"/>
  <c r="AI56"/>
  <c r="AI42"/>
  <c r="AI63"/>
  <c r="AI84"/>
  <c r="AI80"/>
  <c r="AI67"/>
  <c r="AI66"/>
  <c r="AI57"/>
  <c r="AI26"/>
  <c r="AI72"/>
  <c r="AI27"/>
  <c r="AI44"/>
  <c r="AI81"/>
  <c r="AI76"/>
  <c r="AI50"/>
  <c r="AI34"/>
  <c r="AI79"/>
  <c r="AI74"/>
  <c r="AI65"/>
  <c r="AI61"/>
  <c r="AI51"/>
  <c r="AI35"/>
  <c r="AI28"/>
  <c r="AI75"/>
  <c r="AI71"/>
  <c r="AI62"/>
  <c r="AI58"/>
  <c r="AI41"/>
  <c r="AI25"/>
  <c r="AI69"/>
  <c r="AI64"/>
  <c r="AI53"/>
  <c r="AI45"/>
  <c r="AI37"/>
  <c r="AI29"/>
  <c r="AI59"/>
  <c r="AI54"/>
  <c r="AI46"/>
  <c r="AI38"/>
  <c r="AI30"/>
  <c r="AI60"/>
  <c r="AI47"/>
  <c r="AI39"/>
  <c r="AI31"/>
  <c r="AI23"/>
  <c r="AI55"/>
  <c r="AI48"/>
  <c r="AI40"/>
  <c r="AI32"/>
  <c r="AI24"/>
  <c r="AK22" l="1"/>
  <c r="AJ20"/>
  <c r="AJ81"/>
  <c r="AJ51"/>
  <c r="AJ72"/>
  <c r="AJ82"/>
  <c r="AJ61"/>
  <c r="AJ43"/>
  <c r="AJ79"/>
  <c r="AJ68"/>
  <c r="AJ40"/>
  <c r="AJ27"/>
  <c r="AJ77"/>
  <c r="AJ65"/>
  <c r="AJ70"/>
  <c r="AJ50"/>
  <c r="AJ78"/>
  <c r="AJ76"/>
  <c r="AJ49"/>
  <c r="AJ33"/>
  <c r="AJ24"/>
  <c r="AJ74"/>
  <c r="AJ83"/>
  <c r="AJ66"/>
  <c r="AJ57"/>
  <c r="AJ34"/>
  <c r="AJ75"/>
  <c r="AJ71"/>
  <c r="AJ62"/>
  <c r="AJ55"/>
  <c r="AJ41"/>
  <c r="AJ25"/>
  <c r="AJ84"/>
  <c r="AJ73"/>
  <c r="AJ56"/>
  <c r="AJ42"/>
  <c r="AJ26"/>
  <c r="AJ35"/>
  <c r="AJ80"/>
  <c r="AJ69"/>
  <c r="AJ67"/>
  <c r="AJ48"/>
  <c r="AJ32"/>
  <c r="AJ63"/>
  <c r="AJ58"/>
  <c r="AJ52"/>
  <c r="AJ44"/>
  <c r="AJ36"/>
  <c r="AJ28"/>
  <c r="AJ64"/>
  <c r="AJ53"/>
  <c r="AJ45"/>
  <c r="AJ37"/>
  <c r="AJ29"/>
  <c r="AJ59"/>
  <c r="AJ54"/>
  <c r="AJ46"/>
  <c r="AJ38"/>
  <c r="AJ30"/>
  <c r="AJ60"/>
  <c r="AJ47"/>
  <c r="AJ39"/>
  <c r="AJ31"/>
  <c r="AJ23"/>
  <c r="AK20" l="1"/>
  <c r="AL22"/>
  <c r="AK66"/>
  <c r="AK81"/>
  <c r="AK71"/>
  <c r="AK77"/>
  <c r="AK82"/>
  <c r="AK25"/>
  <c r="AK55"/>
  <c r="AK47"/>
  <c r="AK75"/>
  <c r="AK34"/>
  <c r="AK31"/>
  <c r="AK40"/>
  <c r="AK73"/>
  <c r="AK56"/>
  <c r="AK24"/>
  <c r="AK70"/>
  <c r="AK62"/>
  <c r="AK50"/>
  <c r="AK84"/>
  <c r="AK76"/>
  <c r="AK41"/>
  <c r="AK80"/>
  <c r="AK69"/>
  <c r="AK67"/>
  <c r="AK60"/>
  <c r="AK48"/>
  <c r="AK32"/>
  <c r="AK83"/>
  <c r="AK78"/>
  <c r="AK72"/>
  <c r="AK49"/>
  <c r="AK33"/>
  <c r="AK42"/>
  <c r="AK26"/>
  <c r="AK79"/>
  <c r="AK74"/>
  <c r="AK65"/>
  <c r="AK61"/>
  <c r="AK39"/>
  <c r="AK23"/>
  <c r="AK68"/>
  <c r="AK57"/>
  <c r="AK51"/>
  <c r="AK43"/>
  <c r="AK35"/>
  <c r="AK27"/>
  <c r="AK63"/>
  <c r="AK58"/>
  <c r="AK52"/>
  <c r="AK44"/>
  <c r="AK36"/>
  <c r="AK28"/>
  <c r="AK64"/>
  <c r="AK53"/>
  <c r="AK45"/>
  <c r="AK37"/>
  <c r="AK29"/>
  <c r="AK59"/>
  <c r="AK54"/>
  <c r="AK46"/>
  <c r="AK38"/>
  <c r="AK30"/>
  <c r="AM22" l="1"/>
  <c r="AL20"/>
  <c r="AL76"/>
  <c r="AL72"/>
  <c r="AL38"/>
  <c r="AL81"/>
  <c r="AL82"/>
  <c r="AL78"/>
  <c r="AL69"/>
  <c r="AL64"/>
  <c r="AL25"/>
  <c r="AL60"/>
  <c r="AL55"/>
  <c r="AL47"/>
  <c r="AL41"/>
  <c r="AL66"/>
  <c r="AL59"/>
  <c r="AL48"/>
  <c r="AL83"/>
  <c r="AL75"/>
  <c r="AL68"/>
  <c r="AL54"/>
  <c r="AL71"/>
  <c r="AL31"/>
  <c r="AL32"/>
  <c r="AL80"/>
  <c r="AL49"/>
  <c r="AL79"/>
  <c r="AL74"/>
  <c r="AL65"/>
  <c r="AL61"/>
  <c r="AL39"/>
  <c r="AL23"/>
  <c r="AL77"/>
  <c r="AL70"/>
  <c r="AL40"/>
  <c r="AL24"/>
  <c r="AL33"/>
  <c r="AL84"/>
  <c r="AL73"/>
  <c r="AL56"/>
  <c r="AL46"/>
  <c r="AL30"/>
  <c r="AL67"/>
  <c r="AL62"/>
  <c r="AL50"/>
  <c r="AL42"/>
  <c r="AL34"/>
  <c r="AL26"/>
  <c r="AL57"/>
  <c r="AL51"/>
  <c r="AL43"/>
  <c r="AL35"/>
  <c r="AL27"/>
  <c r="AL63"/>
  <c r="AL58"/>
  <c r="AL52"/>
  <c r="AL44"/>
  <c r="AL36"/>
  <c r="AL28"/>
  <c r="AL53"/>
  <c r="AL45"/>
  <c r="AL37"/>
  <c r="AL29"/>
  <c r="AN22" l="1"/>
  <c r="AM20"/>
  <c r="AM80"/>
  <c r="AM65"/>
  <c r="AM81"/>
  <c r="AM74"/>
  <c r="AM70"/>
  <c r="AM63"/>
  <c r="AM32"/>
  <c r="AM69"/>
  <c r="AM29"/>
  <c r="AM76"/>
  <c r="AM48"/>
  <c r="AM77"/>
  <c r="AM45"/>
  <c r="AM79"/>
  <c r="AM60"/>
  <c r="AM55"/>
  <c r="AM38"/>
  <c r="AM71"/>
  <c r="AM39"/>
  <c r="AM75"/>
  <c r="AM67"/>
  <c r="AM54"/>
  <c r="AM23"/>
  <c r="AM40"/>
  <c r="AM84"/>
  <c r="AM73"/>
  <c r="AM46"/>
  <c r="AM30"/>
  <c r="AM82"/>
  <c r="AM68"/>
  <c r="AM66"/>
  <c r="AM64"/>
  <c r="AM59"/>
  <c r="AM47"/>
  <c r="AM31"/>
  <c r="AM24"/>
  <c r="AM83"/>
  <c r="AM78"/>
  <c r="AM53"/>
  <c r="AM37"/>
  <c r="AM72"/>
  <c r="AM61"/>
  <c r="AM56"/>
  <c r="AM49"/>
  <c r="AM41"/>
  <c r="AM33"/>
  <c r="AM25"/>
  <c r="AM62"/>
  <c r="AM50"/>
  <c r="AM42"/>
  <c r="AM34"/>
  <c r="AM26"/>
  <c r="AM57"/>
  <c r="AM51"/>
  <c r="AM43"/>
  <c r="AM35"/>
  <c r="AM27"/>
  <c r="AM58"/>
  <c r="AM52"/>
  <c r="AM44"/>
  <c r="AM36"/>
  <c r="AM28"/>
  <c r="AO22" l="1"/>
  <c r="AN20"/>
  <c r="AN84"/>
  <c r="AN46"/>
  <c r="AN67"/>
  <c r="AN75"/>
  <c r="AN23"/>
  <c r="AN80"/>
  <c r="AN59"/>
  <c r="AN65"/>
  <c r="AN45"/>
  <c r="AN39"/>
  <c r="AN82"/>
  <c r="AN74"/>
  <c r="AN64"/>
  <c r="AN63"/>
  <c r="AN52"/>
  <c r="AN36"/>
  <c r="AN69"/>
  <c r="AN47"/>
  <c r="AN29"/>
  <c r="AN73"/>
  <c r="AN79"/>
  <c r="AN68"/>
  <c r="AN60"/>
  <c r="AN30"/>
  <c r="AN83"/>
  <c r="AN78"/>
  <c r="AN58"/>
  <c r="AN53"/>
  <c r="AN37"/>
  <c r="AN81"/>
  <c r="AN76"/>
  <c r="AN54"/>
  <c r="AN38"/>
  <c r="AN31"/>
  <c r="AN77"/>
  <c r="AN72"/>
  <c r="AN70"/>
  <c r="AN44"/>
  <c r="AN28"/>
  <c r="AN71"/>
  <c r="AN66"/>
  <c r="AN55"/>
  <c r="AN48"/>
  <c r="AN40"/>
  <c r="AN32"/>
  <c r="AN24"/>
  <c r="AN61"/>
  <c r="AN56"/>
  <c r="AN49"/>
  <c r="AN41"/>
  <c r="AN33"/>
  <c r="AN25"/>
  <c r="AN62"/>
  <c r="AN50"/>
  <c r="AN42"/>
  <c r="AN34"/>
  <c r="AN26"/>
  <c r="AN57"/>
  <c r="AN51"/>
  <c r="AN43"/>
  <c r="AN35"/>
  <c r="AN27"/>
  <c r="AP22" l="1"/>
  <c r="AO20"/>
  <c r="AO57"/>
  <c r="AO54"/>
  <c r="AO79"/>
  <c r="AO80"/>
  <c r="AO76"/>
  <c r="AO66"/>
  <c r="AO53"/>
  <c r="AO81"/>
  <c r="AO73"/>
  <c r="AO71"/>
  <c r="AO62"/>
  <c r="AO58"/>
  <c r="AO78"/>
  <c r="AO43"/>
  <c r="AO67"/>
  <c r="AO46"/>
  <c r="AO27"/>
  <c r="AO74"/>
  <c r="AO52"/>
  <c r="AO36"/>
  <c r="AO30"/>
  <c r="AO84"/>
  <c r="AO83"/>
  <c r="AO69"/>
  <c r="AO37"/>
  <c r="AO77"/>
  <c r="AO72"/>
  <c r="AO70"/>
  <c r="AO44"/>
  <c r="AO28"/>
  <c r="AO75"/>
  <c r="AO63"/>
  <c r="AO45"/>
  <c r="AO29"/>
  <c r="AO38"/>
  <c r="AO82"/>
  <c r="AO68"/>
  <c r="AO64"/>
  <c r="AO59"/>
  <c r="AO51"/>
  <c r="AO35"/>
  <c r="AO65"/>
  <c r="AO60"/>
  <c r="AO47"/>
  <c r="AO39"/>
  <c r="AO31"/>
  <c r="AO23"/>
  <c r="AO55"/>
  <c r="AO48"/>
  <c r="AO40"/>
  <c r="AO32"/>
  <c r="AO24"/>
  <c r="AO61"/>
  <c r="AO56"/>
  <c r="AO49"/>
  <c r="AO41"/>
  <c r="AO33"/>
  <c r="AO25"/>
  <c r="AO50"/>
  <c r="AO42"/>
  <c r="AO34"/>
  <c r="AO26"/>
  <c r="AQ22" l="1"/>
  <c r="AP20"/>
  <c r="AP83"/>
  <c r="AP79"/>
  <c r="AP67"/>
  <c r="AP27"/>
  <c r="AP53"/>
  <c r="AP28"/>
  <c r="AP77"/>
  <c r="AP65"/>
  <c r="AP61"/>
  <c r="AP50"/>
  <c r="AP73"/>
  <c r="AP62"/>
  <c r="AP58"/>
  <c r="AP45"/>
  <c r="AP75"/>
  <c r="AP84"/>
  <c r="AP78"/>
  <c r="AP63"/>
  <c r="AP43"/>
  <c r="AP37"/>
  <c r="AP34"/>
  <c r="AP72"/>
  <c r="AP74"/>
  <c r="AP44"/>
  <c r="AP82"/>
  <c r="AP68"/>
  <c r="AP64"/>
  <c r="AP51"/>
  <c r="AP35"/>
  <c r="AP80"/>
  <c r="AP71"/>
  <c r="AP69"/>
  <c r="AP57"/>
  <c r="AP52"/>
  <c r="AP36"/>
  <c r="AP29"/>
  <c r="AP81"/>
  <c r="AP76"/>
  <c r="AP66"/>
  <c r="AP42"/>
  <c r="AP26"/>
  <c r="AP70"/>
  <c r="AP59"/>
  <c r="AP54"/>
  <c r="AP46"/>
  <c r="AP38"/>
  <c r="AP30"/>
  <c r="AP60"/>
  <c r="AP47"/>
  <c r="AP39"/>
  <c r="AP31"/>
  <c r="AP23"/>
  <c r="AP55"/>
  <c r="AP48"/>
  <c r="AP40"/>
  <c r="AP32"/>
  <c r="AP24"/>
  <c r="AP56"/>
  <c r="AP49"/>
  <c r="AP41"/>
  <c r="AP33"/>
  <c r="AP25"/>
  <c r="AQ20" l="1"/>
  <c r="AQ24"/>
  <c r="AQ32"/>
  <c r="AQ40"/>
  <c r="AQ48"/>
  <c r="AQ55"/>
  <c r="AQ23"/>
  <c r="AQ31"/>
  <c r="AQ39"/>
  <c r="AQ47"/>
  <c r="AQ60"/>
  <c r="AQ30"/>
  <c r="AQ38"/>
  <c r="AQ46"/>
  <c r="AQ54"/>
  <c r="AQ59"/>
  <c r="AQ29"/>
  <c r="AQ37"/>
  <c r="AQ45"/>
  <c r="AQ53"/>
  <c r="AQ64"/>
  <c r="AQ69"/>
  <c r="AQ33"/>
  <c r="AQ49"/>
  <c r="AQ63"/>
  <c r="AQ75"/>
  <c r="AQ36"/>
  <c r="AQ27"/>
  <c r="AQ43"/>
  <c r="AQ67"/>
  <c r="AQ74"/>
  <c r="AQ79"/>
  <c r="AQ26"/>
  <c r="AQ42"/>
  <c r="AQ56"/>
  <c r="AQ66"/>
  <c r="AQ76"/>
  <c r="AQ81"/>
  <c r="AQ52"/>
  <c r="AQ78"/>
  <c r="AQ72"/>
  <c r="AQ41"/>
  <c r="AQ51"/>
  <c r="AQ83"/>
  <c r="AQ58"/>
  <c r="AQ62"/>
  <c r="AQ73"/>
  <c r="AQ82"/>
  <c r="AQ35"/>
  <c r="AQ57"/>
  <c r="AQ25"/>
  <c r="AQ50"/>
  <c r="AQ61"/>
  <c r="AQ65"/>
  <c r="AQ70"/>
  <c r="AQ71"/>
  <c r="AQ77"/>
  <c r="AQ28"/>
  <c r="AQ80"/>
  <c r="AQ84"/>
  <c r="AQ34"/>
  <c r="AQ44"/>
  <c r="AQ68"/>
</calcChain>
</file>

<file path=xl/sharedStrings.xml><?xml version="1.0" encoding="utf-8"?>
<sst xmlns="http://schemas.openxmlformats.org/spreadsheetml/2006/main" count="377" uniqueCount="90">
  <si>
    <t>Call</t>
  </si>
  <si>
    <t>Put</t>
  </si>
  <si>
    <t>Value</t>
  </si>
  <si>
    <t>Vega</t>
  </si>
  <si>
    <t>Days</t>
  </si>
  <si>
    <t>Delta</t>
  </si>
  <si>
    <t>Today</t>
  </si>
  <si>
    <t>Risk-free rate ( r )</t>
  </si>
  <si>
    <t>BID</t>
  </si>
  <si>
    <t>OFFER</t>
  </si>
  <si>
    <t>Expiry Date</t>
  </si>
  <si>
    <t>Delivery</t>
  </si>
  <si>
    <t xml:space="preserve">Futures </t>
  </si>
  <si>
    <t xml:space="preserve">Strike </t>
  </si>
  <si>
    <t>Option</t>
  </si>
  <si>
    <t>Bid Vol</t>
  </si>
  <si>
    <t>Offer Vol</t>
  </si>
  <si>
    <t>Price</t>
  </si>
  <si>
    <t>Cal 09</t>
  </si>
  <si>
    <t>Q2'08</t>
  </si>
  <si>
    <t>Q3'08</t>
  </si>
  <si>
    <t>Q4'08</t>
  </si>
  <si>
    <t>Cal 10</t>
  </si>
  <si>
    <t xml:space="preserve">Rule: expiry 15:00 CET </t>
  </si>
  <si>
    <t>Day</t>
  </si>
  <si>
    <t>Date</t>
  </si>
  <si>
    <t>Thursday</t>
  </si>
  <si>
    <t>Tuesday</t>
  </si>
  <si>
    <t>Friday</t>
  </si>
  <si>
    <t>Monday</t>
  </si>
  <si>
    <t>Wednesday</t>
  </si>
  <si>
    <t>26//08/2009</t>
  </si>
  <si>
    <t>Q1'09</t>
  </si>
  <si>
    <t>Q2'09</t>
  </si>
  <si>
    <t>Q3'09</t>
  </si>
  <si>
    <t>Q4'09</t>
  </si>
  <si>
    <t>Cal 11</t>
  </si>
  <si>
    <t>Cal 12</t>
  </si>
  <si>
    <t>DEC08 CO2</t>
  </si>
  <si>
    <t>DEC09 CO2</t>
  </si>
  <si>
    <t>DEC10 CO2</t>
  </si>
  <si>
    <t>DEC11 CO3</t>
  </si>
  <si>
    <t>DEC12 CO4</t>
  </si>
  <si>
    <t>Table headers</t>
  </si>
  <si>
    <t>A/E</t>
  </si>
  <si>
    <t>Mid-price</t>
  </si>
  <si>
    <t>Mid-vol</t>
  </si>
  <si>
    <t>Opt expiry</t>
  </si>
  <si>
    <t>Price intrvl</t>
  </si>
  <si>
    <t>Mid-strike</t>
  </si>
  <si>
    <t>Strike intrvl</t>
  </si>
  <si>
    <t>Value date</t>
  </si>
  <si>
    <t>Int. rate</t>
  </si>
  <si>
    <t>Call Skew</t>
  </si>
  <si>
    <t>Skew vols:</t>
  </si>
  <si>
    <t>Price/Strike:</t>
  </si>
  <si>
    <t>Contract</t>
  </si>
  <si>
    <t>StartDate</t>
  </si>
  <si>
    <t>EndDate</t>
  </si>
  <si>
    <r>
      <t xml:space="preserve">Delta </t>
    </r>
    <r>
      <rPr>
        <b/>
        <sz val="9"/>
        <color indexed="8"/>
        <rFont val="Symbol"/>
      </rPr>
      <t>D</t>
    </r>
  </si>
  <si>
    <r>
      <t xml:space="preserve">Gamma </t>
    </r>
    <r>
      <rPr>
        <b/>
        <sz val="9"/>
        <color indexed="8"/>
        <rFont val="Symbol"/>
      </rPr>
      <t>G</t>
    </r>
  </si>
  <si>
    <r>
      <t xml:space="preserve">Theta </t>
    </r>
    <r>
      <rPr>
        <b/>
        <sz val="9"/>
        <color indexed="8"/>
        <rFont val="Symbol"/>
      </rPr>
      <t>Q</t>
    </r>
  </si>
  <si>
    <t>HoursBase</t>
  </si>
  <si>
    <t>DaysBase</t>
  </si>
  <si>
    <t>European</t>
  </si>
  <si>
    <t>TimetoMaturity</t>
  </si>
  <si>
    <t>Put Skew</t>
  </si>
  <si>
    <t>Input</t>
  </si>
  <si>
    <t>Skew</t>
  </si>
  <si>
    <t>Vol</t>
  </si>
  <si>
    <t>Strike</t>
  </si>
  <si>
    <t>P</t>
  </si>
  <si>
    <t>Option grid - prices x strikes (with volatility skew)</t>
  </si>
  <si>
    <t>Option Model - Futures</t>
  </si>
  <si>
    <t>G</t>
  </si>
  <si>
    <t>Greeks</t>
  </si>
  <si>
    <t>Theta</t>
  </si>
  <si>
    <t>Gamma</t>
  </si>
  <si>
    <t>Skew intrvl</t>
  </si>
  <si>
    <t xml:space="preserve"> </t>
  </si>
  <si>
    <t>p</t>
  </si>
  <si>
    <t>Odd</t>
  </si>
  <si>
    <t>c</t>
  </si>
  <si>
    <t>Cal11 Mar exp</t>
  </si>
  <si>
    <t>Cal11 June exp</t>
  </si>
  <si>
    <t>Q3'10</t>
  </si>
  <si>
    <t>Q2'10</t>
  </si>
  <si>
    <t>Nord Qs</t>
  </si>
  <si>
    <t>DEC12 CO2</t>
  </si>
  <si>
    <t>DEC13 CO2</t>
  </si>
</sst>
</file>

<file path=xl/styles.xml><?xml version="1.0" encoding="utf-8"?>
<styleSheet xmlns="http://schemas.openxmlformats.org/spreadsheetml/2006/main">
  <numFmts count="10">
    <numFmt numFmtId="43" formatCode="_-* #,##0.00_-;\-* #,##0.00_-;_-* &quot;-&quot;??_-;_-@_-"/>
    <numFmt numFmtId="173" formatCode="_(* #,##0.00_);_(* \(#,##0.00\);_(* &quot;-&quot;??_);_(@_)"/>
    <numFmt numFmtId="175" formatCode="0.0000"/>
    <numFmt numFmtId="178" formatCode="_(* #,##0.000_);_(* \(#,##0.000\);_(* &quot;-&quot;??_);_(@_)"/>
    <numFmt numFmtId="179" formatCode="_(* #,##0_);_(* \(#,##0\);_(* &quot;-&quot;??_);_(@_)"/>
    <numFmt numFmtId="182" formatCode="dd\ mmm\ yyyy"/>
    <numFmt numFmtId="183" formatCode="mmm\ yyyy"/>
    <numFmt numFmtId="191" formatCode="#,##0.000"/>
    <numFmt numFmtId="193" formatCode="0.0%"/>
    <numFmt numFmtId="194" formatCode="0.00%;[Red]\-0.00%;0.0;@"/>
  </numFmts>
  <fonts count="25">
    <font>
      <sz val="9"/>
      <name val="Geneva"/>
    </font>
    <font>
      <b/>
      <sz val="9"/>
      <name val="Geneva"/>
    </font>
    <font>
      <sz val="9"/>
      <name val="Geneva"/>
    </font>
    <font>
      <sz val="10"/>
      <name val="Geneva"/>
    </font>
    <font>
      <b/>
      <sz val="10"/>
      <color indexed="8"/>
      <name val="Geneva"/>
    </font>
    <font>
      <b/>
      <sz val="10"/>
      <color indexed="12"/>
      <name val="Geneva"/>
    </font>
    <font>
      <sz val="10"/>
      <color indexed="8"/>
      <name val="Geneva"/>
    </font>
    <font>
      <b/>
      <sz val="9"/>
      <color indexed="8"/>
      <name val="Geneva"/>
    </font>
    <font>
      <b/>
      <sz val="9"/>
      <color indexed="22"/>
      <name val="Geneva"/>
    </font>
    <font>
      <sz val="9"/>
      <color indexed="8"/>
      <name val="Geneva"/>
    </font>
    <font>
      <b/>
      <sz val="8"/>
      <name val="Arial"/>
    </font>
    <font>
      <b/>
      <sz val="18"/>
      <color indexed="9"/>
      <name val="Arial"/>
      <family val="2"/>
    </font>
    <font>
      <b/>
      <sz val="8"/>
      <name val="Arial"/>
      <family val="2"/>
    </font>
    <font>
      <sz val="8"/>
      <name val="Geneva"/>
    </font>
    <font>
      <sz val="8"/>
      <name val="Arial"/>
      <family val="2"/>
    </font>
    <font>
      <b/>
      <sz val="9"/>
      <color indexed="12"/>
      <name val="Geneva"/>
    </font>
    <font>
      <b/>
      <sz val="9"/>
      <color indexed="8"/>
      <name val="Symbol"/>
    </font>
    <font>
      <sz val="10"/>
      <color indexed="12"/>
      <name val="Geneva"/>
    </font>
    <font>
      <sz val="8"/>
      <color indexed="9"/>
      <name val="Arial"/>
      <family val="2"/>
    </font>
    <font>
      <sz val="8"/>
      <color indexed="8"/>
      <name val="Arial"/>
      <family val="2"/>
    </font>
    <font>
      <b/>
      <sz val="9"/>
      <color indexed="10"/>
      <name val="Geneva"/>
    </font>
    <font>
      <b/>
      <sz val="11"/>
      <color indexed="18"/>
      <name val="Geneva"/>
    </font>
    <font>
      <b/>
      <sz val="11"/>
      <color indexed="10"/>
      <name val="Geneva"/>
    </font>
    <font>
      <i/>
      <sz val="10"/>
      <color indexed="8"/>
      <name val="Geneva"/>
    </font>
    <font>
      <i/>
      <sz val="10"/>
      <color indexed="12"/>
      <name val="Geneva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73" fontId="2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</cellStyleXfs>
  <cellXfs count="141">
    <xf numFmtId="0" fontId="0" fillId="0" borderId="0" xfId="0"/>
    <xf numFmtId="0" fontId="7" fillId="2" borderId="0" xfId="0" applyFont="1" applyFill="1" applyBorder="1"/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/>
    <xf numFmtId="0" fontId="9" fillId="2" borderId="0" xfId="0" applyFont="1" applyFill="1" applyBorder="1"/>
    <xf numFmtId="0" fontId="0" fillId="0" borderId="0" xfId="0" applyFill="1"/>
    <xf numFmtId="183" fontId="0" fillId="0" borderId="0" xfId="0" applyNumberFormat="1"/>
    <xf numFmtId="17" fontId="6" fillId="0" borderId="0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7" fillId="2" borderId="0" xfId="2" applyFont="1" applyFill="1" applyBorder="1" applyAlignment="1">
      <alignment horizontal="left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7" fillId="2" borderId="0" xfId="2" applyFont="1" applyFill="1" applyBorder="1" applyAlignment="1">
      <alignment horizontal="center" vertical="center"/>
    </xf>
    <xf numFmtId="175" fontId="7" fillId="2" borderId="0" xfId="2" applyNumberFormat="1" applyFont="1" applyFill="1" applyBorder="1" applyAlignment="1">
      <alignment horizontal="center" vertical="center"/>
    </xf>
    <xf numFmtId="0" fontId="0" fillId="0" borderId="0" xfId="0" applyAlignment="1"/>
    <xf numFmtId="0" fontId="11" fillId="3" borderId="0" xfId="0" applyFont="1" applyFill="1" applyProtection="1"/>
    <xf numFmtId="0" fontId="0" fillId="3" borderId="0" xfId="0" applyFill="1" applyBorder="1" applyProtection="1"/>
    <xf numFmtId="0" fontId="11" fillId="3" borderId="0" xfId="0" applyFont="1" applyFill="1" applyAlignment="1" applyProtection="1">
      <alignment horizontal="right"/>
    </xf>
    <xf numFmtId="0" fontId="0" fillId="0" borderId="0" xfId="0" applyBorder="1" applyProtection="1"/>
    <xf numFmtId="0" fontId="12" fillId="2" borderId="0" xfId="0" applyFont="1" applyFill="1" applyBorder="1" applyProtection="1"/>
    <xf numFmtId="0" fontId="14" fillId="2" borderId="0" xfId="0" applyFont="1" applyFill="1" applyBorder="1" applyProtection="1"/>
    <xf numFmtId="0" fontId="12" fillId="2" borderId="0" xfId="0" applyFont="1" applyFill="1" applyBorder="1" applyAlignment="1" applyProtection="1">
      <alignment horizontal="center"/>
    </xf>
    <xf numFmtId="0" fontId="12" fillId="2" borderId="0" xfId="0" quotePrefix="1" applyFont="1" applyFill="1" applyBorder="1" applyAlignment="1" applyProtection="1">
      <alignment horizontal="center"/>
    </xf>
    <xf numFmtId="0" fontId="12" fillId="2" borderId="0" xfId="0" quotePrefix="1" applyFont="1" applyFill="1" applyBorder="1" applyProtection="1"/>
    <xf numFmtId="0" fontId="14" fillId="2" borderId="0" xfId="0" applyFont="1" applyFill="1" applyBorder="1" applyAlignment="1" applyProtection="1">
      <alignment horizontal="left"/>
    </xf>
    <xf numFmtId="0" fontId="14" fillId="2" borderId="0" xfId="0" applyFont="1" applyFill="1" applyBorder="1" applyAlignment="1" applyProtection="1">
      <alignment horizontal="right"/>
    </xf>
    <xf numFmtId="10" fontId="12" fillId="4" borderId="0" xfId="0" applyNumberFormat="1" applyFont="1" applyFill="1" applyBorder="1" applyProtection="1"/>
    <xf numFmtId="10" fontId="14" fillId="4" borderId="0" xfId="0" applyNumberFormat="1" applyFont="1" applyFill="1" applyBorder="1" applyProtection="1"/>
    <xf numFmtId="173" fontId="14" fillId="2" borderId="0" xfId="1" applyFont="1" applyFill="1" applyBorder="1" applyAlignment="1" applyProtection="1">
      <alignment horizontal="right"/>
    </xf>
    <xf numFmtId="173" fontId="12" fillId="4" borderId="0" xfId="1" applyFont="1" applyFill="1" applyBorder="1" applyProtection="1"/>
    <xf numFmtId="173" fontId="12" fillId="5" borderId="0" xfId="1" applyFont="1" applyFill="1" applyBorder="1" applyProtection="1"/>
    <xf numFmtId="191" fontId="14" fillId="5" borderId="0" xfId="0" applyNumberFormat="1" applyFont="1" applyFill="1" applyBorder="1" applyProtection="1"/>
    <xf numFmtId="173" fontId="14" fillId="5" borderId="0" xfId="1" applyFont="1" applyFill="1" applyBorder="1" applyProtection="1"/>
    <xf numFmtId="173" fontId="12" fillId="0" borderId="0" xfId="1" applyFont="1" applyFill="1" applyBorder="1" applyProtection="1"/>
    <xf numFmtId="191" fontId="14" fillId="0" borderId="0" xfId="0" applyNumberFormat="1" applyFont="1" applyFill="1" applyBorder="1" applyProtection="1"/>
    <xf numFmtId="173" fontId="14" fillId="0" borderId="0" xfId="1" applyFont="1" applyFill="1" applyBorder="1" applyProtection="1"/>
    <xf numFmtId="10" fontId="15" fillId="2" borderId="0" xfId="3" applyNumberFormat="1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Border="1"/>
    <xf numFmtId="14" fontId="0" fillId="0" borderId="1" xfId="0" applyNumberFormat="1" applyBorder="1"/>
    <xf numFmtId="182" fontId="0" fillId="0" borderId="1" xfId="0" applyNumberFormat="1" applyBorder="1"/>
    <xf numFmtId="14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0" fontId="0" fillId="0" borderId="3" xfId="0" applyBorder="1"/>
    <xf numFmtId="14" fontId="0" fillId="0" borderId="3" xfId="0" applyNumberFormat="1" applyBorder="1"/>
    <xf numFmtId="182" fontId="0" fillId="0" borderId="3" xfId="0" applyNumberFormat="1" applyBorder="1"/>
    <xf numFmtId="182" fontId="0" fillId="0" borderId="4" xfId="0" applyNumberFormat="1" applyBorder="1"/>
    <xf numFmtId="183" fontId="0" fillId="0" borderId="5" xfId="0" applyNumberFormat="1" applyBorder="1" applyAlignment="1">
      <alignment horizontal="right"/>
    </xf>
    <xf numFmtId="182" fontId="0" fillId="0" borderId="6" xfId="0" applyNumberFormat="1" applyBorder="1"/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/>
    <xf numFmtId="14" fontId="0" fillId="0" borderId="8" xfId="0" applyNumberFormat="1" applyBorder="1"/>
    <xf numFmtId="182" fontId="0" fillId="0" borderId="8" xfId="0" applyNumberFormat="1" applyBorder="1"/>
    <xf numFmtId="182" fontId="0" fillId="0" borderId="9" xfId="0" applyNumberFormat="1" applyBorder="1"/>
    <xf numFmtId="183" fontId="0" fillId="0" borderId="10" xfId="0" applyNumberFormat="1" applyBorder="1" applyAlignment="1">
      <alignment horizontal="right"/>
    </xf>
    <xf numFmtId="183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173" fontId="14" fillId="5" borderId="1" xfId="1" applyFont="1" applyFill="1" applyBorder="1" applyProtection="1"/>
    <xf numFmtId="10" fontId="14" fillId="5" borderId="1" xfId="3" applyNumberFormat="1" applyFont="1" applyFill="1" applyBorder="1" applyProtection="1"/>
    <xf numFmtId="10" fontId="14" fillId="5" borderId="1" xfId="0" applyNumberFormat="1" applyFont="1" applyFill="1" applyBorder="1" applyProtection="1"/>
    <xf numFmtId="9" fontId="18" fillId="6" borderId="1" xfId="3" applyFont="1" applyFill="1" applyBorder="1" applyProtection="1">
      <protection locked="0"/>
    </xf>
    <xf numFmtId="194" fontId="18" fillId="6" borderId="1" xfId="0" applyNumberFormat="1" applyFont="1" applyFill="1" applyBorder="1" applyProtection="1">
      <protection locked="0"/>
    </xf>
    <xf numFmtId="0" fontId="18" fillId="6" borderId="1" xfId="0" applyFont="1" applyFill="1" applyBorder="1" applyAlignment="1" applyProtection="1">
      <alignment horizontal="right"/>
      <protection locked="0"/>
    </xf>
    <xf numFmtId="14" fontId="18" fillId="6" borderId="1" xfId="0" applyNumberFormat="1" applyFont="1" applyFill="1" applyBorder="1" applyProtection="1">
      <protection locked="0"/>
    </xf>
    <xf numFmtId="173" fontId="18" fillId="6" borderId="1" xfId="1" applyFont="1" applyFill="1" applyBorder="1" applyProtection="1">
      <protection locked="0"/>
    </xf>
    <xf numFmtId="10" fontId="18" fillId="6" borderId="1" xfId="0" applyNumberFormat="1" applyFont="1" applyFill="1" applyBorder="1" applyProtection="1">
      <protection locked="0"/>
    </xf>
    <xf numFmtId="193" fontId="18" fillId="6" borderId="1" xfId="3" applyNumberFormat="1" applyFont="1" applyFill="1" applyBorder="1" applyProtection="1">
      <protection locked="0"/>
    </xf>
    <xf numFmtId="173" fontId="19" fillId="6" borderId="1" xfId="1" applyFont="1" applyFill="1" applyBorder="1" applyProtection="1"/>
    <xf numFmtId="0" fontId="14" fillId="4" borderId="13" xfId="0" applyFont="1" applyFill="1" applyBorder="1" applyAlignment="1" applyProtection="1">
      <alignment horizontal="center"/>
    </xf>
    <xf numFmtId="10" fontId="12" fillId="4" borderId="14" xfId="0" applyNumberFormat="1" applyFont="1" applyFill="1" applyBorder="1" applyProtection="1"/>
    <xf numFmtId="173" fontId="12" fillId="4" borderId="14" xfId="1" applyFont="1" applyFill="1" applyBorder="1" applyProtection="1"/>
    <xf numFmtId="191" fontId="14" fillId="5" borderId="14" xfId="0" applyNumberFormat="1" applyFont="1" applyFill="1" applyBorder="1" applyProtection="1"/>
    <xf numFmtId="191" fontId="14" fillId="0" borderId="14" xfId="0" applyNumberFormat="1" applyFont="1" applyFill="1" applyBorder="1" applyProtection="1"/>
    <xf numFmtId="191" fontId="14" fillId="5" borderId="15" xfId="0" applyNumberFormat="1" applyFont="1" applyFill="1" applyBorder="1" applyProtection="1"/>
    <xf numFmtId="173" fontId="12" fillId="0" borderId="16" xfId="1" applyFont="1" applyFill="1" applyBorder="1" applyProtection="1"/>
    <xf numFmtId="173" fontId="12" fillId="0" borderId="17" xfId="1" applyFont="1" applyFill="1" applyBorder="1" applyProtection="1"/>
    <xf numFmtId="191" fontId="14" fillId="0" borderId="17" xfId="0" applyNumberFormat="1" applyFont="1" applyFill="1" applyBorder="1" applyProtection="1"/>
    <xf numFmtId="191" fontId="14" fillId="0" borderId="13" xfId="0" applyNumberFormat="1" applyFont="1" applyFill="1" applyBorder="1" applyProtection="1"/>
    <xf numFmtId="191" fontId="14" fillId="0" borderId="18" xfId="0" applyNumberFormat="1" applyFont="1" applyFill="1" applyBorder="1" applyProtection="1"/>
    <xf numFmtId="173" fontId="14" fillId="0" borderId="19" xfId="1" applyFont="1" applyFill="1" applyBorder="1" applyProtection="1"/>
    <xf numFmtId="173" fontId="12" fillId="0" borderId="20" xfId="1" applyFont="1" applyFill="1" applyBorder="1" applyProtection="1"/>
    <xf numFmtId="191" fontId="14" fillId="0" borderId="20" xfId="0" applyNumberFormat="1" applyFont="1" applyFill="1" applyBorder="1" applyProtection="1"/>
    <xf numFmtId="191" fontId="14" fillId="0" borderId="15" xfId="0" applyNumberFormat="1" applyFont="1" applyFill="1" applyBorder="1" applyProtection="1"/>
    <xf numFmtId="191" fontId="14" fillId="0" borderId="21" xfId="0" applyNumberFormat="1" applyFont="1" applyFill="1" applyBorder="1" applyProtection="1"/>
    <xf numFmtId="0" fontId="0" fillId="0" borderId="0" xfId="0" applyBorder="1" applyProtection="1">
      <protection locked="0"/>
    </xf>
    <xf numFmtId="173" fontId="2" fillId="0" borderId="0" xfId="1" applyBorder="1" applyProtection="1"/>
    <xf numFmtId="10" fontId="18" fillId="6" borderId="1" xfId="3" applyNumberFormat="1" applyFont="1" applyFill="1" applyBorder="1" applyProtection="1">
      <protection locked="0"/>
    </xf>
    <xf numFmtId="0" fontId="5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4" fillId="2" borderId="0" xfId="2" applyFont="1" applyFill="1" applyBorder="1" applyAlignment="1">
      <alignment horizontal="center" vertical="center"/>
    </xf>
    <xf numFmtId="175" fontId="4" fillId="2" borderId="0" xfId="2" applyNumberFormat="1" applyFont="1" applyFill="1" applyBorder="1" applyAlignment="1">
      <alignment horizontal="center" vertical="center"/>
    </xf>
    <xf numFmtId="182" fontId="6" fillId="7" borderId="0" xfId="1" applyNumberFormat="1" applyFont="1" applyFill="1" applyBorder="1"/>
    <xf numFmtId="179" fontId="6" fillId="7" borderId="0" xfId="1" applyNumberFormat="1" applyFont="1" applyFill="1" applyBorder="1" applyProtection="1"/>
    <xf numFmtId="17" fontId="6" fillId="7" borderId="0" xfId="0" applyNumberFormat="1" applyFont="1" applyFill="1" applyBorder="1"/>
    <xf numFmtId="173" fontId="5" fillId="8" borderId="0" xfId="1" applyFont="1" applyFill="1" applyBorder="1" applyProtection="1">
      <protection locked="0"/>
    </xf>
    <xf numFmtId="173" fontId="17" fillId="8" borderId="0" xfId="1" applyFont="1" applyFill="1" applyBorder="1" applyProtection="1">
      <protection locked="0"/>
    </xf>
    <xf numFmtId="17" fontId="6" fillId="7" borderId="0" xfId="0" applyNumberFormat="1" applyFont="1" applyFill="1" applyBorder="1" applyAlignment="1">
      <alignment horizontal="center"/>
    </xf>
    <xf numFmtId="10" fontId="17" fillId="8" borderId="0" xfId="3" applyNumberFormat="1" applyFont="1" applyFill="1" applyBorder="1" applyProtection="1">
      <protection locked="0"/>
    </xf>
    <xf numFmtId="0" fontId="6" fillId="2" borderId="0" xfId="0" applyFont="1" applyFill="1" applyBorder="1"/>
    <xf numFmtId="178" fontId="6" fillId="5" borderId="0" xfId="1" applyNumberFormat="1" applyFont="1" applyFill="1" applyBorder="1"/>
    <xf numFmtId="173" fontId="6" fillId="5" borderId="0" xfId="1" applyFont="1" applyFill="1" applyBorder="1"/>
    <xf numFmtId="178" fontId="6" fillId="7" borderId="0" xfId="1" applyNumberFormat="1" applyFont="1" applyFill="1" applyBorder="1"/>
    <xf numFmtId="173" fontId="6" fillId="7" borderId="0" xfId="1" applyFont="1" applyFill="1" applyBorder="1"/>
    <xf numFmtId="0" fontId="17" fillId="2" borderId="0" xfId="0" applyFont="1" applyFill="1" applyBorder="1" applyProtection="1">
      <protection locked="0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Protection="1">
      <protection locked="0"/>
    </xf>
    <xf numFmtId="0" fontId="4" fillId="2" borderId="0" xfId="0" applyFont="1" applyFill="1" applyBorder="1" applyAlignment="1">
      <alignment horizontal="center"/>
    </xf>
    <xf numFmtId="43" fontId="21" fillId="2" borderId="0" xfId="0" applyNumberFormat="1" applyFont="1" applyFill="1" applyBorder="1"/>
    <xf numFmtId="43" fontId="22" fillId="2" borderId="0" xfId="0" applyNumberFormat="1" applyFont="1" applyFill="1" applyBorder="1"/>
    <xf numFmtId="17" fontId="4" fillId="7" borderId="0" xfId="0" applyNumberFormat="1" applyFont="1" applyFill="1" applyBorder="1" applyAlignment="1">
      <alignment horizontal="center"/>
    </xf>
    <xf numFmtId="10" fontId="5" fillId="8" borderId="0" xfId="3" applyNumberFormat="1" applyFont="1" applyFill="1" applyBorder="1" applyProtection="1">
      <protection locked="0"/>
    </xf>
    <xf numFmtId="43" fontId="6" fillId="2" borderId="0" xfId="0" applyNumberFormat="1" applyFont="1" applyFill="1" applyBorder="1"/>
    <xf numFmtId="43" fontId="4" fillId="2" borderId="0" xfId="0" applyNumberFormat="1" applyFont="1" applyFill="1" applyBorder="1"/>
    <xf numFmtId="173" fontId="6" fillId="5" borderId="0" xfId="1" applyNumberFormat="1" applyFont="1" applyFill="1" applyBorder="1"/>
    <xf numFmtId="0" fontId="4" fillId="2" borderId="0" xfId="0" applyFont="1" applyFill="1" applyBorder="1"/>
    <xf numFmtId="173" fontId="6" fillId="7" borderId="0" xfId="1" applyNumberFormat="1" applyFont="1" applyFill="1" applyBorder="1"/>
    <xf numFmtId="43" fontId="4" fillId="2" borderId="0" xfId="2" applyNumberFormat="1" applyFont="1" applyFill="1" applyBorder="1" applyAlignment="1">
      <alignment horizontal="center" vertical="center"/>
    </xf>
    <xf numFmtId="2" fontId="4" fillId="2" borderId="0" xfId="0" applyNumberFormat="1" applyFont="1" applyFill="1" applyBorder="1"/>
    <xf numFmtId="178" fontId="4" fillId="7" borderId="0" xfId="1" applyNumberFormat="1" applyFont="1" applyFill="1" applyBorder="1"/>
    <xf numFmtId="43" fontId="6" fillId="2" borderId="0" xfId="0" applyNumberFormat="1" applyFont="1" applyFill="1" applyBorder="1" applyAlignment="1">
      <alignment horizontal="center"/>
    </xf>
    <xf numFmtId="17" fontId="17" fillId="7" borderId="0" xfId="0" applyNumberFormat="1" applyFont="1" applyFill="1" applyBorder="1" applyAlignment="1">
      <alignment horizontal="center"/>
    </xf>
    <xf numFmtId="14" fontId="2" fillId="0" borderId="1" xfId="0" applyNumberFormat="1" applyFont="1" applyBorder="1"/>
    <xf numFmtId="10" fontId="7" fillId="2" borderId="0" xfId="0" applyNumberFormat="1" applyFont="1" applyFill="1" applyBorder="1"/>
    <xf numFmtId="182" fontId="23" fillId="7" borderId="0" xfId="1" applyNumberFormat="1" applyFont="1" applyFill="1" applyBorder="1"/>
    <xf numFmtId="179" fontId="23" fillId="7" borderId="0" xfId="1" applyNumberFormat="1" applyFont="1" applyFill="1" applyBorder="1" applyProtection="1"/>
    <xf numFmtId="17" fontId="23" fillId="7" borderId="0" xfId="0" applyNumberFormat="1" applyFont="1" applyFill="1" applyBorder="1"/>
    <xf numFmtId="173" fontId="24" fillId="8" borderId="0" xfId="1" applyFont="1" applyFill="1" applyBorder="1" applyProtection="1">
      <protection locked="0"/>
    </xf>
    <xf numFmtId="17" fontId="23" fillId="7" borderId="0" xfId="0" applyNumberFormat="1" applyFont="1" applyFill="1" applyBorder="1" applyAlignment="1">
      <alignment horizontal="center"/>
    </xf>
    <xf numFmtId="10" fontId="24" fillId="8" borderId="0" xfId="3" applyNumberFormat="1" applyFont="1" applyFill="1" applyBorder="1" applyProtection="1">
      <protection locked="0"/>
    </xf>
    <xf numFmtId="182" fontId="4" fillId="7" borderId="0" xfId="1" applyNumberFormat="1" applyFont="1" applyFill="1" applyBorder="1"/>
    <xf numFmtId="179" fontId="4" fillId="7" borderId="0" xfId="1" applyNumberFormat="1" applyFont="1" applyFill="1" applyBorder="1" applyProtection="1"/>
    <xf numFmtId="17" fontId="4" fillId="7" borderId="0" xfId="0" applyNumberFormat="1" applyFont="1" applyFill="1" applyBorder="1"/>
    <xf numFmtId="17" fontId="5" fillId="2" borderId="0" xfId="0" applyNumberFormat="1" applyFont="1" applyFill="1" applyBorder="1" applyAlignment="1" applyProtection="1">
      <alignment horizontal="center"/>
      <protection locked="0"/>
    </xf>
    <xf numFmtId="14" fontId="20" fillId="2" borderId="0" xfId="0" applyNumberFormat="1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center"/>
    </xf>
    <xf numFmtId="0" fontId="10" fillId="2" borderId="0" xfId="0" applyFont="1" applyFill="1" applyBorder="1" applyAlignment="1" applyProtection="1">
      <alignment horizontal="center"/>
    </xf>
  </cellXfs>
  <cellStyles count="4">
    <cellStyle name="Comma" xfId="1" builtinId="3"/>
    <cellStyle name="Normal" xfId="0" builtinId="0"/>
    <cellStyle name="Normal_ANALY.XLS" xfId="2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11'!$C$22:$AQ$22</c:f>
              <c:numCache>
                <c:formatCode>_-* #,##0.00_-;\-* #,##0.00_-;_-* "-"??_-;_-@_-</c:formatCode>
                <c:ptCount val="41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53</c:v>
                </c:pt>
                <c:pt idx="28">
                  <c:v>54</c:v>
                </c:pt>
                <c:pt idx="29">
                  <c:v>55</c:v>
                </c:pt>
                <c:pt idx="30">
                  <c:v>56</c:v>
                </c:pt>
                <c:pt idx="31">
                  <c:v>57</c:v>
                </c:pt>
                <c:pt idx="32">
                  <c:v>58</c:v>
                </c:pt>
                <c:pt idx="33">
                  <c:v>59</c:v>
                </c:pt>
                <c:pt idx="34">
                  <c:v>60</c:v>
                </c:pt>
                <c:pt idx="35">
                  <c:v>61</c:v>
                </c:pt>
                <c:pt idx="36">
                  <c:v>62</c:v>
                </c:pt>
                <c:pt idx="37">
                  <c:v>63</c:v>
                </c:pt>
                <c:pt idx="38">
                  <c:v>64</c:v>
                </c:pt>
                <c:pt idx="39">
                  <c:v>65</c:v>
                </c:pt>
                <c:pt idx="40">
                  <c:v>66</c:v>
                </c:pt>
              </c:numCache>
            </c:numRef>
          </c:cat>
          <c:val>
            <c:numRef>
              <c:f>'Opt grid 11'!$C$21:$AQ$21</c:f>
              <c:numCache>
                <c:formatCode>0.00%</c:formatCode>
                <c:ptCount val="41"/>
                <c:pt idx="0">
                  <c:v>0.19799999999999998</c:v>
                </c:pt>
                <c:pt idx="1">
                  <c:v>0.19649999999999998</c:v>
                </c:pt>
                <c:pt idx="2">
                  <c:v>0.19525000000000001</c:v>
                </c:pt>
                <c:pt idx="3">
                  <c:v>0.19425000000000001</c:v>
                </c:pt>
                <c:pt idx="4">
                  <c:v>0.19350000000000001</c:v>
                </c:pt>
                <c:pt idx="5">
                  <c:v>0.193</c:v>
                </c:pt>
                <c:pt idx="6">
                  <c:v>0.1915</c:v>
                </c:pt>
                <c:pt idx="7">
                  <c:v>0.19025</c:v>
                </c:pt>
                <c:pt idx="8">
                  <c:v>0.18925</c:v>
                </c:pt>
                <c:pt idx="9">
                  <c:v>0.1885</c:v>
                </c:pt>
                <c:pt idx="10">
                  <c:v>0.188</c:v>
                </c:pt>
                <c:pt idx="11">
                  <c:v>0.1865</c:v>
                </c:pt>
                <c:pt idx="12">
                  <c:v>0.18525</c:v>
                </c:pt>
                <c:pt idx="13">
                  <c:v>0.18425</c:v>
                </c:pt>
                <c:pt idx="14">
                  <c:v>0.1835</c:v>
                </c:pt>
                <c:pt idx="15">
                  <c:v>0.183</c:v>
                </c:pt>
                <c:pt idx="16">
                  <c:v>0.18149999999999999</c:v>
                </c:pt>
                <c:pt idx="17">
                  <c:v>0.18024999999999999</c:v>
                </c:pt>
                <c:pt idx="18">
                  <c:v>0.17924999999999999</c:v>
                </c:pt>
                <c:pt idx="19">
                  <c:v>0.17849999999999999</c:v>
                </c:pt>
                <c:pt idx="20">
                  <c:v>0.17799999999999999</c:v>
                </c:pt>
                <c:pt idx="21">
                  <c:v>0.17874999999999999</c:v>
                </c:pt>
                <c:pt idx="22">
                  <c:v>0.17987500000000001</c:v>
                </c:pt>
                <c:pt idx="23">
                  <c:v>0.18137500000000001</c:v>
                </c:pt>
                <c:pt idx="24">
                  <c:v>0.18325</c:v>
                </c:pt>
                <c:pt idx="25">
                  <c:v>0.1855</c:v>
                </c:pt>
                <c:pt idx="26">
                  <c:v>0.18625</c:v>
                </c:pt>
                <c:pt idx="27">
                  <c:v>0.18737500000000001</c:v>
                </c:pt>
                <c:pt idx="28">
                  <c:v>0.18887500000000002</c:v>
                </c:pt>
                <c:pt idx="29">
                  <c:v>0.19075</c:v>
                </c:pt>
                <c:pt idx="30">
                  <c:v>0.193</c:v>
                </c:pt>
                <c:pt idx="31">
                  <c:v>0.19375000000000001</c:v>
                </c:pt>
                <c:pt idx="32">
                  <c:v>0.19487499999999999</c:v>
                </c:pt>
                <c:pt idx="33">
                  <c:v>0.19637499999999999</c:v>
                </c:pt>
                <c:pt idx="34">
                  <c:v>0.19824999999999998</c:v>
                </c:pt>
                <c:pt idx="35">
                  <c:v>0.20049999999999998</c:v>
                </c:pt>
                <c:pt idx="36">
                  <c:v>0.20024999999999998</c:v>
                </c:pt>
                <c:pt idx="37">
                  <c:v>0.19987499999999997</c:v>
                </c:pt>
                <c:pt idx="38">
                  <c:v>0.19937499999999997</c:v>
                </c:pt>
                <c:pt idx="39">
                  <c:v>0.19874999999999998</c:v>
                </c:pt>
                <c:pt idx="40">
                  <c:v>0.19799999999999998</c:v>
                </c:pt>
              </c:numCache>
            </c:numRef>
          </c:val>
        </c:ser>
        <c:marker val="1"/>
        <c:axId val="54880128"/>
        <c:axId val="54901376"/>
      </c:lineChart>
      <c:catAx>
        <c:axId val="548801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901376"/>
        <c:crossesAt val="0"/>
        <c:auto val="1"/>
        <c:lblAlgn val="ctr"/>
        <c:lblOffset val="100"/>
        <c:tickLblSkip val="2"/>
        <c:tickMarkSkip val="1"/>
      </c:catAx>
      <c:valAx>
        <c:axId val="549013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880128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Volatility Skew</a:t>
            </a:r>
          </a:p>
        </c:rich>
      </c:tx>
      <c:layout>
        <c:manualLayout>
          <c:xMode val="edge"/>
          <c:yMode val="edge"/>
          <c:x val="0.40546742137161579"/>
          <c:y val="4.0540718876332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0706162249699969"/>
          <c:y val="0.24774883757758648"/>
          <c:w val="0.86104879369927401"/>
          <c:h val="0.46847052923761806"/>
        </c:manualLayout>
      </c:layout>
      <c:lineChart>
        <c:grouping val="standard"/>
        <c:ser>
          <c:idx val="0"/>
          <c:order val="0"/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cat>
            <c:numRef>
              <c:f>'Opt grid 12'!$C$22:$AQ$22</c:f>
              <c:numCache>
                <c:formatCode>_-* #,##0.00_-;\-* #,##0.00_-;_-* "-"??_-;_-@_-</c:formatCode>
                <c:ptCount val="41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28">
                  <c:v>58</c:v>
                </c:pt>
                <c:pt idx="29">
                  <c:v>59</c:v>
                </c:pt>
                <c:pt idx="30">
                  <c:v>60</c:v>
                </c:pt>
                <c:pt idx="31">
                  <c:v>61</c:v>
                </c:pt>
                <c:pt idx="32">
                  <c:v>62</c:v>
                </c:pt>
                <c:pt idx="33">
                  <c:v>63</c:v>
                </c:pt>
                <c:pt idx="34">
                  <c:v>64</c:v>
                </c:pt>
                <c:pt idx="35">
                  <c:v>65</c:v>
                </c:pt>
                <c:pt idx="36">
                  <c:v>66</c:v>
                </c:pt>
                <c:pt idx="37">
                  <c:v>67</c:v>
                </c:pt>
                <c:pt idx="38">
                  <c:v>68</c:v>
                </c:pt>
                <c:pt idx="39">
                  <c:v>69</c:v>
                </c:pt>
                <c:pt idx="40">
                  <c:v>70</c:v>
                </c:pt>
              </c:numCache>
            </c:numRef>
          </c:cat>
          <c:val>
            <c:numRef>
              <c:f>'Opt grid 12'!$C$21:$AQ$21</c:f>
              <c:numCache>
                <c:formatCode>0.00%</c:formatCode>
                <c:ptCount val="41"/>
                <c:pt idx="0">
                  <c:v>0.1825</c:v>
                </c:pt>
                <c:pt idx="1">
                  <c:v>0.18174999999999999</c:v>
                </c:pt>
                <c:pt idx="2">
                  <c:v>0.18112499999999998</c:v>
                </c:pt>
                <c:pt idx="3">
                  <c:v>0.18062499999999998</c:v>
                </c:pt>
                <c:pt idx="4">
                  <c:v>0.18024999999999999</c:v>
                </c:pt>
                <c:pt idx="5">
                  <c:v>0.18</c:v>
                </c:pt>
                <c:pt idx="6">
                  <c:v>0.17924999999999999</c:v>
                </c:pt>
                <c:pt idx="7">
                  <c:v>0.17862499999999998</c:v>
                </c:pt>
                <c:pt idx="8">
                  <c:v>0.17812499999999998</c:v>
                </c:pt>
                <c:pt idx="9">
                  <c:v>0.17774999999999999</c:v>
                </c:pt>
                <c:pt idx="10">
                  <c:v>0.17749999999999999</c:v>
                </c:pt>
                <c:pt idx="11">
                  <c:v>0.17674999999999999</c:v>
                </c:pt>
                <c:pt idx="12">
                  <c:v>0.17612499999999998</c:v>
                </c:pt>
                <c:pt idx="13">
                  <c:v>0.17562499999999998</c:v>
                </c:pt>
                <c:pt idx="14">
                  <c:v>0.17524999999999999</c:v>
                </c:pt>
                <c:pt idx="15">
                  <c:v>0.17499999999999999</c:v>
                </c:pt>
                <c:pt idx="16">
                  <c:v>0.17424999999999999</c:v>
                </c:pt>
                <c:pt idx="17">
                  <c:v>0.17362499999999997</c:v>
                </c:pt>
                <c:pt idx="18">
                  <c:v>0.17312499999999997</c:v>
                </c:pt>
                <c:pt idx="19">
                  <c:v>0.17274999999999999</c:v>
                </c:pt>
                <c:pt idx="20">
                  <c:v>0.17249999999999999</c:v>
                </c:pt>
                <c:pt idx="21">
                  <c:v>0.17299999999999999</c:v>
                </c:pt>
                <c:pt idx="22">
                  <c:v>0.17374999999999999</c:v>
                </c:pt>
                <c:pt idx="23">
                  <c:v>0.17474999999999999</c:v>
                </c:pt>
                <c:pt idx="24">
                  <c:v>0.17599999999999999</c:v>
                </c:pt>
                <c:pt idx="25">
                  <c:v>0.17749999999999999</c:v>
                </c:pt>
                <c:pt idx="26">
                  <c:v>0.17799999999999999</c:v>
                </c:pt>
                <c:pt idx="27">
                  <c:v>0.17874999999999999</c:v>
                </c:pt>
                <c:pt idx="28">
                  <c:v>0.17974999999999999</c:v>
                </c:pt>
                <c:pt idx="29">
                  <c:v>0.18099999999999999</c:v>
                </c:pt>
                <c:pt idx="30">
                  <c:v>0.1825</c:v>
                </c:pt>
                <c:pt idx="31">
                  <c:v>0.183</c:v>
                </c:pt>
                <c:pt idx="32">
                  <c:v>0.18375</c:v>
                </c:pt>
                <c:pt idx="33">
                  <c:v>0.18475</c:v>
                </c:pt>
                <c:pt idx="34">
                  <c:v>0.186</c:v>
                </c:pt>
                <c:pt idx="35">
                  <c:v>0.1875</c:v>
                </c:pt>
                <c:pt idx="36">
                  <c:v>0.188</c:v>
                </c:pt>
                <c:pt idx="37">
                  <c:v>0.18875</c:v>
                </c:pt>
                <c:pt idx="38">
                  <c:v>0.18975</c:v>
                </c:pt>
                <c:pt idx="39">
                  <c:v>0.19099999999999998</c:v>
                </c:pt>
                <c:pt idx="40">
                  <c:v>0.19249999999999998</c:v>
                </c:pt>
              </c:numCache>
            </c:numRef>
          </c:val>
        </c:ser>
        <c:marker val="1"/>
        <c:axId val="55019776"/>
        <c:axId val="55026048"/>
      </c:lineChart>
      <c:catAx>
        <c:axId val="550197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Strike</a:t>
                </a:r>
              </a:p>
            </c:rich>
          </c:tx>
          <c:layout>
            <c:manualLayout>
              <c:xMode val="edge"/>
              <c:yMode val="edge"/>
              <c:x val="0.49658369583714745"/>
              <c:y val="0.83784152344420149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026048"/>
        <c:crossesAt val="0"/>
        <c:auto val="1"/>
        <c:lblAlgn val="ctr"/>
        <c:lblOffset val="100"/>
        <c:tickLblSkip val="2"/>
        <c:tickMarkSkip val="1"/>
      </c:catAx>
      <c:valAx>
        <c:axId val="55026048"/>
        <c:scaling>
          <c:orientation val="minMax"/>
          <c:min val="0.1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019776"/>
        <c:crosses val="autoZero"/>
        <c:crossBetween val="between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168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1</xdr:row>
      <xdr:rowOff>0</xdr:rowOff>
    </xdr:from>
    <xdr:to>
      <xdr:col>20</xdr:col>
      <xdr:colOff>257175</xdr:colOff>
      <xdr:row>17</xdr:row>
      <xdr:rowOff>104775</xdr:rowOff>
    </xdr:to>
    <xdr:graphicFrame macro="">
      <xdr:nvGraphicFramePr>
        <xdr:cNvPr id="706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ederick%20Tesselaar/Local%20Settings/Temporary%20Internet%20Files/Content.IE5/0ZRZEOLL/optgrid_09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ption grid"/>
    </sheetNames>
    <sheetDataSet>
      <sheetData sheetId="0" refreshError="1">
        <row r="3">
          <cell r="B3" t="str">
            <v>e</v>
          </cell>
          <cell r="E3">
            <v>63</v>
          </cell>
          <cell r="H3">
            <v>0.19750000000000001</v>
          </cell>
        </row>
        <row r="4">
          <cell r="B4">
            <v>39793</v>
          </cell>
          <cell r="E4">
            <v>0.05</v>
          </cell>
          <cell r="H4">
            <v>-5.0000000000000001E-4</v>
          </cell>
        </row>
        <row r="5">
          <cell r="B5">
            <v>1</v>
          </cell>
          <cell r="E5">
            <v>63</v>
          </cell>
          <cell r="H5">
            <v>1.25E-3</v>
          </cell>
          <cell r="I5">
            <v>63</v>
          </cell>
          <cell r="J5">
            <v>0.19750000000000001</v>
          </cell>
        </row>
        <row r="6">
          <cell r="B6" t="str">
            <v>b</v>
          </cell>
          <cell r="E6">
            <v>1</v>
          </cell>
          <cell r="H6">
            <v>0.19500000000000001</v>
          </cell>
          <cell r="I6">
            <v>62</v>
          </cell>
          <cell r="J6">
            <v>0.19700000000000001</v>
          </cell>
        </row>
        <row r="7">
          <cell r="B7">
            <v>0.2</v>
          </cell>
          <cell r="H7">
            <v>0.5</v>
          </cell>
        </row>
        <row r="8">
          <cell r="B8">
            <v>35</v>
          </cell>
        </row>
        <row r="9">
          <cell r="B9">
            <v>0</v>
          </cell>
          <cell r="D9" t="str">
            <v>c</v>
          </cell>
          <cell r="E9" t="str">
            <v>p</v>
          </cell>
          <cell r="I9">
            <v>63</v>
          </cell>
          <cell r="J9">
            <v>0.19750000000000001</v>
          </cell>
        </row>
        <row r="10">
          <cell r="B10">
            <v>39493</v>
          </cell>
          <cell r="D10" t="str">
            <v>c</v>
          </cell>
          <cell r="E10" t="str">
            <v>h</v>
          </cell>
          <cell r="I10">
            <v>64</v>
          </cell>
          <cell r="J10">
            <v>0.19875000000000001</v>
          </cell>
        </row>
        <row r="11">
          <cell r="D11" t="str">
            <v>p</v>
          </cell>
          <cell r="E11" t="str">
            <v>p</v>
          </cell>
        </row>
        <row r="12">
          <cell r="B12">
            <v>4.3999999999999997E-2</v>
          </cell>
          <cell r="D12" t="str">
            <v>p</v>
          </cell>
          <cell r="E12" t="str">
            <v>h</v>
          </cell>
        </row>
        <row r="13">
          <cell r="D13" t="str">
            <v>p</v>
          </cell>
          <cell r="E13" t="str">
            <v>v</v>
          </cell>
        </row>
        <row r="16">
          <cell r="B16">
            <v>0.19500000000000001</v>
          </cell>
          <cell r="C16">
            <v>0.19500000000000001</v>
          </cell>
          <cell r="D16">
            <v>0.19500000000000001</v>
          </cell>
          <cell r="E16">
            <v>0.19500000000000001</v>
          </cell>
          <cell r="F16">
            <v>0.19500000000000001</v>
          </cell>
          <cell r="G16">
            <v>0.19500000000000001</v>
          </cell>
          <cell r="H16">
            <v>0.19550000000000001</v>
          </cell>
          <cell r="I16">
            <v>0.19600000000000001</v>
          </cell>
          <cell r="J16">
            <v>0.19650000000000001</v>
          </cell>
          <cell r="K16">
            <v>0.19700000000000001</v>
          </cell>
          <cell r="L16">
            <v>0.19750000000000001</v>
          </cell>
          <cell r="M16">
            <v>0.19874999999999998</v>
          </cell>
          <cell r="N16">
            <v>0.2</v>
          </cell>
          <cell r="O16">
            <v>0.20124999999999998</v>
          </cell>
          <cell r="P16">
            <v>0.20250000000000001</v>
          </cell>
          <cell r="Q16">
            <v>0.20374999999999999</v>
          </cell>
          <cell r="R16">
            <v>0.20500000000000002</v>
          </cell>
          <cell r="S16">
            <v>0.20624999999999999</v>
          </cell>
          <cell r="T16">
            <v>0.20750000000000002</v>
          </cell>
          <cell r="U16">
            <v>0.20874999999999999</v>
          </cell>
          <cell r="V16">
            <v>0.21000000000000002</v>
          </cell>
        </row>
        <row r="17">
          <cell r="B17">
            <v>53</v>
          </cell>
          <cell r="C17">
            <v>54</v>
          </cell>
          <cell r="D17">
            <v>55</v>
          </cell>
          <cell r="E17">
            <v>56</v>
          </cell>
          <cell r="F17">
            <v>57</v>
          </cell>
          <cell r="G17">
            <v>58</v>
          </cell>
          <cell r="H17">
            <v>59</v>
          </cell>
          <cell r="I17">
            <v>60</v>
          </cell>
          <cell r="J17">
            <v>61</v>
          </cell>
          <cell r="K17">
            <v>62</v>
          </cell>
          <cell r="L17">
            <v>63</v>
          </cell>
          <cell r="M17">
            <v>64</v>
          </cell>
          <cell r="N17">
            <v>65</v>
          </cell>
          <cell r="O17">
            <v>66</v>
          </cell>
          <cell r="P17">
            <v>67</v>
          </cell>
          <cell r="Q17">
            <v>68</v>
          </cell>
          <cell r="R17">
            <v>69</v>
          </cell>
          <cell r="S17">
            <v>70</v>
          </cell>
          <cell r="T17">
            <v>71</v>
          </cell>
          <cell r="U17">
            <v>72</v>
          </cell>
          <cell r="V17">
            <v>73</v>
          </cell>
        </row>
        <row r="18">
          <cell r="A18">
            <v>62.25</v>
          </cell>
        </row>
        <row r="23">
          <cell r="A23">
            <v>62.3</v>
          </cell>
        </row>
        <row r="28">
          <cell r="A28">
            <v>62.349999999999994</v>
          </cell>
        </row>
        <row r="33">
          <cell r="A33">
            <v>62.399999999999991</v>
          </cell>
        </row>
        <row r="38">
          <cell r="A38">
            <v>62.449999999999989</v>
          </cell>
        </row>
        <row r="43">
          <cell r="A43">
            <v>62.499999999999986</v>
          </cell>
        </row>
        <row r="48">
          <cell r="A48">
            <v>62.549999999999983</v>
          </cell>
        </row>
        <row r="53">
          <cell r="A53">
            <v>62.59999999999998</v>
          </cell>
        </row>
        <row r="58">
          <cell r="A58">
            <v>62.649999999999977</v>
          </cell>
        </row>
        <row r="63">
          <cell r="A63">
            <v>62.699999999999974</v>
          </cell>
        </row>
        <row r="68">
          <cell r="A68">
            <v>62.749999999999972</v>
          </cell>
        </row>
        <row r="73">
          <cell r="A73">
            <v>62.799999999999969</v>
          </cell>
        </row>
        <row r="78">
          <cell r="A78">
            <v>62.849999999999966</v>
          </cell>
        </row>
        <row r="83">
          <cell r="A83">
            <v>62.899999999999963</v>
          </cell>
        </row>
        <row r="88">
          <cell r="A88">
            <v>62.94999999999996</v>
          </cell>
        </row>
        <row r="93">
          <cell r="A93">
            <v>62.999999999999957</v>
          </cell>
        </row>
        <row r="98">
          <cell r="A98">
            <v>63.049999999999955</v>
          </cell>
        </row>
        <row r="103">
          <cell r="A103">
            <v>63.099999999999952</v>
          </cell>
        </row>
        <row r="108">
          <cell r="A108">
            <v>63.149999999999949</v>
          </cell>
        </row>
        <row r="113">
          <cell r="A113">
            <v>63.199999999999946</v>
          </cell>
        </row>
        <row r="118">
          <cell r="A118">
            <v>63.249999999999943</v>
          </cell>
        </row>
        <row r="123">
          <cell r="A123">
            <v>63.29999999999994</v>
          </cell>
        </row>
        <row r="128">
          <cell r="A128">
            <v>63.349999999999937</v>
          </cell>
        </row>
        <row r="133">
          <cell r="A133">
            <v>63.399999999999935</v>
          </cell>
        </row>
        <row r="138">
          <cell r="A138">
            <v>63.449999999999932</v>
          </cell>
        </row>
        <row r="143">
          <cell r="A143">
            <v>63.499999999999929</v>
          </cell>
        </row>
        <row r="148">
          <cell r="A148">
            <v>63.549999999999926</v>
          </cell>
        </row>
        <row r="153">
          <cell r="A153">
            <v>63.599999999999923</v>
          </cell>
        </row>
        <row r="158">
          <cell r="A158">
            <v>63.64999999999992</v>
          </cell>
        </row>
        <row r="163">
          <cell r="A163">
            <v>63.699999999999918</v>
          </cell>
        </row>
        <row r="168">
          <cell r="A168">
            <v>63.749999999999915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Q102"/>
  <sheetViews>
    <sheetView workbookViewId="0">
      <pane xSplit="10" ySplit="4" topLeftCell="K53" activePane="bottomRight" state="frozen"/>
      <selection pane="topRight" activeCell="K1" sqref="K1"/>
      <selection pane="bottomLeft" activeCell="A5" sqref="A5"/>
      <selection pane="bottomRight" activeCell="H56" sqref="H56"/>
    </sheetView>
  </sheetViews>
  <sheetFormatPr defaultRowHeight="12"/>
  <cols>
    <col min="1" max="1" width="4.7109375" style="4" customWidth="1"/>
    <col min="2" max="2" width="11.85546875" style="4" customWidth="1"/>
    <col min="3" max="3" width="6.7109375" style="4" customWidth="1"/>
    <col min="4" max="4" width="7.7109375" style="4" bestFit="1" customWidth="1"/>
    <col min="5" max="5" width="8.42578125" style="4" bestFit="1" customWidth="1"/>
    <col min="6" max="6" width="8.7109375" style="4" customWidth="1"/>
    <col min="7" max="7" width="4.140625" style="4" customWidth="1"/>
    <col min="8" max="8" width="9" style="4" bestFit="1" customWidth="1"/>
    <col min="9" max="9" width="9.28515625" style="4" bestFit="1" customWidth="1"/>
    <col min="10" max="10" width="3.140625" style="4" customWidth="1"/>
    <col min="11" max="11" width="9.7109375" style="4" bestFit="1" customWidth="1"/>
    <col min="12" max="12" width="8.28515625" style="4" bestFit="1" customWidth="1"/>
    <col min="13" max="13" width="9.5703125" style="4" bestFit="1" customWidth="1"/>
    <col min="14" max="14" width="6.7109375" style="4" bestFit="1" customWidth="1"/>
    <col min="15" max="15" width="7.7109375" style="4" bestFit="1" customWidth="1"/>
    <col min="16" max="16" width="3.42578125" style="4" customWidth="1"/>
    <col min="17" max="17" width="7.7109375" style="4" bestFit="1" customWidth="1"/>
    <col min="18" max="18" width="8.28515625" style="4" bestFit="1" customWidth="1"/>
    <col min="19" max="19" width="9.5703125" style="4" bestFit="1" customWidth="1"/>
    <col min="20" max="20" width="6.7109375" style="4" bestFit="1" customWidth="1"/>
    <col min="21" max="21" width="7.7109375" style="4" bestFit="1" customWidth="1"/>
    <col min="22" max="22" width="6.5703125" style="4" customWidth="1"/>
    <col min="23" max="16384" width="9.140625" style="4"/>
  </cols>
  <sheetData>
    <row r="1" spans="1:251" s="19" customFormat="1" ht="23.25">
      <c r="A1" s="17"/>
      <c r="B1" s="16" t="s">
        <v>73</v>
      </c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</row>
    <row r="2" spans="1:251" s="1" customFormat="1">
      <c r="B2" s="1" t="s">
        <v>6</v>
      </c>
      <c r="C2" s="138">
        <f ca="1">TODAY()</f>
        <v>41072</v>
      </c>
      <c r="D2" s="138"/>
      <c r="F2" s="11" t="s">
        <v>7</v>
      </c>
      <c r="I2" s="37">
        <v>1.2500000000000001E-2</v>
      </c>
      <c r="K2" s="37">
        <v>1.35E-2</v>
      </c>
      <c r="L2" s="37">
        <v>2.5999999999999999E-2</v>
      </c>
      <c r="N2" s="127">
        <v>1.4999999999999999E-2</v>
      </c>
    </row>
    <row r="3" spans="1:251" s="1" customFormat="1">
      <c r="K3" s="139" t="s">
        <v>8</v>
      </c>
      <c r="L3" s="139"/>
      <c r="M3" s="139"/>
      <c r="N3" s="139"/>
      <c r="O3" s="139"/>
      <c r="Q3" s="139" t="s">
        <v>9</v>
      </c>
      <c r="R3" s="139"/>
      <c r="S3" s="139"/>
      <c r="T3" s="139"/>
      <c r="U3" s="139"/>
    </row>
    <row r="4" spans="1:251" s="2" customFormat="1">
      <c r="B4" s="12" t="s">
        <v>10</v>
      </c>
      <c r="C4" s="2" t="s">
        <v>4</v>
      </c>
      <c r="D4" s="2" t="s">
        <v>11</v>
      </c>
      <c r="E4" s="13" t="s">
        <v>12</v>
      </c>
      <c r="F4" s="13" t="s">
        <v>13</v>
      </c>
      <c r="H4" s="2" t="s">
        <v>15</v>
      </c>
      <c r="I4" s="2" t="s">
        <v>16</v>
      </c>
      <c r="K4" s="13" t="s">
        <v>17</v>
      </c>
      <c r="L4" s="13" t="s">
        <v>59</v>
      </c>
      <c r="M4" s="13" t="s">
        <v>60</v>
      </c>
      <c r="N4" s="13" t="s">
        <v>3</v>
      </c>
      <c r="O4" s="14" t="s">
        <v>61</v>
      </c>
      <c r="Q4" s="13" t="s">
        <v>17</v>
      </c>
      <c r="R4" s="13" t="s">
        <v>59</v>
      </c>
      <c r="S4" s="13" t="s">
        <v>60</v>
      </c>
      <c r="T4" s="13" t="s">
        <v>3</v>
      </c>
      <c r="U4" s="14" t="s">
        <v>61</v>
      </c>
    </row>
    <row r="5" spans="1:251" s="2" customFormat="1" ht="12.75">
      <c r="B5" s="92" t="s">
        <v>36</v>
      </c>
      <c r="C5" s="93"/>
      <c r="D5" s="93"/>
      <c r="E5" s="94"/>
      <c r="F5" s="94"/>
      <c r="G5" s="93"/>
      <c r="H5" s="93"/>
      <c r="I5" s="93"/>
      <c r="J5" s="93"/>
      <c r="K5" s="121" t="e">
        <f ca="1">K7+K6</f>
        <v>#VALUE!</v>
      </c>
      <c r="L5" s="94"/>
      <c r="M5" s="94"/>
      <c r="N5" s="94"/>
      <c r="O5" s="95"/>
      <c r="P5" s="93"/>
      <c r="Q5" s="121" t="e">
        <f ca="1">Q6+Q7</f>
        <v>#VALUE!</v>
      </c>
      <c r="R5" s="94"/>
      <c r="S5" s="94"/>
      <c r="T5" s="94"/>
      <c r="U5" s="95"/>
    </row>
    <row r="6" spans="1:251" ht="12.75">
      <c r="A6" s="3" t="str">
        <f ca="1">B11</f>
        <v>Cal 11</v>
      </c>
      <c r="B6" s="96">
        <f ca="1">VLOOKUP($B$5,'DEPower Expiry Dates'!A4:F42,4,FALSE)</f>
        <v>40521</v>
      </c>
      <c r="C6" s="97">
        <f ca="1">B6-TODAY()</f>
        <v>-551</v>
      </c>
      <c r="D6" s="98">
        <f ca="1">B6+30</f>
        <v>40551</v>
      </c>
      <c r="E6" s="100">
        <v>45.5</v>
      </c>
      <c r="F6" s="100">
        <v>55</v>
      </c>
      <c r="G6" s="101" t="s">
        <v>82</v>
      </c>
      <c r="H6" s="102">
        <v>0.186</v>
      </c>
      <c r="I6" s="102">
        <v>0.182</v>
      </c>
      <c r="J6" s="103"/>
      <c r="K6" s="104" t="e">
        <f ca="1">EBlackScholesForward("p",$G6,$E6,$F6,$C6/365,$C6/365,$I$2,H6)</f>
        <v>#VALUE!</v>
      </c>
      <c r="L6" s="105" t="e">
        <f ca="1">EBlackScholesForward("d",G6,E6,F6,C6/365,C6/365,$I$2,H6)</f>
        <v>#VALUE!</v>
      </c>
      <c r="M6" s="104" t="e">
        <f ca="1">EBlackScholesForward("g",G6,E6,F6,C6/365,C6/365,$I$2,H6)</f>
        <v>#VALUE!</v>
      </c>
      <c r="N6" s="104" t="e">
        <f ca="1">EBlackScholesForward("v",G6,E6,F6,C6/365,C6/365,$I$2,H6)</f>
        <v>#VALUE!</v>
      </c>
      <c r="O6" s="104" t="e">
        <f ca="1">EBlackScholesForward("t",G6,E6,F6,C6/365,C6/365,$I$2,H6)</f>
        <v>#VALUE!</v>
      </c>
      <c r="P6" s="103"/>
      <c r="Q6" s="104" t="e">
        <f ca="1">EBlackScholesForward("p",$G6,$E6,$F6,$C6/365,$C6/365,$I$2,$I6)</f>
        <v>#VALUE!</v>
      </c>
      <c r="R6" s="105" t="e">
        <f ca="1">EBlackScholesForward("d",$G6,$E6,$F6,$C6/365,$C6/365,$I$2,$I6)</f>
        <v>#VALUE!</v>
      </c>
      <c r="S6" s="104" t="e">
        <f ca="1">EBlackScholesForward("g",$G6,$E6,$F6,$C6/365,$C6/365,$I$2,$I6)</f>
        <v>#VALUE!</v>
      </c>
      <c r="T6" s="104" t="e">
        <f ca="1">EBlackScholesForward("v",$G6,$E6,$F6,$C6/365,$C6/365,$I$2,$I6)</f>
        <v>#VALUE!</v>
      </c>
      <c r="U6" s="104" t="e">
        <f ca="1">EBlackScholesForward("t",$G6,$E6,$F6,$C6/365,$C6/365,$I$2,$I6)</f>
        <v>#VALUE!</v>
      </c>
    </row>
    <row r="7" spans="1:251" ht="12.75">
      <c r="B7" s="96">
        <f ca="1">B6</f>
        <v>40521</v>
      </c>
      <c r="C7" s="97">
        <f ca="1">B7-TODAY()</f>
        <v>-551</v>
      </c>
      <c r="D7" s="98">
        <f ca="1">B7+30</f>
        <v>40551</v>
      </c>
      <c r="E7" s="100">
        <f ca="1">E6</f>
        <v>45.5</v>
      </c>
      <c r="F7" s="100">
        <v>47</v>
      </c>
      <c r="G7" s="101" t="s">
        <v>80</v>
      </c>
      <c r="H7" s="102">
        <v>0.18099999999999999</v>
      </c>
      <c r="I7" s="102">
        <v>0.182</v>
      </c>
      <c r="J7" s="103"/>
      <c r="K7" s="106" t="e">
        <f ca="1">EBlackScholesForward("p",$G7,$E7,$F7,$C7/365,$C7/365,$I$2,H7)</f>
        <v>#VALUE!</v>
      </c>
      <c r="L7" s="107" t="e">
        <f ca="1">EBlackScholesForward("d",G7,E7,F7,C7/365,C7/365,$I$2,H7)</f>
        <v>#VALUE!</v>
      </c>
      <c r="M7" s="106" t="e">
        <f ca="1">EBlackScholesForward("g",G7,E7,F7,C7/365,C7/365,$I$2,H7)</f>
        <v>#VALUE!</v>
      </c>
      <c r="N7" s="106" t="e">
        <f ca="1">EBlackScholesForward("v",G7,E7,F7,C7/365,C7/365,$I$2,H7)</f>
        <v>#VALUE!</v>
      </c>
      <c r="O7" s="106" t="e">
        <f ca="1">EBlackScholesForward("t",G7,E7,F7,C7/365,C7/365,$I$2,H7)</f>
        <v>#VALUE!</v>
      </c>
      <c r="P7" s="103"/>
      <c r="Q7" s="106" t="e">
        <f ca="1">EBlackScholesForward("p",$G7,$E7,$F7,$C7/365,$C7/365,$I$2,$I7)</f>
        <v>#VALUE!</v>
      </c>
      <c r="R7" s="107" t="e">
        <f ca="1">EBlackScholesForward("d",$G7,$E7,$F7,$C7/365,$C7/365,$I$2,$I7)</f>
        <v>#VALUE!</v>
      </c>
      <c r="S7" s="106" t="e">
        <f ca="1">EBlackScholesForward("g",$G7,$E7,$F7,$C7/365,$C7/365,$I$2,$I7)</f>
        <v>#VALUE!</v>
      </c>
      <c r="T7" s="106" t="e">
        <f ca="1">EBlackScholesForward("v",$G7,$E7,$F7,$C7/365,$C7/365,$I$2,$I7)</f>
        <v>#VALUE!</v>
      </c>
      <c r="U7" s="106" t="e">
        <f ca="1">EBlackScholesForward("t",$G7,$E7,$F7,$C7/365,$C7/365,$I$2,$I7)</f>
        <v>#VALUE!</v>
      </c>
    </row>
    <row r="8" spans="1:251" ht="12.75">
      <c r="B8" s="96">
        <f ca="1">B7</f>
        <v>40521</v>
      </c>
      <c r="C8" s="97">
        <f ca="1">B8-TODAY()</f>
        <v>-551</v>
      </c>
      <c r="D8" s="98">
        <f ca="1">B8+30</f>
        <v>40551</v>
      </c>
      <c r="E8" s="100">
        <f ca="1">E7</f>
        <v>45.5</v>
      </c>
      <c r="F8" s="100">
        <v>55</v>
      </c>
      <c r="G8" s="101" t="s">
        <v>82</v>
      </c>
      <c r="H8" s="102">
        <v>0.185</v>
      </c>
      <c r="I8" s="102">
        <v>0.19</v>
      </c>
      <c r="J8" s="103"/>
      <c r="K8" s="104" t="e">
        <f ca="1">EBlackScholesForward("p",$G8,$E8,$F8,$C8/365,$C8/365,$I$2,H8)</f>
        <v>#VALUE!</v>
      </c>
      <c r="L8" s="105" t="e">
        <f ca="1">EBlackScholesForward("d",G8,E8,F8,C8/365,C8/365,$I$2,H8)</f>
        <v>#VALUE!</v>
      </c>
      <c r="M8" s="104" t="e">
        <f ca="1">EBlackScholesForward("g",G8,E8,F8,C8/365,C8/365,$I$2,H8)</f>
        <v>#VALUE!</v>
      </c>
      <c r="N8" s="104" t="e">
        <f ca="1">EBlackScholesForward("v",G8,E8,F8,C8/365,C8/365,$I$2,H8)</f>
        <v>#VALUE!</v>
      </c>
      <c r="O8" s="104" t="e">
        <f ca="1">EBlackScholesForward("t",G8,E8,F8,C8/365,C8/365,$I$2,H8)</f>
        <v>#VALUE!</v>
      </c>
      <c r="P8" s="103"/>
      <c r="Q8" s="104" t="e">
        <f ca="1">EBlackScholesForward("p",$G8,$E8,$F8,$C8/365,$C8/365,$I$2,$I8)</f>
        <v>#VALUE!</v>
      </c>
      <c r="R8" s="105" t="e">
        <f ca="1">EBlackScholesForward("d",$G8,$E8,$F8,$C8/365,$C8/365,$I$2,$I8)</f>
        <v>#VALUE!</v>
      </c>
      <c r="S8" s="104" t="e">
        <f ca="1">EBlackScholesForward("g",$G8,$E8,$F8,$C8/365,$C8/365,$I$2,$I8)</f>
        <v>#VALUE!</v>
      </c>
      <c r="T8" s="104" t="e">
        <f ca="1">EBlackScholesForward("v",$G8,$E8,$F8,$C8/365,$C8/365,$I$2,$I8)</f>
        <v>#VALUE!</v>
      </c>
      <c r="U8" s="104" t="e">
        <f ca="1">EBlackScholesForward("t",$G8,$E8,$F8,$C8/365,$C8/365,$I$2,$I8)</f>
        <v>#VALUE!</v>
      </c>
    </row>
    <row r="9" spans="1:251" ht="12.75">
      <c r="B9" s="96">
        <f ca="1">B8</f>
        <v>40521</v>
      </c>
      <c r="C9" s="97">
        <f ca="1">B9-TODAY()</f>
        <v>-551</v>
      </c>
      <c r="D9" s="98">
        <f ca="1">B9+30</f>
        <v>40551</v>
      </c>
      <c r="E9" s="100">
        <v>45.5</v>
      </c>
      <c r="F9" s="100">
        <v>51</v>
      </c>
      <c r="G9" s="101" t="s">
        <v>82</v>
      </c>
      <c r="H9" s="102">
        <v>0.185</v>
      </c>
      <c r="I9" s="102">
        <v>0.1855</v>
      </c>
      <c r="J9" s="103"/>
      <c r="K9" s="106" t="e">
        <f ca="1">EBlackScholesForward("p",$G9,$E9,$F9,$C9/365,$C9/365,$I$2,H9)</f>
        <v>#VALUE!</v>
      </c>
      <c r="L9" s="120" t="e">
        <f ca="1">EBlackScholesForward("d",G9,E9,F9,C9/365,C9/365,$I$2,H9)</f>
        <v>#VALUE!</v>
      </c>
      <c r="M9" s="106" t="e">
        <f ca="1">EBlackScholesForward("g",G9,E9,F9,C9/365,C9/365,$I$2,H9)</f>
        <v>#VALUE!</v>
      </c>
      <c r="N9" s="106" t="e">
        <f ca="1">EBlackScholesForward("v",G9,E9,F9,C9/365,C9/365,$I$2,H9)</f>
        <v>#VALUE!</v>
      </c>
      <c r="O9" s="106" t="e">
        <f ca="1">EBlackScholesForward("t",G9,E9,F9,C9/365,C9/365,$I$2,H9)</f>
        <v>#VALUE!</v>
      </c>
      <c r="P9" s="103"/>
      <c r="Q9" s="106" t="e">
        <f ca="1">EBlackScholesForward("p",$G9,$E9,$F9,$C9/365,$C9/365,$I$2,$I9)</f>
        <v>#VALUE!</v>
      </c>
      <c r="R9" s="107" t="e">
        <f ca="1">EBlackScholesForward("d",$G9,$E9,$F9,$C9/365,$C9/365,$I$2,$I9)</f>
        <v>#VALUE!</v>
      </c>
      <c r="S9" s="106" t="e">
        <f ca="1">EBlackScholesForward("g",$G9,$E9,$F9,$C9/365,$C9/365,$I$2,$I9)</f>
        <v>#VALUE!</v>
      </c>
      <c r="T9" s="106" t="e">
        <f ca="1">EBlackScholesForward("v",$G9,$E9,$F9,$C9/365,$C9/365,$I$2,$I9)</f>
        <v>#VALUE!</v>
      </c>
      <c r="U9" s="106" t="e">
        <f ca="1">EBlackScholesForward("t",$G9,$E9,$F9,$C9/365,$C9/365,$I$2,$I9)</f>
        <v>#VALUE!</v>
      </c>
    </row>
    <row r="10" spans="1:251" ht="12.75">
      <c r="B10" s="96">
        <f ca="1">B9</f>
        <v>40521</v>
      </c>
      <c r="C10" s="97">
        <f ca="1">B10-TODAY()</f>
        <v>-551</v>
      </c>
      <c r="D10" s="98">
        <f ca="1">B10+30</f>
        <v>40551</v>
      </c>
      <c r="E10" s="99">
        <f ca="1">E9</f>
        <v>45.5</v>
      </c>
      <c r="F10" s="99">
        <v>46</v>
      </c>
      <c r="G10" s="114" t="s">
        <v>82</v>
      </c>
      <c r="H10" s="115">
        <v>0.17699999999999999</v>
      </c>
      <c r="I10" s="115">
        <v>0.17899999999999999</v>
      </c>
      <c r="J10" s="103"/>
      <c r="K10" s="104" t="e">
        <f ca="1">EBlackScholesForward("p",$G10,$E10,$F10,$C10/365,$C10/365,$I$2,H10)</f>
        <v>#VALUE!</v>
      </c>
      <c r="L10" s="118" t="e">
        <f ca="1">EBlackScholesForward("d",G10,E10,F10,C10/365,C10/365,$I$2,H10)</f>
        <v>#VALUE!</v>
      </c>
      <c r="M10" s="104" t="e">
        <f ca="1">EBlackScholesForward("g",G10,E10,F10,C10/365,C10/365,$I$2,H10)</f>
        <v>#VALUE!</v>
      </c>
      <c r="N10" s="104" t="e">
        <f ca="1">EBlackScholesForward("v",G10,E10,F10,C10/365,C10/365,$I$2,H10)</f>
        <v>#VALUE!</v>
      </c>
      <c r="O10" s="104" t="e">
        <f ca="1">EBlackScholesForward("t",G10,E10,F10,C10/365,C10/365,$I$2,H10)</f>
        <v>#VALUE!</v>
      </c>
      <c r="P10" s="103"/>
      <c r="Q10" s="104" t="e">
        <f ca="1">EBlackScholesForward("p",$G10,$E10,$F10,$C10/365,$C10/365,$I$2,$I10)</f>
        <v>#VALUE!</v>
      </c>
      <c r="R10" s="105" t="e">
        <f ca="1">EBlackScholesForward("d",$G10,$E10,$F10,$C10/365,$C10/365,$I$2,$I10)</f>
        <v>#VALUE!</v>
      </c>
      <c r="S10" s="104" t="e">
        <f ca="1">EBlackScholesForward("g",$G10,$E10,$F10,$C10/365,$C10/365,$I$2,$I10)</f>
        <v>#VALUE!</v>
      </c>
      <c r="T10" s="104" t="e">
        <f ca="1">EBlackScholesForward("v",$G10,$E10,$F10,$C10/365,$C10/365,$I$2,$I10)</f>
        <v>#VALUE!</v>
      </c>
      <c r="U10" s="104" t="e">
        <f ca="1">EBlackScholesForward("t",$G10,$E10,$F10,$C10/365,$C10/365,$I$2,$I10)</f>
        <v>#VALUE!</v>
      </c>
    </row>
    <row r="11" spans="1:251" ht="12.75">
      <c r="B11" s="92" t="s">
        <v>36</v>
      </c>
      <c r="C11" s="103"/>
      <c r="D11" s="103"/>
      <c r="E11" s="108"/>
      <c r="F11" s="108"/>
      <c r="G11" s="109"/>
      <c r="H11" s="108"/>
      <c r="I11" s="108"/>
      <c r="J11" s="103"/>
      <c r="K11" s="122"/>
      <c r="L11" s="103"/>
      <c r="M11" s="103"/>
      <c r="N11" s="103"/>
      <c r="O11" s="103"/>
      <c r="P11" s="103"/>
      <c r="Q11" s="117"/>
      <c r="R11" s="103"/>
      <c r="S11" s="103"/>
      <c r="T11" s="103"/>
      <c r="U11" s="103"/>
    </row>
    <row r="12" spans="1:251" ht="12.75">
      <c r="A12" s="3"/>
      <c r="B12" s="96">
        <f ca="1">VLOOKUP($B$11,'DEPower Expiry Dates'!A4:F42,4,FALSE)</f>
        <v>40521</v>
      </c>
      <c r="C12" s="97">
        <f ca="1">B12-TODAY()</f>
        <v>-551</v>
      </c>
      <c r="D12" s="98">
        <f ca="1">B12+30</f>
        <v>40551</v>
      </c>
      <c r="E12" s="100">
        <f ca="1">E10</f>
        <v>45.5</v>
      </c>
      <c r="F12" s="100">
        <v>50</v>
      </c>
      <c r="G12" s="101" t="s">
        <v>82</v>
      </c>
      <c r="H12" s="102">
        <v>0.17699999999999999</v>
      </c>
      <c r="I12" s="102">
        <v>0.189</v>
      </c>
      <c r="J12" s="103"/>
      <c r="K12" s="104" t="e">
        <f ca="1">EBlackScholesForward("p",$G12,$E12,$F12,$C12/365,$C12/365,$I$2,H12)</f>
        <v>#VALUE!</v>
      </c>
      <c r="L12" s="105" t="e">
        <f ca="1">EBlackScholesForward("d",G12,E12,F12,C12/365,C12/365,$I$2,H12)</f>
        <v>#VALUE!</v>
      </c>
      <c r="M12" s="104" t="e">
        <f ca="1">EBlackScholesForward("g",G12,E12,F12,C12/365,C12/365,$I$2,H12)</f>
        <v>#VALUE!</v>
      </c>
      <c r="N12" s="104" t="e">
        <f ca="1">EBlackScholesForward("v",G12,E12,F12,C12/365,C12/365,$I$2,H12)</f>
        <v>#VALUE!</v>
      </c>
      <c r="O12" s="104" t="e">
        <f ca="1">EBlackScholesForward("t",G12,E12,F12,C12/365,C12/365,$I$2,H12)</f>
        <v>#VALUE!</v>
      </c>
      <c r="P12" s="103"/>
      <c r="Q12" s="104" t="e">
        <f ca="1">EBlackScholesForward("p",$G12,$E12,$F12,$C12/365,$C12/365,$I$2,$I12)</f>
        <v>#VALUE!</v>
      </c>
      <c r="R12" s="118" t="e">
        <f ca="1">EBlackScholesForward("d",$G12,$E12,$F12,$C12/365,$C12/365,$I$2,$I12)</f>
        <v>#VALUE!</v>
      </c>
      <c r="S12" s="104" t="e">
        <f ca="1">EBlackScholesForward("g",$G12,$E12,$F12,$C12/365,$C12/365,$I$2,$I12)</f>
        <v>#VALUE!</v>
      </c>
      <c r="T12" s="104" t="e">
        <f ca="1">EBlackScholesForward("v",$G12,$E12,$F12,$C12/365,$C12/365,$I$2,$I12)</f>
        <v>#VALUE!</v>
      </c>
      <c r="U12" s="104" t="e">
        <f ca="1">EBlackScholesForward("t",$G12,$E12,$F12,$C12/365,$C12/365,$I$2,$I12)</f>
        <v>#VALUE!</v>
      </c>
    </row>
    <row r="13" spans="1:251" ht="12.75">
      <c r="B13" s="96">
        <f ca="1">B12</f>
        <v>40521</v>
      </c>
      <c r="C13" s="97">
        <f ca="1">B13-TODAY()</f>
        <v>-551</v>
      </c>
      <c r="D13" s="98">
        <f ca="1">B13+30</f>
        <v>40551</v>
      </c>
      <c r="E13" s="100">
        <f ca="1">E12</f>
        <v>45.5</v>
      </c>
      <c r="F13" s="100">
        <v>45</v>
      </c>
      <c r="G13" s="101" t="s">
        <v>82</v>
      </c>
      <c r="H13" s="102">
        <v>0.23799999999999999</v>
      </c>
      <c r="I13" s="102">
        <v>0.25</v>
      </c>
      <c r="J13" s="103"/>
      <c r="K13" s="106" t="e">
        <f ca="1">EBlackScholesForward("p",$G13,$E13,$F13,$C13/365,$C13/365,$I$2,H13)</f>
        <v>#VALUE!</v>
      </c>
      <c r="L13" s="107" t="e">
        <f ca="1">EBlackScholesForward("d",G13,E13,F13,C13/365,C13/365,$I$2,H13)</f>
        <v>#VALUE!</v>
      </c>
      <c r="M13" s="106" t="e">
        <f ca="1">EBlackScholesForward("g",G13,E13,F13,C13/365,C13/365,$I$2,H13)</f>
        <v>#VALUE!</v>
      </c>
      <c r="N13" s="106" t="e">
        <f ca="1">EBlackScholesForward("v",G13,E13,F13,C13/365,C13/365,$I$2,H13)</f>
        <v>#VALUE!</v>
      </c>
      <c r="O13" s="106" t="e">
        <f ca="1">EBlackScholesForward("t",G13,E13,F13,C13/365,C13/365,$I$2,H13)</f>
        <v>#VALUE!</v>
      </c>
      <c r="P13" s="103"/>
      <c r="Q13" s="106" t="e">
        <f ca="1">EBlackScholesForward("p",$G13,$E13,$F13,$C13/365,$C13/365,$I$2,$I13)</f>
        <v>#VALUE!</v>
      </c>
      <c r="R13" s="107" t="e">
        <f ca="1">EBlackScholesForward("d",$G13,$E13,$F13,$C13/365,$C13/365,$I$2,$I13)</f>
        <v>#VALUE!</v>
      </c>
      <c r="S13" s="106" t="e">
        <f ca="1">EBlackScholesForward("g",$G13,$E13,$F13,$C13/365,$C13/365,$I$2,$I13)</f>
        <v>#VALUE!</v>
      </c>
      <c r="T13" s="106" t="e">
        <f ca="1">EBlackScholesForward("v",$G13,$E13,$F13,$C13/365,$C13/365,$I$2,$I13)</f>
        <v>#VALUE!</v>
      </c>
      <c r="U13" s="106" t="e">
        <f ca="1">EBlackScholesForward("t",$G13,$E13,$F13,$C13/365,$C13/365,$I$2,$I13)</f>
        <v>#VALUE!</v>
      </c>
    </row>
    <row r="14" spans="1:251" ht="12.75">
      <c r="B14" s="96">
        <f ca="1">B13</f>
        <v>40521</v>
      </c>
      <c r="C14" s="97">
        <f ca="1">B14-TODAY()</f>
        <v>-551</v>
      </c>
      <c r="D14" s="98">
        <f ca="1">B14+30</f>
        <v>40551</v>
      </c>
      <c r="E14" s="100">
        <f ca="1">E13</f>
        <v>45.5</v>
      </c>
      <c r="F14" s="100">
        <v>47</v>
      </c>
      <c r="G14" s="101" t="s">
        <v>80</v>
      </c>
      <c r="H14" s="102">
        <v>0.18</v>
      </c>
      <c r="I14" s="102">
        <v>0.19500000000000001</v>
      </c>
      <c r="J14" s="103"/>
      <c r="K14" s="104" t="e">
        <f ca="1">EBlackScholesForward("p",$G14,$E14,$F14,$C14/365,$C14/365,$I$2,H14)</f>
        <v>#VALUE!</v>
      </c>
      <c r="L14" s="105" t="e">
        <f ca="1">EBlackScholesForward("d",G14,E14,F14,C14/365,C14/365,$I$2,H14)</f>
        <v>#VALUE!</v>
      </c>
      <c r="M14" s="104" t="e">
        <f ca="1">EBlackScholesForward("g",G14,E14,F14,C14/365,C14/365,$I$2,H14)</f>
        <v>#VALUE!</v>
      </c>
      <c r="N14" s="104" t="e">
        <f ca="1">EBlackScholesForward("v",G14,E14,F14,C14/365,C14/365,$I$2,H14)</f>
        <v>#VALUE!</v>
      </c>
      <c r="O14" s="104" t="e">
        <f ca="1">EBlackScholesForward("t",G14,E14,F14,C14/365,C14/365,$I$2,H14)</f>
        <v>#VALUE!</v>
      </c>
      <c r="P14" s="103"/>
      <c r="Q14" s="104" t="e">
        <f ca="1">EBlackScholesForward("p",$G14,$E14,$F14,$C14/365,$C14/365,$I$2,$I14)</f>
        <v>#VALUE!</v>
      </c>
      <c r="R14" s="105" t="e">
        <f ca="1">EBlackScholesForward("d",$G14,$E14,$F14,$C14/365,$C14/365,$I$2,$I14)</f>
        <v>#VALUE!</v>
      </c>
      <c r="S14" s="104" t="e">
        <f ca="1">EBlackScholesForward("g",$G14,$E14,$F14,$C14/365,$C14/365,$I$2,$I14)</f>
        <v>#VALUE!</v>
      </c>
      <c r="T14" s="104" t="e">
        <f ca="1">EBlackScholesForward("v",$G14,$E14,$F14,$C14/365,$C14/365,$I$2,$I14)</f>
        <v>#VALUE!</v>
      </c>
      <c r="U14" s="104" t="e">
        <f ca="1">EBlackScholesForward("t",$G14,$E14,$F14,$C14/365,$C14/365,$I$2,$I14)</f>
        <v>#VALUE!</v>
      </c>
    </row>
    <row r="15" spans="1:251" ht="12.75">
      <c r="B15" s="96">
        <f ca="1">B14</f>
        <v>40521</v>
      </c>
      <c r="C15" s="97">
        <f ca="1">B15-TODAY()</f>
        <v>-551</v>
      </c>
      <c r="D15" s="98">
        <f ca="1">B15+30</f>
        <v>40551</v>
      </c>
      <c r="E15" s="99">
        <f ca="1">E13</f>
        <v>45.5</v>
      </c>
      <c r="F15" s="99">
        <v>51</v>
      </c>
      <c r="G15" s="114" t="s">
        <v>82</v>
      </c>
      <c r="H15" s="115">
        <v>0.183</v>
      </c>
      <c r="I15" s="115">
        <v>0.19350000000000001</v>
      </c>
      <c r="J15" s="103"/>
      <c r="K15" s="106" t="e">
        <f ca="1">EBlackScholesForward("p",$G15,$E15,$F15,$C15/365,$C15/365,$I$2,H15)</f>
        <v>#VALUE!</v>
      </c>
      <c r="L15" s="107" t="e">
        <f ca="1">EBlackScholesForward("d",G15,E15,F15,C15/365,C15/365,$I$2,H15)</f>
        <v>#VALUE!</v>
      </c>
      <c r="M15" s="106" t="e">
        <f ca="1">EBlackScholesForward("g",G15,E15,F15,C15/365,C15/365,$I$2,H15)</f>
        <v>#VALUE!</v>
      </c>
      <c r="N15" s="106" t="e">
        <f ca="1">EBlackScholesForward("v",G15,E15,F15,C15/365,C15/365,$I$2,H15)</f>
        <v>#VALUE!</v>
      </c>
      <c r="O15" s="106" t="e">
        <f ca="1">EBlackScholesForward("t",G15,E15,F15,C15/365,C15/365,$I$2,H15)</f>
        <v>#VALUE!</v>
      </c>
      <c r="P15" s="103"/>
      <c r="Q15" s="106" t="e">
        <f ca="1">EBlackScholesForward("p",$G15,$E15,$F15,$C15/365,$C15/365,$I$2,$I15)</f>
        <v>#VALUE!</v>
      </c>
      <c r="R15" s="107" t="e">
        <f ca="1">EBlackScholesForward("d",$G15,$E15,$F15,$C15/365,$C15/365,$I$2,$I15)</f>
        <v>#VALUE!</v>
      </c>
      <c r="S15" s="106" t="e">
        <f ca="1">EBlackScholesForward("g",$G15,$E15,$F15,$C15/365,$C15/365,$I$2,$I15)</f>
        <v>#VALUE!</v>
      </c>
      <c r="T15" s="106" t="e">
        <f ca="1">EBlackScholesForward("v",$G15,$E15,$F15,$C15/365,$C15/365,$I$2,$I15)</f>
        <v>#VALUE!</v>
      </c>
      <c r="U15" s="106" t="e">
        <f ca="1">EBlackScholesForward("t",$G15,$E15,$F15,$C15/365,$C15/365,$I$2,$I15)</f>
        <v>#VALUE!</v>
      </c>
    </row>
    <row r="16" spans="1:251" ht="15">
      <c r="B16" s="96">
        <f ca="1">B15</f>
        <v>40521</v>
      </c>
      <c r="C16" s="97">
        <f ca="1">B16-TODAY()</f>
        <v>-551</v>
      </c>
      <c r="D16" s="98">
        <f ca="1">B16+30</f>
        <v>40551</v>
      </c>
      <c r="E16" s="99">
        <f ca="1">E15</f>
        <v>45.5</v>
      </c>
      <c r="F16" s="99">
        <v>47</v>
      </c>
      <c r="G16" s="114" t="s">
        <v>82</v>
      </c>
      <c r="H16" s="115">
        <v>0.17499999999999999</v>
      </c>
      <c r="I16" s="115">
        <v>0.17499999999999999</v>
      </c>
      <c r="J16" s="103"/>
      <c r="K16" s="104" t="e">
        <f ca="1">EBlackScholesForward("p",$G16,$E16,$F16,$C16/365,$C16/365,$I$2,H16)</f>
        <v>#VALUE!</v>
      </c>
      <c r="L16" s="105" t="e">
        <f ca="1">EBlackScholesForward("d",G16,E16,F16,C16/365,C16/365,$I$2,H16)</f>
        <v>#VALUE!</v>
      </c>
      <c r="M16" s="104" t="e">
        <f ca="1">EBlackScholesForward("g",G16,E16,F16,C16/365,C16/365,$I$2,H16)</f>
        <v>#VALUE!</v>
      </c>
      <c r="N16" s="104" t="e">
        <f ca="1">EBlackScholesForward("v",G16,E16,F16,C16/365,C16/365,$I$2,H16)</f>
        <v>#VALUE!</v>
      </c>
      <c r="O16" s="104" t="e">
        <f ca="1">EBlackScholesForward("t",G16,E16,F16,C16/365,C16/365,$I$2,H16)</f>
        <v>#VALUE!</v>
      </c>
      <c r="P16" s="103"/>
      <c r="Q16" s="104" t="e">
        <f ca="1">EBlackScholesForward("p",$G16,$E16,$F16,$C16/365,$C16/365,$I$2,$I16)</f>
        <v>#VALUE!</v>
      </c>
      <c r="R16" s="105" t="e">
        <f ca="1">EBlackScholesForward("d",$G16,$E16,$F16,$C16/365,$C16/365,$I$2,$I16)</f>
        <v>#VALUE!</v>
      </c>
      <c r="S16" s="104" t="e">
        <f ca="1">EBlackScholesForward("g",$G16,$E16,$F16,$C16/365,$C16/365,$I$2,$I16)</f>
        <v>#VALUE!</v>
      </c>
      <c r="T16" s="104" t="e">
        <f ca="1">EBlackScholesForward("v",$G16,$E16,$F16,$C16/365,$C16/365,$I$2,$I16)</f>
        <v>#VALUE!</v>
      </c>
      <c r="U16" s="104" t="e">
        <f ca="1">EBlackScholesForward("t",$G16,$E16,$F16,$C16/365,$C16/365,$I$2,$I16)</f>
        <v>#VALUE!</v>
      </c>
      <c r="V16" s="112"/>
      <c r="W16" s="113"/>
    </row>
    <row r="17" spans="2:21" ht="12.75">
      <c r="B17" s="92" t="s">
        <v>36</v>
      </c>
      <c r="C17" s="103"/>
      <c r="D17" s="103"/>
      <c r="E17" s="110"/>
      <c r="F17" s="110"/>
      <c r="G17" s="111"/>
      <c r="H17" s="110"/>
      <c r="I17" s="110"/>
      <c r="J17" s="103"/>
      <c r="K17" s="117" t="e">
        <f ca="1">K16-Q15*2</f>
        <v>#VALUE!</v>
      </c>
      <c r="L17" s="103"/>
      <c r="M17" s="103"/>
      <c r="N17" s="103"/>
      <c r="O17" s="103"/>
      <c r="P17" s="103"/>
      <c r="Q17" s="122" t="e">
        <f ca="1">Q16-K15*2</f>
        <v>#VALUE!</v>
      </c>
      <c r="R17" s="103"/>
      <c r="S17" s="103"/>
      <c r="T17" s="103"/>
      <c r="U17" s="103"/>
    </row>
    <row r="18" spans="2:21" ht="12.75">
      <c r="B18" s="96">
        <f ca="1">VLOOKUP($B$17,'DEPower Expiry Dates'!A4:F42,4,FALSE)</f>
        <v>40521</v>
      </c>
      <c r="C18" s="97">
        <f ca="1">B18-TODAY()</f>
        <v>-551</v>
      </c>
      <c r="D18" s="98">
        <f ca="1">B18+30</f>
        <v>40551</v>
      </c>
      <c r="E18" s="100">
        <f ca="1">E15</f>
        <v>45.5</v>
      </c>
      <c r="F18" s="100">
        <v>45</v>
      </c>
      <c r="G18" s="101" t="s">
        <v>80</v>
      </c>
      <c r="H18" s="102">
        <v>0.21</v>
      </c>
      <c r="I18" s="102">
        <v>0.215</v>
      </c>
      <c r="J18" s="103"/>
      <c r="K18" s="104" t="e">
        <f ca="1">EBlackScholesForward("p",$G18,$E18,$F18,$C18/365,$C18/365,$I$2,H18)</f>
        <v>#VALUE!</v>
      </c>
      <c r="L18" s="105" t="e">
        <f ca="1">EBlackScholesForward("d",G18,E18,F18,C18/365,C18/365,$I$2,H18)</f>
        <v>#VALUE!</v>
      </c>
      <c r="M18" s="104" t="e">
        <f ca="1">EBlackScholesForward("g",G18,E18,F18,C18/365,C18/365,$I$2,H18)</f>
        <v>#VALUE!</v>
      </c>
      <c r="N18" s="104" t="e">
        <f ca="1">EBlackScholesForward("v",G18,E18,F18,C18/365,C18/365,$I$2,H18)</f>
        <v>#VALUE!</v>
      </c>
      <c r="O18" s="104" t="e">
        <f ca="1">EBlackScholesForward("t",G18,E18,F18,C18/365,C18/365,$I$2,H18)</f>
        <v>#VALUE!</v>
      </c>
      <c r="P18" s="103"/>
      <c r="Q18" s="104" t="e">
        <f ca="1">EBlackScholesForward("p",$G18,$E18,$F18,$C18/365,$C18/365,$I$2,$I18)</f>
        <v>#VALUE!</v>
      </c>
      <c r="R18" s="105" t="e">
        <f ca="1">EBlackScholesForward("d",$G18,$E18,$F18,$C18/365,$C18/365,$I$2,$I18)</f>
        <v>#VALUE!</v>
      </c>
      <c r="S18" s="104" t="e">
        <f ca="1">EBlackScholesForward("g",$G18,$E18,$F18,$C18/365,$C18/365,$I$2,$I18)</f>
        <v>#VALUE!</v>
      </c>
      <c r="T18" s="104" t="e">
        <f ca="1">EBlackScholesForward("v",$G18,$E18,$F18,$C18/365,$C18/365,$I$2,$I18)</f>
        <v>#VALUE!</v>
      </c>
      <c r="U18" s="104" t="e">
        <f ca="1">EBlackScholesForward("t",$G18,$E18,$F18,$C18/365,$C18/365,$I$2,$I18)</f>
        <v>#VALUE!</v>
      </c>
    </row>
    <row r="19" spans="2:21" ht="12.75">
      <c r="B19" s="96">
        <f ca="1">B18</f>
        <v>40521</v>
      </c>
      <c r="C19" s="97">
        <f ca="1">B19-TODAY()</f>
        <v>-551</v>
      </c>
      <c r="D19" s="98">
        <f ca="1">B19+30</f>
        <v>40551</v>
      </c>
      <c r="E19" s="100">
        <f ca="1">E18</f>
        <v>45.5</v>
      </c>
      <c r="F19" s="100">
        <v>51</v>
      </c>
      <c r="G19" s="101" t="s">
        <v>82</v>
      </c>
      <c r="H19" s="102">
        <v>0.2175</v>
      </c>
      <c r="I19" s="102">
        <v>0.2175</v>
      </c>
      <c r="J19" s="103"/>
      <c r="K19" s="106" t="e">
        <f ca="1">EBlackScholesForward("p",$G19,$E19,$F19,$C19/365,$C19/365,$I$2,H19)</f>
        <v>#VALUE!</v>
      </c>
      <c r="L19" s="107" t="e">
        <f ca="1">EBlackScholesForward("d",G19,E19,F19,C19/365,C19/365,$I$2,H19)</f>
        <v>#VALUE!</v>
      </c>
      <c r="M19" s="106" t="e">
        <f ca="1">EBlackScholesForward("g",G19,E19,F19,C19/365,C19/365,$I$2,H19)</f>
        <v>#VALUE!</v>
      </c>
      <c r="N19" s="106" t="e">
        <f ca="1">EBlackScholesForward("v",G19,E19,F19,C19/365,C19/365,$I$2,H19)</f>
        <v>#VALUE!</v>
      </c>
      <c r="O19" s="106" t="e">
        <f ca="1">EBlackScholesForward("t",G19,E19,F19,C19/365,C19/365,$I$2,H19)</f>
        <v>#VALUE!</v>
      </c>
      <c r="P19" s="103"/>
      <c r="Q19" s="106" t="e">
        <f ca="1">EBlackScholesForward("p",$G19,$E19,$F19,$C19/365,$C19/365,$I$2,$I19)</f>
        <v>#VALUE!</v>
      </c>
      <c r="R19" s="107" t="e">
        <f ca="1">EBlackScholesForward("d",$G19,$E19,$F19,$C19/365,$C19/365,$I$2,$I19)</f>
        <v>#VALUE!</v>
      </c>
      <c r="S19" s="106" t="e">
        <f ca="1">EBlackScholesForward("g",$G19,$E19,$F19,$C19/365,$C19/365,$I$2,$I19)</f>
        <v>#VALUE!</v>
      </c>
      <c r="T19" s="106" t="e">
        <f ca="1">EBlackScholesForward("v",$G19,$E19,$F19,$C19/365,$C19/365,$I$2,$I19)</f>
        <v>#VALUE!</v>
      </c>
      <c r="U19" s="106" t="e">
        <f ca="1">EBlackScholesForward("t",$G19,$E19,$F19,$C19/365,$C19/365,$I$2,$I19)</f>
        <v>#VALUE!</v>
      </c>
    </row>
    <row r="20" spans="2:21" ht="12.75">
      <c r="B20" s="96">
        <f ca="1">B19</f>
        <v>40521</v>
      </c>
      <c r="C20" s="97">
        <f ca="1">B20-TODAY()</f>
        <v>-551</v>
      </c>
      <c r="D20" s="98">
        <f ca="1">B20+30</f>
        <v>40551</v>
      </c>
      <c r="E20" s="100">
        <f ca="1">E19</f>
        <v>45.5</v>
      </c>
      <c r="F20" s="100">
        <v>45</v>
      </c>
      <c r="G20" s="101" t="s">
        <v>80</v>
      </c>
      <c r="H20" s="102">
        <v>0.17</v>
      </c>
      <c r="I20" s="102">
        <v>0.19</v>
      </c>
      <c r="J20" s="103"/>
      <c r="K20" s="104" t="e">
        <f ca="1">EBlackScholesForward("p",$G20,$E20,$F20,$C20/365,$C20/365,$I$2,H20)</f>
        <v>#VALUE!</v>
      </c>
      <c r="L20" s="105" t="e">
        <f ca="1">EBlackScholesForward("d",G20,E20,F20,C20/365,C20/365,$I$2,H20)</f>
        <v>#VALUE!</v>
      </c>
      <c r="M20" s="104" t="e">
        <f ca="1">EBlackScholesForward("g",G20,E20,F20,C20/365,C20/365,$I$2,H20)</f>
        <v>#VALUE!</v>
      </c>
      <c r="N20" s="104" t="e">
        <f ca="1">EBlackScholesForward("v",G20,E20,F20,C20/365,C20/365,$I$2,H20)</f>
        <v>#VALUE!</v>
      </c>
      <c r="O20" s="104" t="e">
        <f ca="1">EBlackScholesForward("t",G20,E20,F20,C20/365,C20/365,$I$2,H20)</f>
        <v>#VALUE!</v>
      </c>
      <c r="P20" s="103"/>
      <c r="Q20" s="104" t="e">
        <f ca="1">EBlackScholesForward("p",$G20,$E20,$F20,$C20/365,$C20/365,$I$2,$I20)</f>
        <v>#VALUE!</v>
      </c>
      <c r="R20" s="105" t="e">
        <f ca="1">EBlackScholesForward("d",$G20,$E20,$F20,$C20/365,$C20/365,$I$2,$I20)</f>
        <v>#VALUE!</v>
      </c>
      <c r="S20" s="104" t="e">
        <f ca="1">EBlackScholesForward("g",$G20,$E20,$F20,$C20/365,$C20/365,$I$2,$I20)</f>
        <v>#VALUE!</v>
      </c>
      <c r="T20" s="104" t="e">
        <f ca="1">EBlackScholesForward("v",$G20,$E20,$F20,$C20/365,$C20/365,$I$2,$I20)</f>
        <v>#VALUE!</v>
      </c>
      <c r="U20" s="104" t="e">
        <f ca="1">EBlackScholesForward("t",$G20,$E20,$F20,$C20/365,$C20/365,$I$2,$I20)</f>
        <v>#VALUE!</v>
      </c>
    </row>
    <row r="21" spans="2:21" ht="12.75">
      <c r="B21" s="96">
        <f ca="1">B20</f>
        <v>40521</v>
      </c>
      <c r="C21" s="97">
        <f ca="1">B21-TODAY()</f>
        <v>-551</v>
      </c>
      <c r="D21" s="98">
        <f ca="1">B21+30</f>
        <v>40551</v>
      </c>
      <c r="E21" s="100">
        <f ca="1">E20</f>
        <v>45.5</v>
      </c>
      <c r="F21" s="100">
        <v>51</v>
      </c>
      <c r="G21" s="101" t="s">
        <v>82</v>
      </c>
      <c r="H21" s="102">
        <v>0.1825</v>
      </c>
      <c r="I21" s="102">
        <v>0.1825</v>
      </c>
      <c r="J21" s="103"/>
      <c r="K21" s="106" t="e">
        <f ca="1">EBlackScholesForward("p",$G21,$E21,$F21,$C21/365,$C21/365,$I$2,H21)</f>
        <v>#VALUE!</v>
      </c>
      <c r="L21" s="120" t="e">
        <f ca="1">EBlackScholesForward("d",G21,E21,F21,C21/365,C21/365,$I$2,H21)</f>
        <v>#VALUE!</v>
      </c>
      <c r="M21" s="106" t="e">
        <f ca="1">EBlackScholesForward("g",G21,E21,F21,C21/365,C21/365,$I$2,H21)</f>
        <v>#VALUE!</v>
      </c>
      <c r="N21" s="106" t="e">
        <f ca="1">EBlackScholesForward("v",G21,E21,F21,C21/365,C21/365,$I$2,H21)</f>
        <v>#VALUE!</v>
      </c>
      <c r="O21" s="106" t="e">
        <f ca="1">EBlackScholesForward("t",G21,E21,F21,C21/365,C21/365,$I$2,H21)</f>
        <v>#VALUE!</v>
      </c>
      <c r="P21" s="103"/>
      <c r="Q21" s="123" t="e">
        <f ca="1">EBlackScholesForward("p",$G21,$E21,$F21,$C21/365,$C21/365,$I$2,$I21)</f>
        <v>#VALUE!</v>
      </c>
      <c r="R21" s="120" t="e">
        <f ca="1">EBlackScholesForward("d",$G21,$E21,$F21,$C21/365,$C21/365,$I$2,$I21)</f>
        <v>#VALUE!</v>
      </c>
      <c r="S21" s="106" t="e">
        <f ca="1">EBlackScholesForward("g",$G21,$E21,$F21,$C21/365,$C21/365,$I$2,$I21)</f>
        <v>#VALUE!</v>
      </c>
      <c r="T21" s="106" t="e">
        <f ca="1">EBlackScholesForward("v",$G21,$E21,$F21,$C21/365,$C21/365,$I$2,$I21)</f>
        <v>#VALUE!</v>
      </c>
      <c r="U21" s="106" t="e">
        <f ca="1">EBlackScholesForward("t",$G21,$E21,$F21,$C21/365,$C21/365,$I$2,$I21)</f>
        <v>#VALUE!</v>
      </c>
    </row>
    <row r="22" spans="2:21" ht="12.75">
      <c r="B22" s="128">
        <v>40885</v>
      </c>
      <c r="C22" s="129">
        <f ca="1">B22-TODAY()</f>
        <v>-187</v>
      </c>
      <c r="D22" s="130">
        <f ca="1">B22+30</f>
        <v>40915</v>
      </c>
      <c r="E22" s="131">
        <v>50.3</v>
      </c>
      <c r="F22" s="131">
        <v>55</v>
      </c>
      <c r="G22" s="132" t="s">
        <v>82</v>
      </c>
      <c r="H22" s="133">
        <v>0.17749999999999999</v>
      </c>
      <c r="I22" s="133">
        <v>0.1865</v>
      </c>
      <c r="J22" s="103"/>
      <c r="K22" s="104" t="e">
        <f ca="1">EBlackScholesForward("p",$G22,$E22,$F22,$C22/365,$C22/365,$N$2,H22)</f>
        <v>#VALUE!</v>
      </c>
      <c r="L22" s="118" t="e">
        <f ca="1">EBlackScholesForward("d",G22,E22,F22,C22/365,C22/365,$I$2,H22)</f>
        <v>#VALUE!</v>
      </c>
      <c r="M22" s="104" t="e">
        <f ca="1">EBlackScholesForward("g",G22,E22,F22,C22/365,C22/365,$I$2,H22)</f>
        <v>#VALUE!</v>
      </c>
      <c r="N22" s="104" t="e">
        <f ca="1">EBlackScholesForward("v",G22,E22,F22,C22/365,C22/365,$I$2,H22)</f>
        <v>#VALUE!</v>
      </c>
      <c r="O22" s="104" t="e">
        <f ca="1">EBlackScholesForward("t",G22,E22,F22,C22/365,C22/365,$I$2,H22)</f>
        <v>#VALUE!</v>
      </c>
      <c r="P22" s="103"/>
      <c r="Q22" s="104" t="e">
        <f ca="1">EBlackScholesForward("p",$G22,$E22,$F22,$C22/365,$C22/365,$N$2,$I22)</f>
        <v>#VALUE!</v>
      </c>
      <c r="R22" s="118" t="e">
        <f ca="1">EBlackScholesForward("d",$G22,$E22,$F22,$C22/365,$C22/365,$I$2,$I22)</f>
        <v>#VALUE!</v>
      </c>
      <c r="S22" s="104" t="e">
        <f ca="1">EBlackScholesForward("g",$G22,$E22,$F22,$C22/365,$C22/365,$I$2,$I22)</f>
        <v>#VALUE!</v>
      </c>
      <c r="T22" s="104" t="e">
        <f ca="1">EBlackScholesForward("v",$G22,$E22,$F22,$C22/365,$C22/365,$I$2,$I22)</f>
        <v>#VALUE!</v>
      </c>
      <c r="U22" s="104" t="e">
        <f ca="1">EBlackScholesForward("t",$G22,$E22,$F22,$C22/365,$C22/365,$I$2,$I22)</f>
        <v>#VALUE!</v>
      </c>
    </row>
    <row r="23" spans="2:21" ht="12.75">
      <c r="B23" s="92" t="s">
        <v>83</v>
      </c>
      <c r="C23" s="119"/>
      <c r="D23" s="119"/>
      <c r="E23" s="110"/>
      <c r="F23" s="110"/>
      <c r="G23" s="111"/>
      <c r="H23" s="110"/>
      <c r="I23" s="110"/>
      <c r="J23" s="103"/>
      <c r="K23" s="117" t="e">
        <f ca="1">K22-Q21</f>
        <v>#VALUE!</v>
      </c>
      <c r="L23" s="103"/>
      <c r="M23" s="103"/>
      <c r="N23" s="103"/>
      <c r="O23" s="103"/>
      <c r="P23" s="103"/>
      <c r="Q23" s="117" t="e">
        <f ca="1">Q22-K21</f>
        <v>#VALUE!</v>
      </c>
      <c r="R23" s="103"/>
      <c r="S23" s="103"/>
      <c r="T23" s="103"/>
      <c r="U23" s="103"/>
    </row>
    <row r="24" spans="2:21" ht="12.75">
      <c r="B24" s="96">
        <v>40263</v>
      </c>
      <c r="C24" s="97">
        <f ca="1">B24-TODAY()</f>
        <v>-809</v>
      </c>
      <c r="D24" s="98">
        <f ca="1">B24+30</f>
        <v>40293</v>
      </c>
      <c r="E24" s="100">
        <f ca="1">E21</f>
        <v>45.5</v>
      </c>
      <c r="F24" s="100">
        <v>53</v>
      </c>
      <c r="G24" s="101" t="s">
        <v>82</v>
      </c>
      <c r="H24" s="102">
        <v>0.1925</v>
      </c>
      <c r="I24" s="102">
        <v>0.19600000000000001</v>
      </c>
      <c r="J24" s="103"/>
      <c r="K24" s="104" t="e">
        <f ca="1">EBlackScholesForward("p",$G24,$E24,$F24,$C24/365,$C24/365,$I$2,H24)</f>
        <v>#VALUE!</v>
      </c>
      <c r="L24" s="105" t="e">
        <f ca="1">EBlackScholesForward("d",G24,E24,F24,C24/365,C24/365,$I$2,H24)</f>
        <v>#VALUE!</v>
      </c>
      <c r="M24" s="104" t="e">
        <f ca="1">EBlackScholesForward("g",G24,E24,F24,C24/365,C24/365,$I$2,H24)</f>
        <v>#VALUE!</v>
      </c>
      <c r="N24" s="104" t="e">
        <f ca="1">EBlackScholesForward("v",G24,E24,F24,C24/365,C24/365,$I$2,H24)</f>
        <v>#VALUE!</v>
      </c>
      <c r="O24" s="104" t="e">
        <f ca="1">EBlackScholesForward("t",G24,E24,F24,C24/365,C24/365,$I$2,H24)</f>
        <v>#VALUE!</v>
      </c>
      <c r="P24" s="103"/>
      <c r="Q24" s="104" t="e">
        <f ca="1">EBlackScholesForward("p",$G24,$E24,$F24,$C24/365,$C24/365,$I$2,$I24)</f>
        <v>#VALUE!</v>
      </c>
      <c r="R24" s="105" t="e">
        <f ca="1">EBlackScholesForward("d",$G24,$E24,$F24,$C24/365,$C24/365,$I$2,$I24)</f>
        <v>#VALUE!</v>
      </c>
      <c r="S24" s="104" t="e">
        <f ca="1">EBlackScholesForward("g",$G24,$E24,$F24,$C24/365,$C24/365,$I$2,$I24)</f>
        <v>#VALUE!</v>
      </c>
      <c r="T24" s="104" t="e">
        <f ca="1">EBlackScholesForward("v",$G24,$E24,$F24,$C24/365,$C24/365,$I$2,$I24)</f>
        <v>#VALUE!</v>
      </c>
      <c r="U24" s="104" t="e">
        <f ca="1">EBlackScholesForward("t",$G24,$E24,$F24,$C24/365,$C24/365,$I$2,$I24)</f>
        <v>#VALUE!</v>
      </c>
    </row>
    <row r="25" spans="2:21" ht="12.75">
      <c r="B25" s="96">
        <f ca="1">B24</f>
        <v>40263</v>
      </c>
      <c r="C25" s="97">
        <f ca="1">B25-TODAY()</f>
        <v>-809</v>
      </c>
      <c r="D25" s="98">
        <f ca="1">B25+30</f>
        <v>40293</v>
      </c>
      <c r="E25" s="100">
        <f ca="1">E24</f>
        <v>45.5</v>
      </c>
      <c r="F25" s="100">
        <v>50</v>
      </c>
      <c r="G25" s="101" t="s">
        <v>82</v>
      </c>
      <c r="H25" s="102">
        <v>0.17749999999999999</v>
      </c>
      <c r="I25" s="102">
        <v>0.20250000000000001</v>
      </c>
      <c r="J25" s="103"/>
      <c r="K25" s="106" t="e">
        <f ca="1">EBlackScholesForward("p",$G25,$E25,$F25,$C25/365,$C25/365,$I$2,H25)</f>
        <v>#VALUE!</v>
      </c>
      <c r="L25" s="107" t="e">
        <f ca="1">EBlackScholesForward("d",G25,E25,F25,C25/365,C25/365,$I$2,H25)</f>
        <v>#VALUE!</v>
      </c>
      <c r="M25" s="106" t="e">
        <f ca="1">EBlackScholesForward("g",G25,E25,F25,C25/365,C25/365,$I$2,H25)</f>
        <v>#VALUE!</v>
      </c>
      <c r="N25" s="106" t="e">
        <f ca="1">EBlackScholesForward("v",G25,E25,F25,C25/365,C25/365,$I$2,H25)</f>
        <v>#VALUE!</v>
      </c>
      <c r="O25" s="106" t="e">
        <f ca="1">EBlackScholesForward("t",G25,E25,F25,C25/365,C25/365,$I$2,H25)</f>
        <v>#VALUE!</v>
      </c>
      <c r="P25" s="103"/>
      <c r="Q25" s="106" t="e">
        <f ca="1">EBlackScholesForward("p",$G25,$E25,$F25,$C25/365,$C25/365,$I$2,$I25)</f>
        <v>#VALUE!</v>
      </c>
      <c r="R25" s="107" t="e">
        <f ca="1">EBlackScholesForward("d",$G25,$E25,$F25,$C25/365,$C25/365,$I$2,$I25)</f>
        <v>#VALUE!</v>
      </c>
      <c r="S25" s="106" t="e">
        <f ca="1">EBlackScholesForward("g",$G25,$E25,$F25,$C25/365,$C25/365,$I$2,$I25)</f>
        <v>#VALUE!</v>
      </c>
      <c r="T25" s="106" t="e">
        <f ca="1">EBlackScholesForward("v",$G25,$E25,$F25,$C25/365,$C25/365,$I$2,$I25)</f>
        <v>#VALUE!</v>
      </c>
      <c r="U25" s="106" t="e">
        <f ca="1">EBlackScholesForward("t",$G25,$E25,$F25,$C25/365,$C25/365,$I$2,$I25)</f>
        <v>#VALUE!</v>
      </c>
    </row>
    <row r="26" spans="2:21" ht="12.75">
      <c r="B26" s="96">
        <f ca="1">B25</f>
        <v>40263</v>
      </c>
      <c r="C26" s="97">
        <f ca="1">B26-TODAY()</f>
        <v>-809</v>
      </c>
      <c r="D26" s="98">
        <f ca="1">B26+30</f>
        <v>40293</v>
      </c>
      <c r="E26" s="100">
        <f ca="1">E25</f>
        <v>45.5</v>
      </c>
      <c r="F26" s="100">
        <v>47</v>
      </c>
      <c r="G26" s="101" t="str">
        <f ca="1">IF(F26&gt;=E26,"c","p")</f>
        <v>c</v>
      </c>
      <c r="H26" s="102">
        <v>0.16</v>
      </c>
      <c r="I26" s="102">
        <v>0.19</v>
      </c>
      <c r="J26" s="103"/>
      <c r="K26" s="104" t="e">
        <f ca="1">EBlackScholesForward("p",$G26,$E26,$F26,$C26/365,$C26/365,$I$2,H26)</f>
        <v>#VALUE!</v>
      </c>
      <c r="L26" s="105" t="e">
        <f ca="1">EBlackScholesForward("d",G26,E26,F26,C26/365,C26/365,$I$2,H26)</f>
        <v>#VALUE!</v>
      </c>
      <c r="M26" s="104" t="e">
        <f ca="1">EBlackScholesForward("g",G26,E26,F26,C26/365,C26/365,$I$2,H26)</f>
        <v>#VALUE!</v>
      </c>
      <c r="N26" s="104" t="e">
        <f ca="1">EBlackScholesForward("v",G26,E26,F26,C26/365,C26/365,$I$2,H26)</f>
        <v>#VALUE!</v>
      </c>
      <c r="O26" s="104" t="e">
        <f ca="1">EBlackScholesForward("t",G26,E26,F26,C26/365,C26/365,$I$2,H26)</f>
        <v>#VALUE!</v>
      </c>
      <c r="P26" s="103"/>
      <c r="Q26" s="104" t="e">
        <f ca="1">EBlackScholesForward("p",$G26,$E26,$F26,$C26/365,$C26/365,$I$2,$I26)</f>
        <v>#VALUE!</v>
      </c>
      <c r="R26" s="105" t="e">
        <f ca="1">EBlackScholesForward("d",$G26,$E26,$F26,$C26/365,$C26/365,$I$2,$I26)</f>
        <v>#VALUE!</v>
      </c>
      <c r="S26" s="104" t="e">
        <f ca="1">EBlackScholesForward("g",$G26,$E26,$F26,$C26/365,$C26/365,$I$2,$I26)</f>
        <v>#VALUE!</v>
      </c>
      <c r="T26" s="104" t="e">
        <f ca="1">EBlackScholesForward("v",$G26,$E26,$F26,$C26/365,$C26/365,$I$2,$I26)</f>
        <v>#VALUE!</v>
      </c>
      <c r="U26" s="104" t="e">
        <f ca="1">EBlackScholesForward("t",$G26,$E26,$F26,$C26/365,$C26/365,$I$2,$I26)</f>
        <v>#VALUE!</v>
      </c>
    </row>
    <row r="27" spans="2:21" ht="12.75">
      <c r="B27" s="96">
        <f ca="1">B26</f>
        <v>40263</v>
      </c>
      <c r="C27" s="97">
        <f ca="1">B27-TODAY()</f>
        <v>-809</v>
      </c>
      <c r="D27" s="98">
        <f ca="1">B27+30</f>
        <v>40293</v>
      </c>
      <c r="E27" s="100">
        <f ca="1">E26</f>
        <v>45.5</v>
      </c>
      <c r="F27" s="100">
        <v>47</v>
      </c>
      <c r="G27" s="101" t="s">
        <v>82</v>
      </c>
      <c r="H27" s="102">
        <v>0.16500000000000001</v>
      </c>
      <c r="I27" s="102">
        <v>0.185</v>
      </c>
      <c r="J27" s="103"/>
      <c r="K27" s="106" t="e">
        <f ca="1">EBlackScholesForward("p",$G27,$E27,$F27,$C27/365,$C27/365,$I$2,H27)</f>
        <v>#VALUE!</v>
      </c>
      <c r="L27" s="107" t="e">
        <f ca="1">EBlackScholesForward("d",G27,E27,F27,C27/365,C27/365,$I$2,H27)</f>
        <v>#VALUE!</v>
      </c>
      <c r="M27" s="106" t="e">
        <f ca="1">EBlackScholesForward("g",G27,E27,F27,C27/365,C27/365,$I$2,H27)</f>
        <v>#VALUE!</v>
      </c>
      <c r="N27" s="106" t="e">
        <f ca="1">EBlackScholesForward("v",G27,E27,F27,C27/365,C27/365,$I$2,H27)</f>
        <v>#VALUE!</v>
      </c>
      <c r="O27" s="106" t="e">
        <f ca="1">EBlackScholesForward("t",G27,E27,F27,C27/365,C27/365,$I$2,H27)</f>
        <v>#VALUE!</v>
      </c>
      <c r="P27" s="103"/>
      <c r="Q27" s="106" t="e">
        <f ca="1">EBlackScholesForward("p",$G27,$E27,$F27,$C27/365,$C27/365,$I$2,$I27)</f>
        <v>#VALUE!</v>
      </c>
      <c r="R27" s="107" t="e">
        <f ca="1">EBlackScholesForward("d",$G27,$E27,$F27,$C27/365,$C27/365,$I$2,$I27)</f>
        <v>#VALUE!</v>
      </c>
      <c r="S27" s="106" t="e">
        <f ca="1">EBlackScholesForward("g",$G27,$E27,$F27,$C27/365,$C27/365,$I$2,$I27)</f>
        <v>#VALUE!</v>
      </c>
      <c r="T27" s="106" t="e">
        <f ca="1">EBlackScholesForward("v",$G27,$E27,$F27,$C27/365,$C27/365,$I$2,$I27)</f>
        <v>#VALUE!</v>
      </c>
      <c r="U27" s="106" t="e">
        <f ca="1">EBlackScholesForward("t",$G27,$E27,$F27,$C27/365,$C27/365,$I$2,$I27)</f>
        <v>#VALUE!</v>
      </c>
    </row>
    <row r="28" spans="2:21" ht="12.75">
      <c r="B28" s="96">
        <f ca="1">B27</f>
        <v>40263</v>
      </c>
      <c r="C28" s="97">
        <f ca="1">B28-TODAY()</f>
        <v>-809</v>
      </c>
      <c r="D28" s="98">
        <f ca="1">B28+30</f>
        <v>40293</v>
      </c>
      <c r="E28" s="100">
        <f ca="1">E27</f>
        <v>45.5</v>
      </c>
      <c r="F28" s="100">
        <v>45</v>
      </c>
      <c r="G28" s="101" t="s">
        <v>80</v>
      </c>
      <c r="H28" s="102">
        <v>0.18</v>
      </c>
      <c r="I28" s="102">
        <v>0.18</v>
      </c>
      <c r="J28" s="103"/>
      <c r="K28" s="104" t="e">
        <f ca="1">EBlackScholesForward("p",$G28,$E28,$F28,$C28/365,$C28/365,$I$2,H28)</f>
        <v>#VALUE!</v>
      </c>
      <c r="L28" s="105" t="e">
        <f ca="1">EBlackScholesForward("d",G28,E28,F28,C28/365,C28/365,$I$2,H28)</f>
        <v>#VALUE!</v>
      </c>
      <c r="M28" s="104" t="e">
        <f ca="1">EBlackScholesForward("g",G28,E28,F28,C28/365,C28/365,$I$2,H28)</f>
        <v>#VALUE!</v>
      </c>
      <c r="N28" s="104" t="e">
        <f ca="1">EBlackScholesForward("v",G28,E28,F28,C28/365,C28/365,$I$2,H28)</f>
        <v>#VALUE!</v>
      </c>
      <c r="O28" s="104" t="e">
        <f ca="1">EBlackScholesForward("t",G28,E28,F28,C28/365,C28/365,$I$2,H28)</f>
        <v>#VALUE!</v>
      </c>
      <c r="P28" s="103"/>
      <c r="Q28" s="104" t="e">
        <f ca="1">EBlackScholesForward("p",$G28,$E28,$F28,$C28/365,$C28/365,$I$2,$I28)</f>
        <v>#VALUE!</v>
      </c>
      <c r="R28" s="105" t="e">
        <f ca="1">EBlackScholesForward("d",$G28,$E28,$F28,$C28/365,$C28/365,$I$2,$I28)</f>
        <v>#VALUE!</v>
      </c>
      <c r="S28" s="104" t="e">
        <f ca="1">EBlackScholesForward("g",$G28,$E28,$F28,$C28/365,$C28/365,$I$2,$I28)</f>
        <v>#VALUE!</v>
      </c>
      <c r="T28" s="104" t="e">
        <f ca="1">EBlackScholesForward("v",$G28,$E28,$F28,$C28/365,$C28/365,$I$2,$I28)</f>
        <v>#VALUE!</v>
      </c>
      <c r="U28" s="104" t="e">
        <f ca="1">EBlackScholesForward("t",$G28,$E28,$F28,$C28/365,$C28/365,$I$2,$I28)</f>
        <v>#VALUE!</v>
      </c>
    </row>
    <row r="29" spans="2:21" ht="12.75">
      <c r="B29" s="92" t="s">
        <v>84</v>
      </c>
      <c r="C29" s="103"/>
      <c r="D29" s="103"/>
      <c r="E29" s="108"/>
      <c r="F29" s="108"/>
      <c r="G29" s="109"/>
      <c r="H29" s="108"/>
      <c r="I29" s="108"/>
      <c r="J29" s="103"/>
      <c r="K29" s="117" t="e">
        <f ca="1">K27-Q28</f>
        <v>#VALUE!</v>
      </c>
      <c r="L29" s="103"/>
      <c r="M29" s="103"/>
      <c r="N29" s="103"/>
      <c r="O29" s="103"/>
      <c r="P29" s="103"/>
      <c r="Q29" s="117" t="e">
        <f ca="1">Q27-K28</f>
        <v>#VALUE!</v>
      </c>
      <c r="R29" s="103"/>
      <c r="S29" s="103"/>
      <c r="T29" s="103"/>
      <c r="U29" s="103"/>
    </row>
    <row r="30" spans="2:21" ht="12.75">
      <c r="B30" s="96">
        <v>40354</v>
      </c>
      <c r="C30" s="97">
        <f ca="1">B30-TODAY()</f>
        <v>-718</v>
      </c>
      <c r="D30" s="98">
        <f ca="1">B30+30</f>
        <v>40384</v>
      </c>
      <c r="E30" s="100">
        <f ca="1">E28</f>
        <v>45.5</v>
      </c>
      <c r="F30" s="100">
        <v>54</v>
      </c>
      <c r="G30" s="101" t="str">
        <f ca="1">IF(F30&gt;=E30,"c","p")</f>
        <v>c</v>
      </c>
      <c r="H30" s="102">
        <v>0.19</v>
      </c>
      <c r="I30" s="102">
        <v>0.20200000000000001</v>
      </c>
      <c r="J30" s="103"/>
      <c r="K30" s="104" t="e">
        <f ca="1">EBlackScholesForward("p",$G30,$E30,$F30,$C30/365,$C30/365,$I$2,H30)</f>
        <v>#VALUE!</v>
      </c>
      <c r="L30" s="105" t="e">
        <f ca="1">EBlackScholesForward("d",G30,E30,F30,C30/365,C30/365,$I$2,H30)</f>
        <v>#VALUE!</v>
      </c>
      <c r="M30" s="104" t="e">
        <f ca="1">EBlackScholesForward("g",G30,E30,F30,C30/365,C30/365,$I$2,H30)</f>
        <v>#VALUE!</v>
      </c>
      <c r="N30" s="104" t="e">
        <f ca="1">EBlackScholesForward("v",G30,E30,F30,C30/365,C30/365,$I$2,H30)</f>
        <v>#VALUE!</v>
      </c>
      <c r="O30" s="104" t="e">
        <f ca="1">EBlackScholesForward("t",G30,E30,F30,C30/365,C30/365,$I$2,H30)</f>
        <v>#VALUE!</v>
      </c>
      <c r="P30" s="103"/>
      <c r="Q30" s="104" t="e">
        <f ca="1">EBlackScholesForward("p",$G30,$E30,$F30,$C30/365,$C30/365,$I$2,$I30)</f>
        <v>#VALUE!</v>
      </c>
      <c r="R30" s="105" t="e">
        <f ca="1">EBlackScholesForward("d",$G30,$E30,$F30,$C30/365,$C30/365,$I$2,$I30)</f>
        <v>#VALUE!</v>
      </c>
      <c r="S30" s="104" t="e">
        <f ca="1">EBlackScholesForward("g",$G30,$E30,$F30,$C30/365,$C30/365,$I$2,$I30)</f>
        <v>#VALUE!</v>
      </c>
      <c r="T30" s="104" t="e">
        <f ca="1">EBlackScholesForward("v",$G30,$E30,$F30,$C30/365,$C30/365,$I$2,$I30)</f>
        <v>#VALUE!</v>
      </c>
      <c r="U30" s="104" t="e">
        <f ca="1">EBlackScholesForward("t",$G30,$E30,$F30,$C30/365,$C30/365,$I$2,$I30)</f>
        <v>#VALUE!</v>
      </c>
    </row>
    <row r="31" spans="2:21" ht="12.75">
      <c r="B31" s="96">
        <f ca="1">B30</f>
        <v>40354</v>
      </c>
      <c r="C31" s="97">
        <f ca="1">B31-TODAY()</f>
        <v>-718</v>
      </c>
      <c r="D31" s="98">
        <f ca="1">B31+30</f>
        <v>40384</v>
      </c>
      <c r="E31" s="100">
        <f ca="1">E30</f>
        <v>45.5</v>
      </c>
      <c r="F31" s="100">
        <v>54</v>
      </c>
      <c r="G31" s="101" t="s">
        <v>82</v>
      </c>
      <c r="H31" s="102">
        <v>0.193</v>
      </c>
      <c r="I31" s="102">
        <v>0.21</v>
      </c>
      <c r="J31" s="103"/>
      <c r="K31" s="106" t="e">
        <f ca="1">EBlackScholesForward("p",$G31,$E31,$F31,$C31/365,$C31/365,$I$2,H31)</f>
        <v>#VALUE!</v>
      </c>
      <c r="L31" s="107" t="e">
        <f ca="1">EBlackScholesForward("d",G31,E31,F31,C31/365,C31/365,$I$2,H31)</f>
        <v>#VALUE!</v>
      </c>
      <c r="M31" s="106" t="e">
        <f ca="1">EBlackScholesForward("g",G31,E31,F31,C31/365,C31/365,$I$2,H31)</f>
        <v>#VALUE!</v>
      </c>
      <c r="N31" s="106" t="e">
        <f ca="1">EBlackScholesForward("v",G31,E31,F31,C31/365,C31/365,$I$2,H31)</f>
        <v>#VALUE!</v>
      </c>
      <c r="O31" s="106" t="e">
        <f ca="1">EBlackScholesForward("t",G31,E31,F31,C31/365,C31/365,$I$2,H31)</f>
        <v>#VALUE!</v>
      </c>
      <c r="P31" s="103"/>
      <c r="Q31" s="106" t="e">
        <f ca="1">EBlackScholesForward("p",$G31,$E31,$F31,$C31/365,$C31/365,$I$2,$I31)</f>
        <v>#VALUE!</v>
      </c>
      <c r="R31" s="107" t="e">
        <f ca="1">EBlackScholesForward("d",$G31,$E31,$F31,$C31/365,$C31/365,$I$2,$I31)</f>
        <v>#VALUE!</v>
      </c>
      <c r="S31" s="106" t="e">
        <f ca="1">EBlackScholesForward("g",$G31,$E31,$F31,$C31/365,$C31/365,$I$2,$I31)</f>
        <v>#VALUE!</v>
      </c>
      <c r="T31" s="106" t="e">
        <f ca="1">EBlackScholesForward("v",$G31,$E31,$F31,$C31/365,$C31/365,$I$2,$I31)</f>
        <v>#VALUE!</v>
      </c>
      <c r="U31" s="106" t="e">
        <f ca="1">EBlackScholesForward("t",$G31,$E31,$F31,$C31/365,$C31/365,$I$2,$I31)</f>
        <v>#VALUE!</v>
      </c>
    </row>
    <row r="32" spans="2:21" ht="12.75">
      <c r="B32" s="96">
        <f ca="1">B31</f>
        <v>40354</v>
      </c>
      <c r="C32" s="97">
        <f ca="1">B32-TODAY()</f>
        <v>-718</v>
      </c>
      <c r="D32" s="98">
        <f ca="1">B32+30</f>
        <v>40384</v>
      </c>
      <c r="E32" s="100">
        <f ca="1">E31</f>
        <v>45.5</v>
      </c>
      <c r="F32" s="100">
        <v>47</v>
      </c>
      <c r="G32" s="101" t="s">
        <v>80</v>
      </c>
      <c r="H32" s="102">
        <v>0.19</v>
      </c>
      <c r="I32" s="102">
        <v>0.19750000000000001</v>
      </c>
      <c r="J32" s="103"/>
      <c r="K32" s="104" t="e">
        <f ca="1">EBlackScholesForward("p",$G32,$E32,$F32,$C32/365,$C32/365,$I$2,H32)</f>
        <v>#VALUE!</v>
      </c>
      <c r="L32" s="105" t="e">
        <f ca="1">EBlackScholesForward("d",G32,E32,F32,C32/365,C32/365,$I$2,H32)</f>
        <v>#VALUE!</v>
      </c>
      <c r="M32" s="104" t="e">
        <f ca="1">EBlackScholesForward("g",G32,E32,F32,C32/365,C32/365,$I$2,H32)</f>
        <v>#VALUE!</v>
      </c>
      <c r="N32" s="104" t="e">
        <f ca="1">EBlackScholesForward("v",G32,E32,F32,C32/365,C32/365,$I$2,H32)</f>
        <v>#VALUE!</v>
      </c>
      <c r="O32" s="104" t="e">
        <f ca="1">EBlackScholesForward("t",G32,E32,F32,C32/365,C32/365,$I$2,H32)</f>
        <v>#VALUE!</v>
      </c>
      <c r="P32" s="103"/>
      <c r="Q32" s="104" t="e">
        <f ca="1">EBlackScholesForward("p",$G32,$E32,$F32,$C32/365,$C32/365,$I$2,$I32)</f>
        <v>#VALUE!</v>
      </c>
      <c r="R32" s="105" t="e">
        <f ca="1">EBlackScholesForward("d",$G32,$E32,$F32,$C32/365,$C32/365,$I$2,$I32)</f>
        <v>#VALUE!</v>
      </c>
      <c r="S32" s="104" t="e">
        <f ca="1">EBlackScholesForward("g",$G32,$E32,$F32,$C32/365,$C32/365,$I$2,$I32)</f>
        <v>#VALUE!</v>
      </c>
      <c r="T32" s="104" t="e">
        <f ca="1">EBlackScholesForward("v",$G32,$E32,$F32,$C32/365,$C32/365,$I$2,$I32)</f>
        <v>#VALUE!</v>
      </c>
      <c r="U32" s="104" t="e">
        <f ca="1">EBlackScholesForward("t",$G32,$E32,$F32,$C32/365,$C32/365,$I$2,$I32)</f>
        <v>#VALUE!</v>
      </c>
    </row>
    <row r="33" spans="2:21" ht="12.75">
      <c r="B33" s="96">
        <f ca="1">B32</f>
        <v>40354</v>
      </c>
      <c r="C33" s="97">
        <f ca="1">B33-TODAY()</f>
        <v>-718</v>
      </c>
      <c r="D33" s="98">
        <f ca="1">B33+30</f>
        <v>40384</v>
      </c>
      <c r="E33" s="100">
        <f ca="1">E32</f>
        <v>45.5</v>
      </c>
      <c r="F33" s="100">
        <v>43</v>
      </c>
      <c r="G33" s="101" t="s">
        <v>80</v>
      </c>
      <c r="H33" s="102">
        <v>0.17249999999999999</v>
      </c>
      <c r="I33" s="102">
        <v>0.17499999999999999</v>
      </c>
      <c r="J33" s="103"/>
      <c r="K33" s="106" t="e">
        <f ca="1">EBlackScholesForward("p",$G33,$E33,$F33,$C33/365,$C33/365,$I$2,H33)</f>
        <v>#VALUE!</v>
      </c>
      <c r="L33" s="107" t="e">
        <f ca="1">EBlackScholesForward("d",G33,E33,F33,C33/365,C33/365,$I$2,H33)</f>
        <v>#VALUE!</v>
      </c>
      <c r="M33" s="106" t="e">
        <f ca="1">EBlackScholesForward("g",G33,E33,F33,C33/365,C33/365,$I$2,H33)</f>
        <v>#VALUE!</v>
      </c>
      <c r="N33" s="106" t="e">
        <f ca="1">EBlackScholesForward("v",G33,E33,F33,C33/365,C33/365,$I$2,H33)</f>
        <v>#VALUE!</v>
      </c>
      <c r="O33" s="106" t="e">
        <f ca="1">EBlackScholesForward("t",G33,E33,F33,C33/365,C33/365,$I$2,H33)</f>
        <v>#VALUE!</v>
      </c>
      <c r="P33" s="103"/>
      <c r="Q33" s="106" t="e">
        <f ca="1">EBlackScholesForward("p",$G33,$E33,$F33,$C33/365,$C33/365,$I$2,$I33)</f>
        <v>#VALUE!</v>
      </c>
      <c r="R33" s="107" t="e">
        <f ca="1">EBlackScholesForward("d",$G33,$E33,$F33,$C33/365,$C33/365,$I$2,$I33)</f>
        <v>#VALUE!</v>
      </c>
      <c r="S33" s="106" t="e">
        <f ca="1">EBlackScholesForward("g",$G33,$E33,$F33,$C33/365,$C33/365,$I$2,$I33)</f>
        <v>#VALUE!</v>
      </c>
      <c r="T33" s="106" t="e">
        <f ca="1">EBlackScholesForward("v",$G33,$E33,$F33,$C33/365,$C33/365,$I$2,$I33)</f>
        <v>#VALUE!</v>
      </c>
      <c r="U33" s="106" t="e">
        <f ca="1">EBlackScholesForward("t",$G33,$E33,$F33,$C33/365,$C33/365,$I$2,$I33)</f>
        <v>#VALUE!</v>
      </c>
    </row>
    <row r="34" spans="2:21" ht="12.75">
      <c r="B34" s="96">
        <f ca="1">B33</f>
        <v>40354</v>
      </c>
      <c r="C34" s="97">
        <f ca="1">B34-TODAY()</f>
        <v>-718</v>
      </c>
      <c r="D34" s="98">
        <f ca="1">B34+30</f>
        <v>40384</v>
      </c>
      <c r="E34" s="100">
        <f ca="1">E33</f>
        <v>45.5</v>
      </c>
      <c r="F34" s="100">
        <v>40</v>
      </c>
      <c r="G34" s="101" t="s">
        <v>80</v>
      </c>
      <c r="H34" s="102">
        <v>0.18</v>
      </c>
      <c r="I34" s="102">
        <v>0.2225</v>
      </c>
      <c r="J34" s="103"/>
      <c r="K34" s="104" t="e">
        <f ca="1">EBlackScholesForward("p",$G34,$E34,$F34,$C34/365,$C34/365,$I$2,H34)</f>
        <v>#VALUE!</v>
      </c>
      <c r="L34" s="105" t="e">
        <f ca="1">EBlackScholesForward("d",G34,E34,F34,C34/365,C34/365,$I$2,H34)</f>
        <v>#VALUE!</v>
      </c>
      <c r="M34" s="104" t="e">
        <f ca="1">EBlackScholesForward("g",G34,E34,F34,C34/365,C34/365,$I$2,H34)</f>
        <v>#VALUE!</v>
      </c>
      <c r="N34" s="104" t="e">
        <f ca="1">EBlackScholesForward("v",G34,E34,F34,C34/365,C34/365,$I$2,H34)</f>
        <v>#VALUE!</v>
      </c>
      <c r="O34" s="104" t="e">
        <f ca="1">EBlackScholesForward("t",G34,E34,F34,C34/365,C34/365,$I$2,H34)</f>
        <v>#VALUE!</v>
      </c>
      <c r="P34" s="103"/>
      <c r="Q34" s="104" t="e">
        <f ca="1">EBlackScholesForward("p",$G34,$E34,$F34,$C34/365,$C34/365,$I$2,$I34)</f>
        <v>#VALUE!</v>
      </c>
      <c r="R34" s="105" t="e">
        <f ca="1">EBlackScholesForward("d",$G34,$E34,$F34,$C34/365,$C34/365,$I$2,$I34)</f>
        <v>#VALUE!</v>
      </c>
      <c r="S34" s="104" t="e">
        <f ca="1">EBlackScholesForward("g",$G34,$E34,$F34,$C34/365,$C34/365,$I$2,$I34)</f>
        <v>#VALUE!</v>
      </c>
      <c r="T34" s="104" t="e">
        <f ca="1">EBlackScholesForward("v",$G34,$E34,$F34,$C34/365,$C34/365,$I$2,$I34)</f>
        <v>#VALUE!</v>
      </c>
      <c r="U34" s="104" t="e">
        <f ca="1">EBlackScholesForward("t",$G34,$E34,$F34,$C34/365,$C34/365,$I$2,$I34)</f>
        <v>#VALUE!</v>
      </c>
    </row>
    <row r="35" spans="2:21" ht="12.75">
      <c r="B35" s="92" t="s">
        <v>37</v>
      </c>
      <c r="C35" s="103"/>
      <c r="D35" s="103"/>
      <c r="E35" s="108"/>
      <c r="F35" s="108"/>
      <c r="G35" s="109"/>
      <c r="H35" s="108"/>
      <c r="I35" s="108"/>
      <c r="J35" s="103"/>
      <c r="K35" s="117"/>
      <c r="L35" s="103"/>
      <c r="M35" s="103"/>
      <c r="N35" s="103"/>
      <c r="O35" s="103"/>
      <c r="P35" s="103"/>
      <c r="Q35" s="117"/>
      <c r="R35" s="103"/>
      <c r="S35" s="103"/>
      <c r="T35" s="103"/>
      <c r="U35" s="103"/>
    </row>
    <row r="36" spans="2:21" ht="12.75">
      <c r="B36" s="96">
        <v>40885</v>
      </c>
      <c r="C36" s="97">
        <f ca="1">B36-TODAY()</f>
        <v>-187</v>
      </c>
      <c r="D36" s="98">
        <f ca="1">B36+30</f>
        <v>40915</v>
      </c>
      <c r="E36" s="100">
        <v>50.3</v>
      </c>
      <c r="F36" s="100">
        <v>60</v>
      </c>
      <c r="G36" s="101" t="s">
        <v>82</v>
      </c>
      <c r="H36" s="102">
        <v>0.17899999999999999</v>
      </c>
      <c r="I36" s="102">
        <v>0.19</v>
      </c>
      <c r="J36" s="103"/>
      <c r="K36" s="104" t="e">
        <f ca="1">EBlackScholesForward("p",$G36,$E36,$F36,$C36/365,$C36/365,$I$2,H36)</f>
        <v>#VALUE!</v>
      </c>
      <c r="L36" s="105" t="e">
        <f ca="1">EBlackScholesForward("d",G36,E36,F36,C36/365,C36/365,$I$2,H36)</f>
        <v>#VALUE!</v>
      </c>
      <c r="M36" s="104" t="e">
        <f ca="1">EBlackScholesForward("g",G36,E36,F36,C36/365,C36/365,$I$2,H36)</f>
        <v>#VALUE!</v>
      </c>
      <c r="N36" s="104" t="e">
        <f ca="1">EBlackScholesForward("v",G36,E36,F36,C36/365,C36/365,$I$2,H36)</f>
        <v>#VALUE!</v>
      </c>
      <c r="O36" s="104" t="e">
        <f ca="1">EBlackScholesForward("t",G36,E36,F36,C36/365,C36/365,$I$2,H36)</f>
        <v>#VALUE!</v>
      </c>
      <c r="P36" s="103"/>
      <c r="Q36" s="104" t="e">
        <f ca="1">EBlackScholesForward("p",$G36,$E36,$F36,$C36/365,$C36/365,$I$2,$I36)</f>
        <v>#VALUE!</v>
      </c>
      <c r="R36" s="105" t="e">
        <f ca="1">EBlackScholesForward("d",$G36,$E36,$F36,$C36/365,$C36/365,$I$2,$I36)</f>
        <v>#VALUE!</v>
      </c>
      <c r="S36" s="104" t="e">
        <f ca="1">EBlackScholesForward("g",$G36,$E36,$F36,$C36/365,$C36/365,$I$2,$I36)</f>
        <v>#VALUE!</v>
      </c>
      <c r="T36" s="104" t="e">
        <f ca="1">EBlackScholesForward("v",$G36,$E36,$F36,$C36/365,$C36/365,$I$2,$I36)</f>
        <v>#VALUE!</v>
      </c>
      <c r="U36" s="104" t="e">
        <f ca="1">EBlackScholesForward("t",$G36,$E36,$F36,$C36/365,$C36/365,$I$2,$I36)</f>
        <v>#VALUE!</v>
      </c>
    </row>
    <row r="37" spans="2:21" ht="12.75">
      <c r="B37" s="96">
        <f ca="1">B36</f>
        <v>40885</v>
      </c>
      <c r="C37" s="97">
        <f ca="1">B37-TODAY()</f>
        <v>-187</v>
      </c>
      <c r="D37" s="98">
        <f ca="1">B37+30</f>
        <v>40915</v>
      </c>
      <c r="E37" s="100">
        <f ca="1">E36</f>
        <v>50.3</v>
      </c>
      <c r="F37" s="100">
        <v>53</v>
      </c>
      <c r="G37" s="101" t="s">
        <v>80</v>
      </c>
      <c r="H37" s="102">
        <v>0.16250000000000001</v>
      </c>
      <c r="I37" s="102">
        <v>0.185</v>
      </c>
      <c r="J37" s="103"/>
      <c r="K37" s="106" t="e">
        <f ca="1">EBlackScholesForward("p",$G37,$E37,$F37,$C37/365,$C37/365,$I$2,H37)</f>
        <v>#VALUE!</v>
      </c>
      <c r="L37" s="107" t="e">
        <f ca="1">EBlackScholesForward("d",G37,E37,F37,C37/365,C37/365,$I$2,H37)</f>
        <v>#VALUE!</v>
      </c>
      <c r="M37" s="106" t="e">
        <f ca="1">EBlackScholesForward("g",G37,E37,F37,C37/365,C37/365,$I$2,H37)</f>
        <v>#VALUE!</v>
      </c>
      <c r="N37" s="106" t="e">
        <f ca="1">EBlackScholesForward("v",G37,E37,F37,C37/365,C37/365,$I$2,H37)</f>
        <v>#VALUE!</v>
      </c>
      <c r="O37" s="106" t="e">
        <f ca="1">EBlackScholesForward("t",G37,E37,F37,C37/365,C37/365,$I$2,H37)</f>
        <v>#VALUE!</v>
      </c>
      <c r="P37" s="103"/>
      <c r="Q37" s="106" t="e">
        <f ca="1">EBlackScholesForward("p",$G37,$E37,$F37,$C37/365,$C37/365,$I$2,$I37)</f>
        <v>#VALUE!</v>
      </c>
      <c r="R37" s="107" t="e">
        <f ca="1">EBlackScholesForward("d",$G37,$E37,$F37,$C37/365,$C37/365,$I$2,$I37)</f>
        <v>#VALUE!</v>
      </c>
      <c r="S37" s="106" t="e">
        <f ca="1">EBlackScholesForward("g",$G37,$E37,$F37,$C37/365,$C37/365,$I$2,$I37)</f>
        <v>#VALUE!</v>
      </c>
      <c r="T37" s="106" t="e">
        <f ca="1">EBlackScholesForward("v",$G37,$E37,$F37,$C37/365,$C37/365,$I$2,$I37)</f>
        <v>#VALUE!</v>
      </c>
      <c r="U37" s="106" t="e">
        <f ca="1">EBlackScholesForward("t",$G37,$E37,$F37,$C37/365,$C37/365,$I$2,$I37)</f>
        <v>#VALUE!</v>
      </c>
    </row>
    <row r="38" spans="2:21" ht="12.75">
      <c r="B38" s="96">
        <f ca="1">B37</f>
        <v>40885</v>
      </c>
      <c r="C38" s="97">
        <f ca="1">B38-TODAY()</f>
        <v>-187</v>
      </c>
      <c r="D38" s="98">
        <f ca="1">B38+30</f>
        <v>40915</v>
      </c>
      <c r="E38" s="100">
        <f ca="1">E37</f>
        <v>50.3</v>
      </c>
      <c r="F38" s="100">
        <v>48</v>
      </c>
      <c r="G38" s="101" t="s">
        <v>80</v>
      </c>
      <c r="H38" s="102">
        <v>0.255</v>
      </c>
      <c r="I38" s="102">
        <v>0.27500000000000002</v>
      </c>
      <c r="J38" s="103"/>
      <c r="K38" s="104" t="e">
        <f ca="1">EBlackScholesForward("p",$G38,$E38,$F38,$C38/365,$C38/365,$I$2,H38)</f>
        <v>#VALUE!</v>
      </c>
      <c r="L38" s="105" t="e">
        <f ca="1">EBlackScholesForward("d",G38,E38,F38,C38/365,C38/365,$I$2,H38)</f>
        <v>#VALUE!</v>
      </c>
      <c r="M38" s="104" t="e">
        <f ca="1">EBlackScholesForward("g",G38,E38,F38,C38/365,C38/365,$I$2,H38)</f>
        <v>#VALUE!</v>
      </c>
      <c r="N38" s="104" t="e">
        <f ca="1">EBlackScholesForward("v",G38,E38,F38,C38/365,C38/365,$I$2,H38)</f>
        <v>#VALUE!</v>
      </c>
      <c r="O38" s="104" t="e">
        <f ca="1">EBlackScholesForward("t",G38,E38,F38,C38/365,C38/365,$I$2,H38)</f>
        <v>#VALUE!</v>
      </c>
      <c r="P38" s="103"/>
      <c r="Q38" s="104" t="e">
        <f ca="1">EBlackScholesForward("p",$G38,$E38,$F38,$C38/365,$C38/365,$I$2,$I38)</f>
        <v>#VALUE!</v>
      </c>
      <c r="R38" s="105" t="e">
        <f ca="1">EBlackScholesForward("d",$G38,$E38,$F38,$C38/365,$C38/365,$I$2,$I38)</f>
        <v>#VALUE!</v>
      </c>
      <c r="S38" s="104" t="e">
        <f ca="1">EBlackScholesForward("g",$G38,$E38,$F38,$C38/365,$C38/365,$I$2,$I38)</f>
        <v>#VALUE!</v>
      </c>
      <c r="T38" s="104" t="e">
        <f ca="1">EBlackScholesForward("v",$G38,$E38,$F38,$C38/365,$C38/365,$I$2,$I38)</f>
        <v>#VALUE!</v>
      </c>
      <c r="U38" s="104" t="e">
        <f ca="1">EBlackScholesForward("t",$G38,$E38,$F38,$C38/365,$C38/365,$I$2,$I38)</f>
        <v>#VALUE!</v>
      </c>
    </row>
    <row r="39" spans="2:21" ht="12.75">
      <c r="B39" s="96">
        <f ca="1">B38</f>
        <v>40885</v>
      </c>
      <c r="C39" s="97">
        <f ca="1">B39-TODAY()</f>
        <v>-187</v>
      </c>
      <c r="D39" s="98">
        <f ca="1">B39+30</f>
        <v>40915</v>
      </c>
      <c r="E39" s="100">
        <f ca="1">E38</f>
        <v>50.3</v>
      </c>
      <c r="F39" s="100">
        <v>60</v>
      </c>
      <c r="G39" s="101" t="str">
        <f ca="1">IF(F39&gt;=E39,"c","p")</f>
        <v>c</v>
      </c>
      <c r="H39" s="102">
        <v>0.189</v>
      </c>
      <c r="I39" s="102">
        <v>0.19700000000000001</v>
      </c>
      <c r="J39" s="103"/>
      <c r="K39" s="106" t="e">
        <f ca="1">EBlackScholesForward("p",$G39,$E39,$F39,$C39/365,$C39/365,$I$2,H39)</f>
        <v>#VALUE!</v>
      </c>
      <c r="L39" s="107" t="e">
        <f ca="1">EBlackScholesForward("d",G39,E39,F39,C39/365,C39/365,$I$2,H39)</f>
        <v>#VALUE!</v>
      </c>
      <c r="M39" s="106" t="e">
        <f ca="1">EBlackScholesForward("g",G39,E39,F39,C39/365,C39/365,$I$2,H39)</f>
        <v>#VALUE!</v>
      </c>
      <c r="N39" s="106" t="e">
        <f ca="1">EBlackScholesForward("v",G39,E39,F39,C39/365,C39/365,$I$2,H39)</f>
        <v>#VALUE!</v>
      </c>
      <c r="O39" s="106" t="e">
        <f ca="1">EBlackScholesForward("t",G39,E39,F39,C39/365,C39/365,$I$2,H39)</f>
        <v>#VALUE!</v>
      </c>
      <c r="P39" s="103"/>
      <c r="Q39" s="106" t="e">
        <f ca="1">EBlackScholesForward("p",$G39,$E39,$F39,$C39/365,$C39/365,$I$2,$I39)</f>
        <v>#VALUE!</v>
      </c>
      <c r="R39" s="107" t="e">
        <f ca="1">EBlackScholesForward("d",$G39,$E39,$F39,$C39/365,$C39/365,$I$2,$I39)</f>
        <v>#VALUE!</v>
      </c>
      <c r="S39" s="106" t="e">
        <f ca="1">EBlackScholesForward("g",$G39,$E39,$F39,$C39/365,$C39/365,$I$2,$I39)</f>
        <v>#VALUE!</v>
      </c>
      <c r="T39" s="106" t="e">
        <f ca="1">EBlackScholesForward("v",$G39,$E39,$F39,$C39/365,$C39/365,$I$2,$I39)</f>
        <v>#VALUE!</v>
      </c>
      <c r="U39" s="106" t="e">
        <f ca="1">EBlackScholesForward("t",$G39,$E39,$F39,$C39/365,$C39/365,$I$2,$I39)</f>
        <v>#VALUE!</v>
      </c>
    </row>
    <row r="40" spans="2:21" ht="12.75">
      <c r="B40" s="96">
        <f ca="1">B39</f>
        <v>40885</v>
      </c>
      <c r="C40" s="97">
        <f ca="1">B40-TODAY()</f>
        <v>-187</v>
      </c>
      <c r="D40" s="98">
        <f ca="1">B40+30</f>
        <v>40915</v>
      </c>
      <c r="E40" s="100">
        <f ca="1">E39</f>
        <v>50.3</v>
      </c>
      <c r="F40" s="100">
        <v>51</v>
      </c>
      <c r="G40" s="101" t="s">
        <v>80</v>
      </c>
      <c r="H40" s="102">
        <v>0.17100000000000001</v>
      </c>
      <c r="I40" s="102">
        <v>0.18</v>
      </c>
      <c r="J40" s="103"/>
      <c r="K40" s="118" t="e">
        <f ca="1">EBlackScholesForward("p",$G40,$E40,$F40,$C40/365,$C40/365,$I$2,H40)</f>
        <v>#VALUE!</v>
      </c>
      <c r="L40" s="118" t="e">
        <f ca="1">EBlackScholesForward("d",G40,E40,F40,C40/365,C40/365,$I$2,H40)</f>
        <v>#VALUE!</v>
      </c>
      <c r="M40" s="104" t="e">
        <f ca="1">EBlackScholesForward("g",G40,E40,F40,C40/365,C40/365,$I$2,H40)</f>
        <v>#VALUE!</v>
      </c>
      <c r="N40" s="104" t="e">
        <f ca="1">EBlackScholesForward("v",G40,E40,F40,C40/365,C40/365,$I$2,H40)</f>
        <v>#VALUE!</v>
      </c>
      <c r="O40" s="104" t="e">
        <f ca="1">EBlackScholesForward("t",G40,E40,F40,C40/365,C40/365,$I$2,H40)</f>
        <v>#VALUE!</v>
      </c>
      <c r="P40" s="103"/>
      <c r="Q40" s="104" t="e">
        <f ca="1">EBlackScholesForward("p",$G40,$E40,$F40,$C40/365,$C40/365,$I$2,$I40)</f>
        <v>#VALUE!</v>
      </c>
      <c r="R40" s="105" t="e">
        <f ca="1">EBlackScholesForward("d",$G40,$E40,$F40,$C40/365,$C40/365,$I$2,$I40)</f>
        <v>#VALUE!</v>
      </c>
      <c r="S40" s="104" t="e">
        <f ca="1">EBlackScholesForward("g",$G40,$E40,$F40,$C40/365,$C40/365,$I$2,$I40)</f>
        <v>#VALUE!</v>
      </c>
      <c r="T40" s="104" t="e">
        <f ca="1">EBlackScholesForward("v",$G40,$E40,$F40,$C40/365,$C40/365,$I$2,$I40)</f>
        <v>#VALUE!</v>
      </c>
      <c r="U40" s="104" t="e">
        <f ca="1">EBlackScholesForward("t",$G40,$E40,$F40,$C40/365,$C40/365,$I$2,$I40)</f>
        <v>#VALUE!</v>
      </c>
    </row>
    <row r="41" spans="2:21" ht="12.75">
      <c r="B41" s="92" t="s">
        <v>86</v>
      </c>
      <c r="C41" s="103"/>
      <c r="D41" s="103"/>
      <c r="E41" s="108"/>
      <c r="F41" s="108"/>
      <c r="G41" s="109"/>
      <c r="H41" s="108"/>
      <c r="I41" s="108"/>
      <c r="J41" s="103"/>
      <c r="K41" s="116" t="e">
        <f ca="1">K40-Q39</f>
        <v>#VALUE!</v>
      </c>
      <c r="L41" s="103"/>
      <c r="M41" s="103"/>
      <c r="N41" s="103"/>
      <c r="O41" s="103"/>
      <c r="P41" s="103"/>
      <c r="Q41" s="116" t="e">
        <f ca="1">Q40-K39</f>
        <v>#VALUE!</v>
      </c>
      <c r="R41" s="103"/>
      <c r="S41" s="103"/>
      <c r="T41" s="103"/>
      <c r="U41" s="103"/>
    </row>
    <row r="42" spans="2:21" ht="12.75">
      <c r="B42" s="96">
        <v>40263</v>
      </c>
      <c r="C42" s="97">
        <f ca="1">B42-TODAY()</f>
        <v>-809</v>
      </c>
      <c r="D42" s="98">
        <f ca="1">B42+30</f>
        <v>40293</v>
      </c>
      <c r="E42" s="100">
        <v>36.6</v>
      </c>
      <c r="F42" s="100">
        <v>39</v>
      </c>
      <c r="G42" s="101" t="s">
        <v>82</v>
      </c>
      <c r="H42" s="102">
        <v>0.20250000000000001</v>
      </c>
      <c r="I42" s="102">
        <v>0.24</v>
      </c>
      <c r="J42" s="103"/>
      <c r="K42" s="104" t="e">
        <f ca="1">EBlackScholesForward("p",$G42,$E42,$F42,$C42/365,$C42/365,$I$2,H42)</f>
        <v>#VALUE!</v>
      </c>
      <c r="L42" s="105" t="e">
        <f ca="1">EBlackScholesForward("d",G42,E42,F42,C42/365,C42/365,$I$2,H42)</f>
        <v>#VALUE!</v>
      </c>
      <c r="M42" s="104" t="e">
        <f ca="1">EBlackScholesForward("g",G42,E42,F42,C42/365,C42/365,$I$2,H42)</f>
        <v>#VALUE!</v>
      </c>
      <c r="N42" s="104" t="e">
        <f ca="1">EBlackScholesForward("v",G42,E42,F42,C42/365,C42/365,$I$2,H42)</f>
        <v>#VALUE!</v>
      </c>
      <c r="O42" s="104" t="e">
        <f ca="1">EBlackScholesForward("t",G42,E42,F42,C42/365,C42/365,$I$2,H42)</f>
        <v>#VALUE!</v>
      </c>
      <c r="P42" s="103"/>
      <c r="Q42" s="104" t="e">
        <f ca="1">EBlackScholesForward("p",$G42,$E42,$F42,$C42/365,$C42/365,$I$2,$I42)</f>
        <v>#VALUE!</v>
      </c>
      <c r="R42" s="105" t="e">
        <f ca="1">EBlackScholesForward("d",$G42,$E42,$F42,$C42/365,$C42/365,$I$2,$I42)</f>
        <v>#VALUE!</v>
      </c>
      <c r="S42" s="104" t="e">
        <f ca="1">EBlackScholesForward("g",$G42,$E42,$F42,$C42/365,$C42/365,$I$2,$I42)</f>
        <v>#VALUE!</v>
      </c>
      <c r="T42" s="104" t="e">
        <f ca="1">EBlackScholesForward("v",$G42,$E42,$F42,$C42/365,$C42/365,$I$2,$I42)</f>
        <v>#VALUE!</v>
      </c>
      <c r="U42" s="104" t="e">
        <f ca="1">EBlackScholesForward("t",$G42,$E42,$F42,$C42/365,$C42/365,$I$2,$I42)</f>
        <v>#VALUE!</v>
      </c>
    </row>
    <row r="43" spans="2:21" ht="12.75">
      <c r="B43" s="96">
        <f ca="1">B42</f>
        <v>40263</v>
      </c>
      <c r="C43" s="97">
        <f ca="1">B43-TODAY()</f>
        <v>-809</v>
      </c>
      <c r="D43" s="98">
        <f ca="1">B43+30</f>
        <v>40293</v>
      </c>
      <c r="E43" s="100">
        <v>36.6</v>
      </c>
      <c r="F43" s="100">
        <v>35</v>
      </c>
      <c r="G43" s="101" t="s">
        <v>80</v>
      </c>
      <c r="H43" s="102">
        <v>0.20250000000000001</v>
      </c>
      <c r="I43" s="102">
        <v>0.24</v>
      </c>
      <c r="J43" s="103"/>
      <c r="K43" s="104" t="e">
        <f ca="1">EBlackScholesForward("p",$G43,$E43,$F43,$C43/365,$C43/365,$I$2,H43)</f>
        <v>#VALUE!</v>
      </c>
      <c r="L43" s="105" t="e">
        <f ca="1">EBlackScholesForward("d",G43,E43,F43,C43/365,C43/365,$I$2,H43)</f>
        <v>#VALUE!</v>
      </c>
      <c r="M43" s="104" t="e">
        <f ca="1">EBlackScholesForward("g",G43,E43,F43,C43/365,C43/365,$I$2,H43)</f>
        <v>#VALUE!</v>
      </c>
      <c r="N43" s="104" t="e">
        <f ca="1">EBlackScholesForward("v",G43,E43,F43,C43/365,C43/365,$I$2,H43)</f>
        <v>#VALUE!</v>
      </c>
      <c r="O43" s="104" t="e">
        <f ca="1">EBlackScholesForward("t",G43,E43,F43,C43/365,C43/365,$I$2,H43)</f>
        <v>#VALUE!</v>
      </c>
      <c r="P43" s="103"/>
      <c r="Q43" s="104" t="e">
        <f ca="1">EBlackScholesForward("p",$G43,$E43,$F43,$C43/365,$C43/365,$I$2,$I43)</f>
        <v>#VALUE!</v>
      </c>
      <c r="R43" s="105" t="e">
        <f ca="1">EBlackScholesForward("d",$G43,$E43,$F43,$C43/365,$C43/365,$I$2,$I43)</f>
        <v>#VALUE!</v>
      </c>
      <c r="S43" s="104" t="e">
        <f ca="1">EBlackScholesForward("g",$G43,$E43,$F43,$C43/365,$C43/365,$I$2,$I43)</f>
        <v>#VALUE!</v>
      </c>
      <c r="T43" s="104" t="e">
        <f ca="1">EBlackScholesForward("v",$G43,$E43,$F43,$C43/365,$C43/365,$I$2,$I43)</f>
        <v>#VALUE!</v>
      </c>
      <c r="U43" s="104" t="e">
        <f ca="1">EBlackScholesForward("t",$G43,$E43,$F43,$C43/365,$C43/365,$I$2,$I43)</f>
        <v>#VALUE!</v>
      </c>
    </row>
    <row r="44" spans="2:21" ht="12.75">
      <c r="B44" s="96">
        <f ca="1">B43</f>
        <v>40263</v>
      </c>
      <c r="C44" s="97">
        <f ca="1">B44-TODAY()</f>
        <v>-809</v>
      </c>
      <c r="D44" s="98">
        <f ca="1">B44+30</f>
        <v>40293</v>
      </c>
      <c r="E44" s="100">
        <v>36.6</v>
      </c>
      <c r="F44" s="100">
        <v>36</v>
      </c>
      <c r="G44" s="101" t="s">
        <v>82</v>
      </c>
      <c r="H44" s="102">
        <v>0.35</v>
      </c>
      <c r="I44" s="102">
        <v>0.36</v>
      </c>
      <c r="J44" s="103"/>
      <c r="K44" s="104" t="e">
        <f ca="1">EBlackScholesForward("p",$G44,$E44,$F44,$C44/365,$C44/365,$I$2,H44)</f>
        <v>#VALUE!</v>
      </c>
      <c r="L44" s="105" t="e">
        <f ca="1">EBlackScholesForward("d",G44,E44,F44,C44/365,C44/365,$I$2,H44)</f>
        <v>#VALUE!</v>
      </c>
      <c r="M44" s="104" t="e">
        <f ca="1">EBlackScholesForward("g",G44,E44,F44,C44/365,C44/365,$I$2,H44)</f>
        <v>#VALUE!</v>
      </c>
      <c r="N44" s="104" t="e">
        <f ca="1">EBlackScholesForward("v",G44,E44,F44,C44/365,C44/365,$I$2,H44)</f>
        <v>#VALUE!</v>
      </c>
      <c r="O44" s="104" t="e">
        <f ca="1">EBlackScholesForward("t",G44,E44,F44,C44/365,C44/365,$I$2,H44)</f>
        <v>#VALUE!</v>
      </c>
      <c r="P44" s="103"/>
      <c r="Q44" s="104" t="e">
        <f ca="1">EBlackScholesForward("p",$G44,$E44,$F44,$C44/365,$C44/365,$I$2,$I44)</f>
        <v>#VALUE!</v>
      </c>
      <c r="R44" s="105" t="e">
        <f ca="1">EBlackScholesForward("d",$G44,$E44,$F44,$C44/365,$C44/365,$I$2,$I44)</f>
        <v>#VALUE!</v>
      </c>
      <c r="S44" s="104" t="e">
        <f ca="1">EBlackScholesForward("g",$G44,$E44,$F44,$C44/365,$C44/365,$I$2,$I44)</f>
        <v>#VALUE!</v>
      </c>
      <c r="T44" s="104" t="e">
        <f ca="1">EBlackScholesForward("v",$G44,$E44,$F44,$C44/365,$C44/365,$I$2,$I44)</f>
        <v>#VALUE!</v>
      </c>
      <c r="U44" s="104" t="e">
        <f ca="1">EBlackScholesForward("t",$G44,$E44,$F44,$C44/365,$C44/365,$I$2,$I44)</f>
        <v>#VALUE!</v>
      </c>
    </row>
    <row r="45" spans="2:21" ht="12.75">
      <c r="B45" s="96">
        <f ca="1">B44</f>
        <v>40263</v>
      </c>
      <c r="C45" s="97">
        <f ca="1">B45-TODAY()</f>
        <v>-809</v>
      </c>
      <c r="D45" s="98">
        <f ca="1">B45+30</f>
        <v>40293</v>
      </c>
      <c r="E45" s="100">
        <v>36.6</v>
      </c>
      <c r="F45" s="100">
        <v>41</v>
      </c>
      <c r="G45" s="101" t="str">
        <f ca="1">IF(F45&gt;=E45,"c","p")</f>
        <v>c</v>
      </c>
      <c r="H45" s="102">
        <v>0.214</v>
      </c>
      <c r="I45" s="102">
        <v>0.245</v>
      </c>
      <c r="J45" s="103"/>
      <c r="K45" s="104" t="e">
        <f ca="1">EBlackScholesForward("p",$G45,$E45,$F45,$C45/365,$C45/365,$I$2,H45)</f>
        <v>#VALUE!</v>
      </c>
      <c r="L45" s="105" t="e">
        <f ca="1">EBlackScholesForward("d",G45,E45,F45,C45/365,C45/365,$I$2,H45)</f>
        <v>#VALUE!</v>
      </c>
      <c r="M45" s="104" t="e">
        <f ca="1">EBlackScholesForward("g",G45,E45,F45,C45/365,C45/365,$I$2,H45)</f>
        <v>#VALUE!</v>
      </c>
      <c r="N45" s="104" t="e">
        <f ca="1">EBlackScholesForward("v",G45,E45,F45,C45/365,C45/365,$I$2,H45)</f>
        <v>#VALUE!</v>
      </c>
      <c r="O45" s="104" t="e">
        <f ca="1">EBlackScholesForward("t",G45,E45,F45,C45/365,C45/365,$I$2,H45)</f>
        <v>#VALUE!</v>
      </c>
      <c r="P45" s="103"/>
      <c r="Q45" s="104" t="e">
        <f ca="1">EBlackScholesForward("p",$G45,$E45,$F45,$C45/365,$C45/365,$I$2,$I45)</f>
        <v>#VALUE!</v>
      </c>
      <c r="R45" s="105" t="e">
        <f ca="1">EBlackScholesForward("d",$G45,$E45,$F45,$C45/365,$C45/365,$I$2,$I45)</f>
        <v>#VALUE!</v>
      </c>
      <c r="S45" s="104" t="e">
        <f ca="1">EBlackScholesForward("g",$G45,$E45,$F45,$C45/365,$C45/365,$I$2,$I45)</f>
        <v>#VALUE!</v>
      </c>
      <c r="T45" s="104" t="e">
        <f ca="1">EBlackScholesForward("v",$G45,$E45,$F45,$C45/365,$C45/365,$I$2,$I45)</f>
        <v>#VALUE!</v>
      </c>
      <c r="U45" s="104" t="e">
        <f ca="1">EBlackScholesForward("t",$G45,$E45,$F45,$C45/365,$C45/365,$I$2,$I45)</f>
        <v>#VALUE!</v>
      </c>
    </row>
    <row r="46" spans="2:21" ht="12.75">
      <c r="B46" s="96">
        <f ca="1">B45</f>
        <v>40263</v>
      </c>
      <c r="C46" s="97">
        <f ca="1">B46-TODAY()</f>
        <v>-809</v>
      </c>
      <c r="D46" s="98">
        <f ca="1">B46+30</f>
        <v>40293</v>
      </c>
      <c r="E46" s="100">
        <v>36.6</v>
      </c>
      <c r="F46" s="100">
        <v>36</v>
      </c>
      <c r="G46" s="101" t="str">
        <f ca="1">IF(F46&gt;=E46,"c","p")</f>
        <v>p</v>
      </c>
      <c r="H46" s="102">
        <v>0.22</v>
      </c>
      <c r="I46" s="102">
        <v>0.245</v>
      </c>
      <c r="J46" s="103"/>
      <c r="K46" s="104" t="e">
        <f ca="1">EBlackScholesForward("p",$G46,$E46,$F46,$C46/365,$C46/365,$I$2,H46)</f>
        <v>#VALUE!</v>
      </c>
      <c r="L46" s="105" t="e">
        <f ca="1">EBlackScholesForward("d",G46,E46,F46,C46/365,C46/365,$I$2,H46)</f>
        <v>#VALUE!</v>
      </c>
      <c r="M46" s="104" t="e">
        <f ca="1">EBlackScholesForward("g",G46,E46,F46,C46/365,C46/365,$I$2,H46)</f>
        <v>#VALUE!</v>
      </c>
      <c r="N46" s="104" t="e">
        <f ca="1">EBlackScholesForward("v",G46,E46,F46,C46/365,C46/365,$I$2,H46)</f>
        <v>#VALUE!</v>
      </c>
      <c r="O46" s="104" t="e">
        <f ca="1">EBlackScholesForward("t",G46,E46,F46,C46/365,C46/365,$I$2,H46)</f>
        <v>#VALUE!</v>
      </c>
      <c r="P46" s="103"/>
      <c r="Q46" s="104" t="e">
        <f ca="1">EBlackScholesForward("p",$G46,$E46,$F46,$C46/365,$C46/365,$I$2,$I46)</f>
        <v>#VALUE!</v>
      </c>
      <c r="R46" s="105" t="e">
        <f ca="1">EBlackScholesForward("d",$G46,$E46,$F46,$C46/365,$C46/365,$I$2,$I46)</f>
        <v>#VALUE!</v>
      </c>
      <c r="S46" s="104" t="e">
        <f ca="1">EBlackScholesForward("g",$G46,$E46,$F46,$C46/365,$C46/365,$I$2,$I46)</f>
        <v>#VALUE!</v>
      </c>
      <c r="T46" s="104" t="e">
        <f ca="1">EBlackScholesForward("v",$G46,$E46,$F46,$C46/365,$C46/365,$I$2,$I46)</f>
        <v>#VALUE!</v>
      </c>
      <c r="U46" s="104" t="e">
        <f ca="1">EBlackScholesForward("t",$G46,$E46,$F46,$C46/365,$C46/365,$I$2,$I46)</f>
        <v>#VALUE!</v>
      </c>
    </row>
    <row r="47" spans="2:21" ht="12.75">
      <c r="B47" s="92" t="s">
        <v>85</v>
      </c>
      <c r="C47" s="103"/>
      <c r="D47" s="103"/>
      <c r="E47" s="108"/>
      <c r="F47" s="108"/>
      <c r="G47" s="109"/>
      <c r="H47" s="108"/>
      <c r="I47" s="108"/>
      <c r="J47" s="103"/>
      <c r="K47" s="117" t="e">
        <f ca="1">K48+K49</f>
        <v>#VALUE!</v>
      </c>
      <c r="L47" s="103"/>
      <c r="M47" s="103"/>
      <c r="N47" s="103"/>
      <c r="O47" s="103"/>
      <c r="P47" s="103"/>
      <c r="Q47" s="117" t="e">
        <f ca="1">Q48+Q49</f>
        <v>#VALUE!</v>
      </c>
      <c r="R47" s="103"/>
      <c r="S47" s="103"/>
      <c r="T47" s="103"/>
      <c r="U47" s="103"/>
    </row>
    <row r="48" spans="2:21" ht="12.75">
      <c r="B48" s="96">
        <v>40354</v>
      </c>
      <c r="C48" s="97">
        <f ca="1">B48-TODAY()</f>
        <v>-718</v>
      </c>
      <c r="D48" s="98">
        <f ca="1">B48+30</f>
        <v>40384</v>
      </c>
      <c r="E48" s="99">
        <v>38.9</v>
      </c>
      <c r="F48" s="99">
        <v>39</v>
      </c>
      <c r="G48" s="114" t="s">
        <v>82</v>
      </c>
      <c r="H48" s="115">
        <v>0.19750000000000001</v>
      </c>
      <c r="I48" s="115">
        <v>0.22750000000000001</v>
      </c>
      <c r="J48" s="103"/>
      <c r="K48" s="104" t="e">
        <f ca="1">EBlackScholesForward("p",$G48,$E48,$F48,$C48/365,$C48/365,$I$2,H48)</f>
        <v>#VALUE!</v>
      </c>
      <c r="L48" s="118" t="e">
        <f ca="1">EBlackScholesForward("d",G48,E48,F48,C48/365,C48/365,$I$2,H48)</f>
        <v>#VALUE!</v>
      </c>
      <c r="M48" s="104" t="e">
        <f ca="1">EBlackScholesForward("g",G48,E48,F48,C48/365,C48/365,$I$2,H48)</f>
        <v>#VALUE!</v>
      </c>
      <c r="N48" s="104" t="e">
        <f ca="1">EBlackScholesForward("v",G48,E48,F48,C48/365,C48/365,$I$2,H48)</f>
        <v>#VALUE!</v>
      </c>
      <c r="O48" s="104" t="e">
        <f ca="1">EBlackScholesForward("t",G48,E48,F48,C48/365,C48/365,$I$2,H48)</f>
        <v>#VALUE!</v>
      </c>
      <c r="P48" s="103"/>
      <c r="Q48" s="104" t="e">
        <f ca="1">EBlackScholesForward("p",$G48,$E48,$F48,$C48/365,$C48/365,$I$2,$I48)</f>
        <v>#VALUE!</v>
      </c>
      <c r="R48" s="105" t="e">
        <f ca="1">EBlackScholesForward("d",$G48,$E48,$F48,$C48/365,$C48/365,$I$2,$I48)</f>
        <v>#VALUE!</v>
      </c>
      <c r="S48" s="104" t="e">
        <f ca="1">EBlackScholesForward("g",$G48,$E48,$F48,$C48/365,$C48/365,$I$2,$I48)</f>
        <v>#VALUE!</v>
      </c>
      <c r="T48" s="104" t="e">
        <f ca="1">EBlackScholesForward("v",$G48,$E48,$F48,$C48/365,$C48/365,$I$2,$I48)</f>
        <v>#VALUE!</v>
      </c>
      <c r="U48" s="104" t="e">
        <f ca="1">EBlackScholesForward("t",$G48,$E48,$F48,$C48/365,$C48/365,$I$2,$I48)</f>
        <v>#VALUE!</v>
      </c>
    </row>
    <row r="49" spans="2:21" ht="12.75">
      <c r="B49" s="96">
        <f ca="1">B48</f>
        <v>40354</v>
      </c>
      <c r="C49" s="97">
        <f ca="1">B49-TODAY()</f>
        <v>-718</v>
      </c>
      <c r="D49" s="98">
        <f ca="1">B49+30</f>
        <v>40384</v>
      </c>
      <c r="E49" s="99">
        <f ca="1">E48</f>
        <v>38.9</v>
      </c>
      <c r="F49" s="99">
        <v>39</v>
      </c>
      <c r="G49" s="114" t="s">
        <v>80</v>
      </c>
      <c r="H49" s="115">
        <v>0.19750000000000001</v>
      </c>
      <c r="I49" s="115">
        <v>0.22750000000000001</v>
      </c>
      <c r="J49" s="103"/>
      <c r="K49" s="106" t="e">
        <f ca="1">EBlackScholesForward("p",$G49,$E49,$F49,$C49/365,$C49/365,$I$2,H49)</f>
        <v>#VALUE!</v>
      </c>
      <c r="L49" s="120" t="e">
        <f ca="1">EBlackScholesForward("d",G49,E49,F49,C49/365,C49/365,$I$2,H49)</f>
        <v>#VALUE!</v>
      </c>
      <c r="M49" s="106" t="e">
        <f ca="1">EBlackScholesForward("g",G49,E49,F49,C49/365,C49/365,$I$2,H49)</f>
        <v>#VALUE!</v>
      </c>
      <c r="N49" s="106" t="e">
        <f ca="1">EBlackScholesForward("v",G49,E49,F49,C49/365,C49/365,$I$2,H49)</f>
        <v>#VALUE!</v>
      </c>
      <c r="O49" s="106" t="e">
        <f ca="1">EBlackScholesForward("t",G49,E49,F49,C49/365,C49/365,$I$2,H49)</f>
        <v>#VALUE!</v>
      </c>
      <c r="P49" s="103"/>
      <c r="Q49" s="106" t="e">
        <f ca="1">EBlackScholesForward("p",$G49,$E49,$F49,$C49/365,$C49/365,$I$2,$I49)</f>
        <v>#VALUE!</v>
      </c>
      <c r="R49" s="107" t="e">
        <f ca="1">EBlackScholesForward("d",$G49,$E49,$F49,$C49/365,$C49/365,$I$2,$I49)</f>
        <v>#VALUE!</v>
      </c>
      <c r="S49" s="106" t="e">
        <f ca="1">EBlackScholesForward("g",$G49,$E49,$F49,$C49/365,$C49/365,$I$2,$I49)</f>
        <v>#VALUE!</v>
      </c>
      <c r="T49" s="106" t="e">
        <f ca="1">EBlackScholesForward("v",$G49,$E49,$F49,$C49/365,$C49/365,$I$2,$I49)</f>
        <v>#VALUE!</v>
      </c>
      <c r="U49" s="106" t="e">
        <f ca="1">EBlackScholesForward("t",$G49,$E49,$F49,$C49/365,$C49/365,$I$2,$I49)</f>
        <v>#VALUE!</v>
      </c>
    </row>
    <row r="50" spans="2:21" ht="12.75">
      <c r="B50" s="96">
        <f ca="1">B49</f>
        <v>40354</v>
      </c>
      <c r="C50" s="97">
        <f ca="1">B50-TODAY()</f>
        <v>-718</v>
      </c>
      <c r="D50" s="98">
        <f ca="1">B50+30</f>
        <v>40384</v>
      </c>
      <c r="E50" s="100">
        <f ca="1">E49</f>
        <v>38.9</v>
      </c>
      <c r="F50" s="100">
        <v>49</v>
      </c>
      <c r="G50" s="101" t="s">
        <v>82</v>
      </c>
      <c r="H50" s="102">
        <v>0.245</v>
      </c>
      <c r="I50" s="102">
        <v>0.24349999999999999</v>
      </c>
      <c r="J50" s="103"/>
      <c r="K50" s="104" t="e">
        <f ca="1">EBlackScholesForward("p",$G50,$E50,$F50,$C50/365,$C50/365,$I$2,H50)</f>
        <v>#VALUE!</v>
      </c>
      <c r="L50" s="105" t="e">
        <f ca="1">EBlackScholesForward("d",G50,E50,F50,C50/365,C50/365,$I$2,H50)</f>
        <v>#VALUE!</v>
      </c>
      <c r="M50" s="104" t="e">
        <f ca="1">EBlackScholesForward("g",G50,E50,F50,C50/365,C50/365,$I$2,H50)</f>
        <v>#VALUE!</v>
      </c>
      <c r="N50" s="104" t="e">
        <f ca="1">EBlackScholesForward("v",G50,E50,F50,C50/365,C50/365,$I$2,H50)</f>
        <v>#VALUE!</v>
      </c>
      <c r="O50" s="104" t="e">
        <f ca="1">EBlackScholesForward("t",G50,E50,F50,C50/365,C50/365,$I$2,H50)</f>
        <v>#VALUE!</v>
      </c>
      <c r="P50" s="103"/>
      <c r="Q50" s="104" t="e">
        <f ca="1">EBlackScholesForward("p",$G50,$E50,$F50,$C50/365,$C50/365,$I$2,$I50)</f>
        <v>#VALUE!</v>
      </c>
      <c r="R50" s="105" t="e">
        <f ca="1">EBlackScholesForward("d",$G50,$E50,$F50,$C50/365,$C50/365,$I$2,$I50)</f>
        <v>#VALUE!</v>
      </c>
      <c r="S50" s="104" t="e">
        <f ca="1">EBlackScholesForward("g",$G50,$E50,$F50,$C50/365,$C50/365,$I$2,$I50)</f>
        <v>#VALUE!</v>
      </c>
      <c r="T50" s="104" t="e">
        <f ca="1">EBlackScholesForward("v",$G50,$E50,$F50,$C50/365,$C50/365,$I$2,$I50)</f>
        <v>#VALUE!</v>
      </c>
      <c r="U50" s="104" t="e">
        <f ca="1">EBlackScholesForward("t",$G50,$E50,$F50,$C50/365,$C50/365,$I$2,$I50)</f>
        <v>#VALUE!</v>
      </c>
    </row>
    <row r="51" spans="2:21" ht="12.75">
      <c r="B51" s="96">
        <v>40354</v>
      </c>
      <c r="C51" s="97">
        <f ca="1">B51-TODAY()</f>
        <v>-718</v>
      </c>
      <c r="D51" s="98">
        <f ca="1">B51+30</f>
        <v>40384</v>
      </c>
      <c r="E51" s="100">
        <f ca="1">E50</f>
        <v>38.9</v>
      </c>
      <c r="F51" s="100">
        <v>55</v>
      </c>
      <c r="G51" s="101" t="s">
        <v>82</v>
      </c>
      <c r="H51" s="102">
        <v>0.219</v>
      </c>
      <c r="I51" s="102">
        <v>0.22800000000000001</v>
      </c>
      <c r="J51" s="103"/>
      <c r="K51" s="106" t="e">
        <f ca="1">EBlackScholesForward("p",$G51,$E51,$F51,$C51/365,$C51/365,$I$2,H51)</f>
        <v>#VALUE!</v>
      </c>
      <c r="L51" s="107" t="e">
        <f ca="1">EBlackScholesForward("d",G51,E51,F51,C51/365,C51/365,$I$2,H51)</f>
        <v>#VALUE!</v>
      </c>
      <c r="M51" s="106" t="e">
        <f ca="1">EBlackScholesForward("g",G51,E51,F51,C51/365,C51/365,$I$2,H51)</f>
        <v>#VALUE!</v>
      </c>
      <c r="N51" s="106" t="e">
        <f ca="1">EBlackScholesForward("v",G51,E51,F51,C51/365,C51/365,$I$2,H51)</f>
        <v>#VALUE!</v>
      </c>
      <c r="O51" s="106" t="e">
        <f ca="1">EBlackScholesForward("t",G51,E51,F51,C51/365,C51/365,$I$2,H51)</f>
        <v>#VALUE!</v>
      </c>
      <c r="P51" s="103"/>
      <c r="Q51" s="106" t="e">
        <f ca="1">EBlackScholesForward("p",$G51,$E51,$F51,$C51/365,$C51/365,$I$2,$I51)</f>
        <v>#VALUE!</v>
      </c>
      <c r="R51" s="107" t="e">
        <f ca="1">EBlackScholesForward("d",$G51,$E51,$F51,$C51/365,$C51/365,$I$2,$I51)</f>
        <v>#VALUE!</v>
      </c>
      <c r="S51" s="106" t="e">
        <f ca="1">EBlackScholesForward("g",$G51,$E51,$F51,$C51/365,$C51/365,$I$2,$I51)</f>
        <v>#VALUE!</v>
      </c>
      <c r="T51" s="106" t="e">
        <f ca="1">EBlackScholesForward("v",$G51,$E51,$F51,$C51/365,$C51/365,$I$2,$I51)</f>
        <v>#VALUE!</v>
      </c>
      <c r="U51" s="106" t="e">
        <f ca="1">EBlackScholesForward("t",$G51,$E51,$F51,$C51/365,$C51/365,$I$2,$I51)</f>
        <v>#VALUE!</v>
      </c>
    </row>
    <row r="52" spans="2:21" ht="12.75">
      <c r="B52" s="96">
        <f ca="1">B51</f>
        <v>40354</v>
      </c>
      <c r="C52" s="97">
        <f ca="1">B52-TODAY()</f>
        <v>-718</v>
      </c>
      <c r="D52" s="98">
        <f ca="1">B52+30</f>
        <v>40384</v>
      </c>
      <c r="E52" s="100">
        <f ca="1">E51</f>
        <v>38.9</v>
      </c>
      <c r="F52" s="100">
        <v>42</v>
      </c>
      <c r="G52" s="101" t="s">
        <v>80</v>
      </c>
      <c r="H52" s="102">
        <v>0.22</v>
      </c>
      <c r="I52" s="102">
        <v>0.22800000000000001</v>
      </c>
      <c r="J52" s="103"/>
      <c r="K52" s="104" t="e">
        <f ca="1">EBlackScholesForward("p",$G52,$E52,$F52,$C52/365,$C52/365,$I$2,H52)</f>
        <v>#VALUE!</v>
      </c>
      <c r="L52" s="105" t="e">
        <f ca="1">EBlackScholesForward("d",G52,E52,F52,C52/365,C52/365,$I$2,H52)</f>
        <v>#VALUE!</v>
      </c>
      <c r="M52" s="104" t="e">
        <f ca="1">EBlackScholesForward("g",G52,E52,F52,C52/365,C52/365,$I$2,H52)</f>
        <v>#VALUE!</v>
      </c>
      <c r="N52" s="104" t="e">
        <f ca="1">EBlackScholesForward("v",G52,E52,F52,C52/365,C52/365,$I$2,H52)</f>
        <v>#VALUE!</v>
      </c>
      <c r="O52" s="104" t="e">
        <f ca="1">EBlackScholesForward("t",G52,E52,F52,C52/365,C52/365,$I$2,H52)</f>
        <v>#VALUE!</v>
      </c>
      <c r="P52" s="103"/>
      <c r="Q52" s="104" t="e">
        <f ca="1">EBlackScholesForward("p",$G52,$E52,$F52,$C52/365,$C52/365,$I$2,$I52)</f>
        <v>#VALUE!</v>
      </c>
      <c r="R52" s="105" t="e">
        <f ca="1">EBlackScholesForward("d",$G52,$E52,$F52,$C52/365,$C52/365,$I$2,$I52)</f>
        <v>#VALUE!</v>
      </c>
      <c r="S52" s="104" t="e">
        <f ca="1">EBlackScholesForward("g",$G52,$E52,$F52,$C52/365,$C52/365,$I$2,$I52)</f>
        <v>#VALUE!</v>
      </c>
      <c r="T52" s="104" t="e">
        <f ca="1">EBlackScholesForward("v",$G52,$E52,$F52,$C52/365,$C52/365,$I$2,$I52)</f>
        <v>#VALUE!</v>
      </c>
      <c r="U52" s="104" t="e">
        <f ca="1">EBlackScholesForward("t",$G52,$E52,$F52,$C52/365,$C52/365,$I$2,$I52)</f>
        <v>#VALUE!</v>
      </c>
    </row>
    <row r="53" spans="2:21" ht="12.75">
      <c r="B53" s="92" t="s">
        <v>88</v>
      </c>
      <c r="C53" s="103"/>
      <c r="D53" s="103"/>
      <c r="E53" s="108"/>
      <c r="F53" s="108"/>
      <c r="G53" s="109"/>
      <c r="H53" s="108"/>
      <c r="I53" s="108"/>
      <c r="J53" s="103"/>
      <c r="K53" s="117">
        <f ca="1">K54+K55</f>
        <v>0.31261611382232063</v>
      </c>
      <c r="L53" s="103"/>
      <c r="M53" s="103"/>
      <c r="N53" s="103"/>
      <c r="O53" s="103"/>
      <c r="P53" s="103"/>
      <c r="Q53" s="117">
        <f ca="1">Q54+Q55</f>
        <v>0.36389110242441236</v>
      </c>
      <c r="R53" s="103"/>
      <c r="S53" s="103"/>
      <c r="T53" s="103"/>
      <c r="U53" s="103"/>
    </row>
    <row r="54" spans="2:21" ht="12.75">
      <c r="B54" s="96">
        <v>41255</v>
      </c>
      <c r="C54" s="97">
        <f ca="1">B54-TODAY()</f>
        <v>183</v>
      </c>
      <c r="D54" s="98">
        <f ca="1">B54+30</f>
        <v>41285</v>
      </c>
      <c r="E54" s="100">
        <v>6.75</v>
      </c>
      <c r="F54" s="100">
        <v>10</v>
      </c>
      <c r="G54" s="101" t="s">
        <v>82</v>
      </c>
      <c r="H54" s="102">
        <v>0.55800000000000005</v>
      </c>
      <c r="I54" s="102">
        <v>0.57899999999999996</v>
      </c>
      <c r="J54" s="103"/>
      <c r="K54" s="104">
        <f ca="1">EBlackScholesForward("p",$G54,$E54,$F54,$C54/365,$C54/365,$I$2,H54)</f>
        <v>0.26811269670019844</v>
      </c>
      <c r="L54" s="105">
        <f ca="1">EBlackScholesForward("d",G54,E54,F54,C54/365,C54/365,$I$2,H54)</f>
        <v>0.21133173125457705</v>
      </c>
      <c r="M54" s="104">
        <f ca="1">EBlackScholesForward("g",G54,E54,F54,C54/365,C54/365,$I$2,H54)</f>
        <v>0.1081829385873867</v>
      </c>
      <c r="N54" s="104">
        <f ca="1">EBlackScholesForward("v",G54,E54,F54,C54/365,C54/365,$I$2,H54)</f>
        <v>1.3788287524168247E-2</v>
      </c>
      <c r="O54" s="104">
        <f ca="1">EBlackScholesForward("t",G54,E54,F54,C54/365,C54/365,$I$2,H54)</f>
        <v>-2.0934123277723815E-3</v>
      </c>
      <c r="P54" s="103"/>
      <c r="Q54" s="104">
        <f ca="1">EBlackScholesForward("p",$G54,$E54,$F54,$C54/365,$C54/365,$I$2,$I54)</f>
        <v>0.29757522234275302</v>
      </c>
      <c r="R54" s="105">
        <f ca="1">EBlackScholesForward("d",$G54,$E54,$F54,$C54/365,$C54/365,$I$2,$I54)</f>
        <v>0.22410283986245838</v>
      </c>
      <c r="S54" s="104">
        <f ca="1">EBlackScholesForward("g",$G54,$E54,$F54,$C54/365,$C54/365,$I$2,$I54)</f>
        <v>0.10783740318653923</v>
      </c>
      <c r="T54" s="104">
        <f ca="1">EBlackScholesForward("v",$G54,$E54,$F54,$C54/365,$C54/365,$I$2,$I54)</f>
        <v>1.4261670687634925E-2</v>
      </c>
      <c r="U54" s="104">
        <f ca="1">EBlackScholesForward("t",$G54,$E54,$F54,$C54/365,$C54/365,$I$2,$I54)</f>
        <v>-2.2466376568426316E-3</v>
      </c>
    </row>
    <row r="55" spans="2:21" ht="12.75">
      <c r="B55" s="96">
        <f ca="1">B54</f>
        <v>41255</v>
      </c>
      <c r="C55" s="97">
        <f ca="1">B55-TODAY()</f>
        <v>183</v>
      </c>
      <c r="D55" s="98">
        <f ca="1">B55+30</f>
        <v>41285</v>
      </c>
      <c r="E55" s="100">
        <v>6.6</v>
      </c>
      <c r="F55" s="100">
        <v>15</v>
      </c>
      <c r="G55" s="101" t="s">
        <v>82</v>
      </c>
      <c r="H55" s="102">
        <v>0.60599999999999998</v>
      </c>
      <c r="I55" s="102">
        <v>0.65</v>
      </c>
      <c r="J55" s="103"/>
      <c r="K55" s="104">
        <f ca="1">EBlackScholesForward("p",$G55,$E55,$F55,$C55/365,$C55/365,$I$2,H55)</f>
        <v>4.4503417122122177E-2</v>
      </c>
      <c r="L55" s="105">
        <f ca="1">EBlackScholesForward("d",G55,E55,F55,C55/365,C55/365,$I$2,H55)</f>
        <v>4.4404723502597387E-2</v>
      </c>
      <c r="M55" s="104">
        <f ca="1">EBlackScholesForward("g",G55,E55,F55,C55/365,C55/365,$I$2,H55)</f>
        <v>3.307223068058085E-2</v>
      </c>
      <c r="N55" s="104">
        <f ca="1">EBlackScholesForward("v",G55,E55,F55,C55/365,C55/365,$I$2,H55)</f>
        <v>4.3774617716953561E-3</v>
      </c>
      <c r="O55" s="104">
        <f ca="1">EBlackScholesForward("t",G55,E55,F55,C55/365,C55/365,$I$2,H55)</f>
        <v>-7.2063250163485054E-4</v>
      </c>
      <c r="P55" s="103"/>
      <c r="Q55" s="104">
        <f ca="1">EBlackScholesForward("p",$G55,$E55,$F55,$C55/365,$C55/365,$I$2,$I55)</f>
        <v>6.631588008165934E-2</v>
      </c>
      <c r="R55" s="105">
        <f ca="1">EBlackScholesForward("d",$G55,$E55,$F55,$C55/365,$C55/365,$I$2,$I55)</f>
        <v>5.9758265771669983E-2</v>
      </c>
      <c r="S55" s="104">
        <f ca="1">EBlackScholesForward("g",$G55,$E55,$F55,$C55/365,$C55/365,$I$2,$I55)</f>
        <v>3.9038598804441715E-2</v>
      </c>
      <c r="T55" s="104">
        <f ca="1">EBlackScholesForward("v",$G55,$E55,$F55,$C55/365,$C55/365,$I$2,$I55)</f>
        <v>5.5418797098215969E-3</v>
      </c>
      <c r="U55" s="104">
        <f ca="1">EBlackScholesForward("t",$G55,$E55,$F55,$C55/365,$C55/365,$I$2,$I55)</f>
        <v>-9.7909861381435814E-4</v>
      </c>
    </row>
    <row r="56" spans="2:21" ht="12.75">
      <c r="B56" s="96">
        <f ca="1">B55</f>
        <v>41255</v>
      </c>
      <c r="C56" s="97">
        <f ca="1">B56-TODAY()</f>
        <v>183</v>
      </c>
      <c r="D56" s="98">
        <f ca="1">B56+30</f>
        <v>41285</v>
      </c>
      <c r="E56" s="100">
        <v>6.75</v>
      </c>
      <c r="F56" s="100">
        <v>6</v>
      </c>
      <c r="G56" s="101" t="s">
        <v>80</v>
      </c>
      <c r="H56" s="102">
        <v>0.63200000000000001</v>
      </c>
      <c r="I56" s="102">
        <v>0.63800000000000001</v>
      </c>
      <c r="J56" s="103"/>
      <c r="K56" s="104">
        <f ca="1">EBlackScholesForward("p",$G56,$E56,$F56,$C56/365,$C56/365,$I$2,H56)</f>
        <v>0.78691398814955316</v>
      </c>
      <c r="L56" s="105">
        <f ca="1">EBlackScholesForward("d",G56,E56,F56,C56/365,C56/365,$I$2,H56)</f>
        <v>-0.31119037592561849</v>
      </c>
      <c r="M56" s="104">
        <f ca="1">EBlackScholesForward("g",G56,E56,F56,C56/365,C56/365,$I$2,H56)</f>
        <v>0.11657300510226065</v>
      </c>
      <c r="N56" s="104">
        <f ca="1">EBlackScholesForward("v",G56,E56,F56,C56/365,C56/365,$I$2,H56)</f>
        <v>1.6829687746942712E-2</v>
      </c>
      <c r="O56" s="104">
        <f ca="1">EBlackScholesForward("t",G56,E56,F56,C56/365,C56/365,$I$2,H56)</f>
        <v>-2.8831949508899557E-3</v>
      </c>
      <c r="P56" s="103"/>
      <c r="Q56" s="104">
        <f ca="1">EBlackScholesForward("p",$G56,$E56,$F56,$C56/365,$C56/365,$I$2,$I56)</f>
        <v>0.79701279133385394</v>
      </c>
      <c r="R56" s="105">
        <f ca="1">EBlackScholesForward("d",$G56,$E56,$F56,$C56/365,$C56/365,$I$2,$I56)</f>
        <v>-0.31131397910558745</v>
      </c>
      <c r="S56" s="104">
        <f ca="1">EBlackScholesForward("g",$G56,$E56,$F56,$C56/365,$C56/365,$I$2,$I56)</f>
        <v>0.11549644072017529</v>
      </c>
      <c r="T56" s="104">
        <f ca="1">EBlackScholesForward("v",$G56,$E56,$F56,$C56/365,$C56/365,$I$2,$I56)</f>
        <v>1.6832568963649042E-2</v>
      </c>
      <c r="U56" s="104">
        <f ca="1">EBlackScholesForward("t",$G56,$E56,$F56,$C56/365,$C56/365,$I$2,$I56)</f>
        <v>-2.9109881197871834E-3</v>
      </c>
    </row>
    <row r="57" spans="2:21" ht="12.75">
      <c r="B57" s="96">
        <v>41255</v>
      </c>
      <c r="C57" s="97">
        <f ca="1">B57-TODAY()</f>
        <v>183</v>
      </c>
      <c r="D57" s="98">
        <f ca="1">B57+30</f>
        <v>41285</v>
      </c>
      <c r="E57" s="100">
        <v>6.75</v>
      </c>
      <c r="F57" s="100">
        <v>12</v>
      </c>
      <c r="G57" s="101" t="s">
        <v>82</v>
      </c>
      <c r="H57" s="102">
        <v>0.55300000000000005</v>
      </c>
      <c r="I57" s="102">
        <v>0.59650000000000003</v>
      </c>
      <c r="J57" s="103"/>
      <c r="K57" s="104">
        <f ca="1">EBlackScholesForward("p",$G57,$E57,$F57,$C57/365,$C57/365,$I$2,H57)</f>
        <v>0.10850678921242354</v>
      </c>
      <c r="L57" s="105">
        <f ca="1">EBlackScholesForward("d",G57,E57,F57,C57/365,C57/365,$I$2,H57)</f>
        <v>0.10076729360673012</v>
      </c>
      <c r="M57" s="104">
        <f ca="1">EBlackScholesForward("g",G57,E57,F57,C57/365,C57/365,$I$2,H57)</f>
        <v>6.6657339942849392E-2</v>
      </c>
      <c r="N57" s="104">
        <f ca="1">EBlackScholesForward("v",G57,E57,F57,C57/365,C57/365,$I$2,H57)</f>
        <v>8.4195994886889711E-3</v>
      </c>
      <c r="O57" s="104">
        <f ca="1">EBlackScholesForward("t",G57,E57,F57,C57/365,C57/365,$I$2,H57)</f>
        <v>-1.2666524036903104E-3</v>
      </c>
      <c r="P57" s="103"/>
      <c r="Q57" s="104">
        <f ca="1">EBlackScholesForward("p",$G57,$E57,$F57,$C57/365,$C57/365,$I$2,$I57)</f>
        <v>0.14811140231527734</v>
      </c>
      <c r="R57" s="105">
        <f ca="1">EBlackScholesForward("d",$G57,$E57,$F57,$C57/365,$C57/365,$I$2,$I57)</f>
        <v>0.12407498137734507</v>
      </c>
      <c r="S57" s="104">
        <f ca="1">EBlackScholesForward("g",$G57,$E57,$F57,$C57/365,$C57/365,$I$2,$I57)</f>
        <v>7.1695186908971031E-2</v>
      </c>
      <c r="T57" s="104">
        <f ca="1">EBlackScholesForward("v",$G57,$E57,$F57,$C57/365,$C57/365,$I$2,$I57)</f>
        <v>9.7683034994335838E-3</v>
      </c>
      <c r="U57" s="104">
        <f ca="1">EBlackScholesForward("t",$G57,$E57,$F57,$C57/365,$C57/365,$I$2,$I57)</f>
        <v>-1.5854021636197979E-3</v>
      </c>
    </row>
    <row r="58" spans="2:21" ht="12.75">
      <c r="B58" s="96">
        <v>41255</v>
      </c>
      <c r="C58" s="97">
        <f ca="1">B58-TODAY()</f>
        <v>183</v>
      </c>
      <c r="D58" s="98">
        <f ca="1">B58+30</f>
        <v>41285</v>
      </c>
      <c r="E58" s="100">
        <v>45.4</v>
      </c>
      <c r="F58" s="100">
        <v>40</v>
      </c>
      <c r="G58" s="101" t="s">
        <v>80</v>
      </c>
      <c r="H58" s="102">
        <v>0.19500000000000001</v>
      </c>
      <c r="I58" s="102">
        <v>0.24</v>
      </c>
      <c r="J58" s="103"/>
      <c r="K58" s="104">
        <f ca="1">EBlackScholesForward("p",$G58,$E58,$F58,$C58/365,$C58/365,$I$2,H58)</f>
        <v>0.568196332440986</v>
      </c>
      <c r="L58" s="105">
        <f ca="1">EBlackScholesForward("d",G58,E58,F58,C58/365,C58/365,$I$2,H58)</f>
        <v>-0.16101281849228433</v>
      </c>
      <c r="M58" s="104">
        <f ca="1">EBlackScholesForward("g",G58,E58,F58,C58/365,C58/365,$I$2,H58)</f>
        <v>3.8889867025604374E-2</v>
      </c>
      <c r="N58" s="104">
        <f ca="1">EBlackScholesForward("v",G58,E58,F58,C58/365,C58/365,$I$2,H58)</f>
        <v>7.8305548921502821E-2</v>
      </c>
      <c r="O58" s="104">
        <f ca="1">EBlackScholesForward("t",G58,E58,F58,C58/365,C58/365,$I$2,H58)</f>
        <v>-4.1569756940589286E-3</v>
      </c>
      <c r="P58" s="103"/>
      <c r="Q58" s="104">
        <f ca="1">EBlackScholesForward("p",$G58,$E58,$F58,$C58/365,$C58/365,$I$2,$I58)</f>
        <v>0.94987805177783147</v>
      </c>
      <c r="R58" s="105">
        <f ca="1">EBlackScholesForward("d",$G58,$E58,$F58,$C58/365,$C58/365,$I$2,$I58)</f>
        <v>-0.20196050976980517</v>
      </c>
      <c r="S58" s="104">
        <f ca="1">EBlackScholesForward("g",$G58,$E58,$F58,$C58/365,$C58/365,$I$2,$I58)</f>
        <v>3.6408205217330902E-2</v>
      </c>
      <c r="T58" s="104">
        <f ca="1">EBlackScholesForward("v",$G58,$E58,$F58,$C58/365,$C58/365,$I$2,$I58)</f>
        <v>9.0262582923176626E-2</v>
      </c>
      <c r="U58" s="104">
        <f ca="1">EBlackScholesForward("t",$G58,$E58,$F58,$C58/365,$C58/365,$I$2,$I58)</f>
        <v>-5.8925396314105649E-3</v>
      </c>
    </row>
    <row r="59" spans="2:21" ht="12.75">
      <c r="B59" s="92" t="s">
        <v>88</v>
      </c>
      <c r="C59" s="103"/>
      <c r="D59" s="103"/>
      <c r="E59" s="108"/>
      <c r="F59" s="108"/>
      <c r="G59" s="109"/>
      <c r="H59" s="108"/>
      <c r="I59" s="108"/>
      <c r="J59" s="103"/>
      <c r="K59" s="124">
        <f ca="1">K57+K58</f>
        <v>0.67670312165340951</v>
      </c>
      <c r="L59" s="103"/>
      <c r="M59" s="103"/>
      <c r="N59" s="103"/>
      <c r="O59" s="103"/>
      <c r="P59" s="103"/>
      <c r="Q59" s="116">
        <f ca="1">Q57+Q58</f>
        <v>1.0979894540931088</v>
      </c>
      <c r="R59" s="103"/>
      <c r="S59" s="103"/>
      <c r="T59" s="103"/>
      <c r="U59" s="103"/>
    </row>
    <row r="60" spans="2:21" ht="12.75">
      <c r="B60" s="96">
        <v>41255</v>
      </c>
      <c r="C60" s="97">
        <f ca="1">B60-TODAY()</f>
        <v>183</v>
      </c>
      <c r="D60" s="98">
        <f ca="1">B60+30</f>
        <v>41285</v>
      </c>
      <c r="E60" s="100">
        <v>13</v>
      </c>
      <c r="F60" s="100">
        <v>19</v>
      </c>
      <c r="G60" s="114" t="s">
        <v>82</v>
      </c>
      <c r="H60" s="102">
        <v>0.34499999999999997</v>
      </c>
      <c r="I60" s="102">
        <v>0.37</v>
      </c>
      <c r="J60" s="103"/>
      <c r="K60" s="104">
        <f ca="1">EBlackScholesForward("p",$G60,$E60,$F60,$C60/365,$C60/365,$I$2,H60)</f>
        <v>9.8335573293565987E-2</v>
      </c>
      <c r="L60" s="105">
        <f ca="1">EBlackScholesForward("d",G60,E60,F60,C60/365,C60/365,$I$2,H60)</f>
        <v>7.5693259163892718E-2</v>
      </c>
      <c r="M60" s="104">
        <f ca="1">EBlackScholesForward("g",G60,E60,F60,C60/365,C60/365,$I$2,H60)</f>
        <v>4.4820884499835456E-2</v>
      </c>
      <c r="N60" s="104">
        <f ca="1">EBlackScholesForward("v",G60,E60,F60,C60/365,C60/365,$I$2,H60)</f>
        <v>1.3099454241919599E-2</v>
      </c>
      <c r="O60" s="104">
        <f ca="1">EBlackScholesForward("t",G60,E60,F60,C60/365,C60/365,$I$2,H60)</f>
        <v>-1.2293503801627387E-3</v>
      </c>
      <c r="P60" s="103"/>
      <c r="Q60" s="104">
        <f ca="1">EBlackScholesForward("p",$G60,$E60,$F60,$C60/365,$C60/365,$I$2,$I60)</f>
        <v>0.13388996310328896</v>
      </c>
      <c r="R60" s="104">
        <f ca="1">EBlackScholesForward("d",$G60,$E60,$F60,$C60/365,$C60/365,$I$2,$I60)</f>
        <v>9.3248211305159423E-2</v>
      </c>
      <c r="S60" s="104">
        <f ca="1">EBlackScholesForward("g",$G60,$E60,$F60,$C60/365,$C60/365,$I$2,$I60)</f>
        <v>4.8869050238986578E-2</v>
      </c>
      <c r="T60" s="104">
        <f ca="1">EBlackScholesForward("v",$G60,$E60,$F60,$C60/365,$C60/365,$I$2,$I60)</f>
        <v>1.5317079205580258E-2</v>
      </c>
      <c r="U60" s="104">
        <f ca="1">EBlackScholesForward("t",$G60,$E60,$F60,$C60/365,$C60/365,$I$2,$I60)</f>
        <v>-1.5419913056120282E-3</v>
      </c>
    </row>
    <row r="61" spans="2:21" ht="12.75">
      <c r="B61" s="96">
        <f ca="1">B60</f>
        <v>41255</v>
      </c>
      <c r="C61" s="97">
        <f ca="1">B61-TODAY()</f>
        <v>183</v>
      </c>
      <c r="D61" s="98">
        <f ca="1">B61+30</f>
        <v>41285</v>
      </c>
      <c r="E61" s="100">
        <v>13.2</v>
      </c>
      <c r="F61" s="100">
        <v>14</v>
      </c>
      <c r="G61" s="101" t="s">
        <v>82</v>
      </c>
      <c r="H61" s="102">
        <v>0.39</v>
      </c>
      <c r="I61" s="102">
        <v>0.40500000000000003</v>
      </c>
      <c r="J61" s="103"/>
      <c r="K61" s="106">
        <f ca="1">EBlackScholesForward("p",$G61,$E61,$F61,$C61/365,$C61/365,$I$2,H61)</f>
        <v>1.1200404601485936</v>
      </c>
      <c r="L61" s="107">
        <f ca="1">EBlackScholesForward("d",G61,E61,F61,C61/365,C61/365,$I$2,H61)</f>
        <v>0.46717005470172657</v>
      </c>
      <c r="M61" s="106">
        <f ca="1">EBlackScholesForward("g",G61,E61,F61,C61/365,C61/365,$I$2,H61)</f>
        <v>0.10845483611854334</v>
      </c>
      <c r="N61" s="106">
        <f ca="1">EBlackScholesForward("v",G61,E61,F61,C61/365,C61/365,$I$2,H61)</f>
        <v>3.694983499428306E-2</v>
      </c>
      <c r="O61" s="106">
        <f ca="1">EBlackScholesForward("t",G61,E61,F61,C61/365,C61/365,$I$2,H61)</f>
        <v>-3.9043718632290059E-3</v>
      </c>
      <c r="P61" s="103"/>
      <c r="Q61" s="106">
        <f ca="1">EBlackScholesForward("p",$G61,$E61,$F61,$C61/365,$C61/365,$I$2,$I61)</f>
        <v>1.1754921785256887</v>
      </c>
      <c r="R61" s="107">
        <f ca="1">EBlackScholesForward("d",$G61,$E61,$F61,$C61/365,$C61/365,$I$2,$I61)</f>
        <v>0.47239180626806876</v>
      </c>
      <c r="S61" s="106">
        <f ca="1">EBlackScholesForward("g",$G61,$E61,$F61,$C61/365,$C61/365,$I$2,$I61)</f>
        <v>0.10453234847274118</v>
      </c>
      <c r="T61" s="106">
        <f ca="1">EBlackScholesForward("v",$G61,$E61,$F61,$C61/365,$C61/365,$I$2,$I61)</f>
        <v>3.6983293005559803E-2</v>
      </c>
      <c r="U61" s="106">
        <f ca="1">EBlackScholesForward("t",$G61,$E61,$F61,$C61/365,$C61/365,$I$2,$I61)</f>
        <v>-4.0578421789656538E-3</v>
      </c>
    </row>
    <row r="62" spans="2:21" ht="12.75">
      <c r="B62" s="96">
        <f ca="1">B61</f>
        <v>41255</v>
      </c>
      <c r="C62" s="97">
        <f ca="1">B62-TODAY()</f>
        <v>183</v>
      </c>
      <c r="D62" s="98">
        <f ca="1">B62+30</f>
        <v>41285</v>
      </c>
      <c r="E62" s="100">
        <v>13.2</v>
      </c>
      <c r="F62" s="100">
        <v>13</v>
      </c>
      <c r="G62" s="101" t="s">
        <v>82</v>
      </c>
      <c r="H62" s="102">
        <v>0.38400000000000001</v>
      </c>
      <c r="I62" s="102">
        <v>0.41</v>
      </c>
      <c r="J62" s="103"/>
      <c r="K62" s="104">
        <f ca="1">EBlackScholesForward("p",$G62,$E62,$F62,$C62/365,$C62/365,$I$2,H62)</f>
        <v>1.5093569435498708</v>
      </c>
      <c r="L62" s="105">
        <f ca="1">EBlackScholesForward("d",G62,E62,F62,C62/365,C62/365,$I$2,H62)</f>
        <v>0.57256869580799563</v>
      </c>
      <c r="M62" s="104">
        <f ca="1">EBlackScholesForward("g",G62,E62,F62,C62/365,C62/365,$I$2,H62)</f>
        <v>0.10844024085354675</v>
      </c>
      <c r="N62" s="104">
        <f ca="1">EBlackScholesForward("v",G62,E62,F62,C62/365,C62/365,$I$2,H62)</f>
        <v>3.6376977405568223E-2</v>
      </c>
      <c r="O62" s="104">
        <f ca="1">EBlackScholesForward("t",G62,E62,F62,C62/365,C62/365,$I$2,H62)</f>
        <v>-3.7703608226631324E-3</v>
      </c>
      <c r="P62" s="103"/>
      <c r="Q62" s="104">
        <f ca="1">EBlackScholesForward("p",$G62,$E62,$F62,$C62/365,$C62/365,$I$2,$I62)</f>
        <v>1.6038863393464589</v>
      </c>
      <c r="R62" s="105">
        <f ca="1">EBlackScholesForward("d",$G62,$E62,$F62,$C62/365,$C62/365,$I$2,$I62)</f>
        <v>0.57476423838936919</v>
      </c>
      <c r="S62" s="104">
        <f ca="1">EBlackScholesForward("g",$G62,$E62,$F62,$C62/365,$C62/365,$I$2,$I62)</f>
        <v>0.10145187319343663</v>
      </c>
      <c r="T62" s="104">
        <f ca="1">EBlackScholesForward("v",$G62,$E62,$F62,$C62/365,$C62/365,$I$2,$I62)</f>
        <v>3.6336987287976408E-2</v>
      </c>
      <c r="U62" s="104">
        <f ca="1">EBlackScholesForward("t",$G62,$E62,$F62,$C62/365,$C62/365,$I$2,$I62)</f>
        <v>-4.0214376140907948E-3</v>
      </c>
    </row>
    <row r="63" spans="2:21" ht="12.75">
      <c r="B63" s="96">
        <f ca="1">B62</f>
        <v>41255</v>
      </c>
      <c r="C63" s="97">
        <f ca="1">B63-TODAY()</f>
        <v>183</v>
      </c>
      <c r="D63" s="98">
        <f ca="1">B63+30</f>
        <v>41285</v>
      </c>
      <c r="E63" s="100">
        <v>13.2</v>
      </c>
      <c r="F63" s="100">
        <v>12</v>
      </c>
      <c r="G63" s="101" t="s">
        <v>82</v>
      </c>
      <c r="H63" s="102">
        <v>0.57499999999999996</v>
      </c>
      <c r="I63" s="102">
        <v>0.495</v>
      </c>
      <c r="J63" s="103"/>
      <c r="K63" s="106">
        <f ca="1">EBlackScholesForward("p",$G63,$E63,$F63,$C63/365,$C63/365,$I$2,H63)</f>
        <v>2.6703640138249334</v>
      </c>
      <c r="L63" s="107">
        <f ca="1">EBlackScholesForward("d",G63,E63,F63,C63/365,C63/365,$I$2,H63)</f>
        <v>0.66500507421716204</v>
      </c>
      <c r="M63" s="106">
        <f ca="1">EBlackScholesForward("g",G63,E63,F63,C63/365,C63/365,$I$2,H63)</f>
        <v>6.7030492183484114E-2</v>
      </c>
      <c r="N63" s="106">
        <f ca="1">EBlackScholesForward("v",G63,E63,F63,C63/365,C63/365,$I$2,H63)</f>
        <v>3.3669900250137497E-2</v>
      </c>
      <c r="O63" s="106">
        <f ca="1">EBlackScholesForward("t",G63,E63,F63,C63/365,C63/365,$I$2,H63)</f>
        <v>-5.2056020361628264E-3</v>
      </c>
      <c r="P63" s="103"/>
      <c r="Q63" s="106">
        <f ca="1">EBlackScholesForward("p",$G63,$E63,$F63,$C63/365,$C63/365,$I$2,$I63)</f>
        <v>2.4014537381828793</v>
      </c>
      <c r="R63" s="107">
        <f ca="1">EBlackScholesForward("d",$G63,$E63,$F63,$C63/365,$C63/365,$I$2,$I63)</f>
        <v>0.66842395045449976</v>
      </c>
      <c r="S63" s="106">
        <f ca="1">EBlackScholesForward("g",$G63,$E63,$F63,$C63/365,$C63/365,$I$2,$I63)</f>
        <v>7.7536761908802987E-2</v>
      </c>
      <c r="T63" s="106">
        <f ca="1">EBlackScholesForward("v",$G63,$E63,$F63,$C63/365,$C63/365,$I$2,$I63)</f>
        <v>3.3528301490199253E-2</v>
      </c>
      <c r="U63" s="106">
        <f ca="1">EBlackScholesForward("t",$G63,$E63,$F63,$C63/365,$C63/365,$I$2,$I63)</f>
        <v>-4.4584971095522619E-3</v>
      </c>
    </row>
    <row r="64" spans="2:21" ht="12.75">
      <c r="B64" s="96">
        <v>41255</v>
      </c>
      <c r="C64" s="97">
        <f ca="1">B64-TODAY()</f>
        <v>183</v>
      </c>
      <c r="D64" s="98">
        <f ca="1">B64+30</f>
        <v>41285</v>
      </c>
      <c r="E64" s="100">
        <v>13</v>
      </c>
      <c r="F64" s="100">
        <v>12</v>
      </c>
      <c r="G64" s="101" t="s">
        <v>80</v>
      </c>
      <c r="H64" s="102">
        <v>0.34699999999999998</v>
      </c>
      <c r="I64" s="102">
        <v>0.36799999999999999</v>
      </c>
      <c r="J64" s="103"/>
      <c r="K64" s="104">
        <f ca="1">EBlackScholesForward("p",$G64,$E64,$F64,$C64/365,$C64/365,$I$2,H64)</f>
        <v>0.78119552718726815</v>
      </c>
      <c r="L64" s="105">
        <f ca="1">EBlackScholesForward("d",G64,E64,F64,C64/365,C64/365,$I$2,H64)</f>
        <v>-0.3248103749033171</v>
      </c>
      <c r="M64" s="104">
        <f ca="1">EBlackScholesForward("g",G64,E64,F64,C64/365,C64/365,$I$2,H64)</f>
        <v>0.11223613363586793</v>
      </c>
      <c r="N64" s="104">
        <f ca="1">EBlackScholesForward("v",G64,E64,F64,C64/365,C64/365,$I$2,H64)</f>
        <v>3.2998003382599672E-2</v>
      </c>
      <c r="O64" s="104">
        <f ca="1">EBlackScholesForward("t",G64,E64,F64,C64/365,C64/365,$I$2,H64)</f>
        <v>-3.1058880875286521E-3</v>
      </c>
      <c r="P64" s="103"/>
      <c r="Q64" s="104">
        <f ca="1">EBlackScholesForward("p",$G64,$E64,$F64,$C64/365,$C64/365,$I$2,$I64)</f>
        <v>0.85067231078380412</v>
      </c>
      <c r="R64" s="105">
        <f ca="1">EBlackScholesForward("d",$G64,$E64,$F64,$C64/365,$C64/365,$I$2,$I64)</f>
        <v>-0.32881945909256083</v>
      </c>
      <c r="S64" s="104">
        <f ca="1">EBlackScholesForward("g",$G64,$E64,$F64,$C64/365,$C64/365,$I$2,$I64)</f>
        <v>0.10635571021544443</v>
      </c>
      <c r="T64" s="104">
        <f ca="1">EBlackScholesForward("v",$G64,$E64,$F64,$C64/365,$C64/365,$I$2,$I64)</f>
        <v>3.3161787903539741E-2</v>
      </c>
      <c r="U64" s="104">
        <f ca="1">EBlackScholesForward("t",$G64,$E64,$F64,$C64/365,$C64/365,$I$2,$I64)</f>
        <v>-3.3096149681766107E-3</v>
      </c>
    </row>
    <row r="65" spans="2:21" ht="12.75">
      <c r="B65" s="92" t="s">
        <v>88</v>
      </c>
      <c r="C65" s="103"/>
      <c r="D65" s="103"/>
      <c r="E65" s="110"/>
      <c r="F65" s="110"/>
      <c r="G65" s="111"/>
      <c r="H65" s="110"/>
      <c r="I65" s="110"/>
      <c r="J65" s="103"/>
      <c r="K65" s="117">
        <f ca="1">K66-Q67</f>
        <v>1.0205005795492301</v>
      </c>
      <c r="L65" s="103"/>
      <c r="M65" s="103"/>
      <c r="N65" s="103"/>
      <c r="O65" s="103"/>
      <c r="P65" s="103"/>
      <c r="Q65" s="117">
        <f ca="1">Q66-K67</f>
        <v>1.0976811495041521</v>
      </c>
      <c r="R65" s="103"/>
      <c r="S65" s="103"/>
      <c r="T65" s="103"/>
      <c r="U65" s="103"/>
    </row>
    <row r="66" spans="2:21" ht="12.75">
      <c r="B66" s="96">
        <v>41255</v>
      </c>
      <c r="C66" s="97">
        <f ca="1">B66-TODAY()</f>
        <v>183</v>
      </c>
      <c r="D66" s="98">
        <f ca="1">B66+30</f>
        <v>41285</v>
      </c>
      <c r="E66" s="100">
        <v>13.15</v>
      </c>
      <c r="F66" s="100">
        <v>13</v>
      </c>
      <c r="G66" s="101" t="s">
        <v>80</v>
      </c>
      <c r="H66" s="102">
        <v>0.33</v>
      </c>
      <c r="I66" s="102">
        <v>0.33</v>
      </c>
      <c r="J66" s="103"/>
      <c r="K66" s="104">
        <f ca="1">EBlackScholesForward("p",$G66,$E66,$F66,$C66/365,$C66/365,$K$2,H66)</f>
        <v>1.1348192553240828</v>
      </c>
      <c r="L66" s="118">
        <f ca="1">EBlackScholesForward("d",G66,E66,F66,C66/365,C66/365,$I$2,H66)</f>
        <v>-0.43139418712438982</v>
      </c>
      <c r="M66" s="104">
        <f ca="1">EBlackScholesForward("g",G66,E66,F66,C66/365,C66/365,$I$2,H66)</f>
        <v>0.12725959292581024</v>
      </c>
      <c r="N66" s="104">
        <f ca="1">EBlackScholesForward("v",G66,E66,F66,C66/365,C66/365,$I$2,H66)</f>
        <v>3.6409365176932607E-2</v>
      </c>
      <c r="O66" s="104">
        <f ca="1">EBlackScholesForward("t",G66,E66,F66,C66/365,C66/365,$I$2,H66)</f>
        <v>-3.2485982824381754E-3</v>
      </c>
      <c r="P66" s="103"/>
      <c r="Q66" s="104">
        <f ca="1">EBlackScholesForward("p",$G66,$E66,$F66,$C66/365,$C66/365,$K$2,$I66)</f>
        <v>1.1348192553240828</v>
      </c>
      <c r="R66" s="105">
        <f ca="1">EBlackScholesForward("d",$G66,$E66,$F66,$C66/365,$C66/365,$I$2,$I66)</f>
        <v>-0.43139418712438982</v>
      </c>
      <c r="S66" s="104">
        <f ca="1">EBlackScholesForward("g",$G66,$E66,$F66,$C66/365,$C66/365,$I$2,$I66)</f>
        <v>0.12725959292581024</v>
      </c>
      <c r="T66" s="104">
        <f ca="1">EBlackScholesForward("v",$G66,$E66,$F66,$C66/365,$C66/365,$I$2,$I66)</f>
        <v>3.6409365176932607E-2</v>
      </c>
      <c r="U66" s="104">
        <f ca="1">EBlackScholesForward("t",$G66,$E66,$F66,$C66/365,$C66/365,$I$2,$I66)</f>
        <v>-3.2485982824381754E-3</v>
      </c>
    </row>
    <row r="67" spans="2:21" ht="12.75">
      <c r="B67" s="96">
        <f ca="1">B66</f>
        <v>41255</v>
      </c>
      <c r="C67" s="97">
        <f ca="1">B67-TODAY()</f>
        <v>183</v>
      </c>
      <c r="D67" s="98">
        <f ca="1">B67+30</f>
        <v>41285</v>
      </c>
      <c r="E67" s="100">
        <v>13.15</v>
      </c>
      <c r="F67" s="99">
        <v>8</v>
      </c>
      <c r="G67" s="114" t="s">
        <v>80</v>
      </c>
      <c r="H67" s="115">
        <v>0.38500000000000001</v>
      </c>
      <c r="I67" s="115">
        <v>0.48499999999999999</v>
      </c>
      <c r="J67" s="103"/>
      <c r="K67" s="106">
        <f ca="1">EBlackScholesForward("p",$G67,$E67,$F67,$C67/365,$C67/365,$K$2,H67)</f>
        <v>3.7138105819930628E-2</v>
      </c>
      <c r="L67" s="107">
        <f ca="1">EBlackScholesForward("d",G67,E67,F67,C67/365,C67/365,$I$2,H67)</f>
        <v>-2.4879240714357695E-2</v>
      </c>
      <c r="M67" s="106">
        <f ca="1">EBlackScholesForward("g",G67,E67,F67,C67/365,C67/365,$I$2,H67)</f>
        <v>1.6221020857840052E-2</v>
      </c>
      <c r="N67" s="106">
        <f ca="1">EBlackScholesForward("v",G67,E67,F67,C67/365,C67/365,$I$2,H67)</f>
        <v>5.4149329674992065E-3</v>
      </c>
      <c r="O67" s="106">
        <f ca="1">EBlackScholesForward("t",G67,E67,F67,C67/365,C67/365,$I$2,H67)</f>
        <v>-5.6649291868479668E-4</v>
      </c>
      <c r="P67" s="103"/>
      <c r="Q67" s="106">
        <f ca="1">EBlackScholesForward("p",$G67,$E67,$F67,$C67/365,$C67/365,$K$2,$I67)</f>
        <v>0.11431867577485269</v>
      </c>
      <c r="R67" s="107">
        <f ca="1">EBlackScholesForward("d",$G67,$E67,$F67,$C67/365,$C67/365,$I$2,$I67)</f>
        <v>-5.2407904607133099E-2</v>
      </c>
      <c r="S67" s="106">
        <f ca="1">EBlackScholesForward("g",$G67,$E67,$F67,$C67/365,$C67/365,$I$2,$I67)</f>
        <v>2.3678444325408998E-2</v>
      </c>
      <c r="T67" s="106">
        <f ca="1">EBlackScholesForward("v",$G67,$E67,$F67,$C67/365,$C67/365,$I$2,$I67)</f>
        <v>9.9549938148188535E-3</v>
      </c>
      <c r="U67" s="106">
        <f ca="1">EBlackScholesForward("t",$G67,$E67,$F67,$C67/365,$C67/365,$I$2,$I67)</f>
        <v>-1.3135643180291617E-3</v>
      </c>
    </row>
    <row r="68" spans="2:21" ht="12.75">
      <c r="B68" s="96">
        <f ca="1">B67</f>
        <v>41255</v>
      </c>
      <c r="C68" s="97">
        <f ca="1">B68-TODAY()</f>
        <v>183</v>
      </c>
      <c r="D68" s="98">
        <f ca="1">B68+30</f>
        <v>41285</v>
      </c>
      <c r="E68" s="100">
        <v>13.15</v>
      </c>
      <c r="F68" s="100">
        <v>13</v>
      </c>
      <c r="G68" s="101" t="s">
        <v>80</v>
      </c>
      <c r="H68" s="102">
        <v>0.34599999999999997</v>
      </c>
      <c r="I68" s="102">
        <v>0.36199999999999999</v>
      </c>
      <c r="J68" s="103"/>
      <c r="K68" s="104">
        <f ca="1">EBlackScholesForward("p",$G68,$E68,$F68,$C68/365,$C68/365,$K$2,H68)</f>
        <v>1.1930288944097047</v>
      </c>
      <c r="L68" s="105">
        <f ca="1">EBlackScholesForward("d",G68,E68,F68,C68/365,C68/365,$I$2,H68)</f>
        <v>-0.43006732132849779</v>
      </c>
      <c r="M68" s="104">
        <f ca="1">EBlackScholesForward("g",G68,E68,F68,C68/365,C68/365,$I$2,H68)</f>
        <v>0.12130572802471207</v>
      </c>
      <c r="N68" s="104">
        <f ca="1">EBlackScholesForward("v",G68,E68,F68,C68/365,C68/365,$I$2,H68)</f>
        <v>3.6388662781405401E-2</v>
      </c>
      <c r="O68" s="104">
        <f ca="1">EBlackScholesForward("t",G68,E68,F68,C68/365,C68/365,$I$2,H68)</f>
        <v>-3.4040436851976441E-3</v>
      </c>
      <c r="P68" s="103"/>
      <c r="Q68" s="104">
        <f ca="1">EBlackScholesForward("p",$G68,$E68,$F68,$C68/365,$C68/365,$K$2,$I68)</f>
        <v>1.2512040675691529</v>
      </c>
      <c r="R68" s="105">
        <f ca="1">EBlackScholesForward("d",$G68,$E68,$F68,$C68/365,$C68/365,$I$2,$I68)</f>
        <v>-0.42866283165093888</v>
      </c>
      <c r="S68" s="104">
        <f ca="1">EBlackScholesForward("g",$G68,$E68,$F68,$C68/365,$C68/365,$I$2,$I68)</f>
        <v>0.11587285396297275</v>
      </c>
      <c r="T68" s="104">
        <f ca="1">EBlackScholesForward("v",$G68,$E68,$F68,$C68/365,$C68/365,$I$2,$I68)</f>
        <v>3.6366290373864185E-2</v>
      </c>
      <c r="U68" s="104">
        <f ca="1">EBlackScholesForward("t",$G68,$E68,$F68,$C68/365,$C68/365,$I$2,$I68)</f>
        <v>-3.5591445291758284E-3</v>
      </c>
    </row>
    <row r="69" spans="2:21" ht="12.75">
      <c r="B69" s="96">
        <f ca="1">B68</f>
        <v>41255</v>
      </c>
      <c r="C69" s="97">
        <f ca="1">B69-TODAY()</f>
        <v>183</v>
      </c>
      <c r="D69" s="98">
        <f ca="1">B69+30</f>
        <v>41285</v>
      </c>
      <c r="E69" s="100">
        <v>13.15</v>
      </c>
      <c r="F69" s="100">
        <v>18</v>
      </c>
      <c r="G69" s="101" t="s">
        <v>82</v>
      </c>
      <c r="H69" s="102">
        <v>0.35499999999999998</v>
      </c>
      <c r="I69" s="102">
        <v>0.35499999999999998</v>
      </c>
      <c r="J69" s="103"/>
      <c r="K69" s="106">
        <f ca="1">EBlackScholesForward("p",$G69,$E69,$F69,$C69/365,$C69/365,$K$2,H69)</f>
        <v>0.19368488610506462</v>
      </c>
      <c r="L69" s="120">
        <f ca="1">EBlackScholesForward("d",G69,E69,F69,C69/365,C69/365,$I$2,H69)</f>
        <v>0.12984124589393853</v>
      </c>
      <c r="M69" s="106">
        <f ca="1">EBlackScholesForward("g",G69,E69,F69,C69/365,C69/365,$I$2,H69)</f>
        <v>6.3820904222522401E-2</v>
      </c>
      <c r="N69" s="106">
        <f ca="1">EBlackScholesForward("v",G69,E69,F69,C69/365,C69/365,$I$2,H69)</f>
        <v>1.9636699032411872E-2</v>
      </c>
      <c r="O69" s="106">
        <f ca="1">EBlackScholesForward("t",G69,E69,F69,C69/365,C69/365,$I$2,H69)</f>
        <v>-1.8972376479733655E-3</v>
      </c>
      <c r="P69" s="103"/>
      <c r="Q69" s="106">
        <f ca="1">EBlackScholesForward("p",$G69,$E69,$F69,$C69/365,$C69/365,$K$2,$I69)</f>
        <v>0.19368488610506462</v>
      </c>
      <c r="R69" s="107">
        <f ca="1">EBlackScholesForward("d",$G69,$E69,$F69,$C69/365,$C69/365,$I$2,$I69)</f>
        <v>0.12984124589393853</v>
      </c>
      <c r="S69" s="106">
        <f ca="1">EBlackScholesForward("g",$G69,$E69,$F69,$C69/365,$C69/365,$I$2,$I69)</f>
        <v>6.3820904222522401E-2</v>
      </c>
      <c r="T69" s="106">
        <f ca="1">EBlackScholesForward("v",$G69,$E69,$F69,$C69/365,$C69/365,$I$2,$I69)</f>
        <v>1.9636699032411872E-2</v>
      </c>
      <c r="U69" s="106">
        <f ca="1">EBlackScholesForward("t",$G69,$E69,$F69,$C69/365,$C69/365,$I$2,$I69)</f>
        <v>-1.8972376479733655E-3</v>
      </c>
    </row>
    <row r="70" spans="2:21" ht="12.75">
      <c r="B70" s="96">
        <f ca="1">B69</f>
        <v>41255</v>
      </c>
      <c r="C70" s="97">
        <f ca="1">B70-TODAY()</f>
        <v>183</v>
      </c>
      <c r="D70" s="98">
        <f ca="1">B70+30</f>
        <v>41285</v>
      </c>
      <c r="E70" s="100">
        <v>13.15</v>
      </c>
      <c r="F70" s="100">
        <v>9</v>
      </c>
      <c r="G70" s="125" t="s">
        <v>80</v>
      </c>
      <c r="H70" s="102">
        <v>0.42</v>
      </c>
      <c r="I70" s="102">
        <v>0.45750000000000002</v>
      </c>
      <c r="J70" s="103"/>
      <c r="K70" s="104">
        <f ca="1">EBlackScholesForward("p",$G70,$E70,$F70,$C70/365,$C70/365,$K$2,H70)</f>
        <v>0.15306095801889241</v>
      </c>
      <c r="L70" s="105">
        <f ca="1">EBlackScholesForward("d",G70,E70,F70,C70/365,C70/365,$I$2,H70)</f>
        <v>-7.6773630115266334E-2</v>
      </c>
      <c r="M70" s="104">
        <f ca="1">EBlackScholesForward("g",G70,E70,F70,C70/365,C70/365,$I$2,H70)</f>
        <v>3.6791610280861864E-2</v>
      </c>
      <c r="N70" s="104">
        <f ca="1">EBlackScholesForward("v",G70,E70,F70,C70/365,C70/365,$I$2,H70)</f>
        <v>1.3394044732220708E-2</v>
      </c>
      <c r="O70" s="104">
        <f ca="1">EBlackScholesForward("t",G70,E70,F70,C70/365,C70/365,$I$2,H70)</f>
        <v>-1.5308917025377289E-3</v>
      </c>
      <c r="P70" s="103"/>
      <c r="Q70" s="104">
        <f ca="1">EBlackScholesForward("p",$G70,$E70,$F70,$C70/365,$C70/365,$K$2,$I70)</f>
        <v>0.2067150076774156</v>
      </c>
      <c r="R70" s="118">
        <f ca="1">EBlackScholesForward("d",$G70,$E70,$F70,$C70/365,$C70/365,$I$2,$I70)</f>
        <v>-9.0771750395203521E-2</v>
      </c>
      <c r="S70" s="104">
        <f ca="1">EBlackScholesForward("g",$G70,$E70,$F70,$C70/365,$C70/365,$I$2,$I70)</f>
        <v>3.8301446395327954E-2</v>
      </c>
      <c r="T70" s="104">
        <f ca="1">EBlackScholesForward("v",$G70,$E70,$F70,$C70/365,$C70/365,$I$2,$I70)</f>
        <v>1.5189202008186728E-2</v>
      </c>
      <c r="U70" s="104">
        <f ca="1">EBlackScholesForward("t",$G70,$E70,$F70,$C70/365,$C70/365,$I$2,$I70)</f>
        <v>-1.8910843009202483E-3</v>
      </c>
    </row>
    <row r="71" spans="2:21" ht="12.75">
      <c r="B71" s="137" t="s">
        <v>89</v>
      </c>
      <c r="C71" s="103"/>
      <c r="D71" s="103"/>
      <c r="E71" s="108"/>
      <c r="F71" s="108"/>
      <c r="G71" s="109"/>
      <c r="H71" s="108"/>
      <c r="I71" s="108"/>
      <c r="J71" s="103"/>
      <c r="K71" s="117">
        <f ca="1">K70-Q69</f>
        <v>-4.0623928086172212E-2</v>
      </c>
      <c r="L71" s="103"/>
      <c r="M71" s="103"/>
      <c r="N71" s="103"/>
      <c r="O71" s="103"/>
      <c r="P71" s="103"/>
      <c r="Q71" s="117">
        <f ca="1">Q70-K69</f>
        <v>1.3030121572350978E-2</v>
      </c>
      <c r="R71" s="103"/>
      <c r="S71" s="103"/>
      <c r="T71" s="103"/>
      <c r="U71" s="103"/>
    </row>
    <row r="72" spans="2:21" ht="12.75">
      <c r="B72" s="96">
        <v>41619</v>
      </c>
      <c r="C72" s="97">
        <f ca="1">B72-TODAY()</f>
        <v>547</v>
      </c>
      <c r="D72" s="98">
        <f ca="1">B72+30</f>
        <v>41649</v>
      </c>
      <c r="E72" s="100">
        <v>13</v>
      </c>
      <c r="F72" s="100">
        <v>16</v>
      </c>
      <c r="G72" s="101" t="s">
        <v>82</v>
      </c>
      <c r="H72" s="102">
        <v>0.35</v>
      </c>
      <c r="I72" s="102">
        <v>0.35499999999999998</v>
      </c>
      <c r="J72" s="103"/>
      <c r="K72" s="104">
        <f ca="1">EBlackScholesForward("p",$G72,$E72,$F72,$C72/365,$C72/365,$K$2,H72)</f>
        <v>1.2126659930322978</v>
      </c>
      <c r="L72" s="105">
        <f ca="1">EBlackScholesForward("d",G72,E72,F72,C72/365,C72/365,$I$2,H72)</f>
        <v>0.38613245179160982</v>
      </c>
      <c r="M72" s="104">
        <f ca="1">EBlackScholesForward("g",G72,E72,F72,C72/365,C72/365,$I$2,H72)</f>
        <v>6.7770571006153801E-2</v>
      </c>
      <c r="N72" s="104">
        <f ca="1">EBlackScholesForward("v",G72,E72,F72,C72/365,C72/365,$I$2,H72)</f>
        <v>6.0068695693478835E-2</v>
      </c>
      <c r="O72" s="104">
        <f ca="1">EBlackScholesForward("t",G72,E72,F72,C72/365,C72/365,$I$2,H72)</f>
        <v>-1.8811320888980632E-3</v>
      </c>
      <c r="P72" s="103"/>
      <c r="Q72" s="104">
        <f ca="1">EBlackScholesForward("p",$G72,$E72,$F72,$C72/365,$C72/365,$K$2,$I72)</f>
        <v>1.242698041631229</v>
      </c>
      <c r="R72" s="105">
        <f ca="1">EBlackScholesForward("d",$G72,$E72,$F72,$C72/365,$C72/365,$I$2,$I72)</f>
        <v>0.38986919453761759</v>
      </c>
      <c r="S72" s="104">
        <f ca="1">EBlackScholesForward("g",$G72,$E72,$F72,$C72/365,$C72/365,$I$2,$I72)</f>
        <v>6.6991619223077947E-2</v>
      </c>
      <c r="T72" s="104">
        <f ca="1">EBlackScholesForward("v",$G72,$E72,$F72,$C72/365,$C72/365,$I$2,$I72)</f>
        <v>6.0226816565652985E-2</v>
      </c>
      <c r="U72" s="104">
        <f ca="1">EBlackScholesForward("t",$G72,$E72,$F72,$C72/365,$C72/365,$I$2,$I72)</f>
        <v>-1.9127008193409178E-3</v>
      </c>
    </row>
    <row r="73" spans="2:21" ht="12.75">
      <c r="B73" s="96">
        <f ca="1">B72</f>
        <v>41619</v>
      </c>
      <c r="C73" s="97">
        <f ca="1">B73-TODAY()</f>
        <v>547</v>
      </c>
      <c r="D73" s="98">
        <f ca="1">B73+30</f>
        <v>41649</v>
      </c>
      <c r="E73" s="100">
        <v>13</v>
      </c>
      <c r="F73" s="99">
        <v>13</v>
      </c>
      <c r="G73" s="114" t="s">
        <v>82</v>
      </c>
      <c r="H73" s="115">
        <v>0.33500000000000002</v>
      </c>
      <c r="I73" s="115">
        <v>0.35249999999999998</v>
      </c>
      <c r="J73" s="103"/>
      <c r="K73" s="106">
        <f ca="1">EBlackScholesForward("p",$G73,$E73,$F73,$C73/365,$C73/365,$K$2,H73)</f>
        <v>2.0697798611162632</v>
      </c>
      <c r="L73" s="107">
        <f ca="1">EBlackScholesForward("d",G73,E73,F73,C73/365,C73/365,$I$2,H73)</f>
        <v>0.57044691676004788</v>
      </c>
      <c r="M73" s="106">
        <f ca="1">EBlackScholesForward("g",G73,E73,F73,C73/365,C73/365,$I$2,H73)</f>
        <v>7.19132445325954E-2</v>
      </c>
      <c r="N73" s="106">
        <f ca="1">EBlackScholesForward("v",G73,E73,F73,C73/365,C73/365,$I$2,H73)</f>
        <v>6.1014394536106131E-2</v>
      </c>
      <c r="O73" s="106">
        <f ca="1">EBlackScholesForward("t",G73,E73,F73,C73/365,C73/365,$I$2,H73)</f>
        <v>-1.7983321100549787E-3</v>
      </c>
      <c r="P73" s="103"/>
      <c r="Q73" s="106">
        <f ca="1">EBlackScholesForward("p",$G73,$E73,$F73,$C73/365,$C73/365,$K$2,$I73)</f>
        <v>2.1762767556570508</v>
      </c>
      <c r="R73" s="107">
        <f ca="1">EBlackScholesForward("d",$G73,$E73,$F73,$C73/365,$C73/365,$I$2,$I73)</f>
        <v>0.57454910136962578</v>
      </c>
      <c r="S73" s="106">
        <f ca="1">EBlackScholesForward("g",$G73,$E73,$F73,$C73/365,$C73/365,$I$2,$I73)</f>
        <v>6.8189227229176197E-2</v>
      </c>
      <c r="T73" s="106">
        <f ca="1">EBlackScholesForward("v",$G73,$E73,$F73,$C73/365,$C73/365,$I$2,$I73)</f>
        <v>6.0877036902537318E-2</v>
      </c>
      <c r="U73" s="106">
        <f ca="1">EBlackScholesForward("t",$G73,$E73,$F73,$C73/365,$C73/365,$I$2,$I73)</f>
        <v>-1.8879064713526184E-3</v>
      </c>
    </row>
    <row r="74" spans="2:21" ht="12.75">
      <c r="B74" s="96">
        <f ca="1">B73</f>
        <v>41619</v>
      </c>
      <c r="C74" s="97">
        <f ca="1">B74-TODAY()</f>
        <v>547</v>
      </c>
      <c r="D74" s="98">
        <f ca="1">B74+30</f>
        <v>41649</v>
      </c>
      <c r="E74" s="100">
        <v>13</v>
      </c>
      <c r="F74" s="100">
        <v>17</v>
      </c>
      <c r="G74" s="101" t="s">
        <v>82</v>
      </c>
      <c r="H74" s="102">
        <v>0.42249999999999999</v>
      </c>
      <c r="I74" s="102">
        <v>0.435</v>
      </c>
      <c r="J74" s="103"/>
      <c r="K74" s="104">
        <f ca="1">EBlackScholesForward("p",$G74,$E74,$F74,$C74/365,$C74/365,$K$2,H74)</f>
        <v>1.4227818335354472</v>
      </c>
      <c r="L74" s="105">
        <f ca="1">EBlackScholesForward("d",G74,E74,F74,C74/365,C74/365,$I$2,H74)</f>
        <v>0.39003430942384787</v>
      </c>
      <c r="M74" s="104">
        <f ca="1">EBlackScholesForward("g",G74,E74,F74,C74/365,C74/365,$I$2,H74)</f>
        <v>5.629521253380787E-2</v>
      </c>
      <c r="N74" s="104">
        <f ca="1">EBlackScholesForward("v",G74,E74,F74,C74/365,C74/365,$I$2,H74)</f>
        <v>6.0234542040078054E-2</v>
      </c>
      <c r="O74" s="104">
        <f ca="1">EBlackScholesForward("t",G74,E74,F74,C74/365,C74/365,$I$2,H74)</f>
        <v>-2.2785528502968777E-3</v>
      </c>
      <c r="P74" s="103"/>
      <c r="Q74" s="104">
        <f ca="1">EBlackScholesForward("p",$G74,$E74,$F74,$C74/365,$C74/365,$K$2,$I74)</f>
        <v>1.498184006768533</v>
      </c>
      <c r="R74" s="105">
        <f ca="1">EBlackScholesForward("d",$G74,$E74,$F74,$C74/365,$C74/365,$I$2,$I74)</f>
        <v>0.39859632908544329</v>
      </c>
      <c r="S74" s="104">
        <f ca="1">EBlackScholesForward("g",$G74,$E74,$F74,$C74/365,$C74/365,$I$2,$I74)</f>
        <v>5.4985210742319879E-2</v>
      </c>
      <c r="T74" s="104">
        <f ca="1">EBlackScholesForward("v",$G74,$E74,$F74,$C74/365,$C74/365,$I$2,$I74)</f>
        <v>6.0573937774267672E-2</v>
      </c>
      <c r="U74" s="104">
        <f ca="1">EBlackScholesForward("t",$G74,$E74,$F74,$C74/365,$C74/365,$I$2,$I74)</f>
        <v>-2.3583281685963797E-3</v>
      </c>
    </row>
    <row r="75" spans="2:21" ht="12.75">
      <c r="B75" s="96">
        <f ca="1">B74</f>
        <v>41619</v>
      </c>
      <c r="C75" s="97">
        <f ca="1">B75-TODAY()</f>
        <v>547</v>
      </c>
      <c r="D75" s="98">
        <f ca="1">B75+30</f>
        <v>41649</v>
      </c>
      <c r="E75" s="100">
        <v>13</v>
      </c>
      <c r="F75" s="99">
        <v>18</v>
      </c>
      <c r="G75" s="114" t="s">
        <v>82</v>
      </c>
      <c r="H75" s="115">
        <v>0.38400000000000001</v>
      </c>
      <c r="I75" s="115">
        <v>0.35499999999999998</v>
      </c>
      <c r="J75" s="103"/>
      <c r="K75" s="106">
        <f ca="1">EBlackScholesForward("p",$G75,$E75,$F75,$C75/365,$C75/365,$K$2,H75)</f>
        <v>1.0044031031882499</v>
      </c>
      <c r="L75" s="107">
        <f ca="1">EBlackScholesForward("d",G75,E75,F75,C75/365,C75/365,$I$2,H75)</f>
        <v>0.31774943889500973</v>
      </c>
      <c r="M75" s="106">
        <f ca="1">EBlackScholesForward("g",G75,E75,F75,C75/365,C75/365,$I$2,H75)</f>
        <v>5.7711015346573191E-2</v>
      </c>
      <c r="N75" s="106">
        <f ca="1">EBlackScholesForward("v",G75,E75,F75,C75/365,C75/365,$I$2,H75)</f>
        <v>5.6118585360267037E-2</v>
      </c>
      <c r="O75" s="106">
        <f ca="1">EBlackScholesForward("t",G75,E75,F75,C75/365,C75/365,$I$2,H75)</f>
        <v>-1.9362223468826212E-3</v>
      </c>
      <c r="P75" s="103"/>
      <c r="Q75" s="106">
        <f ca="1">EBlackScholesForward("p",$G75,$E75,$F75,$C75/365,$C75/365,$K$2,$I75)</f>
        <v>0.84469569800731881</v>
      </c>
      <c r="R75" s="107">
        <f ca="1">EBlackScholesForward("d",$G75,$E75,$F75,$C75/365,$C75/365,$I$2,$I75)</f>
        <v>0.29200842461322152</v>
      </c>
      <c r="S75" s="106">
        <f ca="1">EBlackScholesForward("g",$G75,$E75,$F75,$C75/365,$C75/365,$I$2,$I75)</f>
        <v>6.0174014180347513E-2</v>
      </c>
      <c r="T75" s="106">
        <f ca="1">EBlackScholesForward("v",$G75,$E75,$F75,$C75/365,$C75/365,$I$2,$I75)</f>
        <v>5.4092169507603094E-2</v>
      </c>
      <c r="U75" s="106">
        <f ca="1">EBlackScholesForward("t",$G75,$E75,$F75,$C75/365,$C75/365,$I$2,$I75)</f>
        <v>-1.7270951717667238E-3</v>
      </c>
    </row>
    <row r="76" spans="2:21" ht="12.75">
      <c r="B76" s="96">
        <v>41619</v>
      </c>
      <c r="C76" s="97">
        <f ca="1">B76-TODAY()</f>
        <v>547</v>
      </c>
      <c r="D76" s="98">
        <f ca="1">B76+30</f>
        <v>41649</v>
      </c>
      <c r="E76" s="100">
        <v>13</v>
      </c>
      <c r="F76" s="99">
        <v>10</v>
      </c>
      <c r="G76" s="114" t="s">
        <v>80</v>
      </c>
      <c r="H76" s="115">
        <v>0.4</v>
      </c>
      <c r="I76" s="115">
        <v>0.42699999999999999</v>
      </c>
      <c r="J76" s="103"/>
      <c r="K76" s="104">
        <f ca="1">EBlackScholesForward("p",$G76,$E76,$F76,$C76/365,$C76/365,$K$2,H76)</f>
        <v>1.0072097958209714</v>
      </c>
      <c r="L76" s="105">
        <f ca="1">EBlackScholesForward("d",G76,E76,F76,C76/365,C76/365,$I$2,H76)</f>
        <v>-0.21347337992204674</v>
      </c>
      <c r="M76" s="104">
        <f ca="1">EBlackScholesForward("g",G76,E76,F76,C76/365,C76/365,$I$2,H76)</f>
        <v>4.5352154744993101E-2</v>
      </c>
      <c r="N76" s="104">
        <f ca="1">EBlackScholesForward("v",G76,E76,F76,C76/365,C76/365,$I$2,H76)</f>
        <v>4.5940912340765805E-2</v>
      </c>
      <c r="O76" s="104">
        <f ca="1">EBlackScholesForward("t",G76,E76,F76,C76/365,C76/365,$I$2,H76)</f>
        <v>-1.6459985580004055E-3</v>
      </c>
      <c r="P76" s="103"/>
      <c r="Q76" s="104">
        <f ca="1">EBlackScholesForward("p",$G76,$E76,$F76,$C76/365,$C76/365,$K$2,$I76)</f>
        <v>1.1319476978909988</v>
      </c>
      <c r="R76" s="105">
        <f ca="1">EBlackScholesForward("d",$G76,$E76,$F76,$C76/365,$C76/365,$I$2,$I76)</f>
        <v>-0.21851694213469441</v>
      </c>
      <c r="S76" s="104">
        <f ca="1">EBlackScholesForward("g",$G76,$E76,$F76,$C76/365,$C76/365,$I$2,$I76)</f>
        <v>4.305738270593551E-2</v>
      </c>
      <c r="T76" s="104">
        <f ca="1">EBlackScholesForward("v",$G76,$E76,$F76,$C76/365,$C76/365,$I$2,$I76)</f>
        <v>4.65613083737213E-2</v>
      </c>
      <c r="U76" s="104">
        <f ca="1">EBlackScholesForward("t",$G76,$E76,$F76,$C76/365,$C76/365,$I$2,$I76)</f>
        <v>-1.7793861333106342E-3</v>
      </c>
    </row>
    <row r="77" spans="2:21" ht="12.75">
      <c r="B77" s="92" t="s">
        <v>89</v>
      </c>
      <c r="C77" s="103"/>
      <c r="D77" s="103"/>
      <c r="E77" s="103"/>
      <c r="F77" s="108"/>
      <c r="G77" s="109"/>
      <c r="H77" s="108"/>
      <c r="I77" s="108"/>
      <c r="J77" s="103"/>
      <c r="K77" s="117">
        <f ca="1">K78-K79</f>
        <v>0.40407574402932811</v>
      </c>
      <c r="L77" s="103"/>
      <c r="M77" s="103"/>
      <c r="N77" s="103"/>
      <c r="O77" s="103"/>
      <c r="P77" s="103"/>
      <c r="Q77" s="117">
        <f ca="1">Q76-K75</f>
        <v>0.12754459470274893</v>
      </c>
      <c r="R77" s="103"/>
      <c r="S77" s="103"/>
      <c r="T77" s="103"/>
      <c r="U77" s="103"/>
    </row>
    <row r="78" spans="2:21" ht="12.75">
      <c r="B78" s="96">
        <v>41619</v>
      </c>
      <c r="C78" s="97">
        <f ca="1">B78-TODAY()</f>
        <v>547</v>
      </c>
      <c r="D78" s="98">
        <f ca="1">B78+30</f>
        <v>41649</v>
      </c>
      <c r="E78" s="100">
        <v>41.4</v>
      </c>
      <c r="F78" s="100">
        <v>37</v>
      </c>
      <c r="G78" s="101" t="s">
        <v>80</v>
      </c>
      <c r="H78" s="102">
        <v>0.3085</v>
      </c>
      <c r="I78" s="102">
        <v>0.3175</v>
      </c>
      <c r="J78" s="103"/>
      <c r="K78" s="104">
        <f ca="1">EBlackScholesForward("p",$G78,$E78,$F78,$C78/365,$C78/365,$I$2,H78)</f>
        <v>3.8528732318848427</v>
      </c>
      <c r="L78" s="105">
        <f ca="1">EBlackScholesForward("d",G78,E78,F78,C78/365,C78/365,$I$2,H78)</f>
        <v>-0.30754273424873357</v>
      </c>
      <c r="M78" s="104">
        <f ca="1">EBlackScholesForward("g",G78,E78,F78,C78/365,C78/365,$I$2,H78)</f>
        <v>2.2248858306816999E-2</v>
      </c>
      <c r="N78" s="104">
        <f ca="1">EBlackScholesForward("v",G78,E78,F78,C78/365,C78/365,$I$2,H78)</f>
        <v>0.17629310471192761</v>
      </c>
      <c r="O78" s="104">
        <f ca="1">EBlackScholesForward("t",G78,E78,F78,C78/365,C78/365,$I$2,H78)</f>
        <v>-4.8419708942506468E-3</v>
      </c>
      <c r="P78" s="103"/>
      <c r="Q78" s="104">
        <f ca="1">EBlackScholesForward("p",$G78,$E78,$F78,$C78/365,$C78/365,$I$2,$I78)</f>
        <v>4.0116611224590306</v>
      </c>
      <c r="R78" s="105">
        <f ca="1">EBlackScholesForward("d",$G78,$E78,$F78,$C78/365,$C78/365,$I$2,$I78)</f>
        <v>-0.30856092321918105</v>
      </c>
      <c r="S78" s="104">
        <f ca="1">EBlackScholesForward("g",$G78,$E78,$F78,$C78/365,$C78/365,$I$2,$I78)</f>
        <v>2.1648863901546633E-2</v>
      </c>
      <c r="T78" s="104">
        <f ca="1">EBlackScholesForward("v",$G78,$E78,$F78,$C78/365,$C78/365,$I$2,$I78)</f>
        <v>0.17654417889791629</v>
      </c>
      <c r="U78" s="104">
        <f ca="1">EBlackScholesForward("t",$G78,$E78,$F78,$C78/365,$C78/365,$I$2,$I78)</f>
        <v>-4.9889209326936523E-3</v>
      </c>
    </row>
    <row r="79" spans="2:21" ht="12.75">
      <c r="B79" s="96">
        <f ca="1">B78</f>
        <v>41619</v>
      </c>
      <c r="C79" s="97">
        <f ca="1">B79-TODAY()</f>
        <v>547</v>
      </c>
      <c r="D79" s="98">
        <f ca="1">B79+30</f>
        <v>41649</v>
      </c>
      <c r="E79" s="100">
        <v>41.4</v>
      </c>
      <c r="F79" s="100">
        <v>50</v>
      </c>
      <c r="G79" s="101" t="s">
        <v>82</v>
      </c>
      <c r="H79" s="102">
        <v>0.316</v>
      </c>
      <c r="I79" s="102">
        <v>0.35</v>
      </c>
      <c r="J79" s="103"/>
      <c r="K79" s="106">
        <f ca="1">EBlackScholesForward("p",$G79,$E79,$F79,$C79/365,$C79/365,$I$2,H79)</f>
        <v>3.4487974878555145</v>
      </c>
      <c r="L79" s="107">
        <f ca="1">EBlackScholesForward("d",G79,E79,F79,C79/365,C79/365,$I$2,H79)</f>
        <v>0.37706440256815021</v>
      </c>
      <c r="M79" s="106">
        <f ca="1">EBlackScholesForward("g",G79,E79,F79,C79/365,C79/365,$I$2,H79)</f>
        <v>2.3410396554623958E-2</v>
      </c>
      <c r="N79" s="106">
        <f ca="1">EBlackScholesForward("v",G79,E79,F79,C79/365,C79/365,$I$2,H79)</f>
        <v>0.18999379145695561</v>
      </c>
      <c r="O79" s="106">
        <f ca="1">EBlackScholesForward("t",G79,E79,F79,C79/365,C79/365,$I$2,H79)</f>
        <v>-5.372672764293096E-3</v>
      </c>
      <c r="P79" s="103"/>
      <c r="Q79" s="106">
        <f ca="1">EBlackScholesForward("p",$G79,$E79,$F79,$C79/365,$C79/365,$I$2,$I79)</f>
        <v>4.101013854587606</v>
      </c>
      <c r="R79" s="107">
        <f ca="1">EBlackScholesForward("d",$G79,$E79,$F79,$C79/365,$C79/365,$I$2,$I79)</f>
        <v>0.40287550120483573</v>
      </c>
      <c r="S79" s="106">
        <f ca="1">EBlackScholesForward("g",$G79,$E79,$F79,$C79/365,$C79/365,$I$2,$I79)</f>
        <v>2.1514972949887579E-2</v>
      </c>
      <c r="T79" s="106">
        <f ca="1">EBlackScholesForward("v",$G79,$E79,$F79,$C79/365,$C79/365,$I$2,$I79)</f>
        <v>0.19340520924560423</v>
      </c>
      <c r="U79" s="106">
        <f ca="1">EBlackScholesForward("t",$G79,$E79,$F79,$C79/365,$C79/365,$I$2,$I79)</f>
        <v>-6.0502377720696998E-3</v>
      </c>
    </row>
    <row r="80" spans="2:21" ht="12.75">
      <c r="B80" s="96">
        <f ca="1">B79</f>
        <v>41619</v>
      </c>
      <c r="C80" s="97">
        <f ca="1">B80-TODAY()</f>
        <v>547</v>
      </c>
      <c r="D80" s="98">
        <f ca="1">B80+30</f>
        <v>41649</v>
      </c>
      <c r="E80" s="100">
        <v>41.4</v>
      </c>
      <c r="F80" s="100">
        <v>42</v>
      </c>
      <c r="G80" s="101" t="s">
        <v>82</v>
      </c>
      <c r="H80" s="102">
        <v>0.31900000000000001</v>
      </c>
      <c r="I80" s="102">
        <v>0.3175</v>
      </c>
      <c r="J80" s="103"/>
      <c r="K80" s="104">
        <f ca="1">EBlackScholesForward("p",$G80,$E80,$F80,$C80/365,$C80/365,$I$2,H80)</f>
        <v>6.0455312524441922</v>
      </c>
      <c r="L80" s="105">
        <f ca="1">EBlackScholesForward("d",G80,E80,F80,C80/365,C80/365,$I$2,H80)</f>
        <v>0.55248671735763644</v>
      </c>
      <c r="M80" s="104">
        <f ca="1">EBlackScholesForward("g",G80,E80,F80,C80/365,C80/365,$I$2,H80)</f>
        <v>2.3915917273242826E-2</v>
      </c>
      <c r="N80" s="104">
        <f ca="1">EBlackScholesForward("v",G80,E80,F80,C80/365,C80/365,$I$2,H80)</f>
        <v>0.19596114648544605</v>
      </c>
      <c r="O80" s="104">
        <f ca="1">EBlackScholesForward("t",G80,E80,F80,C80/365,C80/365,$I$2,H80)</f>
        <v>-5.5099424905913352E-3</v>
      </c>
      <c r="P80" s="103"/>
      <c r="Q80" s="104">
        <f ca="1">EBlackScholesForward("p",$G80,$E80,$F80,$C80/365,$C80/365,$I$2,$I80)</f>
        <v>6.0161343472380349</v>
      </c>
      <c r="R80" s="105">
        <f ca="1">EBlackScholesForward("d",$G80,$E80,$F80,$C80/365,$C80/365,$I$2,$I80)</f>
        <v>0.55206436980288487</v>
      </c>
      <c r="S80" s="104">
        <f ca="1">EBlackScholesForward("g",$G80,$E80,$F80,$C80/365,$C80/365,$I$2,$I80)</f>
        <v>2.403304950604479E-2</v>
      </c>
      <c r="T80" s="104">
        <f ca="1">EBlackScholesForward("v",$G80,$E80,$F80,$C80/365,$C80/365,$I$2,$I80)</f>
        <v>0.1959949346801495</v>
      </c>
      <c r="U80" s="104">
        <f ca="1">EBlackScholesForward("t",$G80,$E80,$F80,$C80/365,$C80/365,$I$2,$I80)</f>
        <v>-5.4850471036047566E-3</v>
      </c>
    </row>
    <row r="81" spans="2:21" ht="12.75">
      <c r="B81" s="96">
        <f ca="1">B80</f>
        <v>41619</v>
      </c>
      <c r="C81" s="97">
        <f ca="1">B81-TODAY()</f>
        <v>547</v>
      </c>
      <c r="D81" s="98">
        <f ca="1">B81+30</f>
        <v>41649</v>
      </c>
      <c r="E81" s="100">
        <v>41.4</v>
      </c>
      <c r="F81" s="100">
        <v>35</v>
      </c>
      <c r="G81" s="101" t="s">
        <v>80</v>
      </c>
      <c r="H81" s="102">
        <v>0.3145</v>
      </c>
      <c r="I81" s="102">
        <v>0.34499999999999997</v>
      </c>
      <c r="J81" s="103"/>
      <c r="K81" s="106">
        <f ca="1">EBlackScholesForward("p",$G81,$E81,$F81,$C81/365,$C81/365,$I$2,H81)</f>
        <v>3.1102863013031925</v>
      </c>
      <c r="L81" s="107">
        <f ca="1">EBlackScholesForward("d",G81,E81,F81,C81/365,C81/365,$I$2,H81)</f>
        <v>-0.2598637523045344</v>
      </c>
      <c r="M81" s="106">
        <f ca="1">EBlackScholesForward("g",G81,E81,F81,C81/365,C81/365,$I$2,H81)</f>
        <v>2.015950691713897E-2</v>
      </c>
      <c r="N81" s="106">
        <f ca="1">EBlackScholesForward("v",G81,E81,F81,C81/365,C81/365,$I$2,H81)</f>
        <v>0.16283692604553601</v>
      </c>
      <c r="O81" s="106">
        <f ca="1">EBlackScholesForward("t",G81,E81,F81,C81/365,C81/365,$I$2,H81)</f>
        <v>-4.5771059405979031E-3</v>
      </c>
      <c r="P81" s="103"/>
      <c r="Q81" s="106">
        <f ca="1">EBlackScholesForward("p",$G81,$E81,$F81,$C81/365,$C81/365,$I$2,$I81)</f>
        <v>3.6102575027793375</v>
      </c>
      <c r="R81" s="107">
        <f ca="1">EBlackScholesForward("d",$G81,$E81,$F81,$C81/365,$C81/365,$I$2,$I81)</f>
        <v>-0.26629536859135161</v>
      </c>
      <c r="S81" s="106">
        <f ca="1">EBlackScholesForward("g",$G81,$E81,$F81,$C81/365,$C81/365,$I$2,$I81)</f>
        <v>1.8604876266259396E-2</v>
      </c>
      <c r="T81" s="106">
        <f ca="1">EBlackScholesForward("v",$G81,$E81,$F81,$C81/365,$C81/365,$I$2,$I81)</f>
        <v>0.16485807621794613</v>
      </c>
      <c r="U81" s="106">
        <f ca="1">EBlackScholesForward("t",$G81,$E81,$F81,$C81/365,$C81/365,$I$2,$I81)</f>
        <v>-5.0779202261348466E-3</v>
      </c>
    </row>
    <row r="82" spans="2:21" ht="12.75">
      <c r="B82" s="96">
        <f ca="1">B81</f>
        <v>41619</v>
      </c>
      <c r="C82" s="97">
        <f ca="1">B82-TODAY()</f>
        <v>547</v>
      </c>
      <c r="D82" s="98">
        <f ca="1">B82+30</f>
        <v>41649</v>
      </c>
      <c r="E82" s="100">
        <v>41.4</v>
      </c>
      <c r="F82" s="100">
        <v>42</v>
      </c>
      <c r="G82" s="101" t="s">
        <v>82</v>
      </c>
      <c r="H82" s="102">
        <v>0.32</v>
      </c>
      <c r="I82" s="102">
        <v>0.33500000000000002</v>
      </c>
      <c r="J82" s="103"/>
      <c r="K82" s="104">
        <f ca="1">EBlackScholesForward("p",$G82,$E82,$F82,$C82/365,$C82/365,$I$2,H82)</f>
        <v>6.0651263675607821</v>
      </c>
      <c r="L82" s="105">
        <f ca="1">EBlackScholesForward("d",G82,E82,F82,C82/365,C82/365,$I$2,H82)</f>
        <v>0.55276789131655235</v>
      </c>
      <c r="M82" s="104">
        <f ca="1">EBlackScholesForward("g",G82,E82,F82,C82/365,C82/365,$I$2,H82)</f>
        <v>2.3838427463118705E-2</v>
      </c>
      <c r="N82" s="104">
        <f ca="1">EBlackScholesForward("v",G82,E82,F82,C82/365,C82/365,$I$2,H82)</f>
        <v>0.19593852264139633</v>
      </c>
      <c r="O82" s="104">
        <f ca="1">EBlackScholesForward("t",G82,E82,F82,C82/365,C82/365,$I$2,H82)</f>
        <v>-5.5265314901040696E-3</v>
      </c>
      <c r="P82" s="103"/>
      <c r="Q82" s="104">
        <f ca="1">EBlackScholesForward("p",$G82,$E82,$F82,$C82/365,$C82/365,$I$2,$I82)</f>
        <v>6.3587767391929306</v>
      </c>
      <c r="R82" s="105">
        <f ca="1">EBlackScholesForward("d",$G82,$E82,$F82,$C82/365,$C82/365,$I$2,$I82)</f>
        <v>0.55694968034503134</v>
      </c>
      <c r="S82" s="104">
        <f ca="1">EBlackScholesForward("g",$G82,$E82,$F82,$C82/365,$C82/365,$I$2,$I82)</f>
        <v>2.2730505868651107E-2</v>
      </c>
      <c r="T82" s="104">
        <f ca="1">EBlackScholesForward("v",$G82,$E82,$F82,$C82/365,$C82/365,$I$2,$I82)</f>
        <v>0.19558980522654235</v>
      </c>
      <c r="U82" s="104">
        <f ca="1">EBlackScholesForward("t",$G82,$E82,$F82,$C82/365,$C82/365,$I$2,$I82)</f>
        <v>-5.7745933463282384E-3</v>
      </c>
    </row>
    <row r="83" spans="2:21" ht="12.75">
      <c r="B83" s="92" t="s">
        <v>89</v>
      </c>
      <c r="C83" s="103"/>
      <c r="D83" s="103"/>
      <c r="E83" s="108"/>
      <c r="F83" s="108"/>
      <c r="G83" s="109"/>
      <c r="H83" s="108"/>
      <c r="I83" s="108"/>
      <c r="J83" s="103"/>
      <c r="K83" s="117"/>
      <c r="L83" s="103"/>
      <c r="M83" s="103"/>
      <c r="N83" s="103"/>
      <c r="O83" s="103"/>
      <c r="P83" s="103"/>
      <c r="Q83" s="117"/>
      <c r="R83" s="103"/>
      <c r="S83" s="103"/>
      <c r="T83" s="103"/>
      <c r="U83" s="103"/>
    </row>
    <row r="84" spans="2:21" ht="12.75">
      <c r="B84" s="96">
        <v>41619</v>
      </c>
      <c r="C84" s="97">
        <f t="shared" ref="C84:C100" ca="1" si="0">B84-TODAY()</f>
        <v>547</v>
      </c>
      <c r="D84" s="98">
        <f ca="1">B84+30</f>
        <v>41649</v>
      </c>
      <c r="E84" s="100">
        <v>43.55</v>
      </c>
      <c r="F84" s="100">
        <v>47</v>
      </c>
      <c r="G84" s="101" t="s">
        <v>82</v>
      </c>
      <c r="H84" s="102">
        <v>0.4975</v>
      </c>
      <c r="I84" s="102">
        <v>0.52500000000000002</v>
      </c>
      <c r="J84" s="103"/>
      <c r="K84" s="104">
        <f ca="1">EBlackScholesForward("p",$G84,$E84,$F84,$C84/365,$C84/365,$I$2,H84)</f>
        <v>9.0193113724632674</v>
      </c>
      <c r="L84" s="105">
        <f ca="1">EBlackScholesForward("d",G84,E84,F84,C84/365,C84/365,$I$2,H84)</f>
        <v>0.56056365654644225</v>
      </c>
      <c r="M84" s="104">
        <f ca="1">EBlackScholesForward("g",G84,E84,F84,C84/365,C84/365,$I$2,H84)</f>
        <v>1.4526538514303411E-2</v>
      </c>
      <c r="N84" s="104">
        <f ca="1">EBlackScholesForward("v",G84,E84,F84,C84/365,C84/365,$I$2,H84)</f>
        <v>0.20541023969820493</v>
      </c>
      <c r="O84" s="104">
        <f ca="1">EBlackScholesForward("t",G84,E84,F84,C84/365,C84/365,$I$2,H84)</f>
        <v>-9.0372170968251453E-3</v>
      </c>
      <c r="P84" s="103"/>
      <c r="Q84" s="104">
        <f ca="1">EBlackScholesForward("p",$G84,$E84,$F84,$C84/365,$C84/365,$I$2,$I84)</f>
        <v>9.582953873456507</v>
      </c>
      <c r="R84" s="105">
        <f ca="1">EBlackScholesForward("d",$G84,$E84,$F84,$C84/365,$C84/365,$I$2,$I84)</f>
        <v>0.56955577633317489</v>
      </c>
      <c r="S84" s="104">
        <f ca="1">EBlackScholesForward("g",$G84,$E84,$F84,$C84/365,$C84/365,$I$2,$I84)</f>
        <v>1.3704254762103574E-2</v>
      </c>
      <c r="T84" s="104">
        <f ca="1">EBlackScholesForward("v",$G84,$E84,$F84,$C84/365,$C84/365,$I$2,$I84)</f>
        <v>0.20449462473422919</v>
      </c>
      <c r="U84" s="104">
        <f ca="1">EBlackScholesForward("t",$G84,$E84,$F84,$C84/365,$C84/365,$I$2,$I84)</f>
        <v>-9.490617318265393E-3</v>
      </c>
    </row>
    <row r="85" spans="2:21" ht="12.75">
      <c r="B85" s="96">
        <f ca="1">B84</f>
        <v>41619</v>
      </c>
      <c r="C85" s="97">
        <f t="shared" ca="1" si="0"/>
        <v>547</v>
      </c>
      <c r="D85" s="98">
        <f ca="1">B85+30</f>
        <v>41649</v>
      </c>
      <c r="E85" s="100">
        <v>43.55</v>
      </c>
      <c r="F85" s="100">
        <v>36</v>
      </c>
      <c r="G85" s="101" t="s">
        <v>80</v>
      </c>
      <c r="H85" s="102">
        <v>0.49</v>
      </c>
      <c r="I85" s="102">
        <v>0.505</v>
      </c>
      <c r="J85" s="103"/>
      <c r="K85" s="106">
        <f ca="1">EBlackScholesForward("p",$G85,$E85,$F85,$C85/365,$C85/365,$I$2,H85)</f>
        <v>5.9430524710995583</v>
      </c>
      <c r="L85" s="107">
        <f ca="1">EBlackScholesForward("d",G85,E85,F85,C85/365,C85/365,$I$2,H85)</f>
        <v>-0.26352793671446939</v>
      </c>
      <c r="M85" s="106">
        <f ca="1">EBlackScholesForward("g",G85,E85,F85,C85/365,C85/365,$I$2,H85)</f>
        <v>1.238771123901472E-2</v>
      </c>
      <c r="N85" s="106">
        <f ca="1">EBlackScholesForward("v",G85,E85,F85,C85/365,C85/365,$I$2,H85)</f>
        <v>0.17252264411180507</v>
      </c>
      <c r="O85" s="106">
        <f ca="1">EBlackScholesForward("t",G85,E85,F85,C85/365,C85/365,$I$2,H85)</f>
        <v>-7.5276871056448869E-3</v>
      </c>
      <c r="P85" s="103"/>
      <c r="Q85" s="106">
        <f ca="1">EBlackScholesForward("p",$G85,$E85,$F85,$C85/365,$C85/365,$I$2,$I85)</f>
        <v>6.2018707175553107</v>
      </c>
      <c r="R85" s="107">
        <f ca="1">EBlackScholesForward("d",$G85,$E85,$F85,$C85/365,$C85/365,$I$2,$I85)</f>
        <v>-0.26360762720729625</v>
      </c>
      <c r="S85" s="106">
        <f ca="1">EBlackScholesForward("g",$G85,$E85,$F85,$C85/365,$C85/365,$I$2,$I85)</f>
        <v>1.2021586357491287E-2</v>
      </c>
      <c r="T85" s="106">
        <f ca="1">EBlackScholesForward("v",$G85,$E85,$F85,$C85/365,$C85/365,$I$2,$I85)</f>
        <v>0.17254927576333356</v>
      </c>
      <c r="U85" s="106">
        <f ca="1">EBlackScholesForward("t",$G85,$E85,$F85,$C85/365,$C85/365,$I$2,$I85)</f>
        <v>-7.7567462109948693E-3</v>
      </c>
    </row>
    <row r="86" spans="2:21" ht="12.75">
      <c r="B86" s="96">
        <f ca="1">B85</f>
        <v>41619</v>
      </c>
      <c r="C86" s="97">
        <f t="shared" ca="1" si="0"/>
        <v>547</v>
      </c>
      <c r="D86" s="98">
        <f ca="1">B86+30</f>
        <v>41649</v>
      </c>
      <c r="E86" s="100">
        <v>43.55</v>
      </c>
      <c r="F86" s="100">
        <v>41</v>
      </c>
      <c r="G86" s="101" t="s">
        <v>80</v>
      </c>
      <c r="H86" s="102">
        <v>0.30499999999999999</v>
      </c>
      <c r="I86" s="102">
        <v>0.4325</v>
      </c>
      <c r="J86" s="103"/>
      <c r="K86" s="104">
        <f ca="1">EBlackScholesForward("p",$G86,$E86,$F86,$C86/365,$C86/365,$I$2,H86)</f>
        <v>4.9722879183742021</v>
      </c>
      <c r="L86" s="105">
        <f ca="1">EBlackScholesForward("d",G86,E86,F86,C86/365,C86/365,$I$2,H86)</f>
        <v>-0.35706007431577369</v>
      </c>
      <c r="M86" s="104">
        <f ca="1">EBlackScholesForward("g",G86,E86,F86,C86/365,C86/365,$I$2,H86)</f>
        <v>2.2662001688544819E-2</v>
      </c>
      <c r="N86" s="104">
        <f ca="1">EBlackScholesForward("v",G86,E86,F86,C86/365,C86/365,$I$2,H86)</f>
        <v>0.19645364101647456</v>
      </c>
      <c r="O86" s="104">
        <f ca="1">EBlackScholesForward("t",G86,E86,F86,C86/365,C86/365,$I$2,H86)</f>
        <v>-5.3095375640923592E-3</v>
      </c>
      <c r="P86" s="103"/>
      <c r="Q86" s="104">
        <f ca="1">EBlackScholesForward("p",$G86,$E86,$F86,$C86/365,$C86/365,$I$2,$I86)</f>
        <v>7.4660127756380357</v>
      </c>
      <c r="R86" s="105">
        <f ca="1">EBlackScholesForward("d",$G86,$E86,$F86,$C86/365,$C86/365,$I$2,$I86)</f>
        <v>-0.34591765507259176</v>
      </c>
      <c r="S86" s="104">
        <f ca="1">EBlackScholesForward("g",$G86,$E86,$F86,$C86/365,$C86/365,$I$2,$I86)</f>
        <v>1.5805659083767409E-2</v>
      </c>
      <c r="T86" s="104">
        <f ca="1">EBlackScholesForward("v",$G86,$E86,$F86,$C86/365,$C86/365,$I$2,$I86)</f>
        <v>0.19429669233090463</v>
      </c>
      <c r="U86" s="104">
        <f ca="1">EBlackScholesForward("t",$G86,$E86,$F86,$C86/365,$C86/365,$I$2,$I86)</f>
        <v>-7.4296508853688437E-3</v>
      </c>
    </row>
    <row r="87" spans="2:21" ht="12.75">
      <c r="B87" s="96">
        <v>41619</v>
      </c>
      <c r="C87" s="97">
        <f t="shared" ca="1" si="0"/>
        <v>547</v>
      </c>
      <c r="D87" s="98">
        <f ca="1">B87+30</f>
        <v>41649</v>
      </c>
      <c r="E87" s="100">
        <v>43.55</v>
      </c>
      <c r="F87" s="100">
        <v>38</v>
      </c>
      <c r="G87" s="101" t="s">
        <v>80</v>
      </c>
      <c r="H87" s="102">
        <v>0.44500000000000001</v>
      </c>
      <c r="I87" s="102">
        <v>0.44500000000000001</v>
      </c>
      <c r="J87" s="103"/>
      <c r="K87" s="106">
        <f ca="1">EBlackScholesForward("p",$G87,$E87,$F87,$C87/365,$C87/365,$I$2,H87)</f>
        <v>6.1278028763101666</v>
      </c>
      <c r="L87" s="107">
        <f ca="1">EBlackScholesForward("d",G87,E87,F87,C87/365,C87/365,$I$2,H87)</f>
        <v>-0.29503853257502044</v>
      </c>
      <c r="M87" s="106">
        <f ca="1">EBlackScholesForward("g",G87,E87,F87,C87/365,C87/365,$I$2,H87)</f>
        <v>1.4396870824384678E-2</v>
      </c>
      <c r="N87" s="106">
        <f ca="1">EBlackScholesForward("v",G87,E87,F87,C87/365,C87/365,$I$2,H87)</f>
        <v>0.1820913500694572</v>
      </c>
      <c r="O87" s="106">
        <f ca="1">EBlackScholesForward("t",G87,E87,F87,C87/365,C87/365,$I$2,H87)</f>
        <v>-7.2008082314800603E-3</v>
      </c>
      <c r="P87" s="103"/>
      <c r="Q87" s="106">
        <f ca="1">EBlackScholesForward("p",$G87,$E87,$F87,$C87/365,$C87/365,$I$2,$I87)</f>
        <v>6.1278028763101666</v>
      </c>
      <c r="R87" s="107">
        <f ca="1">EBlackScholesForward("d",$G87,$E87,$F87,$C87/365,$C87/365,$I$2,$I87)</f>
        <v>-0.29503853257502044</v>
      </c>
      <c r="S87" s="106">
        <f ca="1">EBlackScholesForward("g",$G87,$E87,$F87,$C87/365,$C87/365,$I$2,$I87)</f>
        <v>1.4396870824384678E-2</v>
      </c>
      <c r="T87" s="106">
        <f ca="1">EBlackScholesForward("v",$G87,$E87,$F87,$C87/365,$C87/365,$I$2,$I87)</f>
        <v>0.1820913500694572</v>
      </c>
      <c r="U87" s="106">
        <f ca="1">EBlackScholesForward("t",$G87,$E87,$F87,$C87/365,$C87/365,$I$2,$I87)</f>
        <v>-7.2008082314800603E-3</v>
      </c>
    </row>
    <row r="88" spans="2:21" ht="12.75">
      <c r="B88" s="96">
        <v>41619</v>
      </c>
      <c r="C88" s="97">
        <f t="shared" ca="1" si="0"/>
        <v>547</v>
      </c>
      <c r="D88" s="98">
        <f ca="1">B88+30</f>
        <v>41649</v>
      </c>
      <c r="E88" s="100">
        <v>45.5</v>
      </c>
      <c r="F88" s="99">
        <v>48</v>
      </c>
      <c r="G88" s="114" t="s">
        <v>82</v>
      </c>
      <c r="H88" s="115">
        <v>0.7</v>
      </c>
      <c r="I88" s="115">
        <v>0.34</v>
      </c>
      <c r="J88" s="103"/>
      <c r="K88" s="104">
        <f ca="1">EBlackScholesForward("p",$G88,$E88,$F88,$C88/365,$C88/365,$I$2,H88)</f>
        <v>14.019665020641085</v>
      </c>
      <c r="L88" s="105">
        <f ca="1">EBlackScholesForward("d",G88,E88,F88,C88/365,C88/365,$I$2,H88)</f>
        <v>0.63090454954108921</v>
      </c>
      <c r="M88" s="104">
        <f ca="1">EBlackScholesForward("g",G88,E88,F88,C88/365,C88/365,$I$2,H88)</f>
        <v>9.3912268717133429E-3</v>
      </c>
      <c r="N88" s="104">
        <f ca="1">EBlackScholesForward("v",G88,E88,F88,C88/365,C88/365,$I$2,H88)</f>
        <v>0.20395540600403272</v>
      </c>
      <c r="O88" s="104">
        <f ca="1">EBlackScholesForward("t",G88,E88,F88,C88/365,C88/365,$I$2,H88)</f>
        <v>-1.2577591206605732E-2</v>
      </c>
      <c r="P88" s="103"/>
      <c r="Q88" s="104">
        <f ca="1">EBlackScholesForward("p",$G88,$E88,$F88,$C88/365,$C88/365,$I$2,$I88)</f>
        <v>6.39874262105314</v>
      </c>
      <c r="R88" s="105">
        <f ca="1">EBlackScholesForward("d",$G88,$E88,$F88,$C88/365,$C88/365,$I$2,$I88)</f>
        <v>0.52185505337769555</v>
      </c>
      <c r="S88" s="104">
        <f ca="1">EBlackScholesForward("g",$G88,$E88,$F88,$C88/365,$C88/365,$I$2,$I88)</f>
        <v>2.0609193054355046E-2</v>
      </c>
      <c r="T88" s="104">
        <f ca="1">EBlackScholesForward("v",$G88,$E88,$F88,$C88/365,$C88/365,$I$2,$I88)</f>
        <v>0.21739592148559428</v>
      </c>
      <c r="U88" s="104">
        <f ca="1">EBlackScholesForward("t",$G88,$E88,$F88,$C88/365,$C88/365,$I$2,$I88)</f>
        <v>-6.5407192251951685E-3</v>
      </c>
    </row>
    <row r="89" spans="2:21" ht="12.75">
      <c r="B89" s="92" t="s">
        <v>87</v>
      </c>
      <c r="C89" s="103"/>
      <c r="D89" s="103"/>
      <c r="E89" s="108"/>
      <c r="F89" s="108"/>
      <c r="G89" s="109"/>
      <c r="H89" s="108"/>
      <c r="I89" s="108"/>
      <c r="J89" s="103"/>
      <c r="K89" s="117"/>
      <c r="L89" s="103"/>
      <c r="M89" s="103"/>
      <c r="N89" s="103"/>
      <c r="O89" s="103"/>
      <c r="P89" s="103"/>
      <c r="Q89" s="117"/>
      <c r="R89" s="103"/>
      <c r="S89" s="103"/>
      <c r="T89" s="103"/>
      <c r="U89" s="103"/>
    </row>
    <row r="90" spans="2:21" ht="12.75">
      <c r="B90" s="96">
        <v>40346</v>
      </c>
      <c r="C90" s="97">
        <f t="shared" ca="1" si="0"/>
        <v>-726</v>
      </c>
      <c r="D90" s="98">
        <f ca="1">B90+30</f>
        <v>40376</v>
      </c>
      <c r="E90" s="99">
        <v>43.6</v>
      </c>
      <c r="F90" s="99">
        <v>47</v>
      </c>
      <c r="G90" s="114" t="s">
        <v>82</v>
      </c>
      <c r="H90" s="115">
        <v>0.51149999999999995</v>
      </c>
      <c r="I90" s="115">
        <v>0.51500000000000001</v>
      </c>
      <c r="J90" s="103"/>
      <c r="K90" s="104" t="e">
        <f ca="1">EBlackScholesForward("p",$G90,$E90,$F90,$C90/365,$C90/365,$I$2,H90)</f>
        <v>#VALUE!</v>
      </c>
      <c r="L90" s="105" t="e">
        <f ca="1">EBlackScholesForward("d",G90,E90,F90,C90/365,C90/365,$I$2,H90)</f>
        <v>#VALUE!</v>
      </c>
      <c r="M90" s="104" t="e">
        <f ca="1">EBlackScholesForward("g",G90,E90,F90,C90/365,C90/365,$I$2,H90)</f>
        <v>#VALUE!</v>
      </c>
      <c r="N90" s="104" t="e">
        <f ca="1">EBlackScholesForward("v",G90,E90,F90,C90/365,C90/365,$I$2,H90)</f>
        <v>#VALUE!</v>
      </c>
      <c r="O90" s="104" t="e">
        <f ca="1">EBlackScholesForward("t",G90,E90,F90,C90/365,C90/365,$I$2,H90)</f>
        <v>#VALUE!</v>
      </c>
      <c r="P90" s="103"/>
      <c r="Q90" s="104" t="e">
        <f ca="1">EBlackScholesForward("p",$G90,$E90,$F90,$C90/365,$C90/365,$I$2,$I90)</f>
        <v>#VALUE!</v>
      </c>
      <c r="R90" s="105" t="e">
        <f ca="1">EBlackScholesForward("d",$G90,$E90,$F90,$C90/365,$C90/365,$I$2,$I90)</f>
        <v>#VALUE!</v>
      </c>
      <c r="S90" s="104" t="e">
        <f ca="1">EBlackScholesForward("g",$G90,$E90,$F90,$C90/365,$C90/365,$I$2,$I90)</f>
        <v>#VALUE!</v>
      </c>
      <c r="T90" s="104" t="e">
        <f ca="1">EBlackScholesForward("v",$G90,$E90,$F90,$C90/365,$C90/365,$I$2,$I90)</f>
        <v>#VALUE!</v>
      </c>
      <c r="U90" s="104" t="e">
        <f ca="1">EBlackScholesForward("t",$G90,$E90,$F90,$C90/365,$C90/365,$I$2,$I90)</f>
        <v>#VALUE!</v>
      </c>
    </row>
    <row r="91" spans="2:21" ht="12.75">
      <c r="B91" s="96">
        <v>40346</v>
      </c>
      <c r="C91" s="97">
        <f t="shared" ca="1" si="0"/>
        <v>-726</v>
      </c>
      <c r="D91" s="98">
        <f ca="1">B91+30</f>
        <v>40376</v>
      </c>
      <c r="E91" s="100">
        <v>43.35</v>
      </c>
      <c r="F91" s="100">
        <v>36</v>
      </c>
      <c r="G91" s="101" t="s">
        <v>80</v>
      </c>
      <c r="H91" s="102">
        <v>0.49399999999999999</v>
      </c>
      <c r="I91" s="102">
        <v>0.496</v>
      </c>
      <c r="J91" s="103"/>
      <c r="K91" s="104" t="e">
        <f ca="1">EBlackScholesForward("p",$G91,$E91,$F91,$C91/365,$C91/365,$I$2,H91)</f>
        <v>#VALUE!</v>
      </c>
      <c r="L91" s="105" t="e">
        <f ca="1">EBlackScholesForward("d",G91,E91,F91,C91/365,C91/365,$I$2,H91)</f>
        <v>#VALUE!</v>
      </c>
      <c r="M91" s="104" t="e">
        <f ca="1">EBlackScholesForward("g",G91,E91,F91,C91/365,C91/365,$I$2,H91)</f>
        <v>#VALUE!</v>
      </c>
      <c r="N91" s="104" t="e">
        <f ca="1">EBlackScholesForward("v",G91,E91,F91,C91/365,C91/365,$I$2,H91)</f>
        <v>#VALUE!</v>
      </c>
      <c r="O91" s="104" t="e">
        <f ca="1">EBlackScholesForward("t",G91,E91,F91,C91/365,C91/365,$I$2,H91)</f>
        <v>#VALUE!</v>
      </c>
      <c r="P91" s="103"/>
      <c r="Q91" s="104" t="e">
        <f ca="1">EBlackScholesForward("p",$G91,$E91,$F91,$C91/365,$C91/365,$I$2,$I91)</f>
        <v>#VALUE!</v>
      </c>
      <c r="R91" s="105" t="e">
        <f ca="1">EBlackScholesForward("d",$G91,$E91,$F91,$C91/365,$C91/365,$I$2,$I91)</f>
        <v>#VALUE!</v>
      </c>
      <c r="S91" s="104" t="e">
        <f ca="1">EBlackScholesForward("g",$G91,$E91,$F91,$C91/365,$C91/365,$I$2,$I91)</f>
        <v>#VALUE!</v>
      </c>
      <c r="T91" s="104" t="e">
        <f ca="1">EBlackScholesForward("v",$G91,$E91,$F91,$C91/365,$C91/365,$I$2,$I91)</f>
        <v>#VALUE!</v>
      </c>
      <c r="U91" s="104" t="e">
        <f ca="1">EBlackScholesForward("t",$G91,$E91,$F91,$C91/365,$C91/365,$I$2,$I91)</f>
        <v>#VALUE!</v>
      </c>
    </row>
    <row r="92" spans="2:21" ht="12.75">
      <c r="B92" s="96">
        <v>40346</v>
      </c>
      <c r="C92" s="97">
        <f t="shared" ca="1" si="0"/>
        <v>-726</v>
      </c>
      <c r="D92" s="98">
        <f ca="1">B92+30</f>
        <v>40376</v>
      </c>
      <c r="E92" s="100">
        <v>43.35</v>
      </c>
      <c r="F92" s="100">
        <v>44</v>
      </c>
      <c r="G92" s="101" t="s">
        <v>80</v>
      </c>
      <c r="H92" s="102">
        <v>0.495</v>
      </c>
      <c r="I92" s="102">
        <v>0.4325</v>
      </c>
      <c r="J92" s="103"/>
      <c r="K92" s="104" t="e">
        <f ca="1">EBlackScholesForward("p",$G92,$E92,$F92,$C92/365,$C92/365,$I$2,H92)</f>
        <v>#VALUE!</v>
      </c>
      <c r="L92" s="118" t="e">
        <f ca="1">EBlackScholesForward("d",G92,E92,F92,C92/365,C92/365,$I$2,H92)</f>
        <v>#VALUE!</v>
      </c>
      <c r="M92" s="104" t="e">
        <f ca="1">EBlackScholesForward("g",G92,E92,F92,C92/365,C92/365,$I$2,H92)</f>
        <v>#VALUE!</v>
      </c>
      <c r="N92" s="104" t="e">
        <f ca="1">EBlackScholesForward("v",G92,E92,F92,C92/365,C92/365,$I$2,H92)</f>
        <v>#VALUE!</v>
      </c>
      <c r="O92" s="104" t="e">
        <f ca="1">EBlackScholesForward("t",G92,E92,F92,C92/365,C92/365,$I$2,H92)</f>
        <v>#VALUE!</v>
      </c>
      <c r="P92" s="103"/>
      <c r="Q92" s="104" t="e">
        <f ca="1">EBlackScholesForward("p",$G92,$E92,$F92,$C92/365,$C92/365,$I$2,$I92)</f>
        <v>#VALUE!</v>
      </c>
      <c r="R92" s="105" t="e">
        <f ca="1">EBlackScholesForward("d",$G92,$E92,$F92,$C92/365,$C92/365,$I$2,$I92)</f>
        <v>#VALUE!</v>
      </c>
      <c r="S92" s="104" t="e">
        <f ca="1">EBlackScholesForward("g",$G92,$E92,$F92,$C92/365,$C92/365,$I$2,$I92)</f>
        <v>#VALUE!</v>
      </c>
      <c r="T92" s="104" t="e">
        <f ca="1">EBlackScholesForward("v",$G92,$E92,$F92,$C92/365,$C92/365,$I$2,$I92)</f>
        <v>#VALUE!</v>
      </c>
      <c r="U92" s="104" t="e">
        <f ca="1">EBlackScholesForward("t",$G92,$E92,$F92,$C92/365,$C92/365,$I$2,$I92)</f>
        <v>#VALUE!</v>
      </c>
    </row>
    <row r="93" spans="2:21" ht="12.75">
      <c r="B93" s="96">
        <v>40346</v>
      </c>
      <c r="C93" s="97">
        <f t="shared" ca="1" si="0"/>
        <v>-726</v>
      </c>
      <c r="D93" s="98">
        <f ca="1">B93+30</f>
        <v>40376</v>
      </c>
      <c r="E93" s="100">
        <v>43.8</v>
      </c>
      <c r="F93" s="100">
        <v>50</v>
      </c>
      <c r="G93" s="101" t="s">
        <v>82</v>
      </c>
      <c r="H93" s="102">
        <v>0.52</v>
      </c>
      <c r="I93" s="102">
        <v>0.46</v>
      </c>
      <c r="J93" s="103"/>
      <c r="K93" s="104" t="e">
        <f ca="1">EBlackScholesForward("p",$G93,$E93,$F93,$C93/365,$C93/365,$I$2,H93)</f>
        <v>#VALUE!</v>
      </c>
      <c r="L93" s="105" t="e">
        <f ca="1">EBlackScholesForward("d",G93,E93,F93,C93/365,C93/365,$I$2,H93)</f>
        <v>#VALUE!</v>
      </c>
      <c r="M93" s="104" t="e">
        <f ca="1">EBlackScholesForward("g",G93,E93,F93,C93/365,C93/365,$I$2,H93)</f>
        <v>#VALUE!</v>
      </c>
      <c r="N93" s="104" t="e">
        <f ca="1">EBlackScholesForward("v",G93,E93,F93,C93/365,C93/365,$I$2,H93)</f>
        <v>#VALUE!</v>
      </c>
      <c r="O93" s="104" t="e">
        <f ca="1">EBlackScholesForward("t",G93,E93,F93,C93/365,C93/365,$I$2,H93)</f>
        <v>#VALUE!</v>
      </c>
      <c r="P93" s="103"/>
      <c r="Q93" s="104" t="e">
        <f ca="1">EBlackScholesForward("p",$G93,$E93,$F93,$C93/365,$C93/365,$I$2,$I93)</f>
        <v>#VALUE!</v>
      </c>
      <c r="R93" s="105" t="e">
        <f ca="1">EBlackScholesForward("d",$G93,$E93,$F93,$C93/365,$C93/365,$I$2,$I93)</f>
        <v>#VALUE!</v>
      </c>
      <c r="S93" s="104" t="e">
        <f ca="1">EBlackScholesForward("g",$G93,$E93,$F93,$C93/365,$C93/365,$I$2,$I93)</f>
        <v>#VALUE!</v>
      </c>
      <c r="T93" s="104" t="e">
        <f ca="1">EBlackScholesForward("v",$G93,$E93,$F93,$C93/365,$C93/365,$I$2,$I93)</f>
        <v>#VALUE!</v>
      </c>
      <c r="U93" s="104" t="e">
        <f ca="1">EBlackScholesForward("t",$G93,$E93,$F93,$C93/365,$C93/365,$I$2,$I93)</f>
        <v>#VALUE!</v>
      </c>
    </row>
    <row r="94" spans="2:21" ht="12.75">
      <c r="B94" s="134">
        <v>40437</v>
      </c>
      <c r="C94" s="135">
        <f t="shared" ca="1" si="0"/>
        <v>-635</v>
      </c>
      <c r="D94" s="136">
        <f ca="1">B94+30</f>
        <v>40467</v>
      </c>
      <c r="E94" s="99">
        <v>47</v>
      </c>
      <c r="F94" s="99">
        <v>55</v>
      </c>
      <c r="G94" s="114" t="s">
        <v>82</v>
      </c>
      <c r="H94" s="115">
        <v>0.4</v>
      </c>
      <c r="I94" s="115">
        <v>0.44</v>
      </c>
      <c r="J94" s="103"/>
      <c r="K94" s="104" t="e">
        <f ca="1">EBlackScholesForward("p",$G94,$E94,$F94,$C94/365,$C94/365,$I$2,H94)</f>
        <v>#VALUE!</v>
      </c>
      <c r="L94" s="105" t="e">
        <f ca="1">EBlackScholesForward("d",G94,E94,F94,C94/365,C94/365,$I$2,H94)</f>
        <v>#VALUE!</v>
      </c>
      <c r="M94" s="104" t="e">
        <f ca="1">EBlackScholesForward("g",G94,E94,F94,C94/365,C94/365,$I$2,H94)</f>
        <v>#VALUE!</v>
      </c>
      <c r="N94" s="104" t="e">
        <f ca="1">EBlackScholesForward("v",G94,E94,F94,C94/365,C94/365,$I$2,H94)</f>
        <v>#VALUE!</v>
      </c>
      <c r="O94" s="104" t="e">
        <f ca="1">EBlackScholesForward("t",G94,E94,F94,C94/365,C94/365,$I$2,H94)</f>
        <v>#VALUE!</v>
      </c>
      <c r="P94" s="103"/>
      <c r="Q94" s="104" t="e">
        <f ca="1">EBlackScholesForward("p",$G94,$E94,$F94,$C94/365,$C94/365,$I$2,$I94)</f>
        <v>#VALUE!</v>
      </c>
      <c r="R94" s="105" t="e">
        <f ca="1">EBlackScholesForward("d",$G94,$E94,$F94,$C94/365,$C94/365,$I$2,$I94)</f>
        <v>#VALUE!</v>
      </c>
      <c r="S94" s="104" t="e">
        <f ca="1">EBlackScholesForward("g",$G94,$E94,$F94,$C94/365,$C94/365,$I$2,$I94)</f>
        <v>#VALUE!</v>
      </c>
      <c r="T94" s="104" t="e">
        <f ca="1">EBlackScholesForward("v",$G94,$E94,$F94,$C94/365,$C94/365,$I$2,$I94)</f>
        <v>#VALUE!</v>
      </c>
      <c r="U94" s="104" t="e">
        <f ca="1">EBlackScholesForward("t",$G94,$E94,$F94,$C94/365,$C94/365,$I$2,$I94)</f>
        <v>#VALUE!</v>
      </c>
    </row>
    <row r="95" spans="2:21" ht="12.75">
      <c r="B95" s="92" t="s">
        <v>81</v>
      </c>
      <c r="C95" s="103"/>
      <c r="D95" s="103"/>
      <c r="E95" s="108"/>
      <c r="F95" s="108"/>
      <c r="G95" s="109"/>
      <c r="H95" s="108"/>
      <c r="I95" s="108"/>
      <c r="J95" s="103"/>
      <c r="K95" s="116">
        <f ca="1">K96+K97</f>
        <v>0.10158364159912103</v>
      </c>
      <c r="L95" s="103"/>
      <c r="M95" s="103"/>
      <c r="N95" s="103"/>
      <c r="O95" s="103"/>
      <c r="P95" s="103"/>
      <c r="Q95" s="116">
        <f ca="1">+Q96+Q97</f>
        <v>0.15324598599589112</v>
      </c>
      <c r="R95" s="103"/>
      <c r="S95" s="103"/>
      <c r="T95" s="103"/>
      <c r="U95" s="103"/>
    </row>
    <row r="96" spans="2:21" ht="12.75">
      <c r="B96" s="126">
        <v>41080</v>
      </c>
      <c r="C96" s="97">
        <f t="shared" ca="1" si="0"/>
        <v>8</v>
      </c>
      <c r="D96" s="98">
        <f ca="1">B96+30</f>
        <v>41110</v>
      </c>
      <c r="E96" s="100">
        <v>6.45</v>
      </c>
      <c r="F96" s="100">
        <v>6</v>
      </c>
      <c r="G96" s="101" t="s">
        <v>80</v>
      </c>
      <c r="H96" s="102">
        <v>0.7</v>
      </c>
      <c r="I96" s="102">
        <v>0.82899999999999996</v>
      </c>
      <c r="J96" s="119"/>
      <c r="K96" s="104">
        <f ca="1">EBlackScholesForward("p",$G96,$E96,$F96,$C96/365,$C96/365,$I$2,H96)</f>
        <v>9.235272129199841E-2</v>
      </c>
      <c r="L96" s="105">
        <f ca="1">EBlackScholesForward("d",G96,E96,F96,C96/365,C96/365,$I$2,H96)</f>
        <v>-0.22667352976738081</v>
      </c>
      <c r="M96" s="104">
        <f ca="1">EBlackScholesForward("g",G96,E96,F96,C96/365,C96/365,$I$2,H96)</f>
        <v>0.45049987824313797</v>
      </c>
      <c r="N96" s="104">
        <f ca="1">EBlackScholesForward("v",G96,E96,F96,C96/365,C96/365,$I$2,H96)</f>
        <v>2.875362449085081E-3</v>
      </c>
      <c r="O96" s="104">
        <f ca="1">EBlackScholesForward("t",G96,E96,F96,C96/365,C96/365,$I$2,H96)</f>
        <v>-1.2782305158378443E-2</v>
      </c>
      <c r="P96" s="103"/>
      <c r="Q96" s="104">
        <f ca="1">EBlackScholesForward("p",$G96,$E96,$F96,$C96/365,$C96/365,$I$2,$I96)</f>
        <v>0.13087647473424183</v>
      </c>
      <c r="R96" s="105">
        <f ca="1">EBlackScholesForward("d",$G96,$E96,$F96,$C96/365,$C96/365,$I$2,$I96)</f>
        <v>-0.25757922371650033</v>
      </c>
      <c r="S96" s="104">
        <f ca="1">EBlackScholesForward("g",$G96,$E96,$F96,$C96/365,$C96/365,$I$2,$I96)</f>
        <v>0.40771274264106427</v>
      </c>
      <c r="T96" s="104">
        <f ca="1">EBlackScholesForward("v",$G96,$E96,$F96,$C96/365,$C96/365,$I$2,$I96)</f>
        <v>3.0818916830529647E-3</v>
      </c>
      <c r="U96" s="104">
        <f ca="1">EBlackScholesForward("t",$G96,$E96,$F96,$C96/365,$C96/365,$I$2,$I96)</f>
        <v>-1.6303084966049583E-2</v>
      </c>
    </row>
    <row r="97" spans="2:21" ht="12.75">
      <c r="B97" s="126">
        <v>41080</v>
      </c>
      <c r="C97" s="97">
        <f t="shared" ca="1" si="0"/>
        <v>8</v>
      </c>
      <c r="D97" s="98">
        <f ca="1">B97+30</f>
        <v>41110</v>
      </c>
      <c r="E97" s="100">
        <v>6.45</v>
      </c>
      <c r="F97" s="100">
        <v>5</v>
      </c>
      <c r="G97" s="101" t="s">
        <v>80</v>
      </c>
      <c r="H97" s="102">
        <v>0.92</v>
      </c>
      <c r="I97" s="102">
        <v>1.0900000000000001</v>
      </c>
      <c r="J97" s="103"/>
      <c r="K97" s="106">
        <f ca="1">EBlackScholesForward("p",$G97,$E97,$F97,$C97/365,$C97/365,$I$2,H97)</f>
        <v>9.2309203071226191E-3</v>
      </c>
      <c r="L97" s="107">
        <f ca="1">EBlackScholesForward("d",G97,E97,F97,C97/365,C97/365,$I$2,H97)</f>
        <v>-2.6326577549370522E-2</v>
      </c>
      <c r="M97" s="106">
        <f ca="1">EBlackScholesForward("g",G97,E97,F97,C97/365,C97/365,$I$2,H97)</f>
        <v>6.9463845845888633E-2</v>
      </c>
      <c r="N97" s="106">
        <f ca="1">EBlackScholesForward("v",G97,E97,F97,C97/365,C97/365,$I$2,H97)</f>
        <v>5.8272130025146997E-4</v>
      </c>
      <c r="O97" s="106">
        <f ca="1">EBlackScholesForward("t",G97,E97,F97,C97/365,C97/365,$I$2,H97)</f>
        <v>-3.0769512793895511E-3</v>
      </c>
      <c r="P97" s="103"/>
      <c r="Q97" s="106">
        <f ca="1">EBlackScholesForward("p",$G97,$E97,$F97,$C97/365,$C97/365,$I$2,$I97)</f>
        <v>2.236951126164928E-2</v>
      </c>
      <c r="R97" s="107">
        <f ca="1">EBlackScholesForward("d",$G97,$E97,$F97,$C97/365,$C97/365,$I$2,$I97)</f>
        <v>-4.857971474140927E-2</v>
      </c>
      <c r="S97" s="106">
        <f ca="1">EBlackScholesForward("g",$G97,$E97,$F97,$C97/365,$C97/365,$I$2,$I97)</f>
        <v>9.6826834989037491E-2</v>
      </c>
      <c r="T97" s="106">
        <f ca="1">EBlackScholesForward("v",$G97,$E97,$F97,$C97/365,$C97/365,$I$2,$I97)</f>
        <v>9.6232575356071381E-4</v>
      </c>
      <c r="U97" s="106">
        <f ca="1">EBlackScholesForward("t",$G97,$E97,$F97,$C97/365,$C97/365,$I$2,$I97)</f>
        <v>-6.2255600076613141E-3</v>
      </c>
    </row>
    <row r="98" spans="2:21" ht="12.75">
      <c r="B98" s="126">
        <v>41080</v>
      </c>
      <c r="C98" s="97">
        <f t="shared" ca="1" si="0"/>
        <v>8</v>
      </c>
      <c r="D98" s="98">
        <f ca="1">B98+30</f>
        <v>41110</v>
      </c>
      <c r="E98" s="100">
        <v>12.9</v>
      </c>
      <c r="F98" s="100">
        <v>14</v>
      </c>
      <c r="G98" s="101" t="s">
        <v>82</v>
      </c>
      <c r="H98" s="102">
        <v>0.37</v>
      </c>
      <c r="I98" s="102">
        <v>0.40250000000000002</v>
      </c>
      <c r="J98" s="103"/>
      <c r="K98" s="104">
        <f ca="1">EBlackScholesForward("p",$G98,$E98,$F98,$C98/365,$C98/365,$I$2,H98)</f>
        <v>2.1865266001721402E-2</v>
      </c>
      <c r="L98" s="105">
        <f ca="1">EBlackScholesForward("d",G98,E98,F98,C98/365,C98/365,$I$2,H98)</f>
        <v>7.124569573583299E-2</v>
      </c>
      <c r="M98" s="104">
        <f ca="1">EBlackScholesForward("g",G98,E98,F98,C98/365,C98/365,$I$2,H98)</f>
        <v>0.1925834083553804</v>
      </c>
      <c r="N98" s="104">
        <f ca="1">EBlackScholesForward("v",G98,E98,F98,C98/365,C98/365,$I$2,H98)</f>
        <v>2.5983624882138581E-3</v>
      </c>
      <c r="O98" s="104">
        <f ca="1">EBlackScholesForward("t",G98,E98,F98,C98/365,C98/365,$I$2,H98)</f>
        <v>-5.7556784714635351E-3</v>
      </c>
      <c r="P98" s="103"/>
      <c r="Q98" s="104">
        <f ca="1">EBlackScholesForward("p",$G98,$E98,$F98,$C98/365,$C98/365,$I$2,$I98)</f>
        <v>3.1119206640783027E-2</v>
      </c>
      <c r="R98" s="105">
        <f ca="1">EBlackScholesForward("d",$G98,$E98,$F98,$C98/365,$C98/365,$I$2,$I98)</f>
        <v>8.9544287096248759E-2</v>
      </c>
      <c r="S98" s="104">
        <f ca="1">EBlackScholesForward("g",$G98,$E98,$F98,$C98/365,$C98/365,$I$2,$I98)</f>
        <v>0.21043589972704474</v>
      </c>
      <c r="T98" s="104">
        <f ca="1">EBlackScholesForward("v",$G98,$E98,$F98,$C98/365,$C98/365,$I$2,$I98)</f>
        <v>3.088621877001263E-3</v>
      </c>
      <c r="U98" s="104">
        <f ca="1">EBlackScholesForward("t",$G98,$E98,$F98,$C98/365,$C98/365,$I$2,$I98)</f>
        <v>-7.5297391562958622E-3</v>
      </c>
    </row>
    <row r="99" spans="2:21" ht="12.75">
      <c r="B99" s="42">
        <v>41255</v>
      </c>
      <c r="C99" s="97">
        <f t="shared" ca="1" si="0"/>
        <v>183</v>
      </c>
      <c r="D99" s="98">
        <f ca="1">B99+30</f>
        <v>41285</v>
      </c>
      <c r="E99" s="100">
        <v>14.8</v>
      </c>
      <c r="F99" s="100">
        <v>30</v>
      </c>
      <c r="G99" s="101" t="s">
        <v>82</v>
      </c>
      <c r="H99" s="102">
        <v>0.41</v>
      </c>
      <c r="I99" s="102">
        <v>0.41</v>
      </c>
      <c r="J99" s="103"/>
      <c r="K99" s="106">
        <f ca="1">EBlackScholesForward("p",$G99,$E99,$F99,$C99/365,$C99/365,$L$2,H99)</f>
        <v>1.4697792384449159E-2</v>
      </c>
      <c r="L99" s="107">
        <f ca="1">EBlackScholesForward("d",G99,E99,F99,C99/365,C99/365,$I$2,H99)</f>
        <v>1.0979811860014656E-2</v>
      </c>
      <c r="M99" s="106">
        <f ca="1">EBlackScholesForward("g",G99,E99,F99,C99/365,C99/365,$I$2,H99)</f>
        <v>6.7240074944421857E-3</v>
      </c>
      <c r="N99" s="106">
        <f ca="1">EBlackScholesForward("v",G99,E99,F99,C99/365,C99/365,$I$2,H99)</f>
        <v>3.032678534829779E-3</v>
      </c>
      <c r="O99" s="106">
        <f ca="1">EBlackScholesForward("t",G99,E99,F99,C99/365,C99/365,$I$2,H99)</f>
        <v>-3.363875770815046E-4</v>
      </c>
      <c r="P99" s="103"/>
      <c r="Q99" s="106">
        <f ca="1">EBlackScholesForward("p",$G99,$E99,$F99,$C99/365,$C99/365,$L$2,$I99)</f>
        <v>1.4697792384449159E-2</v>
      </c>
      <c r="R99" s="107">
        <f ca="1">EBlackScholesForward("d",$G99,$E99,$F99,$C99/365,$C99/365,$I$2,$I99)</f>
        <v>1.0979811860014656E-2</v>
      </c>
      <c r="S99" s="106">
        <f ca="1">EBlackScholesForward("g",$G99,$E99,$F99,$C99/365,$C99/365,$I$2,$I99)</f>
        <v>6.7240074944421857E-3</v>
      </c>
      <c r="T99" s="106">
        <f ca="1">EBlackScholesForward("v",$G99,$E99,$F99,$C99/365,$C99/365,$I$2,$I99)</f>
        <v>3.032678534829779E-3</v>
      </c>
      <c r="U99" s="106">
        <f ca="1">EBlackScholesForward("t",$G99,$E99,$F99,$C99/365,$C99/365,$I$2,$I99)</f>
        <v>-3.363875770815046E-4</v>
      </c>
    </row>
    <row r="100" spans="2:21" ht="13.5" thickBot="1">
      <c r="B100" s="55">
        <v>41255</v>
      </c>
      <c r="C100" s="97">
        <f t="shared" ca="1" si="0"/>
        <v>183</v>
      </c>
      <c r="D100" s="98">
        <f ca="1">B100+30</f>
        <v>41285</v>
      </c>
      <c r="E100" s="100">
        <v>14.35</v>
      </c>
      <c r="F100" s="100">
        <v>26</v>
      </c>
      <c r="G100" s="101" t="s">
        <v>82</v>
      </c>
      <c r="H100" s="102">
        <v>0.36249999999999999</v>
      </c>
      <c r="I100" s="102">
        <v>0.377</v>
      </c>
      <c r="J100" s="103"/>
      <c r="K100" s="104">
        <f ca="1">EBlackScholesForward("p",$G100,$E100,$F100,$C100/365,$C100/365,$L$2,H100)</f>
        <v>1.7004874782886883E-2</v>
      </c>
      <c r="L100" s="105">
        <f ca="1">EBlackScholesForward("d",G100,E100,F100,C100/365,C100/365,$I$2,H100)</f>
        <v>1.4274186414393875E-2</v>
      </c>
      <c r="M100" s="104">
        <f ca="1">EBlackScholesForward("g",G100,E100,F100,C100/365,C100/365,$I$2,H100)</f>
        <v>9.8434678043324286E-3</v>
      </c>
      <c r="N100" s="104">
        <f ca="1">EBlackScholesForward("v",G100,E100,F100,C100/365,C100/365,$I$2,H100)</f>
        <v>3.6898072857913045E-3</v>
      </c>
      <c r="O100" s="104">
        <f ca="1">EBlackScholesForward("t",G100,E100,F100,C100/365,C100/365,$I$2,H100)</f>
        <v>-3.6213522548877997E-4</v>
      </c>
      <c r="P100" s="103"/>
      <c r="Q100" s="104">
        <f ca="1">EBlackScholesForward("p",$G100,$E100,$F100,$C100/365,$C100/365,$L$2,$I100)</f>
        <v>2.2894877813077766E-2</v>
      </c>
      <c r="R100" s="105">
        <f ca="1">EBlackScholesForward("d",$G100,$E100,$F100,$C100/365,$C100/365,$I$2,$I100)</f>
        <v>1.8060654483639284E-2</v>
      </c>
      <c r="S100" s="104">
        <f ca="1">EBlackScholesForward("g",$G100,$E100,$F100,$C100/365,$C100/365,$I$2,$I100)</f>
        <v>1.1578730144783111E-2</v>
      </c>
      <c r="T100" s="104">
        <f ca="1">EBlackScholesForward("v",$G100,$E100,$F100,$C100/365,$C100/365,$I$2,$I100)</f>
        <v>4.5117781955775413E-3</v>
      </c>
      <c r="U100" s="104">
        <f ca="1">EBlackScholesForward("t",$G100,$E100,$F100,$C100/365,$C100/365,$I$2,$I100)</f>
        <v>-4.6094707670064558E-4</v>
      </c>
    </row>
    <row r="101" spans="2:21" ht="12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16">
        <f ca="1">K100-Q99</f>
        <v>2.307082398437724E-3</v>
      </c>
      <c r="L101" s="103"/>
      <c r="M101" s="103"/>
      <c r="N101" s="103"/>
      <c r="O101" s="103"/>
      <c r="P101" s="103"/>
      <c r="Q101" s="116">
        <f ca="1">Q100-K99</f>
        <v>8.1970854286286064E-3</v>
      </c>
      <c r="R101" s="103"/>
      <c r="S101" s="103"/>
      <c r="T101" s="103"/>
      <c r="U101" s="103"/>
    </row>
    <row r="102" spans="2:21" ht="12.75"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</row>
  </sheetData>
  <mergeCells count="3">
    <mergeCell ref="C2:D2"/>
    <mergeCell ref="K3:O3"/>
    <mergeCell ref="Q3:U3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FA85"/>
  <sheetViews>
    <sheetView tabSelected="1"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I28" sqref="I28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6.28515625" style="19" bestFit="1" customWidth="1"/>
    <col min="9" max="10" width="6.85546875" style="19" bestFit="1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43" width="6.28515625" style="19" bestFit="1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6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 ca="1">C13</f>
        <v>46</v>
      </c>
      <c r="G3" s="62">
        <f ca="1">F3-C15</f>
        <v>41</v>
      </c>
      <c r="H3" s="62">
        <f ca="1">F3-2*C15</f>
        <v>36</v>
      </c>
      <c r="I3" s="62">
        <f ca="1">F3-3*C15</f>
        <v>31</v>
      </c>
      <c r="J3" s="62">
        <f ca="1">F3-4*C15</f>
        <v>26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4</v>
      </c>
      <c r="FA3" s="89" t="str">
        <f ca="1">IF(EZ3=1,"d",IF(EZ3=2,"g",IF(EZ3=3,"t","v")))</f>
        <v>v</v>
      </c>
    </row>
    <row r="4" spans="1:157" ht="10.15" customHeight="1">
      <c r="A4" s="21" t="s">
        <v>51</v>
      </c>
      <c r="B4" s="21"/>
      <c r="C4" s="68">
        <f ca="1">TODAY()</f>
        <v>41832</v>
      </c>
      <c r="D4" s="21"/>
      <c r="E4" s="25" t="s">
        <v>69</v>
      </c>
      <c r="F4" s="63">
        <f ca="1">C14+F5</f>
        <v>0.17799999999999999</v>
      </c>
      <c r="G4" s="64">
        <f ca="1">$F$4+G5</f>
        <v>0.183</v>
      </c>
      <c r="H4" s="64">
        <f ca="1">$F$4+H5</f>
        <v>0.188</v>
      </c>
      <c r="I4" s="64">
        <f ca="1">$F$4+I5</f>
        <v>0.193</v>
      </c>
      <c r="J4" s="64">
        <f ca="1">$F$4+J5</f>
        <v>0.19799999999999998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40521</v>
      </c>
      <c r="D5" s="21"/>
      <c r="E5" s="21" t="s">
        <v>68</v>
      </c>
      <c r="F5" s="65">
        <v>0</v>
      </c>
      <c r="G5" s="66">
        <v>5.0000000000000001E-3</v>
      </c>
      <c r="H5" s="66">
        <v>0.01</v>
      </c>
      <c r="I5" s="66">
        <v>1.4999999999999999E-2</v>
      </c>
      <c r="J5" s="66">
        <v>0.02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 ca="1">(C5-TODAY())/365</f>
        <v>-3.591780821917808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0.01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 ca="1">C13</f>
        <v>46</v>
      </c>
      <c r="G8" s="62">
        <f ca="1">F8+C15</f>
        <v>51</v>
      </c>
      <c r="H8" s="62">
        <f ca="1">F8+2*C15</f>
        <v>56</v>
      </c>
      <c r="I8" s="62">
        <f ca="1">F8+3*C15</f>
        <v>61</v>
      </c>
      <c r="J8" s="62">
        <f ca="1">F8+4*C15</f>
        <v>66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 ca="1">C14+F10</f>
        <v>0.17799999999999999</v>
      </c>
      <c r="G9" s="64">
        <f ca="1">$F$9+G10</f>
        <v>0.1855</v>
      </c>
      <c r="H9" s="64">
        <f ca="1">$F$9+H10</f>
        <v>0.193</v>
      </c>
      <c r="I9" s="64">
        <f ca="1">$F$9+I10</f>
        <v>0.20049999999999998</v>
      </c>
      <c r="J9" s="64">
        <f ca="1">$F$9+J10</f>
        <v>0.19799999999999998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7.4999999999999997E-3</v>
      </c>
      <c r="H10" s="66">
        <v>1.4999999999999999E-2</v>
      </c>
      <c r="I10" s="66">
        <v>2.2499999999999999E-2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45.65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46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71">
        <v>0.17799999999999999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 ca="1"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40" t="s">
        <v>66</v>
      </c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22" t="s">
        <v>49</v>
      </c>
      <c r="X19" s="140" t="s">
        <v>53</v>
      </c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</row>
    <row r="20" spans="1:43" ht="10.15" customHeight="1">
      <c r="A20" s="26" t="s">
        <v>14</v>
      </c>
      <c r="B20" s="26"/>
      <c r="C20" s="38" t="str">
        <f t="shared" ref="C20:AQ20" ca="1" si="0">IF(C22&lt;$C$11,"p","c")</f>
        <v>p</v>
      </c>
      <c r="D20" s="38" t="str">
        <f t="shared" ca="1" si="0"/>
        <v>p</v>
      </c>
      <c r="E20" s="38" t="str">
        <f t="shared" ca="1" si="0"/>
        <v>p</v>
      </c>
      <c r="F20" s="38" t="str">
        <f t="shared" ca="1" si="0"/>
        <v>p</v>
      </c>
      <c r="G20" s="38" t="str">
        <f t="shared" ca="1" si="0"/>
        <v>p</v>
      </c>
      <c r="H20" s="38" t="str">
        <f t="shared" ca="1" si="0"/>
        <v>p</v>
      </c>
      <c r="I20" s="38" t="str">
        <f t="shared" ca="1" si="0"/>
        <v>p</v>
      </c>
      <c r="J20" s="38" t="str">
        <f t="shared" ca="1" si="0"/>
        <v>p</v>
      </c>
      <c r="K20" s="38" t="str">
        <f t="shared" ca="1" si="0"/>
        <v>p</v>
      </c>
      <c r="L20" s="38" t="str">
        <f t="shared" ca="1" si="0"/>
        <v>p</v>
      </c>
      <c r="M20" s="38" t="str">
        <f t="shared" ca="1" si="0"/>
        <v>p</v>
      </c>
      <c r="N20" s="38" t="str">
        <f t="shared" ca="1" si="0"/>
        <v>p</v>
      </c>
      <c r="O20" s="38" t="str">
        <f t="shared" ca="1" si="0"/>
        <v>p</v>
      </c>
      <c r="P20" s="38" t="str">
        <f t="shared" ca="1" si="0"/>
        <v>p</v>
      </c>
      <c r="Q20" s="38" t="str">
        <f t="shared" ca="1" si="0"/>
        <v>p</v>
      </c>
      <c r="R20" s="38" t="str">
        <f t="shared" ca="1" si="0"/>
        <v>p</v>
      </c>
      <c r="S20" s="38" t="str">
        <f t="shared" ca="1" si="0"/>
        <v>p</v>
      </c>
      <c r="T20" s="38" t="str">
        <f t="shared" ca="1" si="0"/>
        <v>p</v>
      </c>
      <c r="U20" s="38" t="str">
        <f t="shared" ca="1" si="0"/>
        <v>p</v>
      </c>
      <c r="V20" s="38" t="str">
        <f t="shared" ca="1" si="0"/>
        <v>p</v>
      </c>
      <c r="W20" s="73" t="str">
        <f t="shared" ca="1" si="0"/>
        <v>c</v>
      </c>
      <c r="X20" s="38" t="str">
        <f t="shared" ca="1" si="0"/>
        <v>c</v>
      </c>
      <c r="Y20" s="38" t="str">
        <f t="shared" ca="1" si="0"/>
        <v>c</v>
      </c>
      <c r="Z20" s="38" t="str">
        <f t="shared" ca="1" si="0"/>
        <v>c</v>
      </c>
      <c r="AA20" s="38" t="str">
        <f t="shared" ca="1" si="0"/>
        <v>c</v>
      </c>
      <c r="AB20" s="38" t="str">
        <f t="shared" ca="1" si="0"/>
        <v>c</v>
      </c>
      <c r="AC20" s="38" t="str">
        <f t="shared" ca="1" si="0"/>
        <v>c</v>
      </c>
      <c r="AD20" s="38" t="str">
        <f t="shared" ca="1" si="0"/>
        <v>c</v>
      </c>
      <c r="AE20" s="38" t="str">
        <f t="shared" ca="1" si="0"/>
        <v>c</v>
      </c>
      <c r="AF20" s="38" t="str">
        <f t="shared" ca="1" si="0"/>
        <v>c</v>
      </c>
      <c r="AG20" s="38" t="str">
        <f t="shared" ca="1" si="0"/>
        <v>c</v>
      </c>
      <c r="AH20" s="38" t="str">
        <f t="shared" ca="1" si="0"/>
        <v>c</v>
      </c>
      <c r="AI20" s="38" t="str">
        <f t="shared" ca="1" si="0"/>
        <v>c</v>
      </c>
      <c r="AJ20" s="38" t="str">
        <f t="shared" ca="1" si="0"/>
        <v>c</v>
      </c>
      <c r="AK20" s="38" t="str">
        <f t="shared" ca="1" si="0"/>
        <v>c</v>
      </c>
      <c r="AL20" s="38" t="str">
        <f t="shared" ca="1" si="0"/>
        <v>c</v>
      </c>
      <c r="AM20" s="38" t="str">
        <f t="shared" ca="1" si="0"/>
        <v>c</v>
      </c>
      <c r="AN20" s="38" t="str">
        <f t="shared" ca="1" si="0"/>
        <v>c</v>
      </c>
      <c r="AO20" s="38" t="str">
        <f t="shared" ca="1" si="0"/>
        <v>c</v>
      </c>
      <c r="AP20" s="38" t="str">
        <f t="shared" ca="1" si="0"/>
        <v>c</v>
      </c>
      <c r="AQ20" s="38" t="str">
        <f t="shared" ca="1" si="0"/>
        <v>c</v>
      </c>
    </row>
    <row r="21" spans="1:43" ht="10.15" customHeight="1">
      <c r="A21" s="26" t="s">
        <v>54</v>
      </c>
      <c r="B21" s="26"/>
      <c r="C21" s="27">
        <f ca="1">F4+J5</f>
        <v>0.19799999999999998</v>
      </c>
      <c r="D21" s="28">
        <f ca="1">$H$21+($C$21-$H$21)*0.7</f>
        <v>0.19649999999999998</v>
      </c>
      <c r="E21" s="28">
        <f ca="1">$H$21+($C$21-$H$21)*0.45</f>
        <v>0.19525000000000001</v>
      </c>
      <c r="F21" s="28">
        <f ca="1">$H$21+($C$21-$H$21)*0.25</f>
        <v>0.19425000000000001</v>
      </c>
      <c r="G21" s="28">
        <f ca="1">$H$21+($C$21-$H$21)*0.1</f>
        <v>0.19350000000000001</v>
      </c>
      <c r="H21" s="27">
        <f ca="1">F4+I5</f>
        <v>0.193</v>
      </c>
      <c r="I21" s="28">
        <f ca="1">$M$21+($H$21-$M$21)*0.7</f>
        <v>0.1915</v>
      </c>
      <c r="J21" s="28">
        <f ca="1">$M$21+($H$21-$M$21)*0.45</f>
        <v>0.19025</v>
      </c>
      <c r="K21" s="28">
        <f ca="1">$M$21+($H$21-$M$21)*0.25</f>
        <v>0.18925</v>
      </c>
      <c r="L21" s="28">
        <f ca="1">$M$21+($H$21-$M$21)*0.1</f>
        <v>0.1885</v>
      </c>
      <c r="M21" s="27">
        <f ca="1">F4+H5</f>
        <v>0.188</v>
      </c>
      <c r="N21" s="28">
        <f ca="1">$R$21+($M$21-$R$21)*0.7</f>
        <v>0.1865</v>
      </c>
      <c r="O21" s="28">
        <f ca="1">$R$21+($M$21-$R$21)*0.45</f>
        <v>0.18525</v>
      </c>
      <c r="P21" s="28">
        <f ca="1">$R$21+($M$21-$R$21)*0.25</f>
        <v>0.18425</v>
      </c>
      <c r="Q21" s="28">
        <f ca="1">$R$21+($M$21-$R$21)*0.1</f>
        <v>0.1835</v>
      </c>
      <c r="R21" s="27">
        <f ca="1">F4+G5</f>
        <v>0.183</v>
      </c>
      <c r="S21" s="28">
        <f ca="1">$W$21+($R$21-$W$21)*0.7</f>
        <v>0.18149999999999999</v>
      </c>
      <c r="T21" s="28">
        <f ca="1">$W$21+($R$21-$W$21)*0.45</f>
        <v>0.18024999999999999</v>
      </c>
      <c r="U21" s="28">
        <f ca="1">$W$21+($R$21-$W$21)*0.25</f>
        <v>0.17924999999999999</v>
      </c>
      <c r="V21" s="28">
        <f ca="1">$W$21+($R$21-$W$21)*0.1</f>
        <v>0.17849999999999999</v>
      </c>
      <c r="W21" s="74">
        <f ca="1">C14</f>
        <v>0.17799999999999999</v>
      </c>
      <c r="X21" s="28">
        <f ca="1">$W$21+($AB$21-$W$21)*0.1</f>
        <v>0.17874999999999999</v>
      </c>
      <c r="Y21" s="28">
        <f ca="1">$W$21+($AB$21-$W$21)*0.25</f>
        <v>0.17987500000000001</v>
      </c>
      <c r="Z21" s="28">
        <f ca="1">$W$21+($AB$21-$W$21)*0.45</f>
        <v>0.18137500000000001</v>
      </c>
      <c r="AA21" s="28">
        <f ca="1">$W$21+($AB$21-$W$21)*0.7</f>
        <v>0.18325</v>
      </c>
      <c r="AB21" s="27">
        <f ca="1">F9+G10</f>
        <v>0.1855</v>
      </c>
      <c r="AC21" s="28">
        <f ca="1">$AB$21+($AG$21-$AB$21)*0.1</f>
        <v>0.18625</v>
      </c>
      <c r="AD21" s="28">
        <f ca="1">$AB$21+($AG$21-$AB$21)*0.25</f>
        <v>0.18737500000000001</v>
      </c>
      <c r="AE21" s="28">
        <f ca="1">$AB$21+($AG$21-$AB$21)*0.45</f>
        <v>0.18887500000000002</v>
      </c>
      <c r="AF21" s="28">
        <f ca="1">$AB$21+($AG$21-$AB$21)*0.7</f>
        <v>0.19075</v>
      </c>
      <c r="AG21" s="27">
        <f ca="1">F9+H10</f>
        <v>0.193</v>
      </c>
      <c r="AH21" s="28">
        <f ca="1">$AG$21+($AL$21-$AG$21)*0.1</f>
        <v>0.19375000000000001</v>
      </c>
      <c r="AI21" s="28">
        <f ca="1">$AG$21+($AL$21-$AG$21)*0.25</f>
        <v>0.19487499999999999</v>
      </c>
      <c r="AJ21" s="28">
        <f ca="1">$AG$21+($AL$21-$AG$21)*0.45</f>
        <v>0.19637499999999999</v>
      </c>
      <c r="AK21" s="28">
        <f ca="1">$AG$21+($AL$21-$AG$21)*0.7</f>
        <v>0.19824999999999998</v>
      </c>
      <c r="AL21" s="27">
        <f ca="1">I10+F9</f>
        <v>0.20049999999999998</v>
      </c>
      <c r="AM21" s="28">
        <f ca="1">$AL$21+($AQ$21-$AL$21)*0.1</f>
        <v>0.20024999999999998</v>
      </c>
      <c r="AN21" s="28">
        <f ca="1">$AL$21+($AQ$21-$AL$21)*0.25</f>
        <v>0.19987499999999997</v>
      </c>
      <c r="AO21" s="28">
        <f ca="1">$AL$21+($AQ$21-$AL$21)*0.45</f>
        <v>0.19937499999999997</v>
      </c>
      <c r="AP21" s="28">
        <f ca="1">$AL$21+($AQ$21-$AL$21)*0.7</f>
        <v>0.19874999999999998</v>
      </c>
      <c r="AQ21" s="27">
        <f ca="1">F9+J10</f>
        <v>0.19799999999999998</v>
      </c>
    </row>
    <row r="22" spans="1:43" s="90" customFormat="1" ht="10.15" customHeight="1">
      <c r="A22" s="29" t="s">
        <v>55</v>
      </c>
      <c r="B22" s="29"/>
      <c r="C22" s="30">
        <f ca="1">J3</f>
        <v>26</v>
      </c>
      <c r="D22" s="30">
        <f ca="1">E22-$C$16</f>
        <v>27</v>
      </c>
      <c r="E22" s="30">
        <f ca="1">F22-$C$16</f>
        <v>28</v>
      </c>
      <c r="F22" s="30">
        <f ca="1">G22-$C$16</f>
        <v>29</v>
      </c>
      <c r="G22" s="30">
        <f ca="1">H22-$C$16</f>
        <v>30</v>
      </c>
      <c r="H22" s="30">
        <f ca="1">I3</f>
        <v>31</v>
      </c>
      <c r="I22" s="30">
        <f ca="1">J22-$C$16</f>
        <v>32</v>
      </c>
      <c r="J22" s="30">
        <f ca="1">K22-$C$16</f>
        <v>33</v>
      </c>
      <c r="K22" s="30">
        <f ca="1">L22-$C$16</f>
        <v>34</v>
      </c>
      <c r="L22" s="30">
        <f ca="1">M22-$C$16</f>
        <v>35</v>
      </c>
      <c r="M22" s="30">
        <f ca="1">H3</f>
        <v>36</v>
      </c>
      <c r="N22" s="30">
        <f ca="1">O22-($R$22-$M$22)/5</f>
        <v>37</v>
      </c>
      <c r="O22" s="30">
        <f ca="1">P22-($R$22-$M$22)/5</f>
        <v>38</v>
      </c>
      <c r="P22" s="30">
        <f ca="1">Q22-($R$22-$M$22)/5</f>
        <v>39</v>
      </c>
      <c r="Q22" s="30">
        <f ca="1">R22-($R$22-$M$22)/5</f>
        <v>40</v>
      </c>
      <c r="R22" s="30">
        <f ca="1">G3</f>
        <v>41</v>
      </c>
      <c r="S22" s="30">
        <f ca="1">T22-($W$22-$R$22)/5</f>
        <v>42</v>
      </c>
      <c r="T22" s="30">
        <f ca="1">U22-($W$22-$R$22)/5</f>
        <v>43</v>
      </c>
      <c r="U22" s="30">
        <f ca="1">V22-($W$22-$R$22)/5</f>
        <v>44</v>
      </c>
      <c r="V22" s="30">
        <f ca="1">W22-($W$22-$R$22)/5</f>
        <v>45</v>
      </c>
      <c r="W22" s="75">
        <f ca="1">C13</f>
        <v>46</v>
      </c>
      <c r="X22" s="30">
        <f t="shared" ref="X22:AQ22" ca="1" si="1">W22+$C$16</f>
        <v>47</v>
      </c>
      <c r="Y22" s="30">
        <f t="shared" ca="1" si="1"/>
        <v>48</v>
      </c>
      <c r="Z22" s="30">
        <f t="shared" ca="1" si="1"/>
        <v>49</v>
      </c>
      <c r="AA22" s="30">
        <f t="shared" ca="1" si="1"/>
        <v>50</v>
      </c>
      <c r="AB22" s="30">
        <f t="shared" ca="1" si="1"/>
        <v>51</v>
      </c>
      <c r="AC22" s="30">
        <f t="shared" ca="1" si="1"/>
        <v>52</v>
      </c>
      <c r="AD22" s="30">
        <f t="shared" ca="1" si="1"/>
        <v>53</v>
      </c>
      <c r="AE22" s="30">
        <f t="shared" ca="1" si="1"/>
        <v>54</v>
      </c>
      <c r="AF22" s="30">
        <f t="shared" ca="1" si="1"/>
        <v>55</v>
      </c>
      <c r="AG22" s="30">
        <f t="shared" ca="1" si="1"/>
        <v>56</v>
      </c>
      <c r="AH22" s="30">
        <f t="shared" ca="1" si="1"/>
        <v>57</v>
      </c>
      <c r="AI22" s="30">
        <f t="shared" ca="1" si="1"/>
        <v>58</v>
      </c>
      <c r="AJ22" s="30">
        <f t="shared" ca="1" si="1"/>
        <v>59</v>
      </c>
      <c r="AK22" s="30">
        <f t="shared" ca="1" si="1"/>
        <v>60</v>
      </c>
      <c r="AL22" s="30">
        <f t="shared" ca="1" si="1"/>
        <v>61</v>
      </c>
      <c r="AM22" s="30">
        <f t="shared" ca="1" si="1"/>
        <v>62</v>
      </c>
      <c r="AN22" s="30">
        <f t="shared" ca="1" si="1"/>
        <v>63</v>
      </c>
      <c r="AO22" s="30">
        <f t="shared" ca="1" si="1"/>
        <v>64</v>
      </c>
      <c r="AP22" s="30">
        <f t="shared" ca="1" si="1"/>
        <v>65</v>
      </c>
      <c r="AQ22" s="30">
        <f t="shared" ca="1" si="1"/>
        <v>66</v>
      </c>
    </row>
    <row r="23" spans="1:43" ht="10.15" customHeight="1">
      <c r="A23" s="31">
        <f ca="1">A25-$C$12</f>
        <v>44.900000000000041</v>
      </c>
      <c r="B23" s="31" t="s">
        <v>71</v>
      </c>
      <c r="C23" s="32" t="e">
        <f t="shared" ref="C23:AQ23" ca="1" si="2">EBlackScholesForward("p",C$20,$A$23,C$22,$C$6,$C$6,$C$7,C$21)</f>
        <v>#VALUE!</v>
      </c>
      <c r="D23" s="32" t="e">
        <f t="shared" ca="1" si="2"/>
        <v>#VALUE!</v>
      </c>
      <c r="E23" s="32" t="e">
        <f t="shared" ca="1" si="2"/>
        <v>#VALUE!</v>
      </c>
      <c r="F23" s="32" t="e">
        <f t="shared" ca="1" si="2"/>
        <v>#VALUE!</v>
      </c>
      <c r="G23" s="32" t="e">
        <f t="shared" ca="1" si="2"/>
        <v>#VALUE!</v>
      </c>
      <c r="H23" s="32" t="e">
        <f t="shared" ca="1" si="2"/>
        <v>#VALUE!</v>
      </c>
      <c r="I23" s="32" t="e">
        <f t="shared" ca="1" si="2"/>
        <v>#VALUE!</v>
      </c>
      <c r="J23" s="32" t="e">
        <f t="shared" ca="1" si="2"/>
        <v>#VALUE!</v>
      </c>
      <c r="K23" s="32" t="e">
        <f t="shared" ca="1" si="2"/>
        <v>#VALUE!</v>
      </c>
      <c r="L23" s="32" t="e">
        <f t="shared" ca="1" si="2"/>
        <v>#VALUE!</v>
      </c>
      <c r="M23" s="32" t="e">
        <f t="shared" ca="1" si="2"/>
        <v>#VALUE!</v>
      </c>
      <c r="N23" s="32" t="e">
        <f t="shared" ca="1" si="2"/>
        <v>#VALUE!</v>
      </c>
      <c r="O23" s="32" t="e">
        <f t="shared" ca="1" si="2"/>
        <v>#VALUE!</v>
      </c>
      <c r="P23" s="32" t="e">
        <f t="shared" ca="1" si="2"/>
        <v>#VALUE!</v>
      </c>
      <c r="Q23" s="32" t="e">
        <f t="shared" ca="1" si="2"/>
        <v>#VALUE!</v>
      </c>
      <c r="R23" s="32" t="e">
        <f t="shared" ca="1" si="2"/>
        <v>#VALUE!</v>
      </c>
      <c r="S23" s="32" t="e">
        <f t="shared" ca="1" si="2"/>
        <v>#VALUE!</v>
      </c>
      <c r="T23" s="32" t="e">
        <f t="shared" ca="1" si="2"/>
        <v>#VALUE!</v>
      </c>
      <c r="U23" s="32" t="e">
        <f t="shared" ca="1" si="2"/>
        <v>#VALUE!</v>
      </c>
      <c r="V23" s="32" t="e">
        <f t="shared" ca="1" si="2"/>
        <v>#VALUE!</v>
      </c>
      <c r="W23" s="76" t="e">
        <f t="shared" ca="1" si="2"/>
        <v>#VALUE!</v>
      </c>
      <c r="X23" s="32" t="e">
        <f t="shared" ca="1" si="2"/>
        <v>#VALUE!</v>
      </c>
      <c r="Y23" s="32" t="e">
        <f t="shared" ca="1" si="2"/>
        <v>#VALUE!</v>
      </c>
      <c r="Z23" s="32" t="e">
        <f t="shared" ca="1" si="2"/>
        <v>#VALUE!</v>
      </c>
      <c r="AA23" s="32" t="e">
        <f t="shared" ca="1" si="2"/>
        <v>#VALUE!</v>
      </c>
      <c r="AB23" s="32" t="e">
        <f t="shared" ca="1" si="2"/>
        <v>#VALUE!</v>
      </c>
      <c r="AC23" s="32" t="e">
        <f t="shared" ca="1" si="2"/>
        <v>#VALUE!</v>
      </c>
      <c r="AD23" s="32" t="e">
        <f t="shared" ca="1" si="2"/>
        <v>#VALUE!</v>
      </c>
      <c r="AE23" s="32" t="e">
        <f t="shared" ca="1" si="2"/>
        <v>#VALUE!</v>
      </c>
      <c r="AF23" s="32" t="e">
        <f t="shared" ca="1" si="2"/>
        <v>#VALUE!</v>
      </c>
      <c r="AG23" s="32" t="e">
        <f t="shared" ca="1" si="2"/>
        <v>#VALUE!</v>
      </c>
      <c r="AH23" s="32" t="e">
        <f t="shared" ca="1" si="2"/>
        <v>#VALUE!</v>
      </c>
      <c r="AI23" s="32" t="e">
        <f t="shared" ca="1" si="2"/>
        <v>#VALUE!</v>
      </c>
      <c r="AJ23" s="32" t="e">
        <f t="shared" ca="1" si="2"/>
        <v>#VALUE!</v>
      </c>
      <c r="AK23" s="32" t="e">
        <f t="shared" ca="1" si="2"/>
        <v>#VALUE!</v>
      </c>
      <c r="AL23" s="32" t="e">
        <f t="shared" ca="1" si="2"/>
        <v>#VALUE!</v>
      </c>
      <c r="AM23" s="32" t="e">
        <f t="shared" ca="1" si="2"/>
        <v>#VALUE!</v>
      </c>
      <c r="AN23" s="32" t="e">
        <f t="shared" ca="1" si="2"/>
        <v>#VALUE!</v>
      </c>
      <c r="AO23" s="32" t="e">
        <f t="shared" ca="1" si="2"/>
        <v>#VALUE!</v>
      </c>
      <c r="AP23" s="32" t="e">
        <f t="shared" ca="1" si="2"/>
        <v>#VALUE!</v>
      </c>
      <c r="AQ23" s="32" t="e">
        <f t="shared" ca="1" si="2"/>
        <v>#VALUE!</v>
      </c>
    </row>
    <row r="24" spans="1:43" ht="10.15" customHeight="1" outlineLevel="1">
      <c r="A24" s="33"/>
      <c r="B24" s="31" t="s">
        <v>74</v>
      </c>
      <c r="C24" s="32" t="e">
        <f t="shared" ref="C24:AQ24" ca="1" si="3">EBlackScholesForward($FA$3,C$20,$A$23,C$22,$C$6,$C$6,$C$7,C$21)</f>
        <v>#VALUE!</v>
      </c>
      <c r="D24" s="32" t="e">
        <f t="shared" ca="1" si="3"/>
        <v>#VALUE!</v>
      </c>
      <c r="E24" s="32" t="e">
        <f t="shared" ca="1" si="3"/>
        <v>#VALUE!</v>
      </c>
      <c r="F24" s="32" t="e">
        <f t="shared" ca="1" si="3"/>
        <v>#VALUE!</v>
      </c>
      <c r="G24" s="32" t="e">
        <f t="shared" ca="1" si="3"/>
        <v>#VALUE!</v>
      </c>
      <c r="H24" s="32" t="e">
        <f t="shared" ca="1" si="3"/>
        <v>#VALUE!</v>
      </c>
      <c r="I24" s="32" t="e">
        <f t="shared" ca="1" si="3"/>
        <v>#VALUE!</v>
      </c>
      <c r="J24" s="32" t="e">
        <f t="shared" ca="1" si="3"/>
        <v>#VALUE!</v>
      </c>
      <c r="K24" s="32" t="e">
        <f t="shared" ca="1" si="3"/>
        <v>#VALUE!</v>
      </c>
      <c r="L24" s="32" t="e">
        <f t="shared" ca="1" si="3"/>
        <v>#VALUE!</v>
      </c>
      <c r="M24" s="32" t="e">
        <f t="shared" ca="1" si="3"/>
        <v>#VALUE!</v>
      </c>
      <c r="N24" s="32" t="e">
        <f t="shared" ca="1" si="3"/>
        <v>#VALUE!</v>
      </c>
      <c r="O24" s="32" t="e">
        <f t="shared" ca="1" si="3"/>
        <v>#VALUE!</v>
      </c>
      <c r="P24" s="32" t="e">
        <f t="shared" ca="1" si="3"/>
        <v>#VALUE!</v>
      </c>
      <c r="Q24" s="32" t="e">
        <f t="shared" ca="1" si="3"/>
        <v>#VALUE!</v>
      </c>
      <c r="R24" s="32" t="e">
        <f t="shared" ca="1" si="3"/>
        <v>#VALUE!</v>
      </c>
      <c r="S24" s="32" t="e">
        <f t="shared" ca="1" si="3"/>
        <v>#VALUE!</v>
      </c>
      <c r="T24" s="32" t="e">
        <f t="shared" ca="1" si="3"/>
        <v>#VALUE!</v>
      </c>
      <c r="U24" s="32" t="e">
        <f t="shared" ca="1" si="3"/>
        <v>#VALUE!</v>
      </c>
      <c r="V24" s="32" t="e">
        <f t="shared" ca="1" si="3"/>
        <v>#VALUE!</v>
      </c>
      <c r="W24" s="76" t="e">
        <f t="shared" ca="1" si="3"/>
        <v>#VALUE!</v>
      </c>
      <c r="X24" s="32" t="e">
        <f t="shared" ca="1" si="3"/>
        <v>#VALUE!</v>
      </c>
      <c r="Y24" s="32" t="e">
        <f t="shared" ca="1" si="3"/>
        <v>#VALUE!</v>
      </c>
      <c r="Z24" s="32" t="e">
        <f t="shared" ca="1" si="3"/>
        <v>#VALUE!</v>
      </c>
      <c r="AA24" s="32" t="e">
        <f t="shared" ca="1" si="3"/>
        <v>#VALUE!</v>
      </c>
      <c r="AB24" s="32" t="e">
        <f t="shared" ca="1" si="3"/>
        <v>#VALUE!</v>
      </c>
      <c r="AC24" s="32" t="e">
        <f t="shared" ca="1" si="3"/>
        <v>#VALUE!</v>
      </c>
      <c r="AD24" s="32" t="e">
        <f t="shared" ca="1" si="3"/>
        <v>#VALUE!</v>
      </c>
      <c r="AE24" s="32" t="e">
        <f t="shared" ca="1" si="3"/>
        <v>#VALUE!</v>
      </c>
      <c r="AF24" s="32" t="e">
        <f t="shared" ca="1" si="3"/>
        <v>#VALUE!</v>
      </c>
      <c r="AG24" s="32" t="e">
        <f t="shared" ca="1" si="3"/>
        <v>#VALUE!</v>
      </c>
      <c r="AH24" s="32" t="e">
        <f t="shared" ca="1" si="3"/>
        <v>#VALUE!</v>
      </c>
      <c r="AI24" s="32" t="e">
        <f t="shared" ca="1" si="3"/>
        <v>#VALUE!</v>
      </c>
      <c r="AJ24" s="32" t="e">
        <f t="shared" ca="1" si="3"/>
        <v>#VALUE!</v>
      </c>
      <c r="AK24" s="32" t="e">
        <f t="shared" ca="1" si="3"/>
        <v>#VALUE!</v>
      </c>
      <c r="AL24" s="32" t="e">
        <f t="shared" ca="1" si="3"/>
        <v>#VALUE!</v>
      </c>
      <c r="AM24" s="32" t="e">
        <f t="shared" ca="1" si="3"/>
        <v>#VALUE!</v>
      </c>
      <c r="AN24" s="32" t="e">
        <f t="shared" ca="1" si="3"/>
        <v>#VALUE!</v>
      </c>
      <c r="AO24" s="32" t="e">
        <f t="shared" ca="1" si="3"/>
        <v>#VALUE!</v>
      </c>
      <c r="AP24" s="32" t="e">
        <f t="shared" ca="1" si="3"/>
        <v>#VALUE!</v>
      </c>
      <c r="AQ24" s="32" t="e">
        <f t="shared" ca="1" si="3"/>
        <v>#VALUE!</v>
      </c>
    </row>
    <row r="25" spans="1:43" ht="10.15" customHeight="1">
      <c r="A25" s="34">
        <f ca="1">A27-$C$12</f>
        <v>44.950000000000038</v>
      </c>
      <c r="B25" s="34" t="s">
        <v>71</v>
      </c>
      <c r="C25" s="35" t="e">
        <f t="shared" ref="C25:AQ25" ca="1" si="4">EBlackScholesForward("p",C$20,$A$25,C$22,$C$6,$C$6,$C$7,C$21)</f>
        <v>#VALUE!</v>
      </c>
      <c r="D25" s="35" t="e">
        <f t="shared" ca="1" si="4"/>
        <v>#VALUE!</v>
      </c>
      <c r="E25" s="35" t="e">
        <f t="shared" ca="1" si="4"/>
        <v>#VALUE!</v>
      </c>
      <c r="F25" s="35" t="e">
        <f t="shared" ca="1" si="4"/>
        <v>#VALUE!</v>
      </c>
      <c r="G25" s="35" t="e">
        <f t="shared" ca="1" si="4"/>
        <v>#VALUE!</v>
      </c>
      <c r="H25" s="35" t="e">
        <f t="shared" ca="1" si="4"/>
        <v>#VALUE!</v>
      </c>
      <c r="I25" s="35" t="e">
        <f t="shared" ca="1" si="4"/>
        <v>#VALUE!</v>
      </c>
      <c r="J25" s="35" t="e">
        <f t="shared" ca="1" si="4"/>
        <v>#VALUE!</v>
      </c>
      <c r="K25" s="35" t="e">
        <f t="shared" ca="1" si="4"/>
        <v>#VALUE!</v>
      </c>
      <c r="L25" s="35" t="e">
        <f t="shared" ca="1" si="4"/>
        <v>#VALUE!</v>
      </c>
      <c r="M25" s="35" t="e">
        <f t="shared" ca="1" si="4"/>
        <v>#VALUE!</v>
      </c>
      <c r="N25" s="35" t="e">
        <f t="shared" ca="1" si="4"/>
        <v>#VALUE!</v>
      </c>
      <c r="O25" s="35" t="e">
        <f t="shared" ca="1" si="4"/>
        <v>#VALUE!</v>
      </c>
      <c r="P25" s="35" t="e">
        <f t="shared" ca="1" si="4"/>
        <v>#VALUE!</v>
      </c>
      <c r="Q25" s="35" t="e">
        <f t="shared" ca="1" si="4"/>
        <v>#VALUE!</v>
      </c>
      <c r="R25" s="35" t="e">
        <f t="shared" ca="1" si="4"/>
        <v>#VALUE!</v>
      </c>
      <c r="S25" s="35" t="e">
        <f t="shared" ca="1" si="4"/>
        <v>#VALUE!</v>
      </c>
      <c r="T25" s="35" t="e">
        <f t="shared" ca="1" si="4"/>
        <v>#VALUE!</v>
      </c>
      <c r="U25" s="35" t="e">
        <f t="shared" ca="1" si="4"/>
        <v>#VALUE!</v>
      </c>
      <c r="V25" s="35" t="e">
        <f t="shared" ca="1" si="4"/>
        <v>#VALUE!</v>
      </c>
      <c r="W25" s="77" t="e">
        <f t="shared" ca="1" si="4"/>
        <v>#VALUE!</v>
      </c>
      <c r="X25" s="35" t="e">
        <f t="shared" ca="1" si="4"/>
        <v>#VALUE!</v>
      </c>
      <c r="Y25" s="35" t="e">
        <f t="shared" ca="1" si="4"/>
        <v>#VALUE!</v>
      </c>
      <c r="Z25" s="35" t="e">
        <f t="shared" ca="1" si="4"/>
        <v>#VALUE!</v>
      </c>
      <c r="AA25" s="35" t="e">
        <f t="shared" ca="1" si="4"/>
        <v>#VALUE!</v>
      </c>
      <c r="AB25" s="35" t="e">
        <f t="shared" ca="1" si="4"/>
        <v>#VALUE!</v>
      </c>
      <c r="AC25" s="35" t="e">
        <f t="shared" ca="1" si="4"/>
        <v>#VALUE!</v>
      </c>
      <c r="AD25" s="35" t="e">
        <f t="shared" ca="1" si="4"/>
        <v>#VALUE!</v>
      </c>
      <c r="AE25" s="35" t="e">
        <f t="shared" ca="1" si="4"/>
        <v>#VALUE!</v>
      </c>
      <c r="AF25" s="35" t="e">
        <f t="shared" ca="1" si="4"/>
        <v>#VALUE!</v>
      </c>
      <c r="AG25" s="35" t="e">
        <f t="shared" ca="1" si="4"/>
        <v>#VALUE!</v>
      </c>
      <c r="AH25" s="35" t="e">
        <f t="shared" ca="1" si="4"/>
        <v>#VALUE!</v>
      </c>
      <c r="AI25" s="35" t="e">
        <f t="shared" ca="1" si="4"/>
        <v>#VALUE!</v>
      </c>
      <c r="AJ25" s="35" t="e">
        <f t="shared" ca="1" si="4"/>
        <v>#VALUE!</v>
      </c>
      <c r="AK25" s="35" t="e">
        <f t="shared" ca="1" si="4"/>
        <v>#VALUE!</v>
      </c>
      <c r="AL25" s="35" t="e">
        <f t="shared" ca="1" si="4"/>
        <v>#VALUE!</v>
      </c>
      <c r="AM25" s="35" t="e">
        <f t="shared" ca="1" si="4"/>
        <v>#VALUE!</v>
      </c>
      <c r="AN25" s="35" t="e">
        <f t="shared" ca="1" si="4"/>
        <v>#VALUE!</v>
      </c>
      <c r="AO25" s="35" t="e">
        <f t="shared" ca="1" si="4"/>
        <v>#VALUE!</v>
      </c>
      <c r="AP25" s="35" t="e">
        <f t="shared" ca="1" si="4"/>
        <v>#VALUE!</v>
      </c>
      <c r="AQ25" s="35" t="e">
        <f t="shared" ca="1" si="4"/>
        <v>#VALUE!</v>
      </c>
    </row>
    <row r="26" spans="1:43" ht="10.15" customHeight="1" outlineLevel="1">
      <c r="A26" s="36"/>
      <c r="B26" s="34" t="s">
        <v>74</v>
      </c>
      <c r="C26" s="35" t="e">
        <f t="shared" ref="C26:AQ26" ca="1" si="5">EBlackScholesForward($FA$3,C$20,$A$25,C$22,$C$6,$C$6,$C$7,C$21)</f>
        <v>#VALUE!</v>
      </c>
      <c r="D26" s="35" t="e">
        <f t="shared" ca="1" si="5"/>
        <v>#VALUE!</v>
      </c>
      <c r="E26" s="35" t="e">
        <f t="shared" ca="1" si="5"/>
        <v>#VALUE!</v>
      </c>
      <c r="F26" s="35" t="e">
        <f t="shared" ca="1" si="5"/>
        <v>#VALUE!</v>
      </c>
      <c r="G26" s="35" t="e">
        <f t="shared" ca="1" si="5"/>
        <v>#VALUE!</v>
      </c>
      <c r="H26" s="35" t="e">
        <f t="shared" ca="1" si="5"/>
        <v>#VALUE!</v>
      </c>
      <c r="I26" s="35" t="e">
        <f t="shared" ca="1" si="5"/>
        <v>#VALUE!</v>
      </c>
      <c r="J26" s="35" t="e">
        <f t="shared" ca="1" si="5"/>
        <v>#VALUE!</v>
      </c>
      <c r="K26" s="35" t="e">
        <f t="shared" ca="1" si="5"/>
        <v>#VALUE!</v>
      </c>
      <c r="L26" s="35" t="e">
        <f t="shared" ca="1" si="5"/>
        <v>#VALUE!</v>
      </c>
      <c r="M26" s="35" t="e">
        <f t="shared" ca="1" si="5"/>
        <v>#VALUE!</v>
      </c>
      <c r="N26" s="35" t="e">
        <f t="shared" ca="1" si="5"/>
        <v>#VALUE!</v>
      </c>
      <c r="O26" s="35" t="e">
        <f t="shared" ca="1" si="5"/>
        <v>#VALUE!</v>
      </c>
      <c r="P26" s="35" t="e">
        <f t="shared" ca="1" si="5"/>
        <v>#VALUE!</v>
      </c>
      <c r="Q26" s="35" t="e">
        <f t="shared" ca="1" si="5"/>
        <v>#VALUE!</v>
      </c>
      <c r="R26" s="35" t="e">
        <f t="shared" ca="1" si="5"/>
        <v>#VALUE!</v>
      </c>
      <c r="S26" s="35" t="e">
        <f t="shared" ca="1" si="5"/>
        <v>#VALUE!</v>
      </c>
      <c r="T26" s="35" t="e">
        <f t="shared" ca="1" si="5"/>
        <v>#VALUE!</v>
      </c>
      <c r="U26" s="35" t="e">
        <f t="shared" ca="1" si="5"/>
        <v>#VALUE!</v>
      </c>
      <c r="V26" s="35" t="e">
        <f t="shared" ca="1" si="5"/>
        <v>#VALUE!</v>
      </c>
      <c r="W26" s="77" t="e">
        <f t="shared" ca="1" si="5"/>
        <v>#VALUE!</v>
      </c>
      <c r="X26" s="35" t="e">
        <f t="shared" ca="1" si="5"/>
        <v>#VALUE!</v>
      </c>
      <c r="Y26" s="35" t="e">
        <f t="shared" ca="1" si="5"/>
        <v>#VALUE!</v>
      </c>
      <c r="Z26" s="35" t="e">
        <f t="shared" ca="1" si="5"/>
        <v>#VALUE!</v>
      </c>
      <c r="AA26" s="35" t="e">
        <f t="shared" ca="1" si="5"/>
        <v>#VALUE!</v>
      </c>
      <c r="AB26" s="35" t="e">
        <f t="shared" ca="1" si="5"/>
        <v>#VALUE!</v>
      </c>
      <c r="AC26" s="35" t="e">
        <f t="shared" ca="1" si="5"/>
        <v>#VALUE!</v>
      </c>
      <c r="AD26" s="35" t="e">
        <f t="shared" ca="1" si="5"/>
        <v>#VALUE!</v>
      </c>
      <c r="AE26" s="35" t="e">
        <f t="shared" ca="1" si="5"/>
        <v>#VALUE!</v>
      </c>
      <c r="AF26" s="35" t="e">
        <f t="shared" ca="1" si="5"/>
        <v>#VALUE!</v>
      </c>
      <c r="AG26" s="35" t="e">
        <f t="shared" ca="1" si="5"/>
        <v>#VALUE!</v>
      </c>
      <c r="AH26" s="35" t="e">
        <f t="shared" ca="1" si="5"/>
        <v>#VALUE!</v>
      </c>
      <c r="AI26" s="35" t="e">
        <f t="shared" ca="1" si="5"/>
        <v>#VALUE!</v>
      </c>
      <c r="AJ26" s="35" t="e">
        <f t="shared" ca="1" si="5"/>
        <v>#VALUE!</v>
      </c>
      <c r="AK26" s="35" t="e">
        <f t="shared" ca="1" si="5"/>
        <v>#VALUE!</v>
      </c>
      <c r="AL26" s="35" t="e">
        <f t="shared" ca="1" si="5"/>
        <v>#VALUE!</v>
      </c>
      <c r="AM26" s="35" t="e">
        <f t="shared" ca="1" si="5"/>
        <v>#VALUE!</v>
      </c>
      <c r="AN26" s="35" t="e">
        <f t="shared" ca="1" si="5"/>
        <v>#VALUE!</v>
      </c>
      <c r="AO26" s="35" t="e">
        <f t="shared" ca="1" si="5"/>
        <v>#VALUE!</v>
      </c>
      <c r="AP26" s="35" t="e">
        <f t="shared" ca="1" si="5"/>
        <v>#VALUE!</v>
      </c>
      <c r="AQ26" s="35" t="e">
        <f t="shared" ca="1" si="5"/>
        <v>#VALUE!</v>
      </c>
    </row>
    <row r="27" spans="1:43" ht="10.15" customHeight="1">
      <c r="A27" s="31">
        <f ca="1">A29-$C$12</f>
        <v>45.000000000000036</v>
      </c>
      <c r="B27" s="31" t="s">
        <v>71</v>
      </c>
      <c r="C27" s="32" t="e">
        <f t="shared" ref="C27:AQ27" ca="1" si="6">EBlackScholesForward("p",C$20,$A$27,C$22,$C$6,$C$6,$C$7,C$21)</f>
        <v>#VALUE!</v>
      </c>
      <c r="D27" s="32" t="e">
        <f t="shared" ca="1" si="6"/>
        <v>#VALUE!</v>
      </c>
      <c r="E27" s="32" t="e">
        <f t="shared" ca="1" si="6"/>
        <v>#VALUE!</v>
      </c>
      <c r="F27" s="32" t="e">
        <f t="shared" ca="1" si="6"/>
        <v>#VALUE!</v>
      </c>
      <c r="G27" s="32" t="e">
        <f t="shared" ca="1" si="6"/>
        <v>#VALUE!</v>
      </c>
      <c r="H27" s="32" t="e">
        <f t="shared" ca="1" si="6"/>
        <v>#VALUE!</v>
      </c>
      <c r="I27" s="32" t="e">
        <f t="shared" ca="1" si="6"/>
        <v>#VALUE!</v>
      </c>
      <c r="J27" s="32" t="e">
        <f t="shared" ca="1" si="6"/>
        <v>#VALUE!</v>
      </c>
      <c r="K27" s="32" t="e">
        <f t="shared" ca="1" si="6"/>
        <v>#VALUE!</v>
      </c>
      <c r="L27" s="32" t="e">
        <f t="shared" ca="1" si="6"/>
        <v>#VALUE!</v>
      </c>
      <c r="M27" s="32" t="e">
        <f t="shared" ca="1" si="6"/>
        <v>#VALUE!</v>
      </c>
      <c r="N27" s="32" t="e">
        <f t="shared" ca="1" si="6"/>
        <v>#VALUE!</v>
      </c>
      <c r="O27" s="32" t="e">
        <f t="shared" ca="1" si="6"/>
        <v>#VALUE!</v>
      </c>
      <c r="P27" s="32" t="e">
        <f t="shared" ca="1" si="6"/>
        <v>#VALUE!</v>
      </c>
      <c r="Q27" s="32" t="e">
        <f t="shared" ca="1" si="6"/>
        <v>#VALUE!</v>
      </c>
      <c r="R27" s="32" t="e">
        <f t="shared" ca="1" si="6"/>
        <v>#VALUE!</v>
      </c>
      <c r="S27" s="32" t="e">
        <f t="shared" ca="1" si="6"/>
        <v>#VALUE!</v>
      </c>
      <c r="T27" s="32" t="e">
        <f t="shared" ca="1" si="6"/>
        <v>#VALUE!</v>
      </c>
      <c r="U27" s="32" t="e">
        <f t="shared" ca="1" si="6"/>
        <v>#VALUE!</v>
      </c>
      <c r="V27" s="32" t="e">
        <f t="shared" ca="1" si="6"/>
        <v>#VALUE!</v>
      </c>
      <c r="W27" s="76" t="e">
        <f t="shared" ca="1" si="6"/>
        <v>#VALUE!</v>
      </c>
      <c r="X27" s="32" t="e">
        <f t="shared" ca="1" si="6"/>
        <v>#VALUE!</v>
      </c>
      <c r="Y27" s="32" t="e">
        <f t="shared" ca="1" si="6"/>
        <v>#VALUE!</v>
      </c>
      <c r="Z27" s="32" t="e">
        <f t="shared" ca="1" si="6"/>
        <v>#VALUE!</v>
      </c>
      <c r="AA27" s="32" t="e">
        <f t="shared" ca="1" si="6"/>
        <v>#VALUE!</v>
      </c>
      <c r="AB27" s="32" t="e">
        <f t="shared" ca="1" si="6"/>
        <v>#VALUE!</v>
      </c>
      <c r="AC27" s="32" t="e">
        <f t="shared" ca="1" si="6"/>
        <v>#VALUE!</v>
      </c>
      <c r="AD27" s="32" t="e">
        <f t="shared" ca="1" si="6"/>
        <v>#VALUE!</v>
      </c>
      <c r="AE27" s="32" t="e">
        <f t="shared" ca="1" si="6"/>
        <v>#VALUE!</v>
      </c>
      <c r="AF27" s="32" t="e">
        <f t="shared" ca="1" si="6"/>
        <v>#VALUE!</v>
      </c>
      <c r="AG27" s="32" t="e">
        <f t="shared" ca="1" si="6"/>
        <v>#VALUE!</v>
      </c>
      <c r="AH27" s="32" t="e">
        <f t="shared" ca="1" si="6"/>
        <v>#VALUE!</v>
      </c>
      <c r="AI27" s="32" t="e">
        <f t="shared" ca="1" si="6"/>
        <v>#VALUE!</v>
      </c>
      <c r="AJ27" s="32" t="e">
        <f t="shared" ca="1" si="6"/>
        <v>#VALUE!</v>
      </c>
      <c r="AK27" s="32" t="e">
        <f t="shared" ca="1" si="6"/>
        <v>#VALUE!</v>
      </c>
      <c r="AL27" s="32" t="e">
        <f t="shared" ca="1" si="6"/>
        <v>#VALUE!</v>
      </c>
      <c r="AM27" s="32" t="e">
        <f t="shared" ca="1" si="6"/>
        <v>#VALUE!</v>
      </c>
      <c r="AN27" s="32" t="e">
        <f t="shared" ca="1" si="6"/>
        <v>#VALUE!</v>
      </c>
      <c r="AO27" s="32" t="e">
        <f t="shared" ca="1" si="6"/>
        <v>#VALUE!</v>
      </c>
      <c r="AP27" s="32" t="e">
        <f t="shared" ca="1" si="6"/>
        <v>#VALUE!</v>
      </c>
      <c r="AQ27" s="32" t="e">
        <f t="shared" ca="1" si="6"/>
        <v>#VALUE!</v>
      </c>
    </row>
    <row r="28" spans="1:43" ht="10.15" customHeight="1" outlineLevel="1">
      <c r="A28" s="33"/>
      <c r="B28" s="31" t="s">
        <v>74</v>
      </c>
      <c r="C28" s="32" t="e">
        <f ca="1">EBlackScholesForward($FA$3,C$20,$A$27,C$22,$C$6,$C$6,$C$7,C$21)</f>
        <v>#VALUE!</v>
      </c>
      <c r="D28" s="32" t="e">
        <f t="shared" ref="D28:AQ28" ca="1" si="7">EBlackScholesForward("d",D$20,$A$27,D$22,$C$6,$C$6,$C$7,D$21)</f>
        <v>#VALUE!</v>
      </c>
      <c r="E28" s="32" t="e">
        <f t="shared" ca="1" si="7"/>
        <v>#VALUE!</v>
      </c>
      <c r="F28" s="32" t="e">
        <f t="shared" ca="1" si="7"/>
        <v>#VALUE!</v>
      </c>
      <c r="G28" s="32" t="e">
        <f t="shared" ca="1" si="7"/>
        <v>#VALUE!</v>
      </c>
      <c r="H28" s="32" t="e">
        <f t="shared" ca="1" si="7"/>
        <v>#VALUE!</v>
      </c>
      <c r="I28" s="32" t="e">
        <f t="shared" ca="1" si="7"/>
        <v>#VALUE!</v>
      </c>
      <c r="J28" s="32" t="e">
        <f t="shared" ca="1" si="7"/>
        <v>#VALUE!</v>
      </c>
      <c r="K28" s="32" t="e">
        <f t="shared" ca="1" si="7"/>
        <v>#VALUE!</v>
      </c>
      <c r="L28" s="32" t="e">
        <f t="shared" ca="1" si="7"/>
        <v>#VALUE!</v>
      </c>
      <c r="M28" s="32" t="e">
        <f t="shared" ca="1" si="7"/>
        <v>#VALUE!</v>
      </c>
      <c r="N28" s="32" t="e">
        <f t="shared" ca="1" si="7"/>
        <v>#VALUE!</v>
      </c>
      <c r="O28" s="32" t="e">
        <f t="shared" ca="1" si="7"/>
        <v>#VALUE!</v>
      </c>
      <c r="P28" s="32" t="e">
        <f t="shared" ca="1" si="7"/>
        <v>#VALUE!</v>
      </c>
      <c r="Q28" s="32" t="e">
        <f t="shared" ca="1" si="7"/>
        <v>#VALUE!</v>
      </c>
      <c r="R28" s="32" t="e">
        <f t="shared" ca="1" si="7"/>
        <v>#VALUE!</v>
      </c>
      <c r="S28" s="32" t="e">
        <f t="shared" ca="1" si="7"/>
        <v>#VALUE!</v>
      </c>
      <c r="T28" s="32" t="e">
        <f t="shared" ca="1" si="7"/>
        <v>#VALUE!</v>
      </c>
      <c r="U28" s="32" t="e">
        <f t="shared" ca="1" si="7"/>
        <v>#VALUE!</v>
      </c>
      <c r="V28" s="32" t="e">
        <f t="shared" ca="1" si="7"/>
        <v>#VALUE!</v>
      </c>
      <c r="W28" s="76" t="e">
        <f t="shared" ca="1" si="7"/>
        <v>#VALUE!</v>
      </c>
      <c r="X28" s="32" t="e">
        <f t="shared" ca="1" si="7"/>
        <v>#VALUE!</v>
      </c>
      <c r="Y28" s="32" t="e">
        <f t="shared" ca="1" si="7"/>
        <v>#VALUE!</v>
      </c>
      <c r="Z28" s="32" t="e">
        <f t="shared" ca="1" si="7"/>
        <v>#VALUE!</v>
      </c>
      <c r="AA28" s="32" t="e">
        <f t="shared" ca="1" si="7"/>
        <v>#VALUE!</v>
      </c>
      <c r="AB28" s="32" t="e">
        <f t="shared" ca="1" si="7"/>
        <v>#VALUE!</v>
      </c>
      <c r="AC28" s="32" t="e">
        <f t="shared" ca="1" si="7"/>
        <v>#VALUE!</v>
      </c>
      <c r="AD28" s="32" t="e">
        <f t="shared" ca="1" si="7"/>
        <v>#VALUE!</v>
      </c>
      <c r="AE28" s="32" t="e">
        <f t="shared" ca="1" si="7"/>
        <v>#VALUE!</v>
      </c>
      <c r="AF28" s="32" t="e">
        <f t="shared" ca="1" si="7"/>
        <v>#VALUE!</v>
      </c>
      <c r="AG28" s="32" t="e">
        <f t="shared" ca="1" si="7"/>
        <v>#VALUE!</v>
      </c>
      <c r="AH28" s="32" t="e">
        <f t="shared" ca="1" si="7"/>
        <v>#VALUE!</v>
      </c>
      <c r="AI28" s="32" t="e">
        <f t="shared" ca="1" si="7"/>
        <v>#VALUE!</v>
      </c>
      <c r="AJ28" s="32" t="e">
        <f t="shared" ca="1" si="7"/>
        <v>#VALUE!</v>
      </c>
      <c r="AK28" s="32" t="e">
        <f t="shared" ca="1" si="7"/>
        <v>#VALUE!</v>
      </c>
      <c r="AL28" s="32" t="e">
        <f t="shared" ca="1" si="7"/>
        <v>#VALUE!</v>
      </c>
      <c r="AM28" s="32" t="e">
        <f t="shared" ca="1" si="7"/>
        <v>#VALUE!</v>
      </c>
      <c r="AN28" s="32" t="e">
        <f t="shared" ca="1" si="7"/>
        <v>#VALUE!</v>
      </c>
      <c r="AO28" s="32" t="e">
        <f t="shared" ca="1" si="7"/>
        <v>#VALUE!</v>
      </c>
      <c r="AP28" s="32" t="e">
        <f t="shared" ca="1" si="7"/>
        <v>#VALUE!</v>
      </c>
      <c r="AQ28" s="32" t="e">
        <f t="shared" ca="1" si="7"/>
        <v>#VALUE!</v>
      </c>
    </row>
    <row r="29" spans="1:43" ht="10.15" customHeight="1">
      <c r="A29" s="34">
        <f ca="1">A31-$C$12</f>
        <v>45.050000000000033</v>
      </c>
      <c r="B29" s="34" t="s">
        <v>71</v>
      </c>
      <c r="C29" s="35" t="e">
        <f t="shared" ref="C29:AQ29" ca="1" si="8">EBlackScholesForward("p",C$20,$A$29,C$22,$C$6,$C$6,$C$7,C$21)</f>
        <v>#VALUE!</v>
      </c>
      <c r="D29" s="35" t="e">
        <f t="shared" ca="1" si="8"/>
        <v>#VALUE!</v>
      </c>
      <c r="E29" s="35" t="e">
        <f t="shared" ca="1" si="8"/>
        <v>#VALUE!</v>
      </c>
      <c r="F29" s="35" t="e">
        <f t="shared" ca="1" si="8"/>
        <v>#VALUE!</v>
      </c>
      <c r="G29" s="35" t="e">
        <f t="shared" ca="1" si="8"/>
        <v>#VALUE!</v>
      </c>
      <c r="H29" s="35" t="e">
        <f t="shared" ca="1" si="8"/>
        <v>#VALUE!</v>
      </c>
      <c r="I29" s="35" t="e">
        <f t="shared" ca="1" si="8"/>
        <v>#VALUE!</v>
      </c>
      <c r="J29" s="35" t="e">
        <f t="shared" ca="1" si="8"/>
        <v>#VALUE!</v>
      </c>
      <c r="K29" s="35" t="e">
        <f t="shared" ca="1" si="8"/>
        <v>#VALUE!</v>
      </c>
      <c r="L29" s="35" t="e">
        <f t="shared" ca="1" si="8"/>
        <v>#VALUE!</v>
      </c>
      <c r="M29" s="35" t="e">
        <f t="shared" ca="1" si="8"/>
        <v>#VALUE!</v>
      </c>
      <c r="N29" s="35" t="e">
        <f t="shared" ca="1" si="8"/>
        <v>#VALUE!</v>
      </c>
      <c r="O29" s="35" t="e">
        <f t="shared" ca="1" si="8"/>
        <v>#VALUE!</v>
      </c>
      <c r="P29" s="35" t="e">
        <f t="shared" ca="1" si="8"/>
        <v>#VALUE!</v>
      </c>
      <c r="Q29" s="35" t="e">
        <f t="shared" ca="1" si="8"/>
        <v>#VALUE!</v>
      </c>
      <c r="R29" s="35" t="e">
        <f t="shared" ca="1" si="8"/>
        <v>#VALUE!</v>
      </c>
      <c r="S29" s="35" t="e">
        <f t="shared" ca="1" si="8"/>
        <v>#VALUE!</v>
      </c>
      <c r="T29" s="35" t="e">
        <f t="shared" ca="1" si="8"/>
        <v>#VALUE!</v>
      </c>
      <c r="U29" s="35" t="e">
        <f t="shared" ca="1" si="8"/>
        <v>#VALUE!</v>
      </c>
      <c r="V29" s="35" t="e">
        <f t="shared" ca="1" si="8"/>
        <v>#VALUE!</v>
      </c>
      <c r="W29" s="77" t="e">
        <f t="shared" ca="1" si="8"/>
        <v>#VALUE!</v>
      </c>
      <c r="X29" s="35" t="e">
        <f t="shared" ca="1" si="8"/>
        <v>#VALUE!</v>
      </c>
      <c r="Y29" s="35" t="e">
        <f t="shared" ca="1" si="8"/>
        <v>#VALUE!</v>
      </c>
      <c r="Z29" s="35" t="e">
        <f t="shared" ca="1" si="8"/>
        <v>#VALUE!</v>
      </c>
      <c r="AA29" s="35" t="e">
        <f t="shared" ca="1" si="8"/>
        <v>#VALUE!</v>
      </c>
      <c r="AB29" s="35" t="e">
        <f t="shared" ca="1" si="8"/>
        <v>#VALUE!</v>
      </c>
      <c r="AC29" s="35" t="e">
        <f t="shared" ca="1" si="8"/>
        <v>#VALUE!</v>
      </c>
      <c r="AD29" s="35" t="e">
        <f t="shared" ca="1" si="8"/>
        <v>#VALUE!</v>
      </c>
      <c r="AE29" s="35" t="e">
        <f t="shared" ca="1" si="8"/>
        <v>#VALUE!</v>
      </c>
      <c r="AF29" s="35" t="e">
        <f t="shared" ca="1" si="8"/>
        <v>#VALUE!</v>
      </c>
      <c r="AG29" s="35" t="e">
        <f t="shared" ca="1" si="8"/>
        <v>#VALUE!</v>
      </c>
      <c r="AH29" s="35" t="e">
        <f t="shared" ca="1" si="8"/>
        <v>#VALUE!</v>
      </c>
      <c r="AI29" s="35" t="e">
        <f t="shared" ca="1" si="8"/>
        <v>#VALUE!</v>
      </c>
      <c r="AJ29" s="35" t="e">
        <f t="shared" ca="1" si="8"/>
        <v>#VALUE!</v>
      </c>
      <c r="AK29" s="35" t="e">
        <f t="shared" ca="1" si="8"/>
        <v>#VALUE!</v>
      </c>
      <c r="AL29" s="35" t="e">
        <f t="shared" ca="1" si="8"/>
        <v>#VALUE!</v>
      </c>
      <c r="AM29" s="35" t="e">
        <f t="shared" ca="1" si="8"/>
        <v>#VALUE!</v>
      </c>
      <c r="AN29" s="35" t="e">
        <f t="shared" ca="1" si="8"/>
        <v>#VALUE!</v>
      </c>
      <c r="AO29" s="35" t="e">
        <f t="shared" ca="1" si="8"/>
        <v>#VALUE!</v>
      </c>
      <c r="AP29" s="35" t="e">
        <f t="shared" ca="1" si="8"/>
        <v>#VALUE!</v>
      </c>
      <c r="AQ29" s="35" t="e">
        <f t="shared" ca="1" si="8"/>
        <v>#VALUE!</v>
      </c>
    </row>
    <row r="30" spans="1:43" ht="10.15" customHeight="1" outlineLevel="1">
      <c r="A30" s="36"/>
      <c r="B30" s="34" t="s">
        <v>74</v>
      </c>
      <c r="C30" s="35" t="e">
        <f t="shared" ref="C30:AQ30" ca="1" si="9">EBlackScholesForward($FA$3,C$20,$A$29,C$22,$C$6,$C$6,$C$7,C$21)</f>
        <v>#VALUE!</v>
      </c>
      <c r="D30" s="35" t="e">
        <f t="shared" ca="1" si="9"/>
        <v>#VALUE!</v>
      </c>
      <c r="E30" s="35" t="e">
        <f t="shared" ca="1" si="9"/>
        <v>#VALUE!</v>
      </c>
      <c r="F30" s="35" t="e">
        <f t="shared" ca="1" si="9"/>
        <v>#VALUE!</v>
      </c>
      <c r="G30" s="35" t="e">
        <f t="shared" ca="1" si="9"/>
        <v>#VALUE!</v>
      </c>
      <c r="H30" s="35" t="e">
        <f t="shared" ca="1" si="9"/>
        <v>#VALUE!</v>
      </c>
      <c r="I30" s="35" t="e">
        <f t="shared" ca="1" si="9"/>
        <v>#VALUE!</v>
      </c>
      <c r="J30" s="35" t="e">
        <f t="shared" ca="1" si="9"/>
        <v>#VALUE!</v>
      </c>
      <c r="K30" s="35" t="e">
        <f t="shared" ca="1" si="9"/>
        <v>#VALUE!</v>
      </c>
      <c r="L30" s="35" t="e">
        <f t="shared" ca="1" si="9"/>
        <v>#VALUE!</v>
      </c>
      <c r="M30" s="35" t="e">
        <f t="shared" ca="1" si="9"/>
        <v>#VALUE!</v>
      </c>
      <c r="N30" s="35" t="e">
        <f t="shared" ca="1" si="9"/>
        <v>#VALUE!</v>
      </c>
      <c r="O30" s="35" t="e">
        <f t="shared" ca="1" si="9"/>
        <v>#VALUE!</v>
      </c>
      <c r="P30" s="35" t="e">
        <f t="shared" ca="1" si="9"/>
        <v>#VALUE!</v>
      </c>
      <c r="Q30" s="35" t="e">
        <f t="shared" ca="1" si="9"/>
        <v>#VALUE!</v>
      </c>
      <c r="R30" s="35" t="e">
        <f t="shared" ca="1" si="9"/>
        <v>#VALUE!</v>
      </c>
      <c r="S30" s="35" t="e">
        <f t="shared" ca="1" si="9"/>
        <v>#VALUE!</v>
      </c>
      <c r="T30" s="35" t="e">
        <f t="shared" ca="1" si="9"/>
        <v>#VALUE!</v>
      </c>
      <c r="U30" s="35" t="e">
        <f t="shared" ca="1" si="9"/>
        <v>#VALUE!</v>
      </c>
      <c r="V30" s="35" t="e">
        <f t="shared" ca="1" si="9"/>
        <v>#VALUE!</v>
      </c>
      <c r="W30" s="77" t="e">
        <f t="shared" ca="1" si="9"/>
        <v>#VALUE!</v>
      </c>
      <c r="X30" s="35" t="e">
        <f t="shared" ca="1" si="9"/>
        <v>#VALUE!</v>
      </c>
      <c r="Y30" s="35" t="e">
        <f t="shared" ca="1" si="9"/>
        <v>#VALUE!</v>
      </c>
      <c r="Z30" s="35" t="e">
        <f t="shared" ca="1" si="9"/>
        <v>#VALUE!</v>
      </c>
      <c r="AA30" s="35" t="e">
        <f t="shared" ca="1" si="9"/>
        <v>#VALUE!</v>
      </c>
      <c r="AB30" s="35" t="e">
        <f t="shared" ca="1" si="9"/>
        <v>#VALUE!</v>
      </c>
      <c r="AC30" s="35" t="e">
        <f t="shared" ca="1" si="9"/>
        <v>#VALUE!</v>
      </c>
      <c r="AD30" s="35" t="e">
        <f t="shared" ca="1" si="9"/>
        <v>#VALUE!</v>
      </c>
      <c r="AE30" s="35" t="e">
        <f t="shared" ca="1" si="9"/>
        <v>#VALUE!</v>
      </c>
      <c r="AF30" s="35" t="e">
        <f t="shared" ca="1" si="9"/>
        <v>#VALUE!</v>
      </c>
      <c r="AG30" s="35" t="e">
        <f t="shared" ca="1" si="9"/>
        <v>#VALUE!</v>
      </c>
      <c r="AH30" s="35" t="e">
        <f t="shared" ca="1" si="9"/>
        <v>#VALUE!</v>
      </c>
      <c r="AI30" s="35" t="e">
        <f t="shared" ca="1" si="9"/>
        <v>#VALUE!</v>
      </c>
      <c r="AJ30" s="35" t="e">
        <f t="shared" ca="1" si="9"/>
        <v>#VALUE!</v>
      </c>
      <c r="AK30" s="35" t="e">
        <f t="shared" ca="1" si="9"/>
        <v>#VALUE!</v>
      </c>
      <c r="AL30" s="35" t="e">
        <f t="shared" ca="1" si="9"/>
        <v>#VALUE!</v>
      </c>
      <c r="AM30" s="35" t="e">
        <f t="shared" ca="1" si="9"/>
        <v>#VALUE!</v>
      </c>
      <c r="AN30" s="35" t="e">
        <f t="shared" ca="1" si="9"/>
        <v>#VALUE!</v>
      </c>
      <c r="AO30" s="35" t="e">
        <f t="shared" ca="1" si="9"/>
        <v>#VALUE!</v>
      </c>
      <c r="AP30" s="35" t="e">
        <f t="shared" ca="1" si="9"/>
        <v>#VALUE!</v>
      </c>
      <c r="AQ30" s="35" t="e">
        <f t="shared" ca="1" si="9"/>
        <v>#VALUE!</v>
      </c>
    </row>
    <row r="31" spans="1:43" ht="10.15" customHeight="1">
      <c r="A31" s="31">
        <f ca="1">A33-$C$12</f>
        <v>45.10000000000003</v>
      </c>
      <c r="B31" s="31" t="s">
        <v>71</v>
      </c>
      <c r="C31" s="32" t="e">
        <f t="shared" ref="C31:AQ31" ca="1" si="10">EBlackScholesForward("p",C$20,$A$31,C$22,$C$6,$C$6,$C$7,C$21)</f>
        <v>#VALUE!</v>
      </c>
      <c r="D31" s="32" t="e">
        <f t="shared" ca="1" si="10"/>
        <v>#VALUE!</v>
      </c>
      <c r="E31" s="32" t="e">
        <f t="shared" ca="1" si="10"/>
        <v>#VALUE!</v>
      </c>
      <c r="F31" s="32" t="e">
        <f t="shared" ca="1" si="10"/>
        <v>#VALUE!</v>
      </c>
      <c r="G31" s="32" t="e">
        <f t="shared" ca="1" si="10"/>
        <v>#VALUE!</v>
      </c>
      <c r="H31" s="32" t="e">
        <f t="shared" ca="1" si="10"/>
        <v>#VALUE!</v>
      </c>
      <c r="I31" s="32" t="e">
        <f t="shared" ca="1" si="10"/>
        <v>#VALUE!</v>
      </c>
      <c r="J31" s="32" t="e">
        <f t="shared" ca="1" si="10"/>
        <v>#VALUE!</v>
      </c>
      <c r="K31" s="32" t="e">
        <f t="shared" ca="1" si="10"/>
        <v>#VALUE!</v>
      </c>
      <c r="L31" s="32" t="e">
        <f t="shared" ca="1" si="10"/>
        <v>#VALUE!</v>
      </c>
      <c r="M31" s="32" t="e">
        <f t="shared" ca="1" si="10"/>
        <v>#VALUE!</v>
      </c>
      <c r="N31" s="32" t="e">
        <f t="shared" ca="1" si="10"/>
        <v>#VALUE!</v>
      </c>
      <c r="O31" s="32" t="e">
        <f t="shared" ca="1" si="10"/>
        <v>#VALUE!</v>
      </c>
      <c r="P31" s="32" t="e">
        <f t="shared" ca="1" si="10"/>
        <v>#VALUE!</v>
      </c>
      <c r="Q31" s="32" t="e">
        <f t="shared" ca="1" si="10"/>
        <v>#VALUE!</v>
      </c>
      <c r="R31" s="32" t="e">
        <f t="shared" ca="1" si="10"/>
        <v>#VALUE!</v>
      </c>
      <c r="S31" s="32" t="e">
        <f t="shared" ca="1" si="10"/>
        <v>#VALUE!</v>
      </c>
      <c r="T31" s="32" t="e">
        <f t="shared" ca="1" si="10"/>
        <v>#VALUE!</v>
      </c>
      <c r="U31" s="32" t="e">
        <f t="shared" ca="1" si="10"/>
        <v>#VALUE!</v>
      </c>
      <c r="V31" s="32" t="e">
        <f t="shared" ca="1" si="10"/>
        <v>#VALUE!</v>
      </c>
      <c r="W31" s="76" t="e">
        <f t="shared" ca="1" si="10"/>
        <v>#VALUE!</v>
      </c>
      <c r="X31" s="32" t="e">
        <f t="shared" ca="1" si="10"/>
        <v>#VALUE!</v>
      </c>
      <c r="Y31" s="32" t="e">
        <f t="shared" ca="1" si="10"/>
        <v>#VALUE!</v>
      </c>
      <c r="Z31" s="32" t="e">
        <f t="shared" ca="1" si="10"/>
        <v>#VALUE!</v>
      </c>
      <c r="AA31" s="32" t="e">
        <f t="shared" ca="1" si="10"/>
        <v>#VALUE!</v>
      </c>
      <c r="AB31" s="32" t="e">
        <f t="shared" ca="1" si="10"/>
        <v>#VALUE!</v>
      </c>
      <c r="AC31" s="32" t="e">
        <f t="shared" ca="1" si="10"/>
        <v>#VALUE!</v>
      </c>
      <c r="AD31" s="32" t="e">
        <f t="shared" ca="1" si="10"/>
        <v>#VALUE!</v>
      </c>
      <c r="AE31" s="32" t="e">
        <f t="shared" ca="1" si="10"/>
        <v>#VALUE!</v>
      </c>
      <c r="AF31" s="32" t="e">
        <f t="shared" ca="1" si="10"/>
        <v>#VALUE!</v>
      </c>
      <c r="AG31" s="32" t="e">
        <f t="shared" ca="1" si="10"/>
        <v>#VALUE!</v>
      </c>
      <c r="AH31" s="32" t="e">
        <f t="shared" ca="1" si="10"/>
        <v>#VALUE!</v>
      </c>
      <c r="AI31" s="32" t="e">
        <f t="shared" ca="1" si="10"/>
        <v>#VALUE!</v>
      </c>
      <c r="AJ31" s="32" t="e">
        <f t="shared" ca="1" si="10"/>
        <v>#VALUE!</v>
      </c>
      <c r="AK31" s="32" t="e">
        <f t="shared" ca="1" si="10"/>
        <v>#VALUE!</v>
      </c>
      <c r="AL31" s="32" t="e">
        <f t="shared" ca="1" si="10"/>
        <v>#VALUE!</v>
      </c>
      <c r="AM31" s="32" t="e">
        <f t="shared" ca="1" si="10"/>
        <v>#VALUE!</v>
      </c>
      <c r="AN31" s="32" t="e">
        <f t="shared" ca="1" si="10"/>
        <v>#VALUE!</v>
      </c>
      <c r="AO31" s="32" t="e">
        <f t="shared" ca="1" si="10"/>
        <v>#VALUE!</v>
      </c>
      <c r="AP31" s="32" t="e">
        <f t="shared" ca="1" si="10"/>
        <v>#VALUE!</v>
      </c>
      <c r="AQ31" s="32" t="e">
        <f t="shared" ca="1" si="10"/>
        <v>#VALUE!</v>
      </c>
    </row>
    <row r="32" spans="1:43" ht="10.15" customHeight="1">
      <c r="A32" s="31"/>
      <c r="B32" s="31" t="s">
        <v>74</v>
      </c>
      <c r="C32" s="32" t="e">
        <f ca="1">EBlackScholesForward($FA$3,C$20,$A$31,C$22,$C$6,$C$6,$C$7,C$21)</f>
        <v>#VALUE!</v>
      </c>
      <c r="D32" s="32" t="e">
        <f t="shared" ref="D32:AQ32" ca="1" si="11">EBlackScholesForward($FA$3,D$20,$A$29,D$22,$C$6,$C$6,$C$7,D$21)</f>
        <v>#VALUE!</v>
      </c>
      <c r="E32" s="32" t="e">
        <f t="shared" ca="1" si="11"/>
        <v>#VALUE!</v>
      </c>
      <c r="F32" s="32" t="e">
        <f t="shared" ca="1" si="11"/>
        <v>#VALUE!</v>
      </c>
      <c r="G32" s="32" t="e">
        <f t="shared" ca="1" si="11"/>
        <v>#VALUE!</v>
      </c>
      <c r="H32" s="32" t="e">
        <f t="shared" ca="1" si="11"/>
        <v>#VALUE!</v>
      </c>
      <c r="I32" s="32" t="e">
        <f t="shared" ca="1" si="11"/>
        <v>#VALUE!</v>
      </c>
      <c r="J32" s="32" t="e">
        <f t="shared" ca="1" si="11"/>
        <v>#VALUE!</v>
      </c>
      <c r="K32" s="32" t="e">
        <f t="shared" ca="1" si="11"/>
        <v>#VALUE!</v>
      </c>
      <c r="L32" s="32" t="e">
        <f t="shared" ca="1" si="11"/>
        <v>#VALUE!</v>
      </c>
      <c r="M32" s="32" t="e">
        <f t="shared" ca="1" si="11"/>
        <v>#VALUE!</v>
      </c>
      <c r="N32" s="32" t="e">
        <f t="shared" ca="1" si="11"/>
        <v>#VALUE!</v>
      </c>
      <c r="O32" s="32" t="e">
        <f t="shared" ca="1" si="11"/>
        <v>#VALUE!</v>
      </c>
      <c r="P32" s="32" t="e">
        <f t="shared" ca="1" si="11"/>
        <v>#VALUE!</v>
      </c>
      <c r="Q32" s="32" t="e">
        <f t="shared" ca="1" si="11"/>
        <v>#VALUE!</v>
      </c>
      <c r="R32" s="32" t="e">
        <f t="shared" ca="1" si="11"/>
        <v>#VALUE!</v>
      </c>
      <c r="S32" s="32" t="e">
        <f t="shared" ca="1" si="11"/>
        <v>#VALUE!</v>
      </c>
      <c r="T32" s="32" t="e">
        <f t="shared" ca="1" si="11"/>
        <v>#VALUE!</v>
      </c>
      <c r="U32" s="32" t="e">
        <f t="shared" ca="1" si="11"/>
        <v>#VALUE!</v>
      </c>
      <c r="V32" s="32" t="e">
        <f t="shared" ca="1" si="11"/>
        <v>#VALUE!</v>
      </c>
      <c r="W32" s="76" t="e">
        <f t="shared" ca="1" si="11"/>
        <v>#VALUE!</v>
      </c>
      <c r="X32" s="32" t="e">
        <f t="shared" ca="1" si="11"/>
        <v>#VALUE!</v>
      </c>
      <c r="Y32" s="32" t="e">
        <f t="shared" ca="1" si="11"/>
        <v>#VALUE!</v>
      </c>
      <c r="Z32" s="32" t="e">
        <f t="shared" ca="1" si="11"/>
        <v>#VALUE!</v>
      </c>
      <c r="AA32" s="32" t="e">
        <f t="shared" ca="1" si="11"/>
        <v>#VALUE!</v>
      </c>
      <c r="AB32" s="32" t="e">
        <f t="shared" ca="1" si="11"/>
        <v>#VALUE!</v>
      </c>
      <c r="AC32" s="32" t="e">
        <f t="shared" ca="1" si="11"/>
        <v>#VALUE!</v>
      </c>
      <c r="AD32" s="32" t="e">
        <f t="shared" ca="1" si="11"/>
        <v>#VALUE!</v>
      </c>
      <c r="AE32" s="32" t="e">
        <f t="shared" ca="1" si="11"/>
        <v>#VALUE!</v>
      </c>
      <c r="AF32" s="32" t="e">
        <f t="shared" ca="1" si="11"/>
        <v>#VALUE!</v>
      </c>
      <c r="AG32" s="32" t="e">
        <f t="shared" ca="1" si="11"/>
        <v>#VALUE!</v>
      </c>
      <c r="AH32" s="32" t="e">
        <f t="shared" ca="1" si="11"/>
        <v>#VALUE!</v>
      </c>
      <c r="AI32" s="32" t="e">
        <f t="shared" ca="1" si="11"/>
        <v>#VALUE!</v>
      </c>
      <c r="AJ32" s="32" t="e">
        <f t="shared" ca="1" si="11"/>
        <v>#VALUE!</v>
      </c>
      <c r="AK32" s="32" t="e">
        <f t="shared" ca="1" si="11"/>
        <v>#VALUE!</v>
      </c>
      <c r="AL32" s="32" t="e">
        <f t="shared" ca="1" si="11"/>
        <v>#VALUE!</v>
      </c>
      <c r="AM32" s="32" t="e">
        <f t="shared" ca="1" si="11"/>
        <v>#VALUE!</v>
      </c>
      <c r="AN32" s="32" t="e">
        <f t="shared" ca="1" si="11"/>
        <v>#VALUE!</v>
      </c>
      <c r="AO32" s="32" t="e">
        <f t="shared" ca="1" si="11"/>
        <v>#VALUE!</v>
      </c>
      <c r="AP32" s="32" t="e">
        <f t="shared" ca="1" si="11"/>
        <v>#VALUE!</v>
      </c>
      <c r="AQ32" s="32" t="e">
        <f t="shared" ca="1" si="11"/>
        <v>#VALUE!</v>
      </c>
    </row>
    <row r="33" spans="1:43" ht="10.15" customHeight="1">
      <c r="A33" s="34">
        <f ca="1">A35-$C$12</f>
        <v>45.150000000000027</v>
      </c>
      <c r="B33" s="34" t="s">
        <v>71</v>
      </c>
      <c r="C33" s="35" t="e">
        <f t="shared" ref="C33:AQ33" ca="1" si="12">EBlackScholesForward("p",C$20,$A$33,C$22,$C$6,$C$6,$C$7,C$21)</f>
        <v>#VALUE!</v>
      </c>
      <c r="D33" s="35" t="e">
        <f t="shared" ca="1" si="12"/>
        <v>#VALUE!</v>
      </c>
      <c r="E33" s="35" t="e">
        <f t="shared" ca="1" si="12"/>
        <v>#VALUE!</v>
      </c>
      <c r="F33" s="35" t="e">
        <f t="shared" ca="1" si="12"/>
        <v>#VALUE!</v>
      </c>
      <c r="G33" s="35" t="e">
        <f t="shared" ca="1" si="12"/>
        <v>#VALUE!</v>
      </c>
      <c r="H33" s="35" t="e">
        <f t="shared" ca="1" si="12"/>
        <v>#VALUE!</v>
      </c>
      <c r="I33" s="35" t="e">
        <f t="shared" ca="1" si="12"/>
        <v>#VALUE!</v>
      </c>
      <c r="J33" s="35" t="e">
        <f t="shared" ca="1" si="12"/>
        <v>#VALUE!</v>
      </c>
      <c r="K33" s="35" t="e">
        <f t="shared" ca="1" si="12"/>
        <v>#VALUE!</v>
      </c>
      <c r="L33" s="35" t="e">
        <f t="shared" ca="1" si="12"/>
        <v>#VALUE!</v>
      </c>
      <c r="M33" s="35" t="e">
        <f t="shared" ca="1" si="12"/>
        <v>#VALUE!</v>
      </c>
      <c r="N33" s="35" t="e">
        <f t="shared" ca="1" si="12"/>
        <v>#VALUE!</v>
      </c>
      <c r="O33" s="35" t="e">
        <f t="shared" ca="1" si="12"/>
        <v>#VALUE!</v>
      </c>
      <c r="P33" s="35" t="e">
        <f t="shared" ca="1" si="12"/>
        <v>#VALUE!</v>
      </c>
      <c r="Q33" s="35" t="e">
        <f t="shared" ca="1" si="12"/>
        <v>#VALUE!</v>
      </c>
      <c r="R33" s="35" t="e">
        <f t="shared" ca="1" si="12"/>
        <v>#VALUE!</v>
      </c>
      <c r="S33" s="35" t="e">
        <f t="shared" ca="1" si="12"/>
        <v>#VALUE!</v>
      </c>
      <c r="T33" s="35" t="e">
        <f t="shared" ca="1" si="12"/>
        <v>#VALUE!</v>
      </c>
      <c r="U33" s="35" t="e">
        <f t="shared" ca="1" si="12"/>
        <v>#VALUE!</v>
      </c>
      <c r="V33" s="35" t="e">
        <f t="shared" ca="1" si="12"/>
        <v>#VALUE!</v>
      </c>
      <c r="W33" s="77" t="e">
        <f t="shared" ca="1" si="12"/>
        <v>#VALUE!</v>
      </c>
      <c r="X33" s="35" t="e">
        <f t="shared" ca="1" si="12"/>
        <v>#VALUE!</v>
      </c>
      <c r="Y33" s="35" t="e">
        <f t="shared" ca="1" si="12"/>
        <v>#VALUE!</v>
      </c>
      <c r="Z33" s="35" t="e">
        <f t="shared" ca="1" si="12"/>
        <v>#VALUE!</v>
      </c>
      <c r="AA33" s="35" t="e">
        <f t="shared" ca="1" si="12"/>
        <v>#VALUE!</v>
      </c>
      <c r="AB33" s="35" t="e">
        <f t="shared" ca="1" si="12"/>
        <v>#VALUE!</v>
      </c>
      <c r="AC33" s="35" t="e">
        <f t="shared" ca="1" si="12"/>
        <v>#VALUE!</v>
      </c>
      <c r="AD33" s="35" t="e">
        <f t="shared" ca="1" si="12"/>
        <v>#VALUE!</v>
      </c>
      <c r="AE33" s="35" t="e">
        <f t="shared" ca="1" si="12"/>
        <v>#VALUE!</v>
      </c>
      <c r="AF33" s="35" t="e">
        <f t="shared" ca="1" si="12"/>
        <v>#VALUE!</v>
      </c>
      <c r="AG33" s="35" t="e">
        <f t="shared" ca="1" si="12"/>
        <v>#VALUE!</v>
      </c>
      <c r="AH33" s="35" t="e">
        <f t="shared" ca="1" si="12"/>
        <v>#VALUE!</v>
      </c>
      <c r="AI33" s="35" t="e">
        <f t="shared" ca="1" si="12"/>
        <v>#VALUE!</v>
      </c>
      <c r="AJ33" s="35" t="e">
        <f t="shared" ca="1" si="12"/>
        <v>#VALUE!</v>
      </c>
      <c r="AK33" s="35" t="e">
        <f t="shared" ca="1" si="12"/>
        <v>#VALUE!</v>
      </c>
      <c r="AL33" s="35" t="e">
        <f t="shared" ca="1" si="12"/>
        <v>#VALUE!</v>
      </c>
      <c r="AM33" s="35" t="e">
        <f t="shared" ca="1" si="12"/>
        <v>#VALUE!</v>
      </c>
      <c r="AN33" s="35" t="e">
        <f t="shared" ca="1" si="12"/>
        <v>#VALUE!</v>
      </c>
      <c r="AO33" s="35" t="e">
        <f t="shared" ca="1" si="12"/>
        <v>#VALUE!</v>
      </c>
      <c r="AP33" s="35" t="e">
        <f t="shared" ca="1" si="12"/>
        <v>#VALUE!</v>
      </c>
      <c r="AQ33" s="35" t="e">
        <f t="shared" ca="1" si="12"/>
        <v>#VALUE!</v>
      </c>
    </row>
    <row r="34" spans="1:43" ht="10.15" customHeight="1" outlineLevel="1">
      <c r="A34" s="36"/>
      <c r="B34" s="34" t="s">
        <v>74</v>
      </c>
      <c r="C34" s="35" t="e">
        <f t="shared" ref="C34:AQ34" ca="1" si="13">EBlackScholesForward($FA$3,C$20,$A$33,C$22,$C$6,$C$6,$C$7,C$21)</f>
        <v>#VALUE!</v>
      </c>
      <c r="D34" s="35" t="e">
        <f t="shared" ca="1" si="13"/>
        <v>#VALUE!</v>
      </c>
      <c r="E34" s="35" t="e">
        <f t="shared" ca="1" si="13"/>
        <v>#VALUE!</v>
      </c>
      <c r="F34" s="35" t="e">
        <f t="shared" ca="1" si="13"/>
        <v>#VALUE!</v>
      </c>
      <c r="G34" s="35" t="e">
        <f t="shared" ca="1" si="13"/>
        <v>#VALUE!</v>
      </c>
      <c r="H34" s="35" t="e">
        <f t="shared" ca="1" si="13"/>
        <v>#VALUE!</v>
      </c>
      <c r="I34" s="35" t="e">
        <f t="shared" ca="1" si="13"/>
        <v>#VALUE!</v>
      </c>
      <c r="J34" s="35" t="e">
        <f t="shared" ca="1" si="13"/>
        <v>#VALUE!</v>
      </c>
      <c r="K34" s="35" t="e">
        <f t="shared" ca="1" si="13"/>
        <v>#VALUE!</v>
      </c>
      <c r="L34" s="35" t="e">
        <f t="shared" ca="1" si="13"/>
        <v>#VALUE!</v>
      </c>
      <c r="M34" s="35" t="e">
        <f t="shared" ca="1" si="13"/>
        <v>#VALUE!</v>
      </c>
      <c r="N34" s="35" t="e">
        <f t="shared" ca="1" si="13"/>
        <v>#VALUE!</v>
      </c>
      <c r="O34" s="35" t="e">
        <f t="shared" ca="1" si="13"/>
        <v>#VALUE!</v>
      </c>
      <c r="P34" s="35" t="e">
        <f t="shared" ca="1" si="13"/>
        <v>#VALUE!</v>
      </c>
      <c r="Q34" s="35" t="e">
        <f t="shared" ca="1" si="13"/>
        <v>#VALUE!</v>
      </c>
      <c r="R34" s="35" t="e">
        <f t="shared" ca="1" si="13"/>
        <v>#VALUE!</v>
      </c>
      <c r="S34" s="35" t="e">
        <f t="shared" ca="1" si="13"/>
        <v>#VALUE!</v>
      </c>
      <c r="T34" s="35" t="e">
        <f t="shared" ca="1" si="13"/>
        <v>#VALUE!</v>
      </c>
      <c r="U34" s="35" t="e">
        <f t="shared" ca="1" si="13"/>
        <v>#VALUE!</v>
      </c>
      <c r="V34" s="35" t="e">
        <f t="shared" ca="1" si="13"/>
        <v>#VALUE!</v>
      </c>
      <c r="W34" s="77" t="e">
        <f t="shared" ca="1" si="13"/>
        <v>#VALUE!</v>
      </c>
      <c r="X34" s="35" t="e">
        <f t="shared" ca="1" si="13"/>
        <v>#VALUE!</v>
      </c>
      <c r="Y34" s="35" t="e">
        <f t="shared" ca="1" si="13"/>
        <v>#VALUE!</v>
      </c>
      <c r="Z34" s="35" t="e">
        <f t="shared" ca="1" si="13"/>
        <v>#VALUE!</v>
      </c>
      <c r="AA34" s="35" t="e">
        <f t="shared" ca="1" si="13"/>
        <v>#VALUE!</v>
      </c>
      <c r="AB34" s="35" t="e">
        <f t="shared" ca="1" si="13"/>
        <v>#VALUE!</v>
      </c>
      <c r="AC34" s="35" t="e">
        <f t="shared" ca="1" si="13"/>
        <v>#VALUE!</v>
      </c>
      <c r="AD34" s="35" t="e">
        <f t="shared" ca="1" si="13"/>
        <v>#VALUE!</v>
      </c>
      <c r="AE34" s="35" t="e">
        <f t="shared" ca="1" si="13"/>
        <v>#VALUE!</v>
      </c>
      <c r="AF34" s="35" t="e">
        <f t="shared" ca="1" si="13"/>
        <v>#VALUE!</v>
      </c>
      <c r="AG34" s="35" t="e">
        <f t="shared" ca="1" si="13"/>
        <v>#VALUE!</v>
      </c>
      <c r="AH34" s="35" t="e">
        <f t="shared" ca="1" si="13"/>
        <v>#VALUE!</v>
      </c>
      <c r="AI34" s="35" t="e">
        <f t="shared" ca="1" si="13"/>
        <v>#VALUE!</v>
      </c>
      <c r="AJ34" s="35" t="e">
        <f t="shared" ca="1" si="13"/>
        <v>#VALUE!</v>
      </c>
      <c r="AK34" s="35" t="e">
        <f t="shared" ca="1" si="13"/>
        <v>#VALUE!</v>
      </c>
      <c r="AL34" s="35" t="e">
        <f t="shared" ca="1" si="13"/>
        <v>#VALUE!</v>
      </c>
      <c r="AM34" s="35" t="e">
        <f t="shared" ca="1" si="13"/>
        <v>#VALUE!</v>
      </c>
      <c r="AN34" s="35" t="e">
        <f t="shared" ca="1" si="13"/>
        <v>#VALUE!</v>
      </c>
      <c r="AO34" s="35" t="e">
        <f t="shared" ca="1" si="13"/>
        <v>#VALUE!</v>
      </c>
      <c r="AP34" s="35" t="e">
        <f t="shared" ca="1" si="13"/>
        <v>#VALUE!</v>
      </c>
      <c r="AQ34" s="35" t="e">
        <f t="shared" ca="1" si="13"/>
        <v>#VALUE!</v>
      </c>
    </row>
    <row r="35" spans="1:43" ht="10.15" customHeight="1">
      <c r="A35" s="31">
        <f ca="1">A37-$C$12</f>
        <v>45.200000000000024</v>
      </c>
      <c r="B35" s="31" t="s">
        <v>71</v>
      </c>
      <c r="C35" s="32" t="e">
        <f t="shared" ref="C35:AQ35" ca="1" si="14">EBlackScholesForward("p",C$20,$A$35,C$22,$C$6,$C$6,$C$7,C$21)</f>
        <v>#VALUE!</v>
      </c>
      <c r="D35" s="32" t="e">
        <f t="shared" ca="1" si="14"/>
        <v>#VALUE!</v>
      </c>
      <c r="E35" s="32" t="e">
        <f t="shared" ca="1" si="14"/>
        <v>#VALUE!</v>
      </c>
      <c r="F35" s="32" t="e">
        <f t="shared" ca="1" si="14"/>
        <v>#VALUE!</v>
      </c>
      <c r="G35" s="32" t="e">
        <f t="shared" ca="1" si="14"/>
        <v>#VALUE!</v>
      </c>
      <c r="H35" s="32" t="e">
        <f t="shared" ca="1" si="14"/>
        <v>#VALUE!</v>
      </c>
      <c r="I35" s="32" t="e">
        <f t="shared" ca="1" si="14"/>
        <v>#VALUE!</v>
      </c>
      <c r="J35" s="32" t="e">
        <f t="shared" ca="1" si="14"/>
        <v>#VALUE!</v>
      </c>
      <c r="K35" s="32" t="e">
        <f t="shared" ca="1" si="14"/>
        <v>#VALUE!</v>
      </c>
      <c r="L35" s="32" t="e">
        <f t="shared" ca="1" si="14"/>
        <v>#VALUE!</v>
      </c>
      <c r="M35" s="32" t="e">
        <f t="shared" ca="1" si="14"/>
        <v>#VALUE!</v>
      </c>
      <c r="N35" s="32" t="e">
        <f t="shared" ca="1" si="14"/>
        <v>#VALUE!</v>
      </c>
      <c r="O35" s="32" t="e">
        <f t="shared" ca="1" si="14"/>
        <v>#VALUE!</v>
      </c>
      <c r="P35" s="32" t="e">
        <f t="shared" ca="1" si="14"/>
        <v>#VALUE!</v>
      </c>
      <c r="Q35" s="32" t="e">
        <f t="shared" ca="1" si="14"/>
        <v>#VALUE!</v>
      </c>
      <c r="R35" s="32" t="e">
        <f t="shared" ca="1" si="14"/>
        <v>#VALUE!</v>
      </c>
      <c r="S35" s="32" t="e">
        <f t="shared" ca="1" si="14"/>
        <v>#VALUE!</v>
      </c>
      <c r="T35" s="32" t="e">
        <f t="shared" ca="1" si="14"/>
        <v>#VALUE!</v>
      </c>
      <c r="U35" s="32" t="e">
        <f t="shared" ca="1" si="14"/>
        <v>#VALUE!</v>
      </c>
      <c r="V35" s="32" t="e">
        <f t="shared" ca="1" si="14"/>
        <v>#VALUE!</v>
      </c>
      <c r="W35" s="76" t="e">
        <f t="shared" ca="1" si="14"/>
        <v>#VALUE!</v>
      </c>
      <c r="X35" s="32" t="e">
        <f t="shared" ca="1" si="14"/>
        <v>#VALUE!</v>
      </c>
      <c r="Y35" s="32" t="e">
        <f t="shared" ca="1" si="14"/>
        <v>#VALUE!</v>
      </c>
      <c r="Z35" s="32" t="e">
        <f t="shared" ca="1" si="14"/>
        <v>#VALUE!</v>
      </c>
      <c r="AA35" s="32" t="e">
        <f t="shared" ca="1" si="14"/>
        <v>#VALUE!</v>
      </c>
      <c r="AB35" s="32" t="e">
        <f t="shared" ca="1" si="14"/>
        <v>#VALUE!</v>
      </c>
      <c r="AC35" s="32" t="e">
        <f t="shared" ca="1" si="14"/>
        <v>#VALUE!</v>
      </c>
      <c r="AD35" s="32" t="e">
        <f t="shared" ca="1" si="14"/>
        <v>#VALUE!</v>
      </c>
      <c r="AE35" s="32" t="e">
        <f t="shared" ca="1" si="14"/>
        <v>#VALUE!</v>
      </c>
      <c r="AF35" s="32" t="e">
        <f t="shared" ca="1" si="14"/>
        <v>#VALUE!</v>
      </c>
      <c r="AG35" s="32" t="e">
        <f t="shared" ca="1" si="14"/>
        <v>#VALUE!</v>
      </c>
      <c r="AH35" s="32" t="e">
        <f t="shared" ca="1" si="14"/>
        <v>#VALUE!</v>
      </c>
      <c r="AI35" s="32" t="e">
        <f t="shared" ca="1" si="14"/>
        <v>#VALUE!</v>
      </c>
      <c r="AJ35" s="32" t="e">
        <f t="shared" ca="1" si="14"/>
        <v>#VALUE!</v>
      </c>
      <c r="AK35" s="32" t="e">
        <f t="shared" ca="1" si="14"/>
        <v>#VALUE!</v>
      </c>
      <c r="AL35" s="32" t="e">
        <f t="shared" ca="1" si="14"/>
        <v>#VALUE!</v>
      </c>
      <c r="AM35" s="32" t="e">
        <f t="shared" ca="1" si="14"/>
        <v>#VALUE!</v>
      </c>
      <c r="AN35" s="32" t="e">
        <f t="shared" ca="1" si="14"/>
        <v>#VALUE!</v>
      </c>
      <c r="AO35" s="32" t="e">
        <f t="shared" ca="1" si="14"/>
        <v>#VALUE!</v>
      </c>
      <c r="AP35" s="32" t="e">
        <f t="shared" ca="1" si="14"/>
        <v>#VALUE!</v>
      </c>
      <c r="AQ35" s="32" t="e">
        <f t="shared" ca="1" si="14"/>
        <v>#VALUE!</v>
      </c>
    </row>
    <row r="36" spans="1:43" ht="10.15" customHeight="1" outlineLevel="1">
      <c r="A36" s="33"/>
      <c r="B36" s="31" t="s">
        <v>74</v>
      </c>
      <c r="C36" s="32" t="e">
        <f t="shared" ref="C36:AQ36" ca="1" si="15">EBlackScholesForward($FA$3,C$20,$A$35,C$22,$C$6,$C$6,$C$7,C$21)</f>
        <v>#VALUE!</v>
      </c>
      <c r="D36" s="32" t="e">
        <f t="shared" ca="1" si="15"/>
        <v>#VALUE!</v>
      </c>
      <c r="E36" s="32" t="e">
        <f t="shared" ca="1" si="15"/>
        <v>#VALUE!</v>
      </c>
      <c r="F36" s="32" t="e">
        <f t="shared" ca="1" si="15"/>
        <v>#VALUE!</v>
      </c>
      <c r="G36" s="32" t="e">
        <f t="shared" ca="1" si="15"/>
        <v>#VALUE!</v>
      </c>
      <c r="H36" s="32" t="e">
        <f t="shared" ca="1" si="15"/>
        <v>#VALUE!</v>
      </c>
      <c r="I36" s="32" t="e">
        <f t="shared" ca="1" si="15"/>
        <v>#VALUE!</v>
      </c>
      <c r="J36" s="32" t="e">
        <f t="shared" ca="1" si="15"/>
        <v>#VALUE!</v>
      </c>
      <c r="K36" s="32" t="e">
        <f t="shared" ca="1" si="15"/>
        <v>#VALUE!</v>
      </c>
      <c r="L36" s="32" t="e">
        <f t="shared" ca="1" si="15"/>
        <v>#VALUE!</v>
      </c>
      <c r="M36" s="32" t="e">
        <f t="shared" ca="1" si="15"/>
        <v>#VALUE!</v>
      </c>
      <c r="N36" s="32" t="e">
        <f t="shared" ca="1" si="15"/>
        <v>#VALUE!</v>
      </c>
      <c r="O36" s="32" t="e">
        <f t="shared" ca="1" si="15"/>
        <v>#VALUE!</v>
      </c>
      <c r="P36" s="32" t="e">
        <f t="shared" ca="1" si="15"/>
        <v>#VALUE!</v>
      </c>
      <c r="Q36" s="32" t="e">
        <f t="shared" ca="1" si="15"/>
        <v>#VALUE!</v>
      </c>
      <c r="R36" s="32" t="e">
        <f t="shared" ca="1" si="15"/>
        <v>#VALUE!</v>
      </c>
      <c r="S36" s="32" t="e">
        <f t="shared" ca="1" si="15"/>
        <v>#VALUE!</v>
      </c>
      <c r="T36" s="32" t="e">
        <f t="shared" ca="1" si="15"/>
        <v>#VALUE!</v>
      </c>
      <c r="U36" s="32" t="e">
        <f t="shared" ca="1" si="15"/>
        <v>#VALUE!</v>
      </c>
      <c r="V36" s="32" t="e">
        <f t="shared" ca="1" si="15"/>
        <v>#VALUE!</v>
      </c>
      <c r="W36" s="76" t="e">
        <f t="shared" ca="1" si="15"/>
        <v>#VALUE!</v>
      </c>
      <c r="X36" s="32" t="e">
        <f t="shared" ca="1" si="15"/>
        <v>#VALUE!</v>
      </c>
      <c r="Y36" s="32" t="e">
        <f t="shared" ca="1" si="15"/>
        <v>#VALUE!</v>
      </c>
      <c r="Z36" s="32" t="e">
        <f t="shared" ca="1" si="15"/>
        <v>#VALUE!</v>
      </c>
      <c r="AA36" s="32" t="e">
        <f t="shared" ca="1" si="15"/>
        <v>#VALUE!</v>
      </c>
      <c r="AB36" s="32" t="e">
        <f t="shared" ca="1" si="15"/>
        <v>#VALUE!</v>
      </c>
      <c r="AC36" s="32" t="e">
        <f t="shared" ca="1" si="15"/>
        <v>#VALUE!</v>
      </c>
      <c r="AD36" s="32" t="e">
        <f t="shared" ca="1" si="15"/>
        <v>#VALUE!</v>
      </c>
      <c r="AE36" s="32" t="e">
        <f t="shared" ca="1" si="15"/>
        <v>#VALUE!</v>
      </c>
      <c r="AF36" s="32" t="e">
        <f t="shared" ca="1" si="15"/>
        <v>#VALUE!</v>
      </c>
      <c r="AG36" s="32" t="e">
        <f t="shared" ca="1" si="15"/>
        <v>#VALUE!</v>
      </c>
      <c r="AH36" s="32" t="e">
        <f t="shared" ca="1" si="15"/>
        <v>#VALUE!</v>
      </c>
      <c r="AI36" s="32" t="e">
        <f t="shared" ca="1" si="15"/>
        <v>#VALUE!</v>
      </c>
      <c r="AJ36" s="32" t="e">
        <f t="shared" ca="1" si="15"/>
        <v>#VALUE!</v>
      </c>
      <c r="AK36" s="32" t="e">
        <f t="shared" ca="1" si="15"/>
        <v>#VALUE!</v>
      </c>
      <c r="AL36" s="32" t="e">
        <f t="shared" ca="1" si="15"/>
        <v>#VALUE!</v>
      </c>
      <c r="AM36" s="32" t="e">
        <f t="shared" ca="1" si="15"/>
        <v>#VALUE!</v>
      </c>
      <c r="AN36" s="32" t="e">
        <f t="shared" ca="1" si="15"/>
        <v>#VALUE!</v>
      </c>
      <c r="AO36" s="32" t="e">
        <f t="shared" ca="1" si="15"/>
        <v>#VALUE!</v>
      </c>
      <c r="AP36" s="32" t="e">
        <f t="shared" ca="1" si="15"/>
        <v>#VALUE!</v>
      </c>
      <c r="AQ36" s="32" t="e">
        <f t="shared" ca="1" si="15"/>
        <v>#VALUE!</v>
      </c>
    </row>
    <row r="37" spans="1:43" ht="10.15" customHeight="1">
      <c r="A37" s="34">
        <f ca="1">A39-$C$12</f>
        <v>45.250000000000021</v>
      </c>
      <c r="B37" s="34" t="s">
        <v>71</v>
      </c>
      <c r="C37" s="35" t="e">
        <f t="shared" ref="C37:AQ37" ca="1" si="16">EBlackScholesForward("p",C$20,$A$37,C$22,$C$6,$C$6,$C$7,C$21)</f>
        <v>#VALUE!</v>
      </c>
      <c r="D37" s="35" t="e">
        <f t="shared" ca="1" si="16"/>
        <v>#VALUE!</v>
      </c>
      <c r="E37" s="35" t="e">
        <f t="shared" ca="1" si="16"/>
        <v>#VALUE!</v>
      </c>
      <c r="F37" s="35" t="e">
        <f t="shared" ca="1" si="16"/>
        <v>#VALUE!</v>
      </c>
      <c r="G37" s="35" t="e">
        <f t="shared" ca="1" si="16"/>
        <v>#VALUE!</v>
      </c>
      <c r="H37" s="35" t="e">
        <f t="shared" ca="1" si="16"/>
        <v>#VALUE!</v>
      </c>
      <c r="I37" s="35" t="e">
        <f t="shared" ca="1" si="16"/>
        <v>#VALUE!</v>
      </c>
      <c r="J37" s="35" t="e">
        <f t="shared" ca="1" si="16"/>
        <v>#VALUE!</v>
      </c>
      <c r="K37" s="35" t="e">
        <f t="shared" ca="1" si="16"/>
        <v>#VALUE!</v>
      </c>
      <c r="L37" s="35" t="e">
        <f t="shared" ca="1" si="16"/>
        <v>#VALUE!</v>
      </c>
      <c r="M37" s="35" t="e">
        <f t="shared" ca="1" si="16"/>
        <v>#VALUE!</v>
      </c>
      <c r="N37" s="35" t="e">
        <f t="shared" ca="1" si="16"/>
        <v>#VALUE!</v>
      </c>
      <c r="O37" s="35" t="e">
        <f t="shared" ca="1" si="16"/>
        <v>#VALUE!</v>
      </c>
      <c r="P37" s="35" t="e">
        <f t="shared" ca="1" si="16"/>
        <v>#VALUE!</v>
      </c>
      <c r="Q37" s="35" t="e">
        <f t="shared" ca="1" si="16"/>
        <v>#VALUE!</v>
      </c>
      <c r="R37" s="35" t="e">
        <f t="shared" ca="1" si="16"/>
        <v>#VALUE!</v>
      </c>
      <c r="S37" s="35" t="e">
        <f t="shared" ca="1" si="16"/>
        <v>#VALUE!</v>
      </c>
      <c r="T37" s="35" t="e">
        <f t="shared" ca="1" si="16"/>
        <v>#VALUE!</v>
      </c>
      <c r="U37" s="35" t="e">
        <f t="shared" ca="1" si="16"/>
        <v>#VALUE!</v>
      </c>
      <c r="V37" s="35" t="e">
        <f t="shared" ca="1" si="16"/>
        <v>#VALUE!</v>
      </c>
      <c r="W37" s="77" t="e">
        <f t="shared" ca="1" si="16"/>
        <v>#VALUE!</v>
      </c>
      <c r="X37" s="35" t="e">
        <f t="shared" ca="1" si="16"/>
        <v>#VALUE!</v>
      </c>
      <c r="Y37" s="35" t="e">
        <f t="shared" ca="1" si="16"/>
        <v>#VALUE!</v>
      </c>
      <c r="Z37" s="35" t="e">
        <f t="shared" ca="1" si="16"/>
        <v>#VALUE!</v>
      </c>
      <c r="AA37" s="35" t="e">
        <f t="shared" ca="1" si="16"/>
        <v>#VALUE!</v>
      </c>
      <c r="AB37" s="35" t="e">
        <f t="shared" ca="1" si="16"/>
        <v>#VALUE!</v>
      </c>
      <c r="AC37" s="35" t="e">
        <f t="shared" ca="1" si="16"/>
        <v>#VALUE!</v>
      </c>
      <c r="AD37" s="35" t="e">
        <f t="shared" ca="1" si="16"/>
        <v>#VALUE!</v>
      </c>
      <c r="AE37" s="35" t="e">
        <f t="shared" ca="1" si="16"/>
        <v>#VALUE!</v>
      </c>
      <c r="AF37" s="35" t="e">
        <f t="shared" ca="1" si="16"/>
        <v>#VALUE!</v>
      </c>
      <c r="AG37" s="35" t="e">
        <f t="shared" ca="1" si="16"/>
        <v>#VALUE!</v>
      </c>
      <c r="AH37" s="35" t="e">
        <f t="shared" ca="1" si="16"/>
        <v>#VALUE!</v>
      </c>
      <c r="AI37" s="35" t="e">
        <f t="shared" ca="1" si="16"/>
        <v>#VALUE!</v>
      </c>
      <c r="AJ37" s="35" t="e">
        <f t="shared" ca="1" si="16"/>
        <v>#VALUE!</v>
      </c>
      <c r="AK37" s="35" t="e">
        <f t="shared" ca="1" si="16"/>
        <v>#VALUE!</v>
      </c>
      <c r="AL37" s="35" t="e">
        <f t="shared" ca="1" si="16"/>
        <v>#VALUE!</v>
      </c>
      <c r="AM37" s="35" t="e">
        <f t="shared" ca="1" si="16"/>
        <v>#VALUE!</v>
      </c>
      <c r="AN37" s="35" t="e">
        <f t="shared" ca="1" si="16"/>
        <v>#VALUE!</v>
      </c>
      <c r="AO37" s="35" t="e">
        <f t="shared" ca="1" si="16"/>
        <v>#VALUE!</v>
      </c>
      <c r="AP37" s="35" t="e">
        <f t="shared" ca="1" si="16"/>
        <v>#VALUE!</v>
      </c>
      <c r="AQ37" s="35" t="e">
        <f t="shared" ca="1" si="16"/>
        <v>#VALUE!</v>
      </c>
    </row>
    <row r="38" spans="1:43" ht="10.15" customHeight="1" outlineLevel="1">
      <c r="A38" s="36"/>
      <c r="B38" s="34" t="s">
        <v>74</v>
      </c>
      <c r="C38" s="35" t="e">
        <f t="shared" ref="C38:AQ38" ca="1" si="17">EBlackScholesForward($FA$3,C$20,$A$37,C$22,$C$6,$C$6,$C$7,C$21)</f>
        <v>#VALUE!</v>
      </c>
      <c r="D38" s="35" t="e">
        <f t="shared" ca="1" si="17"/>
        <v>#VALUE!</v>
      </c>
      <c r="E38" s="35" t="e">
        <f t="shared" ca="1" si="17"/>
        <v>#VALUE!</v>
      </c>
      <c r="F38" s="35" t="e">
        <f t="shared" ca="1" si="17"/>
        <v>#VALUE!</v>
      </c>
      <c r="G38" s="35" t="e">
        <f t="shared" ca="1" si="17"/>
        <v>#VALUE!</v>
      </c>
      <c r="H38" s="35" t="e">
        <f t="shared" ca="1" si="17"/>
        <v>#VALUE!</v>
      </c>
      <c r="I38" s="35" t="e">
        <f t="shared" ca="1" si="17"/>
        <v>#VALUE!</v>
      </c>
      <c r="J38" s="35" t="e">
        <f t="shared" ca="1" si="17"/>
        <v>#VALUE!</v>
      </c>
      <c r="K38" s="35" t="e">
        <f t="shared" ca="1" si="17"/>
        <v>#VALUE!</v>
      </c>
      <c r="L38" s="35" t="e">
        <f t="shared" ca="1" si="17"/>
        <v>#VALUE!</v>
      </c>
      <c r="M38" s="35" t="e">
        <f t="shared" ca="1" si="17"/>
        <v>#VALUE!</v>
      </c>
      <c r="N38" s="35" t="e">
        <f t="shared" ca="1" si="17"/>
        <v>#VALUE!</v>
      </c>
      <c r="O38" s="35" t="e">
        <f t="shared" ca="1" si="17"/>
        <v>#VALUE!</v>
      </c>
      <c r="P38" s="35" t="e">
        <f t="shared" ca="1" si="17"/>
        <v>#VALUE!</v>
      </c>
      <c r="Q38" s="35" t="e">
        <f t="shared" ca="1" si="17"/>
        <v>#VALUE!</v>
      </c>
      <c r="R38" s="35" t="e">
        <f t="shared" ca="1" si="17"/>
        <v>#VALUE!</v>
      </c>
      <c r="S38" s="35" t="e">
        <f t="shared" ca="1" si="17"/>
        <v>#VALUE!</v>
      </c>
      <c r="T38" s="35" t="e">
        <f t="shared" ca="1" si="17"/>
        <v>#VALUE!</v>
      </c>
      <c r="U38" s="35" t="e">
        <f t="shared" ca="1" si="17"/>
        <v>#VALUE!</v>
      </c>
      <c r="V38" s="35" t="e">
        <f t="shared" ca="1" si="17"/>
        <v>#VALUE!</v>
      </c>
      <c r="W38" s="77" t="e">
        <f t="shared" ca="1" si="17"/>
        <v>#VALUE!</v>
      </c>
      <c r="X38" s="35" t="e">
        <f t="shared" ca="1" si="17"/>
        <v>#VALUE!</v>
      </c>
      <c r="Y38" s="35" t="e">
        <f t="shared" ca="1" si="17"/>
        <v>#VALUE!</v>
      </c>
      <c r="Z38" s="35" t="e">
        <f t="shared" ca="1" si="17"/>
        <v>#VALUE!</v>
      </c>
      <c r="AA38" s="35" t="e">
        <f t="shared" ca="1" si="17"/>
        <v>#VALUE!</v>
      </c>
      <c r="AB38" s="35" t="e">
        <f t="shared" ca="1" si="17"/>
        <v>#VALUE!</v>
      </c>
      <c r="AC38" s="35" t="e">
        <f t="shared" ca="1" si="17"/>
        <v>#VALUE!</v>
      </c>
      <c r="AD38" s="35" t="e">
        <f t="shared" ca="1" si="17"/>
        <v>#VALUE!</v>
      </c>
      <c r="AE38" s="35" t="e">
        <f t="shared" ca="1" si="17"/>
        <v>#VALUE!</v>
      </c>
      <c r="AF38" s="35" t="e">
        <f t="shared" ca="1" si="17"/>
        <v>#VALUE!</v>
      </c>
      <c r="AG38" s="35" t="e">
        <f t="shared" ca="1" si="17"/>
        <v>#VALUE!</v>
      </c>
      <c r="AH38" s="35" t="e">
        <f t="shared" ca="1" si="17"/>
        <v>#VALUE!</v>
      </c>
      <c r="AI38" s="35" t="e">
        <f t="shared" ca="1" si="17"/>
        <v>#VALUE!</v>
      </c>
      <c r="AJ38" s="35" t="e">
        <f t="shared" ca="1" si="17"/>
        <v>#VALUE!</v>
      </c>
      <c r="AK38" s="35" t="e">
        <f t="shared" ca="1" si="17"/>
        <v>#VALUE!</v>
      </c>
      <c r="AL38" s="35" t="e">
        <f t="shared" ca="1" si="17"/>
        <v>#VALUE!</v>
      </c>
      <c r="AM38" s="35" t="e">
        <f t="shared" ca="1" si="17"/>
        <v>#VALUE!</v>
      </c>
      <c r="AN38" s="35" t="e">
        <f t="shared" ca="1" si="17"/>
        <v>#VALUE!</v>
      </c>
      <c r="AO38" s="35" t="e">
        <f t="shared" ca="1" si="17"/>
        <v>#VALUE!</v>
      </c>
      <c r="AP38" s="35" t="e">
        <f t="shared" ca="1" si="17"/>
        <v>#VALUE!</v>
      </c>
      <c r="AQ38" s="35" t="e">
        <f t="shared" ca="1" si="17"/>
        <v>#VALUE!</v>
      </c>
    </row>
    <row r="39" spans="1:43" ht="10.15" customHeight="1">
      <c r="A39" s="31">
        <f ca="1">A41-$C$12</f>
        <v>45.300000000000018</v>
      </c>
      <c r="B39" s="31" t="s">
        <v>71</v>
      </c>
      <c r="C39" s="32" t="e">
        <f t="shared" ref="C39:AQ39" ca="1" si="18">EBlackScholesForward("p",C$20,$A$39,C$22,$C$6,$C$6,$C$7,C$21)</f>
        <v>#VALUE!</v>
      </c>
      <c r="D39" s="32" t="e">
        <f t="shared" ca="1" si="18"/>
        <v>#VALUE!</v>
      </c>
      <c r="E39" s="32" t="e">
        <f t="shared" ca="1" si="18"/>
        <v>#VALUE!</v>
      </c>
      <c r="F39" s="32" t="e">
        <f t="shared" ca="1" si="18"/>
        <v>#VALUE!</v>
      </c>
      <c r="G39" s="32" t="e">
        <f t="shared" ca="1" si="18"/>
        <v>#VALUE!</v>
      </c>
      <c r="H39" s="32" t="e">
        <f t="shared" ca="1" si="18"/>
        <v>#VALUE!</v>
      </c>
      <c r="I39" s="32" t="e">
        <f t="shared" ca="1" si="18"/>
        <v>#VALUE!</v>
      </c>
      <c r="J39" s="32" t="e">
        <f t="shared" ca="1" si="18"/>
        <v>#VALUE!</v>
      </c>
      <c r="K39" s="32" t="e">
        <f t="shared" ca="1" si="18"/>
        <v>#VALUE!</v>
      </c>
      <c r="L39" s="32" t="e">
        <f t="shared" ca="1" si="18"/>
        <v>#VALUE!</v>
      </c>
      <c r="M39" s="32" t="e">
        <f t="shared" ca="1" si="18"/>
        <v>#VALUE!</v>
      </c>
      <c r="N39" s="32" t="e">
        <f t="shared" ca="1" si="18"/>
        <v>#VALUE!</v>
      </c>
      <c r="O39" s="32" t="e">
        <f t="shared" ca="1" si="18"/>
        <v>#VALUE!</v>
      </c>
      <c r="P39" s="32" t="e">
        <f t="shared" ca="1" si="18"/>
        <v>#VALUE!</v>
      </c>
      <c r="Q39" s="32" t="e">
        <f t="shared" ca="1" si="18"/>
        <v>#VALUE!</v>
      </c>
      <c r="R39" s="32" t="e">
        <f t="shared" ca="1" si="18"/>
        <v>#VALUE!</v>
      </c>
      <c r="S39" s="32" t="e">
        <f t="shared" ca="1" si="18"/>
        <v>#VALUE!</v>
      </c>
      <c r="T39" s="32" t="e">
        <f t="shared" ca="1" si="18"/>
        <v>#VALUE!</v>
      </c>
      <c r="U39" s="32" t="e">
        <f t="shared" ca="1" si="18"/>
        <v>#VALUE!</v>
      </c>
      <c r="V39" s="32" t="e">
        <f t="shared" ca="1" si="18"/>
        <v>#VALUE!</v>
      </c>
      <c r="W39" s="76" t="e">
        <f t="shared" ca="1" si="18"/>
        <v>#VALUE!</v>
      </c>
      <c r="X39" s="32" t="e">
        <f t="shared" ca="1" si="18"/>
        <v>#VALUE!</v>
      </c>
      <c r="Y39" s="32" t="e">
        <f t="shared" ca="1" si="18"/>
        <v>#VALUE!</v>
      </c>
      <c r="Z39" s="32" t="e">
        <f t="shared" ca="1" si="18"/>
        <v>#VALUE!</v>
      </c>
      <c r="AA39" s="32" t="e">
        <f t="shared" ca="1" si="18"/>
        <v>#VALUE!</v>
      </c>
      <c r="AB39" s="32" t="e">
        <f t="shared" ca="1" si="18"/>
        <v>#VALUE!</v>
      </c>
      <c r="AC39" s="32" t="e">
        <f t="shared" ca="1" si="18"/>
        <v>#VALUE!</v>
      </c>
      <c r="AD39" s="32" t="e">
        <f t="shared" ca="1" si="18"/>
        <v>#VALUE!</v>
      </c>
      <c r="AE39" s="32" t="e">
        <f t="shared" ca="1" si="18"/>
        <v>#VALUE!</v>
      </c>
      <c r="AF39" s="32" t="e">
        <f t="shared" ca="1" si="18"/>
        <v>#VALUE!</v>
      </c>
      <c r="AG39" s="32" t="e">
        <f t="shared" ca="1" si="18"/>
        <v>#VALUE!</v>
      </c>
      <c r="AH39" s="32" t="e">
        <f t="shared" ca="1" si="18"/>
        <v>#VALUE!</v>
      </c>
      <c r="AI39" s="32" t="e">
        <f t="shared" ca="1" si="18"/>
        <v>#VALUE!</v>
      </c>
      <c r="AJ39" s="32" t="e">
        <f t="shared" ca="1" si="18"/>
        <v>#VALUE!</v>
      </c>
      <c r="AK39" s="32" t="e">
        <f t="shared" ca="1" si="18"/>
        <v>#VALUE!</v>
      </c>
      <c r="AL39" s="32" t="e">
        <f t="shared" ca="1" si="18"/>
        <v>#VALUE!</v>
      </c>
      <c r="AM39" s="32" t="e">
        <f t="shared" ca="1" si="18"/>
        <v>#VALUE!</v>
      </c>
      <c r="AN39" s="32" t="e">
        <f t="shared" ca="1" si="18"/>
        <v>#VALUE!</v>
      </c>
      <c r="AO39" s="32" t="e">
        <f t="shared" ca="1" si="18"/>
        <v>#VALUE!</v>
      </c>
      <c r="AP39" s="32" t="e">
        <f t="shared" ca="1" si="18"/>
        <v>#VALUE!</v>
      </c>
      <c r="AQ39" s="32" t="e">
        <f t="shared" ca="1" si="18"/>
        <v>#VALUE!</v>
      </c>
    </row>
    <row r="40" spans="1:43" ht="10.15" customHeight="1" outlineLevel="1">
      <c r="A40" s="33"/>
      <c r="B40" s="31" t="s">
        <v>74</v>
      </c>
      <c r="C40" s="32" t="e">
        <f t="shared" ref="C40:AQ40" ca="1" si="19">EBlackScholesForward($FA$3,C$20,$A$39,C$22,$C$6,$C$6,$C$7,C$21)</f>
        <v>#VALUE!</v>
      </c>
      <c r="D40" s="32" t="e">
        <f t="shared" ca="1" si="19"/>
        <v>#VALUE!</v>
      </c>
      <c r="E40" s="32" t="e">
        <f t="shared" ca="1" si="19"/>
        <v>#VALUE!</v>
      </c>
      <c r="F40" s="32" t="e">
        <f t="shared" ca="1" si="19"/>
        <v>#VALUE!</v>
      </c>
      <c r="G40" s="32" t="e">
        <f t="shared" ca="1" si="19"/>
        <v>#VALUE!</v>
      </c>
      <c r="H40" s="32" t="e">
        <f t="shared" ca="1" si="19"/>
        <v>#VALUE!</v>
      </c>
      <c r="I40" s="32" t="e">
        <f t="shared" ca="1" si="19"/>
        <v>#VALUE!</v>
      </c>
      <c r="J40" s="32" t="e">
        <f t="shared" ca="1" si="19"/>
        <v>#VALUE!</v>
      </c>
      <c r="K40" s="32" t="e">
        <f t="shared" ca="1" si="19"/>
        <v>#VALUE!</v>
      </c>
      <c r="L40" s="32" t="e">
        <f t="shared" ca="1" si="19"/>
        <v>#VALUE!</v>
      </c>
      <c r="M40" s="32" t="e">
        <f t="shared" ca="1" si="19"/>
        <v>#VALUE!</v>
      </c>
      <c r="N40" s="32" t="e">
        <f t="shared" ca="1" si="19"/>
        <v>#VALUE!</v>
      </c>
      <c r="O40" s="32" t="e">
        <f t="shared" ca="1" si="19"/>
        <v>#VALUE!</v>
      </c>
      <c r="P40" s="32" t="e">
        <f t="shared" ca="1" si="19"/>
        <v>#VALUE!</v>
      </c>
      <c r="Q40" s="32" t="e">
        <f t="shared" ca="1" si="19"/>
        <v>#VALUE!</v>
      </c>
      <c r="R40" s="32" t="e">
        <f t="shared" ca="1" si="19"/>
        <v>#VALUE!</v>
      </c>
      <c r="S40" s="32" t="e">
        <f t="shared" ca="1" si="19"/>
        <v>#VALUE!</v>
      </c>
      <c r="T40" s="32" t="e">
        <f t="shared" ca="1" si="19"/>
        <v>#VALUE!</v>
      </c>
      <c r="U40" s="32" t="e">
        <f t="shared" ca="1" si="19"/>
        <v>#VALUE!</v>
      </c>
      <c r="V40" s="32" t="e">
        <f t="shared" ca="1" si="19"/>
        <v>#VALUE!</v>
      </c>
      <c r="W40" s="76" t="e">
        <f t="shared" ca="1" si="19"/>
        <v>#VALUE!</v>
      </c>
      <c r="X40" s="32" t="e">
        <f t="shared" ca="1" si="19"/>
        <v>#VALUE!</v>
      </c>
      <c r="Y40" s="32" t="e">
        <f t="shared" ca="1" si="19"/>
        <v>#VALUE!</v>
      </c>
      <c r="Z40" s="32" t="e">
        <f t="shared" ca="1" si="19"/>
        <v>#VALUE!</v>
      </c>
      <c r="AA40" s="32" t="e">
        <f t="shared" ca="1" si="19"/>
        <v>#VALUE!</v>
      </c>
      <c r="AB40" s="32" t="e">
        <f t="shared" ca="1" si="19"/>
        <v>#VALUE!</v>
      </c>
      <c r="AC40" s="32" t="e">
        <f t="shared" ca="1" si="19"/>
        <v>#VALUE!</v>
      </c>
      <c r="AD40" s="32" t="e">
        <f t="shared" ca="1" si="19"/>
        <v>#VALUE!</v>
      </c>
      <c r="AE40" s="32" t="e">
        <f t="shared" ca="1" si="19"/>
        <v>#VALUE!</v>
      </c>
      <c r="AF40" s="32" t="e">
        <f t="shared" ca="1" si="19"/>
        <v>#VALUE!</v>
      </c>
      <c r="AG40" s="32" t="e">
        <f t="shared" ca="1" si="19"/>
        <v>#VALUE!</v>
      </c>
      <c r="AH40" s="32" t="e">
        <f t="shared" ca="1" si="19"/>
        <v>#VALUE!</v>
      </c>
      <c r="AI40" s="32" t="e">
        <f t="shared" ca="1" si="19"/>
        <v>#VALUE!</v>
      </c>
      <c r="AJ40" s="32" t="e">
        <f t="shared" ca="1" si="19"/>
        <v>#VALUE!</v>
      </c>
      <c r="AK40" s="32" t="e">
        <f t="shared" ca="1" si="19"/>
        <v>#VALUE!</v>
      </c>
      <c r="AL40" s="32" t="e">
        <f t="shared" ca="1" si="19"/>
        <v>#VALUE!</v>
      </c>
      <c r="AM40" s="32" t="e">
        <f t="shared" ca="1" si="19"/>
        <v>#VALUE!</v>
      </c>
      <c r="AN40" s="32" t="e">
        <f t="shared" ca="1" si="19"/>
        <v>#VALUE!</v>
      </c>
      <c r="AO40" s="32" t="e">
        <f t="shared" ca="1" si="19"/>
        <v>#VALUE!</v>
      </c>
      <c r="AP40" s="32" t="e">
        <f t="shared" ca="1" si="19"/>
        <v>#VALUE!</v>
      </c>
      <c r="AQ40" s="32" t="e">
        <f t="shared" ca="1" si="19"/>
        <v>#VALUE!</v>
      </c>
    </row>
    <row r="41" spans="1:43" ht="10.15" customHeight="1">
      <c r="A41" s="34">
        <f ca="1">A43-$C$12</f>
        <v>45.350000000000016</v>
      </c>
      <c r="B41" s="34" t="s">
        <v>71</v>
      </c>
      <c r="C41" s="35" t="e">
        <f t="shared" ref="C41:AQ41" ca="1" si="20">EBlackScholesForward("p",C$20,$A$41,C$22,$C$6,$C$6,$C$7,C$21)</f>
        <v>#VALUE!</v>
      </c>
      <c r="D41" s="35" t="e">
        <f t="shared" ca="1" si="20"/>
        <v>#VALUE!</v>
      </c>
      <c r="E41" s="35" t="e">
        <f t="shared" ca="1" si="20"/>
        <v>#VALUE!</v>
      </c>
      <c r="F41" s="35" t="e">
        <f t="shared" ca="1" si="20"/>
        <v>#VALUE!</v>
      </c>
      <c r="G41" s="35" t="e">
        <f t="shared" ca="1" si="20"/>
        <v>#VALUE!</v>
      </c>
      <c r="H41" s="35" t="e">
        <f t="shared" ca="1" si="20"/>
        <v>#VALUE!</v>
      </c>
      <c r="I41" s="35" t="e">
        <f t="shared" ca="1" si="20"/>
        <v>#VALUE!</v>
      </c>
      <c r="J41" s="35" t="e">
        <f t="shared" ca="1" si="20"/>
        <v>#VALUE!</v>
      </c>
      <c r="K41" s="35" t="e">
        <f t="shared" ca="1" si="20"/>
        <v>#VALUE!</v>
      </c>
      <c r="L41" s="35" t="e">
        <f t="shared" ca="1" si="20"/>
        <v>#VALUE!</v>
      </c>
      <c r="M41" s="35" t="e">
        <f t="shared" ca="1" si="20"/>
        <v>#VALUE!</v>
      </c>
      <c r="N41" s="35" t="e">
        <f t="shared" ca="1" si="20"/>
        <v>#VALUE!</v>
      </c>
      <c r="O41" s="35" t="e">
        <f t="shared" ca="1" si="20"/>
        <v>#VALUE!</v>
      </c>
      <c r="P41" s="35" t="e">
        <f t="shared" ca="1" si="20"/>
        <v>#VALUE!</v>
      </c>
      <c r="Q41" s="35" t="e">
        <f t="shared" ca="1" si="20"/>
        <v>#VALUE!</v>
      </c>
      <c r="R41" s="35" t="e">
        <f t="shared" ca="1" si="20"/>
        <v>#VALUE!</v>
      </c>
      <c r="S41" s="35" t="e">
        <f t="shared" ca="1" si="20"/>
        <v>#VALUE!</v>
      </c>
      <c r="T41" s="35" t="e">
        <f t="shared" ca="1" si="20"/>
        <v>#VALUE!</v>
      </c>
      <c r="U41" s="35" t="e">
        <f t="shared" ca="1" si="20"/>
        <v>#VALUE!</v>
      </c>
      <c r="V41" s="35" t="e">
        <f t="shared" ca="1" si="20"/>
        <v>#VALUE!</v>
      </c>
      <c r="W41" s="77" t="e">
        <f t="shared" ca="1" si="20"/>
        <v>#VALUE!</v>
      </c>
      <c r="X41" s="35" t="e">
        <f t="shared" ca="1" si="20"/>
        <v>#VALUE!</v>
      </c>
      <c r="Y41" s="35" t="e">
        <f t="shared" ca="1" si="20"/>
        <v>#VALUE!</v>
      </c>
      <c r="Z41" s="35" t="e">
        <f t="shared" ca="1" si="20"/>
        <v>#VALUE!</v>
      </c>
      <c r="AA41" s="35" t="e">
        <f t="shared" ca="1" si="20"/>
        <v>#VALUE!</v>
      </c>
      <c r="AB41" s="35" t="e">
        <f t="shared" ca="1" si="20"/>
        <v>#VALUE!</v>
      </c>
      <c r="AC41" s="35" t="e">
        <f t="shared" ca="1" si="20"/>
        <v>#VALUE!</v>
      </c>
      <c r="AD41" s="35" t="e">
        <f t="shared" ca="1" si="20"/>
        <v>#VALUE!</v>
      </c>
      <c r="AE41" s="35" t="e">
        <f t="shared" ca="1" si="20"/>
        <v>#VALUE!</v>
      </c>
      <c r="AF41" s="35" t="e">
        <f t="shared" ca="1" si="20"/>
        <v>#VALUE!</v>
      </c>
      <c r="AG41" s="35" t="e">
        <f t="shared" ca="1" si="20"/>
        <v>#VALUE!</v>
      </c>
      <c r="AH41" s="35" t="e">
        <f t="shared" ca="1" si="20"/>
        <v>#VALUE!</v>
      </c>
      <c r="AI41" s="35" t="e">
        <f t="shared" ca="1" si="20"/>
        <v>#VALUE!</v>
      </c>
      <c r="AJ41" s="35" t="e">
        <f t="shared" ca="1" si="20"/>
        <v>#VALUE!</v>
      </c>
      <c r="AK41" s="35" t="e">
        <f t="shared" ca="1" si="20"/>
        <v>#VALUE!</v>
      </c>
      <c r="AL41" s="35" t="e">
        <f t="shared" ca="1" si="20"/>
        <v>#VALUE!</v>
      </c>
      <c r="AM41" s="35" t="e">
        <f t="shared" ca="1" si="20"/>
        <v>#VALUE!</v>
      </c>
      <c r="AN41" s="35" t="e">
        <f t="shared" ca="1" si="20"/>
        <v>#VALUE!</v>
      </c>
      <c r="AO41" s="35" t="e">
        <f t="shared" ca="1" si="20"/>
        <v>#VALUE!</v>
      </c>
      <c r="AP41" s="35" t="e">
        <f t="shared" ca="1" si="20"/>
        <v>#VALUE!</v>
      </c>
      <c r="AQ41" s="35" t="e">
        <f t="shared" ca="1" si="20"/>
        <v>#VALUE!</v>
      </c>
    </row>
    <row r="42" spans="1:43" ht="10.15" customHeight="1" outlineLevel="1">
      <c r="A42" s="36"/>
      <c r="B42" s="34" t="s">
        <v>74</v>
      </c>
      <c r="C42" s="35" t="e">
        <f t="shared" ref="C42:AQ42" ca="1" si="21">EBlackScholesForward($FA$3,C$20,$A$41,C$22,$C$6,$C$6,$C$7,C$21)</f>
        <v>#VALUE!</v>
      </c>
      <c r="D42" s="35" t="e">
        <f t="shared" ca="1" si="21"/>
        <v>#VALUE!</v>
      </c>
      <c r="E42" s="35" t="e">
        <f t="shared" ca="1" si="21"/>
        <v>#VALUE!</v>
      </c>
      <c r="F42" s="35" t="e">
        <f t="shared" ca="1" si="21"/>
        <v>#VALUE!</v>
      </c>
      <c r="G42" s="35" t="e">
        <f t="shared" ca="1" si="21"/>
        <v>#VALUE!</v>
      </c>
      <c r="H42" s="35" t="e">
        <f t="shared" ca="1" si="21"/>
        <v>#VALUE!</v>
      </c>
      <c r="I42" s="35" t="e">
        <f t="shared" ca="1" si="21"/>
        <v>#VALUE!</v>
      </c>
      <c r="J42" s="35" t="e">
        <f t="shared" ca="1" si="21"/>
        <v>#VALUE!</v>
      </c>
      <c r="K42" s="35" t="e">
        <f t="shared" ca="1" si="21"/>
        <v>#VALUE!</v>
      </c>
      <c r="L42" s="35" t="e">
        <f t="shared" ca="1" si="21"/>
        <v>#VALUE!</v>
      </c>
      <c r="M42" s="35" t="e">
        <f t="shared" ca="1" si="21"/>
        <v>#VALUE!</v>
      </c>
      <c r="N42" s="35" t="e">
        <f t="shared" ca="1" si="21"/>
        <v>#VALUE!</v>
      </c>
      <c r="O42" s="35" t="e">
        <f t="shared" ca="1" si="21"/>
        <v>#VALUE!</v>
      </c>
      <c r="P42" s="35" t="e">
        <f t="shared" ca="1" si="21"/>
        <v>#VALUE!</v>
      </c>
      <c r="Q42" s="35" t="e">
        <f t="shared" ca="1" si="21"/>
        <v>#VALUE!</v>
      </c>
      <c r="R42" s="35" t="e">
        <f t="shared" ca="1" si="21"/>
        <v>#VALUE!</v>
      </c>
      <c r="S42" s="35" t="e">
        <f t="shared" ca="1" si="21"/>
        <v>#VALUE!</v>
      </c>
      <c r="T42" s="35" t="e">
        <f t="shared" ca="1" si="21"/>
        <v>#VALUE!</v>
      </c>
      <c r="U42" s="35" t="e">
        <f t="shared" ca="1" si="21"/>
        <v>#VALUE!</v>
      </c>
      <c r="V42" s="35" t="e">
        <f t="shared" ca="1" si="21"/>
        <v>#VALUE!</v>
      </c>
      <c r="W42" s="77" t="e">
        <f t="shared" ca="1" si="21"/>
        <v>#VALUE!</v>
      </c>
      <c r="X42" s="35" t="e">
        <f t="shared" ca="1" si="21"/>
        <v>#VALUE!</v>
      </c>
      <c r="Y42" s="35" t="e">
        <f t="shared" ca="1" si="21"/>
        <v>#VALUE!</v>
      </c>
      <c r="Z42" s="35" t="e">
        <f t="shared" ca="1" si="21"/>
        <v>#VALUE!</v>
      </c>
      <c r="AA42" s="35" t="e">
        <f t="shared" ca="1" si="21"/>
        <v>#VALUE!</v>
      </c>
      <c r="AB42" s="35" t="e">
        <f t="shared" ca="1" si="21"/>
        <v>#VALUE!</v>
      </c>
      <c r="AC42" s="35" t="e">
        <f t="shared" ca="1" si="21"/>
        <v>#VALUE!</v>
      </c>
      <c r="AD42" s="35" t="e">
        <f t="shared" ca="1" si="21"/>
        <v>#VALUE!</v>
      </c>
      <c r="AE42" s="35" t="e">
        <f t="shared" ca="1" si="21"/>
        <v>#VALUE!</v>
      </c>
      <c r="AF42" s="35" t="e">
        <f t="shared" ca="1" si="21"/>
        <v>#VALUE!</v>
      </c>
      <c r="AG42" s="35" t="e">
        <f t="shared" ca="1" si="21"/>
        <v>#VALUE!</v>
      </c>
      <c r="AH42" s="35" t="e">
        <f t="shared" ca="1" si="21"/>
        <v>#VALUE!</v>
      </c>
      <c r="AI42" s="35" t="e">
        <f t="shared" ca="1" si="21"/>
        <v>#VALUE!</v>
      </c>
      <c r="AJ42" s="35" t="e">
        <f t="shared" ca="1" si="21"/>
        <v>#VALUE!</v>
      </c>
      <c r="AK42" s="35" t="e">
        <f t="shared" ca="1" si="21"/>
        <v>#VALUE!</v>
      </c>
      <c r="AL42" s="35" t="e">
        <f t="shared" ca="1" si="21"/>
        <v>#VALUE!</v>
      </c>
      <c r="AM42" s="35" t="e">
        <f t="shared" ca="1" si="21"/>
        <v>#VALUE!</v>
      </c>
      <c r="AN42" s="35" t="e">
        <f t="shared" ca="1" si="21"/>
        <v>#VALUE!</v>
      </c>
      <c r="AO42" s="35" t="e">
        <f t="shared" ca="1" si="21"/>
        <v>#VALUE!</v>
      </c>
      <c r="AP42" s="35" t="e">
        <f t="shared" ca="1" si="21"/>
        <v>#VALUE!</v>
      </c>
      <c r="AQ42" s="35" t="e">
        <f t="shared" ca="1" si="21"/>
        <v>#VALUE!</v>
      </c>
    </row>
    <row r="43" spans="1:43" ht="10.15" customHeight="1">
      <c r="A43" s="31">
        <f ca="1">A45-$C$12</f>
        <v>45.400000000000013</v>
      </c>
      <c r="B43" s="31" t="s">
        <v>71</v>
      </c>
      <c r="C43" s="32" t="e">
        <f t="shared" ref="C43:AQ43" ca="1" si="22">EBlackScholesForward("p",C$20,$A$43,C$22,$C$6,$C$6,$C$7,C$21)</f>
        <v>#VALUE!</v>
      </c>
      <c r="D43" s="32" t="e">
        <f t="shared" ca="1" si="22"/>
        <v>#VALUE!</v>
      </c>
      <c r="E43" s="32" t="e">
        <f t="shared" ca="1" si="22"/>
        <v>#VALUE!</v>
      </c>
      <c r="F43" s="32" t="e">
        <f t="shared" ca="1" si="22"/>
        <v>#VALUE!</v>
      </c>
      <c r="G43" s="32" t="e">
        <f t="shared" ca="1" si="22"/>
        <v>#VALUE!</v>
      </c>
      <c r="H43" s="32" t="e">
        <f t="shared" ca="1" si="22"/>
        <v>#VALUE!</v>
      </c>
      <c r="I43" s="32" t="e">
        <f t="shared" ca="1" si="22"/>
        <v>#VALUE!</v>
      </c>
      <c r="J43" s="32" t="e">
        <f t="shared" ca="1" si="22"/>
        <v>#VALUE!</v>
      </c>
      <c r="K43" s="32" t="e">
        <f t="shared" ca="1" si="22"/>
        <v>#VALUE!</v>
      </c>
      <c r="L43" s="32" t="e">
        <f t="shared" ca="1" si="22"/>
        <v>#VALUE!</v>
      </c>
      <c r="M43" s="32" t="e">
        <f t="shared" ca="1" si="22"/>
        <v>#VALUE!</v>
      </c>
      <c r="N43" s="32" t="e">
        <f t="shared" ca="1" si="22"/>
        <v>#VALUE!</v>
      </c>
      <c r="O43" s="32" t="e">
        <f t="shared" ca="1" si="22"/>
        <v>#VALUE!</v>
      </c>
      <c r="P43" s="32" t="e">
        <f t="shared" ca="1" si="22"/>
        <v>#VALUE!</v>
      </c>
      <c r="Q43" s="32" t="e">
        <f t="shared" ca="1" si="22"/>
        <v>#VALUE!</v>
      </c>
      <c r="R43" s="32" t="e">
        <f t="shared" ca="1" si="22"/>
        <v>#VALUE!</v>
      </c>
      <c r="S43" s="32" t="e">
        <f t="shared" ca="1" si="22"/>
        <v>#VALUE!</v>
      </c>
      <c r="T43" s="32" t="e">
        <f t="shared" ca="1" si="22"/>
        <v>#VALUE!</v>
      </c>
      <c r="U43" s="32" t="e">
        <f t="shared" ca="1" si="22"/>
        <v>#VALUE!</v>
      </c>
      <c r="V43" s="32" t="e">
        <f t="shared" ca="1" si="22"/>
        <v>#VALUE!</v>
      </c>
      <c r="W43" s="76" t="e">
        <f t="shared" ca="1" si="22"/>
        <v>#VALUE!</v>
      </c>
      <c r="X43" s="32" t="e">
        <f t="shared" ca="1" si="22"/>
        <v>#VALUE!</v>
      </c>
      <c r="Y43" s="32" t="e">
        <f t="shared" ca="1" si="22"/>
        <v>#VALUE!</v>
      </c>
      <c r="Z43" s="32" t="e">
        <f t="shared" ca="1" si="22"/>
        <v>#VALUE!</v>
      </c>
      <c r="AA43" s="32" t="e">
        <f t="shared" ca="1" si="22"/>
        <v>#VALUE!</v>
      </c>
      <c r="AB43" s="32" t="e">
        <f t="shared" ca="1" si="22"/>
        <v>#VALUE!</v>
      </c>
      <c r="AC43" s="32" t="e">
        <f t="shared" ca="1" si="22"/>
        <v>#VALUE!</v>
      </c>
      <c r="AD43" s="32" t="e">
        <f t="shared" ca="1" si="22"/>
        <v>#VALUE!</v>
      </c>
      <c r="AE43" s="32" t="e">
        <f t="shared" ca="1" si="22"/>
        <v>#VALUE!</v>
      </c>
      <c r="AF43" s="32" t="e">
        <f t="shared" ca="1" si="22"/>
        <v>#VALUE!</v>
      </c>
      <c r="AG43" s="32" t="e">
        <f t="shared" ca="1" si="22"/>
        <v>#VALUE!</v>
      </c>
      <c r="AH43" s="32" t="e">
        <f t="shared" ca="1" si="22"/>
        <v>#VALUE!</v>
      </c>
      <c r="AI43" s="32" t="e">
        <f t="shared" ca="1" si="22"/>
        <v>#VALUE!</v>
      </c>
      <c r="AJ43" s="32" t="e">
        <f t="shared" ca="1" si="22"/>
        <v>#VALUE!</v>
      </c>
      <c r="AK43" s="32" t="e">
        <f t="shared" ca="1" si="22"/>
        <v>#VALUE!</v>
      </c>
      <c r="AL43" s="32" t="e">
        <f t="shared" ca="1" si="22"/>
        <v>#VALUE!</v>
      </c>
      <c r="AM43" s="32" t="e">
        <f t="shared" ca="1" si="22"/>
        <v>#VALUE!</v>
      </c>
      <c r="AN43" s="32" t="e">
        <f t="shared" ca="1" si="22"/>
        <v>#VALUE!</v>
      </c>
      <c r="AO43" s="32" t="e">
        <f t="shared" ca="1" si="22"/>
        <v>#VALUE!</v>
      </c>
      <c r="AP43" s="32" t="e">
        <f t="shared" ca="1" si="22"/>
        <v>#VALUE!</v>
      </c>
      <c r="AQ43" s="32" t="e">
        <f t="shared" ca="1" si="22"/>
        <v>#VALUE!</v>
      </c>
    </row>
    <row r="44" spans="1:43" ht="10.15" customHeight="1" outlineLevel="1">
      <c r="A44" s="33"/>
      <c r="B44" s="31" t="s">
        <v>74</v>
      </c>
      <c r="C44" s="32" t="e">
        <f t="shared" ref="C44:AQ44" ca="1" si="23">EBlackScholesForward($FA$3,C$20,$A$43,C$22,$C$6,$C$6,$C$7,C$21)</f>
        <v>#VALUE!</v>
      </c>
      <c r="D44" s="32" t="e">
        <f t="shared" ca="1" si="23"/>
        <v>#VALUE!</v>
      </c>
      <c r="E44" s="32" t="e">
        <f t="shared" ca="1" si="23"/>
        <v>#VALUE!</v>
      </c>
      <c r="F44" s="32" t="e">
        <f t="shared" ca="1" si="23"/>
        <v>#VALUE!</v>
      </c>
      <c r="G44" s="32" t="e">
        <f t="shared" ca="1" si="23"/>
        <v>#VALUE!</v>
      </c>
      <c r="H44" s="32" t="e">
        <f t="shared" ca="1" si="23"/>
        <v>#VALUE!</v>
      </c>
      <c r="I44" s="32" t="e">
        <f t="shared" ca="1" si="23"/>
        <v>#VALUE!</v>
      </c>
      <c r="J44" s="32" t="e">
        <f t="shared" ca="1" si="23"/>
        <v>#VALUE!</v>
      </c>
      <c r="K44" s="32" t="e">
        <f t="shared" ca="1" si="23"/>
        <v>#VALUE!</v>
      </c>
      <c r="L44" s="32" t="e">
        <f t="shared" ca="1" si="23"/>
        <v>#VALUE!</v>
      </c>
      <c r="M44" s="32" t="e">
        <f t="shared" ca="1" si="23"/>
        <v>#VALUE!</v>
      </c>
      <c r="N44" s="32" t="e">
        <f t="shared" ca="1" si="23"/>
        <v>#VALUE!</v>
      </c>
      <c r="O44" s="32" t="e">
        <f t="shared" ca="1" si="23"/>
        <v>#VALUE!</v>
      </c>
      <c r="P44" s="32" t="e">
        <f t="shared" ca="1" si="23"/>
        <v>#VALUE!</v>
      </c>
      <c r="Q44" s="32" t="e">
        <f t="shared" ca="1" si="23"/>
        <v>#VALUE!</v>
      </c>
      <c r="R44" s="32" t="e">
        <f t="shared" ca="1" si="23"/>
        <v>#VALUE!</v>
      </c>
      <c r="S44" s="32" t="e">
        <f t="shared" ca="1" si="23"/>
        <v>#VALUE!</v>
      </c>
      <c r="T44" s="32" t="e">
        <f t="shared" ca="1" si="23"/>
        <v>#VALUE!</v>
      </c>
      <c r="U44" s="32" t="e">
        <f t="shared" ca="1" si="23"/>
        <v>#VALUE!</v>
      </c>
      <c r="V44" s="32" t="e">
        <f t="shared" ca="1" si="23"/>
        <v>#VALUE!</v>
      </c>
      <c r="W44" s="76" t="e">
        <f t="shared" ca="1" si="23"/>
        <v>#VALUE!</v>
      </c>
      <c r="X44" s="32" t="e">
        <f t="shared" ca="1" si="23"/>
        <v>#VALUE!</v>
      </c>
      <c r="Y44" s="32" t="e">
        <f t="shared" ca="1" si="23"/>
        <v>#VALUE!</v>
      </c>
      <c r="Z44" s="32" t="e">
        <f t="shared" ca="1" si="23"/>
        <v>#VALUE!</v>
      </c>
      <c r="AA44" s="32" t="e">
        <f t="shared" ca="1" si="23"/>
        <v>#VALUE!</v>
      </c>
      <c r="AB44" s="32" t="e">
        <f t="shared" ca="1" si="23"/>
        <v>#VALUE!</v>
      </c>
      <c r="AC44" s="32" t="e">
        <f t="shared" ca="1" si="23"/>
        <v>#VALUE!</v>
      </c>
      <c r="AD44" s="32" t="e">
        <f t="shared" ca="1" si="23"/>
        <v>#VALUE!</v>
      </c>
      <c r="AE44" s="32" t="e">
        <f t="shared" ca="1" si="23"/>
        <v>#VALUE!</v>
      </c>
      <c r="AF44" s="32" t="e">
        <f t="shared" ca="1" si="23"/>
        <v>#VALUE!</v>
      </c>
      <c r="AG44" s="32" t="e">
        <f t="shared" ca="1" si="23"/>
        <v>#VALUE!</v>
      </c>
      <c r="AH44" s="32" t="e">
        <f t="shared" ca="1" si="23"/>
        <v>#VALUE!</v>
      </c>
      <c r="AI44" s="32" t="e">
        <f t="shared" ca="1" si="23"/>
        <v>#VALUE!</v>
      </c>
      <c r="AJ44" s="32" t="e">
        <f t="shared" ca="1" si="23"/>
        <v>#VALUE!</v>
      </c>
      <c r="AK44" s="32" t="e">
        <f t="shared" ca="1" si="23"/>
        <v>#VALUE!</v>
      </c>
      <c r="AL44" s="32" t="e">
        <f t="shared" ca="1" si="23"/>
        <v>#VALUE!</v>
      </c>
      <c r="AM44" s="32" t="e">
        <f t="shared" ca="1" si="23"/>
        <v>#VALUE!</v>
      </c>
      <c r="AN44" s="32" t="e">
        <f t="shared" ca="1" si="23"/>
        <v>#VALUE!</v>
      </c>
      <c r="AO44" s="32" t="e">
        <f t="shared" ca="1" si="23"/>
        <v>#VALUE!</v>
      </c>
      <c r="AP44" s="32" t="e">
        <f t="shared" ca="1" si="23"/>
        <v>#VALUE!</v>
      </c>
      <c r="AQ44" s="32" t="e">
        <f t="shared" ca="1" si="23"/>
        <v>#VALUE!</v>
      </c>
    </row>
    <row r="45" spans="1:43" ht="10.15" customHeight="1">
      <c r="A45" s="34">
        <f ca="1">A47-$C$12</f>
        <v>45.45000000000001</v>
      </c>
      <c r="B45" s="34" t="s">
        <v>71</v>
      </c>
      <c r="C45" s="35" t="e">
        <f t="shared" ref="C45:AQ45" ca="1" si="24">EBlackScholesForward("p",C$20,$A$45,C$22,$C$6,$C$6,$C$7,C$21)</f>
        <v>#VALUE!</v>
      </c>
      <c r="D45" s="35" t="e">
        <f t="shared" ca="1" si="24"/>
        <v>#VALUE!</v>
      </c>
      <c r="E45" s="35" t="e">
        <f t="shared" ca="1" si="24"/>
        <v>#VALUE!</v>
      </c>
      <c r="F45" s="35" t="e">
        <f t="shared" ca="1" si="24"/>
        <v>#VALUE!</v>
      </c>
      <c r="G45" s="35" t="e">
        <f t="shared" ca="1" si="24"/>
        <v>#VALUE!</v>
      </c>
      <c r="H45" s="35" t="e">
        <f t="shared" ca="1" si="24"/>
        <v>#VALUE!</v>
      </c>
      <c r="I45" s="35" t="e">
        <f t="shared" ca="1" si="24"/>
        <v>#VALUE!</v>
      </c>
      <c r="J45" s="35" t="e">
        <f t="shared" ca="1" si="24"/>
        <v>#VALUE!</v>
      </c>
      <c r="K45" s="35" t="e">
        <f t="shared" ca="1" si="24"/>
        <v>#VALUE!</v>
      </c>
      <c r="L45" s="35" t="e">
        <f t="shared" ca="1" si="24"/>
        <v>#VALUE!</v>
      </c>
      <c r="M45" s="35" t="e">
        <f t="shared" ca="1" si="24"/>
        <v>#VALUE!</v>
      </c>
      <c r="N45" s="35" t="e">
        <f t="shared" ca="1" si="24"/>
        <v>#VALUE!</v>
      </c>
      <c r="O45" s="35" t="e">
        <f t="shared" ca="1" si="24"/>
        <v>#VALUE!</v>
      </c>
      <c r="P45" s="35" t="e">
        <f t="shared" ca="1" si="24"/>
        <v>#VALUE!</v>
      </c>
      <c r="Q45" s="35" t="e">
        <f t="shared" ca="1" si="24"/>
        <v>#VALUE!</v>
      </c>
      <c r="R45" s="35" t="e">
        <f t="shared" ca="1" si="24"/>
        <v>#VALUE!</v>
      </c>
      <c r="S45" s="35" t="e">
        <f t="shared" ca="1" si="24"/>
        <v>#VALUE!</v>
      </c>
      <c r="T45" s="35" t="e">
        <f t="shared" ca="1" si="24"/>
        <v>#VALUE!</v>
      </c>
      <c r="U45" s="35" t="e">
        <f t="shared" ca="1" si="24"/>
        <v>#VALUE!</v>
      </c>
      <c r="V45" s="35" t="e">
        <f t="shared" ca="1" si="24"/>
        <v>#VALUE!</v>
      </c>
      <c r="W45" s="77" t="e">
        <f t="shared" ca="1" si="24"/>
        <v>#VALUE!</v>
      </c>
      <c r="X45" s="35" t="e">
        <f t="shared" ca="1" si="24"/>
        <v>#VALUE!</v>
      </c>
      <c r="Y45" s="35" t="e">
        <f t="shared" ca="1" si="24"/>
        <v>#VALUE!</v>
      </c>
      <c r="Z45" s="35" t="e">
        <f t="shared" ca="1" si="24"/>
        <v>#VALUE!</v>
      </c>
      <c r="AA45" s="35" t="e">
        <f t="shared" ca="1" si="24"/>
        <v>#VALUE!</v>
      </c>
      <c r="AB45" s="35" t="e">
        <f t="shared" ca="1" si="24"/>
        <v>#VALUE!</v>
      </c>
      <c r="AC45" s="35" t="e">
        <f t="shared" ca="1" si="24"/>
        <v>#VALUE!</v>
      </c>
      <c r="AD45" s="35" t="e">
        <f t="shared" ca="1" si="24"/>
        <v>#VALUE!</v>
      </c>
      <c r="AE45" s="35" t="e">
        <f t="shared" ca="1" si="24"/>
        <v>#VALUE!</v>
      </c>
      <c r="AF45" s="35" t="e">
        <f t="shared" ca="1" si="24"/>
        <v>#VALUE!</v>
      </c>
      <c r="AG45" s="35" t="e">
        <f t="shared" ca="1" si="24"/>
        <v>#VALUE!</v>
      </c>
      <c r="AH45" s="35" t="e">
        <f t="shared" ca="1" si="24"/>
        <v>#VALUE!</v>
      </c>
      <c r="AI45" s="35" t="e">
        <f t="shared" ca="1" si="24"/>
        <v>#VALUE!</v>
      </c>
      <c r="AJ45" s="35" t="e">
        <f t="shared" ca="1" si="24"/>
        <v>#VALUE!</v>
      </c>
      <c r="AK45" s="35" t="e">
        <f t="shared" ca="1" si="24"/>
        <v>#VALUE!</v>
      </c>
      <c r="AL45" s="35" t="e">
        <f t="shared" ca="1" si="24"/>
        <v>#VALUE!</v>
      </c>
      <c r="AM45" s="35" t="e">
        <f t="shared" ca="1" si="24"/>
        <v>#VALUE!</v>
      </c>
      <c r="AN45" s="35" t="e">
        <f t="shared" ca="1" si="24"/>
        <v>#VALUE!</v>
      </c>
      <c r="AO45" s="35" t="e">
        <f t="shared" ca="1" si="24"/>
        <v>#VALUE!</v>
      </c>
      <c r="AP45" s="35" t="e">
        <f t="shared" ca="1" si="24"/>
        <v>#VALUE!</v>
      </c>
      <c r="AQ45" s="35" t="e">
        <f t="shared" ca="1" si="24"/>
        <v>#VALUE!</v>
      </c>
    </row>
    <row r="46" spans="1:43" ht="10.15" customHeight="1" outlineLevel="1">
      <c r="A46" s="36"/>
      <c r="B46" s="34" t="s">
        <v>74</v>
      </c>
      <c r="C46" s="35" t="e">
        <f t="shared" ref="C46:AQ46" ca="1" si="25">EBlackScholesForward($FA$3,C$20,$A$45,C$22,$C$6,$C$6,$C$7,C$21)</f>
        <v>#VALUE!</v>
      </c>
      <c r="D46" s="35" t="e">
        <f t="shared" ca="1" si="25"/>
        <v>#VALUE!</v>
      </c>
      <c r="E46" s="35" t="e">
        <f t="shared" ca="1" si="25"/>
        <v>#VALUE!</v>
      </c>
      <c r="F46" s="35" t="e">
        <f t="shared" ca="1" si="25"/>
        <v>#VALUE!</v>
      </c>
      <c r="G46" s="35" t="e">
        <f t="shared" ca="1" si="25"/>
        <v>#VALUE!</v>
      </c>
      <c r="H46" s="35" t="e">
        <f t="shared" ca="1" si="25"/>
        <v>#VALUE!</v>
      </c>
      <c r="I46" s="35" t="e">
        <f t="shared" ca="1" si="25"/>
        <v>#VALUE!</v>
      </c>
      <c r="J46" s="35" t="e">
        <f t="shared" ca="1" si="25"/>
        <v>#VALUE!</v>
      </c>
      <c r="K46" s="35" t="e">
        <f t="shared" ca="1" si="25"/>
        <v>#VALUE!</v>
      </c>
      <c r="L46" s="35" t="e">
        <f t="shared" ca="1" si="25"/>
        <v>#VALUE!</v>
      </c>
      <c r="M46" s="35" t="e">
        <f t="shared" ca="1" si="25"/>
        <v>#VALUE!</v>
      </c>
      <c r="N46" s="35" t="e">
        <f t="shared" ca="1" si="25"/>
        <v>#VALUE!</v>
      </c>
      <c r="O46" s="35" t="e">
        <f t="shared" ca="1" si="25"/>
        <v>#VALUE!</v>
      </c>
      <c r="P46" s="35" t="e">
        <f t="shared" ca="1" si="25"/>
        <v>#VALUE!</v>
      </c>
      <c r="Q46" s="35" t="e">
        <f t="shared" ca="1" si="25"/>
        <v>#VALUE!</v>
      </c>
      <c r="R46" s="35" t="e">
        <f t="shared" ca="1" si="25"/>
        <v>#VALUE!</v>
      </c>
      <c r="S46" s="35" t="e">
        <f t="shared" ca="1" si="25"/>
        <v>#VALUE!</v>
      </c>
      <c r="T46" s="35" t="e">
        <f t="shared" ca="1" si="25"/>
        <v>#VALUE!</v>
      </c>
      <c r="U46" s="35" t="e">
        <f t="shared" ca="1" si="25"/>
        <v>#VALUE!</v>
      </c>
      <c r="V46" s="35" t="e">
        <f t="shared" ca="1" si="25"/>
        <v>#VALUE!</v>
      </c>
      <c r="W46" s="77" t="e">
        <f t="shared" ca="1" si="25"/>
        <v>#VALUE!</v>
      </c>
      <c r="X46" s="35" t="e">
        <f t="shared" ca="1" si="25"/>
        <v>#VALUE!</v>
      </c>
      <c r="Y46" s="35" t="e">
        <f t="shared" ca="1" si="25"/>
        <v>#VALUE!</v>
      </c>
      <c r="Z46" s="35" t="e">
        <f t="shared" ca="1" si="25"/>
        <v>#VALUE!</v>
      </c>
      <c r="AA46" s="35" t="e">
        <f t="shared" ca="1" si="25"/>
        <v>#VALUE!</v>
      </c>
      <c r="AB46" s="35" t="e">
        <f t="shared" ca="1" si="25"/>
        <v>#VALUE!</v>
      </c>
      <c r="AC46" s="35" t="e">
        <f t="shared" ca="1" si="25"/>
        <v>#VALUE!</v>
      </c>
      <c r="AD46" s="35" t="e">
        <f t="shared" ca="1" si="25"/>
        <v>#VALUE!</v>
      </c>
      <c r="AE46" s="35" t="e">
        <f t="shared" ca="1" si="25"/>
        <v>#VALUE!</v>
      </c>
      <c r="AF46" s="35" t="e">
        <f t="shared" ca="1" si="25"/>
        <v>#VALUE!</v>
      </c>
      <c r="AG46" s="35" t="e">
        <f t="shared" ca="1" si="25"/>
        <v>#VALUE!</v>
      </c>
      <c r="AH46" s="35" t="e">
        <f t="shared" ca="1" si="25"/>
        <v>#VALUE!</v>
      </c>
      <c r="AI46" s="35" t="e">
        <f t="shared" ca="1" si="25"/>
        <v>#VALUE!</v>
      </c>
      <c r="AJ46" s="35" t="e">
        <f t="shared" ca="1" si="25"/>
        <v>#VALUE!</v>
      </c>
      <c r="AK46" s="35" t="e">
        <f t="shared" ca="1" si="25"/>
        <v>#VALUE!</v>
      </c>
      <c r="AL46" s="35" t="e">
        <f t="shared" ca="1" si="25"/>
        <v>#VALUE!</v>
      </c>
      <c r="AM46" s="35" t="e">
        <f t="shared" ca="1" si="25"/>
        <v>#VALUE!</v>
      </c>
      <c r="AN46" s="35" t="e">
        <f t="shared" ca="1" si="25"/>
        <v>#VALUE!</v>
      </c>
      <c r="AO46" s="35" t="e">
        <f t="shared" ca="1" si="25"/>
        <v>#VALUE!</v>
      </c>
      <c r="AP46" s="35" t="e">
        <f t="shared" ca="1" si="25"/>
        <v>#VALUE!</v>
      </c>
      <c r="AQ46" s="35" t="e">
        <f t="shared" ca="1" si="25"/>
        <v>#VALUE!</v>
      </c>
    </row>
    <row r="47" spans="1:43" ht="10.15" customHeight="1">
      <c r="A47" s="31">
        <f ca="1">A49-$C$12</f>
        <v>45.500000000000007</v>
      </c>
      <c r="B47" s="31" t="s">
        <v>71</v>
      </c>
      <c r="C47" s="32" t="e">
        <f t="shared" ref="C47:AQ47" ca="1" si="26">EBlackScholesForward("p",C$20,$A$47,C$22,$C$6,$C$6,$C$7,C$21)</f>
        <v>#VALUE!</v>
      </c>
      <c r="D47" s="32" t="e">
        <f t="shared" ca="1" si="26"/>
        <v>#VALUE!</v>
      </c>
      <c r="E47" s="32" t="e">
        <f t="shared" ca="1" si="26"/>
        <v>#VALUE!</v>
      </c>
      <c r="F47" s="32" t="e">
        <f t="shared" ca="1" si="26"/>
        <v>#VALUE!</v>
      </c>
      <c r="G47" s="32" t="e">
        <f t="shared" ca="1" si="26"/>
        <v>#VALUE!</v>
      </c>
      <c r="H47" s="32" t="e">
        <f t="shared" ca="1" si="26"/>
        <v>#VALUE!</v>
      </c>
      <c r="I47" s="32" t="e">
        <f t="shared" ca="1" si="26"/>
        <v>#VALUE!</v>
      </c>
      <c r="J47" s="32" t="e">
        <f t="shared" ca="1" si="26"/>
        <v>#VALUE!</v>
      </c>
      <c r="K47" s="32" t="e">
        <f t="shared" ca="1" si="26"/>
        <v>#VALUE!</v>
      </c>
      <c r="L47" s="32" t="e">
        <f t="shared" ca="1" si="26"/>
        <v>#VALUE!</v>
      </c>
      <c r="M47" s="32" t="e">
        <f t="shared" ca="1" si="26"/>
        <v>#VALUE!</v>
      </c>
      <c r="N47" s="32" t="e">
        <f t="shared" ca="1" si="26"/>
        <v>#VALUE!</v>
      </c>
      <c r="O47" s="32" t="e">
        <f t="shared" ca="1" si="26"/>
        <v>#VALUE!</v>
      </c>
      <c r="P47" s="32" t="e">
        <f t="shared" ca="1" si="26"/>
        <v>#VALUE!</v>
      </c>
      <c r="Q47" s="32" t="e">
        <f t="shared" ca="1" si="26"/>
        <v>#VALUE!</v>
      </c>
      <c r="R47" s="32" t="e">
        <f t="shared" ca="1" si="26"/>
        <v>#VALUE!</v>
      </c>
      <c r="S47" s="32" t="e">
        <f t="shared" ca="1" si="26"/>
        <v>#VALUE!</v>
      </c>
      <c r="T47" s="32" t="e">
        <f t="shared" ca="1" si="26"/>
        <v>#VALUE!</v>
      </c>
      <c r="U47" s="32" t="e">
        <f t="shared" ca="1" si="26"/>
        <v>#VALUE!</v>
      </c>
      <c r="V47" s="32" t="e">
        <f t="shared" ca="1" si="26"/>
        <v>#VALUE!</v>
      </c>
      <c r="W47" s="76" t="e">
        <f t="shared" ca="1" si="26"/>
        <v>#VALUE!</v>
      </c>
      <c r="X47" s="32" t="e">
        <f t="shared" ca="1" si="26"/>
        <v>#VALUE!</v>
      </c>
      <c r="Y47" s="32" t="e">
        <f t="shared" ca="1" si="26"/>
        <v>#VALUE!</v>
      </c>
      <c r="Z47" s="32" t="e">
        <f t="shared" ca="1" si="26"/>
        <v>#VALUE!</v>
      </c>
      <c r="AA47" s="32" t="e">
        <f t="shared" ca="1" si="26"/>
        <v>#VALUE!</v>
      </c>
      <c r="AB47" s="32" t="e">
        <f t="shared" ca="1" si="26"/>
        <v>#VALUE!</v>
      </c>
      <c r="AC47" s="32" t="e">
        <f t="shared" ca="1" si="26"/>
        <v>#VALUE!</v>
      </c>
      <c r="AD47" s="32" t="e">
        <f t="shared" ca="1" si="26"/>
        <v>#VALUE!</v>
      </c>
      <c r="AE47" s="32" t="e">
        <f t="shared" ca="1" si="26"/>
        <v>#VALUE!</v>
      </c>
      <c r="AF47" s="32" t="e">
        <f t="shared" ca="1" si="26"/>
        <v>#VALUE!</v>
      </c>
      <c r="AG47" s="32" t="e">
        <f t="shared" ca="1" si="26"/>
        <v>#VALUE!</v>
      </c>
      <c r="AH47" s="32" t="e">
        <f t="shared" ca="1" si="26"/>
        <v>#VALUE!</v>
      </c>
      <c r="AI47" s="32" t="e">
        <f t="shared" ca="1" si="26"/>
        <v>#VALUE!</v>
      </c>
      <c r="AJ47" s="32" t="e">
        <f t="shared" ca="1" si="26"/>
        <v>#VALUE!</v>
      </c>
      <c r="AK47" s="32" t="e">
        <f t="shared" ca="1" si="26"/>
        <v>#VALUE!</v>
      </c>
      <c r="AL47" s="32" t="e">
        <f t="shared" ca="1" si="26"/>
        <v>#VALUE!</v>
      </c>
      <c r="AM47" s="32" t="e">
        <f t="shared" ca="1" si="26"/>
        <v>#VALUE!</v>
      </c>
      <c r="AN47" s="32" t="e">
        <f t="shared" ca="1" si="26"/>
        <v>#VALUE!</v>
      </c>
      <c r="AO47" s="32" t="e">
        <f t="shared" ca="1" si="26"/>
        <v>#VALUE!</v>
      </c>
      <c r="AP47" s="32" t="e">
        <f t="shared" ca="1" si="26"/>
        <v>#VALUE!</v>
      </c>
      <c r="AQ47" s="32" t="e">
        <f t="shared" ca="1" si="26"/>
        <v>#VALUE!</v>
      </c>
    </row>
    <row r="48" spans="1:43" ht="10.15" customHeight="1" outlineLevel="1">
      <c r="A48" s="33"/>
      <c r="B48" s="31" t="s">
        <v>74</v>
      </c>
      <c r="C48" s="32" t="e">
        <f t="shared" ref="C48:AQ48" ca="1" si="27">EBlackScholesForward($FA$3,C$20,$A$47,C$22,$C$6,$C$6,$C$7,C$21)</f>
        <v>#VALUE!</v>
      </c>
      <c r="D48" s="32" t="e">
        <f t="shared" ca="1" si="27"/>
        <v>#VALUE!</v>
      </c>
      <c r="E48" s="32" t="e">
        <f t="shared" ca="1" si="27"/>
        <v>#VALUE!</v>
      </c>
      <c r="F48" s="32" t="e">
        <f t="shared" ca="1" si="27"/>
        <v>#VALUE!</v>
      </c>
      <c r="G48" s="32" t="e">
        <f t="shared" ca="1" si="27"/>
        <v>#VALUE!</v>
      </c>
      <c r="H48" s="32" t="e">
        <f t="shared" ca="1" si="27"/>
        <v>#VALUE!</v>
      </c>
      <c r="I48" s="32" t="e">
        <f t="shared" ca="1" si="27"/>
        <v>#VALUE!</v>
      </c>
      <c r="J48" s="32" t="e">
        <f t="shared" ca="1" si="27"/>
        <v>#VALUE!</v>
      </c>
      <c r="K48" s="32" t="e">
        <f t="shared" ca="1" si="27"/>
        <v>#VALUE!</v>
      </c>
      <c r="L48" s="32" t="e">
        <f t="shared" ca="1" si="27"/>
        <v>#VALUE!</v>
      </c>
      <c r="M48" s="32" t="e">
        <f t="shared" ca="1" si="27"/>
        <v>#VALUE!</v>
      </c>
      <c r="N48" s="32" t="e">
        <f t="shared" ca="1" si="27"/>
        <v>#VALUE!</v>
      </c>
      <c r="O48" s="32" t="e">
        <f t="shared" ca="1" si="27"/>
        <v>#VALUE!</v>
      </c>
      <c r="P48" s="32" t="e">
        <f t="shared" ca="1" si="27"/>
        <v>#VALUE!</v>
      </c>
      <c r="Q48" s="32" t="e">
        <f t="shared" ca="1" si="27"/>
        <v>#VALUE!</v>
      </c>
      <c r="R48" s="32" t="e">
        <f t="shared" ca="1" si="27"/>
        <v>#VALUE!</v>
      </c>
      <c r="S48" s="32" t="e">
        <f t="shared" ca="1" si="27"/>
        <v>#VALUE!</v>
      </c>
      <c r="T48" s="32" t="e">
        <f t="shared" ca="1" si="27"/>
        <v>#VALUE!</v>
      </c>
      <c r="U48" s="32" t="e">
        <f t="shared" ca="1" si="27"/>
        <v>#VALUE!</v>
      </c>
      <c r="V48" s="32" t="e">
        <f t="shared" ca="1" si="27"/>
        <v>#VALUE!</v>
      </c>
      <c r="W48" s="76" t="e">
        <f t="shared" ca="1" si="27"/>
        <v>#VALUE!</v>
      </c>
      <c r="X48" s="32" t="e">
        <f t="shared" ca="1" si="27"/>
        <v>#VALUE!</v>
      </c>
      <c r="Y48" s="32" t="e">
        <f t="shared" ca="1" si="27"/>
        <v>#VALUE!</v>
      </c>
      <c r="Z48" s="32" t="e">
        <f t="shared" ca="1" si="27"/>
        <v>#VALUE!</v>
      </c>
      <c r="AA48" s="32" t="e">
        <f t="shared" ca="1" si="27"/>
        <v>#VALUE!</v>
      </c>
      <c r="AB48" s="32" t="e">
        <f t="shared" ca="1" si="27"/>
        <v>#VALUE!</v>
      </c>
      <c r="AC48" s="32" t="e">
        <f t="shared" ca="1" si="27"/>
        <v>#VALUE!</v>
      </c>
      <c r="AD48" s="32" t="e">
        <f t="shared" ca="1" si="27"/>
        <v>#VALUE!</v>
      </c>
      <c r="AE48" s="32" t="e">
        <f t="shared" ca="1" si="27"/>
        <v>#VALUE!</v>
      </c>
      <c r="AF48" s="32" t="e">
        <f t="shared" ca="1" si="27"/>
        <v>#VALUE!</v>
      </c>
      <c r="AG48" s="32" t="e">
        <f t="shared" ca="1" si="27"/>
        <v>#VALUE!</v>
      </c>
      <c r="AH48" s="32" t="e">
        <f t="shared" ca="1" si="27"/>
        <v>#VALUE!</v>
      </c>
      <c r="AI48" s="32" t="e">
        <f t="shared" ca="1" si="27"/>
        <v>#VALUE!</v>
      </c>
      <c r="AJ48" s="32" t="e">
        <f t="shared" ca="1" si="27"/>
        <v>#VALUE!</v>
      </c>
      <c r="AK48" s="32" t="e">
        <f t="shared" ca="1" si="27"/>
        <v>#VALUE!</v>
      </c>
      <c r="AL48" s="32" t="e">
        <f t="shared" ca="1" si="27"/>
        <v>#VALUE!</v>
      </c>
      <c r="AM48" s="32" t="e">
        <f t="shared" ca="1" si="27"/>
        <v>#VALUE!</v>
      </c>
      <c r="AN48" s="32" t="e">
        <f t="shared" ca="1" si="27"/>
        <v>#VALUE!</v>
      </c>
      <c r="AO48" s="32" t="e">
        <f t="shared" ca="1" si="27"/>
        <v>#VALUE!</v>
      </c>
      <c r="AP48" s="32" t="e">
        <f t="shared" ca="1" si="27"/>
        <v>#VALUE!</v>
      </c>
      <c r="AQ48" s="32" t="e">
        <f t="shared" ca="1" si="27"/>
        <v>#VALUE!</v>
      </c>
    </row>
    <row r="49" spans="1:43" ht="10.15" customHeight="1">
      <c r="A49" s="34">
        <f ca="1">A51-$C$12</f>
        <v>45.550000000000004</v>
      </c>
      <c r="B49" s="34" t="s">
        <v>71</v>
      </c>
      <c r="C49" s="35" t="e">
        <f t="shared" ref="C49:AQ49" ca="1" si="28">EBlackScholesForward("p",C$20,$A$49,C$22,$C$6,$C$6,$C$7,C$21)</f>
        <v>#VALUE!</v>
      </c>
      <c r="D49" s="35" t="e">
        <f t="shared" ca="1" si="28"/>
        <v>#VALUE!</v>
      </c>
      <c r="E49" s="35" t="e">
        <f t="shared" ca="1" si="28"/>
        <v>#VALUE!</v>
      </c>
      <c r="F49" s="35" t="e">
        <f t="shared" ca="1" si="28"/>
        <v>#VALUE!</v>
      </c>
      <c r="G49" s="35" t="e">
        <f t="shared" ca="1" si="28"/>
        <v>#VALUE!</v>
      </c>
      <c r="H49" s="35" t="e">
        <f t="shared" ca="1" si="28"/>
        <v>#VALUE!</v>
      </c>
      <c r="I49" s="35" t="e">
        <f t="shared" ca="1" si="28"/>
        <v>#VALUE!</v>
      </c>
      <c r="J49" s="35" t="e">
        <f t="shared" ca="1" si="28"/>
        <v>#VALUE!</v>
      </c>
      <c r="K49" s="35" t="e">
        <f t="shared" ca="1" si="28"/>
        <v>#VALUE!</v>
      </c>
      <c r="L49" s="35" t="e">
        <f t="shared" ca="1" si="28"/>
        <v>#VALUE!</v>
      </c>
      <c r="M49" s="35" t="e">
        <f t="shared" ca="1" si="28"/>
        <v>#VALUE!</v>
      </c>
      <c r="N49" s="35" t="e">
        <f t="shared" ca="1" si="28"/>
        <v>#VALUE!</v>
      </c>
      <c r="O49" s="35" t="e">
        <f t="shared" ca="1" si="28"/>
        <v>#VALUE!</v>
      </c>
      <c r="P49" s="35" t="e">
        <f t="shared" ca="1" si="28"/>
        <v>#VALUE!</v>
      </c>
      <c r="Q49" s="35" t="e">
        <f t="shared" ca="1" si="28"/>
        <v>#VALUE!</v>
      </c>
      <c r="R49" s="35" t="e">
        <f t="shared" ca="1" si="28"/>
        <v>#VALUE!</v>
      </c>
      <c r="S49" s="35" t="e">
        <f t="shared" ca="1" si="28"/>
        <v>#VALUE!</v>
      </c>
      <c r="T49" s="35" t="e">
        <f t="shared" ca="1" si="28"/>
        <v>#VALUE!</v>
      </c>
      <c r="U49" s="35" t="e">
        <f t="shared" ca="1" si="28"/>
        <v>#VALUE!</v>
      </c>
      <c r="V49" s="35" t="e">
        <f t="shared" ca="1" si="28"/>
        <v>#VALUE!</v>
      </c>
      <c r="W49" s="77" t="e">
        <f t="shared" ca="1" si="28"/>
        <v>#VALUE!</v>
      </c>
      <c r="X49" s="35" t="e">
        <f t="shared" ca="1" si="28"/>
        <v>#VALUE!</v>
      </c>
      <c r="Y49" s="35" t="e">
        <f t="shared" ca="1" si="28"/>
        <v>#VALUE!</v>
      </c>
      <c r="Z49" s="35" t="e">
        <f t="shared" ca="1" si="28"/>
        <v>#VALUE!</v>
      </c>
      <c r="AA49" s="35" t="e">
        <f t="shared" ca="1" si="28"/>
        <v>#VALUE!</v>
      </c>
      <c r="AB49" s="35" t="e">
        <f t="shared" ca="1" si="28"/>
        <v>#VALUE!</v>
      </c>
      <c r="AC49" s="35" t="e">
        <f t="shared" ca="1" si="28"/>
        <v>#VALUE!</v>
      </c>
      <c r="AD49" s="35" t="e">
        <f t="shared" ca="1" si="28"/>
        <v>#VALUE!</v>
      </c>
      <c r="AE49" s="35" t="e">
        <f t="shared" ca="1" si="28"/>
        <v>#VALUE!</v>
      </c>
      <c r="AF49" s="35" t="e">
        <f t="shared" ca="1" si="28"/>
        <v>#VALUE!</v>
      </c>
      <c r="AG49" s="35" t="e">
        <f t="shared" ca="1" si="28"/>
        <v>#VALUE!</v>
      </c>
      <c r="AH49" s="35" t="e">
        <f t="shared" ca="1" si="28"/>
        <v>#VALUE!</v>
      </c>
      <c r="AI49" s="35" t="e">
        <f t="shared" ca="1" si="28"/>
        <v>#VALUE!</v>
      </c>
      <c r="AJ49" s="35" t="e">
        <f t="shared" ca="1" si="28"/>
        <v>#VALUE!</v>
      </c>
      <c r="AK49" s="35" t="e">
        <f t="shared" ca="1" si="28"/>
        <v>#VALUE!</v>
      </c>
      <c r="AL49" s="35" t="e">
        <f t="shared" ca="1" si="28"/>
        <v>#VALUE!</v>
      </c>
      <c r="AM49" s="35" t="e">
        <f t="shared" ca="1" si="28"/>
        <v>#VALUE!</v>
      </c>
      <c r="AN49" s="35" t="e">
        <f t="shared" ca="1" si="28"/>
        <v>#VALUE!</v>
      </c>
      <c r="AO49" s="35" t="e">
        <f t="shared" ca="1" si="28"/>
        <v>#VALUE!</v>
      </c>
      <c r="AP49" s="35" t="e">
        <f t="shared" ca="1" si="28"/>
        <v>#VALUE!</v>
      </c>
      <c r="AQ49" s="35" t="e">
        <f t="shared" ca="1" si="28"/>
        <v>#VALUE!</v>
      </c>
    </row>
    <row r="50" spans="1:43" ht="10.15" customHeight="1" outlineLevel="1">
      <c r="A50" s="36"/>
      <c r="B50" s="34" t="s">
        <v>74</v>
      </c>
      <c r="C50" s="35" t="e">
        <f t="shared" ref="C50:AQ50" ca="1" si="29">EBlackScholesForward($FA$3,C$20,$A$49,C$22,$C$6,$C$6,$C$7,C$21)</f>
        <v>#VALUE!</v>
      </c>
      <c r="D50" s="35" t="e">
        <f t="shared" ca="1" si="29"/>
        <v>#VALUE!</v>
      </c>
      <c r="E50" s="35" t="e">
        <f t="shared" ca="1" si="29"/>
        <v>#VALUE!</v>
      </c>
      <c r="F50" s="35" t="e">
        <f t="shared" ca="1" si="29"/>
        <v>#VALUE!</v>
      </c>
      <c r="G50" s="35" t="e">
        <f t="shared" ca="1" si="29"/>
        <v>#VALUE!</v>
      </c>
      <c r="H50" s="35" t="e">
        <f t="shared" ca="1" si="29"/>
        <v>#VALUE!</v>
      </c>
      <c r="I50" s="35" t="e">
        <f t="shared" ca="1" si="29"/>
        <v>#VALUE!</v>
      </c>
      <c r="J50" s="35" t="e">
        <f t="shared" ca="1" si="29"/>
        <v>#VALUE!</v>
      </c>
      <c r="K50" s="35" t="e">
        <f t="shared" ca="1" si="29"/>
        <v>#VALUE!</v>
      </c>
      <c r="L50" s="35" t="e">
        <f t="shared" ca="1" si="29"/>
        <v>#VALUE!</v>
      </c>
      <c r="M50" s="35" t="e">
        <f t="shared" ca="1" si="29"/>
        <v>#VALUE!</v>
      </c>
      <c r="N50" s="35" t="e">
        <f t="shared" ca="1" si="29"/>
        <v>#VALUE!</v>
      </c>
      <c r="O50" s="35" t="e">
        <f t="shared" ca="1" si="29"/>
        <v>#VALUE!</v>
      </c>
      <c r="P50" s="35" t="e">
        <f t="shared" ca="1" si="29"/>
        <v>#VALUE!</v>
      </c>
      <c r="Q50" s="35" t="e">
        <f t="shared" ca="1" si="29"/>
        <v>#VALUE!</v>
      </c>
      <c r="R50" s="35" t="e">
        <f t="shared" ca="1" si="29"/>
        <v>#VALUE!</v>
      </c>
      <c r="S50" s="35" t="e">
        <f t="shared" ca="1" si="29"/>
        <v>#VALUE!</v>
      </c>
      <c r="T50" s="35" t="e">
        <f t="shared" ca="1" si="29"/>
        <v>#VALUE!</v>
      </c>
      <c r="U50" s="35" t="e">
        <f t="shared" ca="1" si="29"/>
        <v>#VALUE!</v>
      </c>
      <c r="V50" s="35" t="e">
        <f t="shared" ca="1" si="29"/>
        <v>#VALUE!</v>
      </c>
      <c r="W50" s="77" t="e">
        <f t="shared" ca="1" si="29"/>
        <v>#VALUE!</v>
      </c>
      <c r="X50" s="35" t="e">
        <f t="shared" ca="1" si="29"/>
        <v>#VALUE!</v>
      </c>
      <c r="Y50" s="35" t="e">
        <f t="shared" ca="1" si="29"/>
        <v>#VALUE!</v>
      </c>
      <c r="Z50" s="35" t="e">
        <f t="shared" ca="1" si="29"/>
        <v>#VALUE!</v>
      </c>
      <c r="AA50" s="35" t="e">
        <f t="shared" ca="1" si="29"/>
        <v>#VALUE!</v>
      </c>
      <c r="AB50" s="35" t="e">
        <f t="shared" ca="1" si="29"/>
        <v>#VALUE!</v>
      </c>
      <c r="AC50" s="35" t="e">
        <f t="shared" ca="1" si="29"/>
        <v>#VALUE!</v>
      </c>
      <c r="AD50" s="35" t="e">
        <f t="shared" ca="1" si="29"/>
        <v>#VALUE!</v>
      </c>
      <c r="AE50" s="35" t="e">
        <f t="shared" ca="1" si="29"/>
        <v>#VALUE!</v>
      </c>
      <c r="AF50" s="35" t="e">
        <f t="shared" ca="1" si="29"/>
        <v>#VALUE!</v>
      </c>
      <c r="AG50" s="35" t="e">
        <f t="shared" ca="1" si="29"/>
        <v>#VALUE!</v>
      </c>
      <c r="AH50" s="35" t="e">
        <f t="shared" ca="1" si="29"/>
        <v>#VALUE!</v>
      </c>
      <c r="AI50" s="35" t="e">
        <f t="shared" ca="1" si="29"/>
        <v>#VALUE!</v>
      </c>
      <c r="AJ50" s="35" t="e">
        <f t="shared" ca="1" si="29"/>
        <v>#VALUE!</v>
      </c>
      <c r="AK50" s="35" t="e">
        <f t="shared" ca="1" si="29"/>
        <v>#VALUE!</v>
      </c>
      <c r="AL50" s="35" t="e">
        <f t="shared" ca="1" si="29"/>
        <v>#VALUE!</v>
      </c>
      <c r="AM50" s="35" t="e">
        <f t="shared" ca="1" si="29"/>
        <v>#VALUE!</v>
      </c>
      <c r="AN50" s="35" t="e">
        <f t="shared" ca="1" si="29"/>
        <v>#VALUE!</v>
      </c>
      <c r="AO50" s="35" t="e">
        <f t="shared" ca="1" si="29"/>
        <v>#VALUE!</v>
      </c>
      <c r="AP50" s="35" t="e">
        <f t="shared" ca="1" si="29"/>
        <v>#VALUE!</v>
      </c>
      <c r="AQ50" s="35" t="e">
        <f t="shared" ca="1" si="29"/>
        <v>#VALUE!</v>
      </c>
    </row>
    <row r="51" spans="1:43" ht="10.15" customHeight="1">
      <c r="A51" s="31">
        <f ca="1">A53-$C$12</f>
        <v>45.6</v>
      </c>
      <c r="B51" s="31" t="s">
        <v>71</v>
      </c>
      <c r="C51" s="32" t="e">
        <f t="shared" ref="C51:AQ51" ca="1" si="30">EBlackScholesForward("p",C$20,$A$51,C$22,$C$6,$C$6,$C$7,C$21)</f>
        <v>#VALUE!</v>
      </c>
      <c r="D51" s="32" t="e">
        <f t="shared" ca="1" si="30"/>
        <v>#VALUE!</v>
      </c>
      <c r="E51" s="32" t="e">
        <f t="shared" ca="1" si="30"/>
        <v>#VALUE!</v>
      </c>
      <c r="F51" s="32" t="e">
        <f t="shared" ca="1" si="30"/>
        <v>#VALUE!</v>
      </c>
      <c r="G51" s="32" t="e">
        <f t="shared" ca="1" si="30"/>
        <v>#VALUE!</v>
      </c>
      <c r="H51" s="32" t="e">
        <f t="shared" ca="1" si="30"/>
        <v>#VALUE!</v>
      </c>
      <c r="I51" s="32" t="e">
        <f t="shared" ca="1" si="30"/>
        <v>#VALUE!</v>
      </c>
      <c r="J51" s="32" t="e">
        <f t="shared" ca="1" si="30"/>
        <v>#VALUE!</v>
      </c>
      <c r="K51" s="32" t="e">
        <f t="shared" ca="1" si="30"/>
        <v>#VALUE!</v>
      </c>
      <c r="L51" s="32" t="e">
        <f t="shared" ca="1" si="30"/>
        <v>#VALUE!</v>
      </c>
      <c r="M51" s="32" t="e">
        <f t="shared" ca="1" si="30"/>
        <v>#VALUE!</v>
      </c>
      <c r="N51" s="32" t="e">
        <f t="shared" ca="1" si="30"/>
        <v>#VALUE!</v>
      </c>
      <c r="O51" s="32" t="e">
        <f t="shared" ca="1" si="30"/>
        <v>#VALUE!</v>
      </c>
      <c r="P51" s="32" t="e">
        <f t="shared" ca="1" si="30"/>
        <v>#VALUE!</v>
      </c>
      <c r="Q51" s="32" t="e">
        <f t="shared" ca="1" si="30"/>
        <v>#VALUE!</v>
      </c>
      <c r="R51" s="32" t="e">
        <f t="shared" ca="1" si="30"/>
        <v>#VALUE!</v>
      </c>
      <c r="S51" s="32" t="e">
        <f t="shared" ca="1" si="30"/>
        <v>#VALUE!</v>
      </c>
      <c r="T51" s="32" t="e">
        <f t="shared" ca="1" si="30"/>
        <v>#VALUE!</v>
      </c>
      <c r="U51" s="32" t="e">
        <f t="shared" ca="1" si="30"/>
        <v>#VALUE!</v>
      </c>
      <c r="V51" s="32" t="e">
        <f t="shared" ca="1" si="30"/>
        <v>#VALUE!</v>
      </c>
      <c r="W51" s="76" t="e">
        <f t="shared" ca="1" si="30"/>
        <v>#VALUE!</v>
      </c>
      <c r="X51" s="32" t="e">
        <f t="shared" ca="1" si="30"/>
        <v>#VALUE!</v>
      </c>
      <c r="Y51" s="32" t="e">
        <f t="shared" ca="1" si="30"/>
        <v>#VALUE!</v>
      </c>
      <c r="Z51" s="32" t="e">
        <f t="shared" ca="1" si="30"/>
        <v>#VALUE!</v>
      </c>
      <c r="AA51" s="32" t="e">
        <f t="shared" ca="1" si="30"/>
        <v>#VALUE!</v>
      </c>
      <c r="AB51" s="32" t="e">
        <f t="shared" ca="1" si="30"/>
        <v>#VALUE!</v>
      </c>
      <c r="AC51" s="32" t="e">
        <f t="shared" ca="1" si="30"/>
        <v>#VALUE!</v>
      </c>
      <c r="AD51" s="32" t="e">
        <f t="shared" ca="1" si="30"/>
        <v>#VALUE!</v>
      </c>
      <c r="AE51" s="32" t="e">
        <f t="shared" ca="1" si="30"/>
        <v>#VALUE!</v>
      </c>
      <c r="AF51" s="32" t="e">
        <f t="shared" ca="1" si="30"/>
        <v>#VALUE!</v>
      </c>
      <c r="AG51" s="32" t="e">
        <f t="shared" ca="1" si="30"/>
        <v>#VALUE!</v>
      </c>
      <c r="AH51" s="32" t="e">
        <f t="shared" ca="1" si="30"/>
        <v>#VALUE!</v>
      </c>
      <c r="AI51" s="32" t="e">
        <f t="shared" ca="1" si="30"/>
        <v>#VALUE!</v>
      </c>
      <c r="AJ51" s="32" t="e">
        <f t="shared" ca="1" si="30"/>
        <v>#VALUE!</v>
      </c>
      <c r="AK51" s="32" t="e">
        <f t="shared" ca="1" si="30"/>
        <v>#VALUE!</v>
      </c>
      <c r="AL51" s="32" t="e">
        <f t="shared" ca="1" si="30"/>
        <v>#VALUE!</v>
      </c>
      <c r="AM51" s="32" t="e">
        <f t="shared" ca="1" si="30"/>
        <v>#VALUE!</v>
      </c>
      <c r="AN51" s="32" t="e">
        <f t="shared" ca="1" si="30"/>
        <v>#VALUE!</v>
      </c>
      <c r="AO51" s="32" t="e">
        <f t="shared" ca="1" si="30"/>
        <v>#VALUE!</v>
      </c>
      <c r="AP51" s="32" t="e">
        <f t="shared" ca="1" si="30"/>
        <v>#VALUE!</v>
      </c>
      <c r="AQ51" s="32" t="e">
        <f t="shared" ca="1" si="30"/>
        <v>#VALUE!</v>
      </c>
    </row>
    <row r="52" spans="1:43" ht="10.15" customHeight="1" outlineLevel="1">
      <c r="A52" s="33"/>
      <c r="B52" s="31" t="s">
        <v>74</v>
      </c>
      <c r="C52" s="32" t="e">
        <f t="shared" ref="C52:AQ52" ca="1" si="31">EBlackScholesForward($FA$3,C$20,$A$51,C$22,$C$6,$C$6,$C$7,C$21)</f>
        <v>#VALUE!</v>
      </c>
      <c r="D52" s="32" t="e">
        <f t="shared" ca="1" si="31"/>
        <v>#VALUE!</v>
      </c>
      <c r="E52" s="32" t="e">
        <f t="shared" ca="1" si="31"/>
        <v>#VALUE!</v>
      </c>
      <c r="F52" s="32" t="e">
        <f t="shared" ca="1" si="31"/>
        <v>#VALUE!</v>
      </c>
      <c r="G52" s="32" t="e">
        <f t="shared" ca="1" si="31"/>
        <v>#VALUE!</v>
      </c>
      <c r="H52" s="32" t="e">
        <f t="shared" ca="1" si="31"/>
        <v>#VALUE!</v>
      </c>
      <c r="I52" s="32" t="e">
        <f t="shared" ca="1" si="31"/>
        <v>#VALUE!</v>
      </c>
      <c r="J52" s="32" t="e">
        <f t="shared" ca="1" si="31"/>
        <v>#VALUE!</v>
      </c>
      <c r="K52" s="32" t="e">
        <f t="shared" ca="1" si="31"/>
        <v>#VALUE!</v>
      </c>
      <c r="L52" s="32" t="e">
        <f t="shared" ca="1" si="31"/>
        <v>#VALUE!</v>
      </c>
      <c r="M52" s="32" t="e">
        <f t="shared" ca="1" si="31"/>
        <v>#VALUE!</v>
      </c>
      <c r="N52" s="32" t="e">
        <f t="shared" ca="1" si="31"/>
        <v>#VALUE!</v>
      </c>
      <c r="O52" s="32" t="e">
        <f t="shared" ca="1" si="31"/>
        <v>#VALUE!</v>
      </c>
      <c r="P52" s="32" t="e">
        <f t="shared" ca="1" si="31"/>
        <v>#VALUE!</v>
      </c>
      <c r="Q52" s="32" t="e">
        <f t="shared" ca="1" si="31"/>
        <v>#VALUE!</v>
      </c>
      <c r="R52" s="32" t="e">
        <f t="shared" ca="1" si="31"/>
        <v>#VALUE!</v>
      </c>
      <c r="S52" s="32" t="e">
        <f t="shared" ca="1" si="31"/>
        <v>#VALUE!</v>
      </c>
      <c r="T52" s="32" t="e">
        <f t="shared" ca="1" si="31"/>
        <v>#VALUE!</v>
      </c>
      <c r="U52" s="32" t="e">
        <f t="shared" ca="1" si="31"/>
        <v>#VALUE!</v>
      </c>
      <c r="V52" s="32" t="e">
        <f t="shared" ca="1" si="31"/>
        <v>#VALUE!</v>
      </c>
      <c r="W52" s="76" t="e">
        <f t="shared" ca="1" si="31"/>
        <v>#VALUE!</v>
      </c>
      <c r="X52" s="32" t="e">
        <f t="shared" ca="1" si="31"/>
        <v>#VALUE!</v>
      </c>
      <c r="Y52" s="32" t="e">
        <f t="shared" ca="1" si="31"/>
        <v>#VALUE!</v>
      </c>
      <c r="Z52" s="32" t="e">
        <f t="shared" ca="1" si="31"/>
        <v>#VALUE!</v>
      </c>
      <c r="AA52" s="32" t="e">
        <f t="shared" ca="1" si="31"/>
        <v>#VALUE!</v>
      </c>
      <c r="AB52" s="32" t="e">
        <f t="shared" ca="1" si="31"/>
        <v>#VALUE!</v>
      </c>
      <c r="AC52" s="32" t="e">
        <f t="shared" ca="1" si="31"/>
        <v>#VALUE!</v>
      </c>
      <c r="AD52" s="32" t="e">
        <f t="shared" ca="1" si="31"/>
        <v>#VALUE!</v>
      </c>
      <c r="AE52" s="32" t="e">
        <f t="shared" ca="1" si="31"/>
        <v>#VALUE!</v>
      </c>
      <c r="AF52" s="32" t="e">
        <f t="shared" ca="1" si="31"/>
        <v>#VALUE!</v>
      </c>
      <c r="AG52" s="32" t="e">
        <f t="shared" ca="1" si="31"/>
        <v>#VALUE!</v>
      </c>
      <c r="AH52" s="32" t="e">
        <f t="shared" ca="1" si="31"/>
        <v>#VALUE!</v>
      </c>
      <c r="AI52" s="32" t="e">
        <f t="shared" ca="1" si="31"/>
        <v>#VALUE!</v>
      </c>
      <c r="AJ52" s="32" t="e">
        <f t="shared" ca="1" si="31"/>
        <v>#VALUE!</v>
      </c>
      <c r="AK52" s="32" t="e">
        <f t="shared" ca="1" si="31"/>
        <v>#VALUE!</v>
      </c>
      <c r="AL52" s="32" t="e">
        <f t="shared" ca="1" si="31"/>
        <v>#VALUE!</v>
      </c>
      <c r="AM52" s="32" t="e">
        <f t="shared" ca="1" si="31"/>
        <v>#VALUE!</v>
      </c>
      <c r="AN52" s="32" t="e">
        <f t="shared" ca="1" si="31"/>
        <v>#VALUE!</v>
      </c>
      <c r="AO52" s="32" t="e">
        <f t="shared" ca="1" si="31"/>
        <v>#VALUE!</v>
      </c>
      <c r="AP52" s="32" t="e">
        <f t="shared" ca="1" si="31"/>
        <v>#VALUE!</v>
      </c>
      <c r="AQ52" s="32" t="e">
        <f t="shared" ca="1" si="31"/>
        <v>#VALUE!</v>
      </c>
    </row>
    <row r="53" spans="1:43" ht="10.15" customHeight="1">
      <c r="A53" s="79">
        <f ca="1">C11</f>
        <v>45.65</v>
      </c>
      <c r="B53" s="80" t="s">
        <v>71</v>
      </c>
      <c r="C53" s="81" t="e">
        <f t="shared" ref="C53:AQ53" ca="1" si="32">EBlackScholesForward("p",C$20,$A$53,C$22,$C$6,$C$6,$C$7,C$21)</f>
        <v>#VALUE!</v>
      </c>
      <c r="D53" s="81" t="e">
        <f t="shared" ca="1" si="32"/>
        <v>#VALUE!</v>
      </c>
      <c r="E53" s="81" t="e">
        <f t="shared" ca="1" si="32"/>
        <v>#VALUE!</v>
      </c>
      <c r="F53" s="81" t="e">
        <f t="shared" ca="1" si="32"/>
        <v>#VALUE!</v>
      </c>
      <c r="G53" s="81" t="e">
        <f t="shared" ca="1" si="32"/>
        <v>#VALUE!</v>
      </c>
      <c r="H53" s="81" t="e">
        <f t="shared" ca="1" si="32"/>
        <v>#VALUE!</v>
      </c>
      <c r="I53" s="81" t="e">
        <f t="shared" ca="1" si="32"/>
        <v>#VALUE!</v>
      </c>
      <c r="J53" s="81" t="e">
        <f t="shared" ca="1" si="32"/>
        <v>#VALUE!</v>
      </c>
      <c r="K53" s="81" t="e">
        <f t="shared" ca="1" si="32"/>
        <v>#VALUE!</v>
      </c>
      <c r="L53" s="81" t="e">
        <f t="shared" ca="1" si="32"/>
        <v>#VALUE!</v>
      </c>
      <c r="M53" s="81" t="e">
        <f t="shared" ca="1" si="32"/>
        <v>#VALUE!</v>
      </c>
      <c r="N53" s="81" t="e">
        <f t="shared" ca="1" si="32"/>
        <v>#VALUE!</v>
      </c>
      <c r="O53" s="81" t="e">
        <f t="shared" ca="1" si="32"/>
        <v>#VALUE!</v>
      </c>
      <c r="P53" s="81" t="e">
        <f t="shared" ca="1" si="32"/>
        <v>#VALUE!</v>
      </c>
      <c r="Q53" s="81" t="e">
        <f t="shared" ca="1" si="32"/>
        <v>#VALUE!</v>
      </c>
      <c r="R53" s="81" t="e">
        <f t="shared" ca="1" si="32"/>
        <v>#VALUE!</v>
      </c>
      <c r="S53" s="81" t="e">
        <f t="shared" ca="1" si="32"/>
        <v>#VALUE!</v>
      </c>
      <c r="T53" s="81" t="e">
        <f t="shared" ca="1" si="32"/>
        <v>#VALUE!</v>
      </c>
      <c r="U53" s="81" t="e">
        <f t="shared" ca="1" si="32"/>
        <v>#VALUE!</v>
      </c>
      <c r="V53" s="81" t="e">
        <f t="shared" ca="1" si="32"/>
        <v>#VALUE!</v>
      </c>
      <c r="W53" s="82" t="e">
        <f t="shared" ca="1" si="32"/>
        <v>#VALUE!</v>
      </c>
      <c r="X53" s="81" t="e">
        <f t="shared" ca="1" si="32"/>
        <v>#VALUE!</v>
      </c>
      <c r="Y53" s="81" t="e">
        <f t="shared" ca="1" si="32"/>
        <v>#VALUE!</v>
      </c>
      <c r="Z53" s="81" t="e">
        <f t="shared" ca="1" si="32"/>
        <v>#VALUE!</v>
      </c>
      <c r="AA53" s="81" t="e">
        <f t="shared" ca="1" si="32"/>
        <v>#VALUE!</v>
      </c>
      <c r="AB53" s="81" t="e">
        <f t="shared" ca="1" si="32"/>
        <v>#VALUE!</v>
      </c>
      <c r="AC53" s="81" t="e">
        <f t="shared" ca="1" si="32"/>
        <v>#VALUE!</v>
      </c>
      <c r="AD53" s="81" t="e">
        <f t="shared" ca="1" si="32"/>
        <v>#VALUE!</v>
      </c>
      <c r="AE53" s="81" t="e">
        <f t="shared" ca="1" si="32"/>
        <v>#VALUE!</v>
      </c>
      <c r="AF53" s="81" t="e">
        <f t="shared" ca="1" si="32"/>
        <v>#VALUE!</v>
      </c>
      <c r="AG53" s="81" t="e">
        <f t="shared" ca="1" si="32"/>
        <v>#VALUE!</v>
      </c>
      <c r="AH53" s="81" t="e">
        <f t="shared" ca="1" si="32"/>
        <v>#VALUE!</v>
      </c>
      <c r="AI53" s="81" t="e">
        <f t="shared" ca="1" si="32"/>
        <v>#VALUE!</v>
      </c>
      <c r="AJ53" s="81" t="e">
        <f t="shared" ca="1" si="32"/>
        <v>#VALUE!</v>
      </c>
      <c r="AK53" s="81" t="e">
        <f t="shared" ca="1" si="32"/>
        <v>#VALUE!</v>
      </c>
      <c r="AL53" s="81" t="e">
        <f t="shared" ca="1" si="32"/>
        <v>#VALUE!</v>
      </c>
      <c r="AM53" s="81" t="e">
        <f t="shared" ca="1" si="32"/>
        <v>#VALUE!</v>
      </c>
      <c r="AN53" s="81" t="e">
        <f t="shared" ca="1" si="32"/>
        <v>#VALUE!</v>
      </c>
      <c r="AO53" s="81" t="e">
        <f t="shared" ca="1" si="32"/>
        <v>#VALUE!</v>
      </c>
      <c r="AP53" s="81" t="e">
        <f t="shared" ca="1" si="32"/>
        <v>#VALUE!</v>
      </c>
      <c r="AQ53" s="83" t="e">
        <f t="shared" ca="1" si="32"/>
        <v>#VALUE!</v>
      </c>
    </row>
    <row r="54" spans="1:43" ht="10.15" customHeight="1" outlineLevel="1">
      <c r="A54" s="84"/>
      <c r="B54" s="85" t="s">
        <v>74</v>
      </c>
      <c r="C54" s="86" t="e">
        <f t="shared" ref="C54:AQ54" ca="1" si="33">EBlackScholesForward($FA$3,C$20,$A$53,C$22,$C$6,$C$6,$C$7,C$21)</f>
        <v>#VALUE!</v>
      </c>
      <c r="D54" s="86" t="e">
        <f t="shared" ca="1" si="33"/>
        <v>#VALUE!</v>
      </c>
      <c r="E54" s="86" t="e">
        <f t="shared" ca="1" si="33"/>
        <v>#VALUE!</v>
      </c>
      <c r="F54" s="86" t="e">
        <f t="shared" ca="1" si="33"/>
        <v>#VALUE!</v>
      </c>
      <c r="G54" s="86" t="e">
        <f t="shared" ca="1" si="33"/>
        <v>#VALUE!</v>
      </c>
      <c r="H54" s="86" t="e">
        <f t="shared" ca="1" si="33"/>
        <v>#VALUE!</v>
      </c>
      <c r="I54" s="86" t="e">
        <f t="shared" ca="1" si="33"/>
        <v>#VALUE!</v>
      </c>
      <c r="J54" s="86" t="e">
        <f t="shared" ca="1" si="33"/>
        <v>#VALUE!</v>
      </c>
      <c r="K54" s="86" t="e">
        <f t="shared" ca="1" si="33"/>
        <v>#VALUE!</v>
      </c>
      <c r="L54" s="86" t="e">
        <f t="shared" ca="1" si="33"/>
        <v>#VALUE!</v>
      </c>
      <c r="M54" s="86" t="e">
        <f t="shared" ca="1" si="33"/>
        <v>#VALUE!</v>
      </c>
      <c r="N54" s="86" t="e">
        <f t="shared" ca="1" si="33"/>
        <v>#VALUE!</v>
      </c>
      <c r="O54" s="86" t="e">
        <f t="shared" ca="1" si="33"/>
        <v>#VALUE!</v>
      </c>
      <c r="P54" s="86" t="e">
        <f t="shared" ca="1" si="33"/>
        <v>#VALUE!</v>
      </c>
      <c r="Q54" s="86" t="e">
        <f t="shared" ca="1" si="33"/>
        <v>#VALUE!</v>
      </c>
      <c r="R54" s="86" t="e">
        <f t="shared" ca="1" si="33"/>
        <v>#VALUE!</v>
      </c>
      <c r="S54" s="86" t="e">
        <f t="shared" ca="1" si="33"/>
        <v>#VALUE!</v>
      </c>
      <c r="T54" s="86" t="e">
        <f t="shared" ca="1" si="33"/>
        <v>#VALUE!</v>
      </c>
      <c r="U54" s="86" t="e">
        <f t="shared" ca="1" si="33"/>
        <v>#VALUE!</v>
      </c>
      <c r="V54" s="86" t="e">
        <f t="shared" ca="1" si="33"/>
        <v>#VALUE!</v>
      </c>
      <c r="W54" s="87" t="e">
        <f t="shared" ca="1" si="33"/>
        <v>#VALUE!</v>
      </c>
      <c r="X54" s="86" t="e">
        <f t="shared" ca="1" si="33"/>
        <v>#VALUE!</v>
      </c>
      <c r="Y54" s="86" t="e">
        <f t="shared" ca="1" si="33"/>
        <v>#VALUE!</v>
      </c>
      <c r="Z54" s="86" t="e">
        <f t="shared" ca="1" si="33"/>
        <v>#VALUE!</v>
      </c>
      <c r="AA54" s="86" t="e">
        <f t="shared" ca="1" si="33"/>
        <v>#VALUE!</v>
      </c>
      <c r="AB54" s="86" t="e">
        <f t="shared" ca="1" si="33"/>
        <v>#VALUE!</v>
      </c>
      <c r="AC54" s="86" t="e">
        <f t="shared" ca="1" si="33"/>
        <v>#VALUE!</v>
      </c>
      <c r="AD54" s="86" t="e">
        <f t="shared" ca="1" si="33"/>
        <v>#VALUE!</v>
      </c>
      <c r="AE54" s="86" t="e">
        <f t="shared" ca="1" si="33"/>
        <v>#VALUE!</v>
      </c>
      <c r="AF54" s="86" t="e">
        <f t="shared" ca="1" si="33"/>
        <v>#VALUE!</v>
      </c>
      <c r="AG54" s="86" t="e">
        <f t="shared" ca="1" si="33"/>
        <v>#VALUE!</v>
      </c>
      <c r="AH54" s="86" t="e">
        <f t="shared" ca="1" si="33"/>
        <v>#VALUE!</v>
      </c>
      <c r="AI54" s="86" t="e">
        <f t="shared" ca="1" si="33"/>
        <v>#VALUE!</v>
      </c>
      <c r="AJ54" s="86" t="e">
        <f t="shared" ca="1" si="33"/>
        <v>#VALUE!</v>
      </c>
      <c r="AK54" s="86" t="e">
        <f t="shared" ca="1" si="33"/>
        <v>#VALUE!</v>
      </c>
      <c r="AL54" s="86" t="e">
        <f t="shared" ca="1" si="33"/>
        <v>#VALUE!</v>
      </c>
      <c r="AM54" s="86" t="e">
        <f t="shared" ca="1" si="33"/>
        <v>#VALUE!</v>
      </c>
      <c r="AN54" s="86" t="e">
        <f t="shared" ca="1" si="33"/>
        <v>#VALUE!</v>
      </c>
      <c r="AO54" s="86" t="e">
        <f t="shared" ca="1" si="33"/>
        <v>#VALUE!</v>
      </c>
      <c r="AP54" s="86" t="e">
        <f t="shared" ca="1" si="33"/>
        <v>#VALUE!</v>
      </c>
      <c r="AQ54" s="88" t="e">
        <f t="shared" ca="1" si="33"/>
        <v>#VALUE!</v>
      </c>
    </row>
    <row r="55" spans="1:43" ht="10.15" customHeight="1">
      <c r="A55" s="31">
        <f ca="1">A53+C12</f>
        <v>45.699999999999996</v>
      </c>
      <c r="B55" s="31" t="s">
        <v>71</v>
      </c>
      <c r="C55" s="32" t="e">
        <f t="shared" ref="C55:AQ55" ca="1" si="34">EBlackScholesForward("p",C$20,$A$55,C$22,$C$6,$C$6,$C$7,C$21)</f>
        <v>#VALUE!</v>
      </c>
      <c r="D55" s="32" t="e">
        <f t="shared" ca="1" si="34"/>
        <v>#VALUE!</v>
      </c>
      <c r="E55" s="32" t="e">
        <f t="shared" ca="1" si="34"/>
        <v>#VALUE!</v>
      </c>
      <c r="F55" s="32" t="e">
        <f t="shared" ca="1" si="34"/>
        <v>#VALUE!</v>
      </c>
      <c r="G55" s="32" t="e">
        <f t="shared" ca="1" si="34"/>
        <v>#VALUE!</v>
      </c>
      <c r="H55" s="32" t="e">
        <f t="shared" ca="1" si="34"/>
        <v>#VALUE!</v>
      </c>
      <c r="I55" s="32" t="e">
        <f t="shared" ca="1" si="34"/>
        <v>#VALUE!</v>
      </c>
      <c r="J55" s="32" t="e">
        <f t="shared" ca="1" si="34"/>
        <v>#VALUE!</v>
      </c>
      <c r="K55" s="32" t="e">
        <f t="shared" ca="1" si="34"/>
        <v>#VALUE!</v>
      </c>
      <c r="L55" s="32" t="e">
        <f t="shared" ca="1" si="34"/>
        <v>#VALUE!</v>
      </c>
      <c r="M55" s="32" t="e">
        <f t="shared" ca="1" si="34"/>
        <v>#VALUE!</v>
      </c>
      <c r="N55" s="32" t="e">
        <f t="shared" ca="1" si="34"/>
        <v>#VALUE!</v>
      </c>
      <c r="O55" s="32" t="e">
        <f t="shared" ca="1" si="34"/>
        <v>#VALUE!</v>
      </c>
      <c r="P55" s="32" t="e">
        <f t="shared" ca="1" si="34"/>
        <v>#VALUE!</v>
      </c>
      <c r="Q55" s="32" t="e">
        <f t="shared" ca="1" si="34"/>
        <v>#VALUE!</v>
      </c>
      <c r="R55" s="32" t="e">
        <f t="shared" ca="1" si="34"/>
        <v>#VALUE!</v>
      </c>
      <c r="S55" s="32" t="e">
        <f t="shared" ca="1" si="34"/>
        <v>#VALUE!</v>
      </c>
      <c r="T55" s="32" t="e">
        <f t="shared" ca="1" si="34"/>
        <v>#VALUE!</v>
      </c>
      <c r="U55" s="32" t="e">
        <f t="shared" ca="1" si="34"/>
        <v>#VALUE!</v>
      </c>
      <c r="V55" s="32" t="e">
        <f t="shared" ca="1" si="34"/>
        <v>#VALUE!</v>
      </c>
      <c r="W55" s="76" t="e">
        <f t="shared" ca="1" si="34"/>
        <v>#VALUE!</v>
      </c>
      <c r="X55" s="32" t="e">
        <f t="shared" ca="1" si="34"/>
        <v>#VALUE!</v>
      </c>
      <c r="Y55" s="32" t="e">
        <f t="shared" ca="1" si="34"/>
        <v>#VALUE!</v>
      </c>
      <c r="Z55" s="32" t="e">
        <f t="shared" ca="1" si="34"/>
        <v>#VALUE!</v>
      </c>
      <c r="AA55" s="32" t="e">
        <f t="shared" ca="1" si="34"/>
        <v>#VALUE!</v>
      </c>
      <c r="AB55" s="32" t="e">
        <f t="shared" ca="1" si="34"/>
        <v>#VALUE!</v>
      </c>
      <c r="AC55" s="32" t="e">
        <f t="shared" ca="1" si="34"/>
        <v>#VALUE!</v>
      </c>
      <c r="AD55" s="32" t="e">
        <f t="shared" ca="1" si="34"/>
        <v>#VALUE!</v>
      </c>
      <c r="AE55" s="32" t="e">
        <f t="shared" ca="1" si="34"/>
        <v>#VALUE!</v>
      </c>
      <c r="AF55" s="32" t="e">
        <f t="shared" ca="1" si="34"/>
        <v>#VALUE!</v>
      </c>
      <c r="AG55" s="32" t="e">
        <f t="shared" ca="1" si="34"/>
        <v>#VALUE!</v>
      </c>
      <c r="AH55" s="32" t="e">
        <f t="shared" ca="1" si="34"/>
        <v>#VALUE!</v>
      </c>
      <c r="AI55" s="32" t="e">
        <f t="shared" ca="1" si="34"/>
        <v>#VALUE!</v>
      </c>
      <c r="AJ55" s="32" t="e">
        <f t="shared" ca="1" si="34"/>
        <v>#VALUE!</v>
      </c>
      <c r="AK55" s="32" t="e">
        <f t="shared" ca="1" si="34"/>
        <v>#VALUE!</v>
      </c>
      <c r="AL55" s="32" t="e">
        <f t="shared" ca="1" si="34"/>
        <v>#VALUE!</v>
      </c>
      <c r="AM55" s="32" t="e">
        <f t="shared" ca="1" si="34"/>
        <v>#VALUE!</v>
      </c>
      <c r="AN55" s="32" t="e">
        <f t="shared" ca="1" si="34"/>
        <v>#VALUE!</v>
      </c>
      <c r="AO55" s="32" t="e">
        <f t="shared" ca="1" si="34"/>
        <v>#VALUE!</v>
      </c>
      <c r="AP55" s="32" t="e">
        <f t="shared" ca="1" si="34"/>
        <v>#VALUE!</v>
      </c>
      <c r="AQ55" s="32" t="e">
        <f t="shared" ca="1" si="34"/>
        <v>#VALUE!</v>
      </c>
    </row>
    <row r="56" spans="1:43" ht="10.15" customHeight="1" outlineLevel="1">
      <c r="A56" s="33"/>
      <c r="B56" s="31" t="s">
        <v>74</v>
      </c>
      <c r="C56" s="32" t="e">
        <f t="shared" ref="C56:AQ56" ca="1" si="35">EBlackScholesForward($FA$3,C$20,$A$55,C$22,$C$6,$C$6,$C$7,C$21)</f>
        <v>#VALUE!</v>
      </c>
      <c r="D56" s="32" t="e">
        <f t="shared" ca="1" si="35"/>
        <v>#VALUE!</v>
      </c>
      <c r="E56" s="32" t="e">
        <f t="shared" ca="1" si="35"/>
        <v>#VALUE!</v>
      </c>
      <c r="F56" s="32" t="e">
        <f t="shared" ca="1" si="35"/>
        <v>#VALUE!</v>
      </c>
      <c r="G56" s="32" t="e">
        <f t="shared" ca="1" si="35"/>
        <v>#VALUE!</v>
      </c>
      <c r="H56" s="32" t="e">
        <f t="shared" ca="1" si="35"/>
        <v>#VALUE!</v>
      </c>
      <c r="I56" s="32" t="e">
        <f t="shared" ca="1" si="35"/>
        <v>#VALUE!</v>
      </c>
      <c r="J56" s="32" t="e">
        <f t="shared" ca="1" si="35"/>
        <v>#VALUE!</v>
      </c>
      <c r="K56" s="32" t="e">
        <f t="shared" ca="1" si="35"/>
        <v>#VALUE!</v>
      </c>
      <c r="L56" s="32" t="e">
        <f t="shared" ca="1" si="35"/>
        <v>#VALUE!</v>
      </c>
      <c r="M56" s="32" t="e">
        <f t="shared" ca="1" si="35"/>
        <v>#VALUE!</v>
      </c>
      <c r="N56" s="32" t="e">
        <f t="shared" ca="1" si="35"/>
        <v>#VALUE!</v>
      </c>
      <c r="O56" s="32" t="e">
        <f t="shared" ca="1" si="35"/>
        <v>#VALUE!</v>
      </c>
      <c r="P56" s="32" t="e">
        <f t="shared" ca="1" si="35"/>
        <v>#VALUE!</v>
      </c>
      <c r="Q56" s="32" t="e">
        <f t="shared" ca="1" si="35"/>
        <v>#VALUE!</v>
      </c>
      <c r="R56" s="32" t="e">
        <f t="shared" ca="1" si="35"/>
        <v>#VALUE!</v>
      </c>
      <c r="S56" s="32" t="e">
        <f t="shared" ca="1" si="35"/>
        <v>#VALUE!</v>
      </c>
      <c r="T56" s="32" t="e">
        <f t="shared" ca="1" si="35"/>
        <v>#VALUE!</v>
      </c>
      <c r="U56" s="32" t="e">
        <f t="shared" ca="1" si="35"/>
        <v>#VALUE!</v>
      </c>
      <c r="V56" s="32" t="e">
        <f t="shared" ca="1" si="35"/>
        <v>#VALUE!</v>
      </c>
      <c r="W56" s="76" t="e">
        <f t="shared" ca="1" si="35"/>
        <v>#VALUE!</v>
      </c>
      <c r="X56" s="32" t="e">
        <f t="shared" ca="1" si="35"/>
        <v>#VALUE!</v>
      </c>
      <c r="Y56" s="32" t="e">
        <f t="shared" ca="1" si="35"/>
        <v>#VALUE!</v>
      </c>
      <c r="Z56" s="32" t="e">
        <f t="shared" ca="1" si="35"/>
        <v>#VALUE!</v>
      </c>
      <c r="AA56" s="32" t="e">
        <f t="shared" ca="1" si="35"/>
        <v>#VALUE!</v>
      </c>
      <c r="AB56" s="32" t="e">
        <f t="shared" ca="1" si="35"/>
        <v>#VALUE!</v>
      </c>
      <c r="AC56" s="32" t="e">
        <f t="shared" ca="1" si="35"/>
        <v>#VALUE!</v>
      </c>
      <c r="AD56" s="32" t="e">
        <f t="shared" ca="1" si="35"/>
        <v>#VALUE!</v>
      </c>
      <c r="AE56" s="32" t="e">
        <f t="shared" ca="1" si="35"/>
        <v>#VALUE!</v>
      </c>
      <c r="AF56" s="32" t="e">
        <f t="shared" ca="1" si="35"/>
        <v>#VALUE!</v>
      </c>
      <c r="AG56" s="32" t="e">
        <f t="shared" ca="1" si="35"/>
        <v>#VALUE!</v>
      </c>
      <c r="AH56" s="32" t="e">
        <f t="shared" ca="1" si="35"/>
        <v>#VALUE!</v>
      </c>
      <c r="AI56" s="32" t="e">
        <f t="shared" ca="1" si="35"/>
        <v>#VALUE!</v>
      </c>
      <c r="AJ56" s="32" t="e">
        <f t="shared" ca="1" si="35"/>
        <v>#VALUE!</v>
      </c>
      <c r="AK56" s="32" t="e">
        <f t="shared" ca="1" si="35"/>
        <v>#VALUE!</v>
      </c>
      <c r="AL56" s="32" t="e">
        <f t="shared" ca="1" si="35"/>
        <v>#VALUE!</v>
      </c>
      <c r="AM56" s="32" t="e">
        <f t="shared" ca="1" si="35"/>
        <v>#VALUE!</v>
      </c>
      <c r="AN56" s="32" t="e">
        <f t="shared" ca="1" si="35"/>
        <v>#VALUE!</v>
      </c>
      <c r="AO56" s="32" t="e">
        <f t="shared" ca="1" si="35"/>
        <v>#VALUE!</v>
      </c>
      <c r="AP56" s="32" t="e">
        <f t="shared" ca="1" si="35"/>
        <v>#VALUE!</v>
      </c>
      <c r="AQ56" s="32" t="e">
        <f t="shared" ca="1" si="35"/>
        <v>#VALUE!</v>
      </c>
    </row>
    <row r="57" spans="1:43" ht="10.15" customHeight="1">
      <c r="A57" s="34">
        <f ca="1">A55+$C$12</f>
        <v>45.749999999999993</v>
      </c>
      <c r="B57" s="34" t="s">
        <v>71</v>
      </c>
      <c r="C57" s="35" t="e">
        <f t="shared" ref="C57:AQ57" ca="1" si="36">EBlackScholesForward("p",C$20,$A$57,C$22,$C$6,$C$6,$C$7,C$21)</f>
        <v>#VALUE!</v>
      </c>
      <c r="D57" s="35" t="e">
        <f t="shared" ca="1" si="36"/>
        <v>#VALUE!</v>
      </c>
      <c r="E57" s="35" t="e">
        <f t="shared" ca="1" si="36"/>
        <v>#VALUE!</v>
      </c>
      <c r="F57" s="35" t="e">
        <f t="shared" ca="1" si="36"/>
        <v>#VALUE!</v>
      </c>
      <c r="G57" s="35" t="e">
        <f t="shared" ca="1" si="36"/>
        <v>#VALUE!</v>
      </c>
      <c r="H57" s="35" t="e">
        <f t="shared" ca="1" si="36"/>
        <v>#VALUE!</v>
      </c>
      <c r="I57" s="35" t="e">
        <f t="shared" ca="1" si="36"/>
        <v>#VALUE!</v>
      </c>
      <c r="J57" s="35" t="e">
        <f t="shared" ca="1" si="36"/>
        <v>#VALUE!</v>
      </c>
      <c r="K57" s="35" t="e">
        <f t="shared" ca="1" si="36"/>
        <v>#VALUE!</v>
      </c>
      <c r="L57" s="35" t="e">
        <f t="shared" ca="1" si="36"/>
        <v>#VALUE!</v>
      </c>
      <c r="M57" s="35" t="e">
        <f t="shared" ca="1" si="36"/>
        <v>#VALUE!</v>
      </c>
      <c r="N57" s="35" t="e">
        <f t="shared" ca="1" si="36"/>
        <v>#VALUE!</v>
      </c>
      <c r="O57" s="35" t="e">
        <f t="shared" ca="1" si="36"/>
        <v>#VALUE!</v>
      </c>
      <c r="P57" s="35" t="e">
        <f t="shared" ca="1" si="36"/>
        <v>#VALUE!</v>
      </c>
      <c r="Q57" s="35" t="e">
        <f t="shared" ca="1" si="36"/>
        <v>#VALUE!</v>
      </c>
      <c r="R57" s="35" t="e">
        <f t="shared" ca="1" si="36"/>
        <v>#VALUE!</v>
      </c>
      <c r="S57" s="35" t="e">
        <f t="shared" ca="1" si="36"/>
        <v>#VALUE!</v>
      </c>
      <c r="T57" s="35" t="e">
        <f t="shared" ca="1" si="36"/>
        <v>#VALUE!</v>
      </c>
      <c r="U57" s="35" t="e">
        <f t="shared" ca="1" si="36"/>
        <v>#VALUE!</v>
      </c>
      <c r="V57" s="35" t="e">
        <f t="shared" ca="1" si="36"/>
        <v>#VALUE!</v>
      </c>
      <c r="W57" s="77" t="e">
        <f t="shared" ca="1" si="36"/>
        <v>#VALUE!</v>
      </c>
      <c r="X57" s="35" t="e">
        <f t="shared" ca="1" si="36"/>
        <v>#VALUE!</v>
      </c>
      <c r="Y57" s="35" t="e">
        <f t="shared" ca="1" si="36"/>
        <v>#VALUE!</v>
      </c>
      <c r="Z57" s="35" t="e">
        <f t="shared" ca="1" si="36"/>
        <v>#VALUE!</v>
      </c>
      <c r="AA57" s="35" t="e">
        <f t="shared" ca="1" si="36"/>
        <v>#VALUE!</v>
      </c>
      <c r="AB57" s="35" t="e">
        <f t="shared" ca="1" si="36"/>
        <v>#VALUE!</v>
      </c>
      <c r="AC57" s="35" t="e">
        <f t="shared" ca="1" si="36"/>
        <v>#VALUE!</v>
      </c>
      <c r="AD57" s="35" t="e">
        <f t="shared" ca="1" si="36"/>
        <v>#VALUE!</v>
      </c>
      <c r="AE57" s="35" t="e">
        <f t="shared" ca="1" si="36"/>
        <v>#VALUE!</v>
      </c>
      <c r="AF57" s="35" t="e">
        <f t="shared" ca="1" si="36"/>
        <v>#VALUE!</v>
      </c>
      <c r="AG57" s="35" t="e">
        <f t="shared" ca="1" si="36"/>
        <v>#VALUE!</v>
      </c>
      <c r="AH57" s="35" t="e">
        <f t="shared" ca="1" si="36"/>
        <v>#VALUE!</v>
      </c>
      <c r="AI57" s="35" t="e">
        <f t="shared" ca="1" si="36"/>
        <v>#VALUE!</v>
      </c>
      <c r="AJ57" s="35" t="e">
        <f t="shared" ca="1" si="36"/>
        <v>#VALUE!</v>
      </c>
      <c r="AK57" s="35" t="e">
        <f t="shared" ca="1" si="36"/>
        <v>#VALUE!</v>
      </c>
      <c r="AL57" s="35" t="e">
        <f t="shared" ca="1" si="36"/>
        <v>#VALUE!</v>
      </c>
      <c r="AM57" s="35" t="e">
        <f t="shared" ca="1" si="36"/>
        <v>#VALUE!</v>
      </c>
      <c r="AN57" s="35" t="e">
        <f t="shared" ca="1" si="36"/>
        <v>#VALUE!</v>
      </c>
      <c r="AO57" s="35" t="e">
        <f t="shared" ca="1" si="36"/>
        <v>#VALUE!</v>
      </c>
      <c r="AP57" s="35" t="e">
        <f t="shared" ca="1" si="36"/>
        <v>#VALUE!</v>
      </c>
      <c r="AQ57" s="35" t="e">
        <f t="shared" ca="1" si="36"/>
        <v>#VALUE!</v>
      </c>
    </row>
    <row r="58" spans="1:43" ht="10.15" customHeight="1" outlineLevel="1">
      <c r="A58" s="36"/>
      <c r="B58" s="34" t="s">
        <v>74</v>
      </c>
      <c r="C58" s="35" t="e">
        <f t="shared" ref="C58:AQ58" ca="1" si="37">EBlackScholesForward($FA$3,C$20,$A$57,C$22,$C$6,$C$6,$C$7,C$21)</f>
        <v>#VALUE!</v>
      </c>
      <c r="D58" s="35" t="e">
        <f t="shared" ca="1" si="37"/>
        <v>#VALUE!</v>
      </c>
      <c r="E58" s="35" t="e">
        <f t="shared" ca="1" si="37"/>
        <v>#VALUE!</v>
      </c>
      <c r="F58" s="35" t="e">
        <f t="shared" ca="1" si="37"/>
        <v>#VALUE!</v>
      </c>
      <c r="G58" s="35" t="e">
        <f t="shared" ca="1" si="37"/>
        <v>#VALUE!</v>
      </c>
      <c r="H58" s="35" t="e">
        <f t="shared" ca="1" si="37"/>
        <v>#VALUE!</v>
      </c>
      <c r="I58" s="35" t="e">
        <f t="shared" ca="1" si="37"/>
        <v>#VALUE!</v>
      </c>
      <c r="J58" s="35" t="e">
        <f t="shared" ca="1" si="37"/>
        <v>#VALUE!</v>
      </c>
      <c r="K58" s="35" t="e">
        <f t="shared" ca="1" si="37"/>
        <v>#VALUE!</v>
      </c>
      <c r="L58" s="35" t="e">
        <f t="shared" ca="1" si="37"/>
        <v>#VALUE!</v>
      </c>
      <c r="M58" s="35" t="e">
        <f t="shared" ca="1" si="37"/>
        <v>#VALUE!</v>
      </c>
      <c r="N58" s="35" t="e">
        <f t="shared" ca="1" si="37"/>
        <v>#VALUE!</v>
      </c>
      <c r="O58" s="35" t="e">
        <f t="shared" ca="1" si="37"/>
        <v>#VALUE!</v>
      </c>
      <c r="P58" s="35" t="e">
        <f t="shared" ca="1" si="37"/>
        <v>#VALUE!</v>
      </c>
      <c r="Q58" s="35" t="e">
        <f t="shared" ca="1" si="37"/>
        <v>#VALUE!</v>
      </c>
      <c r="R58" s="35" t="e">
        <f t="shared" ca="1" si="37"/>
        <v>#VALUE!</v>
      </c>
      <c r="S58" s="35" t="e">
        <f t="shared" ca="1" si="37"/>
        <v>#VALUE!</v>
      </c>
      <c r="T58" s="35" t="e">
        <f t="shared" ca="1" si="37"/>
        <v>#VALUE!</v>
      </c>
      <c r="U58" s="35" t="e">
        <f t="shared" ca="1" si="37"/>
        <v>#VALUE!</v>
      </c>
      <c r="V58" s="35" t="e">
        <f t="shared" ca="1" si="37"/>
        <v>#VALUE!</v>
      </c>
      <c r="W58" s="77" t="e">
        <f t="shared" ca="1" si="37"/>
        <v>#VALUE!</v>
      </c>
      <c r="X58" s="35" t="e">
        <f t="shared" ca="1" si="37"/>
        <v>#VALUE!</v>
      </c>
      <c r="Y58" s="35" t="e">
        <f t="shared" ca="1" si="37"/>
        <v>#VALUE!</v>
      </c>
      <c r="Z58" s="35" t="e">
        <f t="shared" ca="1" si="37"/>
        <v>#VALUE!</v>
      </c>
      <c r="AA58" s="35" t="e">
        <f t="shared" ca="1" si="37"/>
        <v>#VALUE!</v>
      </c>
      <c r="AB58" s="35" t="e">
        <f t="shared" ca="1" si="37"/>
        <v>#VALUE!</v>
      </c>
      <c r="AC58" s="35" t="e">
        <f t="shared" ca="1" si="37"/>
        <v>#VALUE!</v>
      </c>
      <c r="AD58" s="35" t="e">
        <f t="shared" ca="1" si="37"/>
        <v>#VALUE!</v>
      </c>
      <c r="AE58" s="35" t="e">
        <f t="shared" ca="1" si="37"/>
        <v>#VALUE!</v>
      </c>
      <c r="AF58" s="35" t="e">
        <f t="shared" ca="1" si="37"/>
        <v>#VALUE!</v>
      </c>
      <c r="AG58" s="35" t="e">
        <f t="shared" ca="1" si="37"/>
        <v>#VALUE!</v>
      </c>
      <c r="AH58" s="35" t="e">
        <f t="shared" ca="1" si="37"/>
        <v>#VALUE!</v>
      </c>
      <c r="AI58" s="35" t="e">
        <f t="shared" ca="1" si="37"/>
        <v>#VALUE!</v>
      </c>
      <c r="AJ58" s="35" t="e">
        <f t="shared" ca="1" si="37"/>
        <v>#VALUE!</v>
      </c>
      <c r="AK58" s="35" t="e">
        <f t="shared" ca="1" si="37"/>
        <v>#VALUE!</v>
      </c>
      <c r="AL58" s="35" t="e">
        <f t="shared" ca="1" si="37"/>
        <v>#VALUE!</v>
      </c>
      <c r="AM58" s="35" t="e">
        <f t="shared" ca="1" si="37"/>
        <v>#VALUE!</v>
      </c>
      <c r="AN58" s="35" t="e">
        <f t="shared" ca="1" si="37"/>
        <v>#VALUE!</v>
      </c>
      <c r="AO58" s="35" t="e">
        <f t="shared" ca="1" si="37"/>
        <v>#VALUE!</v>
      </c>
      <c r="AP58" s="35" t="e">
        <f t="shared" ca="1" si="37"/>
        <v>#VALUE!</v>
      </c>
      <c r="AQ58" s="35" t="e">
        <f t="shared" ca="1" si="37"/>
        <v>#VALUE!</v>
      </c>
    </row>
    <row r="59" spans="1:43" ht="10.15" customHeight="1">
      <c r="A59" s="31">
        <f ca="1">A57+$C$12</f>
        <v>45.79999999999999</v>
      </c>
      <c r="B59" s="31" t="s">
        <v>71</v>
      </c>
      <c r="C59" s="32" t="e">
        <f t="shared" ref="C59:AQ59" ca="1" si="38">EBlackScholesForward("p",C$20,$A$59,C$22,$C$6,$C$6,$C$7,C$21)</f>
        <v>#VALUE!</v>
      </c>
      <c r="D59" s="32" t="e">
        <f t="shared" ca="1" si="38"/>
        <v>#VALUE!</v>
      </c>
      <c r="E59" s="32" t="e">
        <f t="shared" ca="1" si="38"/>
        <v>#VALUE!</v>
      </c>
      <c r="F59" s="32" t="e">
        <f t="shared" ca="1" si="38"/>
        <v>#VALUE!</v>
      </c>
      <c r="G59" s="32" t="e">
        <f t="shared" ca="1" si="38"/>
        <v>#VALUE!</v>
      </c>
      <c r="H59" s="32" t="e">
        <f t="shared" ca="1" si="38"/>
        <v>#VALUE!</v>
      </c>
      <c r="I59" s="32" t="e">
        <f t="shared" ca="1" si="38"/>
        <v>#VALUE!</v>
      </c>
      <c r="J59" s="32" t="e">
        <f t="shared" ca="1" si="38"/>
        <v>#VALUE!</v>
      </c>
      <c r="K59" s="32" t="e">
        <f t="shared" ca="1" si="38"/>
        <v>#VALUE!</v>
      </c>
      <c r="L59" s="32" t="e">
        <f t="shared" ca="1" si="38"/>
        <v>#VALUE!</v>
      </c>
      <c r="M59" s="32" t="e">
        <f t="shared" ca="1" si="38"/>
        <v>#VALUE!</v>
      </c>
      <c r="N59" s="32" t="e">
        <f t="shared" ca="1" si="38"/>
        <v>#VALUE!</v>
      </c>
      <c r="O59" s="32" t="e">
        <f t="shared" ca="1" si="38"/>
        <v>#VALUE!</v>
      </c>
      <c r="P59" s="32" t="e">
        <f t="shared" ca="1" si="38"/>
        <v>#VALUE!</v>
      </c>
      <c r="Q59" s="32" t="e">
        <f t="shared" ca="1" si="38"/>
        <v>#VALUE!</v>
      </c>
      <c r="R59" s="32" t="e">
        <f t="shared" ca="1" si="38"/>
        <v>#VALUE!</v>
      </c>
      <c r="S59" s="32" t="e">
        <f t="shared" ca="1" si="38"/>
        <v>#VALUE!</v>
      </c>
      <c r="T59" s="32" t="e">
        <f t="shared" ca="1" si="38"/>
        <v>#VALUE!</v>
      </c>
      <c r="U59" s="32" t="e">
        <f t="shared" ca="1" si="38"/>
        <v>#VALUE!</v>
      </c>
      <c r="V59" s="32" t="e">
        <f t="shared" ca="1" si="38"/>
        <v>#VALUE!</v>
      </c>
      <c r="W59" s="76" t="e">
        <f t="shared" ca="1" si="38"/>
        <v>#VALUE!</v>
      </c>
      <c r="X59" s="32" t="e">
        <f t="shared" ca="1" si="38"/>
        <v>#VALUE!</v>
      </c>
      <c r="Y59" s="32" t="e">
        <f t="shared" ca="1" si="38"/>
        <v>#VALUE!</v>
      </c>
      <c r="Z59" s="32" t="e">
        <f t="shared" ca="1" si="38"/>
        <v>#VALUE!</v>
      </c>
      <c r="AA59" s="32" t="e">
        <f t="shared" ca="1" si="38"/>
        <v>#VALUE!</v>
      </c>
      <c r="AB59" s="32" t="e">
        <f t="shared" ca="1" si="38"/>
        <v>#VALUE!</v>
      </c>
      <c r="AC59" s="32" t="e">
        <f t="shared" ca="1" si="38"/>
        <v>#VALUE!</v>
      </c>
      <c r="AD59" s="32" t="e">
        <f t="shared" ca="1" si="38"/>
        <v>#VALUE!</v>
      </c>
      <c r="AE59" s="32" t="e">
        <f t="shared" ca="1" si="38"/>
        <v>#VALUE!</v>
      </c>
      <c r="AF59" s="32" t="e">
        <f t="shared" ca="1" si="38"/>
        <v>#VALUE!</v>
      </c>
      <c r="AG59" s="32" t="e">
        <f t="shared" ca="1" si="38"/>
        <v>#VALUE!</v>
      </c>
      <c r="AH59" s="32" t="e">
        <f t="shared" ca="1" si="38"/>
        <v>#VALUE!</v>
      </c>
      <c r="AI59" s="32" t="e">
        <f t="shared" ca="1" si="38"/>
        <v>#VALUE!</v>
      </c>
      <c r="AJ59" s="32" t="e">
        <f t="shared" ca="1" si="38"/>
        <v>#VALUE!</v>
      </c>
      <c r="AK59" s="32" t="e">
        <f t="shared" ca="1" si="38"/>
        <v>#VALUE!</v>
      </c>
      <c r="AL59" s="32" t="e">
        <f t="shared" ca="1" si="38"/>
        <v>#VALUE!</v>
      </c>
      <c r="AM59" s="32" t="e">
        <f t="shared" ca="1" si="38"/>
        <v>#VALUE!</v>
      </c>
      <c r="AN59" s="32" t="e">
        <f t="shared" ca="1" si="38"/>
        <v>#VALUE!</v>
      </c>
      <c r="AO59" s="32" t="e">
        <f t="shared" ca="1" si="38"/>
        <v>#VALUE!</v>
      </c>
      <c r="AP59" s="32" t="e">
        <f t="shared" ca="1" si="38"/>
        <v>#VALUE!</v>
      </c>
      <c r="AQ59" s="32" t="e">
        <f t="shared" ca="1" si="38"/>
        <v>#VALUE!</v>
      </c>
    </row>
    <row r="60" spans="1:43" ht="10.15" customHeight="1" outlineLevel="1">
      <c r="A60" s="33"/>
      <c r="B60" s="31" t="s">
        <v>74</v>
      </c>
      <c r="C60" s="32" t="e">
        <f t="shared" ref="C60:AQ60" ca="1" si="39">EBlackScholesForward($FA$3,C$20,$A$59,C$22,$C$6,$C$6,$C$7,C$21)</f>
        <v>#VALUE!</v>
      </c>
      <c r="D60" s="32" t="e">
        <f t="shared" ca="1" si="39"/>
        <v>#VALUE!</v>
      </c>
      <c r="E60" s="32" t="e">
        <f t="shared" ca="1" si="39"/>
        <v>#VALUE!</v>
      </c>
      <c r="F60" s="32" t="e">
        <f t="shared" ca="1" si="39"/>
        <v>#VALUE!</v>
      </c>
      <c r="G60" s="32" t="e">
        <f t="shared" ca="1" si="39"/>
        <v>#VALUE!</v>
      </c>
      <c r="H60" s="32" t="e">
        <f t="shared" ca="1" si="39"/>
        <v>#VALUE!</v>
      </c>
      <c r="I60" s="32" t="e">
        <f t="shared" ca="1" si="39"/>
        <v>#VALUE!</v>
      </c>
      <c r="J60" s="32" t="e">
        <f t="shared" ca="1" si="39"/>
        <v>#VALUE!</v>
      </c>
      <c r="K60" s="32" t="e">
        <f t="shared" ca="1" si="39"/>
        <v>#VALUE!</v>
      </c>
      <c r="L60" s="32" t="e">
        <f t="shared" ca="1" si="39"/>
        <v>#VALUE!</v>
      </c>
      <c r="M60" s="32" t="e">
        <f t="shared" ca="1" si="39"/>
        <v>#VALUE!</v>
      </c>
      <c r="N60" s="32" t="e">
        <f t="shared" ca="1" si="39"/>
        <v>#VALUE!</v>
      </c>
      <c r="O60" s="32" t="e">
        <f t="shared" ca="1" si="39"/>
        <v>#VALUE!</v>
      </c>
      <c r="P60" s="32" t="e">
        <f t="shared" ca="1" si="39"/>
        <v>#VALUE!</v>
      </c>
      <c r="Q60" s="32" t="e">
        <f t="shared" ca="1" si="39"/>
        <v>#VALUE!</v>
      </c>
      <c r="R60" s="32" t="e">
        <f t="shared" ca="1" si="39"/>
        <v>#VALUE!</v>
      </c>
      <c r="S60" s="32" t="e">
        <f t="shared" ca="1" si="39"/>
        <v>#VALUE!</v>
      </c>
      <c r="T60" s="32" t="e">
        <f t="shared" ca="1" si="39"/>
        <v>#VALUE!</v>
      </c>
      <c r="U60" s="32" t="e">
        <f t="shared" ca="1" si="39"/>
        <v>#VALUE!</v>
      </c>
      <c r="V60" s="32" t="e">
        <f t="shared" ca="1" si="39"/>
        <v>#VALUE!</v>
      </c>
      <c r="W60" s="76" t="e">
        <f t="shared" ca="1" si="39"/>
        <v>#VALUE!</v>
      </c>
      <c r="X60" s="32" t="e">
        <f t="shared" ca="1" si="39"/>
        <v>#VALUE!</v>
      </c>
      <c r="Y60" s="32" t="e">
        <f t="shared" ca="1" si="39"/>
        <v>#VALUE!</v>
      </c>
      <c r="Z60" s="32" t="e">
        <f t="shared" ca="1" si="39"/>
        <v>#VALUE!</v>
      </c>
      <c r="AA60" s="32" t="e">
        <f t="shared" ca="1" si="39"/>
        <v>#VALUE!</v>
      </c>
      <c r="AB60" s="32" t="e">
        <f t="shared" ca="1" si="39"/>
        <v>#VALUE!</v>
      </c>
      <c r="AC60" s="32" t="e">
        <f t="shared" ca="1" si="39"/>
        <v>#VALUE!</v>
      </c>
      <c r="AD60" s="32" t="e">
        <f t="shared" ca="1" si="39"/>
        <v>#VALUE!</v>
      </c>
      <c r="AE60" s="32" t="e">
        <f t="shared" ca="1" si="39"/>
        <v>#VALUE!</v>
      </c>
      <c r="AF60" s="32" t="e">
        <f t="shared" ca="1" si="39"/>
        <v>#VALUE!</v>
      </c>
      <c r="AG60" s="32" t="e">
        <f t="shared" ca="1" si="39"/>
        <v>#VALUE!</v>
      </c>
      <c r="AH60" s="32" t="e">
        <f t="shared" ca="1" si="39"/>
        <v>#VALUE!</v>
      </c>
      <c r="AI60" s="32" t="e">
        <f t="shared" ca="1" si="39"/>
        <v>#VALUE!</v>
      </c>
      <c r="AJ60" s="32" t="e">
        <f t="shared" ca="1" si="39"/>
        <v>#VALUE!</v>
      </c>
      <c r="AK60" s="32" t="e">
        <f t="shared" ca="1" si="39"/>
        <v>#VALUE!</v>
      </c>
      <c r="AL60" s="32" t="e">
        <f t="shared" ca="1" si="39"/>
        <v>#VALUE!</v>
      </c>
      <c r="AM60" s="32" t="e">
        <f t="shared" ca="1" si="39"/>
        <v>#VALUE!</v>
      </c>
      <c r="AN60" s="32" t="e">
        <f t="shared" ca="1" si="39"/>
        <v>#VALUE!</v>
      </c>
      <c r="AO60" s="32" t="e">
        <f t="shared" ca="1" si="39"/>
        <v>#VALUE!</v>
      </c>
      <c r="AP60" s="32" t="e">
        <f t="shared" ca="1" si="39"/>
        <v>#VALUE!</v>
      </c>
      <c r="AQ60" s="32" t="e">
        <f t="shared" ca="1" si="39"/>
        <v>#VALUE!</v>
      </c>
    </row>
    <row r="61" spans="1:43" ht="10.15" customHeight="1">
      <c r="A61" s="34">
        <f ca="1">A59+$C$12</f>
        <v>45.849999999999987</v>
      </c>
      <c r="B61" s="34" t="s">
        <v>71</v>
      </c>
      <c r="C61" s="35" t="e">
        <f t="shared" ref="C61:AQ61" ca="1" si="40">EBlackScholesForward("p",C$20,$A$61,C$22,$C$6,$C$6,$C$7,C$21)</f>
        <v>#VALUE!</v>
      </c>
      <c r="D61" s="35" t="e">
        <f t="shared" ca="1" si="40"/>
        <v>#VALUE!</v>
      </c>
      <c r="E61" s="35" t="e">
        <f t="shared" ca="1" si="40"/>
        <v>#VALUE!</v>
      </c>
      <c r="F61" s="35" t="e">
        <f t="shared" ca="1" si="40"/>
        <v>#VALUE!</v>
      </c>
      <c r="G61" s="35" t="e">
        <f t="shared" ca="1" si="40"/>
        <v>#VALUE!</v>
      </c>
      <c r="H61" s="35" t="e">
        <f t="shared" ca="1" si="40"/>
        <v>#VALUE!</v>
      </c>
      <c r="I61" s="35" t="e">
        <f t="shared" ca="1" si="40"/>
        <v>#VALUE!</v>
      </c>
      <c r="J61" s="35" t="e">
        <f t="shared" ca="1" si="40"/>
        <v>#VALUE!</v>
      </c>
      <c r="K61" s="35" t="e">
        <f t="shared" ca="1" si="40"/>
        <v>#VALUE!</v>
      </c>
      <c r="L61" s="35" t="e">
        <f t="shared" ca="1" si="40"/>
        <v>#VALUE!</v>
      </c>
      <c r="M61" s="35" t="e">
        <f t="shared" ca="1" si="40"/>
        <v>#VALUE!</v>
      </c>
      <c r="N61" s="35" t="e">
        <f t="shared" ca="1" si="40"/>
        <v>#VALUE!</v>
      </c>
      <c r="O61" s="35" t="e">
        <f t="shared" ca="1" si="40"/>
        <v>#VALUE!</v>
      </c>
      <c r="P61" s="35" t="e">
        <f t="shared" ca="1" si="40"/>
        <v>#VALUE!</v>
      </c>
      <c r="Q61" s="35" t="e">
        <f t="shared" ca="1" si="40"/>
        <v>#VALUE!</v>
      </c>
      <c r="R61" s="35" t="e">
        <f t="shared" ca="1" si="40"/>
        <v>#VALUE!</v>
      </c>
      <c r="S61" s="35" t="e">
        <f t="shared" ca="1" si="40"/>
        <v>#VALUE!</v>
      </c>
      <c r="T61" s="35" t="e">
        <f t="shared" ca="1" si="40"/>
        <v>#VALUE!</v>
      </c>
      <c r="U61" s="35" t="e">
        <f t="shared" ca="1" si="40"/>
        <v>#VALUE!</v>
      </c>
      <c r="V61" s="35" t="e">
        <f t="shared" ca="1" si="40"/>
        <v>#VALUE!</v>
      </c>
      <c r="W61" s="77" t="e">
        <f t="shared" ca="1" si="40"/>
        <v>#VALUE!</v>
      </c>
      <c r="X61" s="35" t="e">
        <f t="shared" ca="1" si="40"/>
        <v>#VALUE!</v>
      </c>
      <c r="Y61" s="35" t="e">
        <f t="shared" ca="1" si="40"/>
        <v>#VALUE!</v>
      </c>
      <c r="Z61" s="35" t="e">
        <f t="shared" ca="1" si="40"/>
        <v>#VALUE!</v>
      </c>
      <c r="AA61" s="35" t="e">
        <f t="shared" ca="1" si="40"/>
        <v>#VALUE!</v>
      </c>
      <c r="AB61" s="35" t="e">
        <f t="shared" ca="1" si="40"/>
        <v>#VALUE!</v>
      </c>
      <c r="AC61" s="35" t="e">
        <f t="shared" ca="1" si="40"/>
        <v>#VALUE!</v>
      </c>
      <c r="AD61" s="35" t="e">
        <f t="shared" ca="1" si="40"/>
        <v>#VALUE!</v>
      </c>
      <c r="AE61" s="35" t="e">
        <f t="shared" ca="1" si="40"/>
        <v>#VALUE!</v>
      </c>
      <c r="AF61" s="35" t="e">
        <f t="shared" ca="1" si="40"/>
        <v>#VALUE!</v>
      </c>
      <c r="AG61" s="35" t="e">
        <f t="shared" ca="1" si="40"/>
        <v>#VALUE!</v>
      </c>
      <c r="AH61" s="35" t="e">
        <f t="shared" ca="1" si="40"/>
        <v>#VALUE!</v>
      </c>
      <c r="AI61" s="35" t="e">
        <f t="shared" ca="1" si="40"/>
        <v>#VALUE!</v>
      </c>
      <c r="AJ61" s="35" t="e">
        <f t="shared" ca="1" si="40"/>
        <v>#VALUE!</v>
      </c>
      <c r="AK61" s="35" t="e">
        <f t="shared" ca="1" si="40"/>
        <v>#VALUE!</v>
      </c>
      <c r="AL61" s="35" t="e">
        <f t="shared" ca="1" si="40"/>
        <v>#VALUE!</v>
      </c>
      <c r="AM61" s="35" t="e">
        <f t="shared" ca="1" si="40"/>
        <v>#VALUE!</v>
      </c>
      <c r="AN61" s="35" t="e">
        <f t="shared" ca="1" si="40"/>
        <v>#VALUE!</v>
      </c>
      <c r="AO61" s="35" t="e">
        <f t="shared" ca="1" si="40"/>
        <v>#VALUE!</v>
      </c>
      <c r="AP61" s="35" t="e">
        <f t="shared" ca="1" si="40"/>
        <v>#VALUE!</v>
      </c>
      <c r="AQ61" s="35" t="e">
        <f t="shared" ca="1" si="40"/>
        <v>#VALUE!</v>
      </c>
    </row>
    <row r="62" spans="1:43" ht="10.15" customHeight="1" outlineLevel="1">
      <c r="A62" s="36"/>
      <c r="B62" s="34" t="s">
        <v>74</v>
      </c>
      <c r="C62" s="35" t="e">
        <f t="shared" ref="C62:AQ62" ca="1" si="41">EBlackScholesForward($FA$3,C$20,$A$61,C$22,$C$6,$C$6,$C$7,C$21)</f>
        <v>#VALUE!</v>
      </c>
      <c r="D62" s="35" t="e">
        <f t="shared" ca="1" si="41"/>
        <v>#VALUE!</v>
      </c>
      <c r="E62" s="35" t="e">
        <f t="shared" ca="1" si="41"/>
        <v>#VALUE!</v>
      </c>
      <c r="F62" s="35" t="e">
        <f t="shared" ca="1" si="41"/>
        <v>#VALUE!</v>
      </c>
      <c r="G62" s="35" t="e">
        <f t="shared" ca="1" si="41"/>
        <v>#VALUE!</v>
      </c>
      <c r="H62" s="35" t="e">
        <f t="shared" ca="1" si="41"/>
        <v>#VALUE!</v>
      </c>
      <c r="I62" s="35" t="e">
        <f t="shared" ca="1" si="41"/>
        <v>#VALUE!</v>
      </c>
      <c r="J62" s="35" t="e">
        <f t="shared" ca="1" si="41"/>
        <v>#VALUE!</v>
      </c>
      <c r="K62" s="35" t="e">
        <f t="shared" ca="1" si="41"/>
        <v>#VALUE!</v>
      </c>
      <c r="L62" s="35" t="e">
        <f t="shared" ca="1" si="41"/>
        <v>#VALUE!</v>
      </c>
      <c r="M62" s="35" t="e">
        <f t="shared" ca="1" si="41"/>
        <v>#VALUE!</v>
      </c>
      <c r="N62" s="35" t="e">
        <f t="shared" ca="1" si="41"/>
        <v>#VALUE!</v>
      </c>
      <c r="O62" s="35" t="e">
        <f t="shared" ca="1" si="41"/>
        <v>#VALUE!</v>
      </c>
      <c r="P62" s="35" t="e">
        <f t="shared" ca="1" si="41"/>
        <v>#VALUE!</v>
      </c>
      <c r="Q62" s="35" t="e">
        <f t="shared" ca="1" si="41"/>
        <v>#VALUE!</v>
      </c>
      <c r="R62" s="35" t="e">
        <f t="shared" ca="1" si="41"/>
        <v>#VALUE!</v>
      </c>
      <c r="S62" s="35" t="e">
        <f t="shared" ca="1" si="41"/>
        <v>#VALUE!</v>
      </c>
      <c r="T62" s="35" t="e">
        <f t="shared" ca="1" si="41"/>
        <v>#VALUE!</v>
      </c>
      <c r="U62" s="35" t="e">
        <f t="shared" ca="1" si="41"/>
        <v>#VALUE!</v>
      </c>
      <c r="V62" s="35" t="e">
        <f t="shared" ca="1" si="41"/>
        <v>#VALUE!</v>
      </c>
      <c r="W62" s="77" t="e">
        <f t="shared" ca="1" si="41"/>
        <v>#VALUE!</v>
      </c>
      <c r="X62" s="35" t="e">
        <f t="shared" ca="1" si="41"/>
        <v>#VALUE!</v>
      </c>
      <c r="Y62" s="35" t="e">
        <f t="shared" ca="1" si="41"/>
        <v>#VALUE!</v>
      </c>
      <c r="Z62" s="35" t="e">
        <f t="shared" ca="1" si="41"/>
        <v>#VALUE!</v>
      </c>
      <c r="AA62" s="35" t="e">
        <f t="shared" ca="1" si="41"/>
        <v>#VALUE!</v>
      </c>
      <c r="AB62" s="35" t="e">
        <f t="shared" ca="1" si="41"/>
        <v>#VALUE!</v>
      </c>
      <c r="AC62" s="35" t="e">
        <f t="shared" ca="1" si="41"/>
        <v>#VALUE!</v>
      </c>
      <c r="AD62" s="35" t="e">
        <f t="shared" ca="1" si="41"/>
        <v>#VALUE!</v>
      </c>
      <c r="AE62" s="35" t="e">
        <f t="shared" ca="1" si="41"/>
        <v>#VALUE!</v>
      </c>
      <c r="AF62" s="35" t="e">
        <f t="shared" ca="1" si="41"/>
        <v>#VALUE!</v>
      </c>
      <c r="AG62" s="35" t="e">
        <f t="shared" ca="1" si="41"/>
        <v>#VALUE!</v>
      </c>
      <c r="AH62" s="35" t="e">
        <f t="shared" ca="1" si="41"/>
        <v>#VALUE!</v>
      </c>
      <c r="AI62" s="35" t="e">
        <f t="shared" ca="1" si="41"/>
        <v>#VALUE!</v>
      </c>
      <c r="AJ62" s="35" t="e">
        <f t="shared" ca="1" si="41"/>
        <v>#VALUE!</v>
      </c>
      <c r="AK62" s="35" t="e">
        <f t="shared" ca="1" si="41"/>
        <v>#VALUE!</v>
      </c>
      <c r="AL62" s="35" t="e">
        <f t="shared" ca="1" si="41"/>
        <v>#VALUE!</v>
      </c>
      <c r="AM62" s="35" t="e">
        <f t="shared" ca="1" si="41"/>
        <v>#VALUE!</v>
      </c>
      <c r="AN62" s="35" t="e">
        <f t="shared" ca="1" si="41"/>
        <v>#VALUE!</v>
      </c>
      <c r="AO62" s="35" t="e">
        <f t="shared" ca="1" si="41"/>
        <v>#VALUE!</v>
      </c>
      <c r="AP62" s="35" t="e">
        <f t="shared" ca="1" si="41"/>
        <v>#VALUE!</v>
      </c>
      <c r="AQ62" s="35" t="e">
        <f t="shared" ca="1" si="41"/>
        <v>#VALUE!</v>
      </c>
    </row>
    <row r="63" spans="1:43" ht="10.15" customHeight="1">
      <c r="A63" s="31">
        <f ca="1">A61+$C$12</f>
        <v>45.899999999999984</v>
      </c>
      <c r="B63" s="31" t="s">
        <v>71</v>
      </c>
      <c r="C63" s="32" t="e">
        <f t="shared" ref="C63:AQ63" ca="1" si="42">EBlackScholesForward("p",C$20,$A$63,C$22,$C$6,$C$6,$C$7,C$21)</f>
        <v>#VALUE!</v>
      </c>
      <c r="D63" s="32" t="e">
        <f t="shared" ca="1" si="42"/>
        <v>#VALUE!</v>
      </c>
      <c r="E63" s="32" t="e">
        <f t="shared" ca="1" si="42"/>
        <v>#VALUE!</v>
      </c>
      <c r="F63" s="32" t="e">
        <f t="shared" ca="1" si="42"/>
        <v>#VALUE!</v>
      </c>
      <c r="G63" s="32" t="e">
        <f t="shared" ca="1" si="42"/>
        <v>#VALUE!</v>
      </c>
      <c r="H63" s="32" t="e">
        <f t="shared" ca="1" si="42"/>
        <v>#VALUE!</v>
      </c>
      <c r="I63" s="32" t="e">
        <f t="shared" ca="1" si="42"/>
        <v>#VALUE!</v>
      </c>
      <c r="J63" s="32" t="e">
        <f t="shared" ca="1" si="42"/>
        <v>#VALUE!</v>
      </c>
      <c r="K63" s="32" t="e">
        <f t="shared" ca="1" si="42"/>
        <v>#VALUE!</v>
      </c>
      <c r="L63" s="32" t="e">
        <f t="shared" ca="1" si="42"/>
        <v>#VALUE!</v>
      </c>
      <c r="M63" s="32" t="e">
        <f t="shared" ca="1" si="42"/>
        <v>#VALUE!</v>
      </c>
      <c r="N63" s="32" t="e">
        <f t="shared" ca="1" si="42"/>
        <v>#VALUE!</v>
      </c>
      <c r="O63" s="32" t="e">
        <f t="shared" ca="1" si="42"/>
        <v>#VALUE!</v>
      </c>
      <c r="P63" s="32" t="e">
        <f t="shared" ca="1" si="42"/>
        <v>#VALUE!</v>
      </c>
      <c r="Q63" s="32" t="e">
        <f t="shared" ca="1" si="42"/>
        <v>#VALUE!</v>
      </c>
      <c r="R63" s="32" t="e">
        <f t="shared" ca="1" si="42"/>
        <v>#VALUE!</v>
      </c>
      <c r="S63" s="32" t="e">
        <f t="shared" ca="1" si="42"/>
        <v>#VALUE!</v>
      </c>
      <c r="T63" s="32" t="e">
        <f t="shared" ca="1" si="42"/>
        <v>#VALUE!</v>
      </c>
      <c r="U63" s="32" t="e">
        <f t="shared" ca="1" si="42"/>
        <v>#VALUE!</v>
      </c>
      <c r="V63" s="32" t="e">
        <f t="shared" ca="1" si="42"/>
        <v>#VALUE!</v>
      </c>
      <c r="W63" s="76" t="e">
        <f t="shared" ca="1" si="42"/>
        <v>#VALUE!</v>
      </c>
      <c r="X63" s="32" t="e">
        <f t="shared" ca="1" si="42"/>
        <v>#VALUE!</v>
      </c>
      <c r="Y63" s="32" t="e">
        <f t="shared" ca="1" si="42"/>
        <v>#VALUE!</v>
      </c>
      <c r="Z63" s="32" t="e">
        <f t="shared" ca="1" si="42"/>
        <v>#VALUE!</v>
      </c>
      <c r="AA63" s="32" t="e">
        <f t="shared" ca="1" si="42"/>
        <v>#VALUE!</v>
      </c>
      <c r="AB63" s="32" t="e">
        <f t="shared" ca="1" si="42"/>
        <v>#VALUE!</v>
      </c>
      <c r="AC63" s="32" t="e">
        <f t="shared" ca="1" si="42"/>
        <v>#VALUE!</v>
      </c>
      <c r="AD63" s="32" t="e">
        <f t="shared" ca="1" si="42"/>
        <v>#VALUE!</v>
      </c>
      <c r="AE63" s="32" t="e">
        <f t="shared" ca="1" si="42"/>
        <v>#VALUE!</v>
      </c>
      <c r="AF63" s="32" t="e">
        <f t="shared" ca="1" si="42"/>
        <v>#VALUE!</v>
      </c>
      <c r="AG63" s="32" t="e">
        <f t="shared" ca="1" si="42"/>
        <v>#VALUE!</v>
      </c>
      <c r="AH63" s="32" t="e">
        <f t="shared" ca="1" si="42"/>
        <v>#VALUE!</v>
      </c>
      <c r="AI63" s="32" t="e">
        <f t="shared" ca="1" si="42"/>
        <v>#VALUE!</v>
      </c>
      <c r="AJ63" s="32" t="e">
        <f t="shared" ca="1" si="42"/>
        <v>#VALUE!</v>
      </c>
      <c r="AK63" s="32" t="e">
        <f t="shared" ca="1" si="42"/>
        <v>#VALUE!</v>
      </c>
      <c r="AL63" s="32" t="e">
        <f t="shared" ca="1" si="42"/>
        <v>#VALUE!</v>
      </c>
      <c r="AM63" s="32" t="e">
        <f t="shared" ca="1" si="42"/>
        <v>#VALUE!</v>
      </c>
      <c r="AN63" s="32" t="e">
        <f t="shared" ca="1" si="42"/>
        <v>#VALUE!</v>
      </c>
      <c r="AO63" s="32" t="e">
        <f t="shared" ca="1" si="42"/>
        <v>#VALUE!</v>
      </c>
      <c r="AP63" s="32" t="e">
        <f t="shared" ca="1" si="42"/>
        <v>#VALUE!</v>
      </c>
      <c r="AQ63" s="32" t="e">
        <f t="shared" ca="1" si="42"/>
        <v>#VALUE!</v>
      </c>
    </row>
    <row r="64" spans="1:43" ht="10.15" customHeight="1" outlineLevel="1">
      <c r="A64" s="33"/>
      <c r="B64" s="31" t="s">
        <v>74</v>
      </c>
      <c r="C64" s="32" t="e">
        <f t="shared" ref="C64:AQ64" ca="1" si="43">EBlackScholesForward($FA$3,C$20,$A$63,C$22,$C$6,$C$6,$C$7,C$21)</f>
        <v>#VALUE!</v>
      </c>
      <c r="D64" s="32" t="e">
        <f t="shared" ca="1" si="43"/>
        <v>#VALUE!</v>
      </c>
      <c r="E64" s="32" t="e">
        <f t="shared" ca="1" si="43"/>
        <v>#VALUE!</v>
      </c>
      <c r="F64" s="32" t="e">
        <f t="shared" ca="1" si="43"/>
        <v>#VALUE!</v>
      </c>
      <c r="G64" s="32" t="e">
        <f t="shared" ca="1" si="43"/>
        <v>#VALUE!</v>
      </c>
      <c r="H64" s="32" t="e">
        <f t="shared" ca="1" si="43"/>
        <v>#VALUE!</v>
      </c>
      <c r="I64" s="32" t="e">
        <f t="shared" ca="1" si="43"/>
        <v>#VALUE!</v>
      </c>
      <c r="J64" s="32" t="e">
        <f t="shared" ca="1" si="43"/>
        <v>#VALUE!</v>
      </c>
      <c r="K64" s="32" t="e">
        <f t="shared" ca="1" si="43"/>
        <v>#VALUE!</v>
      </c>
      <c r="L64" s="32" t="e">
        <f t="shared" ca="1" si="43"/>
        <v>#VALUE!</v>
      </c>
      <c r="M64" s="32" t="e">
        <f t="shared" ca="1" si="43"/>
        <v>#VALUE!</v>
      </c>
      <c r="N64" s="32" t="e">
        <f t="shared" ca="1" si="43"/>
        <v>#VALUE!</v>
      </c>
      <c r="O64" s="32" t="e">
        <f t="shared" ca="1" si="43"/>
        <v>#VALUE!</v>
      </c>
      <c r="P64" s="32" t="e">
        <f t="shared" ca="1" si="43"/>
        <v>#VALUE!</v>
      </c>
      <c r="Q64" s="32" t="e">
        <f t="shared" ca="1" si="43"/>
        <v>#VALUE!</v>
      </c>
      <c r="R64" s="32" t="e">
        <f t="shared" ca="1" si="43"/>
        <v>#VALUE!</v>
      </c>
      <c r="S64" s="32" t="e">
        <f t="shared" ca="1" si="43"/>
        <v>#VALUE!</v>
      </c>
      <c r="T64" s="32" t="e">
        <f t="shared" ca="1" si="43"/>
        <v>#VALUE!</v>
      </c>
      <c r="U64" s="32" t="e">
        <f t="shared" ca="1" si="43"/>
        <v>#VALUE!</v>
      </c>
      <c r="V64" s="32" t="e">
        <f t="shared" ca="1" si="43"/>
        <v>#VALUE!</v>
      </c>
      <c r="W64" s="76" t="e">
        <f t="shared" ca="1" si="43"/>
        <v>#VALUE!</v>
      </c>
      <c r="X64" s="32" t="e">
        <f t="shared" ca="1" si="43"/>
        <v>#VALUE!</v>
      </c>
      <c r="Y64" s="32" t="e">
        <f t="shared" ca="1" si="43"/>
        <v>#VALUE!</v>
      </c>
      <c r="Z64" s="32" t="e">
        <f t="shared" ca="1" si="43"/>
        <v>#VALUE!</v>
      </c>
      <c r="AA64" s="32" t="e">
        <f t="shared" ca="1" si="43"/>
        <v>#VALUE!</v>
      </c>
      <c r="AB64" s="32" t="e">
        <f t="shared" ca="1" si="43"/>
        <v>#VALUE!</v>
      </c>
      <c r="AC64" s="32" t="e">
        <f t="shared" ca="1" si="43"/>
        <v>#VALUE!</v>
      </c>
      <c r="AD64" s="32" t="e">
        <f t="shared" ca="1" si="43"/>
        <v>#VALUE!</v>
      </c>
      <c r="AE64" s="32" t="e">
        <f t="shared" ca="1" si="43"/>
        <v>#VALUE!</v>
      </c>
      <c r="AF64" s="32" t="e">
        <f t="shared" ca="1" si="43"/>
        <v>#VALUE!</v>
      </c>
      <c r="AG64" s="32" t="e">
        <f t="shared" ca="1" si="43"/>
        <v>#VALUE!</v>
      </c>
      <c r="AH64" s="32" t="e">
        <f t="shared" ca="1" si="43"/>
        <v>#VALUE!</v>
      </c>
      <c r="AI64" s="32" t="e">
        <f t="shared" ca="1" si="43"/>
        <v>#VALUE!</v>
      </c>
      <c r="AJ64" s="32" t="e">
        <f t="shared" ca="1" si="43"/>
        <v>#VALUE!</v>
      </c>
      <c r="AK64" s="32" t="e">
        <f t="shared" ca="1" si="43"/>
        <v>#VALUE!</v>
      </c>
      <c r="AL64" s="32" t="e">
        <f t="shared" ca="1" si="43"/>
        <v>#VALUE!</v>
      </c>
      <c r="AM64" s="32" t="e">
        <f t="shared" ca="1" si="43"/>
        <v>#VALUE!</v>
      </c>
      <c r="AN64" s="32" t="e">
        <f t="shared" ca="1" si="43"/>
        <v>#VALUE!</v>
      </c>
      <c r="AO64" s="32" t="e">
        <f t="shared" ca="1" si="43"/>
        <v>#VALUE!</v>
      </c>
      <c r="AP64" s="32" t="e">
        <f t="shared" ca="1" si="43"/>
        <v>#VALUE!</v>
      </c>
      <c r="AQ64" s="32" t="e">
        <f t="shared" ca="1" si="43"/>
        <v>#VALUE!</v>
      </c>
    </row>
    <row r="65" spans="1:43" ht="10.15" customHeight="1">
      <c r="A65" s="34">
        <f ca="1">A63+$C$12</f>
        <v>45.949999999999982</v>
      </c>
      <c r="B65" s="34" t="s">
        <v>71</v>
      </c>
      <c r="C65" s="35" t="e">
        <f t="shared" ref="C65:AQ65" ca="1" si="44">EBlackScholesForward("p",C$20,$A$65,C$22,$C$6,$C$6,$C$7,C$21)</f>
        <v>#VALUE!</v>
      </c>
      <c r="D65" s="35" t="e">
        <f t="shared" ca="1" si="44"/>
        <v>#VALUE!</v>
      </c>
      <c r="E65" s="35" t="e">
        <f t="shared" ca="1" si="44"/>
        <v>#VALUE!</v>
      </c>
      <c r="F65" s="35" t="e">
        <f t="shared" ca="1" si="44"/>
        <v>#VALUE!</v>
      </c>
      <c r="G65" s="35" t="e">
        <f t="shared" ca="1" si="44"/>
        <v>#VALUE!</v>
      </c>
      <c r="H65" s="35" t="e">
        <f t="shared" ca="1" si="44"/>
        <v>#VALUE!</v>
      </c>
      <c r="I65" s="35" t="e">
        <f t="shared" ca="1" si="44"/>
        <v>#VALUE!</v>
      </c>
      <c r="J65" s="35" t="e">
        <f t="shared" ca="1" si="44"/>
        <v>#VALUE!</v>
      </c>
      <c r="K65" s="35" t="e">
        <f t="shared" ca="1" si="44"/>
        <v>#VALUE!</v>
      </c>
      <c r="L65" s="35" t="e">
        <f t="shared" ca="1" si="44"/>
        <v>#VALUE!</v>
      </c>
      <c r="M65" s="35" t="e">
        <f t="shared" ca="1" si="44"/>
        <v>#VALUE!</v>
      </c>
      <c r="N65" s="35" t="e">
        <f t="shared" ca="1" si="44"/>
        <v>#VALUE!</v>
      </c>
      <c r="O65" s="35" t="e">
        <f t="shared" ca="1" si="44"/>
        <v>#VALUE!</v>
      </c>
      <c r="P65" s="35" t="e">
        <f t="shared" ca="1" si="44"/>
        <v>#VALUE!</v>
      </c>
      <c r="Q65" s="35" t="e">
        <f t="shared" ca="1" si="44"/>
        <v>#VALUE!</v>
      </c>
      <c r="R65" s="35" t="e">
        <f t="shared" ca="1" si="44"/>
        <v>#VALUE!</v>
      </c>
      <c r="S65" s="35" t="e">
        <f t="shared" ca="1" si="44"/>
        <v>#VALUE!</v>
      </c>
      <c r="T65" s="35" t="e">
        <f t="shared" ca="1" si="44"/>
        <v>#VALUE!</v>
      </c>
      <c r="U65" s="35" t="e">
        <f t="shared" ca="1" si="44"/>
        <v>#VALUE!</v>
      </c>
      <c r="V65" s="35" t="e">
        <f t="shared" ca="1" si="44"/>
        <v>#VALUE!</v>
      </c>
      <c r="W65" s="77" t="e">
        <f t="shared" ca="1" si="44"/>
        <v>#VALUE!</v>
      </c>
      <c r="X65" s="35" t="e">
        <f t="shared" ca="1" si="44"/>
        <v>#VALUE!</v>
      </c>
      <c r="Y65" s="35" t="e">
        <f t="shared" ca="1" si="44"/>
        <v>#VALUE!</v>
      </c>
      <c r="Z65" s="35" t="e">
        <f t="shared" ca="1" si="44"/>
        <v>#VALUE!</v>
      </c>
      <c r="AA65" s="35" t="e">
        <f t="shared" ca="1" si="44"/>
        <v>#VALUE!</v>
      </c>
      <c r="AB65" s="35" t="e">
        <f t="shared" ca="1" si="44"/>
        <v>#VALUE!</v>
      </c>
      <c r="AC65" s="35" t="e">
        <f t="shared" ca="1" si="44"/>
        <v>#VALUE!</v>
      </c>
      <c r="AD65" s="35" t="e">
        <f t="shared" ca="1" si="44"/>
        <v>#VALUE!</v>
      </c>
      <c r="AE65" s="35" t="e">
        <f t="shared" ca="1" si="44"/>
        <v>#VALUE!</v>
      </c>
      <c r="AF65" s="35" t="e">
        <f t="shared" ca="1" si="44"/>
        <v>#VALUE!</v>
      </c>
      <c r="AG65" s="35" t="e">
        <f t="shared" ca="1" si="44"/>
        <v>#VALUE!</v>
      </c>
      <c r="AH65" s="35" t="e">
        <f t="shared" ca="1" si="44"/>
        <v>#VALUE!</v>
      </c>
      <c r="AI65" s="35" t="e">
        <f t="shared" ca="1" si="44"/>
        <v>#VALUE!</v>
      </c>
      <c r="AJ65" s="35" t="e">
        <f t="shared" ca="1" si="44"/>
        <v>#VALUE!</v>
      </c>
      <c r="AK65" s="35" t="e">
        <f t="shared" ca="1" si="44"/>
        <v>#VALUE!</v>
      </c>
      <c r="AL65" s="35" t="e">
        <f t="shared" ca="1" si="44"/>
        <v>#VALUE!</v>
      </c>
      <c r="AM65" s="35" t="e">
        <f t="shared" ca="1" si="44"/>
        <v>#VALUE!</v>
      </c>
      <c r="AN65" s="35" t="e">
        <f t="shared" ca="1" si="44"/>
        <v>#VALUE!</v>
      </c>
      <c r="AO65" s="35" t="e">
        <f t="shared" ca="1" si="44"/>
        <v>#VALUE!</v>
      </c>
      <c r="AP65" s="35" t="e">
        <f t="shared" ca="1" si="44"/>
        <v>#VALUE!</v>
      </c>
      <c r="AQ65" s="35" t="e">
        <f t="shared" ca="1" si="44"/>
        <v>#VALUE!</v>
      </c>
    </row>
    <row r="66" spans="1:43" ht="10.15" customHeight="1" outlineLevel="1">
      <c r="A66" s="36"/>
      <c r="B66" s="34" t="s">
        <v>74</v>
      </c>
      <c r="C66" s="35" t="e">
        <f ca="1">EBlackScholesForward("d",C$20,$A$65,C$22,$C$6,$C$6,$C$7,C$21)</f>
        <v>#VALUE!</v>
      </c>
      <c r="D66" s="35" t="e">
        <f t="shared" ref="D66:AQ66" ca="1" si="45">EBlackScholesForward($FA$3,D$20,$A$65,D$22,$C$6,$C$6,$C$7,D$21)</f>
        <v>#VALUE!</v>
      </c>
      <c r="E66" s="35" t="e">
        <f t="shared" ca="1" si="45"/>
        <v>#VALUE!</v>
      </c>
      <c r="F66" s="35" t="e">
        <f t="shared" ca="1" si="45"/>
        <v>#VALUE!</v>
      </c>
      <c r="G66" s="35" t="e">
        <f t="shared" ca="1" si="45"/>
        <v>#VALUE!</v>
      </c>
      <c r="H66" s="35" t="e">
        <f t="shared" ca="1" si="45"/>
        <v>#VALUE!</v>
      </c>
      <c r="I66" s="35" t="e">
        <f t="shared" ca="1" si="45"/>
        <v>#VALUE!</v>
      </c>
      <c r="J66" s="35" t="e">
        <f t="shared" ca="1" si="45"/>
        <v>#VALUE!</v>
      </c>
      <c r="K66" s="35" t="e">
        <f t="shared" ca="1" si="45"/>
        <v>#VALUE!</v>
      </c>
      <c r="L66" s="35" t="e">
        <f t="shared" ca="1" si="45"/>
        <v>#VALUE!</v>
      </c>
      <c r="M66" s="35" t="e">
        <f t="shared" ca="1" si="45"/>
        <v>#VALUE!</v>
      </c>
      <c r="N66" s="35" t="e">
        <f t="shared" ca="1" si="45"/>
        <v>#VALUE!</v>
      </c>
      <c r="O66" s="35" t="e">
        <f t="shared" ca="1" si="45"/>
        <v>#VALUE!</v>
      </c>
      <c r="P66" s="35" t="e">
        <f t="shared" ca="1" si="45"/>
        <v>#VALUE!</v>
      </c>
      <c r="Q66" s="35" t="e">
        <f t="shared" ca="1" si="45"/>
        <v>#VALUE!</v>
      </c>
      <c r="R66" s="35" t="e">
        <f t="shared" ca="1" si="45"/>
        <v>#VALUE!</v>
      </c>
      <c r="S66" s="35" t="e">
        <f t="shared" ca="1" si="45"/>
        <v>#VALUE!</v>
      </c>
      <c r="T66" s="35" t="e">
        <f t="shared" ca="1" si="45"/>
        <v>#VALUE!</v>
      </c>
      <c r="U66" s="35" t="e">
        <f t="shared" ca="1" si="45"/>
        <v>#VALUE!</v>
      </c>
      <c r="V66" s="35" t="e">
        <f t="shared" ca="1" si="45"/>
        <v>#VALUE!</v>
      </c>
      <c r="W66" s="77" t="e">
        <f t="shared" ca="1" si="45"/>
        <v>#VALUE!</v>
      </c>
      <c r="X66" s="35" t="e">
        <f t="shared" ca="1" si="45"/>
        <v>#VALUE!</v>
      </c>
      <c r="Y66" s="35" t="e">
        <f t="shared" ca="1" si="45"/>
        <v>#VALUE!</v>
      </c>
      <c r="Z66" s="35" t="e">
        <f t="shared" ca="1" si="45"/>
        <v>#VALUE!</v>
      </c>
      <c r="AA66" s="35" t="e">
        <f t="shared" ca="1" si="45"/>
        <v>#VALUE!</v>
      </c>
      <c r="AB66" s="35" t="e">
        <f t="shared" ca="1" si="45"/>
        <v>#VALUE!</v>
      </c>
      <c r="AC66" s="35" t="e">
        <f t="shared" ca="1" si="45"/>
        <v>#VALUE!</v>
      </c>
      <c r="AD66" s="35" t="e">
        <f t="shared" ca="1" si="45"/>
        <v>#VALUE!</v>
      </c>
      <c r="AE66" s="35" t="e">
        <f t="shared" ca="1" si="45"/>
        <v>#VALUE!</v>
      </c>
      <c r="AF66" s="35" t="e">
        <f t="shared" ca="1" si="45"/>
        <v>#VALUE!</v>
      </c>
      <c r="AG66" s="35" t="e">
        <f t="shared" ca="1" si="45"/>
        <v>#VALUE!</v>
      </c>
      <c r="AH66" s="35" t="e">
        <f t="shared" ca="1" si="45"/>
        <v>#VALUE!</v>
      </c>
      <c r="AI66" s="35" t="e">
        <f t="shared" ca="1" si="45"/>
        <v>#VALUE!</v>
      </c>
      <c r="AJ66" s="35" t="e">
        <f t="shared" ca="1" si="45"/>
        <v>#VALUE!</v>
      </c>
      <c r="AK66" s="35" t="e">
        <f t="shared" ca="1" si="45"/>
        <v>#VALUE!</v>
      </c>
      <c r="AL66" s="35" t="e">
        <f t="shared" ca="1" si="45"/>
        <v>#VALUE!</v>
      </c>
      <c r="AM66" s="35" t="e">
        <f t="shared" ca="1" si="45"/>
        <v>#VALUE!</v>
      </c>
      <c r="AN66" s="35" t="e">
        <f t="shared" ca="1" si="45"/>
        <v>#VALUE!</v>
      </c>
      <c r="AO66" s="35" t="e">
        <f t="shared" ca="1" si="45"/>
        <v>#VALUE!</v>
      </c>
      <c r="AP66" s="35" t="e">
        <f t="shared" ca="1" si="45"/>
        <v>#VALUE!</v>
      </c>
      <c r="AQ66" s="35" t="e">
        <f t="shared" ca="1" si="45"/>
        <v>#VALUE!</v>
      </c>
    </row>
    <row r="67" spans="1:43" ht="10.15" customHeight="1">
      <c r="A67" s="31">
        <f ca="1">A65+$C$12</f>
        <v>45.999999999999979</v>
      </c>
      <c r="B67" s="31" t="s">
        <v>71</v>
      </c>
      <c r="C67" s="32" t="e">
        <f t="shared" ref="C67:AQ67" ca="1" si="46">EBlackScholesForward("p",C$20,$A$67,C$22,$C$6,$C$6,$C$7,C$21)</f>
        <v>#VALUE!</v>
      </c>
      <c r="D67" s="32" t="e">
        <f t="shared" ca="1" si="46"/>
        <v>#VALUE!</v>
      </c>
      <c r="E67" s="32" t="e">
        <f t="shared" ca="1" si="46"/>
        <v>#VALUE!</v>
      </c>
      <c r="F67" s="32" t="e">
        <f t="shared" ca="1" si="46"/>
        <v>#VALUE!</v>
      </c>
      <c r="G67" s="32" t="e">
        <f t="shared" ca="1" si="46"/>
        <v>#VALUE!</v>
      </c>
      <c r="H67" s="32" t="e">
        <f t="shared" ca="1" si="46"/>
        <v>#VALUE!</v>
      </c>
      <c r="I67" s="32" t="e">
        <f t="shared" ca="1" si="46"/>
        <v>#VALUE!</v>
      </c>
      <c r="J67" s="32" t="e">
        <f t="shared" ca="1" si="46"/>
        <v>#VALUE!</v>
      </c>
      <c r="K67" s="32" t="e">
        <f t="shared" ca="1" si="46"/>
        <v>#VALUE!</v>
      </c>
      <c r="L67" s="32" t="e">
        <f t="shared" ca="1" si="46"/>
        <v>#VALUE!</v>
      </c>
      <c r="M67" s="32" t="e">
        <f t="shared" ca="1" si="46"/>
        <v>#VALUE!</v>
      </c>
      <c r="N67" s="32" t="e">
        <f t="shared" ca="1" si="46"/>
        <v>#VALUE!</v>
      </c>
      <c r="O67" s="32" t="e">
        <f t="shared" ca="1" si="46"/>
        <v>#VALUE!</v>
      </c>
      <c r="P67" s="32" t="e">
        <f t="shared" ca="1" si="46"/>
        <v>#VALUE!</v>
      </c>
      <c r="Q67" s="32" t="e">
        <f t="shared" ca="1" si="46"/>
        <v>#VALUE!</v>
      </c>
      <c r="R67" s="32" t="e">
        <f t="shared" ca="1" si="46"/>
        <v>#VALUE!</v>
      </c>
      <c r="S67" s="32" t="e">
        <f t="shared" ca="1" si="46"/>
        <v>#VALUE!</v>
      </c>
      <c r="T67" s="32" t="e">
        <f t="shared" ca="1" si="46"/>
        <v>#VALUE!</v>
      </c>
      <c r="U67" s="32" t="e">
        <f t="shared" ca="1" si="46"/>
        <v>#VALUE!</v>
      </c>
      <c r="V67" s="32" t="e">
        <f t="shared" ca="1" si="46"/>
        <v>#VALUE!</v>
      </c>
      <c r="W67" s="76" t="e">
        <f t="shared" ca="1" si="46"/>
        <v>#VALUE!</v>
      </c>
      <c r="X67" s="32" t="e">
        <f t="shared" ca="1" si="46"/>
        <v>#VALUE!</v>
      </c>
      <c r="Y67" s="32" t="e">
        <f t="shared" ca="1" si="46"/>
        <v>#VALUE!</v>
      </c>
      <c r="Z67" s="32" t="e">
        <f t="shared" ca="1" si="46"/>
        <v>#VALUE!</v>
      </c>
      <c r="AA67" s="32" t="e">
        <f t="shared" ca="1" si="46"/>
        <v>#VALUE!</v>
      </c>
      <c r="AB67" s="32" t="e">
        <f t="shared" ca="1" si="46"/>
        <v>#VALUE!</v>
      </c>
      <c r="AC67" s="32" t="e">
        <f t="shared" ca="1" si="46"/>
        <v>#VALUE!</v>
      </c>
      <c r="AD67" s="32" t="e">
        <f t="shared" ca="1" si="46"/>
        <v>#VALUE!</v>
      </c>
      <c r="AE67" s="32" t="e">
        <f t="shared" ca="1" si="46"/>
        <v>#VALUE!</v>
      </c>
      <c r="AF67" s="32" t="e">
        <f t="shared" ca="1" si="46"/>
        <v>#VALUE!</v>
      </c>
      <c r="AG67" s="32" t="e">
        <f t="shared" ca="1" si="46"/>
        <v>#VALUE!</v>
      </c>
      <c r="AH67" s="32" t="e">
        <f t="shared" ca="1" si="46"/>
        <v>#VALUE!</v>
      </c>
      <c r="AI67" s="32" t="e">
        <f t="shared" ca="1" si="46"/>
        <v>#VALUE!</v>
      </c>
      <c r="AJ67" s="32" t="e">
        <f t="shared" ca="1" si="46"/>
        <v>#VALUE!</v>
      </c>
      <c r="AK67" s="32" t="e">
        <f t="shared" ca="1" si="46"/>
        <v>#VALUE!</v>
      </c>
      <c r="AL67" s="32" t="e">
        <f t="shared" ca="1" si="46"/>
        <v>#VALUE!</v>
      </c>
      <c r="AM67" s="32" t="e">
        <f t="shared" ca="1" si="46"/>
        <v>#VALUE!</v>
      </c>
      <c r="AN67" s="32" t="e">
        <f t="shared" ca="1" si="46"/>
        <v>#VALUE!</v>
      </c>
      <c r="AO67" s="32" t="e">
        <f t="shared" ca="1" si="46"/>
        <v>#VALUE!</v>
      </c>
      <c r="AP67" s="32" t="e">
        <f t="shared" ca="1" si="46"/>
        <v>#VALUE!</v>
      </c>
      <c r="AQ67" s="32" t="e">
        <f t="shared" ca="1" si="46"/>
        <v>#VALUE!</v>
      </c>
    </row>
    <row r="68" spans="1:43" ht="10.15" customHeight="1" outlineLevel="1">
      <c r="A68" s="33"/>
      <c r="B68" s="31" t="s">
        <v>74</v>
      </c>
      <c r="C68" s="32" t="e">
        <f t="shared" ref="C68:AQ68" ca="1" si="47">EBlackScholesForward($FA$3,C$20,$A$67,C$22,$C$6,$C$6,$C$7,C$21)</f>
        <v>#VALUE!</v>
      </c>
      <c r="D68" s="32" t="e">
        <f t="shared" ca="1" si="47"/>
        <v>#VALUE!</v>
      </c>
      <c r="E68" s="32" t="e">
        <f t="shared" ca="1" si="47"/>
        <v>#VALUE!</v>
      </c>
      <c r="F68" s="32" t="e">
        <f t="shared" ca="1" si="47"/>
        <v>#VALUE!</v>
      </c>
      <c r="G68" s="32" t="e">
        <f t="shared" ca="1" si="47"/>
        <v>#VALUE!</v>
      </c>
      <c r="H68" s="32" t="e">
        <f t="shared" ca="1" si="47"/>
        <v>#VALUE!</v>
      </c>
      <c r="I68" s="32" t="e">
        <f t="shared" ca="1" si="47"/>
        <v>#VALUE!</v>
      </c>
      <c r="J68" s="32" t="e">
        <f t="shared" ca="1" si="47"/>
        <v>#VALUE!</v>
      </c>
      <c r="K68" s="32" t="e">
        <f t="shared" ca="1" si="47"/>
        <v>#VALUE!</v>
      </c>
      <c r="L68" s="32" t="e">
        <f t="shared" ca="1" si="47"/>
        <v>#VALUE!</v>
      </c>
      <c r="M68" s="32" t="e">
        <f t="shared" ca="1" si="47"/>
        <v>#VALUE!</v>
      </c>
      <c r="N68" s="32" t="e">
        <f t="shared" ca="1" si="47"/>
        <v>#VALUE!</v>
      </c>
      <c r="O68" s="32" t="e">
        <f t="shared" ca="1" si="47"/>
        <v>#VALUE!</v>
      </c>
      <c r="P68" s="32" t="e">
        <f t="shared" ca="1" si="47"/>
        <v>#VALUE!</v>
      </c>
      <c r="Q68" s="32" t="e">
        <f t="shared" ca="1" si="47"/>
        <v>#VALUE!</v>
      </c>
      <c r="R68" s="32" t="e">
        <f t="shared" ca="1" si="47"/>
        <v>#VALUE!</v>
      </c>
      <c r="S68" s="32" t="e">
        <f t="shared" ca="1" si="47"/>
        <v>#VALUE!</v>
      </c>
      <c r="T68" s="32" t="e">
        <f t="shared" ca="1" si="47"/>
        <v>#VALUE!</v>
      </c>
      <c r="U68" s="32" t="e">
        <f t="shared" ca="1" si="47"/>
        <v>#VALUE!</v>
      </c>
      <c r="V68" s="32" t="e">
        <f t="shared" ca="1" si="47"/>
        <v>#VALUE!</v>
      </c>
      <c r="W68" s="76" t="e">
        <f t="shared" ca="1" si="47"/>
        <v>#VALUE!</v>
      </c>
      <c r="X68" s="32" t="e">
        <f t="shared" ca="1" si="47"/>
        <v>#VALUE!</v>
      </c>
      <c r="Y68" s="32" t="e">
        <f t="shared" ca="1" si="47"/>
        <v>#VALUE!</v>
      </c>
      <c r="Z68" s="32" t="e">
        <f t="shared" ca="1" si="47"/>
        <v>#VALUE!</v>
      </c>
      <c r="AA68" s="32" t="e">
        <f t="shared" ca="1" si="47"/>
        <v>#VALUE!</v>
      </c>
      <c r="AB68" s="32" t="e">
        <f t="shared" ca="1" si="47"/>
        <v>#VALUE!</v>
      </c>
      <c r="AC68" s="32" t="e">
        <f t="shared" ca="1" si="47"/>
        <v>#VALUE!</v>
      </c>
      <c r="AD68" s="32" t="e">
        <f t="shared" ca="1" si="47"/>
        <v>#VALUE!</v>
      </c>
      <c r="AE68" s="32" t="e">
        <f t="shared" ca="1" si="47"/>
        <v>#VALUE!</v>
      </c>
      <c r="AF68" s="32" t="e">
        <f t="shared" ca="1" si="47"/>
        <v>#VALUE!</v>
      </c>
      <c r="AG68" s="32" t="e">
        <f t="shared" ca="1" si="47"/>
        <v>#VALUE!</v>
      </c>
      <c r="AH68" s="32" t="e">
        <f t="shared" ca="1" si="47"/>
        <v>#VALUE!</v>
      </c>
      <c r="AI68" s="32" t="e">
        <f t="shared" ca="1" si="47"/>
        <v>#VALUE!</v>
      </c>
      <c r="AJ68" s="32" t="e">
        <f t="shared" ca="1" si="47"/>
        <v>#VALUE!</v>
      </c>
      <c r="AK68" s="32" t="e">
        <f t="shared" ca="1" si="47"/>
        <v>#VALUE!</v>
      </c>
      <c r="AL68" s="32" t="e">
        <f t="shared" ca="1" si="47"/>
        <v>#VALUE!</v>
      </c>
      <c r="AM68" s="32" t="e">
        <f t="shared" ca="1" si="47"/>
        <v>#VALUE!</v>
      </c>
      <c r="AN68" s="32" t="e">
        <f t="shared" ca="1" si="47"/>
        <v>#VALUE!</v>
      </c>
      <c r="AO68" s="32" t="e">
        <f t="shared" ca="1" si="47"/>
        <v>#VALUE!</v>
      </c>
      <c r="AP68" s="32" t="e">
        <f t="shared" ca="1" si="47"/>
        <v>#VALUE!</v>
      </c>
      <c r="AQ68" s="32" t="e">
        <f t="shared" ca="1" si="47"/>
        <v>#VALUE!</v>
      </c>
    </row>
    <row r="69" spans="1:43" ht="10.15" customHeight="1">
      <c r="A69" s="34">
        <f ca="1">A67+$C$12</f>
        <v>46.049999999999976</v>
      </c>
      <c r="B69" s="34" t="s">
        <v>71</v>
      </c>
      <c r="C69" s="35" t="e">
        <f t="shared" ref="C69:AQ69" ca="1" si="48">EBlackScholesForward("p",C$20,$A$69,C$22,$C$6,$C$6,$C$7,C$21)</f>
        <v>#VALUE!</v>
      </c>
      <c r="D69" s="35" t="e">
        <f t="shared" ca="1" si="48"/>
        <v>#VALUE!</v>
      </c>
      <c r="E69" s="35" t="e">
        <f t="shared" ca="1" si="48"/>
        <v>#VALUE!</v>
      </c>
      <c r="F69" s="35" t="e">
        <f t="shared" ca="1" si="48"/>
        <v>#VALUE!</v>
      </c>
      <c r="G69" s="35" t="e">
        <f t="shared" ca="1" si="48"/>
        <v>#VALUE!</v>
      </c>
      <c r="H69" s="35" t="e">
        <f t="shared" ca="1" si="48"/>
        <v>#VALUE!</v>
      </c>
      <c r="I69" s="35" t="e">
        <f t="shared" ca="1" si="48"/>
        <v>#VALUE!</v>
      </c>
      <c r="J69" s="35" t="e">
        <f t="shared" ca="1" si="48"/>
        <v>#VALUE!</v>
      </c>
      <c r="K69" s="35" t="e">
        <f t="shared" ca="1" si="48"/>
        <v>#VALUE!</v>
      </c>
      <c r="L69" s="35" t="e">
        <f t="shared" ca="1" si="48"/>
        <v>#VALUE!</v>
      </c>
      <c r="M69" s="35" t="e">
        <f t="shared" ca="1" si="48"/>
        <v>#VALUE!</v>
      </c>
      <c r="N69" s="35" t="e">
        <f t="shared" ca="1" si="48"/>
        <v>#VALUE!</v>
      </c>
      <c r="O69" s="35" t="e">
        <f t="shared" ca="1" si="48"/>
        <v>#VALUE!</v>
      </c>
      <c r="P69" s="35" t="e">
        <f t="shared" ca="1" si="48"/>
        <v>#VALUE!</v>
      </c>
      <c r="Q69" s="35" t="e">
        <f t="shared" ca="1" si="48"/>
        <v>#VALUE!</v>
      </c>
      <c r="R69" s="35" t="e">
        <f t="shared" ca="1" si="48"/>
        <v>#VALUE!</v>
      </c>
      <c r="S69" s="35" t="e">
        <f t="shared" ca="1" si="48"/>
        <v>#VALUE!</v>
      </c>
      <c r="T69" s="35" t="e">
        <f t="shared" ca="1" si="48"/>
        <v>#VALUE!</v>
      </c>
      <c r="U69" s="35" t="e">
        <f t="shared" ca="1" si="48"/>
        <v>#VALUE!</v>
      </c>
      <c r="V69" s="35" t="e">
        <f t="shared" ca="1" si="48"/>
        <v>#VALUE!</v>
      </c>
      <c r="W69" s="77" t="e">
        <f t="shared" ca="1" si="48"/>
        <v>#VALUE!</v>
      </c>
      <c r="X69" s="35" t="e">
        <f t="shared" ca="1" si="48"/>
        <v>#VALUE!</v>
      </c>
      <c r="Y69" s="35" t="e">
        <f t="shared" ca="1" si="48"/>
        <v>#VALUE!</v>
      </c>
      <c r="Z69" s="35" t="e">
        <f t="shared" ca="1" si="48"/>
        <v>#VALUE!</v>
      </c>
      <c r="AA69" s="35" t="e">
        <f t="shared" ca="1" si="48"/>
        <v>#VALUE!</v>
      </c>
      <c r="AB69" s="35" t="e">
        <f t="shared" ca="1" si="48"/>
        <v>#VALUE!</v>
      </c>
      <c r="AC69" s="35" t="e">
        <f t="shared" ca="1" si="48"/>
        <v>#VALUE!</v>
      </c>
      <c r="AD69" s="35" t="e">
        <f t="shared" ca="1" si="48"/>
        <v>#VALUE!</v>
      </c>
      <c r="AE69" s="35" t="e">
        <f t="shared" ca="1" si="48"/>
        <v>#VALUE!</v>
      </c>
      <c r="AF69" s="35" t="e">
        <f t="shared" ca="1" si="48"/>
        <v>#VALUE!</v>
      </c>
      <c r="AG69" s="35" t="e">
        <f t="shared" ca="1" si="48"/>
        <v>#VALUE!</v>
      </c>
      <c r="AH69" s="35" t="e">
        <f t="shared" ca="1" si="48"/>
        <v>#VALUE!</v>
      </c>
      <c r="AI69" s="35" t="e">
        <f t="shared" ca="1" si="48"/>
        <v>#VALUE!</v>
      </c>
      <c r="AJ69" s="35" t="e">
        <f t="shared" ca="1" si="48"/>
        <v>#VALUE!</v>
      </c>
      <c r="AK69" s="35" t="e">
        <f t="shared" ca="1" si="48"/>
        <v>#VALUE!</v>
      </c>
      <c r="AL69" s="35" t="e">
        <f t="shared" ca="1" si="48"/>
        <v>#VALUE!</v>
      </c>
      <c r="AM69" s="35" t="e">
        <f t="shared" ca="1" si="48"/>
        <v>#VALUE!</v>
      </c>
      <c r="AN69" s="35" t="e">
        <f t="shared" ca="1" si="48"/>
        <v>#VALUE!</v>
      </c>
      <c r="AO69" s="35" t="e">
        <f t="shared" ca="1" si="48"/>
        <v>#VALUE!</v>
      </c>
      <c r="AP69" s="35" t="e">
        <f t="shared" ca="1" si="48"/>
        <v>#VALUE!</v>
      </c>
      <c r="AQ69" s="35" t="e">
        <f t="shared" ca="1" si="48"/>
        <v>#VALUE!</v>
      </c>
    </row>
    <row r="70" spans="1:43" ht="10.15" customHeight="1" outlineLevel="1">
      <c r="A70" s="36"/>
      <c r="B70" s="34" t="s">
        <v>74</v>
      </c>
      <c r="C70" s="35" t="e">
        <f t="shared" ref="C70:AQ70" ca="1" si="49">EBlackScholesForward($FA$3,C$20,$A$69,C$22,$C$6,$C$6,$C$7,C$21)</f>
        <v>#VALUE!</v>
      </c>
      <c r="D70" s="35" t="e">
        <f t="shared" ca="1" si="49"/>
        <v>#VALUE!</v>
      </c>
      <c r="E70" s="35" t="e">
        <f t="shared" ca="1" si="49"/>
        <v>#VALUE!</v>
      </c>
      <c r="F70" s="35" t="e">
        <f t="shared" ca="1" si="49"/>
        <v>#VALUE!</v>
      </c>
      <c r="G70" s="35" t="e">
        <f t="shared" ca="1" si="49"/>
        <v>#VALUE!</v>
      </c>
      <c r="H70" s="35" t="e">
        <f t="shared" ca="1" si="49"/>
        <v>#VALUE!</v>
      </c>
      <c r="I70" s="35" t="e">
        <f t="shared" ca="1" si="49"/>
        <v>#VALUE!</v>
      </c>
      <c r="J70" s="35" t="e">
        <f t="shared" ca="1" si="49"/>
        <v>#VALUE!</v>
      </c>
      <c r="K70" s="35" t="e">
        <f t="shared" ca="1" si="49"/>
        <v>#VALUE!</v>
      </c>
      <c r="L70" s="35" t="e">
        <f t="shared" ca="1" si="49"/>
        <v>#VALUE!</v>
      </c>
      <c r="M70" s="35" t="e">
        <f t="shared" ca="1" si="49"/>
        <v>#VALUE!</v>
      </c>
      <c r="N70" s="35" t="e">
        <f t="shared" ca="1" si="49"/>
        <v>#VALUE!</v>
      </c>
      <c r="O70" s="35" t="e">
        <f t="shared" ca="1" si="49"/>
        <v>#VALUE!</v>
      </c>
      <c r="P70" s="35" t="e">
        <f t="shared" ca="1" si="49"/>
        <v>#VALUE!</v>
      </c>
      <c r="Q70" s="35" t="e">
        <f t="shared" ca="1" si="49"/>
        <v>#VALUE!</v>
      </c>
      <c r="R70" s="35" t="e">
        <f t="shared" ca="1" si="49"/>
        <v>#VALUE!</v>
      </c>
      <c r="S70" s="35" t="e">
        <f t="shared" ca="1" si="49"/>
        <v>#VALUE!</v>
      </c>
      <c r="T70" s="35" t="e">
        <f t="shared" ca="1" si="49"/>
        <v>#VALUE!</v>
      </c>
      <c r="U70" s="35" t="e">
        <f t="shared" ca="1" si="49"/>
        <v>#VALUE!</v>
      </c>
      <c r="V70" s="35" t="e">
        <f t="shared" ca="1" si="49"/>
        <v>#VALUE!</v>
      </c>
      <c r="W70" s="77" t="e">
        <f t="shared" ca="1" si="49"/>
        <v>#VALUE!</v>
      </c>
      <c r="X70" s="35" t="e">
        <f t="shared" ca="1" si="49"/>
        <v>#VALUE!</v>
      </c>
      <c r="Y70" s="35" t="e">
        <f t="shared" ca="1" si="49"/>
        <v>#VALUE!</v>
      </c>
      <c r="Z70" s="35" t="e">
        <f t="shared" ca="1" si="49"/>
        <v>#VALUE!</v>
      </c>
      <c r="AA70" s="35" t="e">
        <f t="shared" ca="1" si="49"/>
        <v>#VALUE!</v>
      </c>
      <c r="AB70" s="35" t="e">
        <f t="shared" ca="1" si="49"/>
        <v>#VALUE!</v>
      </c>
      <c r="AC70" s="35" t="e">
        <f t="shared" ca="1" si="49"/>
        <v>#VALUE!</v>
      </c>
      <c r="AD70" s="35" t="e">
        <f t="shared" ca="1" si="49"/>
        <v>#VALUE!</v>
      </c>
      <c r="AE70" s="35" t="e">
        <f t="shared" ca="1" si="49"/>
        <v>#VALUE!</v>
      </c>
      <c r="AF70" s="35" t="e">
        <f t="shared" ca="1" si="49"/>
        <v>#VALUE!</v>
      </c>
      <c r="AG70" s="35" t="e">
        <f t="shared" ca="1" si="49"/>
        <v>#VALUE!</v>
      </c>
      <c r="AH70" s="35" t="e">
        <f t="shared" ca="1" si="49"/>
        <v>#VALUE!</v>
      </c>
      <c r="AI70" s="35" t="e">
        <f t="shared" ca="1" si="49"/>
        <v>#VALUE!</v>
      </c>
      <c r="AJ70" s="35" t="e">
        <f t="shared" ca="1" si="49"/>
        <v>#VALUE!</v>
      </c>
      <c r="AK70" s="35" t="e">
        <f t="shared" ca="1" si="49"/>
        <v>#VALUE!</v>
      </c>
      <c r="AL70" s="35" t="e">
        <f t="shared" ca="1" si="49"/>
        <v>#VALUE!</v>
      </c>
      <c r="AM70" s="35" t="e">
        <f t="shared" ca="1" si="49"/>
        <v>#VALUE!</v>
      </c>
      <c r="AN70" s="35" t="e">
        <f t="shared" ca="1" si="49"/>
        <v>#VALUE!</v>
      </c>
      <c r="AO70" s="35" t="e">
        <f t="shared" ca="1" si="49"/>
        <v>#VALUE!</v>
      </c>
      <c r="AP70" s="35" t="e">
        <f t="shared" ca="1" si="49"/>
        <v>#VALUE!</v>
      </c>
      <c r="AQ70" s="35" t="e">
        <f t="shared" ca="1" si="49"/>
        <v>#VALUE!</v>
      </c>
    </row>
    <row r="71" spans="1:43" ht="10.15" customHeight="1">
      <c r="A71" s="31">
        <f ca="1">A69+$C$12</f>
        <v>46.099999999999973</v>
      </c>
      <c r="B71" s="31" t="s">
        <v>71</v>
      </c>
      <c r="C71" s="32" t="e">
        <f t="shared" ref="C71:AQ71" ca="1" si="50">EBlackScholesForward("p",C$20,$A$71,C$22,$C$6,$C$6,$C$7,C$21)</f>
        <v>#VALUE!</v>
      </c>
      <c r="D71" s="32" t="e">
        <f t="shared" ca="1" si="50"/>
        <v>#VALUE!</v>
      </c>
      <c r="E71" s="32" t="e">
        <f t="shared" ca="1" si="50"/>
        <v>#VALUE!</v>
      </c>
      <c r="F71" s="32" t="e">
        <f t="shared" ca="1" si="50"/>
        <v>#VALUE!</v>
      </c>
      <c r="G71" s="32" t="e">
        <f t="shared" ca="1" si="50"/>
        <v>#VALUE!</v>
      </c>
      <c r="H71" s="32" t="e">
        <f t="shared" ca="1" si="50"/>
        <v>#VALUE!</v>
      </c>
      <c r="I71" s="32" t="e">
        <f t="shared" ca="1" si="50"/>
        <v>#VALUE!</v>
      </c>
      <c r="J71" s="32" t="e">
        <f t="shared" ca="1" si="50"/>
        <v>#VALUE!</v>
      </c>
      <c r="K71" s="32" t="e">
        <f t="shared" ca="1" si="50"/>
        <v>#VALUE!</v>
      </c>
      <c r="L71" s="32" t="e">
        <f t="shared" ca="1" si="50"/>
        <v>#VALUE!</v>
      </c>
      <c r="M71" s="32" t="e">
        <f t="shared" ca="1" si="50"/>
        <v>#VALUE!</v>
      </c>
      <c r="N71" s="32" t="e">
        <f t="shared" ca="1" si="50"/>
        <v>#VALUE!</v>
      </c>
      <c r="O71" s="32" t="e">
        <f t="shared" ca="1" si="50"/>
        <v>#VALUE!</v>
      </c>
      <c r="P71" s="32" t="e">
        <f t="shared" ca="1" si="50"/>
        <v>#VALUE!</v>
      </c>
      <c r="Q71" s="32" t="e">
        <f t="shared" ca="1" si="50"/>
        <v>#VALUE!</v>
      </c>
      <c r="R71" s="32" t="e">
        <f t="shared" ca="1" si="50"/>
        <v>#VALUE!</v>
      </c>
      <c r="S71" s="32" t="e">
        <f t="shared" ca="1" si="50"/>
        <v>#VALUE!</v>
      </c>
      <c r="T71" s="32" t="e">
        <f t="shared" ca="1" si="50"/>
        <v>#VALUE!</v>
      </c>
      <c r="U71" s="32" t="e">
        <f t="shared" ca="1" si="50"/>
        <v>#VALUE!</v>
      </c>
      <c r="V71" s="32" t="e">
        <f t="shared" ca="1" si="50"/>
        <v>#VALUE!</v>
      </c>
      <c r="W71" s="76" t="e">
        <f t="shared" ca="1" si="50"/>
        <v>#VALUE!</v>
      </c>
      <c r="X71" s="32" t="e">
        <f t="shared" ca="1" si="50"/>
        <v>#VALUE!</v>
      </c>
      <c r="Y71" s="32" t="e">
        <f t="shared" ca="1" si="50"/>
        <v>#VALUE!</v>
      </c>
      <c r="Z71" s="32" t="e">
        <f t="shared" ca="1" si="50"/>
        <v>#VALUE!</v>
      </c>
      <c r="AA71" s="32" t="e">
        <f t="shared" ca="1" si="50"/>
        <v>#VALUE!</v>
      </c>
      <c r="AB71" s="32" t="e">
        <f t="shared" ca="1" si="50"/>
        <v>#VALUE!</v>
      </c>
      <c r="AC71" s="32" t="e">
        <f t="shared" ca="1" si="50"/>
        <v>#VALUE!</v>
      </c>
      <c r="AD71" s="32" t="e">
        <f t="shared" ca="1" si="50"/>
        <v>#VALUE!</v>
      </c>
      <c r="AE71" s="32" t="e">
        <f t="shared" ca="1" si="50"/>
        <v>#VALUE!</v>
      </c>
      <c r="AF71" s="32" t="e">
        <f t="shared" ca="1" si="50"/>
        <v>#VALUE!</v>
      </c>
      <c r="AG71" s="32" t="e">
        <f t="shared" ca="1" si="50"/>
        <v>#VALUE!</v>
      </c>
      <c r="AH71" s="32" t="e">
        <f t="shared" ca="1" si="50"/>
        <v>#VALUE!</v>
      </c>
      <c r="AI71" s="32" t="e">
        <f t="shared" ca="1" si="50"/>
        <v>#VALUE!</v>
      </c>
      <c r="AJ71" s="32" t="e">
        <f t="shared" ca="1" si="50"/>
        <v>#VALUE!</v>
      </c>
      <c r="AK71" s="32" t="e">
        <f t="shared" ca="1" si="50"/>
        <v>#VALUE!</v>
      </c>
      <c r="AL71" s="32" t="e">
        <f t="shared" ca="1" si="50"/>
        <v>#VALUE!</v>
      </c>
      <c r="AM71" s="32" t="e">
        <f t="shared" ca="1" si="50"/>
        <v>#VALUE!</v>
      </c>
      <c r="AN71" s="32" t="e">
        <f t="shared" ca="1" si="50"/>
        <v>#VALUE!</v>
      </c>
      <c r="AO71" s="32" t="e">
        <f t="shared" ca="1" si="50"/>
        <v>#VALUE!</v>
      </c>
      <c r="AP71" s="32" t="e">
        <f t="shared" ca="1" si="50"/>
        <v>#VALUE!</v>
      </c>
      <c r="AQ71" s="32" t="e">
        <f t="shared" ca="1" si="50"/>
        <v>#VALUE!</v>
      </c>
    </row>
    <row r="72" spans="1:43" ht="10.15" customHeight="1" outlineLevel="1">
      <c r="A72" s="33"/>
      <c r="B72" s="31" t="s">
        <v>74</v>
      </c>
      <c r="C72" s="32" t="e">
        <f t="shared" ref="C72:AQ72" ca="1" si="51">EBlackScholesForward($FA$3,C$20,$A$71,C$22,$C$6,$C$6,$C$7,C$21)</f>
        <v>#VALUE!</v>
      </c>
      <c r="D72" s="32" t="e">
        <f t="shared" ca="1" si="51"/>
        <v>#VALUE!</v>
      </c>
      <c r="E72" s="32" t="e">
        <f t="shared" ca="1" si="51"/>
        <v>#VALUE!</v>
      </c>
      <c r="F72" s="32" t="e">
        <f t="shared" ca="1" si="51"/>
        <v>#VALUE!</v>
      </c>
      <c r="G72" s="32" t="e">
        <f t="shared" ca="1" si="51"/>
        <v>#VALUE!</v>
      </c>
      <c r="H72" s="32" t="e">
        <f t="shared" ca="1" si="51"/>
        <v>#VALUE!</v>
      </c>
      <c r="I72" s="32" t="e">
        <f t="shared" ca="1" si="51"/>
        <v>#VALUE!</v>
      </c>
      <c r="J72" s="32" t="e">
        <f t="shared" ca="1" si="51"/>
        <v>#VALUE!</v>
      </c>
      <c r="K72" s="32" t="e">
        <f t="shared" ca="1" si="51"/>
        <v>#VALUE!</v>
      </c>
      <c r="L72" s="32" t="e">
        <f t="shared" ca="1" si="51"/>
        <v>#VALUE!</v>
      </c>
      <c r="M72" s="32" t="e">
        <f t="shared" ca="1" si="51"/>
        <v>#VALUE!</v>
      </c>
      <c r="N72" s="32" t="e">
        <f t="shared" ca="1" si="51"/>
        <v>#VALUE!</v>
      </c>
      <c r="O72" s="32" t="e">
        <f t="shared" ca="1" si="51"/>
        <v>#VALUE!</v>
      </c>
      <c r="P72" s="32" t="e">
        <f t="shared" ca="1" si="51"/>
        <v>#VALUE!</v>
      </c>
      <c r="Q72" s="32" t="e">
        <f t="shared" ca="1" si="51"/>
        <v>#VALUE!</v>
      </c>
      <c r="R72" s="32" t="e">
        <f t="shared" ca="1" si="51"/>
        <v>#VALUE!</v>
      </c>
      <c r="S72" s="32" t="e">
        <f t="shared" ca="1" si="51"/>
        <v>#VALUE!</v>
      </c>
      <c r="T72" s="32" t="e">
        <f t="shared" ca="1" si="51"/>
        <v>#VALUE!</v>
      </c>
      <c r="U72" s="32" t="e">
        <f t="shared" ca="1" si="51"/>
        <v>#VALUE!</v>
      </c>
      <c r="V72" s="32" t="e">
        <f t="shared" ca="1" si="51"/>
        <v>#VALUE!</v>
      </c>
      <c r="W72" s="76" t="e">
        <f t="shared" ca="1" si="51"/>
        <v>#VALUE!</v>
      </c>
      <c r="X72" s="32" t="e">
        <f t="shared" ca="1" si="51"/>
        <v>#VALUE!</v>
      </c>
      <c r="Y72" s="32" t="e">
        <f t="shared" ca="1" si="51"/>
        <v>#VALUE!</v>
      </c>
      <c r="Z72" s="32" t="e">
        <f t="shared" ca="1" si="51"/>
        <v>#VALUE!</v>
      </c>
      <c r="AA72" s="32" t="e">
        <f t="shared" ca="1" si="51"/>
        <v>#VALUE!</v>
      </c>
      <c r="AB72" s="32" t="e">
        <f t="shared" ca="1" si="51"/>
        <v>#VALUE!</v>
      </c>
      <c r="AC72" s="32" t="e">
        <f t="shared" ca="1" si="51"/>
        <v>#VALUE!</v>
      </c>
      <c r="AD72" s="32" t="e">
        <f t="shared" ca="1" si="51"/>
        <v>#VALUE!</v>
      </c>
      <c r="AE72" s="32" t="e">
        <f t="shared" ca="1" si="51"/>
        <v>#VALUE!</v>
      </c>
      <c r="AF72" s="32" t="e">
        <f t="shared" ca="1" si="51"/>
        <v>#VALUE!</v>
      </c>
      <c r="AG72" s="32" t="e">
        <f t="shared" ca="1" si="51"/>
        <v>#VALUE!</v>
      </c>
      <c r="AH72" s="32" t="e">
        <f t="shared" ca="1" si="51"/>
        <v>#VALUE!</v>
      </c>
      <c r="AI72" s="32" t="e">
        <f t="shared" ca="1" si="51"/>
        <v>#VALUE!</v>
      </c>
      <c r="AJ72" s="32" t="e">
        <f t="shared" ca="1" si="51"/>
        <v>#VALUE!</v>
      </c>
      <c r="AK72" s="32" t="e">
        <f t="shared" ca="1" si="51"/>
        <v>#VALUE!</v>
      </c>
      <c r="AL72" s="32" t="e">
        <f t="shared" ca="1" si="51"/>
        <v>#VALUE!</v>
      </c>
      <c r="AM72" s="32" t="e">
        <f t="shared" ca="1" si="51"/>
        <v>#VALUE!</v>
      </c>
      <c r="AN72" s="32" t="e">
        <f t="shared" ca="1" si="51"/>
        <v>#VALUE!</v>
      </c>
      <c r="AO72" s="32" t="e">
        <f t="shared" ca="1" si="51"/>
        <v>#VALUE!</v>
      </c>
      <c r="AP72" s="32" t="e">
        <f t="shared" ca="1" si="51"/>
        <v>#VALUE!</v>
      </c>
      <c r="AQ72" s="32" t="e">
        <f t="shared" ca="1" si="51"/>
        <v>#VALUE!</v>
      </c>
    </row>
    <row r="73" spans="1:43" ht="10.15" customHeight="1">
      <c r="A73" s="34">
        <f ca="1">A71+$C$12</f>
        <v>46.14999999999997</v>
      </c>
      <c r="B73" s="34" t="s">
        <v>71</v>
      </c>
      <c r="C73" s="35" t="e">
        <f t="shared" ref="C73:AQ73" ca="1" si="52">EBlackScholesForward("p",C$20,$A$73,C$22,$C$6,$C$6,$C$7,C$21)</f>
        <v>#VALUE!</v>
      </c>
      <c r="D73" s="35" t="e">
        <f t="shared" ca="1" si="52"/>
        <v>#VALUE!</v>
      </c>
      <c r="E73" s="35" t="e">
        <f t="shared" ca="1" si="52"/>
        <v>#VALUE!</v>
      </c>
      <c r="F73" s="35" t="e">
        <f t="shared" ca="1" si="52"/>
        <v>#VALUE!</v>
      </c>
      <c r="G73" s="35" t="e">
        <f t="shared" ca="1" si="52"/>
        <v>#VALUE!</v>
      </c>
      <c r="H73" s="35" t="e">
        <f t="shared" ca="1" si="52"/>
        <v>#VALUE!</v>
      </c>
      <c r="I73" s="35" t="e">
        <f t="shared" ca="1" si="52"/>
        <v>#VALUE!</v>
      </c>
      <c r="J73" s="35" t="e">
        <f t="shared" ca="1" si="52"/>
        <v>#VALUE!</v>
      </c>
      <c r="K73" s="35" t="e">
        <f t="shared" ca="1" si="52"/>
        <v>#VALUE!</v>
      </c>
      <c r="L73" s="35" t="e">
        <f t="shared" ca="1" si="52"/>
        <v>#VALUE!</v>
      </c>
      <c r="M73" s="35" t="e">
        <f t="shared" ca="1" si="52"/>
        <v>#VALUE!</v>
      </c>
      <c r="N73" s="35" t="e">
        <f t="shared" ca="1" si="52"/>
        <v>#VALUE!</v>
      </c>
      <c r="O73" s="35" t="e">
        <f t="shared" ca="1" si="52"/>
        <v>#VALUE!</v>
      </c>
      <c r="P73" s="35" t="e">
        <f t="shared" ca="1" si="52"/>
        <v>#VALUE!</v>
      </c>
      <c r="Q73" s="35" t="e">
        <f t="shared" ca="1" si="52"/>
        <v>#VALUE!</v>
      </c>
      <c r="R73" s="35" t="e">
        <f t="shared" ca="1" si="52"/>
        <v>#VALUE!</v>
      </c>
      <c r="S73" s="35" t="e">
        <f t="shared" ca="1" si="52"/>
        <v>#VALUE!</v>
      </c>
      <c r="T73" s="35" t="e">
        <f t="shared" ca="1" si="52"/>
        <v>#VALUE!</v>
      </c>
      <c r="U73" s="35" t="e">
        <f t="shared" ca="1" si="52"/>
        <v>#VALUE!</v>
      </c>
      <c r="V73" s="35" t="e">
        <f t="shared" ca="1" si="52"/>
        <v>#VALUE!</v>
      </c>
      <c r="W73" s="77" t="e">
        <f t="shared" ca="1" si="52"/>
        <v>#VALUE!</v>
      </c>
      <c r="X73" s="35" t="e">
        <f t="shared" ca="1" si="52"/>
        <v>#VALUE!</v>
      </c>
      <c r="Y73" s="35" t="e">
        <f t="shared" ca="1" si="52"/>
        <v>#VALUE!</v>
      </c>
      <c r="Z73" s="35" t="e">
        <f t="shared" ca="1" si="52"/>
        <v>#VALUE!</v>
      </c>
      <c r="AA73" s="35" t="e">
        <f t="shared" ca="1" si="52"/>
        <v>#VALUE!</v>
      </c>
      <c r="AB73" s="35" t="e">
        <f t="shared" ca="1" si="52"/>
        <v>#VALUE!</v>
      </c>
      <c r="AC73" s="35" t="e">
        <f t="shared" ca="1" si="52"/>
        <v>#VALUE!</v>
      </c>
      <c r="AD73" s="35" t="e">
        <f t="shared" ca="1" si="52"/>
        <v>#VALUE!</v>
      </c>
      <c r="AE73" s="35" t="e">
        <f t="shared" ca="1" si="52"/>
        <v>#VALUE!</v>
      </c>
      <c r="AF73" s="35" t="e">
        <f t="shared" ca="1" si="52"/>
        <v>#VALUE!</v>
      </c>
      <c r="AG73" s="35" t="e">
        <f t="shared" ca="1" si="52"/>
        <v>#VALUE!</v>
      </c>
      <c r="AH73" s="35" t="e">
        <f t="shared" ca="1" si="52"/>
        <v>#VALUE!</v>
      </c>
      <c r="AI73" s="35" t="e">
        <f t="shared" ca="1" si="52"/>
        <v>#VALUE!</v>
      </c>
      <c r="AJ73" s="35" t="e">
        <f t="shared" ca="1" si="52"/>
        <v>#VALUE!</v>
      </c>
      <c r="AK73" s="35" t="e">
        <f t="shared" ca="1" si="52"/>
        <v>#VALUE!</v>
      </c>
      <c r="AL73" s="35" t="e">
        <f t="shared" ca="1" si="52"/>
        <v>#VALUE!</v>
      </c>
      <c r="AM73" s="35" t="e">
        <f t="shared" ca="1" si="52"/>
        <v>#VALUE!</v>
      </c>
      <c r="AN73" s="35" t="e">
        <f t="shared" ca="1" si="52"/>
        <v>#VALUE!</v>
      </c>
      <c r="AO73" s="35" t="e">
        <f t="shared" ca="1" si="52"/>
        <v>#VALUE!</v>
      </c>
      <c r="AP73" s="35" t="e">
        <f t="shared" ca="1" si="52"/>
        <v>#VALUE!</v>
      </c>
      <c r="AQ73" s="35" t="e">
        <f t="shared" ca="1" si="52"/>
        <v>#VALUE!</v>
      </c>
    </row>
    <row r="74" spans="1:43" ht="10.15" customHeight="1" outlineLevel="1">
      <c r="A74" s="36"/>
      <c r="B74" s="34" t="s">
        <v>74</v>
      </c>
      <c r="C74" s="35" t="e">
        <f t="shared" ref="C74:AQ74" ca="1" si="53">EBlackScholesForward($FA$3,C$20,$A$73,C$22,$C$6,$C$6,$C$7,C$21)</f>
        <v>#VALUE!</v>
      </c>
      <c r="D74" s="35" t="e">
        <f t="shared" ca="1" si="53"/>
        <v>#VALUE!</v>
      </c>
      <c r="E74" s="35" t="e">
        <f t="shared" ca="1" si="53"/>
        <v>#VALUE!</v>
      </c>
      <c r="F74" s="35" t="e">
        <f t="shared" ca="1" si="53"/>
        <v>#VALUE!</v>
      </c>
      <c r="G74" s="35" t="e">
        <f t="shared" ca="1" si="53"/>
        <v>#VALUE!</v>
      </c>
      <c r="H74" s="35" t="e">
        <f t="shared" ca="1" si="53"/>
        <v>#VALUE!</v>
      </c>
      <c r="I74" s="35" t="e">
        <f t="shared" ca="1" si="53"/>
        <v>#VALUE!</v>
      </c>
      <c r="J74" s="35" t="e">
        <f t="shared" ca="1" si="53"/>
        <v>#VALUE!</v>
      </c>
      <c r="K74" s="35" t="e">
        <f t="shared" ca="1" si="53"/>
        <v>#VALUE!</v>
      </c>
      <c r="L74" s="35" t="e">
        <f t="shared" ca="1" si="53"/>
        <v>#VALUE!</v>
      </c>
      <c r="M74" s="35" t="e">
        <f t="shared" ca="1" si="53"/>
        <v>#VALUE!</v>
      </c>
      <c r="N74" s="35" t="e">
        <f t="shared" ca="1" si="53"/>
        <v>#VALUE!</v>
      </c>
      <c r="O74" s="35" t="e">
        <f t="shared" ca="1" si="53"/>
        <v>#VALUE!</v>
      </c>
      <c r="P74" s="35" t="e">
        <f t="shared" ca="1" si="53"/>
        <v>#VALUE!</v>
      </c>
      <c r="Q74" s="35" t="e">
        <f t="shared" ca="1" si="53"/>
        <v>#VALUE!</v>
      </c>
      <c r="R74" s="35" t="e">
        <f t="shared" ca="1" si="53"/>
        <v>#VALUE!</v>
      </c>
      <c r="S74" s="35" t="e">
        <f t="shared" ca="1" si="53"/>
        <v>#VALUE!</v>
      </c>
      <c r="T74" s="35" t="e">
        <f t="shared" ca="1" si="53"/>
        <v>#VALUE!</v>
      </c>
      <c r="U74" s="35" t="e">
        <f t="shared" ca="1" si="53"/>
        <v>#VALUE!</v>
      </c>
      <c r="V74" s="35" t="e">
        <f t="shared" ca="1" si="53"/>
        <v>#VALUE!</v>
      </c>
      <c r="W74" s="77" t="e">
        <f t="shared" ca="1" si="53"/>
        <v>#VALUE!</v>
      </c>
      <c r="X74" s="35" t="e">
        <f t="shared" ca="1" si="53"/>
        <v>#VALUE!</v>
      </c>
      <c r="Y74" s="35" t="e">
        <f t="shared" ca="1" si="53"/>
        <v>#VALUE!</v>
      </c>
      <c r="Z74" s="35" t="e">
        <f t="shared" ca="1" si="53"/>
        <v>#VALUE!</v>
      </c>
      <c r="AA74" s="35" t="e">
        <f t="shared" ca="1" si="53"/>
        <v>#VALUE!</v>
      </c>
      <c r="AB74" s="35" t="e">
        <f t="shared" ca="1" si="53"/>
        <v>#VALUE!</v>
      </c>
      <c r="AC74" s="35" t="e">
        <f t="shared" ca="1" si="53"/>
        <v>#VALUE!</v>
      </c>
      <c r="AD74" s="35" t="e">
        <f t="shared" ca="1" si="53"/>
        <v>#VALUE!</v>
      </c>
      <c r="AE74" s="35" t="e">
        <f t="shared" ca="1" si="53"/>
        <v>#VALUE!</v>
      </c>
      <c r="AF74" s="35" t="e">
        <f t="shared" ca="1" si="53"/>
        <v>#VALUE!</v>
      </c>
      <c r="AG74" s="35" t="e">
        <f t="shared" ca="1" si="53"/>
        <v>#VALUE!</v>
      </c>
      <c r="AH74" s="35" t="e">
        <f t="shared" ca="1" si="53"/>
        <v>#VALUE!</v>
      </c>
      <c r="AI74" s="35" t="e">
        <f t="shared" ca="1" si="53"/>
        <v>#VALUE!</v>
      </c>
      <c r="AJ74" s="35" t="e">
        <f t="shared" ca="1" si="53"/>
        <v>#VALUE!</v>
      </c>
      <c r="AK74" s="35" t="e">
        <f t="shared" ca="1" si="53"/>
        <v>#VALUE!</v>
      </c>
      <c r="AL74" s="35" t="e">
        <f t="shared" ca="1" si="53"/>
        <v>#VALUE!</v>
      </c>
      <c r="AM74" s="35" t="e">
        <f t="shared" ca="1" si="53"/>
        <v>#VALUE!</v>
      </c>
      <c r="AN74" s="35" t="e">
        <f t="shared" ca="1" si="53"/>
        <v>#VALUE!</v>
      </c>
      <c r="AO74" s="35" t="e">
        <f t="shared" ca="1" si="53"/>
        <v>#VALUE!</v>
      </c>
      <c r="AP74" s="35" t="e">
        <f t="shared" ca="1" si="53"/>
        <v>#VALUE!</v>
      </c>
      <c r="AQ74" s="35" t="e">
        <f t="shared" ca="1" si="53"/>
        <v>#VALUE!</v>
      </c>
    </row>
    <row r="75" spans="1:43" ht="10.15" customHeight="1">
      <c r="A75" s="31">
        <f ca="1">A73+$C$12</f>
        <v>46.199999999999967</v>
      </c>
      <c r="B75" s="31" t="s">
        <v>71</v>
      </c>
      <c r="C75" s="32" t="e">
        <f t="shared" ref="C75:AQ75" ca="1" si="54">EBlackScholesForward("p",C$20,$A$75,C$22,$C$6,$C$6,$C$7,C$21)</f>
        <v>#VALUE!</v>
      </c>
      <c r="D75" s="32" t="e">
        <f t="shared" ca="1" si="54"/>
        <v>#VALUE!</v>
      </c>
      <c r="E75" s="32" t="e">
        <f t="shared" ca="1" si="54"/>
        <v>#VALUE!</v>
      </c>
      <c r="F75" s="32" t="e">
        <f t="shared" ca="1" si="54"/>
        <v>#VALUE!</v>
      </c>
      <c r="G75" s="32" t="e">
        <f t="shared" ca="1" si="54"/>
        <v>#VALUE!</v>
      </c>
      <c r="H75" s="32" t="e">
        <f t="shared" ca="1" si="54"/>
        <v>#VALUE!</v>
      </c>
      <c r="I75" s="32" t="e">
        <f t="shared" ca="1" si="54"/>
        <v>#VALUE!</v>
      </c>
      <c r="J75" s="32" t="e">
        <f t="shared" ca="1" si="54"/>
        <v>#VALUE!</v>
      </c>
      <c r="K75" s="32" t="e">
        <f t="shared" ca="1" si="54"/>
        <v>#VALUE!</v>
      </c>
      <c r="L75" s="32" t="e">
        <f t="shared" ca="1" si="54"/>
        <v>#VALUE!</v>
      </c>
      <c r="M75" s="32" t="e">
        <f t="shared" ca="1" si="54"/>
        <v>#VALUE!</v>
      </c>
      <c r="N75" s="32" t="e">
        <f t="shared" ca="1" si="54"/>
        <v>#VALUE!</v>
      </c>
      <c r="O75" s="32" t="e">
        <f t="shared" ca="1" si="54"/>
        <v>#VALUE!</v>
      </c>
      <c r="P75" s="32" t="e">
        <f t="shared" ca="1" si="54"/>
        <v>#VALUE!</v>
      </c>
      <c r="Q75" s="32" t="e">
        <f t="shared" ca="1" si="54"/>
        <v>#VALUE!</v>
      </c>
      <c r="R75" s="32" t="e">
        <f t="shared" ca="1" si="54"/>
        <v>#VALUE!</v>
      </c>
      <c r="S75" s="32" t="e">
        <f t="shared" ca="1" si="54"/>
        <v>#VALUE!</v>
      </c>
      <c r="T75" s="32" t="e">
        <f t="shared" ca="1" si="54"/>
        <v>#VALUE!</v>
      </c>
      <c r="U75" s="32" t="e">
        <f t="shared" ca="1" si="54"/>
        <v>#VALUE!</v>
      </c>
      <c r="V75" s="32" t="e">
        <f t="shared" ca="1" si="54"/>
        <v>#VALUE!</v>
      </c>
      <c r="W75" s="76" t="e">
        <f t="shared" ca="1" si="54"/>
        <v>#VALUE!</v>
      </c>
      <c r="X75" s="32" t="e">
        <f t="shared" ca="1" si="54"/>
        <v>#VALUE!</v>
      </c>
      <c r="Y75" s="32" t="e">
        <f t="shared" ca="1" si="54"/>
        <v>#VALUE!</v>
      </c>
      <c r="Z75" s="32" t="e">
        <f t="shared" ca="1" si="54"/>
        <v>#VALUE!</v>
      </c>
      <c r="AA75" s="32" t="e">
        <f t="shared" ca="1" si="54"/>
        <v>#VALUE!</v>
      </c>
      <c r="AB75" s="32" t="e">
        <f t="shared" ca="1" si="54"/>
        <v>#VALUE!</v>
      </c>
      <c r="AC75" s="32" t="e">
        <f t="shared" ca="1" si="54"/>
        <v>#VALUE!</v>
      </c>
      <c r="AD75" s="32" t="e">
        <f t="shared" ca="1" si="54"/>
        <v>#VALUE!</v>
      </c>
      <c r="AE75" s="32" t="e">
        <f t="shared" ca="1" si="54"/>
        <v>#VALUE!</v>
      </c>
      <c r="AF75" s="32" t="e">
        <f t="shared" ca="1" si="54"/>
        <v>#VALUE!</v>
      </c>
      <c r="AG75" s="32" t="e">
        <f t="shared" ca="1" si="54"/>
        <v>#VALUE!</v>
      </c>
      <c r="AH75" s="32" t="e">
        <f t="shared" ca="1" si="54"/>
        <v>#VALUE!</v>
      </c>
      <c r="AI75" s="32" t="e">
        <f t="shared" ca="1" si="54"/>
        <v>#VALUE!</v>
      </c>
      <c r="AJ75" s="32" t="e">
        <f t="shared" ca="1" si="54"/>
        <v>#VALUE!</v>
      </c>
      <c r="AK75" s="32" t="e">
        <f t="shared" ca="1" si="54"/>
        <v>#VALUE!</v>
      </c>
      <c r="AL75" s="32" t="e">
        <f t="shared" ca="1" si="54"/>
        <v>#VALUE!</v>
      </c>
      <c r="AM75" s="32" t="e">
        <f t="shared" ca="1" si="54"/>
        <v>#VALUE!</v>
      </c>
      <c r="AN75" s="32" t="e">
        <f t="shared" ca="1" si="54"/>
        <v>#VALUE!</v>
      </c>
      <c r="AO75" s="32" t="e">
        <f t="shared" ca="1" si="54"/>
        <v>#VALUE!</v>
      </c>
      <c r="AP75" s="32" t="e">
        <f t="shared" ca="1" si="54"/>
        <v>#VALUE!</v>
      </c>
      <c r="AQ75" s="32" t="e">
        <f t="shared" ca="1" si="54"/>
        <v>#VALUE!</v>
      </c>
    </row>
    <row r="76" spans="1:43" ht="11.25" customHeight="1" outlineLevel="1">
      <c r="A76" s="33"/>
      <c r="B76" s="31" t="s">
        <v>74</v>
      </c>
      <c r="C76" s="32" t="e">
        <f t="shared" ref="C76:AQ76" ca="1" si="55">EBlackScholesForward($FA$3,C$20,$A$75,C$22,$C$6,$C$6,$C$7,C$21)</f>
        <v>#VALUE!</v>
      </c>
      <c r="D76" s="32" t="e">
        <f t="shared" ca="1" si="55"/>
        <v>#VALUE!</v>
      </c>
      <c r="E76" s="32" t="e">
        <f t="shared" ca="1" si="55"/>
        <v>#VALUE!</v>
      </c>
      <c r="F76" s="32" t="e">
        <f t="shared" ca="1" si="55"/>
        <v>#VALUE!</v>
      </c>
      <c r="G76" s="32" t="e">
        <f t="shared" ca="1" si="55"/>
        <v>#VALUE!</v>
      </c>
      <c r="H76" s="32" t="e">
        <f t="shared" ca="1" si="55"/>
        <v>#VALUE!</v>
      </c>
      <c r="I76" s="32" t="e">
        <f t="shared" ca="1" si="55"/>
        <v>#VALUE!</v>
      </c>
      <c r="J76" s="32" t="e">
        <f t="shared" ca="1" si="55"/>
        <v>#VALUE!</v>
      </c>
      <c r="K76" s="32" t="e">
        <f t="shared" ca="1" si="55"/>
        <v>#VALUE!</v>
      </c>
      <c r="L76" s="32" t="e">
        <f t="shared" ca="1" si="55"/>
        <v>#VALUE!</v>
      </c>
      <c r="M76" s="32" t="e">
        <f t="shared" ca="1" si="55"/>
        <v>#VALUE!</v>
      </c>
      <c r="N76" s="32" t="e">
        <f t="shared" ca="1" si="55"/>
        <v>#VALUE!</v>
      </c>
      <c r="O76" s="32" t="e">
        <f t="shared" ca="1" si="55"/>
        <v>#VALUE!</v>
      </c>
      <c r="P76" s="32" t="e">
        <f t="shared" ca="1" si="55"/>
        <v>#VALUE!</v>
      </c>
      <c r="Q76" s="32" t="e">
        <f t="shared" ca="1" si="55"/>
        <v>#VALUE!</v>
      </c>
      <c r="R76" s="32" t="e">
        <f t="shared" ca="1" si="55"/>
        <v>#VALUE!</v>
      </c>
      <c r="S76" s="32" t="e">
        <f t="shared" ca="1" si="55"/>
        <v>#VALUE!</v>
      </c>
      <c r="T76" s="32" t="e">
        <f t="shared" ca="1" si="55"/>
        <v>#VALUE!</v>
      </c>
      <c r="U76" s="32" t="e">
        <f t="shared" ca="1" si="55"/>
        <v>#VALUE!</v>
      </c>
      <c r="V76" s="32" t="e">
        <f t="shared" ca="1" si="55"/>
        <v>#VALUE!</v>
      </c>
      <c r="W76" s="76" t="e">
        <f t="shared" ca="1" si="55"/>
        <v>#VALUE!</v>
      </c>
      <c r="X76" s="32" t="e">
        <f t="shared" ca="1" si="55"/>
        <v>#VALUE!</v>
      </c>
      <c r="Y76" s="32" t="e">
        <f t="shared" ca="1" si="55"/>
        <v>#VALUE!</v>
      </c>
      <c r="Z76" s="32" t="e">
        <f t="shared" ca="1" si="55"/>
        <v>#VALUE!</v>
      </c>
      <c r="AA76" s="32" t="e">
        <f t="shared" ca="1" si="55"/>
        <v>#VALUE!</v>
      </c>
      <c r="AB76" s="32" t="e">
        <f t="shared" ca="1" si="55"/>
        <v>#VALUE!</v>
      </c>
      <c r="AC76" s="32" t="e">
        <f t="shared" ca="1" si="55"/>
        <v>#VALUE!</v>
      </c>
      <c r="AD76" s="32" t="e">
        <f t="shared" ca="1" si="55"/>
        <v>#VALUE!</v>
      </c>
      <c r="AE76" s="32" t="e">
        <f t="shared" ca="1" si="55"/>
        <v>#VALUE!</v>
      </c>
      <c r="AF76" s="32" t="e">
        <f t="shared" ca="1" si="55"/>
        <v>#VALUE!</v>
      </c>
      <c r="AG76" s="32" t="e">
        <f t="shared" ca="1" si="55"/>
        <v>#VALUE!</v>
      </c>
      <c r="AH76" s="32" t="e">
        <f t="shared" ca="1" si="55"/>
        <v>#VALUE!</v>
      </c>
      <c r="AI76" s="32" t="e">
        <f t="shared" ca="1" si="55"/>
        <v>#VALUE!</v>
      </c>
      <c r="AJ76" s="32" t="e">
        <f t="shared" ca="1" si="55"/>
        <v>#VALUE!</v>
      </c>
      <c r="AK76" s="32" t="e">
        <f t="shared" ca="1" si="55"/>
        <v>#VALUE!</v>
      </c>
      <c r="AL76" s="32" t="e">
        <f t="shared" ca="1" si="55"/>
        <v>#VALUE!</v>
      </c>
      <c r="AM76" s="32" t="e">
        <f t="shared" ca="1" si="55"/>
        <v>#VALUE!</v>
      </c>
      <c r="AN76" s="32" t="e">
        <f t="shared" ca="1" si="55"/>
        <v>#VALUE!</v>
      </c>
      <c r="AO76" s="32" t="e">
        <f t="shared" ca="1" si="55"/>
        <v>#VALUE!</v>
      </c>
      <c r="AP76" s="32" t="e">
        <f t="shared" ca="1" si="55"/>
        <v>#VALUE!</v>
      </c>
      <c r="AQ76" s="32" t="e">
        <f t="shared" ca="1" si="55"/>
        <v>#VALUE!</v>
      </c>
    </row>
    <row r="77" spans="1:43" ht="10.15" customHeight="1">
      <c r="A77" s="34">
        <f ca="1">A75+$C$12</f>
        <v>46.249999999999964</v>
      </c>
      <c r="B77" s="34" t="s">
        <v>71</v>
      </c>
      <c r="C77" s="35" t="e">
        <f t="shared" ref="C77:AQ77" ca="1" si="56">EBlackScholesForward("p",C$20,$A$77,C$22,$C$6,$C$6,$C$7,C$21)</f>
        <v>#VALUE!</v>
      </c>
      <c r="D77" s="35" t="e">
        <f t="shared" ca="1" si="56"/>
        <v>#VALUE!</v>
      </c>
      <c r="E77" s="35" t="e">
        <f t="shared" ca="1" si="56"/>
        <v>#VALUE!</v>
      </c>
      <c r="F77" s="35" t="e">
        <f t="shared" ca="1" si="56"/>
        <v>#VALUE!</v>
      </c>
      <c r="G77" s="35" t="e">
        <f t="shared" ca="1" si="56"/>
        <v>#VALUE!</v>
      </c>
      <c r="H77" s="35" t="e">
        <f t="shared" ca="1" si="56"/>
        <v>#VALUE!</v>
      </c>
      <c r="I77" s="35" t="e">
        <f t="shared" ca="1" si="56"/>
        <v>#VALUE!</v>
      </c>
      <c r="J77" s="35" t="e">
        <f t="shared" ca="1" si="56"/>
        <v>#VALUE!</v>
      </c>
      <c r="K77" s="35" t="e">
        <f t="shared" ca="1" si="56"/>
        <v>#VALUE!</v>
      </c>
      <c r="L77" s="35" t="e">
        <f t="shared" ca="1" si="56"/>
        <v>#VALUE!</v>
      </c>
      <c r="M77" s="35" t="e">
        <f t="shared" ca="1" si="56"/>
        <v>#VALUE!</v>
      </c>
      <c r="N77" s="35" t="e">
        <f t="shared" ca="1" si="56"/>
        <v>#VALUE!</v>
      </c>
      <c r="O77" s="35" t="e">
        <f t="shared" ca="1" si="56"/>
        <v>#VALUE!</v>
      </c>
      <c r="P77" s="35" t="e">
        <f t="shared" ca="1" si="56"/>
        <v>#VALUE!</v>
      </c>
      <c r="Q77" s="35" t="e">
        <f t="shared" ca="1" si="56"/>
        <v>#VALUE!</v>
      </c>
      <c r="R77" s="35" t="e">
        <f t="shared" ca="1" si="56"/>
        <v>#VALUE!</v>
      </c>
      <c r="S77" s="35" t="e">
        <f t="shared" ca="1" si="56"/>
        <v>#VALUE!</v>
      </c>
      <c r="T77" s="35" t="e">
        <f t="shared" ca="1" si="56"/>
        <v>#VALUE!</v>
      </c>
      <c r="U77" s="35" t="e">
        <f t="shared" ca="1" si="56"/>
        <v>#VALUE!</v>
      </c>
      <c r="V77" s="35" t="e">
        <f t="shared" ca="1" si="56"/>
        <v>#VALUE!</v>
      </c>
      <c r="W77" s="77" t="e">
        <f t="shared" ca="1" si="56"/>
        <v>#VALUE!</v>
      </c>
      <c r="X77" s="35" t="e">
        <f t="shared" ca="1" si="56"/>
        <v>#VALUE!</v>
      </c>
      <c r="Y77" s="35" t="e">
        <f t="shared" ca="1" si="56"/>
        <v>#VALUE!</v>
      </c>
      <c r="Z77" s="35" t="e">
        <f t="shared" ca="1" si="56"/>
        <v>#VALUE!</v>
      </c>
      <c r="AA77" s="35" t="e">
        <f t="shared" ca="1" si="56"/>
        <v>#VALUE!</v>
      </c>
      <c r="AB77" s="35" t="e">
        <f t="shared" ca="1" si="56"/>
        <v>#VALUE!</v>
      </c>
      <c r="AC77" s="35" t="e">
        <f t="shared" ca="1" si="56"/>
        <v>#VALUE!</v>
      </c>
      <c r="AD77" s="35" t="e">
        <f t="shared" ca="1" si="56"/>
        <v>#VALUE!</v>
      </c>
      <c r="AE77" s="35" t="e">
        <f t="shared" ca="1" si="56"/>
        <v>#VALUE!</v>
      </c>
      <c r="AF77" s="35" t="e">
        <f t="shared" ca="1" si="56"/>
        <v>#VALUE!</v>
      </c>
      <c r="AG77" s="35" t="e">
        <f t="shared" ca="1" si="56"/>
        <v>#VALUE!</v>
      </c>
      <c r="AH77" s="35" t="e">
        <f t="shared" ca="1" si="56"/>
        <v>#VALUE!</v>
      </c>
      <c r="AI77" s="35" t="e">
        <f t="shared" ca="1" si="56"/>
        <v>#VALUE!</v>
      </c>
      <c r="AJ77" s="35" t="e">
        <f t="shared" ca="1" si="56"/>
        <v>#VALUE!</v>
      </c>
      <c r="AK77" s="35" t="e">
        <f t="shared" ca="1" si="56"/>
        <v>#VALUE!</v>
      </c>
      <c r="AL77" s="35" t="e">
        <f t="shared" ca="1" si="56"/>
        <v>#VALUE!</v>
      </c>
      <c r="AM77" s="35" t="e">
        <f t="shared" ca="1" si="56"/>
        <v>#VALUE!</v>
      </c>
      <c r="AN77" s="35" t="e">
        <f t="shared" ca="1" si="56"/>
        <v>#VALUE!</v>
      </c>
      <c r="AO77" s="35" t="e">
        <f t="shared" ca="1" si="56"/>
        <v>#VALUE!</v>
      </c>
      <c r="AP77" s="35" t="e">
        <f t="shared" ca="1" si="56"/>
        <v>#VALUE!</v>
      </c>
      <c r="AQ77" s="35" t="e">
        <f t="shared" ca="1" si="56"/>
        <v>#VALUE!</v>
      </c>
    </row>
    <row r="78" spans="1:43" ht="10.15" customHeight="1" outlineLevel="1">
      <c r="A78" s="36"/>
      <c r="B78" s="34" t="s">
        <v>74</v>
      </c>
      <c r="C78" s="35" t="e">
        <f t="shared" ref="C78:AQ78" ca="1" si="57">EBlackScholesForward($FA$3,C$20,$A$77,C$22,$C$6,$C$6,$C$7,C$21)</f>
        <v>#VALUE!</v>
      </c>
      <c r="D78" s="35" t="e">
        <f t="shared" ca="1" si="57"/>
        <v>#VALUE!</v>
      </c>
      <c r="E78" s="35" t="e">
        <f t="shared" ca="1" si="57"/>
        <v>#VALUE!</v>
      </c>
      <c r="F78" s="35" t="e">
        <f t="shared" ca="1" si="57"/>
        <v>#VALUE!</v>
      </c>
      <c r="G78" s="35" t="e">
        <f t="shared" ca="1" si="57"/>
        <v>#VALUE!</v>
      </c>
      <c r="H78" s="35" t="e">
        <f t="shared" ca="1" si="57"/>
        <v>#VALUE!</v>
      </c>
      <c r="I78" s="35" t="e">
        <f t="shared" ca="1" si="57"/>
        <v>#VALUE!</v>
      </c>
      <c r="J78" s="35" t="e">
        <f t="shared" ca="1" si="57"/>
        <v>#VALUE!</v>
      </c>
      <c r="K78" s="35" t="e">
        <f t="shared" ca="1" si="57"/>
        <v>#VALUE!</v>
      </c>
      <c r="L78" s="35" t="e">
        <f t="shared" ca="1" si="57"/>
        <v>#VALUE!</v>
      </c>
      <c r="M78" s="35" t="e">
        <f t="shared" ca="1" si="57"/>
        <v>#VALUE!</v>
      </c>
      <c r="N78" s="35" t="e">
        <f t="shared" ca="1" si="57"/>
        <v>#VALUE!</v>
      </c>
      <c r="O78" s="35" t="e">
        <f t="shared" ca="1" si="57"/>
        <v>#VALUE!</v>
      </c>
      <c r="P78" s="35" t="e">
        <f t="shared" ca="1" si="57"/>
        <v>#VALUE!</v>
      </c>
      <c r="Q78" s="35" t="e">
        <f t="shared" ca="1" si="57"/>
        <v>#VALUE!</v>
      </c>
      <c r="R78" s="35" t="e">
        <f t="shared" ca="1" si="57"/>
        <v>#VALUE!</v>
      </c>
      <c r="S78" s="35" t="e">
        <f t="shared" ca="1" si="57"/>
        <v>#VALUE!</v>
      </c>
      <c r="T78" s="35" t="e">
        <f t="shared" ca="1" si="57"/>
        <v>#VALUE!</v>
      </c>
      <c r="U78" s="35" t="e">
        <f t="shared" ca="1" si="57"/>
        <v>#VALUE!</v>
      </c>
      <c r="V78" s="35" t="e">
        <f t="shared" ca="1" si="57"/>
        <v>#VALUE!</v>
      </c>
      <c r="W78" s="77" t="e">
        <f t="shared" ca="1" si="57"/>
        <v>#VALUE!</v>
      </c>
      <c r="X78" s="35" t="e">
        <f t="shared" ca="1" si="57"/>
        <v>#VALUE!</v>
      </c>
      <c r="Y78" s="35" t="e">
        <f t="shared" ca="1" si="57"/>
        <v>#VALUE!</v>
      </c>
      <c r="Z78" s="35" t="e">
        <f t="shared" ca="1" si="57"/>
        <v>#VALUE!</v>
      </c>
      <c r="AA78" s="35" t="e">
        <f t="shared" ca="1" si="57"/>
        <v>#VALUE!</v>
      </c>
      <c r="AB78" s="35" t="e">
        <f t="shared" ca="1" si="57"/>
        <v>#VALUE!</v>
      </c>
      <c r="AC78" s="35" t="e">
        <f t="shared" ca="1" si="57"/>
        <v>#VALUE!</v>
      </c>
      <c r="AD78" s="35" t="e">
        <f t="shared" ca="1" si="57"/>
        <v>#VALUE!</v>
      </c>
      <c r="AE78" s="35" t="e">
        <f t="shared" ca="1" si="57"/>
        <v>#VALUE!</v>
      </c>
      <c r="AF78" s="35" t="e">
        <f t="shared" ca="1" si="57"/>
        <v>#VALUE!</v>
      </c>
      <c r="AG78" s="35" t="e">
        <f t="shared" ca="1" si="57"/>
        <v>#VALUE!</v>
      </c>
      <c r="AH78" s="35" t="e">
        <f t="shared" ca="1" si="57"/>
        <v>#VALUE!</v>
      </c>
      <c r="AI78" s="35" t="e">
        <f t="shared" ca="1" si="57"/>
        <v>#VALUE!</v>
      </c>
      <c r="AJ78" s="35" t="e">
        <f t="shared" ca="1" si="57"/>
        <v>#VALUE!</v>
      </c>
      <c r="AK78" s="35" t="e">
        <f t="shared" ca="1" si="57"/>
        <v>#VALUE!</v>
      </c>
      <c r="AL78" s="35" t="e">
        <f t="shared" ca="1" si="57"/>
        <v>#VALUE!</v>
      </c>
      <c r="AM78" s="35" t="e">
        <f t="shared" ca="1" si="57"/>
        <v>#VALUE!</v>
      </c>
      <c r="AN78" s="35" t="e">
        <f t="shared" ca="1" si="57"/>
        <v>#VALUE!</v>
      </c>
      <c r="AO78" s="35" t="e">
        <f t="shared" ca="1" si="57"/>
        <v>#VALUE!</v>
      </c>
      <c r="AP78" s="35" t="e">
        <f t="shared" ca="1" si="57"/>
        <v>#VALUE!</v>
      </c>
      <c r="AQ78" s="35" t="e">
        <f t="shared" ca="1" si="57"/>
        <v>#VALUE!</v>
      </c>
    </row>
    <row r="79" spans="1:43" ht="10.15" customHeight="1">
      <c r="A79" s="31">
        <f ca="1">A77+$C$12</f>
        <v>46.299999999999962</v>
      </c>
      <c r="B79" s="31" t="s">
        <v>71</v>
      </c>
      <c r="C79" s="32" t="e">
        <f t="shared" ref="C79:AQ79" ca="1" si="58">EBlackScholesForward("p",C$20,$A$79,C$22,$C$6,$C$6,$C$7,C$21)</f>
        <v>#VALUE!</v>
      </c>
      <c r="D79" s="32" t="e">
        <f t="shared" ca="1" si="58"/>
        <v>#VALUE!</v>
      </c>
      <c r="E79" s="32" t="e">
        <f t="shared" ca="1" si="58"/>
        <v>#VALUE!</v>
      </c>
      <c r="F79" s="32" t="e">
        <f t="shared" ca="1" si="58"/>
        <v>#VALUE!</v>
      </c>
      <c r="G79" s="32" t="e">
        <f t="shared" ca="1" si="58"/>
        <v>#VALUE!</v>
      </c>
      <c r="H79" s="32" t="e">
        <f t="shared" ca="1" si="58"/>
        <v>#VALUE!</v>
      </c>
      <c r="I79" s="32" t="e">
        <f t="shared" ca="1" si="58"/>
        <v>#VALUE!</v>
      </c>
      <c r="J79" s="32" t="e">
        <f t="shared" ca="1" si="58"/>
        <v>#VALUE!</v>
      </c>
      <c r="K79" s="32" t="e">
        <f t="shared" ca="1" si="58"/>
        <v>#VALUE!</v>
      </c>
      <c r="L79" s="32" t="e">
        <f t="shared" ca="1" si="58"/>
        <v>#VALUE!</v>
      </c>
      <c r="M79" s="32" t="e">
        <f t="shared" ca="1" si="58"/>
        <v>#VALUE!</v>
      </c>
      <c r="N79" s="32" t="e">
        <f t="shared" ca="1" si="58"/>
        <v>#VALUE!</v>
      </c>
      <c r="O79" s="32" t="e">
        <f t="shared" ca="1" si="58"/>
        <v>#VALUE!</v>
      </c>
      <c r="P79" s="32" t="e">
        <f t="shared" ca="1" si="58"/>
        <v>#VALUE!</v>
      </c>
      <c r="Q79" s="32" t="e">
        <f t="shared" ca="1" si="58"/>
        <v>#VALUE!</v>
      </c>
      <c r="R79" s="32" t="e">
        <f t="shared" ca="1" si="58"/>
        <v>#VALUE!</v>
      </c>
      <c r="S79" s="32" t="e">
        <f t="shared" ca="1" si="58"/>
        <v>#VALUE!</v>
      </c>
      <c r="T79" s="32" t="e">
        <f t="shared" ca="1" si="58"/>
        <v>#VALUE!</v>
      </c>
      <c r="U79" s="32" t="e">
        <f t="shared" ca="1" si="58"/>
        <v>#VALUE!</v>
      </c>
      <c r="V79" s="32" t="e">
        <f t="shared" ca="1" si="58"/>
        <v>#VALUE!</v>
      </c>
      <c r="W79" s="76" t="e">
        <f t="shared" ca="1" si="58"/>
        <v>#VALUE!</v>
      </c>
      <c r="X79" s="32" t="e">
        <f t="shared" ca="1" si="58"/>
        <v>#VALUE!</v>
      </c>
      <c r="Y79" s="32" t="e">
        <f t="shared" ca="1" si="58"/>
        <v>#VALUE!</v>
      </c>
      <c r="Z79" s="32" t="e">
        <f t="shared" ca="1" si="58"/>
        <v>#VALUE!</v>
      </c>
      <c r="AA79" s="32" t="e">
        <f t="shared" ca="1" si="58"/>
        <v>#VALUE!</v>
      </c>
      <c r="AB79" s="32" t="e">
        <f t="shared" ca="1" si="58"/>
        <v>#VALUE!</v>
      </c>
      <c r="AC79" s="32" t="e">
        <f t="shared" ca="1" si="58"/>
        <v>#VALUE!</v>
      </c>
      <c r="AD79" s="32" t="e">
        <f t="shared" ca="1" si="58"/>
        <v>#VALUE!</v>
      </c>
      <c r="AE79" s="32" t="e">
        <f t="shared" ca="1" si="58"/>
        <v>#VALUE!</v>
      </c>
      <c r="AF79" s="32" t="e">
        <f t="shared" ca="1" si="58"/>
        <v>#VALUE!</v>
      </c>
      <c r="AG79" s="32" t="e">
        <f t="shared" ca="1" si="58"/>
        <v>#VALUE!</v>
      </c>
      <c r="AH79" s="32" t="e">
        <f t="shared" ca="1" si="58"/>
        <v>#VALUE!</v>
      </c>
      <c r="AI79" s="32" t="e">
        <f t="shared" ca="1" si="58"/>
        <v>#VALUE!</v>
      </c>
      <c r="AJ79" s="32" t="e">
        <f t="shared" ca="1" si="58"/>
        <v>#VALUE!</v>
      </c>
      <c r="AK79" s="32" t="e">
        <f t="shared" ca="1" si="58"/>
        <v>#VALUE!</v>
      </c>
      <c r="AL79" s="32" t="e">
        <f t="shared" ca="1" si="58"/>
        <v>#VALUE!</v>
      </c>
      <c r="AM79" s="32" t="e">
        <f t="shared" ca="1" si="58"/>
        <v>#VALUE!</v>
      </c>
      <c r="AN79" s="32" t="e">
        <f t="shared" ca="1" si="58"/>
        <v>#VALUE!</v>
      </c>
      <c r="AO79" s="32" t="e">
        <f t="shared" ca="1" si="58"/>
        <v>#VALUE!</v>
      </c>
      <c r="AP79" s="32" t="e">
        <f t="shared" ca="1" si="58"/>
        <v>#VALUE!</v>
      </c>
      <c r="AQ79" s="32" t="e">
        <f t="shared" ca="1" si="58"/>
        <v>#VALUE!</v>
      </c>
    </row>
    <row r="80" spans="1:43" ht="10.15" customHeight="1" outlineLevel="1">
      <c r="A80" s="33"/>
      <c r="B80" s="31" t="s">
        <v>74</v>
      </c>
      <c r="C80" s="32" t="e">
        <f t="shared" ref="C80:AQ80" ca="1" si="59">EBlackScholesForward($FA$3,C$20,$A$79,C$22,$C$6,$C$6,$C$7,C$21)</f>
        <v>#VALUE!</v>
      </c>
      <c r="D80" s="32" t="e">
        <f t="shared" ca="1" si="59"/>
        <v>#VALUE!</v>
      </c>
      <c r="E80" s="32" t="e">
        <f t="shared" ca="1" si="59"/>
        <v>#VALUE!</v>
      </c>
      <c r="F80" s="32" t="e">
        <f t="shared" ca="1" si="59"/>
        <v>#VALUE!</v>
      </c>
      <c r="G80" s="32" t="e">
        <f t="shared" ca="1" si="59"/>
        <v>#VALUE!</v>
      </c>
      <c r="H80" s="32" t="e">
        <f t="shared" ca="1" si="59"/>
        <v>#VALUE!</v>
      </c>
      <c r="I80" s="32" t="e">
        <f t="shared" ca="1" si="59"/>
        <v>#VALUE!</v>
      </c>
      <c r="J80" s="32" t="e">
        <f t="shared" ca="1" si="59"/>
        <v>#VALUE!</v>
      </c>
      <c r="K80" s="32" t="e">
        <f t="shared" ca="1" si="59"/>
        <v>#VALUE!</v>
      </c>
      <c r="L80" s="32" t="e">
        <f t="shared" ca="1" si="59"/>
        <v>#VALUE!</v>
      </c>
      <c r="M80" s="32" t="e">
        <f t="shared" ca="1" si="59"/>
        <v>#VALUE!</v>
      </c>
      <c r="N80" s="32" t="e">
        <f t="shared" ca="1" si="59"/>
        <v>#VALUE!</v>
      </c>
      <c r="O80" s="32" t="e">
        <f t="shared" ca="1" si="59"/>
        <v>#VALUE!</v>
      </c>
      <c r="P80" s="32" t="e">
        <f t="shared" ca="1" si="59"/>
        <v>#VALUE!</v>
      </c>
      <c r="Q80" s="32" t="e">
        <f t="shared" ca="1" si="59"/>
        <v>#VALUE!</v>
      </c>
      <c r="R80" s="32" t="e">
        <f t="shared" ca="1" si="59"/>
        <v>#VALUE!</v>
      </c>
      <c r="S80" s="32" t="e">
        <f t="shared" ca="1" si="59"/>
        <v>#VALUE!</v>
      </c>
      <c r="T80" s="32" t="e">
        <f t="shared" ca="1" si="59"/>
        <v>#VALUE!</v>
      </c>
      <c r="U80" s="32" t="e">
        <f t="shared" ca="1" si="59"/>
        <v>#VALUE!</v>
      </c>
      <c r="V80" s="32" t="e">
        <f t="shared" ca="1" si="59"/>
        <v>#VALUE!</v>
      </c>
      <c r="W80" s="76" t="e">
        <f t="shared" ca="1" si="59"/>
        <v>#VALUE!</v>
      </c>
      <c r="X80" s="32" t="e">
        <f t="shared" ca="1" si="59"/>
        <v>#VALUE!</v>
      </c>
      <c r="Y80" s="32" t="e">
        <f t="shared" ca="1" si="59"/>
        <v>#VALUE!</v>
      </c>
      <c r="Z80" s="32" t="e">
        <f t="shared" ca="1" si="59"/>
        <v>#VALUE!</v>
      </c>
      <c r="AA80" s="32" t="e">
        <f t="shared" ca="1" si="59"/>
        <v>#VALUE!</v>
      </c>
      <c r="AB80" s="32" t="e">
        <f t="shared" ca="1" si="59"/>
        <v>#VALUE!</v>
      </c>
      <c r="AC80" s="32" t="e">
        <f t="shared" ca="1" si="59"/>
        <v>#VALUE!</v>
      </c>
      <c r="AD80" s="32" t="e">
        <f t="shared" ca="1" si="59"/>
        <v>#VALUE!</v>
      </c>
      <c r="AE80" s="32" t="e">
        <f t="shared" ca="1" si="59"/>
        <v>#VALUE!</v>
      </c>
      <c r="AF80" s="32" t="e">
        <f t="shared" ca="1" si="59"/>
        <v>#VALUE!</v>
      </c>
      <c r="AG80" s="32" t="e">
        <f t="shared" ca="1" si="59"/>
        <v>#VALUE!</v>
      </c>
      <c r="AH80" s="32" t="e">
        <f t="shared" ca="1" si="59"/>
        <v>#VALUE!</v>
      </c>
      <c r="AI80" s="32" t="e">
        <f t="shared" ca="1" si="59"/>
        <v>#VALUE!</v>
      </c>
      <c r="AJ80" s="32" t="e">
        <f t="shared" ca="1" si="59"/>
        <v>#VALUE!</v>
      </c>
      <c r="AK80" s="32" t="e">
        <f t="shared" ca="1" si="59"/>
        <v>#VALUE!</v>
      </c>
      <c r="AL80" s="32" t="e">
        <f t="shared" ca="1" si="59"/>
        <v>#VALUE!</v>
      </c>
      <c r="AM80" s="32" t="e">
        <f t="shared" ca="1" si="59"/>
        <v>#VALUE!</v>
      </c>
      <c r="AN80" s="32" t="e">
        <f t="shared" ca="1" si="59"/>
        <v>#VALUE!</v>
      </c>
      <c r="AO80" s="32" t="e">
        <f t="shared" ca="1" si="59"/>
        <v>#VALUE!</v>
      </c>
      <c r="AP80" s="32" t="e">
        <f t="shared" ca="1" si="59"/>
        <v>#VALUE!</v>
      </c>
      <c r="AQ80" s="32" t="e">
        <f t="shared" ca="1" si="59"/>
        <v>#VALUE!</v>
      </c>
    </row>
    <row r="81" spans="1:43" ht="10.15" customHeight="1">
      <c r="A81" s="34">
        <f ca="1">A79+$C$12</f>
        <v>46.349999999999959</v>
      </c>
      <c r="B81" s="34" t="s">
        <v>71</v>
      </c>
      <c r="C81" s="35" t="e">
        <f t="shared" ref="C81:AQ81" ca="1" si="60">EBlackScholesForward("p",C$20,$A$81,C$22,$C$6,$C$6,$C$7,C$21)</f>
        <v>#VALUE!</v>
      </c>
      <c r="D81" s="35" t="e">
        <f t="shared" ca="1" si="60"/>
        <v>#VALUE!</v>
      </c>
      <c r="E81" s="35" t="e">
        <f t="shared" ca="1" si="60"/>
        <v>#VALUE!</v>
      </c>
      <c r="F81" s="35" t="e">
        <f t="shared" ca="1" si="60"/>
        <v>#VALUE!</v>
      </c>
      <c r="G81" s="35" t="e">
        <f t="shared" ca="1" si="60"/>
        <v>#VALUE!</v>
      </c>
      <c r="H81" s="35" t="e">
        <f t="shared" ca="1" si="60"/>
        <v>#VALUE!</v>
      </c>
      <c r="I81" s="35" t="e">
        <f t="shared" ca="1" si="60"/>
        <v>#VALUE!</v>
      </c>
      <c r="J81" s="35" t="e">
        <f t="shared" ca="1" si="60"/>
        <v>#VALUE!</v>
      </c>
      <c r="K81" s="35" t="e">
        <f t="shared" ca="1" si="60"/>
        <v>#VALUE!</v>
      </c>
      <c r="L81" s="35" t="e">
        <f t="shared" ca="1" si="60"/>
        <v>#VALUE!</v>
      </c>
      <c r="M81" s="35" t="e">
        <f t="shared" ca="1" si="60"/>
        <v>#VALUE!</v>
      </c>
      <c r="N81" s="35" t="e">
        <f t="shared" ca="1" si="60"/>
        <v>#VALUE!</v>
      </c>
      <c r="O81" s="35" t="e">
        <f t="shared" ca="1" si="60"/>
        <v>#VALUE!</v>
      </c>
      <c r="P81" s="35" t="e">
        <f t="shared" ca="1" si="60"/>
        <v>#VALUE!</v>
      </c>
      <c r="Q81" s="35" t="e">
        <f t="shared" ca="1" si="60"/>
        <v>#VALUE!</v>
      </c>
      <c r="R81" s="35" t="e">
        <f t="shared" ca="1" si="60"/>
        <v>#VALUE!</v>
      </c>
      <c r="S81" s="35" t="e">
        <f t="shared" ca="1" si="60"/>
        <v>#VALUE!</v>
      </c>
      <c r="T81" s="35" t="e">
        <f t="shared" ca="1" si="60"/>
        <v>#VALUE!</v>
      </c>
      <c r="U81" s="35" t="e">
        <f t="shared" ca="1" si="60"/>
        <v>#VALUE!</v>
      </c>
      <c r="V81" s="35" t="e">
        <f t="shared" ca="1" si="60"/>
        <v>#VALUE!</v>
      </c>
      <c r="W81" s="77" t="e">
        <f t="shared" ca="1" si="60"/>
        <v>#VALUE!</v>
      </c>
      <c r="X81" s="35" t="e">
        <f t="shared" ca="1" si="60"/>
        <v>#VALUE!</v>
      </c>
      <c r="Y81" s="35" t="e">
        <f t="shared" ca="1" si="60"/>
        <v>#VALUE!</v>
      </c>
      <c r="Z81" s="35" t="e">
        <f t="shared" ca="1" si="60"/>
        <v>#VALUE!</v>
      </c>
      <c r="AA81" s="35" t="e">
        <f t="shared" ca="1" si="60"/>
        <v>#VALUE!</v>
      </c>
      <c r="AB81" s="35" t="e">
        <f t="shared" ca="1" si="60"/>
        <v>#VALUE!</v>
      </c>
      <c r="AC81" s="35" t="e">
        <f t="shared" ca="1" si="60"/>
        <v>#VALUE!</v>
      </c>
      <c r="AD81" s="35" t="e">
        <f t="shared" ca="1" si="60"/>
        <v>#VALUE!</v>
      </c>
      <c r="AE81" s="35" t="e">
        <f t="shared" ca="1" si="60"/>
        <v>#VALUE!</v>
      </c>
      <c r="AF81" s="35" t="e">
        <f t="shared" ca="1" si="60"/>
        <v>#VALUE!</v>
      </c>
      <c r="AG81" s="35" t="e">
        <f t="shared" ca="1" si="60"/>
        <v>#VALUE!</v>
      </c>
      <c r="AH81" s="35" t="e">
        <f t="shared" ca="1" si="60"/>
        <v>#VALUE!</v>
      </c>
      <c r="AI81" s="35" t="e">
        <f t="shared" ca="1" si="60"/>
        <v>#VALUE!</v>
      </c>
      <c r="AJ81" s="35" t="e">
        <f t="shared" ca="1" si="60"/>
        <v>#VALUE!</v>
      </c>
      <c r="AK81" s="35" t="e">
        <f t="shared" ca="1" si="60"/>
        <v>#VALUE!</v>
      </c>
      <c r="AL81" s="35" t="e">
        <f t="shared" ca="1" si="60"/>
        <v>#VALUE!</v>
      </c>
      <c r="AM81" s="35" t="e">
        <f t="shared" ca="1" si="60"/>
        <v>#VALUE!</v>
      </c>
      <c r="AN81" s="35" t="e">
        <f t="shared" ca="1" si="60"/>
        <v>#VALUE!</v>
      </c>
      <c r="AO81" s="35" t="e">
        <f t="shared" ca="1" si="60"/>
        <v>#VALUE!</v>
      </c>
      <c r="AP81" s="35" t="e">
        <f t="shared" ca="1" si="60"/>
        <v>#VALUE!</v>
      </c>
      <c r="AQ81" s="35" t="e">
        <f t="shared" ca="1" si="60"/>
        <v>#VALUE!</v>
      </c>
    </row>
    <row r="82" spans="1:43" ht="10.15" customHeight="1" outlineLevel="1">
      <c r="A82" s="36"/>
      <c r="B82" s="34" t="s">
        <v>74</v>
      </c>
      <c r="C82" s="35" t="e">
        <f t="shared" ref="C82:AQ82" ca="1" si="61">EBlackScholesForward($FA$3,C$20,$A$81,C$22,$C$6,$C$6,$C$7,C$21)</f>
        <v>#VALUE!</v>
      </c>
      <c r="D82" s="35" t="e">
        <f t="shared" ca="1" si="61"/>
        <v>#VALUE!</v>
      </c>
      <c r="E82" s="35" t="e">
        <f t="shared" ca="1" si="61"/>
        <v>#VALUE!</v>
      </c>
      <c r="F82" s="35" t="e">
        <f t="shared" ca="1" si="61"/>
        <v>#VALUE!</v>
      </c>
      <c r="G82" s="35" t="e">
        <f t="shared" ca="1" si="61"/>
        <v>#VALUE!</v>
      </c>
      <c r="H82" s="35" t="e">
        <f t="shared" ca="1" si="61"/>
        <v>#VALUE!</v>
      </c>
      <c r="I82" s="35" t="e">
        <f t="shared" ca="1" si="61"/>
        <v>#VALUE!</v>
      </c>
      <c r="J82" s="35" t="e">
        <f t="shared" ca="1" si="61"/>
        <v>#VALUE!</v>
      </c>
      <c r="K82" s="35" t="e">
        <f t="shared" ca="1" si="61"/>
        <v>#VALUE!</v>
      </c>
      <c r="L82" s="35" t="e">
        <f t="shared" ca="1" si="61"/>
        <v>#VALUE!</v>
      </c>
      <c r="M82" s="35" t="e">
        <f t="shared" ca="1" si="61"/>
        <v>#VALUE!</v>
      </c>
      <c r="N82" s="35" t="e">
        <f t="shared" ca="1" si="61"/>
        <v>#VALUE!</v>
      </c>
      <c r="O82" s="35" t="e">
        <f t="shared" ca="1" si="61"/>
        <v>#VALUE!</v>
      </c>
      <c r="P82" s="35" t="e">
        <f t="shared" ca="1" si="61"/>
        <v>#VALUE!</v>
      </c>
      <c r="Q82" s="35" t="e">
        <f t="shared" ca="1" si="61"/>
        <v>#VALUE!</v>
      </c>
      <c r="R82" s="35" t="e">
        <f t="shared" ca="1" si="61"/>
        <v>#VALUE!</v>
      </c>
      <c r="S82" s="35" t="e">
        <f t="shared" ca="1" si="61"/>
        <v>#VALUE!</v>
      </c>
      <c r="T82" s="35" t="e">
        <f t="shared" ca="1" si="61"/>
        <v>#VALUE!</v>
      </c>
      <c r="U82" s="35" t="e">
        <f t="shared" ca="1" si="61"/>
        <v>#VALUE!</v>
      </c>
      <c r="V82" s="35" t="e">
        <f t="shared" ca="1" si="61"/>
        <v>#VALUE!</v>
      </c>
      <c r="W82" s="77" t="e">
        <f t="shared" ca="1" si="61"/>
        <v>#VALUE!</v>
      </c>
      <c r="X82" s="35" t="e">
        <f t="shared" ca="1" si="61"/>
        <v>#VALUE!</v>
      </c>
      <c r="Y82" s="35" t="e">
        <f t="shared" ca="1" si="61"/>
        <v>#VALUE!</v>
      </c>
      <c r="Z82" s="35" t="e">
        <f t="shared" ca="1" si="61"/>
        <v>#VALUE!</v>
      </c>
      <c r="AA82" s="35" t="e">
        <f t="shared" ca="1" si="61"/>
        <v>#VALUE!</v>
      </c>
      <c r="AB82" s="35" t="e">
        <f t="shared" ca="1" si="61"/>
        <v>#VALUE!</v>
      </c>
      <c r="AC82" s="35" t="e">
        <f t="shared" ca="1" si="61"/>
        <v>#VALUE!</v>
      </c>
      <c r="AD82" s="35" t="e">
        <f t="shared" ca="1" si="61"/>
        <v>#VALUE!</v>
      </c>
      <c r="AE82" s="35" t="e">
        <f t="shared" ca="1" si="61"/>
        <v>#VALUE!</v>
      </c>
      <c r="AF82" s="35" t="e">
        <f t="shared" ca="1" si="61"/>
        <v>#VALUE!</v>
      </c>
      <c r="AG82" s="35" t="e">
        <f t="shared" ca="1" si="61"/>
        <v>#VALUE!</v>
      </c>
      <c r="AH82" s="35" t="e">
        <f t="shared" ca="1" si="61"/>
        <v>#VALUE!</v>
      </c>
      <c r="AI82" s="35" t="e">
        <f t="shared" ca="1" si="61"/>
        <v>#VALUE!</v>
      </c>
      <c r="AJ82" s="35" t="e">
        <f t="shared" ca="1" si="61"/>
        <v>#VALUE!</v>
      </c>
      <c r="AK82" s="35" t="e">
        <f t="shared" ca="1" si="61"/>
        <v>#VALUE!</v>
      </c>
      <c r="AL82" s="35" t="e">
        <f t="shared" ca="1" si="61"/>
        <v>#VALUE!</v>
      </c>
      <c r="AM82" s="35" t="e">
        <f t="shared" ca="1" si="61"/>
        <v>#VALUE!</v>
      </c>
      <c r="AN82" s="35" t="e">
        <f t="shared" ca="1" si="61"/>
        <v>#VALUE!</v>
      </c>
      <c r="AO82" s="35" t="e">
        <f t="shared" ca="1" si="61"/>
        <v>#VALUE!</v>
      </c>
      <c r="AP82" s="35" t="e">
        <f t="shared" ca="1" si="61"/>
        <v>#VALUE!</v>
      </c>
      <c r="AQ82" s="35" t="e">
        <f t="shared" ca="1" si="61"/>
        <v>#VALUE!</v>
      </c>
    </row>
    <row r="83" spans="1:43" ht="10.15" customHeight="1">
      <c r="A83" s="31">
        <f ca="1">A81+$C$12</f>
        <v>46.399999999999956</v>
      </c>
      <c r="B83" s="31" t="s">
        <v>71</v>
      </c>
      <c r="C83" s="32" t="e">
        <f t="shared" ref="C83:AQ83" ca="1" si="62">EBlackScholesForward("p",C$20,$A$83,C$22,$C$6,$C$6,$C$7,C$21)</f>
        <v>#VALUE!</v>
      </c>
      <c r="D83" s="32" t="e">
        <f t="shared" ca="1" si="62"/>
        <v>#VALUE!</v>
      </c>
      <c r="E83" s="32" t="e">
        <f t="shared" ca="1" si="62"/>
        <v>#VALUE!</v>
      </c>
      <c r="F83" s="32" t="e">
        <f t="shared" ca="1" si="62"/>
        <v>#VALUE!</v>
      </c>
      <c r="G83" s="32" t="e">
        <f t="shared" ca="1" si="62"/>
        <v>#VALUE!</v>
      </c>
      <c r="H83" s="32" t="e">
        <f t="shared" ca="1" si="62"/>
        <v>#VALUE!</v>
      </c>
      <c r="I83" s="32" t="e">
        <f t="shared" ca="1" si="62"/>
        <v>#VALUE!</v>
      </c>
      <c r="J83" s="32" t="e">
        <f t="shared" ca="1" si="62"/>
        <v>#VALUE!</v>
      </c>
      <c r="K83" s="32" t="e">
        <f t="shared" ca="1" si="62"/>
        <v>#VALUE!</v>
      </c>
      <c r="L83" s="32" t="e">
        <f t="shared" ca="1" si="62"/>
        <v>#VALUE!</v>
      </c>
      <c r="M83" s="32" t="e">
        <f t="shared" ca="1" si="62"/>
        <v>#VALUE!</v>
      </c>
      <c r="N83" s="32" t="e">
        <f t="shared" ca="1" si="62"/>
        <v>#VALUE!</v>
      </c>
      <c r="O83" s="32" t="e">
        <f t="shared" ca="1" si="62"/>
        <v>#VALUE!</v>
      </c>
      <c r="P83" s="32" t="e">
        <f t="shared" ca="1" si="62"/>
        <v>#VALUE!</v>
      </c>
      <c r="Q83" s="32" t="e">
        <f t="shared" ca="1" si="62"/>
        <v>#VALUE!</v>
      </c>
      <c r="R83" s="32" t="e">
        <f t="shared" ca="1" si="62"/>
        <v>#VALUE!</v>
      </c>
      <c r="S83" s="32" t="e">
        <f t="shared" ca="1" si="62"/>
        <v>#VALUE!</v>
      </c>
      <c r="T83" s="32" t="e">
        <f t="shared" ca="1" si="62"/>
        <v>#VALUE!</v>
      </c>
      <c r="U83" s="32" t="e">
        <f t="shared" ca="1" si="62"/>
        <v>#VALUE!</v>
      </c>
      <c r="V83" s="32" t="e">
        <f t="shared" ca="1" si="62"/>
        <v>#VALUE!</v>
      </c>
      <c r="W83" s="76" t="e">
        <f t="shared" ca="1" si="62"/>
        <v>#VALUE!</v>
      </c>
      <c r="X83" s="32" t="e">
        <f t="shared" ca="1" si="62"/>
        <v>#VALUE!</v>
      </c>
      <c r="Y83" s="32" t="e">
        <f t="shared" ca="1" si="62"/>
        <v>#VALUE!</v>
      </c>
      <c r="Z83" s="32" t="e">
        <f t="shared" ca="1" si="62"/>
        <v>#VALUE!</v>
      </c>
      <c r="AA83" s="32" t="e">
        <f t="shared" ca="1" si="62"/>
        <v>#VALUE!</v>
      </c>
      <c r="AB83" s="32" t="e">
        <f t="shared" ca="1" si="62"/>
        <v>#VALUE!</v>
      </c>
      <c r="AC83" s="32" t="e">
        <f t="shared" ca="1" si="62"/>
        <v>#VALUE!</v>
      </c>
      <c r="AD83" s="32" t="e">
        <f t="shared" ca="1" si="62"/>
        <v>#VALUE!</v>
      </c>
      <c r="AE83" s="32" t="e">
        <f t="shared" ca="1" si="62"/>
        <v>#VALUE!</v>
      </c>
      <c r="AF83" s="32" t="e">
        <f t="shared" ca="1" si="62"/>
        <v>#VALUE!</v>
      </c>
      <c r="AG83" s="32" t="e">
        <f t="shared" ca="1" si="62"/>
        <v>#VALUE!</v>
      </c>
      <c r="AH83" s="32" t="e">
        <f t="shared" ca="1" si="62"/>
        <v>#VALUE!</v>
      </c>
      <c r="AI83" s="32" t="e">
        <f t="shared" ca="1" si="62"/>
        <v>#VALUE!</v>
      </c>
      <c r="AJ83" s="32" t="e">
        <f t="shared" ca="1" si="62"/>
        <v>#VALUE!</v>
      </c>
      <c r="AK83" s="32" t="e">
        <f t="shared" ca="1" si="62"/>
        <v>#VALUE!</v>
      </c>
      <c r="AL83" s="32" t="e">
        <f t="shared" ca="1" si="62"/>
        <v>#VALUE!</v>
      </c>
      <c r="AM83" s="32" t="e">
        <f t="shared" ca="1" si="62"/>
        <v>#VALUE!</v>
      </c>
      <c r="AN83" s="32" t="e">
        <f t="shared" ca="1" si="62"/>
        <v>#VALUE!</v>
      </c>
      <c r="AO83" s="32" t="e">
        <f t="shared" ca="1" si="62"/>
        <v>#VALUE!</v>
      </c>
      <c r="AP83" s="32" t="e">
        <f t="shared" ca="1" si="62"/>
        <v>#VALUE!</v>
      </c>
      <c r="AQ83" s="32" t="e">
        <f t="shared" ca="1" si="62"/>
        <v>#VALUE!</v>
      </c>
    </row>
    <row r="84" spans="1:43" ht="10.15" customHeight="1" outlineLevel="1">
      <c r="A84" s="33"/>
      <c r="B84" s="31" t="s">
        <v>74</v>
      </c>
      <c r="C84" s="32" t="e">
        <f t="shared" ref="C84:AQ84" ca="1" si="63">EBlackScholesForward($FA$3,C$20,$A$83,C$22,$C$6,$C$6,$C$7,C$21)</f>
        <v>#VALUE!</v>
      </c>
      <c r="D84" s="32" t="e">
        <f t="shared" ca="1" si="63"/>
        <v>#VALUE!</v>
      </c>
      <c r="E84" s="32" t="e">
        <f t="shared" ca="1" si="63"/>
        <v>#VALUE!</v>
      </c>
      <c r="F84" s="32" t="e">
        <f t="shared" ca="1" si="63"/>
        <v>#VALUE!</v>
      </c>
      <c r="G84" s="32" t="e">
        <f t="shared" ca="1" si="63"/>
        <v>#VALUE!</v>
      </c>
      <c r="H84" s="32" t="e">
        <f t="shared" ca="1" si="63"/>
        <v>#VALUE!</v>
      </c>
      <c r="I84" s="32" t="e">
        <f t="shared" ca="1" si="63"/>
        <v>#VALUE!</v>
      </c>
      <c r="J84" s="32" t="e">
        <f t="shared" ca="1" si="63"/>
        <v>#VALUE!</v>
      </c>
      <c r="K84" s="32" t="e">
        <f t="shared" ca="1" si="63"/>
        <v>#VALUE!</v>
      </c>
      <c r="L84" s="32" t="e">
        <f t="shared" ca="1" si="63"/>
        <v>#VALUE!</v>
      </c>
      <c r="M84" s="32" t="e">
        <f t="shared" ca="1" si="63"/>
        <v>#VALUE!</v>
      </c>
      <c r="N84" s="32" t="e">
        <f t="shared" ca="1" si="63"/>
        <v>#VALUE!</v>
      </c>
      <c r="O84" s="32" t="e">
        <f t="shared" ca="1" si="63"/>
        <v>#VALUE!</v>
      </c>
      <c r="P84" s="32" t="e">
        <f t="shared" ca="1" si="63"/>
        <v>#VALUE!</v>
      </c>
      <c r="Q84" s="32" t="e">
        <f t="shared" ca="1" si="63"/>
        <v>#VALUE!</v>
      </c>
      <c r="R84" s="32" t="e">
        <f t="shared" ca="1" si="63"/>
        <v>#VALUE!</v>
      </c>
      <c r="S84" s="32" t="e">
        <f t="shared" ca="1" si="63"/>
        <v>#VALUE!</v>
      </c>
      <c r="T84" s="32" t="e">
        <f t="shared" ca="1" si="63"/>
        <v>#VALUE!</v>
      </c>
      <c r="U84" s="32" t="e">
        <f t="shared" ca="1" si="63"/>
        <v>#VALUE!</v>
      </c>
      <c r="V84" s="32" t="e">
        <f t="shared" ca="1" si="63"/>
        <v>#VALUE!</v>
      </c>
      <c r="W84" s="78" t="e">
        <f t="shared" ca="1" si="63"/>
        <v>#VALUE!</v>
      </c>
      <c r="X84" s="32" t="e">
        <f t="shared" ca="1" si="63"/>
        <v>#VALUE!</v>
      </c>
      <c r="Y84" s="32" t="e">
        <f t="shared" ca="1" si="63"/>
        <v>#VALUE!</v>
      </c>
      <c r="Z84" s="32" t="e">
        <f t="shared" ca="1" si="63"/>
        <v>#VALUE!</v>
      </c>
      <c r="AA84" s="32" t="e">
        <f t="shared" ca="1" si="63"/>
        <v>#VALUE!</v>
      </c>
      <c r="AB84" s="32" t="e">
        <f t="shared" ca="1" si="63"/>
        <v>#VALUE!</v>
      </c>
      <c r="AC84" s="32" t="e">
        <f t="shared" ca="1" si="63"/>
        <v>#VALUE!</v>
      </c>
      <c r="AD84" s="32" t="e">
        <f t="shared" ca="1" si="63"/>
        <v>#VALUE!</v>
      </c>
      <c r="AE84" s="32" t="e">
        <f t="shared" ca="1" si="63"/>
        <v>#VALUE!</v>
      </c>
      <c r="AF84" s="32" t="e">
        <f t="shared" ca="1" si="63"/>
        <v>#VALUE!</v>
      </c>
      <c r="AG84" s="32" t="e">
        <f t="shared" ca="1" si="63"/>
        <v>#VALUE!</v>
      </c>
      <c r="AH84" s="32" t="e">
        <f t="shared" ca="1" si="63"/>
        <v>#VALUE!</v>
      </c>
      <c r="AI84" s="32" t="e">
        <f t="shared" ca="1" si="63"/>
        <v>#VALUE!</v>
      </c>
      <c r="AJ84" s="32" t="e">
        <f t="shared" ca="1" si="63"/>
        <v>#VALUE!</v>
      </c>
      <c r="AK84" s="32" t="e">
        <f t="shared" ca="1" si="63"/>
        <v>#VALUE!</v>
      </c>
      <c r="AL84" s="32" t="e">
        <f t="shared" ca="1" si="63"/>
        <v>#VALUE!</v>
      </c>
      <c r="AM84" s="32" t="e">
        <f t="shared" ca="1" si="63"/>
        <v>#VALUE!</v>
      </c>
      <c r="AN84" s="32" t="e">
        <f t="shared" ca="1" si="63"/>
        <v>#VALUE!</v>
      </c>
      <c r="AO84" s="32" t="e">
        <f t="shared" ca="1" si="63"/>
        <v>#VALUE!</v>
      </c>
      <c r="AP84" s="32" t="e">
        <f t="shared" ca="1" si="63"/>
        <v>#VALUE!</v>
      </c>
      <c r="AQ84" s="32" t="e">
        <f t="shared" ca="1" si="63"/>
        <v>#VALUE!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sheetProtection sheet="1" objects="1" scenarios="1"/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A85"/>
  <sheetViews>
    <sheetView workbookViewId="0">
      <pane xSplit="2" ySplit="22" topLeftCell="C23" activePane="bottomRight" state="frozen"/>
      <selection pane="topRight" activeCell="C1" sqref="C1"/>
      <selection pane="bottomLeft" activeCell="A23" sqref="A23"/>
      <selection pane="bottomRight" activeCell="A53" sqref="A53"/>
    </sheetView>
  </sheetViews>
  <sheetFormatPr defaultRowHeight="12" outlineLevelRow="1"/>
  <cols>
    <col min="1" max="1" width="12.5703125" style="19" customWidth="1"/>
    <col min="2" max="2" width="3.140625" style="19" bestFit="1" customWidth="1"/>
    <col min="3" max="3" width="8.7109375" style="19" bestFit="1" customWidth="1"/>
    <col min="4" max="6" width="6.28515625" style="19" bestFit="1" customWidth="1"/>
    <col min="7" max="7" width="6.85546875" style="19" bestFit="1" customWidth="1"/>
    <col min="8" max="8" width="7.140625" style="19" bestFit="1" customWidth="1"/>
    <col min="9" max="10" width="6.85546875" style="19" customWidth="1"/>
    <col min="11" max="16" width="6.28515625" style="19" bestFit="1" customWidth="1"/>
    <col min="17" max="17" width="6" style="19" customWidth="1"/>
    <col min="18" max="22" width="6.28515625" style="19" bestFit="1" customWidth="1"/>
    <col min="23" max="23" width="6.5703125" style="19" customWidth="1"/>
    <col min="24" max="33" width="6.28515625" style="19" bestFit="1" customWidth="1"/>
    <col min="34" max="35" width="6.7109375" style="19" customWidth="1"/>
    <col min="36" max="37" width="7.140625" style="19" customWidth="1"/>
    <col min="38" max="39" width="6.85546875" style="19" customWidth="1"/>
    <col min="40" max="40" width="6.7109375" style="19" customWidth="1"/>
    <col min="41" max="41" width="7.140625" style="19" customWidth="1"/>
    <col min="42" max="43" width="6.7109375" style="19" customWidth="1"/>
    <col min="44" max="16384" width="9.140625" style="19"/>
  </cols>
  <sheetData>
    <row r="1" spans="1:157" ht="23.25">
      <c r="A1" s="16" t="s">
        <v>72</v>
      </c>
      <c r="B1" s="16"/>
      <c r="C1" s="16"/>
      <c r="D1" s="16"/>
      <c r="E1" s="16"/>
      <c r="F1" s="1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8"/>
      <c r="AB1" s="16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157">
      <c r="A2" s="20" t="s">
        <v>14</v>
      </c>
      <c r="B2" s="20"/>
      <c r="C2" s="22" t="s">
        <v>2</v>
      </c>
      <c r="D2" s="21"/>
      <c r="E2" s="20" t="s">
        <v>1</v>
      </c>
      <c r="F2" s="22"/>
      <c r="G2" s="23"/>
      <c r="H2" s="23"/>
      <c r="I2" s="23"/>
      <c r="J2" s="24"/>
      <c r="K2" s="20"/>
      <c r="L2" s="20"/>
      <c r="M2" s="21"/>
      <c r="N2" s="21"/>
      <c r="O2" s="21"/>
      <c r="P2" s="21"/>
      <c r="Q2" s="21"/>
      <c r="R2" s="21"/>
      <c r="S2" s="21"/>
      <c r="T2" s="21"/>
      <c r="U2" s="20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</row>
    <row r="3" spans="1:157" ht="10.15" customHeight="1">
      <c r="A3" s="21" t="s">
        <v>44</v>
      </c>
      <c r="B3" s="21"/>
      <c r="C3" s="67" t="s">
        <v>64</v>
      </c>
      <c r="D3" s="21"/>
      <c r="E3" s="25" t="s">
        <v>70</v>
      </c>
      <c r="F3" s="62">
        <f ca="1">C13</f>
        <v>50</v>
      </c>
      <c r="G3" s="62">
        <f ca="1">F3-C15</f>
        <v>45</v>
      </c>
      <c r="H3" s="62">
        <f ca="1">F3-2*C15</f>
        <v>40</v>
      </c>
      <c r="I3" s="62">
        <f ca="1">F3-3*C15</f>
        <v>35</v>
      </c>
      <c r="J3" s="62">
        <f ca="1">F3-4*C15</f>
        <v>30</v>
      </c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EY3" s="89" t="s">
        <v>5</v>
      </c>
      <c r="EZ3" s="89">
        <v>1</v>
      </c>
      <c r="FA3" s="89" t="str">
        <f ca="1">IF(EZ3=1,"d",IF(EZ3=2,"g",IF(EZ3=3,"t","v")))</f>
        <v>d</v>
      </c>
    </row>
    <row r="4" spans="1:157" ht="10.15" customHeight="1">
      <c r="A4" s="21" t="s">
        <v>51</v>
      </c>
      <c r="B4" s="21"/>
      <c r="C4" s="68">
        <f ca="1">TODAY()</f>
        <v>41072</v>
      </c>
      <c r="D4" s="21"/>
      <c r="E4" s="25" t="s">
        <v>69</v>
      </c>
      <c r="F4" s="63">
        <f ca="1">C14+F5</f>
        <v>0.17249999999999999</v>
      </c>
      <c r="G4" s="64">
        <f ca="1">$F$4+G5</f>
        <v>0.17499999999999999</v>
      </c>
      <c r="H4" s="64">
        <f ca="1">$F$4+H5</f>
        <v>0.17749999999999999</v>
      </c>
      <c r="I4" s="64">
        <f ca="1">$F$4+I5</f>
        <v>0.18</v>
      </c>
      <c r="J4" s="64">
        <f ca="1">$F$4+J5</f>
        <v>0.1825</v>
      </c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EY4" s="89" t="s">
        <v>77</v>
      </c>
      <c r="EZ4" s="89"/>
      <c r="FA4" s="89"/>
    </row>
    <row r="5" spans="1:157" ht="10.15" customHeight="1">
      <c r="A5" s="21" t="s">
        <v>47</v>
      </c>
      <c r="B5" s="21"/>
      <c r="C5" s="68">
        <v>40885</v>
      </c>
      <c r="D5" s="21"/>
      <c r="E5" s="21" t="s">
        <v>68</v>
      </c>
      <c r="F5" s="65">
        <v>0</v>
      </c>
      <c r="G5" s="66">
        <v>2.5000000000000001E-3</v>
      </c>
      <c r="H5" s="66">
        <v>5.0000000000000001E-3</v>
      </c>
      <c r="I5" s="66">
        <v>7.4999999999999997E-3</v>
      </c>
      <c r="J5" s="66">
        <v>0.01</v>
      </c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EY5" s="89" t="s">
        <v>76</v>
      </c>
      <c r="EZ5" s="89"/>
      <c r="FA5" s="89"/>
    </row>
    <row r="6" spans="1:157" ht="10.15" customHeight="1">
      <c r="A6" s="21" t="s">
        <v>65</v>
      </c>
      <c r="B6" s="21"/>
      <c r="C6" s="72">
        <f ca="1">(C5-TODAY())/365</f>
        <v>-0.51232876712328768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EY6" s="89" t="s">
        <v>3</v>
      </c>
      <c r="EZ6" s="89"/>
      <c r="FA6" s="89"/>
    </row>
    <row r="7" spans="1:157" ht="10.15" customHeight="1">
      <c r="A7" s="21" t="s">
        <v>52</v>
      </c>
      <c r="B7" s="21"/>
      <c r="C7" s="70">
        <v>1.4999999999999999E-2</v>
      </c>
      <c r="D7" s="21"/>
      <c r="E7" s="20" t="s">
        <v>0</v>
      </c>
      <c r="F7" s="22"/>
      <c r="G7" s="23"/>
      <c r="H7" s="23"/>
      <c r="I7" s="23"/>
      <c r="J7" s="24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</row>
    <row r="8" spans="1:157" ht="10.15" customHeight="1">
      <c r="A8" s="21"/>
      <c r="B8" s="21"/>
      <c r="C8" s="21"/>
      <c r="D8" s="21"/>
      <c r="E8" s="25" t="s">
        <v>70</v>
      </c>
      <c r="F8" s="62">
        <f ca="1">C13</f>
        <v>50</v>
      </c>
      <c r="G8" s="62">
        <f ca="1">F8+C15</f>
        <v>55</v>
      </c>
      <c r="H8" s="62">
        <f ca="1">F8+2*C15</f>
        <v>60</v>
      </c>
      <c r="I8" s="62">
        <f ca="1">F8+3*C15</f>
        <v>65</v>
      </c>
      <c r="J8" s="62">
        <f ca="1">F8+4*C15</f>
        <v>70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</row>
    <row r="9" spans="1:157" ht="10.15" customHeight="1">
      <c r="A9" s="21"/>
      <c r="B9" s="21"/>
      <c r="C9" s="21"/>
      <c r="D9" s="21"/>
      <c r="E9" s="21" t="s">
        <v>69</v>
      </c>
      <c r="F9" s="63">
        <f ca="1">C14+F10</f>
        <v>0.17249999999999999</v>
      </c>
      <c r="G9" s="64">
        <f ca="1">$F$9+G10</f>
        <v>0.17749999999999999</v>
      </c>
      <c r="H9" s="64">
        <f ca="1">$F$9+H10</f>
        <v>0.1825</v>
      </c>
      <c r="I9" s="64">
        <f ca="1">$F$9+I10</f>
        <v>0.1875</v>
      </c>
      <c r="J9" s="64">
        <f ca="1">$F$9+J10</f>
        <v>0.19249999999999998</v>
      </c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</row>
    <row r="10" spans="1:157" ht="10.15" customHeight="1">
      <c r="A10" s="20" t="s">
        <v>43</v>
      </c>
      <c r="B10" s="20"/>
      <c r="C10" s="22" t="s">
        <v>67</v>
      </c>
      <c r="D10" s="21"/>
      <c r="E10" s="25" t="s">
        <v>68</v>
      </c>
      <c r="F10" s="65">
        <v>0</v>
      </c>
      <c r="G10" s="66">
        <v>5.0000000000000001E-3</v>
      </c>
      <c r="H10" s="66">
        <v>0.01</v>
      </c>
      <c r="I10" s="66">
        <v>1.4999999999999999E-2</v>
      </c>
      <c r="J10" s="66">
        <v>0.02</v>
      </c>
      <c r="K10" s="20"/>
      <c r="L10" s="20"/>
      <c r="M10" s="21"/>
      <c r="N10" s="21"/>
      <c r="O10" s="21"/>
      <c r="P10" s="21"/>
      <c r="Q10" s="21"/>
      <c r="R10" s="21"/>
      <c r="S10" s="21"/>
      <c r="T10" s="21"/>
      <c r="U10" s="20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</row>
    <row r="11" spans="1:157" ht="10.15" customHeight="1">
      <c r="A11" s="21" t="s">
        <v>45</v>
      </c>
      <c r="B11" s="21"/>
      <c r="C11" s="69">
        <v>50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</row>
    <row r="12" spans="1:157" ht="10.15" customHeight="1">
      <c r="A12" s="21" t="s">
        <v>48</v>
      </c>
      <c r="B12" s="21"/>
      <c r="C12" s="69">
        <v>0.05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</row>
    <row r="13" spans="1:157" ht="10.15" customHeight="1">
      <c r="A13" s="21" t="s">
        <v>49</v>
      </c>
      <c r="B13" s="21"/>
      <c r="C13" s="69">
        <v>50</v>
      </c>
      <c r="D13" s="21"/>
      <c r="E13" s="21"/>
      <c r="F13" s="21" t="s">
        <v>79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</row>
    <row r="14" spans="1:157" ht="10.15" customHeight="1">
      <c r="A14" s="21" t="s">
        <v>46</v>
      </c>
      <c r="B14" s="21"/>
      <c r="C14" s="91">
        <v>0.17249999999999999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</row>
    <row r="15" spans="1:157" ht="10.15" customHeight="1">
      <c r="A15" s="21" t="s">
        <v>78</v>
      </c>
      <c r="B15" s="21"/>
      <c r="C15" s="69">
        <v>5</v>
      </c>
      <c r="D15" s="21"/>
      <c r="E15" s="20" t="s">
        <v>75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</row>
    <row r="16" spans="1:157" ht="10.15" customHeight="1">
      <c r="A16" s="21" t="s">
        <v>50</v>
      </c>
      <c r="B16" s="21"/>
      <c r="C16" s="72">
        <f ca="1">C15/5</f>
        <v>1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</row>
    <row r="17" spans="1:43" ht="10.15" customHeight="1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>
        <v>1</v>
      </c>
    </row>
    <row r="18" spans="1:43" ht="10.15" customHeight="1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2" t="s">
        <v>46</v>
      </c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</row>
    <row r="19" spans="1:43" ht="13.5" customHeight="1">
      <c r="A19" s="21"/>
      <c r="B19" s="21"/>
      <c r="C19" s="140" t="s">
        <v>66</v>
      </c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22" t="s">
        <v>49</v>
      </c>
      <c r="X19" s="140" t="s">
        <v>53</v>
      </c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</row>
    <row r="20" spans="1:43" ht="10.15" customHeight="1">
      <c r="A20" s="26" t="s">
        <v>14</v>
      </c>
      <c r="B20" s="26"/>
      <c r="C20" s="38" t="str">
        <f t="shared" ref="C20:AQ20" ca="1" si="0">IF(C22&lt;$C$11,"p","c")</f>
        <v>p</v>
      </c>
      <c r="D20" s="38" t="str">
        <f t="shared" ca="1" si="0"/>
        <v>p</v>
      </c>
      <c r="E20" s="38" t="str">
        <f t="shared" ca="1" si="0"/>
        <v>p</v>
      </c>
      <c r="F20" s="38" t="str">
        <f t="shared" ca="1" si="0"/>
        <v>p</v>
      </c>
      <c r="G20" s="38" t="str">
        <f t="shared" ca="1" si="0"/>
        <v>p</v>
      </c>
      <c r="H20" s="38" t="str">
        <f t="shared" ca="1" si="0"/>
        <v>p</v>
      </c>
      <c r="I20" s="38" t="str">
        <f t="shared" ca="1" si="0"/>
        <v>p</v>
      </c>
      <c r="J20" s="38" t="str">
        <f t="shared" ca="1" si="0"/>
        <v>p</v>
      </c>
      <c r="K20" s="38" t="str">
        <f t="shared" ca="1" si="0"/>
        <v>p</v>
      </c>
      <c r="L20" s="38" t="str">
        <f t="shared" ca="1" si="0"/>
        <v>p</v>
      </c>
      <c r="M20" s="38" t="str">
        <f t="shared" ca="1" si="0"/>
        <v>p</v>
      </c>
      <c r="N20" s="38" t="str">
        <f t="shared" ca="1" si="0"/>
        <v>p</v>
      </c>
      <c r="O20" s="38" t="str">
        <f t="shared" ca="1" si="0"/>
        <v>p</v>
      </c>
      <c r="P20" s="38" t="str">
        <f t="shared" ca="1" si="0"/>
        <v>p</v>
      </c>
      <c r="Q20" s="38" t="str">
        <f t="shared" ca="1" si="0"/>
        <v>p</v>
      </c>
      <c r="R20" s="38" t="str">
        <f t="shared" ca="1" si="0"/>
        <v>p</v>
      </c>
      <c r="S20" s="38" t="str">
        <f t="shared" ca="1" si="0"/>
        <v>p</v>
      </c>
      <c r="T20" s="38" t="str">
        <f t="shared" ca="1" si="0"/>
        <v>p</v>
      </c>
      <c r="U20" s="38" t="str">
        <f t="shared" ca="1" si="0"/>
        <v>p</v>
      </c>
      <c r="V20" s="38" t="str">
        <f t="shared" ca="1" si="0"/>
        <v>p</v>
      </c>
      <c r="W20" s="73" t="s">
        <v>80</v>
      </c>
      <c r="X20" s="38" t="str">
        <f t="shared" ca="1" si="0"/>
        <v>c</v>
      </c>
      <c r="Y20" s="38" t="str">
        <f t="shared" ca="1" si="0"/>
        <v>c</v>
      </c>
      <c r="Z20" s="38" t="str">
        <f t="shared" ca="1" si="0"/>
        <v>c</v>
      </c>
      <c r="AA20" s="38" t="str">
        <f t="shared" ca="1" si="0"/>
        <v>c</v>
      </c>
      <c r="AB20" s="38" t="str">
        <f t="shared" ca="1" si="0"/>
        <v>c</v>
      </c>
      <c r="AC20" s="38" t="str">
        <f t="shared" ca="1" si="0"/>
        <v>c</v>
      </c>
      <c r="AD20" s="38" t="str">
        <f t="shared" ca="1" si="0"/>
        <v>c</v>
      </c>
      <c r="AE20" s="38" t="str">
        <f t="shared" ca="1" si="0"/>
        <v>c</v>
      </c>
      <c r="AF20" s="38" t="str">
        <f t="shared" ca="1" si="0"/>
        <v>c</v>
      </c>
      <c r="AG20" s="38" t="str">
        <f t="shared" ca="1" si="0"/>
        <v>c</v>
      </c>
      <c r="AH20" s="38" t="str">
        <f t="shared" ca="1" si="0"/>
        <v>c</v>
      </c>
      <c r="AI20" s="38" t="str">
        <f t="shared" ca="1" si="0"/>
        <v>c</v>
      </c>
      <c r="AJ20" s="38" t="str">
        <f t="shared" ca="1" si="0"/>
        <v>c</v>
      </c>
      <c r="AK20" s="38" t="str">
        <f t="shared" ca="1" si="0"/>
        <v>c</v>
      </c>
      <c r="AL20" s="38" t="str">
        <f t="shared" ca="1" si="0"/>
        <v>c</v>
      </c>
      <c r="AM20" s="38" t="str">
        <f t="shared" ca="1" si="0"/>
        <v>c</v>
      </c>
      <c r="AN20" s="38" t="str">
        <f t="shared" ca="1" si="0"/>
        <v>c</v>
      </c>
      <c r="AO20" s="38" t="str">
        <f t="shared" ca="1" si="0"/>
        <v>c</v>
      </c>
      <c r="AP20" s="38" t="str">
        <f t="shared" ca="1" si="0"/>
        <v>c</v>
      </c>
      <c r="AQ20" s="38" t="str">
        <f t="shared" ca="1" si="0"/>
        <v>c</v>
      </c>
    </row>
    <row r="21" spans="1:43" ht="10.15" customHeight="1">
      <c r="A21" s="26" t="s">
        <v>54</v>
      </c>
      <c r="B21" s="26"/>
      <c r="C21" s="27">
        <f ca="1">F4+J5</f>
        <v>0.1825</v>
      </c>
      <c r="D21" s="28">
        <f ca="1">$H$21+($C$21-$H$21)*0.7</f>
        <v>0.18174999999999999</v>
      </c>
      <c r="E21" s="28">
        <f ca="1">$H$21+($C$21-$H$21)*0.45</f>
        <v>0.18112499999999998</v>
      </c>
      <c r="F21" s="28">
        <f ca="1">$H$21+($C$21-$H$21)*0.25</f>
        <v>0.18062499999999998</v>
      </c>
      <c r="G21" s="28">
        <f ca="1">$H$21+($C$21-$H$21)*0.1</f>
        <v>0.18024999999999999</v>
      </c>
      <c r="H21" s="27">
        <f ca="1">F4+I5</f>
        <v>0.18</v>
      </c>
      <c r="I21" s="28">
        <f ca="1">$M$21+($H$21-$M$21)*0.7</f>
        <v>0.17924999999999999</v>
      </c>
      <c r="J21" s="28">
        <f ca="1">$M$21+($H$21-$M$21)*0.45</f>
        <v>0.17862499999999998</v>
      </c>
      <c r="K21" s="28">
        <f ca="1">$M$21+($H$21-$M$21)*0.25</f>
        <v>0.17812499999999998</v>
      </c>
      <c r="L21" s="28">
        <f ca="1">$M$21+($H$21-$M$21)*0.1</f>
        <v>0.17774999999999999</v>
      </c>
      <c r="M21" s="27">
        <f ca="1">F4+H5</f>
        <v>0.17749999999999999</v>
      </c>
      <c r="N21" s="28">
        <f ca="1">$R$21+($M$21-$R$21)*0.7</f>
        <v>0.17674999999999999</v>
      </c>
      <c r="O21" s="28">
        <f ca="1">$R$21+($M$21-$R$21)*0.45</f>
        <v>0.17612499999999998</v>
      </c>
      <c r="P21" s="28">
        <f ca="1">$R$21+($M$21-$R$21)*0.25</f>
        <v>0.17562499999999998</v>
      </c>
      <c r="Q21" s="28">
        <f ca="1">$R$21+($M$21-$R$21)*0.1</f>
        <v>0.17524999999999999</v>
      </c>
      <c r="R21" s="27">
        <f ca="1">F4+G5</f>
        <v>0.17499999999999999</v>
      </c>
      <c r="S21" s="28">
        <f ca="1">$W$21+($R$21-$W$21)*0.7</f>
        <v>0.17424999999999999</v>
      </c>
      <c r="T21" s="28">
        <f ca="1">$W$21+($R$21-$W$21)*0.45</f>
        <v>0.17362499999999997</v>
      </c>
      <c r="U21" s="28">
        <f ca="1">$W$21+($R$21-$W$21)*0.25</f>
        <v>0.17312499999999997</v>
      </c>
      <c r="V21" s="28">
        <f ca="1">$W$21+($R$21-$W$21)*0.1</f>
        <v>0.17274999999999999</v>
      </c>
      <c r="W21" s="74">
        <f ca="1">C14</f>
        <v>0.17249999999999999</v>
      </c>
      <c r="X21" s="28">
        <f ca="1">$W$21+($AB$21-$W$21)*0.1</f>
        <v>0.17299999999999999</v>
      </c>
      <c r="Y21" s="28">
        <f ca="1">$W$21+($AB$21-$W$21)*0.25</f>
        <v>0.17374999999999999</v>
      </c>
      <c r="Z21" s="28">
        <f ca="1">$W$21+($AB$21-$W$21)*0.45</f>
        <v>0.17474999999999999</v>
      </c>
      <c r="AA21" s="28">
        <f ca="1">$W$21+($AB$21-$W$21)*0.7</f>
        <v>0.17599999999999999</v>
      </c>
      <c r="AB21" s="27">
        <f ca="1">F9+G10</f>
        <v>0.17749999999999999</v>
      </c>
      <c r="AC21" s="28">
        <f ca="1">$AB$21+($AG$21-$AB$21)*0.1</f>
        <v>0.17799999999999999</v>
      </c>
      <c r="AD21" s="28">
        <f ca="1">$AB$21+($AG$21-$AB$21)*0.25</f>
        <v>0.17874999999999999</v>
      </c>
      <c r="AE21" s="28">
        <f ca="1">$AB$21+($AG$21-$AB$21)*0.45</f>
        <v>0.17974999999999999</v>
      </c>
      <c r="AF21" s="28">
        <f ca="1">$AB$21+($AG$21-$AB$21)*0.7</f>
        <v>0.18099999999999999</v>
      </c>
      <c r="AG21" s="27">
        <f ca="1">F9+H10</f>
        <v>0.1825</v>
      </c>
      <c r="AH21" s="28">
        <f ca="1">$AG$21+($AL$21-$AG$21)*0.1</f>
        <v>0.183</v>
      </c>
      <c r="AI21" s="28">
        <f ca="1">$AG$21+($AL$21-$AG$21)*0.25</f>
        <v>0.18375</v>
      </c>
      <c r="AJ21" s="28">
        <f ca="1">$AG$21+($AL$21-$AG$21)*0.45</f>
        <v>0.18475</v>
      </c>
      <c r="AK21" s="28">
        <f ca="1">$AG$21+($AL$21-$AG$21)*0.7</f>
        <v>0.186</v>
      </c>
      <c r="AL21" s="27">
        <f ca="1">I10+F9</f>
        <v>0.1875</v>
      </c>
      <c r="AM21" s="28">
        <f ca="1">$AL$21+($AQ$21-$AL$21)*0.1</f>
        <v>0.188</v>
      </c>
      <c r="AN21" s="28">
        <f ca="1">$AL$21+($AQ$21-$AL$21)*0.25</f>
        <v>0.18875</v>
      </c>
      <c r="AO21" s="28">
        <f ca="1">$AL$21+($AQ$21-$AL$21)*0.45</f>
        <v>0.18975</v>
      </c>
      <c r="AP21" s="28">
        <f ca="1">$AL$21+($AQ$21-$AL$21)*0.7</f>
        <v>0.19099999999999998</v>
      </c>
      <c r="AQ21" s="27">
        <f ca="1">F9+J10</f>
        <v>0.19249999999999998</v>
      </c>
    </row>
    <row r="22" spans="1:43" s="90" customFormat="1" ht="10.15" customHeight="1">
      <c r="A22" s="29" t="s">
        <v>55</v>
      </c>
      <c r="B22" s="29"/>
      <c r="C22" s="30">
        <f ca="1">J3</f>
        <v>30</v>
      </c>
      <c r="D22" s="30">
        <f ca="1">E22-$C$16</f>
        <v>31</v>
      </c>
      <c r="E22" s="30">
        <f ca="1">F22-$C$16</f>
        <v>32</v>
      </c>
      <c r="F22" s="30">
        <f ca="1">G22-$C$16</f>
        <v>33</v>
      </c>
      <c r="G22" s="30">
        <f ca="1">H22-$C$16</f>
        <v>34</v>
      </c>
      <c r="H22" s="30">
        <f ca="1">I3</f>
        <v>35</v>
      </c>
      <c r="I22" s="30">
        <f ca="1">J22-$C$16</f>
        <v>36</v>
      </c>
      <c r="J22" s="30">
        <f ca="1">K22-$C$16</f>
        <v>37</v>
      </c>
      <c r="K22" s="30">
        <f ca="1">L22-$C$16</f>
        <v>38</v>
      </c>
      <c r="L22" s="30">
        <f ca="1">M22-$C$16</f>
        <v>39</v>
      </c>
      <c r="M22" s="30">
        <f ca="1">H3</f>
        <v>40</v>
      </c>
      <c r="N22" s="30">
        <f ca="1">O22-($R$22-$M$22)/5</f>
        <v>41</v>
      </c>
      <c r="O22" s="30">
        <f ca="1">P22-($R$22-$M$22)/5</f>
        <v>42</v>
      </c>
      <c r="P22" s="30">
        <f ca="1">Q22-($R$22-$M$22)/5</f>
        <v>43</v>
      </c>
      <c r="Q22" s="30">
        <f ca="1">R22-($R$22-$M$22)/5</f>
        <v>44</v>
      </c>
      <c r="R22" s="30">
        <f ca="1">G3</f>
        <v>45</v>
      </c>
      <c r="S22" s="30">
        <f ca="1">T22-($W$22-$R$22)/5</f>
        <v>46</v>
      </c>
      <c r="T22" s="30">
        <f ca="1">U22-($W$22-$R$22)/5</f>
        <v>47</v>
      </c>
      <c r="U22" s="30">
        <f ca="1">V22-($W$22-$R$22)/5</f>
        <v>48</v>
      </c>
      <c r="V22" s="30">
        <f ca="1">W22-($W$22-$R$22)/5</f>
        <v>49</v>
      </c>
      <c r="W22" s="75">
        <f ca="1">C13</f>
        <v>50</v>
      </c>
      <c r="X22" s="30">
        <f t="shared" ref="X22:AQ22" ca="1" si="1">W22+$C$16</f>
        <v>51</v>
      </c>
      <c r="Y22" s="30">
        <f t="shared" ca="1" si="1"/>
        <v>52</v>
      </c>
      <c r="Z22" s="30">
        <f t="shared" ca="1" si="1"/>
        <v>53</v>
      </c>
      <c r="AA22" s="30">
        <f t="shared" ca="1" si="1"/>
        <v>54</v>
      </c>
      <c r="AB22" s="30">
        <f t="shared" ca="1" si="1"/>
        <v>55</v>
      </c>
      <c r="AC22" s="30">
        <f t="shared" ca="1" si="1"/>
        <v>56</v>
      </c>
      <c r="AD22" s="30">
        <f t="shared" ca="1" si="1"/>
        <v>57</v>
      </c>
      <c r="AE22" s="30">
        <f t="shared" ca="1" si="1"/>
        <v>58</v>
      </c>
      <c r="AF22" s="30">
        <f t="shared" ca="1" si="1"/>
        <v>59</v>
      </c>
      <c r="AG22" s="30">
        <f t="shared" ca="1" si="1"/>
        <v>60</v>
      </c>
      <c r="AH22" s="30">
        <f t="shared" ca="1" si="1"/>
        <v>61</v>
      </c>
      <c r="AI22" s="30">
        <f t="shared" ca="1" si="1"/>
        <v>62</v>
      </c>
      <c r="AJ22" s="30">
        <f t="shared" ca="1" si="1"/>
        <v>63</v>
      </c>
      <c r="AK22" s="30">
        <f t="shared" ca="1" si="1"/>
        <v>64</v>
      </c>
      <c r="AL22" s="30">
        <f t="shared" ca="1" si="1"/>
        <v>65</v>
      </c>
      <c r="AM22" s="30">
        <f t="shared" ca="1" si="1"/>
        <v>66</v>
      </c>
      <c r="AN22" s="30">
        <f t="shared" ca="1" si="1"/>
        <v>67</v>
      </c>
      <c r="AO22" s="30">
        <f t="shared" ca="1" si="1"/>
        <v>68</v>
      </c>
      <c r="AP22" s="30">
        <f t="shared" ca="1" si="1"/>
        <v>69</v>
      </c>
      <c r="AQ22" s="30">
        <f t="shared" ca="1" si="1"/>
        <v>70</v>
      </c>
    </row>
    <row r="23" spans="1:43" ht="10.15" customHeight="1">
      <c r="A23" s="31">
        <f ca="1">A25-$C$12</f>
        <v>49.250000000000043</v>
      </c>
      <c r="B23" s="31" t="s">
        <v>71</v>
      </c>
      <c r="C23" s="32" t="e">
        <f t="shared" ref="C23:AQ23" ca="1" si="2">EBlackScholesForward("p",C$20,$A$23,C$22,$C$6,$C$6,$C$7,C$21)</f>
        <v>#VALUE!</v>
      </c>
      <c r="D23" s="32" t="e">
        <f t="shared" ca="1" si="2"/>
        <v>#VALUE!</v>
      </c>
      <c r="E23" s="32" t="e">
        <f t="shared" ca="1" si="2"/>
        <v>#VALUE!</v>
      </c>
      <c r="F23" s="32" t="e">
        <f t="shared" ca="1" si="2"/>
        <v>#VALUE!</v>
      </c>
      <c r="G23" s="32" t="e">
        <f t="shared" ca="1" si="2"/>
        <v>#VALUE!</v>
      </c>
      <c r="H23" s="32" t="e">
        <f t="shared" ca="1" si="2"/>
        <v>#VALUE!</v>
      </c>
      <c r="I23" s="32" t="e">
        <f t="shared" ca="1" si="2"/>
        <v>#VALUE!</v>
      </c>
      <c r="J23" s="32" t="e">
        <f t="shared" ca="1" si="2"/>
        <v>#VALUE!</v>
      </c>
      <c r="K23" s="32" t="e">
        <f t="shared" ca="1" si="2"/>
        <v>#VALUE!</v>
      </c>
      <c r="L23" s="32" t="e">
        <f t="shared" ca="1" si="2"/>
        <v>#VALUE!</v>
      </c>
      <c r="M23" s="32" t="e">
        <f t="shared" ca="1" si="2"/>
        <v>#VALUE!</v>
      </c>
      <c r="N23" s="32" t="e">
        <f t="shared" ca="1" si="2"/>
        <v>#VALUE!</v>
      </c>
      <c r="O23" s="32" t="e">
        <f t="shared" ca="1" si="2"/>
        <v>#VALUE!</v>
      </c>
      <c r="P23" s="32" t="e">
        <f t="shared" ca="1" si="2"/>
        <v>#VALUE!</v>
      </c>
      <c r="Q23" s="32" t="e">
        <f t="shared" ca="1" si="2"/>
        <v>#VALUE!</v>
      </c>
      <c r="R23" s="32" t="e">
        <f t="shared" ca="1" si="2"/>
        <v>#VALUE!</v>
      </c>
      <c r="S23" s="32" t="e">
        <f t="shared" ca="1" si="2"/>
        <v>#VALUE!</v>
      </c>
      <c r="T23" s="32" t="e">
        <f t="shared" ca="1" si="2"/>
        <v>#VALUE!</v>
      </c>
      <c r="U23" s="32" t="e">
        <f t="shared" ca="1" si="2"/>
        <v>#VALUE!</v>
      </c>
      <c r="V23" s="32" t="e">
        <f t="shared" ca="1" si="2"/>
        <v>#VALUE!</v>
      </c>
      <c r="W23" s="76" t="e">
        <f t="shared" ca="1" si="2"/>
        <v>#VALUE!</v>
      </c>
      <c r="X23" s="32" t="e">
        <f t="shared" ca="1" si="2"/>
        <v>#VALUE!</v>
      </c>
      <c r="Y23" s="32" t="e">
        <f t="shared" ca="1" si="2"/>
        <v>#VALUE!</v>
      </c>
      <c r="Z23" s="32" t="e">
        <f t="shared" ca="1" si="2"/>
        <v>#VALUE!</v>
      </c>
      <c r="AA23" s="32" t="e">
        <f t="shared" ca="1" si="2"/>
        <v>#VALUE!</v>
      </c>
      <c r="AB23" s="32" t="e">
        <f t="shared" ca="1" si="2"/>
        <v>#VALUE!</v>
      </c>
      <c r="AC23" s="32" t="e">
        <f t="shared" ca="1" si="2"/>
        <v>#VALUE!</v>
      </c>
      <c r="AD23" s="32" t="e">
        <f t="shared" ca="1" si="2"/>
        <v>#VALUE!</v>
      </c>
      <c r="AE23" s="32" t="e">
        <f t="shared" ca="1" si="2"/>
        <v>#VALUE!</v>
      </c>
      <c r="AF23" s="32" t="e">
        <f t="shared" ca="1" si="2"/>
        <v>#VALUE!</v>
      </c>
      <c r="AG23" s="32" t="e">
        <f t="shared" ca="1" si="2"/>
        <v>#VALUE!</v>
      </c>
      <c r="AH23" s="32" t="e">
        <f t="shared" ca="1" si="2"/>
        <v>#VALUE!</v>
      </c>
      <c r="AI23" s="32" t="e">
        <f t="shared" ca="1" si="2"/>
        <v>#VALUE!</v>
      </c>
      <c r="AJ23" s="32" t="e">
        <f t="shared" ca="1" si="2"/>
        <v>#VALUE!</v>
      </c>
      <c r="AK23" s="32" t="e">
        <f t="shared" ca="1" si="2"/>
        <v>#VALUE!</v>
      </c>
      <c r="AL23" s="32" t="e">
        <f t="shared" ca="1" si="2"/>
        <v>#VALUE!</v>
      </c>
      <c r="AM23" s="32" t="e">
        <f t="shared" ca="1" si="2"/>
        <v>#VALUE!</v>
      </c>
      <c r="AN23" s="32" t="e">
        <f t="shared" ca="1" si="2"/>
        <v>#VALUE!</v>
      </c>
      <c r="AO23" s="32" t="e">
        <f t="shared" ca="1" si="2"/>
        <v>#VALUE!</v>
      </c>
      <c r="AP23" s="32" t="e">
        <f t="shared" ca="1" si="2"/>
        <v>#VALUE!</v>
      </c>
      <c r="AQ23" s="32" t="e">
        <f t="shared" ca="1" si="2"/>
        <v>#VALUE!</v>
      </c>
    </row>
    <row r="24" spans="1:43" ht="10.15" customHeight="1" outlineLevel="1">
      <c r="A24" s="33"/>
      <c r="B24" s="31" t="s">
        <v>74</v>
      </c>
      <c r="C24" s="32" t="e">
        <f t="shared" ref="C24:AQ24" ca="1" si="3">EBlackScholesForward($FA$3,C$20,$A$23,C$22,$C$6,$C$6,$C$7,C$21)</f>
        <v>#VALUE!</v>
      </c>
      <c r="D24" s="32" t="e">
        <f t="shared" ca="1" si="3"/>
        <v>#VALUE!</v>
      </c>
      <c r="E24" s="32" t="e">
        <f t="shared" ca="1" si="3"/>
        <v>#VALUE!</v>
      </c>
      <c r="F24" s="32" t="e">
        <f t="shared" ca="1" si="3"/>
        <v>#VALUE!</v>
      </c>
      <c r="G24" s="32" t="e">
        <f t="shared" ca="1" si="3"/>
        <v>#VALUE!</v>
      </c>
      <c r="H24" s="32" t="e">
        <f t="shared" ca="1" si="3"/>
        <v>#VALUE!</v>
      </c>
      <c r="I24" s="32" t="e">
        <f t="shared" ca="1" si="3"/>
        <v>#VALUE!</v>
      </c>
      <c r="J24" s="32" t="e">
        <f t="shared" ca="1" si="3"/>
        <v>#VALUE!</v>
      </c>
      <c r="K24" s="32" t="e">
        <f t="shared" ca="1" si="3"/>
        <v>#VALUE!</v>
      </c>
      <c r="L24" s="32" t="e">
        <f t="shared" ca="1" si="3"/>
        <v>#VALUE!</v>
      </c>
      <c r="M24" s="32" t="e">
        <f t="shared" ca="1" si="3"/>
        <v>#VALUE!</v>
      </c>
      <c r="N24" s="32" t="e">
        <f t="shared" ca="1" si="3"/>
        <v>#VALUE!</v>
      </c>
      <c r="O24" s="32" t="e">
        <f t="shared" ca="1" si="3"/>
        <v>#VALUE!</v>
      </c>
      <c r="P24" s="32" t="e">
        <f t="shared" ca="1" si="3"/>
        <v>#VALUE!</v>
      </c>
      <c r="Q24" s="32" t="e">
        <f t="shared" ca="1" si="3"/>
        <v>#VALUE!</v>
      </c>
      <c r="R24" s="32" t="e">
        <f t="shared" ca="1" si="3"/>
        <v>#VALUE!</v>
      </c>
      <c r="S24" s="32" t="e">
        <f t="shared" ca="1" si="3"/>
        <v>#VALUE!</v>
      </c>
      <c r="T24" s="32" t="e">
        <f t="shared" ca="1" si="3"/>
        <v>#VALUE!</v>
      </c>
      <c r="U24" s="32" t="e">
        <f t="shared" ca="1" si="3"/>
        <v>#VALUE!</v>
      </c>
      <c r="V24" s="32" t="e">
        <f t="shared" ca="1" si="3"/>
        <v>#VALUE!</v>
      </c>
      <c r="W24" s="76" t="e">
        <f t="shared" ca="1" si="3"/>
        <v>#VALUE!</v>
      </c>
      <c r="X24" s="32" t="e">
        <f t="shared" ca="1" si="3"/>
        <v>#VALUE!</v>
      </c>
      <c r="Y24" s="32" t="e">
        <f t="shared" ca="1" si="3"/>
        <v>#VALUE!</v>
      </c>
      <c r="Z24" s="32" t="e">
        <f t="shared" ca="1" si="3"/>
        <v>#VALUE!</v>
      </c>
      <c r="AA24" s="32" t="e">
        <f t="shared" ca="1" si="3"/>
        <v>#VALUE!</v>
      </c>
      <c r="AB24" s="32" t="e">
        <f t="shared" ca="1" si="3"/>
        <v>#VALUE!</v>
      </c>
      <c r="AC24" s="32" t="e">
        <f t="shared" ca="1" si="3"/>
        <v>#VALUE!</v>
      </c>
      <c r="AD24" s="32" t="e">
        <f t="shared" ca="1" si="3"/>
        <v>#VALUE!</v>
      </c>
      <c r="AE24" s="32" t="e">
        <f t="shared" ca="1" si="3"/>
        <v>#VALUE!</v>
      </c>
      <c r="AF24" s="32" t="e">
        <f t="shared" ca="1" si="3"/>
        <v>#VALUE!</v>
      </c>
      <c r="AG24" s="32" t="e">
        <f t="shared" ca="1" si="3"/>
        <v>#VALUE!</v>
      </c>
      <c r="AH24" s="32" t="e">
        <f t="shared" ca="1" si="3"/>
        <v>#VALUE!</v>
      </c>
      <c r="AI24" s="32" t="e">
        <f t="shared" ca="1" si="3"/>
        <v>#VALUE!</v>
      </c>
      <c r="AJ24" s="32" t="e">
        <f t="shared" ca="1" si="3"/>
        <v>#VALUE!</v>
      </c>
      <c r="AK24" s="32" t="e">
        <f t="shared" ca="1" si="3"/>
        <v>#VALUE!</v>
      </c>
      <c r="AL24" s="32" t="e">
        <f t="shared" ca="1" si="3"/>
        <v>#VALUE!</v>
      </c>
      <c r="AM24" s="32" t="e">
        <f t="shared" ca="1" si="3"/>
        <v>#VALUE!</v>
      </c>
      <c r="AN24" s="32" t="e">
        <f t="shared" ca="1" si="3"/>
        <v>#VALUE!</v>
      </c>
      <c r="AO24" s="32" t="e">
        <f t="shared" ca="1" si="3"/>
        <v>#VALUE!</v>
      </c>
      <c r="AP24" s="32" t="e">
        <f t="shared" ca="1" si="3"/>
        <v>#VALUE!</v>
      </c>
      <c r="AQ24" s="32" t="e">
        <f t="shared" ca="1" si="3"/>
        <v>#VALUE!</v>
      </c>
    </row>
    <row r="25" spans="1:43" ht="10.15" customHeight="1">
      <c r="A25" s="34">
        <f ca="1">A27-$C$12</f>
        <v>49.30000000000004</v>
      </c>
      <c r="B25" s="34" t="s">
        <v>71</v>
      </c>
      <c r="C25" s="35" t="e">
        <f t="shared" ref="C25:AQ25" ca="1" si="4">EBlackScholesForward("p",C$20,$A$25,C$22,$C$6,$C$6,$C$7,C$21)</f>
        <v>#VALUE!</v>
      </c>
      <c r="D25" s="35" t="e">
        <f t="shared" ca="1" si="4"/>
        <v>#VALUE!</v>
      </c>
      <c r="E25" s="35" t="e">
        <f t="shared" ca="1" si="4"/>
        <v>#VALUE!</v>
      </c>
      <c r="F25" s="35" t="e">
        <f t="shared" ca="1" si="4"/>
        <v>#VALUE!</v>
      </c>
      <c r="G25" s="35" t="e">
        <f t="shared" ca="1" si="4"/>
        <v>#VALUE!</v>
      </c>
      <c r="H25" s="35" t="e">
        <f t="shared" ca="1" si="4"/>
        <v>#VALUE!</v>
      </c>
      <c r="I25" s="35" t="e">
        <f t="shared" ca="1" si="4"/>
        <v>#VALUE!</v>
      </c>
      <c r="J25" s="35" t="e">
        <f t="shared" ca="1" si="4"/>
        <v>#VALUE!</v>
      </c>
      <c r="K25" s="35" t="e">
        <f t="shared" ca="1" si="4"/>
        <v>#VALUE!</v>
      </c>
      <c r="L25" s="35" t="e">
        <f t="shared" ca="1" si="4"/>
        <v>#VALUE!</v>
      </c>
      <c r="M25" s="35" t="e">
        <f t="shared" ca="1" si="4"/>
        <v>#VALUE!</v>
      </c>
      <c r="N25" s="35" t="e">
        <f t="shared" ca="1" si="4"/>
        <v>#VALUE!</v>
      </c>
      <c r="O25" s="35" t="e">
        <f t="shared" ca="1" si="4"/>
        <v>#VALUE!</v>
      </c>
      <c r="P25" s="35" t="e">
        <f t="shared" ca="1" si="4"/>
        <v>#VALUE!</v>
      </c>
      <c r="Q25" s="35" t="e">
        <f t="shared" ca="1" si="4"/>
        <v>#VALUE!</v>
      </c>
      <c r="R25" s="35" t="e">
        <f t="shared" ca="1" si="4"/>
        <v>#VALUE!</v>
      </c>
      <c r="S25" s="35" t="e">
        <f t="shared" ca="1" si="4"/>
        <v>#VALUE!</v>
      </c>
      <c r="T25" s="35" t="e">
        <f t="shared" ca="1" si="4"/>
        <v>#VALUE!</v>
      </c>
      <c r="U25" s="35" t="e">
        <f t="shared" ca="1" si="4"/>
        <v>#VALUE!</v>
      </c>
      <c r="V25" s="35" t="e">
        <f t="shared" ca="1" si="4"/>
        <v>#VALUE!</v>
      </c>
      <c r="W25" s="77" t="e">
        <f t="shared" ca="1" si="4"/>
        <v>#VALUE!</v>
      </c>
      <c r="X25" s="35" t="e">
        <f t="shared" ca="1" si="4"/>
        <v>#VALUE!</v>
      </c>
      <c r="Y25" s="35" t="e">
        <f t="shared" ca="1" si="4"/>
        <v>#VALUE!</v>
      </c>
      <c r="Z25" s="35" t="e">
        <f t="shared" ca="1" si="4"/>
        <v>#VALUE!</v>
      </c>
      <c r="AA25" s="35" t="e">
        <f t="shared" ca="1" si="4"/>
        <v>#VALUE!</v>
      </c>
      <c r="AB25" s="35" t="e">
        <f t="shared" ca="1" si="4"/>
        <v>#VALUE!</v>
      </c>
      <c r="AC25" s="35" t="e">
        <f t="shared" ca="1" si="4"/>
        <v>#VALUE!</v>
      </c>
      <c r="AD25" s="35" t="e">
        <f t="shared" ca="1" si="4"/>
        <v>#VALUE!</v>
      </c>
      <c r="AE25" s="35" t="e">
        <f t="shared" ca="1" si="4"/>
        <v>#VALUE!</v>
      </c>
      <c r="AF25" s="35" t="e">
        <f t="shared" ca="1" si="4"/>
        <v>#VALUE!</v>
      </c>
      <c r="AG25" s="35" t="e">
        <f t="shared" ca="1" si="4"/>
        <v>#VALUE!</v>
      </c>
      <c r="AH25" s="35" t="e">
        <f t="shared" ca="1" si="4"/>
        <v>#VALUE!</v>
      </c>
      <c r="AI25" s="35" t="e">
        <f t="shared" ca="1" si="4"/>
        <v>#VALUE!</v>
      </c>
      <c r="AJ25" s="35" t="e">
        <f t="shared" ca="1" si="4"/>
        <v>#VALUE!</v>
      </c>
      <c r="AK25" s="35" t="e">
        <f t="shared" ca="1" si="4"/>
        <v>#VALUE!</v>
      </c>
      <c r="AL25" s="35" t="e">
        <f t="shared" ca="1" si="4"/>
        <v>#VALUE!</v>
      </c>
      <c r="AM25" s="35" t="e">
        <f t="shared" ca="1" si="4"/>
        <v>#VALUE!</v>
      </c>
      <c r="AN25" s="35" t="e">
        <f t="shared" ca="1" si="4"/>
        <v>#VALUE!</v>
      </c>
      <c r="AO25" s="35" t="e">
        <f t="shared" ca="1" si="4"/>
        <v>#VALUE!</v>
      </c>
      <c r="AP25" s="35" t="e">
        <f t="shared" ca="1" si="4"/>
        <v>#VALUE!</v>
      </c>
      <c r="AQ25" s="35" t="e">
        <f t="shared" ca="1" si="4"/>
        <v>#VALUE!</v>
      </c>
    </row>
    <row r="26" spans="1:43" ht="10.15" customHeight="1" outlineLevel="1">
      <c r="A26" s="36"/>
      <c r="B26" s="34" t="s">
        <v>74</v>
      </c>
      <c r="C26" s="35" t="e">
        <f t="shared" ref="C26:AQ26" ca="1" si="5">EBlackScholesForward($FA$3,C$20,$A$25,C$22,$C$6,$C$6,$C$7,C$21)</f>
        <v>#VALUE!</v>
      </c>
      <c r="D26" s="35" t="e">
        <f t="shared" ca="1" si="5"/>
        <v>#VALUE!</v>
      </c>
      <c r="E26" s="35" t="e">
        <f t="shared" ca="1" si="5"/>
        <v>#VALUE!</v>
      </c>
      <c r="F26" s="35" t="e">
        <f t="shared" ca="1" si="5"/>
        <v>#VALUE!</v>
      </c>
      <c r="G26" s="35" t="e">
        <f t="shared" ca="1" si="5"/>
        <v>#VALUE!</v>
      </c>
      <c r="H26" s="35" t="e">
        <f t="shared" ca="1" si="5"/>
        <v>#VALUE!</v>
      </c>
      <c r="I26" s="35" t="e">
        <f t="shared" ca="1" si="5"/>
        <v>#VALUE!</v>
      </c>
      <c r="J26" s="35" t="e">
        <f t="shared" ca="1" si="5"/>
        <v>#VALUE!</v>
      </c>
      <c r="K26" s="35" t="e">
        <f t="shared" ca="1" si="5"/>
        <v>#VALUE!</v>
      </c>
      <c r="L26" s="35" t="e">
        <f t="shared" ca="1" si="5"/>
        <v>#VALUE!</v>
      </c>
      <c r="M26" s="35" t="e">
        <f t="shared" ca="1" si="5"/>
        <v>#VALUE!</v>
      </c>
      <c r="N26" s="35" t="e">
        <f t="shared" ca="1" si="5"/>
        <v>#VALUE!</v>
      </c>
      <c r="O26" s="35" t="e">
        <f t="shared" ca="1" si="5"/>
        <v>#VALUE!</v>
      </c>
      <c r="P26" s="35" t="e">
        <f t="shared" ca="1" si="5"/>
        <v>#VALUE!</v>
      </c>
      <c r="Q26" s="35" t="e">
        <f t="shared" ca="1" si="5"/>
        <v>#VALUE!</v>
      </c>
      <c r="R26" s="35" t="e">
        <f t="shared" ca="1" si="5"/>
        <v>#VALUE!</v>
      </c>
      <c r="S26" s="35" t="e">
        <f t="shared" ca="1" si="5"/>
        <v>#VALUE!</v>
      </c>
      <c r="T26" s="35" t="e">
        <f t="shared" ca="1" si="5"/>
        <v>#VALUE!</v>
      </c>
      <c r="U26" s="35" t="e">
        <f t="shared" ca="1" si="5"/>
        <v>#VALUE!</v>
      </c>
      <c r="V26" s="35" t="e">
        <f t="shared" ca="1" si="5"/>
        <v>#VALUE!</v>
      </c>
      <c r="W26" s="77" t="e">
        <f t="shared" ca="1" si="5"/>
        <v>#VALUE!</v>
      </c>
      <c r="X26" s="35" t="e">
        <f t="shared" ca="1" si="5"/>
        <v>#VALUE!</v>
      </c>
      <c r="Y26" s="35" t="e">
        <f t="shared" ca="1" si="5"/>
        <v>#VALUE!</v>
      </c>
      <c r="Z26" s="35" t="e">
        <f t="shared" ca="1" si="5"/>
        <v>#VALUE!</v>
      </c>
      <c r="AA26" s="35" t="e">
        <f t="shared" ca="1" si="5"/>
        <v>#VALUE!</v>
      </c>
      <c r="AB26" s="35" t="e">
        <f t="shared" ca="1" si="5"/>
        <v>#VALUE!</v>
      </c>
      <c r="AC26" s="35" t="e">
        <f t="shared" ca="1" si="5"/>
        <v>#VALUE!</v>
      </c>
      <c r="AD26" s="35" t="e">
        <f t="shared" ca="1" si="5"/>
        <v>#VALUE!</v>
      </c>
      <c r="AE26" s="35" t="e">
        <f t="shared" ca="1" si="5"/>
        <v>#VALUE!</v>
      </c>
      <c r="AF26" s="35" t="e">
        <f t="shared" ca="1" si="5"/>
        <v>#VALUE!</v>
      </c>
      <c r="AG26" s="35" t="e">
        <f t="shared" ca="1" si="5"/>
        <v>#VALUE!</v>
      </c>
      <c r="AH26" s="35" t="e">
        <f t="shared" ca="1" si="5"/>
        <v>#VALUE!</v>
      </c>
      <c r="AI26" s="35" t="e">
        <f t="shared" ca="1" si="5"/>
        <v>#VALUE!</v>
      </c>
      <c r="AJ26" s="35" t="e">
        <f t="shared" ca="1" si="5"/>
        <v>#VALUE!</v>
      </c>
      <c r="AK26" s="35" t="e">
        <f t="shared" ca="1" si="5"/>
        <v>#VALUE!</v>
      </c>
      <c r="AL26" s="35" t="e">
        <f t="shared" ca="1" si="5"/>
        <v>#VALUE!</v>
      </c>
      <c r="AM26" s="35" t="e">
        <f t="shared" ca="1" si="5"/>
        <v>#VALUE!</v>
      </c>
      <c r="AN26" s="35" t="e">
        <f t="shared" ca="1" si="5"/>
        <v>#VALUE!</v>
      </c>
      <c r="AO26" s="35" t="e">
        <f t="shared" ca="1" si="5"/>
        <v>#VALUE!</v>
      </c>
      <c r="AP26" s="35" t="e">
        <f t="shared" ca="1" si="5"/>
        <v>#VALUE!</v>
      </c>
      <c r="AQ26" s="35" t="e">
        <f t="shared" ca="1" si="5"/>
        <v>#VALUE!</v>
      </c>
    </row>
    <row r="27" spans="1:43" ht="10.15" customHeight="1">
      <c r="A27" s="31">
        <f ca="1">A29-$C$12</f>
        <v>49.350000000000037</v>
      </c>
      <c r="B27" s="31" t="s">
        <v>71</v>
      </c>
      <c r="C27" s="32" t="e">
        <f t="shared" ref="C27:AQ27" ca="1" si="6">EBlackScholesForward("p",C$20,$A$27,C$22,$C$6,$C$6,$C$7,C$21)</f>
        <v>#VALUE!</v>
      </c>
      <c r="D27" s="32" t="e">
        <f t="shared" ca="1" si="6"/>
        <v>#VALUE!</v>
      </c>
      <c r="E27" s="32" t="e">
        <f t="shared" ca="1" si="6"/>
        <v>#VALUE!</v>
      </c>
      <c r="F27" s="32" t="e">
        <f t="shared" ca="1" si="6"/>
        <v>#VALUE!</v>
      </c>
      <c r="G27" s="32" t="e">
        <f t="shared" ca="1" si="6"/>
        <v>#VALUE!</v>
      </c>
      <c r="H27" s="32" t="e">
        <f t="shared" ca="1" si="6"/>
        <v>#VALUE!</v>
      </c>
      <c r="I27" s="32" t="e">
        <f t="shared" ca="1" si="6"/>
        <v>#VALUE!</v>
      </c>
      <c r="J27" s="32" t="e">
        <f t="shared" ca="1" si="6"/>
        <v>#VALUE!</v>
      </c>
      <c r="K27" s="32" t="e">
        <f t="shared" ca="1" si="6"/>
        <v>#VALUE!</v>
      </c>
      <c r="L27" s="32" t="e">
        <f t="shared" ca="1" si="6"/>
        <v>#VALUE!</v>
      </c>
      <c r="M27" s="32" t="e">
        <f t="shared" ca="1" si="6"/>
        <v>#VALUE!</v>
      </c>
      <c r="N27" s="32" t="e">
        <f t="shared" ca="1" si="6"/>
        <v>#VALUE!</v>
      </c>
      <c r="O27" s="32" t="e">
        <f t="shared" ca="1" si="6"/>
        <v>#VALUE!</v>
      </c>
      <c r="P27" s="32" t="e">
        <f t="shared" ca="1" si="6"/>
        <v>#VALUE!</v>
      </c>
      <c r="Q27" s="32" t="e">
        <f t="shared" ca="1" si="6"/>
        <v>#VALUE!</v>
      </c>
      <c r="R27" s="32" t="e">
        <f t="shared" ca="1" si="6"/>
        <v>#VALUE!</v>
      </c>
      <c r="S27" s="32" t="e">
        <f t="shared" ca="1" si="6"/>
        <v>#VALUE!</v>
      </c>
      <c r="T27" s="32" t="e">
        <f t="shared" ca="1" si="6"/>
        <v>#VALUE!</v>
      </c>
      <c r="U27" s="32" t="e">
        <f t="shared" ca="1" si="6"/>
        <v>#VALUE!</v>
      </c>
      <c r="V27" s="32" t="e">
        <f t="shared" ca="1" si="6"/>
        <v>#VALUE!</v>
      </c>
      <c r="W27" s="76" t="e">
        <f t="shared" ca="1" si="6"/>
        <v>#VALUE!</v>
      </c>
      <c r="X27" s="32" t="e">
        <f t="shared" ca="1" si="6"/>
        <v>#VALUE!</v>
      </c>
      <c r="Y27" s="32" t="e">
        <f t="shared" ca="1" si="6"/>
        <v>#VALUE!</v>
      </c>
      <c r="Z27" s="32" t="e">
        <f t="shared" ca="1" si="6"/>
        <v>#VALUE!</v>
      </c>
      <c r="AA27" s="32" t="e">
        <f t="shared" ca="1" si="6"/>
        <v>#VALUE!</v>
      </c>
      <c r="AB27" s="32" t="e">
        <f t="shared" ca="1" si="6"/>
        <v>#VALUE!</v>
      </c>
      <c r="AC27" s="32" t="e">
        <f t="shared" ca="1" si="6"/>
        <v>#VALUE!</v>
      </c>
      <c r="AD27" s="32" t="e">
        <f t="shared" ca="1" si="6"/>
        <v>#VALUE!</v>
      </c>
      <c r="AE27" s="32" t="e">
        <f t="shared" ca="1" si="6"/>
        <v>#VALUE!</v>
      </c>
      <c r="AF27" s="32" t="e">
        <f t="shared" ca="1" si="6"/>
        <v>#VALUE!</v>
      </c>
      <c r="AG27" s="32" t="e">
        <f t="shared" ca="1" si="6"/>
        <v>#VALUE!</v>
      </c>
      <c r="AH27" s="32" t="e">
        <f t="shared" ca="1" si="6"/>
        <v>#VALUE!</v>
      </c>
      <c r="AI27" s="32" t="e">
        <f t="shared" ca="1" si="6"/>
        <v>#VALUE!</v>
      </c>
      <c r="AJ27" s="32" t="e">
        <f t="shared" ca="1" si="6"/>
        <v>#VALUE!</v>
      </c>
      <c r="AK27" s="32" t="e">
        <f t="shared" ca="1" si="6"/>
        <v>#VALUE!</v>
      </c>
      <c r="AL27" s="32" t="e">
        <f t="shared" ca="1" si="6"/>
        <v>#VALUE!</v>
      </c>
      <c r="AM27" s="32" t="e">
        <f t="shared" ca="1" si="6"/>
        <v>#VALUE!</v>
      </c>
      <c r="AN27" s="32" t="e">
        <f t="shared" ca="1" si="6"/>
        <v>#VALUE!</v>
      </c>
      <c r="AO27" s="32" t="e">
        <f t="shared" ca="1" si="6"/>
        <v>#VALUE!</v>
      </c>
      <c r="AP27" s="32" t="e">
        <f t="shared" ca="1" si="6"/>
        <v>#VALUE!</v>
      </c>
      <c r="AQ27" s="32" t="e">
        <f t="shared" ca="1" si="6"/>
        <v>#VALUE!</v>
      </c>
    </row>
    <row r="28" spans="1:43" ht="10.15" customHeight="1" outlineLevel="1">
      <c r="A28" s="33"/>
      <c r="B28" s="31" t="s">
        <v>74</v>
      </c>
      <c r="C28" s="32" t="e">
        <f ca="1">EBlackScholesForward($FA$3,C$20,$A$27,C$22,$C$6,$C$6,$C$7,C$21)</f>
        <v>#VALUE!</v>
      </c>
      <c r="D28" s="32" t="e">
        <f t="shared" ref="D28:AQ28" ca="1" si="7">EBlackScholesForward("d",D$20,$A$27,D$22,$C$6,$C$6,$C$7,D$21)</f>
        <v>#VALUE!</v>
      </c>
      <c r="E28" s="32" t="e">
        <f t="shared" ca="1" si="7"/>
        <v>#VALUE!</v>
      </c>
      <c r="F28" s="32" t="e">
        <f t="shared" ca="1" si="7"/>
        <v>#VALUE!</v>
      </c>
      <c r="G28" s="32" t="e">
        <f t="shared" ca="1" si="7"/>
        <v>#VALUE!</v>
      </c>
      <c r="H28" s="32" t="e">
        <f t="shared" ca="1" si="7"/>
        <v>#VALUE!</v>
      </c>
      <c r="I28" s="32" t="e">
        <f t="shared" ca="1" si="7"/>
        <v>#VALUE!</v>
      </c>
      <c r="J28" s="32" t="e">
        <f t="shared" ca="1" si="7"/>
        <v>#VALUE!</v>
      </c>
      <c r="K28" s="32" t="e">
        <f t="shared" ca="1" si="7"/>
        <v>#VALUE!</v>
      </c>
      <c r="L28" s="32" t="e">
        <f t="shared" ca="1" si="7"/>
        <v>#VALUE!</v>
      </c>
      <c r="M28" s="32" t="e">
        <f t="shared" ca="1" si="7"/>
        <v>#VALUE!</v>
      </c>
      <c r="N28" s="32" t="e">
        <f t="shared" ca="1" si="7"/>
        <v>#VALUE!</v>
      </c>
      <c r="O28" s="32" t="e">
        <f t="shared" ca="1" si="7"/>
        <v>#VALUE!</v>
      </c>
      <c r="P28" s="32" t="e">
        <f t="shared" ca="1" si="7"/>
        <v>#VALUE!</v>
      </c>
      <c r="Q28" s="32" t="e">
        <f t="shared" ca="1" si="7"/>
        <v>#VALUE!</v>
      </c>
      <c r="R28" s="32" t="e">
        <f t="shared" ca="1" si="7"/>
        <v>#VALUE!</v>
      </c>
      <c r="S28" s="32" t="e">
        <f t="shared" ca="1" si="7"/>
        <v>#VALUE!</v>
      </c>
      <c r="T28" s="32" t="e">
        <f t="shared" ca="1" si="7"/>
        <v>#VALUE!</v>
      </c>
      <c r="U28" s="32" t="e">
        <f t="shared" ca="1" si="7"/>
        <v>#VALUE!</v>
      </c>
      <c r="V28" s="32" t="e">
        <f t="shared" ca="1" si="7"/>
        <v>#VALUE!</v>
      </c>
      <c r="W28" s="76" t="e">
        <f t="shared" ca="1" si="7"/>
        <v>#VALUE!</v>
      </c>
      <c r="X28" s="32" t="e">
        <f t="shared" ca="1" si="7"/>
        <v>#VALUE!</v>
      </c>
      <c r="Y28" s="32" t="e">
        <f t="shared" ca="1" si="7"/>
        <v>#VALUE!</v>
      </c>
      <c r="Z28" s="32" t="e">
        <f t="shared" ca="1" si="7"/>
        <v>#VALUE!</v>
      </c>
      <c r="AA28" s="32" t="e">
        <f t="shared" ca="1" si="7"/>
        <v>#VALUE!</v>
      </c>
      <c r="AB28" s="32" t="e">
        <f t="shared" ca="1" si="7"/>
        <v>#VALUE!</v>
      </c>
      <c r="AC28" s="32" t="e">
        <f t="shared" ca="1" si="7"/>
        <v>#VALUE!</v>
      </c>
      <c r="AD28" s="32" t="e">
        <f t="shared" ca="1" si="7"/>
        <v>#VALUE!</v>
      </c>
      <c r="AE28" s="32" t="e">
        <f t="shared" ca="1" si="7"/>
        <v>#VALUE!</v>
      </c>
      <c r="AF28" s="32" t="e">
        <f t="shared" ca="1" si="7"/>
        <v>#VALUE!</v>
      </c>
      <c r="AG28" s="32" t="e">
        <f t="shared" ca="1" si="7"/>
        <v>#VALUE!</v>
      </c>
      <c r="AH28" s="32" t="e">
        <f t="shared" ca="1" si="7"/>
        <v>#VALUE!</v>
      </c>
      <c r="AI28" s="32" t="e">
        <f t="shared" ca="1" si="7"/>
        <v>#VALUE!</v>
      </c>
      <c r="AJ28" s="32" t="e">
        <f t="shared" ca="1" si="7"/>
        <v>#VALUE!</v>
      </c>
      <c r="AK28" s="32" t="e">
        <f t="shared" ca="1" si="7"/>
        <v>#VALUE!</v>
      </c>
      <c r="AL28" s="32" t="e">
        <f t="shared" ca="1" si="7"/>
        <v>#VALUE!</v>
      </c>
      <c r="AM28" s="32" t="e">
        <f t="shared" ca="1" si="7"/>
        <v>#VALUE!</v>
      </c>
      <c r="AN28" s="32" t="e">
        <f t="shared" ca="1" si="7"/>
        <v>#VALUE!</v>
      </c>
      <c r="AO28" s="32" t="e">
        <f t="shared" ca="1" si="7"/>
        <v>#VALUE!</v>
      </c>
      <c r="AP28" s="32" t="e">
        <f t="shared" ca="1" si="7"/>
        <v>#VALUE!</v>
      </c>
      <c r="AQ28" s="32" t="e">
        <f t="shared" ca="1" si="7"/>
        <v>#VALUE!</v>
      </c>
    </row>
    <row r="29" spans="1:43" ht="10.15" customHeight="1">
      <c r="A29" s="34">
        <f ca="1">A31-$C$12</f>
        <v>49.400000000000034</v>
      </c>
      <c r="B29" s="34" t="s">
        <v>71</v>
      </c>
      <c r="C29" s="35" t="e">
        <f t="shared" ref="C29:AQ29" ca="1" si="8">EBlackScholesForward("p",C$20,$A$29,C$22,$C$6,$C$6,$C$7,C$21)</f>
        <v>#VALUE!</v>
      </c>
      <c r="D29" s="35" t="e">
        <f t="shared" ca="1" si="8"/>
        <v>#VALUE!</v>
      </c>
      <c r="E29" s="35" t="e">
        <f t="shared" ca="1" si="8"/>
        <v>#VALUE!</v>
      </c>
      <c r="F29" s="35" t="e">
        <f t="shared" ca="1" si="8"/>
        <v>#VALUE!</v>
      </c>
      <c r="G29" s="35" t="e">
        <f t="shared" ca="1" si="8"/>
        <v>#VALUE!</v>
      </c>
      <c r="H29" s="35" t="e">
        <f t="shared" ca="1" si="8"/>
        <v>#VALUE!</v>
      </c>
      <c r="I29" s="35" t="e">
        <f t="shared" ca="1" si="8"/>
        <v>#VALUE!</v>
      </c>
      <c r="J29" s="35" t="e">
        <f t="shared" ca="1" si="8"/>
        <v>#VALUE!</v>
      </c>
      <c r="K29" s="35" t="e">
        <f t="shared" ca="1" si="8"/>
        <v>#VALUE!</v>
      </c>
      <c r="L29" s="35" t="e">
        <f t="shared" ca="1" si="8"/>
        <v>#VALUE!</v>
      </c>
      <c r="M29" s="35" t="e">
        <f t="shared" ca="1" si="8"/>
        <v>#VALUE!</v>
      </c>
      <c r="N29" s="35" t="e">
        <f t="shared" ca="1" si="8"/>
        <v>#VALUE!</v>
      </c>
      <c r="O29" s="35" t="e">
        <f t="shared" ca="1" si="8"/>
        <v>#VALUE!</v>
      </c>
      <c r="P29" s="35" t="e">
        <f t="shared" ca="1" si="8"/>
        <v>#VALUE!</v>
      </c>
      <c r="Q29" s="35" t="e">
        <f t="shared" ca="1" si="8"/>
        <v>#VALUE!</v>
      </c>
      <c r="R29" s="35" t="e">
        <f t="shared" ca="1" si="8"/>
        <v>#VALUE!</v>
      </c>
      <c r="S29" s="35" t="e">
        <f t="shared" ca="1" si="8"/>
        <v>#VALUE!</v>
      </c>
      <c r="T29" s="35" t="e">
        <f t="shared" ca="1" si="8"/>
        <v>#VALUE!</v>
      </c>
      <c r="U29" s="35" t="e">
        <f t="shared" ca="1" si="8"/>
        <v>#VALUE!</v>
      </c>
      <c r="V29" s="35" t="e">
        <f t="shared" ca="1" si="8"/>
        <v>#VALUE!</v>
      </c>
      <c r="W29" s="77" t="e">
        <f t="shared" ca="1" si="8"/>
        <v>#VALUE!</v>
      </c>
      <c r="X29" s="35" t="e">
        <f t="shared" ca="1" si="8"/>
        <v>#VALUE!</v>
      </c>
      <c r="Y29" s="35" t="e">
        <f t="shared" ca="1" si="8"/>
        <v>#VALUE!</v>
      </c>
      <c r="Z29" s="35" t="e">
        <f t="shared" ca="1" si="8"/>
        <v>#VALUE!</v>
      </c>
      <c r="AA29" s="35" t="e">
        <f t="shared" ca="1" si="8"/>
        <v>#VALUE!</v>
      </c>
      <c r="AB29" s="35" t="e">
        <f t="shared" ca="1" si="8"/>
        <v>#VALUE!</v>
      </c>
      <c r="AC29" s="35" t="e">
        <f t="shared" ca="1" si="8"/>
        <v>#VALUE!</v>
      </c>
      <c r="AD29" s="35" t="e">
        <f t="shared" ca="1" si="8"/>
        <v>#VALUE!</v>
      </c>
      <c r="AE29" s="35" t="e">
        <f t="shared" ca="1" si="8"/>
        <v>#VALUE!</v>
      </c>
      <c r="AF29" s="35" t="e">
        <f t="shared" ca="1" si="8"/>
        <v>#VALUE!</v>
      </c>
      <c r="AG29" s="35" t="e">
        <f t="shared" ca="1" si="8"/>
        <v>#VALUE!</v>
      </c>
      <c r="AH29" s="35" t="e">
        <f t="shared" ca="1" si="8"/>
        <v>#VALUE!</v>
      </c>
      <c r="AI29" s="35" t="e">
        <f t="shared" ca="1" si="8"/>
        <v>#VALUE!</v>
      </c>
      <c r="AJ29" s="35" t="e">
        <f t="shared" ca="1" si="8"/>
        <v>#VALUE!</v>
      </c>
      <c r="AK29" s="35" t="e">
        <f t="shared" ca="1" si="8"/>
        <v>#VALUE!</v>
      </c>
      <c r="AL29" s="35" t="e">
        <f t="shared" ca="1" si="8"/>
        <v>#VALUE!</v>
      </c>
      <c r="AM29" s="35" t="e">
        <f t="shared" ca="1" si="8"/>
        <v>#VALUE!</v>
      </c>
      <c r="AN29" s="35" t="e">
        <f t="shared" ca="1" si="8"/>
        <v>#VALUE!</v>
      </c>
      <c r="AO29" s="35" t="e">
        <f t="shared" ca="1" si="8"/>
        <v>#VALUE!</v>
      </c>
      <c r="AP29" s="35" t="e">
        <f t="shared" ca="1" si="8"/>
        <v>#VALUE!</v>
      </c>
      <c r="AQ29" s="35" t="e">
        <f t="shared" ca="1" si="8"/>
        <v>#VALUE!</v>
      </c>
    </row>
    <row r="30" spans="1:43" ht="10.15" customHeight="1" outlineLevel="1">
      <c r="A30" s="36"/>
      <c r="B30" s="34" t="s">
        <v>74</v>
      </c>
      <c r="C30" s="35" t="e">
        <f t="shared" ref="C30:AQ30" ca="1" si="9">EBlackScholesForward($FA$3,C$20,$A$29,C$22,$C$6,$C$6,$C$7,C$21)</f>
        <v>#VALUE!</v>
      </c>
      <c r="D30" s="35" t="e">
        <f t="shared" ca="1" si="9"/>
        <v>#VALUE!</v>
      </c>
      <c r="E30" s="35" t="e">
        <f t="shared" ca="1" si="9"/>
        <v>#VALUE!</v>
      </c>
      <c r="F30" s="35" t="e">
        <f t="shared" ca="1" si="9"/>
        <v>#VALUE!</v>
      </c>
      <c r="G30" s="35" t="e">
        <f t="shared" ca="1" si="9"/>
        <v>#VALUE!</v>
      </c>
      <c r="H30" s="35" t="e">
        <f t="shared" ca="1" si="9"/>
        <v>#VALUE!</v>
      </c>
      <c r="I30" s="35" t="e">
        <f t="shared" ca="1" si="9"/>
        <v>#VALUE!</v>
      </c>
      <c r="J30" s="35" t="e">
        <f t="shared" ca="1" si="9"/>
        <v>#VALUE!</v>
      </c>
      <c r="K30" s="35" t="e">
        <f t="shared" ca="1" si="9"/>
        <v>#VALUE!</v>
      </c>
      <c r="L30" s="35" t="e">
        <f t="shared" ca="1" si="9"/>
        <v>#VALUE!</v>
      </c>
      <c r="M30" s="35" t="e">
        <f t="shared" ca="1" si="9"/>
        <v>#VALUE!</v>
      </c>
      <c r="N30" s="35" t="e">
        <f t="shared" ca="1" si="9"/>
        <v>#VALUE!</v>
      </c>
      <c r="O30" s="35" t="e">
        <f t="shared" ca="1" si="9"/>
        <v>#VALUE!</v>
      </c>
      <c r="P30" s="35" t="e">
        <f t="shared" ca="1" si="9"/>
        <v>#VALUE!</v>
      </c>
      <c r="Q30" s="35" t="e">
        <f t="shared" ca="1" si="9"/>
        <v>#VALUE!</v>
      </c>
      <c r="R30" s="35" t="e">
        <f t="shared" ca="1" si="9"/>
        <v>#VALUE!</v>
      </c>
      <c r="S30" s="35" t="e">
        <f t="shared" ca="1" si="9"/>
        <v>#VALUE!</v>
      </c>
      <c r="T30" s="35" t="e">
        <f t="shared" ca="1" si="9"/>
        <v>#VALUE!</v>
      </c>
      <c r="U30" s="35" t="e">
        <f t="shared" ca="1" si="9"/>
        <v>#VALUE!</v>
      </c>
      <c r="V30" s="35" t="e">
        <f t="shared" ca="1" si="9"/>
        <v>#VALUE!</v>
      </c>
      <c r="W30" s="77" t="e">
        <f t="shared" ca="1" si="9"/>
        <v>#VALUE!</v>
      </c>
      <c r="X30" s="35" t="e">
        <f t="shared" ca="1" si="9"/>
        <v>#VALUE!</v>
      </c>
      <c r="Y30" s="35" t="e">
        <f t="shared" ca="1" si="9"/>
        <v>#VALUE!</v>
      </c>
      <c r="Z30" s="35" t="e">
        <f t="shared" ca="1" si="9"/>
        <v>#VALUE!</v>
      </c>
      <c r="AA30" s="35" t="e">
        <f t="shared" ca="1" si="9"/>
        <v>#VALUE!</v>
      </c>
      <c r="AB30" s="35" t="e">
        <f t="shared" ca="1" si="9"/>
        <v>#VALUE!</v>
      </c>
      <c r="AC30" s="35" t="e">
        <f t="shared" ca="1" si="9"/>
        <v>#VALUE!</v>
      </c>
      <c r="AD30" s="35" t="e">
        <f t="shared" ca="1" si="9"/>
        <v>#VALUE!</v>
      </c>
      <c r="AE30" s="35" t="e">
        <f t="shared" ca="1" si="9"/>
        <v>#VALUE!</v>
      </c>
      <c r="AF30" s="35" t="e">
        <f t="shared" ca="1" si="9"/>
        <v>#VALUE!</v>
      </c>
      <c r="AG30" s="35" t="e">
        <f t="shared" ca="1" si="9"/>
        <v>#VALUE!</v>
      </c>
      <c r="AH30" s="35" t="e">
        <f t="shared" ca="1" si="9"/>
        <v>#VALUE!</v>
      </c>
      <c r="AI30" s="35" t="e">
        <f t="shared" ca="1" si="9"/>
        <v>#VALUE!</v>
      </c>
      <c r="AJ30" s="35" t="e">
        <f t="shared" ca="1" si="9"/>
        <v>#VALUE!</v>
      </c>
      <c r="AK30" s="35" t="e">
        <f t="shared" ca="1" si="9"/>
        <v>#VALUE!</v>
      </c>
      <c r="AL30" s="35" t="e">
        <f t="shared" ca="1" si="9"/>
        <v>#VALUE!</v>
      </c>
      <c r="AM30" s="35" t="e">
        <f t="shared" ca="1" si="9"/>
        <v>#VALUE!</v>
      </c>
      <c r="AN30" s="35" t="e">
        <f t="shared" ca="1" si="9"/>
        <v>#VALUE!</v>
      </c>
      <c r="AO30" s="35" t="e">
        <f t="shared" ca="1" si="9"/>
        <v>#VALUE!</v>
      </c>
      <c r="AP30" s="35" t="e">
        <f t="shared" ca="1" si="9"/>
        <v>#VALUE!</v>
      </c>
      <c r="AQ30" s="35" t="e">
        <f t="shared" ca="1" si="9"/>
        <v>#VALUE!</v>
      </c>
    </row>
    <row r="31" spans="1:43" ht="10.15" customHeight="1">
      <c r="A31" s="31">
        <f ca="1">A33-$C$12</f>
        <v>49.450000000000031</v>
      </c>
      <c r="B31" s="31" t="s">
        <v>71</v>
      </c>
      <c r="C31" s="32" t="e">
        <f t="shared" ref="C31:AQ31" ca="1" si="10">EBlackScholesForward("p",C$20,$A$31,C$22,$C$6,$C$6,$C$7,C$21)</f>
        <v>#VALUE!</v>
      </c>
      <c r="D31" s="32" t="e">
        <f t="shared" ca="1" si="10"/>
        <v>#VALUE!</v>
      </c>
      <c r="E31" s="32" t="e">
        <f t="shared" ca="1" si="10"/>
        <v>#VALUE!</v>
      </c>
      <c r="F31" s="32" t="e">
        <f t="shared" ca="1" si="10"/>
        <v>#VALUE!</v>
      </c>
      <c r="G31" s="32" t="e">
        <f t="shared" ca="1" si="10"/>
        <v>#VALUE!</v>
      </c>
      <c r="H31" s="32" t="e">
        <f t="shared" ca="1" si="10"/>
        <v>#VALUE!</v>
      </c>
      <c r="I31" s="32" t="e">
        <f t="shared" ca="1" si="10"/>
        <v>#VALUE!</v>
      </c>
      <c r="J31" s="32" t="e">
        <f t="shared" ca="1" si="10"/>
        <v>#VALUE!</v>
      </c>
      <c r="K31" s="32" t="e">
        <f t="shared" ca="1" si="10"/>
        <v>#VALUE!</v>
      </c>
      <c r="L31" s="32" t="e">
        <f t="shared" ca="1" si="10"/>
        <v>#VALUE!</v>
      </c>
      <c r="M31" s="32" t="e">
        <f t="shared" ca="1" si="10"/>
        <v>#VALUE!</v>
      </c>
      <c r="N31" s="32" t="e">
        <f t="shared" ca="1" si="10"/>
        <v>#VALUE!</v>
      </c>
      <c r="O31" s="32" t="e">
        <f t="shared" ca="1" si="10"/>
        <v>#VALUE!</v>
      </c>
      <c r="P31" s="32" t="e">
        <f t="shared" ca="1" si="10"/>
        <v>#VALUE!</v>
      </c>
      <c r="Q31" s="32" t="e">
        <f t="shared" ca="1" si="10"/>
        <v>#VALUE!</v>
      </c>
      <c r="R31" s="32" t="e">
        <f t="shared" ca="1" si="10"/>
        <v>#VALUE!</v>
      </c>
      <c r="S31" s="32" t="e">
        <f t="shared" ca="1" si="10"/>
        <v>#VALUE!</v>
      </c>
      <c r="T31" s="32" t="e">
        <f t="shared" ca="1" si="10"/>
        <v>#VALUE!</v>
      </c>
      <c r="U31" s="32" t="e">
        <f t="shared" ca="1" si="10"/>
        <v>#VALUE!</v>
      </c>
      <c r="V31" s="32" t="e">
        <f t="shared" ca="1" si="10"/>
        <v>#VALUE!</v>
      </c>
      <c r="W31" s="76" t="e">
        <f t="shared" ca="1" si="10"/>
        <v>#VALUE!</v>
      </c>
      <c r="X31" s="32" t="e">
        <f t="shared" ca="1" si="10"/>
        <v>#VALUE!</v>
      </c>
      <c r="Y31" s="32" t="e">
        <f t="shared" ca="1" si="10"/>
        <v>#VALUE!</v>
      </c>
      <c r="Z31" s="32" t="e">
        <f t="shared" ca="1" si="10"/>
        <v>#VALUE!</v>
      </c>
      <c r="AA31" s="32" t="e">
        <f t="shared" ca="1" si="10"/>
        <v>#VALUE!</v>
      </c>
      <c r="AB31" s="32" t="e">
        <f t="shared" ca="1" si="10"/>
        <v>#VALUE!</v>
      </c>
      <c r="AC31" s="32" t="e">
        <f t="shared" ca="1" si="10"/>
        <v>#VALUE!</v>
      </c>
      <c r="AD31" s="32" t="e">
        <f t="shared" ca="1" si="10"/>
        <v>#VALUE!</v>
      </c>
      <c r="AE31" s="32" t="e">
        <f t="shared" ca="1" si="10"/>
        <v>#VALUE!</v>
      </c>
      <c r="AF31" s="32" t="e">
        <f t="shared" ca="1" si="10"/>
        <v>#VALUE!</v>
      </c>
      <c r="AG31" s="32" t="e">
        <f t="shared" ca="1" si="10"/>
        <v>#VALUE!</v>
      </c>
      <c r="AH31" s="32" t="e">
        <f t="shared" ca="1" si="10"/>
        <v>#VALUE!</v>
      </c>
      <c r="AI31" s="32" t="e">
        <f t="shared" ca="1" si="10"/>
        <v>#VALUE!</v>
      </c>
      <c r="AJ31" s="32" t="e">
        <f t="shared" ca="1" si="10"/>
        <v>#VALUE!</v>
      </c>
      <c r="AK31" s="32" t="e">
        <f t="shared" ca="1" si="10"/>
        <v>#VALUE!</v>
      </c>
      <c r="AL31" s="32" t="e">
        <f t="shared" ca="1" si="10"/>
        <v>#VALUE!</v>
      </c>
      <c r="AM31" s="32" t="e">
        <f t="shared" ca="1" si="10"/>
        <v>#VALUE!</v>
      </c>
      <c r="AN31" s="32" t="e">
        <f t="shared" ca="1" si="10"/>
        <v>#VALUE!</v>
      </c>
      <c r="AO31" s="32" t="e">
        <f t="shared" ca="1" si="10"/>
        <v>#VALUE!</v>
      </c>
      <c r="AP31" s="32" t="e">
        <f t="shared" ca="1" si="10"/>
        <v>#VALUE!</v>
      </c>
      <c r="AQ31" s="32" t="e">
        <f t="shared" ca="1" si="10"/>
        <v>#VALUE!</v>
      </c>
    </row>
    <row r="32" spans="1:43" ht="10.15" customHeight="1">
      <c r="A32" s="31"/>
      <c r="B32" s="31" t="s">
        <v>74</v>
      </c>
      <c r="C32" s="32" t="e">
        <f ca="1">EBlackScholesForward($FA$3,C$20,$A$31,C$22,$C$6,$C$6,$C$7,C$21)</f>
        <v>#VALUE!</v>
      </c>
      <c r="D32" s="32" t="e">
        <f t="shared" ref="D32:AQ32" ca="1" si="11">EBlackScholesForward($FA$3,D$20,$A$29,D$22,$C$6,$C$6,$C$7,D$21)</f>
        <v>#VALUE!</v>
      </c>
      <c r="E32" s="32" t="e">
        <f t="shared" ca="1" si="11"/>
        <v>#VALUE!</v>
      </c>
      <c r="F32" s="32" t="e">
        <f t="shared" ca="1" si="11"/>
        <v>#VALUE!</v>
      </c>
      <c r="G32" s="32" t="e">
        <f t="shared" ca="1" si="11"/>
        <v>#VALUE!</v>
      </c>
      <c r="H32" s="32" t="e">
        <f t="shared" ca="1" si="11"/>
        <v>#VALUE!</v>
      </c>
      <c r="I32" s="32" t="e">
        <f t="shared" ca="1" si="11"/>
        <v>#VALUE!</v>
      </c>
      <c r="J32" s="32" t="e">
        <f t="shared" ca="1" si="11"/>
        <v>#VALUE!</v>
      </c>
      <c r="K32" s="32" t="e">
        <f t="shared" ca="1" si="11"/>
        <v>#VALUE!</v>
      </c>
      <c r="L32" s="32" t="e">
        <f t="shared" ca="1" si="11"/>
        <v>#VALUE!</v>
      </c>
      <c r="M32" s="32" t="e">
        <f t="shared" ca="1" si="11"/>
        <v>#VALUE!</v>
      </c>
      <c r="N32" s="32" t="e">
        <f t="shared" ca="1" si="11"/>
        <v>#VALUE!</v>
      </c>
      <c r="O32" s="32" t="e">
        <f t="shared" ca="1" si="11"/>
        <v>#VALUE!</v>
      </c>
      <c r="P32" s="32" t="e">
        <f t="shared" ca="1" si="11"/>
        <v>#VALUE!</v>
      </c>
      <c r="Q32" s="32" t="e">
        <f t="shared" ca="1" si="11"/>
        <v>#VALUE!</v>
      </c>
      <c r="R32" s="32" t="e">
        <f t="shared" ca="1" si="11"/>
        <v>#VALUE!</v>
      </c>
      <c r="S32" s="32" t="e">
        <f t="shared" ca="1" si="11"/>
        <v>#VALUE!</v>
      </c>
      <c r="T32" s="32" t="e">
        <f t="shared" ca="1" si="11"/>
        <v>#VALUE!</v>
      </c>
      <c r="U32" s="32" t="e">
        <f t="shared" ca="1" si="11"/>
        <v>#VALUE!</v>
      </c>
      <c r="V32" s="32" t="e">
        <f t="shared" ca="1" si="11"/>
        <v>#VALUE!</v>
      </c>
      <c r="W32" s="76" t="e">
        <f t="shared" ca="1" si="11"/>
        <v>#VALUE!</v>
      </c>
      <c r="X32" s="32" t="e">
        <f t="shared" ca="1" si="11"/>
        <v>#VALUE!</v>
      </c>
      <c r="Y32" s="32" t="e">
        <f t="shared" ca="1" si="11"/>
        <v>#VALUE!</v>
      </c>
      <c r="Z32" s="32" t="e">
        <f t="shared" ca="1" si="11"/>
        <v>#VALUE!</v>
      </c>
      <c r="AA32" s="32" t="e">
        <f t="shared" ca="1" si="11"/>
        <v>#VALUE!</v>
      </c>
      <c r="AB32" s="32" t="e">
        <f t="shared" ca="1" si="11"/>
        <v>#VALUE!</v>
      </c>
      <c r="AC32" s="32" t="e">
        <f t="shared" ca="1" si="11"/>
        <v>#VALUE!</v>
      </c>
      <c r="AD32" s="32" t="e">
        <f t="shared" ca="1" si="11"/>
        <v>#VALUE!</v>
      </c>
      <c r="AE32" s="32" t="e">
        <f t="shared" ca="1" si="11"/>
        <v>#VALUE!</v>
      </c>
      <c r="AF32" s="32" t="e">
        <f t="shared" ca="1" si="11"/>
        <v>#VALUE!</v>
      </c>
      <c r="AG32" s="32" t="e">
        <f t="shared" ca="1" si="11"/>
        <v>#VALUE!</v>
      </c>
      <c r="AH32" s="32" t="e">
        <f t="shared" ca="1" si="11"/>
        <v>#VALUE!</v>
      </c>
      <c r="AI32" s="32" t="e">
        <f t="shared" ca="1" si="11"/>
        <v>#VALUE!</v>
      </c>
      <c r="AJ32" s="32" t="e">
        <f t="shared" ca="1" si="11"/>
        <v>#VALUE!</v>
      </c>
      <c r="AK32" s="32" t="e">
        <f t="shared" ca="1" si="11"/>
        <v>#VALUE!</v>
      </c>
      <c r="AL32" s="32" t="e">
        <f t="shared" ca="1" si="11"/>
        <v>#VALUE!</v>
      </c>
      <c r="AM32" s="32" t="e">
        <f t="shared" ca="1" si="11"/>
        <v>#VALUE!</v>
      </c>
      <c r="AN32" s="32" t="e">
        <f t="shared" ca="1" si="11"/>
        <v>#VALUE!</v>
      </c>
      <c r="AO32" s="32" t="e">
        <f t="shared" ca="1" si="11"/>
        <v>#VALUE!</v>
      </c>
      <c r="AP32" s="32" t="e">
        <f t="shared" ca="1" si="11"/>
        <v>#VALUE!</v>
      </c>
      <c r="AQ32" s="32" t="e">
        <f t="shared" ca="1" si="11"/>
        <v>#VALUE!</v>
      </c>
    </row>
    <row r="33" spans="1:43" ht="10.15" customHeight="1">
      <c r="A33" s="34">
        <f ca="1">A35-$C$12</f>
        <v>49.500000000000028</v>
      </c>
      <c r="B33" s="34" t="s">
        <v>71</v>
      </c>
      <c r="C33" s="35" t="e">
        <f t="shared" ref="C33:AQ33" ca="1" si="12">EBlackScholesForward("p",C$20,$A$33,C$22,$C$6,$C$6,$C$7,C$21)</f>
        <v>#VALUE!</v>
      </c>
      <c r="D33" s="35" t="e">
        <f t="shared" ca="1" si="12"/>
        <v>#VALUE!</v>
      </c>
      <c r="E33" s="35" t="e">
        <f t="shared" ca="1" si="12"/>
        <v>#VALUE!</v>
      </c>
      <c r="F33" s="35" t="e">
        <f t="shared" ca="1" si="12"/>
        <v>#VALUE!</v>
      </c>
      <c r="G33" s="35" t="e">
        <f t="shared" ca="1" si="12"/>
        <v>#VALUE!</v>
      </c>
      <c r="H33" s="35" t="e">
        <f t="shared" ca="1" si="12"/>
        <v>#VALUE!</v>
      </c>
      <c r="I33" s="35" t="e">
        <f t="shared" ca="1" si="12"/>
        <v>#VALUE!</v>
      </c>
      <c r="J33" s="35" t="e">
        <f t="shared" ca="1" si="12"/>
        <v>#VALUE!</v>
      </c>
      <c r="K33" s="35" t="e">
        <f t="shared" ca="1" si="12"/>
        <v>#VALUE!</v>
      </c>
      <c r="L33" s="35" t="e">
        <f t="shared" ca="1" si="12"/>
        <v>#VALUE!</v>
      </c>
      <c r="M33" s="35" t="e">
        <f t="shared" ca="1" si="12"/>
        <v>#VALUE!</v>
      </c>
      <c r="N33" s="35" t="e">
        <f t="shared" ca="1" si="12"/>
        <v>#VALUE!</v>
      </c>
      <c r="O33" s="35" t="e">
        <f t="shared" ca="1" si="12"/>
        <v>#VALUE!</v>
      </c>
      <c r="P33" s="35" t="e">
        <f t="shared" ca="1" si="12"/>
        <v>#VALUE!</v>
      </c>
      <c r="Q33" s="35" t="e">
        <f t="shared" ca="1" si="12"/>
        <v>#VALUE!</v>
      </c>
      <c r="R33" s="35" t="e">
        <f t="shared" ca="1" si="12"/>
        <v>#VALUE!</v>
      </c>
      <c r="S33" s="35" t="e">
        <f t="shared" ca="1" si="12"/>
        <v>#VALUE!</v>
      </c>
      <c r="T33" s="35" t="e">
        <f t="shared" ca="1" si="12"/>
        <v>#VALUE!</v>
      </c>
      <c r="U33" s="35" t="e">
        <f t="shared" ca="1" si="12"/>
        <v>#VALUE!</v>
      </c>
      <c r="V33" s="35" t="e">
        <f t="shared" ca="1" si="12"/>
        <v>#VALUE!</v>
      </c>
      <c r="W33" s="77" t="e">
        <f t="shared" ca="1" si="12"/>
        <v>#VALUE!</v>
      </c>
      <c r="X33" s="35" t="e">
        <f t="shared" ca="1" si="12"/>
        <v>#VALUE!</v>
      </c>
      <c r="Y33" s="35" t="e">
        <f t="shared" ca="1" si="12"/>
        <v>#VALUE!</v>
      </c>
      <c r="Z33" s="35" t="e">
        <f t="shared" ca="1" si="12"/>
        <v>#VALUE!</v>
      </c>
      <c r="AA33" s="35" t="e">
        <f t="shared" ca="1" si="12"/>
        <v>#VALUE!</v>
      </c>
      <c r="AB33" s="35" t="e">
        <f t="shared" ca="1" si="12"/>
        <v>#VALUE!</v>
      </c>
      <c r="AC33" s="35" t="e">
        <f t="shared" ca="1" si="12"/>
        <v>#VALUE!</v>
      </c>
      <c r="AD33" s="35" t="e">
        <f t="shared" ca="1" si="12"/>
        <v>#VALUE!</v>
      </c>
      <c r="AE33" s="35" t="e">
        <f t="shared" ca="1" si="12"/>
        <v>#VALUE!</v>
      </c>
      <c r="AF33" s="35" t="e">
        <f t="shared" ca="1" si="12"/>
        <v>#VALUE!</v>
      </c>
      <c r="AG33" s="35" t="e">
        <f t="shared" ca="1" si="12"/>
        <v>#VALUE!</v>
      </c>
      <c r="AH33" s="35" t="e">
        <f t="shared" ca="1" si="12"/>
        <v>#VALUE!</v>
      </c>
      <c r="AI33" s="35" t="e">
        <f t="shared" ca="1" si="12"/>
        <v>#VALUE!</v>
      </c>
      <c r="AJ33" s="35" t="e">
        <f t="shared" ca="1" si="12"/>
        <v>#VALUE!</v>
      </c>
      <c r="AK33" s="35" t="e">
        <f t="shared" ca="1" si="12"/>
        <v>#VALUE!</v>
      </c>
      <c r="AL33" s="35" t="e">
        <f t="shared" ca="1" si="12"/>
        <v>#VALUE!</v>
      </c>
      <c r="AM33" s="35" t="e">
        <f t="shared" ca="1" si="12"/>
        <v>#VALUE!</v>
      </c>
      <c r="AN33" s="35" t="e">
        <f t="shared" ca="1" si="12"/>
        <v>#VALUE!</v>
      </c>
      <c r="AO33" s="35" t="e">
        <f t="shared" ca="1" si="12"/>
        <v>#VALUE!</v>
      </c>
      <c r="AP33" s="35" t="e">
        <f t="shared" ca="1" si="12"/>
        <v>#VALUE!</v>
      </c>
      <c r="AQ33" s="35" t="e">
        <f t="shared" ca="1" si="12"/>
        <v>#VALUE!</v>
      </c>
    </row>
    <row r="34" spans="1:43" ht="10.15" customHeight="1" outlineLevel="1">
      <c r="A34" s="36"/>
      <c r="B34" s="34" t="s">
        <v>74</v>
      </c>
      <c r="C34" s="35" t="e">
        <f t="shared" ref="C34:AQ34" ca="1" si="13">EBlackScholesForward($FA$3,C$20,$A$33,C$22,$C$6,$C$6,$C$7,C$21)</f>
        <v>#VALUE!</v>
      </c>
      <c r="D34" s="35" t="e">
        <f t="shared" ca="1" si="13"/>
        <v>#VALUE!</v>
      </c>
      <c r="E34" s="35" t="e">
        <f t="shared" ca="1" si="13"/>
        <v>#VALUE!</v>
      </c>
      <c r="F34" s="35" t="e">
        <f t="shared" ca="1" si="13"/>
        <v>#VALUE!</v>
      </c>
      <c r="G34" s="35" t="e">
        <f t="shared" ca="1" si="13"/>
        <v>#VALUE!</v>
      </c>
      <c r="H34" s="35" t="e">
        <f t="shared" ca="1" si="13"/>
        <v>#VALUE!</v>
      </c>
      <c r="I34" s="35" t="e">
        <f t="shared" ca="1" si="13"/>
        <v>#VALUE!</v>
      </c>
      <c r="J34" s="35" t="e">
        <f t="shared" ca="1" si="13"/>
        <v>#VALUE!</v>
      </c>
      <c r="K34" s="35" t="e">
        <f t="shared" ca="1" si="13"/>
        <v>#VALUE!</v>
      </c>
      <c r="L34" s="35" t="e">
        <f t="shared" ca="1" si="13"/>
        <v>#VALUE!</v>
      </c>
      <c r="M34" s="35" t="e">
        <f t="shared" ca="1" si="13"/>
        <v>#VALUE!</v>
      </c>
      <c r="N34" s="35" t="e">
        <f t="shared" ca="1" si="13"/>
        <v>#VALUE!</v>
      </c>
      <c r="O34" s="35" t="e">
        <f t="shared" ca="1" si="13"/>
        <v>#VALUE!</v>
      </c>
      <c r="P34" s="35" t="e">
        <f t="shared" ca="1" si="13"/>
        <v>#VALUE!</v>
      </c>
      <c r="Q34" s="35" t="e">
        <f t="shared" ca="1" si="13"/>
        <v>#VALUE!</v>
      </c>
      <c r="R34" s="35" t="e">
        <f t="shared" ca="1" si="13"/>
        <v>#VALUE!</v>
      </c>
      <c r="S34" s="35" t="e">
        <f t="shared" ca="1" si="13"/>
        <v>#VALUE!</v>
      </c>
      <c r="T34" s="35" t="e">
        <f t="shared" ca="1" si="13"/>
        <v>#VALUE!</v>
      </c>
      <c r="U34" s="35" t="e">
        <f t="shared" ca="1" si="13"/>
        <v>#VALUE!</v>
      </c>
      <c r="V34" s="35" t="e">
        <f t="shared" ca="1" si="13"/>
        <v>#VALUE!</v>
      </c>
      <c r="W34" s="77" t="e">
        <f t="shared" ca="1" si="13"/>
        <v>#VALUE!</v>
      </c>
      <c r="X34" s="35" t="e">
        <f t="shared" ca="1" si="13"/>
        <v>#VALUE!</v>
      </c>
      <c r="Y34" s="35" t="e">
        <f t="shared" ca="1" si="13"/>
        <v>#VALUE!</v>
      </c>
      <c r="Z34" s="35" t="e">
        <f t="shared" ca="1" si="13"/>
        <v>#VALUE!</v>
      </c>
      <c r="AA34" s="35" t="e">
        <f t="shared" ca="1" si="13"/>
        <v>#VALUE!</v>
      </c>
      <c r="AB34" s="35" t="e">
        <f t="shared" ca="1" si="13"/>
        <v>#VALUE!</v>
      </c>
      <c r="AC34" s="35" t="e">
        <f t="shared" ca="1" si="13"/>
        <v>#VALUE!</v>
      </c>
      <c r="AD34" s="35" t="e">
        <f t="shared" ca="1" si="13"/>
        <v>#VALUE!</v>
      </c>
      <c r="AE34" s="35" t="e">
        <f t="shared" ca="1" si="13"/>
        <v>#VALUE!</v>
      </c>
      <c r="AF34" s="35" t="e">
        <f t="shared" ca="1" si="13"/>
        <v>#VALUE!</v>
      </c>
      <c r="AG34" s="35" t="e">
        <f t="shared" ca="1" si="13"/>
        <v>#VALUE!</v>
      </c>
      <c r="AH34" s="35" t="e">
        <f t="shared" ca="1" si="13"/>
        <v>#VALUE!</v>
      </c>
      <c r="AI34" s="35" t="e">
        <f t="shared" ca="1" si="13"/>
        <v>#VALUE!</v>
      </c>
      <c r="AJ34" s="35" t="e">
        <f t="shared" ca="1" si="13"/>
        <v>#VALUE!</v>
      </c>
      <c r="AK34" s="35" t="e">
        <f t="shared" ca="1" si="13"/>
        <v>#VALUE!</v>
      </c>
      <c r="AL34" s="35" t="e">
        <f t="shared" ca="1" si="13"/>
        <v>#VALUE!</v>
      </c>
      <c r="AM34" s="35" t="e">
        <f t="shared" ca="1" si="13"/>
        <v>#VALUE!</v>
      </c>
      <c r="AN34" s="35" t="e">
        <f t="shared" ca="1" si="13"/>
        <v>#VALUE!</v>
      </c>
      <c r="AO34" s="35" t="e">
        <f t="shared" ca="1" si="13"/>
        <v>#VALUE!</v>
      </c>
      <c r="AP34" s="35" t="e">
        <f t="shared" ca="1" si="13"/>
        <v>#VALUE!</v>
      </c>
      <c r="AQ34" s="35" t="e">
        <f t="shared" ca="1" si="13"/>
        <v>#VALUE!</v>
      </c>
    </row>
    <row r="35" spans="1:43" ht="10.15" customHeight="1">
      <c r="A35" s="31">
        <f ca="1">A37-$C$12</f>
        <v>49.550000000000026</v>
      </c>
      <c r="B35" s="31" t="s">
        <v>71</v>
      </c>
      <c r="C35" s="32" t="e">
        <f t="shared" ref="C35:AQ35" ca="1" si="14">EBlackScholesForward("p",C$20,$A$35,C$22,$C$6,$C$6,$C$7,C$21)</f>
        <v>#VALUE!</v>
      </c>
      <c r="D35" s="32" t="e">
        <f t="shared" ca="1" si="14"/>
        <v>#VALUE!</v>
      </c>
      <c r="E35" s="32" t="e">
        <f t="shared" ca="1" si="14"/>
        <v>#VALUE!</v>
      </c>
      <c r="F35" s="32" t="e">
        <f t="shared" ca="1" si="14"/>
        <v>#VALUE!</v>
      </c>
      <c r="G35" s="32" t="e">
        <f t="shared" ca="1" si="14"/>
        <v>#VALUE!</v>
      </c>
      <c r="H35" s="32" t="e">
        <f t="shared" ca="1" si="14"/>
        <v>#VALUE!</v>
      </c>
      <c r="I35" s="32" t="e">
        <f t="shared" ca="1" si="14"/>
        <v>#VALUE!</v>
      </c>
      <c r="J35" s="32" t="e">
        <f t="shared" ca="1" si="14"/>
        <v>#VALUE!</v>
      </c>
      <c r="K35" s="32" t="e">
        <f t="shared" ca="1" si="14"/>
        <v>#VALUE!</v>
      </c>
      <c r="L35" s="32" t="e">
        <f t="shared" ca="1" si="14"/>
        <v>#VALUE!</v>
      </c>
      <c r="M35" s="32" t="e">
        <f t="shared" ca="1" si="14"/>
        <v>#VALUE!</v>
      </c>
      <c r="N35" s="32" t="e">
        <f t="shared" ca="1" si="14"/>
        <v>#VALUE!</v>
      </c>
      <c r="O35" s="32" t="e">
        <f t="shared" ca="1" si="14"/>
        <v>#VALUE!</v>
      </c>
      <c r="P35" s="32" t="e">
        <f t="shared" ca="1" si="14"/>
        <v>#VALUE!</v>
      </c>
      <c r="Q35" s="32" t="e">
        <f t="shared" ca="1" si="14"/>
        <v>#VALUE!</v>
      </c>
      <c r="R35" s="32" t="e">
        <f t="shared" ca="1" si="14"/>
        <v>#VALUE!</v>
      </c>
      <c r="S35" s="32" t="e">
        <f t="shared" ca="1" si="14"/>
        <v>#VALUE!</v>
      </c>
      <c r="T35" s="32" t="e">
        <f t="shared" ca="1" si="14"/>
        <v>#VALUE!</v>
      </c>
      <c r="U35" s="32" t="e">
        <f t="shared" ca="1" si="14"/>
        <v>#VALUE!</v>
      </c>
      <c r="V35" s="32" t="e">
        <f t="shared" ca="1" si="14"/>
        <v>#VALUE!</v>
      </c>
      <c r="W35" s="76" t="e">
        <f t="shared" ca="1" si="14"/>
        <v>#VALUE!</v>
      </c>
      <c r="X35" s="32" t="e">
        <f t="shared" ca="1" si="14"/>
        <v>#VALUE!</v>
      </c>
      <c r="Y35" s="32" t="e">
        <f t="shared" ca="1" si="14"/>
        <v>#VALUE!</v>
      </c>
      <c r="Z35" s="32" t="e">
        <f t="shared" ca="1" si="14"/>
        <v>#VALUE!</v>
      </c>
      <c r="AA35" s="32" t="e">
        <f t="shared" ca="1" si="14"/>
        <v>#VALUE!</v>
      </c>
      <c r="AB35" s="32" t="e">
        <f t="shared" ca="1" si="14"/>
        <v>#VALUE!</v>
      </c>
      <c r="AC35" s="32" t="e">
        <f t="shared" ca="1" si="14"/>
        <v>#VALUE!</v>
      </c>
      <c r="AD35" s="32" t="e">
        <f t="shared" ca="1" si="14"/>
        <v>#VALUE!</v>
      </c>
      <c r="AE35" s="32" t="e">
        <f t="shared" ca="1" si="14"/>
        <v>#VALUE!</v>
      </c>
      <c r="AF35" s="32" t="e">
        <f t="shared" ca="1" si="14"/>
        <v>#VALUE!</v>
      </c>
      <c r="AG35" s="32" t="e">
        <f t="shared" ca="1" si="14"/>
        <v>#VALUE!</v>
      </c>
      <c r="AH35" s="32" t="e">
        <f t="shared" ca="1" si="14"/>
        <v>#VALUE!</v>
      </c>
      <c r="AI35" s="32" t="e">
        <f t="shared" ca="1" si="14"/>
        <v>#VALUE!</v>
      </c>
      <c r="AJ35" s="32" t="e">
        <f t="shared" ca="1" si="14"/>
        <v>#VALUE!</v>
      </c>
      <c r="AK35" s="32" t="e">
        <f t="shared" ca="1" si="14"/>
        <v>#VALUE!</v>
      </c>
      <c r="AL35" s="32" t="e">
        <f t="shared" ca="1" si="14"/>
        <v>#VALUE!</v>
      </c>
      <c r="AM35" s="32" t="e">
        <f t="shared" ca="1" si="14"/>
        <v>#VALUE!</v>
      </c>
      <c r="AN35" s="32" t="e">
        <f t="shared" ca="1" si="14"/>
        <v>#VALUE!</v>
      </c>
      <c r="AO35" s="32" t="e">
        <f t="shared" ca="1" si="14"/>
        <v>#VALUE!</v>
      </c>
      <c r="AP35" s="32" t="e">
        <f t="shared" ca="1" si="14"/>
        <v>#VALUE!</v>
      </c>
      <c r="AQ35" s="32" t="e">
        <f t="shared" ca="1" si="14"/>
        <v>#VALUE!</v>
      </c>
    </row>
    <row r="36" spans="1:43" ht="10.15" customHeight="1" outlineLevel="1">
      <c r="A36" s="33"/>
      <c r="B36" s="31" t="s">
        <v>74</v>
      </c>
      <c r="C36" s="32" t="e">
        <f t="shared" ref="C36:AQ36" ca="1" si="15">EBlackScholesForward($FA$3,C$20,$A$35,C$22,$C$6,$C$6,$C$7,C$21)</f>
        <v>#VALUE!</v>
      </c>
      <c r="D36" s="32" t="e">
        <f t="shared" ca="1" si="15"/>
        <v>#VALUE!</v>
      </c>
      <c r="E36" s="32" t="e">
        <f t="shared" ca="1" si="15"/>
        <v>#VALUE!</v>
      </c>
      <c r="F36" s="32" t="e">
        <f t="shared" ca="1" si="15"/>
        <v>#VALUE!</v>
      </c>
      <c r="G36" s="32" t="e">
        <f t="shared" ca="1" si="15"/>
        <v>#VALUE!</v>
      </c>
      <c r="H36" s="32" t="e">
        <f t="shared" ca="1" si="15"/>
        <v>#VALUE!</v>
      </c>
      <c r="I36" s="32" t="e">
        <f t="shared" ca="1" si="15"/>
        <v>#VALUE!</v>
      </c>
      <c r="J36" s="32" t="e">
        <f t="shared" ca="1" si="15"/>
        <v>#VALUE!</v>
      </c>
      <c r="K36" s="32" t="e">
        <f t="shared" ca="1" si="15"/>
        <v>#VALUE!</v>
      </c>
      <c r="L36" s="32" t="e">
        <f t="shared" ca="1" si="15"/>
        <v>#VALUE!</v>
      </c>
      <c r="M36" s="32" t="e">
        <f t="shared" ca="1" si="15"/>
        <v>#VALUE!</v>
      </c>
      <c r="N36" s="32" t="e">
        <f t="shared" ca="1" si="15"/>
        <v>#VALUE!</v>
      </c>
      <c r="O36" s="32" t="e">
        <f t="shared" ca="1" si="15"/>
        <v>#VALUE!</v>
      </c>
      <c r="P36" s="32" t="e">
        <f t="shared" ca="1" si="15"/>
        <v>#VALUE!</v>
      </c>
      <c r="Q36" s="32" t="e">
        <f t="shared" ca="1" si="15"/>
        <v>#VALUE!</v>
      </c>
      <c r="R36" s="32" t="e">
        <f t="shared" ca="1" si="15"/>
        <v>#VALUE!</v>
      </c>
      <c r="S36" s="32" t="e">
        <f t="shared" ca="1" si="15"/>
        <v>#VALUE!</v>
      </c>
      <c r="T36" s="32" t="e">
        <f t="shared" ca="1" si="15"/>
        <v>#VALUE!</v>
      </c>
      <c r="U36" s="32" t="e">
        <f t="shared" ca="1" si="15"/>
        <v>#VALUE!</v>
      </c>
      <c r="V36" s="32" t="e">
        <f t="shared" ca="1" si="15"/>
        <v>#VALUE!</v>
      </c>
      <c r="W36" s="76" t="e">
        <f t="shared" ca="1" si="15"/>
        <v>#VALUE!</v>
      </c>
      <c r="X36" s="32" t="e">
        <f t="shared" ca="1" si="15"/>
        <v>#VALUE!</v>
      </c>
      <c r="Y36" s="32" t="e">
        <f t="shared" ca="1" si="15"/>
        <v>#VALUE!</v>
      </c>
      <c r="Z36" s="32" t="e">
        <f t="shared" ca="1" si="15"/>
        <v>#VALUE!</v>
      </c>
      <c r="AA36" s="32" t="e">
        <f t="shared" ca="1" si="15"/>
        <v>#VALUE!</v>
      </c>
      <c r="AB36" s="32" t="e">
        <f t="shared" ca="1" si="15"/>
        <v>#VALUE!</v>
      </c>
      <c r="AC36" s="32" t="e">
        <f t="shared" ca="1" si="15"/>
        <v>#VALUE!</v>
      </c>
      <c r="AD36" s="32" t="e">
        <f t="shared" ca="1" si="15"/>
        <v>#VALUE!</v>
      </c>
      <c r="AE36" s="32" t="e">
        <f t="shared" ca="1" si="15"/>
        <v>#VALUE!</v>
      </c>
      <c r="AF36" s="32" t="e">
        <f t="shared" ca="1" si="15"/>
        <v>#VALUE!</v>
      </c>
      <c r="AG36" s="32" t="e">
        <f t="shared" ca="1" si="15"/>
        <v>#VALUE!</v>
      </c>
      <c r="AH36" s="32" t="e">
        <f t="shared" ca="1" si="15"/>
        <v>#VALUE!</v>
      </c>
      <c r="AI36" s="32" t="e">
        <f t="shared" ca="1" si="15"/>
        <v>#VALUE!</v>
      </c>
      <c r="AJ36" s="32" t="e">
        <f t="shared" ca="1" si="15"/>
        <v>#VALUE!</v>
      </c>
      <c r="AK36" s="32" t="e">
        <f t="shared" ca="1" si="15"/>
        <v>#VALUE!</v>
      </c>
      <c r="AL36" s="32" t="e">
        <f t="shared" ca="1" si="15"/>
        <v>#VALUE!</v>
      </c>
      <c r="AM36" s="32" t="e">
        <f t="shared" ca="1" si="15"/>
        <v>#VALUE!</v>
      </c>
      <c r="AN36" s="32" t="e">
        <f t="shared" ca="1" si="15"/>
        <v>#VALUE!</v>
      </c>
      <c r="AO36" s="32" t="e">
        <f t="shared" ca="1" si="15"/>
        <v>#VALUE!</v>
      </c>
      <c r="AP36" s="32" t="e">
        <f t="shared" ca="1" si="15"/>
        <v>#VALUE!</v>
      </c>
      <c r="AQ36" s="32" t="e">
        <f t="shared" ca="1" si="15"/>
        <v>#VALUE!</v>
      </c>
    </row>
    <row r="37" spans="1:43" ht="10.15" customHeight="1">
      <c r="A37" s="34">
        <f ca="1">A39-$C$12</f>
        <v>49.600000000000023</v>
      </c>
      <c r="B37" s="34" t="s">
        <v>71</v>
      </c>
      <c r="C37" s="35" t="e">
        <f t="shared" ref="C37:AQ37" ca="1" si="16">EBlackScholesForward("p",C$20,$A$37,C$22,$C$6,$C$6,$C$7,C$21)</f>
        <v>#VALUE!</v>
      </c>
      <c r="D37" s="35" t="e">
        <f t="shared" ca="1" si="16"/>
        <v>#VALUE!</v>
      </c>
      <c r="E37" s="35" t="e">
        <f t="shared" ca="1" si="16"/>
        <v>#VALUE!</v>
      </c>
      <c r="F37" s="35" t="e">
        <f t="shared" ca="1" si="16"/>
        <v>#VALUE!</v>
      </c>
      <c r="G37" s="35" t="e">
        <f t="shared" ca="1" si="16"/>
        <v>#VALUE!</v>
      </c>
      <c r="H37" s="35" t="e">
        <f t="shared" ca="1" si="16"/>
        <v>#VALUE!</v>
      </c>
      <c r="I37" s="35" t="e">
        <f t="shared" ca="1" si="16"/>
        <v>#VALUE!</v>
      </c>
      <c r="J37" s="35" t="e">
        <f t="shared" ca="1" si="16"/>
        <v>#VALUE!</v>
      </c>
      <c r="K37" s="35" t="e">
        <f t="shared" ca="1" si="16"/>
        <v>#VALUE!</v>
      </c>
      <c r="L37" s="35" t="e">
        <f t="shared" ca="1" si="16"/>
        <v>#VALUE!</v>
      </c>
      <c r="M37" s="35" t="e">
        <f t="shared" ca="1" si="16"/>
        <v>#VALUE!</v>
      </c>
      <c r="N37" s="35" t="e">
        <f t="shared" ca="1" si="16"/>
        <v>#VALUE!</v>
      </c>
      <c r="O37" s="35" t="e">
        <f t="shared" ca="1" si="16"/>
        <v>#VALUE!</v>
      </c>
      <c r="P37" s="35" t="e">
        <f t="shared" ca="1" si="16"/>
        <v>#VALUE!</v>
      </c>
      <c r="Q37" s="35" t="e">
        <f t="shared" ca="1" si="16"/>
        <v>#VALUE!</v>
      </c>
      <c r="R37" s="35" t="e">
        <f t="shared" ca="1" si="16"/>
        <v>#VALUE!</v>
      </c>
      <c r="S37" s="35" t="e">
        <f t="shared" ca="1" si="16"/>
        <v>#VALUE!</v>
      </c>
      <c r="T37" s="35" t="e">
        <f t="shared" ca="1" si="16"/>
        <v>#VALUE!</v>
      </c>
      <c r="U37" s="35" t="e">
        <f t="shared" ca="1" si="16"/>
        <v>#VALUE!</v>
      </c>
      <c r="V37" s="35" t="e">
        <f t="shared" ca="1" si="16"/>
        <v>#VALUE!</v>
      </c>
      <c r="W37" s="77" t="e">
        <f t="shared" ca="1" si="16"/>
        <v>#VALUE!</v>
      </c>
      <c r="X37" s="35" t="e">
        <f t="shared" ca="1" si="16"/>
        <v>#VALUE!</v>
      </c>
      <c r="Y37" s="35" t="e">
        <f t="shared" ca="1" si="16"/>
        <v>#VALUE!</v>
      </c>
      <c r="Z37" s="35" t="e">
        <f t="shared" ca="1" si="16"/>
        <v>#VALUE!</v>
      </c>
      <c r="AA37" s="35" t="e">
        <f t="shared" ca="1" si="16"/>
        <v>#VALUE!</v>
      </c>
      <c r="AB37" s="35" t="e">
        <f t="shared" ca="1" si="16"/>
        <v>#VALUE!</v>
      </c>
      <c r="AC37" s="35" t="e">
        <f t="shared" ca="1" si="16"/>
        <v>#VALUE!</v>
      </c>
      <c r="AD37" s="35" t="e">
        <f t="shared" ca="1" si="16"/>
        <v>#VALUE!</v>
      </c>
      <c r="AE37" s="35" t="e">
        <f t="shared" ca="1" si="16"/>
        <v>#VALUE!</v>
      </c>
      <c r="AF37" s="35" t="e">
        <f t="shared" ca="1" si="16"/>
        <v>#VALUE!</v>
      </c>
      <c r="AG37" s="35" t="e">
        <f t="shared" ca="1" si="16"/>
        <v>#VALUE!</v>
      </c>
      <c r="AH37" s="35" t="e">
        <f t="shared" ca="1" si="16"/>
        <v>#VALUE!</v>
      </c>
      <c r="AI37" s="35" t="e">
        <f t="shared" ca="1" si="16"/>
        <v>#VALUE!</v>
      </c>
      <c r="AJ37" s="35" t="e">
        <f t="shared" ca="1" si="16"/>
        <v>#VALUE!</v>
      </c>
      <c r="AK37" s="35" t="e">
        <f t="shared" ca="1" si="16"/>
        <v>#VALUE!</v>
      </c>
      <c r="AL37" s="35" t="e">
        <f t="shared" ca="1" si="16"/>
        <v>#VALUE!</v>
      </c>
      <c r="AM37" s="35" t="e">
        <f t="shared" ca="1" si="16"/>
        <v>#VALUE!</v>
      </c>
      <c r="AN37" s="35" t="e">
        <f t="shared" ca="1" si="16"/>
        <v>#VALUE!</v>
      </c>
      <c r="AO37" s="35" t="e">
        <f t="shared" ca="1" si="16"/>
        <v>#VALUE!</v>
      </c>
      <c r="AP37" s="35" t="e">
        <f t="shared" ca="1" si="16"/>
        <v>#VALUE!</v>
      </c>
      <c r="AQ37" s="35" t="e">
        <f t="shared" ca="1" si="16"/>
        <v>#VALUE!</v>
      </c>
    </row>
    <row r="38" spans="1:43" ht="10.15" customHeight="1" outlineLevel="1">
      <c r="A38" s="36"/>
      <c r="B38" s="34" t="s">
        <v>74</v>
      </c>
      <c r="C38" s="35" t="e">
        <f t="shared" ref="C38:AQ38" ca="1" si="17">EBlackScholesForward($FA$3,C$20,$A$37,C$22,$C$6,$C$6,$C$7,C$21)</f>
        <v>#VALUE!</v>
      </c>
      <c r="D38" s="35" t="e">
        <f t="shared" ca="1" si="17"/>
        <v>#VALUE!</v>
      </c>
      <c r="E38" s="35" t="e">
        <f t="shared" ca="1" si="17"/>
        <v>#VALUE!</v>
      </c>
      <c r="F38" s="35" t="e">
        <f t="shared" ca="1" si="17"/>
        <v>#VALUE!</v>
      </c>
      <c r="G38" s="35" t="e">
        <f t="shared" ca="1" si="17"/>
        <v>#VALUE!</v>
      </c>
      <c r="H38" s="35" t="e">
        <f t="shared" ca="1" si="17"/>
        <v>#VALUE!</v>
      </c>
      <c r="I38" s="35" t="e">
        <f t="shared" ca="1" si="17"/>
        <v>#VALUE!</v>
      </c>
      <c r="J38" s="35" t="e">
        <f t="shared" ca="1" si="17"/>
        <v>#VALUE!</v>
      </c>
      <c r="K38" s="35" t="e">
        <f t="shared" ca="1" si="17"/>
        <v>#VALUE!</v>
      </c>
      <c r="L38" s="35" t="e">
        <f t="shared" ca="1" si="17"/>
        <v>#VALUE!</v>
      </c>
      <c r="M38" s="35" t="e">
        <f t="shared" ca="1" si="17"/>
        <v>#VALUE!</v>
      </c>
      <c r="N38" s="35" t="e">
        <f t="shared" ca="1" si="17"/>
        <v>#VALUE!</v>
      </c>
      <c r="O38" s="35" t="e">
        <f t="shared" ca="1" si="17"/>
        <v>#VALUE!</v>
      </c>
      <c r="P38" s="35" t="e">
        <f t="shared" ca="1" si="17"/>
        <v>#VALUE!</v>
      </c>
      <c r="Q38" s="35" t="e">
        <f t="shared" ca="1" si="17"/>
        <v>#VALUE!</v>
      </c>
      <c r="R38" s="35" t="e">
        <f t="shared" ca="1" si="17"/>
        <v>#VALUE!</v>
      </c>
      <c r="S38" s="35" t="e">
        <f t="shared" ca="1" si="17"/>
        <v>#VALUE!</v>
      </c>
      <c r="T38" s="35" t="e">
        <f t="shared" ca="1" si="17"/>
        <v>#VALUE!</v>
      </c>
      <c r="U38" s="35" t="e">
        <f t="shared" ca="1" si="17"/>
        <v>#VALUE!</v>
      </c>
      <c r="V38" s="35" t="e">
        <f t="shared" ca="1" si="17"/>
        <v>#VALUE!</v>
      </c>
      <c r="W38" s="77" t="e">
        <f t="shared" ca="1" si="17"/>
        <v>#VALUE!</v>
      </c>
      <c r="X38" s="35" t="e">
        <f t="shared" ca="1" si="17"/>
        <v>#VALUE!</v>
      </c>
      <c r="Y38" s="35" t="e">
        <f t="shared" ca="1" si="17"/>
        <v>#VALUE!</v>
      </c>
      <c r="Z38" s="35" t="e">
        <f t="shared" ca="1" si="17"/>
        <v>#VALUE!</v>
      </c>
      <c r="AA38" s="35" t="e">
        <f t="shared" ca="1" si="17"/>
        <v>#VALUE!</v>
      </c>
      <c r="AB38" s="35" t="e">
        <f t="shared" ca="1" si="17"/>
        <v>#VALUE!</v>
      </c>
      <c r="AC38" s="35" t="e">
        <f t="shared" ca="1" si="17"/>
        <v>#VALUE!</v>
      </c>
      <c r="AD38" s="35" t="e">
        <f t="shared" ca="1" si="17"/>
        <v>#VALUE!</v>
      </c>
      <c r="AE38" s="35" t="e">
        <f t="shared" ca="1" si="17"/>
        <v>#VALUE!</v>
      </c>
      <c r="AF38" s="35" t="e">
        <f t="shared" ca="1" si="17"/>
        <v>#VALUE!</v>
      </c>
      <c r="AG38" s="35" t="e">
        <f t="shared" ca="1" si="17"/>
        <v>#VALUE!</v>
      </c>
      <c r="AH38" s="35" t="e">
        <f t="shared" ca="1" si="17"/>
        <v>#VALUE!</v>
      </c>
      <c r="AI38" s="35" t="e">
        <f t="shared" ca="1" si="17"/>
        <v>#VALUE!</v>
      </c>
      <c r="AJ38" s="35" t="e">
        <f t="shared" ca="1" si="17"/>
        <v>#VALUE!</v>
      </c>
      <c r="AK38" s="35" t="e">
        <f t="shared" ca="1" si="17"/>
        <v>#VALUE!</v>
      </c>
      <c r="AL38" s="35" t="e">
        <f t="shared" ca="1" si="17"/>
        <v>#VALUE!</v>
      </c>
      <c r="AM38" s="35" t="e">
        <f t="shared" ca="1" si="17"/>
        <v>#VALUE!</v>
      </c>
      <c r="AN38" s="35" t="e">
        <f t="shared" ca="1" si="17"/>
        <v>#VALUE!</v>
      </c>
      <c r="AO38" s="35" t="e">
        <f t="shared" ca="1" si="17"/>
        <v>#VALUE!</v>
      </c>
      <c r="AP38" s="35" t="e">
        <f t="shared" ca="1" si="17"/>
        <v>#VALUE!</v>
      </c>
      <c r="AQ38" s="35" t="e">
        <f t="shared" ca="1" si="17"/>
        <v>#VALUE!</v>
      </c>
    </row>
    <row r="39" spans="1:43" ht="10.15" customHeight="1">
      <c r="A39" s="31">
        <f ca="1">A41-$C$12</f>
        <v>49.65000000000002</v>
      </c>
      <c r="B39" s="31" t="s">
        <v>71</v>
      </c>
      <c r="C39" s="32" t="e">
        <f t="shared" ref="C39:AQ39" ca="1" si="18">EBlackScholesForward("p",C$20,$A$39,C$22,$C$6,$C$6,$C$7,C$21)</f>
        <v>#VALUE!</v>
      </c>
      <c r="D39" s="32" t="e">
        <f t="shared" ca="1" si="18"/>
        <v>#VALUE!</v>
      </c>
      <c r="E39" s="32" t="e">
        <f t="shared" ca="1" si="18"/>
        <v>#VALUE!</v>
      </c>
      <c r="F39" s="32" t="e">
        <f t="shared" ca="1" si="18"/>
        <v>#VALUE!</v>
      </c>
      <c r="G39" s="32" t="e">
        <f t="shared" ca="1" si="18"/>
        <v>#VALUE!</v>
      </c>
      <c r="H39" s="32" t="e">
        <f t="shared" ca="1" si="18"/>
        <v>#VALUE!</v>
      </c>
      <c r="I39" s="32" t="e">
        <f t="shared" ca="1" si="18"/>
        <v>#VALUE!</v>
      </c>
      <c r="J39" s="32" t="e">
        <f t="shared" ca="1" si="18"/>
        <v>#VALUE!</v>
      </c>
      <c r="K39" s="32" t="e">
        <f t="shared" ca="1" si="18"/>
        <v>#VALUE!</v>
      </c>
      <c r="L39" s="32" t="e">
        <f t="shared" ca="1" si="18"/>
        <v>#VALUE!</v>
      </c>
      <c r="M39" s="32" t="e">
        <f t="shared" ca="1" si="18"/>
        <v>#VALUE!</v>
      </c>
      <c r="N39" s="32" t="e">
        <f t="shared" ca="1" si="18"/>
        <v>#VALUE!</v>
      </c>
      <c r="O39" s="32" t="e">
        <f t="shared" ca="1" si="18"/>
        <v>#VALUE!</v>
      </c>
      <c r="P39" s="32" t="e">
        <f t="shared" ca="1" si="18"/>
        <v>#VALUE!</v>
      </c>
      <c r="Q39" s="32" t="e">
        <f t="shared" ca="1" si="18"/>
        <v>#VALUE!</v>
      </c>
      <c r="R39" s="32" t="e">
        <f t="shared" ca="1" si="18"/>
        <v>#VALUE!</v>
      </c>
      <c r="S39" s="32" t="e">
        <f t="shared" ca="1" si="18"/>
        <v>#VALUE!</v>
      </c>
      <c r="T39" s="32" t="e">
        <f t="shared" ca="1" si="18"/>
        <v>#VALUE!</v>
      </c>
      <c r="U39" s="32" t="e">
        <f t="shared" ca="1" si="18"/>
        <v>#VALUE!</v>
      </c>
      <c r="V39" s="32" t="e">
        <f t="shared" ca="1" si="18"/>
        <v>#VALUE!</v>
      </c>
      <c r="W39" s="76" t="e">
        <f t="shared" ca="1" si="18"/>
        <v>#VALUE!</v>
      </c>
      <c r="X39" s="32" t="e">
        <f t="shared" ca="1" si="18"/>
        <v>#VALUE!</v>
      </c>
      <c r="Y39" s="32" t="e">
        <f t="shared" ca="1" si="18"/>
        <v>#VALUE!</v>
      </c>
      <c r="Z39" s="32" t="e">
        <f t="shared" ca="1" si="18"/>
        <v>#VALUE!</v>
      </c>
      <c r="AA39" s="32" t="e">
        <f t="shared" ca="1" si="18"/>
        <v>#VALUE!</v>
      </c>
      <c r="AB39" s="32" t="e">
        <f t="shared" ca="1" si="18"/>
        <v>#VALUE!</v>
      </c>
      <c r="AC39" s="32" t="e">
        <f t="shared" ca="1" si="18"/>
        <v>#VALUE!</v>
      </c>
      <c r="AD39" s="32" t="e">
        <f t="shared" ca="1" si="18"/>
        <v>#VALUE!</v>
      </c>
      <c r="AE39" s="32" t="e">
        <f t="shared" ca="1" si="18"/>
        <v>#VALUE!</v>
      </c>
      <c r="AF39" s="32" t="e">
        <f t="shared" ca="1" si="18"/>
        <v>#VALUE!</v>
      </c>
      <c r="AG39" s="32" t="e">
        <f t="shared" ca="1" si="18"/>
        <v>#VALUE!</v>
      </c>
      <c r="AH39" s="32" t="e">
        <f t="shared" ca="1" si="18"/>
        <v>#VALUE!</v>
      </c>
      <c r="AI39" s="32" t="e">
        <f t="shared" ca="1" si="18"/>
        <v>#VALUE!</v>
      </c>
      <c r="AJ39" s="32" t="e">
        <f t="shared" ca="1" si="18"/>
        <v>#VALUE!</v>
      </c>
      <c r="AK39" s="32" t="e">
        <f t="shared" ca="1" si="18"/>
        <v>#VALUE!</v>
      </c>
      <c r="AL39" s="32" t="e">
        <f t="shared" ca="1" si="18"/>
        <v>#VALUE!</v>
      </c>
      <c r="AM39" s="32" t="e">
        <f t="shared" ca="1" si="18"/>
        <v>#VALUE!</v>
      </c>
      <c r="AN39" s="32" t="e">
        <f t="shared" ca="1" si="18"/>
        <v>#VALUE!</v>
      </c>
      <c r="AO39" s="32" t="e">
        <f t="shared" ca="1" si="18"/>
        <v>#VALUE!</v>
      </c>
      <c r="AP39" s="32" t="e">
        <f t="shared" ca="1" si="18"/>
        <v>#VALUE!</v>
      </c>
      <c r="AQ39" s="32" t="e">
        <f t="shared" ca="1" si="18"/>
        <v>#VALUE!</v>
      </c>
    </row>
    <row r="40" spans="1:43" ht="10.15" customHeight="1" outlineLevel="1">
      <c r="A40" s="33"/>
      <c r="B40" s="31" t="s">
        <v>74</v>
      </c>
      <c r="C40" s="32" t="e">
        <f t="shared" ref="C40:AQ40" ca="1" si="19">EBlackScholesForward($FA$3,C$20,$A$39,C$22,$C$6,$C$6,$C$7,C$21)</f>
        <v>#VALUE!</v>
      </c>
      <c r="D40" s="32" t="e">
        <f t="shared" ca="1" si="19"/>
        <v>#VALUE!</v>
      </c>
      <c r="E40" s="32" t="e">
        <f t="shared" ca="1" si="19"/>
        <v>#VALUE!</v>
      </c>
      <c r="F40" s="32" t="e">
        <f t="shared" ca="1" si="19"/>
        <v>#VALUE!</v>
      </c>
      <c r="G40" s="32" t="e">
        <f t="shared" ca="1" si="19"/>
        <v>#VALUE!</v>
      </c>
      <c r="H40" s="32" t="e">
        <f t="shared" ca="1" si="19"/>
        <v>#VALUE!</v>
      </c>
      <c r="I40" s="32" t="e">
        <f t="shared" ca="1" si="19"/>
        <v>#VALUE!</v>
      </c>
      <c r="J40" s="32" t="e">
        <f t="shared" ca="1" si="19"/>
        <v>#VALUE!</v>
      </c>
      <c r="K40" s="32" t="e">
        <f t="shared" ca="1" si="19"/>
        <v>#VALUE!</v>
      </c>
      <c r="L40" s="32" t="e">
        <f t="shared" ca="1" si="19"/>
        <v>#VALUE!</v>
      </c>
      <c r="M40" s="32" t="e">
        <f t="shared" ca="1" si="19"/>
        <v>#VALUE!</v>
      </c>
      <c r="N40" s="32" t="e">
        <f t="shared" ca="1" si="19"/>
        <v>#VALUE!</v>
      </c>
      <c r="O40" s="32" t="e">
        <f t="shared" ca="1" si="19"/>
        <v>#VALUE!</v>
      </c>
      <c r="P40" s="32" t="e">
        <f t="shared" ca="1" si="19"/>
        <v>#VALUE!</v>
      </c>
      <c r="Q40" s="32" t="e">
        <f t="shared" ca="1" si="19"/>
        <v>#VALUE!</v>
      </c>
      <c r="R40" s="32" t="e">
        <f t="shared" ca="1" si="19"/>
        <v>#VALUE!</v>
      </c>
      <c r="S40" s="32" t="e">
        <f t="shared" ca="1" si="19"/>
        <v>#VALUE!</v>
      </c>
      <c r="T40" s="32" t="e">
        <f t="shared" ca="1" si="19"/>
        <v>#VALUE!</v>
      </c>
      <c r="U40" s="32" t="e">
        <f t="shared" ca="1" si="19"/>
        <v>#VALUE!</v>
      </c>
      <c r="V40" s="32" t="e">
        <f t="shared" ca="1" si="19"/>
        <v>#VALUE!</v>
      </c>
      <c r="W40" s="76" t="e">
        <f t="shared" ca="1" si="19"/>
        <v>#VALUE!</v>
      </c>
      <c r="X40" s="32" t="e">
        <f t="shared" ca="1" si="19"/>
        <v>#VALUE!</v>
      </c>
      <c r="Y40" s="32" t="e">
        <f t="shared" ca="1" si="19"/>
        <v>#VALUE!</v>
      </c>
      <c r="Z40" s="32" t="e">
        <f t="shared" ca="1" si="19"/>
        <v>#VALUE!</v>
      </c>
      <c r="AA40" s="32" t="e">
        <f t="shared" ca="1" si="19"/>
        <v>#VALUE!</v>
      </c>
      <c r="AB40" s="32" t="e">
        <f t="shared" ca="1" si="19"/>
        <v>#VALUE!</v>
      </c>
      <c r="AC40" s="32" t="e">
        <f t="shared" ca="1" si="19"/>
        <v>#VALUE!</v>
      </c>
      <c r="AD40" s="32" t="e">
        <f t="shared" ca="1" si="19"/>
        <v>#VALUE!</v>
      </c>
      <c r="AE40" s="32" t="e">
        <f t="shared" ca="1" si="19"/>
        <v>#VALUE!</v>
      </c>
      <c r="AF40" s="32" t="e">
        <f t="shared" ca="1" si="19"/>
        <v>#VALUE!</v>
      </c>
      <c r="AG40" s="32" t="e">
        <f t="shared" ca="1" si="19"/>
        <v>#VALUE!</v>
      </c>
      <c r="AH40" s="32" t="e">
        <f t="shared" ca="1" si="19"/>
        <v>#VALUE!</v>
      </c>
      <c r="AI40" s="32" t="e">
        <f t="shared" ca="1" si="19"/>
        <v>#VALUE!</v>
      </c>
      <c r="AJ40" s="32" t="e">
        <f t="shared" ca="1" si="19"/>
        <v>#VALUE!</v>
      </c>
      <c r="AK40" s="32" t="e">
        <f t="shared" ca="1" si="19"/>
        <v>#VALUE!</v>
      </c>
      <c r="AL40" s="32" t="e">
        <f t="shared" ca="1" si="19"/>
        <v>#VALUE!</v>
      </c>
      <c r="AM40" s="32" t="e">
        <f t="shared" ca="1" si="19"/>
        <v>#VALUE!</v>
      </c>
      <c r="AN40" s="32" t="e">
        <f t="shared" ca="1" si="19"/>
        <v>#VALUE!</v>
      </c>
      <c r="AO40" s="32" t="e">
        <f t="shared" ca="1" si="19"/>
        <v>#VALUE!</v>
      </c>
      <c r="AP40" s="32" t="e">
        <f t="shared" ca="1" si="19"/>
        <v>#VALUE!</v>
      </c>
      <c r="AQ40" s="32" t="e">
        <f t="shared" ca="1" si="19"/>
        <v>#VALUE!</v>
      </c>
    </row>
    <row r="41" spans="1:43" ht="10.15" customHeight="1">
      <c r="A41" s="34">
        <f ca="1">A43-$C$12</f>
        <v>49.700000000000017</v>
      </c>
      <c r="B41" s="34" t="s">
        <v>71</v>
      </c>
      <c r="C41" s="35" t="e">
        <f t="shared" ref="C41:AQ41" ca="1" si="20">EBlackScholesForward("p",C$20,$A$41,C$22,$C$6,$C$6,$C$7,C$21)</f>
        <v>#VALUE!</v>
      </c>
      <c r="D41" s="35" t="e">
        <f t="shared" ca="1" si="20"/>
        <v>#VALUE!</v>
      </c>
      <c r="E41" s="35" t="e">
        <f t="shared" ca="1" si="20"/>
        <v>#VALUE!</v>
      </c>
      <c r="F41" s="35" t="e">
        <f t="shared" ca="1" si="20"/>
        <v>#VALUE!</v>
      </c>
      <c r="G41" s="35" t="e">
        <f t="shared" ca="1" si="20"/>
        <v>#VALUE!</v>
      </c>
      <c r="H41" s="35" t="e">
        <f t="shared" ca="1" si="20"/>
        <v>#VALUE!</v>
      </c>
      <c r="I41" s="35" t="e">
        <f t="shared" ca="1" si="20"/>
        <v>#VALUE!</v>
      </c>
      <c r="J41" s="35" t="e">
        <f t="shared" ca="1" si="20"/>
        <v>#VALUE!</v>
      </c>
      <c r="K41" s="35" t="e">
        <f t="shared" ca="1" si="20"/>
        <v>#VALUE!</v>
      </c>
      <c r="L41" s="35" t="e">
        <f t="shared" ca="1" si="20"/>
        <v>#VALUE!</v>
      </c>
      <c r="M41" s="35" t="e">
        <f t="shared" ca="1" si="20"/>
        <v>#VALUE!</v>
      </c>
      <c r="N41" s="35" t="e">
        <f t="shared" ca="1" si="20"/>
        <v>#VALUE!</v>
      </c>
      <c r="O41" s="35" t="e">
        <f t="shared" ca="1" si="20"/>
        <v>#VALUE!</v>
      </c>
      <c r="P41" s="35" t="e">
        <f t="shared" ca="1" si="20"/>
        <v>#VALUE!</v>
      </c>
      <c r="Q41" s="35" t="e">
        <f t="shared" ca="1" si="20"/>
        <v>#VALUE!</v>
      </c>
      <c r="R41" s="35" t="e">
        <f t="shared" ca="1" si="20"/>
        <v>#VALUE!</v>
      </c>
      <c r="S41" s="35" t="e">
        <f t="shared" ca="1" si="20"/>
        <v>#VALUE!</v>
      </c>
      <c r="T41" s="35" t="e">
        <f t="shared" ca="1" si="20"/>
        <v>#VALUE!</v>
      </c>
      <c r="U41" s="35" t="e">
        <f t="shared" ca="1" si="20"/>
        <v>#VALUE!</v>
      </c>
      <c r="V41" s="35" t="e">
        <f t="shared" ca="1" si="20"/>
        <v>#VALUE!</v>
      </c>
      <c r="W41" s="77" t="e">
        <f t="shared" ca="1" si="20"/>
        <v>#VALUE!</v>
      </c>
      <c r="X41" s="35" t="e">
        <f t="shared" ca="1" si="20"/>
        <v>#VALUE!</v>
      </c>
      <c r="Y41" s="35" t="e">
        <f t="shared" ca="1" si="20"/>
        <v>#VALUE!</v>
      </c>
      <c r="Z41" s="35" t="e">
        <f t="shared" ca="1" si="20"/>
        <v>#VALUE!</v>
      </c>
      <c r="AA41" s="35" t="e">
        <f t="shared" ca="1" si="20"/>
        <v>#VALUE!</v>
      </c>
      <c r="AB41" s="35" t="e">
        <f t="shared" ca="1" si="20"/>
        <v>#VALUE!</v>
      </c>
      <c r="AC41" s="35" t="e">
        <f t="shared" ca="1" si="20"/>
        <v>#VALUE!</v>
      </c>
      <c r="AD41" s="35" t="e">
        <f t="shared" ca="1" si="20"/>
        <v>#VALUE!</v>
      </c>
      <c r="AE41" s="35" t="e">
        <f t="shared" ca="1" si="20"/>
        <v>#VALUE!</v>
      </c>
      <c r="AF41" s="35" t="e">
        <f t="shared" ca="1" si="20"/>
        <v>#VALUE!</v>
      </c>
      <c r="AG41" s="35" t="e">
        <f t="shared" ca="1" si="20"/>
        <v>#VALUE!</v>
      </c>
      <c r="AH41" s="35" t="e">
        <f t="shared" ca="1" si="20"/>
        <v>#VALUE!</v>
      </c>
      <c r="AI41" s="35" t="e">
        <f t="shared" ca="1" si="20"/>
        <v>#VALUE!</v>
      </c>
      <c r="AJ41" s="35" t="e">
        <f t="shared" ca="1" si="20"/>
        <v>#VALUE!</v>
      </c>
      <c r="AK41" s="35" t="e">
        <f t="shared" ca="1" si="20"/>
        <v>#VALUE!</v>
      </c>
      <c r="AL41" s="35" t="e">
        <f t="shared" ca="1" si="20"/>
        <v>#VALUE!</v>
      </c>
      <c r="AM41" s="35" t="e">
        <f t="shared" ca="1" si="20"/>
        <v>#VALUE!</v>
      </c>
      <c r="AN41" s="35" t="e">
        <f t="shared" ca="1" si="20"/>
        <v>#VALUE!</v>
      </c>
      <c r="AO41" s="35" t="e">
        <f t="shared" ca="1" si="20"/>
        <v>#VALUE!</v>
      </c>
      <c r="AP41" s="35" t="e">
        <f t="shared" ca="1" si="20"/>
        <v>#VALUE!</v>
      </c>
      <c r="AQ41" s="35" t="e">
        <f t="shared" ca="1" si="20"/>
        <v>#VALUE!</v>
      </c>
    </row>
    <row r="42" spans="1:43" ht="10.15" customHeight="1" outlineLevel="1">
      <c r="A42" s="36"/>
      <c r="B42" s="34" t="s">
        <v>74</v>
      </c>
      <c r="C42" s="35" t="e">
        <f t="shared" ref="C42:AQ42" ca="1" si="21">EBlackScholesForward($FA$3,C$20,$A$41,C$22,$C$6,$C$6,$C$7,C$21)</f>
        <v>#VALUE!</v>
      </c>
      <c r="D42" s="35" t="e">
        <f t="shared" ca="1" si="21"/>
        <v>#VALUE!</v>
      </c>
      <c r="E42" s="35" t="e">
        <f t="shared" ca="1" si="21"/>
        <v>#VALUE!</v>
      </c>
      <c r="F42" s="35" t="e">
        <f t="shared" ca="1" si="21"/>
        <v>#VALUE!</v>
      </c>
      <c r="G42" s="35" t="e">
        <f t="shared" ca="1" si="21"/>
        <v>#VALUE!</v>
      </c>
      <c r="H42" s="35" t="e">
        <f t="shared" ca="1" si="21"/>
        <v>#VALUE!</v>
      </c>
      <c r="I42" s="35" t="e">
        <f t="shared" ca="1" si="21"/>
        <v>#VALUE!</v>
      </c>
      <c r="J42" s="35" t="e">
        <f t="shared" ca="1" si="21"/>
        <v>#VALUE!</v>
      </c>
      <c r="K42" s="35" t="e">
        <f t="shared" ca="1" si="21"/>
        <v>#VALUE!</v>
      </c>
      <c r="L42" s="35" t="e">
        <f t="shared" ca="1" si="21"/>
        <v>#VALUE!</v>
      </c>
      <c r="M42" s="35" t="e">
        <f t="shared" ca="1" si="21"/>
        <v>#VALUE!</v>
      </c>
      <c r="N42" s="35" t="e">
        <f t="shared" ca="1" si="21"/>
        <v>#VALUE!</v>
      </c>
      <c r="O42" s="35" t="e">
        <f t="shared" ca="1" si="21"/>
        <v>#VALUE!</v>
      </c>
      <c r="P42" s="35" t="e">
        <f t="shared" ca="1" si="21"/>
        <v>#VALUE!</v>
      </c>
      <c r="Q42" s="35" t="e">
        <f t="shared" ca="1" si="21"/>
        <v>#VALUE!</v>
      </c>
      <c r="R42" s="35" t="e">
        <f t="shared" ca="1" si="21"/>
        <v>#VALUE!</v>
      </c>
      <c r="S42" s="35" t="e">
        <f t="shared" ca="1" si="21"/>
        <v>#VALUE!</v>
      </c>
      <c r="T42" s="35" t="e">
        <f t="shared" ca="1" si="21"/>
        <v>#VALUE!</v>
      </c>
      <c r="U42" s="35" t="e">
        <f t="shared" ca="1" si="21"/>
        <v>#VALUE!</v>
      </c>
      <c r="V42" s="35" t="e">
        <f t="shared" ca="1" si="21"/>
        <v>#VALUE!</v>
      </c>
      <c r="W42" s="77" t="e">
        <f t="shared" ca="1" si="21"/>
        <v>#VALUE!</v>
      </c>
      <c r="X42" s="35" t="e">
        <f t="shared" ca="1" si="21"/>
        <v>#VALUE!</v>
      </c>
      <c r="Y42" s="35" t="e">
        <f t="shared" ca="1" si="21"/>
        <v>#VALUE!</v>
      </c>
      <c r="Z42" s="35" t="e">
        <f t="shared" ca="1" si="21"/>
        <v>#VALUE!</v>
      </c>
      <c r="AA42" s="35" t="e">
        <f t="shared" ca="1" si="21"/>
        <v>#VALUE!</v>
      </c>
      <c r="AB42" s="35" t="e">
        <f t="shared" ca="1" si="21"/>
        <v>#VALUE!</v>
      </c>
      <c r="AC42" s="35" t="e">
        <f t="shared" ca="1" si="21"/>
        <v>#VALUE!</v>
      </c>
      <c r="AD42" s="35" t="e">
        <f t="shared" ca="1" si="21"/>
        <v>#VALUE!</v>
      </c>
      <c r="AE42" s="35" t="e">
        <f t="shared" ca="1" si="21"/>
        <v>#VALUE!</v>
      </c>
      <c r="AF42" s="35" t="e">
        <f t="shared" ca="1" si="21"/>
        <v>#VALUE!</v>
      </c>
      <c r="AG42" s="35" t="e">
        <f t="shared" ca="1" si="21"/>
        <v>#VALUE!</v>
      </c>
      <c r="AH42" s="35" t="e">
        <f t="shared" ca="1" si="21"/>
        <v>#VALUE!</v>
      </c>
      <c r="AI42" s="35" t="e">
        <f t="shared" ca="1" si="21"/>
        <v>#VALUE!</v>
      </c>
      <c r="AJ42" s="35" t="e">
        <f t="shared" ca="1" si="21"/>
        <v>#VALUE!</v>
      </c>
      <c r="AK42" s="35" t="e">
        <f t="shared" ca="1" si="21"/>
        <v>#VALUE!</v>
      </c>
      <c r="AL42" s="35" t="e">
        <f t="shared" ca="1" si="21"/>
        <v>#VALUE!</v>
      </c>
      <c r="AM42" s="35" t="e">
        <f t="shared" ca="1" si="21"/>
        <v>#VALUE!</v>
      </c>
      <c r="AN42" s="35" t="e">
        <f t="shared" ca="1" si="21"/>
        <v>#VALUE!</v>
      </c>
      <c r="AO42" s="35" t="e">
        <f t="shared" ca="1" si="21"/>
        <v>#VALUE!</v>
      </c>
      <c r="AP42" s="35" t="e">
        <f t="shared" ca="1" si="21"/>
        <v>#VALUE!</v>
      </c>
      <c r="AQ42" s="35" t="e">
        <f t="shared" ca="1" si="21"/>
        <v>#VALUE!</v>
      </c>
    </row>
    <row r="43" spans="1:43" ht="10.15" customHeight="1">
      <c r="A43" s="31">
        <f ca="1">A45-$C$12</f>
        <v>49.750000000000014</v>
      </c>
      <c r="B43" s="31" t="s">
        <v>71</v>
      </c>
      <c r="C43" s="32" t="e">
        <f t="shared" ref="C43:AQ43" ca="1" si="22">EBlackScholesForward("p",C$20,$A$43,C$22,$C$6,$C$6,$C$7,C$21)</f>
        <v>#VALUE!</v>
      </c>
      <c r="D43" s="32" t="e">
        <f t="shared" ca="1" si="22"/>
        <v>#VALUE!</v>
      </c>
      <c r="E43" s="32" t="e">
        <f t="shared" ca="1" si="22"/>
        <v>#VALUE!</v>
      </c>
      <c r="F43" s="32" t="e">
        <f t="shared" ca="1" si="22"/>
        <v>#VALUE!</v>
      </c>
      <c r="G43" s="32" t="e">
        <f t="shared" ca="1" si="22"/>
        <v>#VALUE!</v>
      </c>
      <c r="H43" s="32" t="e">
        <f t="shared" ca="1" si="22"/>
        <v>#VALUE!</v>
      </c>
      <c r="I43" s="32" t="e">
        <f t="shared" ca="1" si="22"/>
        <v>#VALUE!</v>
      </c>
      <c r="J43" s="32" t="e">
        <f t="shared" ca="1" si="22"/>
        <v>#VALUE!</v>
      </c>
      <c r="K43" s="32" t="e">
        <f t="shared" ca="1" si="22"/>
        <v>#VALUE!</v>
      </c>
      <c r="L43" s="32" t="e">
        <f t="shared" ca="1" si="22"/>
        <v>#VALUE!</v>
      </c>
      <c r="M43" s="32" t="e">
        <f t="shared" ca="1" si="22"/>
        <v>#VALUE!</v>
      </c>
      <c r="N43" s="32" t="e">
        <f t="shared" ca="1" si="22"/>
        <v>#VALUE!</v>
      </c>
      <c r="O43" s="32" t="e">
        <f t="shared" ca="1" si="22"/>
        <v>#VALUE!</v>
      </c>
      <c r="P43" s="32" t="e">
        <f t="shared" ca="1" si="22"/>
        <v>#VALUE!</v>
      </c>
      <c r="Q43" s="32" t="e">
        <f t="shared" ca="1" si="22"/>
        <v>#VALUE!</v>
      </c>
      <c r="R43" s="32" t="e">
        <f t="shared" ca="1" si="22"/>
        <v>#VALUE!</v>
      </c>
      <c r="S43" s="32" t="e">
        <f t="shared" ca="1" si="22"/>
        <v>#VALUE!</v>
      </c>
      <c r="T43" s="32" t="e">
        <f t="shared" ca="1" si="22"/>
        <v>#VALUE!</v>
      </c>
      <c r="U43" s="32" t="e">
        <f t="shared" ca="1" si="22"/>
        <v>#VALUE!</v>
      </c>
      <c r="V43" s="32" t="e">
        <f t="shared" ca="1" si="22"/>
        <v>#VALUE!</v>
      </c>
      <c r="W43" s="76" t="e">
        <f t="shared" ca="1" si="22"/>
        <v>#VALUE!</v>
      </c>
      <c r="X43" s="32" t="e">
        <f t="shared" ca="1" si="22"/>
        <v>#VALUE!</v>
      </c>
      <c r="Y43" s="32" t="e">
        <f t="shared" ca="1" si="22"/>
        <v>#VALUE!</v>
      </c>
      <c r="Z43" s="32" t="e">
        <f t="shared" ca="1" si="22"/>
        <v>#VALUE!</v>
      </c>
      <c r="AA43" s="32" t="e">
        <f t="shared" ca="1" si="22"/>
        <v>#VALUE!</v>
      </c>
      <c r="AB43" s="32" t="e">
        <f t="shared" ca="1" si="22"/>
        <v>#VALUE!</v>
      </c>
      <c r="AC43" s="32" t="e">
        <f t="shared" ca="1" si="22"/>
        <v>#VALUE!</v>
      </c>
      <c r="AD43" s="32" t="e">
        <f t="shared" ca="1" si="22"/>
        <v>#VALUE!</v>
      </c>
      <c r="AE43" s="32" t="e">
        <f t="shared" ca="1" si="22"/>
        <v>#VALUE!</v>
      </c>
      <c r="AF43" s="32" t="e">
        <f t="shared" ca="1" si="22"/>
        <v>#VALUE!</v>
      </c>
      <c r="AG43" s="32" t="e">
        <f t="shared" ca="1" si="22"/>
        <v>#VALUE!</v>
      </c>
      <c r="AH43" s="32" t="e">
        <f t="shared" ca="1" si="22"/>
        <v>#VALUE!</v>
      </c>
      <c r="AI43" s="32" t="e">
        <f t="shared" ca="1" si="22"/>
        <v>#VALUE!</v>
      </c>
      <c r="AJ43" s="32" t="e">
        <f t="shared" ca="1" si="22"/>
        <v>#VALUE!</v>
      </c>
      <c r="AK43" s="32" t="e">
        <f t="shared" ca="1" si="22"/>
        <v>#VALUE!</v>
      </c>
      <c r="AL43" s="32" t="e">
        <f t="shared" ca="1" si="22"/>
        <v>#VALUE!</v>
      </c>
      <c r="AM43" s="32" t="e">
        <f t="shared" ca="1" si="22"/>
        <v>#VALUE!</v>
      </c>
      <c r="AN43" s="32" t="e">
        <f t="shared" ca="1" si="22"/>
        <v>#VALUE!</v>
      </c>
      <c r="AO43" s="32" t="e">
        <f t="shared" ca="1" si="22"/>
        <v>#VALUE!</v>
      </c>
      <c r="AP43" s="32" t="e">
        <f t="shared" ca="1" si="22"/>
        <v>#VALUE!</v>
      </c>
      <c r="AQ43" s="32" t="e">
        <f t="shared" ca="1" si="22"/>
        <v>#VALUE!</v>
      </c>
    </row>
    <row r="44" spans="1:43" ht="10.15" customHeight="1" outlineLevel="1">
      <c r="A44" s="33"/>
      <c r="B44" s="31" t="s">
        <v>74</v>
      </c>
      <c r="C44" s="32" t="e">
        <f t="shared" ref="C44:AQ44" ca="1" si="23">EBlackScholesForward($FA$3,C$20,$A$43,C$22,$C$6,$C$6,$C$7,C$21)</f>
        <v>#VALUE!</v>
      </c>
      <c r="D44" s="32" t="e">
        <f t="shared" ca="1" si="23"/>
        <v>#VALUE!</v>
      </c>
      <c r="E44" s="32" t="e">
        <f t="shared" ca="1" si="23"/>
        <v>#VALUE!</v>
      </c>
      <c r="F44" s="32" t="e">
        <f t="shared" ca="1" si="23"/>
        <v>#VALUE!</v>
      </c>
      <c r="G44" s="32" t="e">
        <f t="shared" ca="1" si="23"/>
        <v>#VALUE!</v>
      </c>
      <c r="H44" s="32" t="e">
        <f t="shared" ca="1" si="23"/>
        <v>#VALUE!</v>
      </c>
      <c r="I44" s="32" t="e">
        <f t="shared" ca="1" si="23"/>
        <v>#VALUE!</v>
      </c>
      <c r="J44" s="32" t="e">
        <f t="shared" ca="1" si="23"/>
        <v>#VALUE!</v>
      </c>
      <c r="K44" s="32" t="e">
        <f t="shared" ca="1" si="23"/>
        <v>#VALUE!</v>
      </c>
      <c r="L44" s="32" t="e">
        <f t="shared" ca="1" si="23"/>
        <v>#VALUE!</v>
      </c>
      <c r="M44" s="32" t="e">
        <f t="shared" ca="1" si="23"/>
        <v>#VALUE!</v>
      </c>
      <c r="N44" s="32" t="e">
        <f t="shared" ca="1" si="23"/>
        <v>#VALUE!</v>
      </c>
      <c r="O44" s="32" t="e">
        <f t="shared" ca="1" si="23"/>
        <v>#VALUE!</v>
      </c>
      <c r="P44" s="32" t="e">
        <f t="shared" ca="1" si="23"/>
        <v>#VALUE!</v>
      </c>
      <c r="Q44" s="32" t="e">
        <f t="shared" ca="1" si="23"/>
        <v>#VALUE!</v>
      </c>
      <c r="R44" s="32" t="e">
        <f t="shared" ca="1" si="23"/>
        <v>#VALUE!</v>
      </c>
      <c r="S44" s="32" t="e">
        <f t="shared" ca="1" si="23"/>
        <v>#VALUE!</v>
      </c>
      <c r="T44" s="32" t="e">
        <f t="shared" ca="1" si="23"/>
        <v>#VALUE!</v>
      </c>
      <c r="U44" s="32" t="e">
        <f t="shared" ca="1" si="23"/>
        <v>#VALUE!</v>
      </c>
      <c r="V44" s="32" t="e">
        <f t="shared" ca="1" si="23"/>
        <v>#VALUE!</v>
      </c>
      <c r="W44" s="76" t="e">
        <f t="shared" ca="1" si="23"/>
        <v>#VALUE!</v>
      </c>
      <c r="X44" s="32" t="e">
        <f t="shared" ca="1" si="23"/>
        <v>#VALUE!</v>
      </c>
      <c r="Y44" s="32" t="e">
        <f t="shared" ca="1" si="23"/>
        <v>#VALUE!</v>
      </c>
      <c r="Z44" s="32" t="e">
        <f t="shared" ca="1" si="23"/>
        <v>#VALUE!</v>
      </c>
      <c r="AA44" s="32" t="e">
        <f t="shared" ca="1" si="23"/>
        <v>#VALUE!</v>
      </c>
      <c r="AB44" s="32" t="e">
        <f t="shared" ca="1" si="23"/>
        <v>#VALUE!</v>
      </c>
      <c r="AC44" s="32" t="e">
        <f t="shared" ca="1" si="23"/>
        <v>#VALUE!</v>
      </c>
      <c r="AD44" s="32" t="e">
        <f t="shared" ca="1" si="23"/>
        <v>#VALUE!</v>
      </c>
      <c r="AE44" s="32" t="e">
        <f t="shared" ca="1" si="23"/>
        <v>#VALUE!</v>
      </c>
      <c r="AF44" s="32" t="e">
        <f t="shared" ca="1" si="23"/>
        <v>#VALUE!</v>
      </c>
      <c r="AG44" s="32" t="e">
        <f t="shared" ca="1" si="23"/>
        <v>#VALUE!</v>
      </c>
      <c r="AH44" s="32" t="e">
        <f t="shared" ca="1" si="23"/>
        <v>#VALUE!</v>
      </c>
      <c r="AI44" s="32" t="e">
        <f t="shared" ca="1" si="23"/>
        <v>#VALUE!</v>
      </c>
      <c r="AJ44" s="32" t="e">
        <f t="shared" ca="1" si="23"/>
        <v>#VALUE!</v>
      </c>
      <c r="AK44" s="32" t="e">
        <f t="shared" ca="1" si="23"/>
        <v>#VALUE!</v>
      </c>
      <c r="AL44" s="32" t="e">
        <f t="shared" ca="1" si="23"/>
        <v>#VALUE!</v>
      </c>
      <c r="AM44" s="32" t="e">
        <f t="shared" ca="1" si="23"/>
        <v>#VALUE!</v>
      </c>
      <c r="AN44" s="32" t="e">
        <f t="shared" ca="1" si="23"/>
        <v>#VALUE!</v>
      </c>
      <c r="AO44" s="32" t="e">
        <f t="shared" ca="1" si="23"/>
        <v>#VALUE!</v>
      </c>
      <c r="AP44" s="32" t="e">
        <f t="shared" ca="1" si="23"/>
        <v>#VALUE!</v>
      </c>
      <c r="AQ44" s="32" t="e">
        <f t="shared" ca="1" si="23"/>
        <v>#VALUE!</v>
      </c>
    </row>
    <row r="45" spans="1:43" ht="10.15" customHeight="1">
      <c r="A45" s="34">
        <f ca="1">A47-$C$12</f>
        <v>49.800000000000011</v>
      </c>
      <c r="B45" s="34" t="s">
        <v>71</v>
      </c>
      <c r="C45" s="35" t="e">
        <f t="shared" ref="C45:AQ45" ca="1" si="24">EBlackScholesForward("p",C$20,$A$45,C$22,$C$6,$C$6,$C$7,C$21)</f>
        <v>#VALUE!</v>
      </c>
      <c r="D45" s="35" t="e">
        <f t="shared" ca="1" si="24"/>
        <v>#VALUE!</v>
      </c>
      <c r="E45" s="35" t="e">
        <f t="shared" ca="1" si="24"/>
        <v>#VALUE!</v>
      </c>
      <c r="F45" s="35" t="e">
        <f t="shared" ca="1" si="24"/>
        <v>#VALUE!</v>
      </c>
      <c r="G45" s="35" t="e">
        <f t="shared" ca="1" si="24"/>
        <v>#VALUE!</v>
      </c>
      <c r="H45" s="35" t="e">
        <f t="shared" ca="1" si="24"/>
        <v>#VALUE!</v>
      </c>
      <c r="I45" s="35" t="e">
        <f t="shared" ca="1" si="24"/>
        <v>#VALUE!</v>
      </c>
      <c r="J45" s="35" t="e">
        <f t="shared" ca="1" si="24"/>
        <v>#VALUE!</v>
      </c>
      <c r="K45" s="35" t="e">
        <f t="shared" ca="1" si="24"/>
        <v>#VALUE!</v>
      </c>
      <c r="L45" s="35" t="e">
        <f t="shared" ca="1" si="24"/>
        <v>#VALUE!</v>
      </c>
      <c r="M45" s="35" t="e">
        <f t="shared" ca="1" si="24"/>
        <v>#VALUE!</v>
      </c>
      <c r="N45" s="35" t="e">
        <f t="shared" ca="1" si="24"/>
        <v>#VALUE!</v>
      </c>
      <c r="O45" s="35" t="e">
        <f t="shared" ca="1" si="24"/>
        <v>#VALUE!</v>
      </c>
      <c r="P45" s="35" t="e">
        <f t="shared" ca="1" si="24"/>
        <v>#VALUE!</v>
      </c>
      <c r="Q45" s="35" t="e">
        <f t="shared" ca="1" si="24"/>
        <v>#VALUE!</v>
      </c>
      <c r="R45" s="35" t="e">
        <f t="shared" ca="1" si="24"/>
        <v>#VALUE!</v>
      </c>
      <c r="S45" s="35" t="e">
        <f t="shared" ca="1" si="24"/>
        <v>#VALUE!</v>
      </c>
      <c r="T45" s="35" t="e">
        <f t="shared" ca="1" si="24"/>
        <v>#VALUE!</v>
      </c>
      <c r="U45" s="35" t="e">
        <f t="shared" ca="1" si="24"/>
        <v>#VALUE!</v>
      </c>
      <c r="V45" s="35" t="e">
        <f t="shared" ca="1" si="24"/>
        <v>#VALUE!</v>
      </c>
      <c r="W45" s="77" t="e">
        <f t="shared" ca="1" si="24"/>
        <v>#VALUE!</v>
      </c>
      <c r="X45" s="35" t="e">
        <f t="shared" ca="1" si="24"/>
        <v>#VALUE!</v>
      </c>
      <c r="Y45" s="35" t="e">
        <f t="shared" ca="1" si="24"/>
        <v>#VALUE!</v>
      </c>
      <c r="Z45" s="35" t="e">
        <f t="shared" ca="1" si="24"/>
        <v>#VALUE!</v>
      </c>
      <c r="AA45" s="35" t="e">
        <f t="shared" ca="1" si="24"/>
        <v>#VALUE!</v>
      </c>
      <c r="AB45" s="35" t="e">
        <f t="shared" ca="1" si="24"/>
        <v>#VALUE!</v>
      </c>
      <c r="AC45" s="35" t="e">
        <f t="shared" ca="1" si="24"/>
        <v>#VALUE!</v>
      </c>
      <c r="AD45" s="35" t="e">
        <f t="shared" ca="1" si="24"/>
        <v>#VALUE!</v>
      </c>
      <c r="AE45" s="35" t="e">
        <f t="shared" ca="1" si="24"/>
        <v>#VALUE!</v>
      </c>
      <c r="AF45" s="35" t="e">
        <f t="shared" ca="1" si="24"/>
        <v>#VALUE!</v>
      </c>
      <c r="AG45" s="35" t="e">
        <f t="shared" ca="1" si="24"/>
        <v>#VALUE!</v>
      </c>
      <c r="AH45" s="35" t="e">
        <f t="shared" ca="1" si="24"/>
        <v>#VALUE!</v>
      </c>
      <c r="AI45" s="35" t="e">
        <f t="shared" ca="1" si="24"/>
        <v>#VALUE!</v>
      </c>
      <c r="AJ45" s="35" t="e">
        <f t="shared" ca="1" si="24"/>
        <v>#VALUE!</v>
      </c>
      <c r="AK45" s="35" t="e">
        <f t="shared" ca="1" si="24"/>
        <v>#VALUE!</v>
      </c>
      <c r="AL45" s="35" t="e">
        <f t="shared" ca="1" si="24"/>
        <v>#VALUE!</v>
      </c>
      <c r="AM45" s="35" t="e">
        <f t="shared" ca="1" si="24"/>
        <v>#VALUE!</v>
      </c>
      <c r="AN45" s="35" t="e">
        <f t="shared" ca="1" si="24"/>
        <v>#VALUE!</v>
      </c>
      <c r="AO45" s="35" t="e">
        <f t="shared" ca="1" si="24"/>
        <v>#VALUE!</v>
      </c>
      <c r="AP45" s="35" t="e">
        <f t="shared" ca="1" si="24"/>
        <v>#VALUE!</v>
      </c>
      <c r="AQ45" s="35" t="e">
        <f t="shared" ca="1" si="24"/>
        <v>#VALUE!</v>
      </c>
    </row>
    <row r="46" spans="1:43" ht="10.15" customHeight="1" outlineLevel="1">
      <c r="A46" s="36"/>
      <c r="B46" s="34" t="s">
        <v>74</v>
      </c>
      <c r="C46" s="35" t="e">
        <f t="shared" ref="C46:AQ46" ca="1" si="25">EBlackScholesForward($FA$3,C$20,$A$45,C$22,$C$6,$C$6,$C$7,C$21)</f>
        <v>#VALUE!</v>
      </c>
      <c r="D46" s="35" t="e">
        <f t="shared" ca="1" si="25"/>
        <v>#VALUE!</v>
      </c>
      <c r="E46" s="35" t="e">
        <f t="shared" ca="1" si="25"/>
        <v>#VALUE!</v>
      </c>
      <c r="F46" s="35" t="e">
        <f t="shared" ca="1" si="25"/>
        <v>#VALUE!</v>
      </c>
      <c r="G46" s="35" t="e">
        <f t="shared" ca="1" si="25"/>
        <v>#VALUE!</v>
      </c>
      <c r="H46" s="35" t="e">
        <f t="shared" ca="1" si="25"/>
        <v>#VALUE!</v>
      </c>
      <c r="I46" s="35" t="e">
        <f t="shared" ca="1" si="25"/>
        <v>#VALUE!</v>
      </c>
      <c r="J46" s="35" t="e">
        <f t="shared" ca="1" si="25"/>
        <v>#VALUE!</v>
      </c>
      <c r="K46" s="35" t="e">
        <f t="shared" ca="1" si="25"/>
        <v>#VALUE!</v>
      </c>
      <c r="L46" s="35" t="e">
        <f t="shared" ca="1" si="25"/>
        <v>#VALUE!</v>
      </c>
      <c r="M46" s="35" t="e">
        <f t="shared" ca="1" si="25"/>
        <v>#VALUE!</v>
      </c>
      <c r="N46" s="35" t="e">
        <f t="shared" ca="1" si="25"/>
        <v>#VALUE!</v>
      </c>
      <c r="O46" s="35" t="e">
        <f t="shared" ca="1" si="25"/>
        <v>#VALUE!</v>
      </c>
      <c r="P46" s="35" t="e">
        <f t="shared" ca="1" si="25"/>
        <v>#VALUE!</v>
      </c>
      <c r="Q46" s="35" t="e">
        <f t="shared" ca="1" si="25"/>
        <v>#VALUE!</v>
      </c>
      <c r="R46" s="35" t="e">
        <f t="shared" ca="1" si="25"/>
        <v>#VALUE!</v>
      </c>
      <c r="S46" s="35" t="e">
        <f t="shared" ca="1" si="25"/>
        <v>#VALUE!</v>
      </c>
      <c r="T46" s="35" t="e">
        <f t="shared" ca="1" si="25"/>
        <v>#VALUE!</v>
      </c>
      <c r="U46" s="35" t="e">
        <f t="shared" ca="1" si="25"/>
        <v>#VALUE!</v>
      </c>
      <c r="V46" s="35" t="e">
        <f t="shared" ca="1" si="25"/>
        <v>#VALUE!</v>
      </c>
      <c r="W46" s="77" t="e">
        <f t="shared" ca="1" si="25"/>
        <v>#VALUE!</v>
      </c>
      <c r="X46" s="35" t="e">
        <f t="shared" ca="1" si="25"/>
        <v>#VALUE!</v>
      </c>
      <c r="Y46" s="35" t="e">
        <f t="shared" ca="1" si="25"/>
        <v>#VALUE!</v>
      </c>
      <c r="Z46" s="35" t="e">
        <f t="shared" ca="1" si="25"/>
        <v>#VALUE!</v>
      </c>
      <c r="AA46" s="35" t="e">
        <f t="shared" ca="1" si="25"/>
        <v>#VALUE!</v>
      </c>
      <c r="AB46" s="35" t="e">
        <f t="shared" ca="1" si="25"/>
        <v>#VALUE!</v>
      </c>
      <c r="AC46" s="35" t="e">
        <f t="shared" ca="1" si="25"/>
        <v>#VALUE!</v>
      </c>
      <c r="AD46" s="35" t="e">
        <f t="shared" ca="1" si="25"/>
        <v>#VALUE!</v>
      </c>
      <c r="AE46" s="35" t="e">
        <f t="shared" ca="1" si="25"/>
        <v>#VALUE!</v>
      </c>
      <c r="AF46" s="35" t="e">
        <f t="shared" ca="1" si="25"/>
        <v>#VALUE!</v>
      </c>
      <c r="AG46" s="35" t="e">
        <f t="shared" ca="1" si="25"/>
        <v>#VALUE!</v>
      </c>
      <c r="AH46" s="35" t="e">
        <f t="shared" ca="1" si="25"/>
        <v>#VALUE!</v>
      </c>
      <c r="AI46" s="35" t="e">
        <f t="shared" ca="1" si="25"/>
        <v>#VALUE!</v>
      </c>
      <c r="AJ46" s="35" t="e">
        <f t="shared" ca="1" si="25"/>
        <v>#VALUE!</v>
      </c>
      <c r="AK46" s="35" t="e">
        <f t="shared" ca="1" si="25"/>
        <v>#VALUE!</v>
      </c>
      <c r="AL46" s="35" t="e">
        <f t="shared" ca="1" si="25"/>
        <v>#VALUE!</v>
      </c>
      <c r="AM46" s="35" t="e">
        <f t="shared" ca="1" si="25"/>
        <v>#VALUE!</v>
      </c>
      <c r="AN46" s="35" t="e">
        <f t="shared" ca="1" si="25"/>
        <v>#VALUE!</v>
      </c>
      <c r="AO46" s="35" t="e">
        <f t="shared" ca="1" si="25"/>
        <v>#VALUE!</v>
      </c>
      <c r="AP46" s="35" t="e">
        <f t="shared" ca="1" si="25"/>
        <v>#VALUE!</v>
      </c>
      <c r="AQ46" s="35" t="e">
        <f t="shared" ca="1" si="25"/>
        <v>#VALUE!</v>
      </c>
    </row>
    <row r="47" spans="1:43" ht="10.15" customHeight="1">
      <c r="A47" s="31">
        <f ca="1">A49-$C$12</f>
        <v>49.850000000000009</v>
      </c>
      <c r="B47" s="31" t="s">
        <v>71</v>
      </c>
      <c r="C47" s="32" t="e">
        <f t="shared" ref="C47:AQ47" ca="1" si="26">EBlackScholesForward("p",C$20,$A$47,C$22,$C$6,$C$6,$C$7,C$21)</f>
        <v>#VALUE!</v>
      </c>
      <c r="D47" s="32" t="e">
        <f t="shared" ca="1" si="26"/>
        <v>#VALUE!</v>
      </c>
      <c r="E47" s="32" t="e">
        <f t="shared" ca="1" si="26"/>
        <v>#VALUE!</v>
      </c>
      <c r="F47" s="32" t="e">
        <f t="shared" ca="1" si="26"/>
        <v>#VALUE!</v>
      </c>
      <c r="G47" s="32" t="e">
        <f t="shared" ca="1" si="26"/>
        <v>#VALUE!</v>
      </c>
      <c r="H47" s="32" t="e">
        <f t="shared" ca="1" si="26"/>
        <v>#VALUE!</v>
      </c>
      <c r="I47" s="32" t="e">
        <f t="shared" ca="1" si="26"/>
        <v>#VALUE!</v>
      </c>
      <c r="J47" s="32" t="e">
        <f t="shared" ca="1" si="26"/>
        <v>#VALUE!</v>
      </c>
      <c r="K47" s="32" t="e">
        <f t="shared" ca="1" si="26"/>
        <v>#VALUE!</v>
      </c>
      <c r="L47" s="32" t="e">
        <f t="shared" ca="1" si="26"/>
        <v>#VALUE!</v>
      </c>
      <c r="M47" s="32" t="e">
        <f t="shared" ca="1" si="26"/>
        <v>#VALUE!</v>
      </c>
      <c r="N47" s="32" t="e">
        <f t="shared" ca="1" si="26"/>
        <v>#VALUE!</v>
      </c>
      <c r="O47" s="32" t="e">
        <f t="shared" ca="1" si="26"/>
        <v>#VALUE!</v>
      </c>
      <c r="P47" s="32" t="e">
        <f t="shared" ca="1" si="26"/>
        <v>#VALUE!</v>
      </c>
      <c r="Q47" s="32" t="e">
        <f t="shared" ca="1" si="26"/>
        <v>#VALUE!</v>
      </c>
      <c r="R47" s="32" t="e">
        <f t="shared" ca="1" si="26"/>
        <v>#VALUE!</v>
      </c>
      <c r="S47" s="32" t="e">
        <f t="shared" ca="1" si="26"/>
        <v>#VALUE!</v>
      </c>
      <c r="T47" s="32" t="e">
        <f t="shared" ca="1" si="26"/>
        <v>#VALUE!</v>
      </c>
      <c r="U47" s="32" t="e">
        <f t="shared" ca="1" si="26"/>
        <v>#VALUE!</v>
      </c>
      <c r="V47" s="32" t="e">
        <f t="shared" ca="1" si="26"/>
        <v>#VALUE!</v>
      </c>
      <c r="W47" s="76" t="e">
        <f t="shared" ca="1" si="26"/>
        <v>#VALUE!</v>
      </c>
      <c r="X47" s="32" t="e">
        <f t="shared" ca="1" si="26"/>
        <v>#VALUE!</v>
      </c>
      <c r="Y47" s="32" t="e">
        <f t="shared" ca="1" si="26"/>
        <v>#VALUE!</v>
      </c>
      <c r="Z47" s="32" t="e">
        <f t="shared" ca="1" si="26"/>
        <v>#VALUE!</v>
      </c>
      <c r="AA47" s="32" t="e">
        <f t="shared" ca="1" si="26"/>
        <v>#VALUE!</v>
      </c>
      <c r="AB47" s="32" t="e">
        <f t="shared" ca="1" si="26"/>
        <v>#VALUE!</v>
      </c>
      <c r="AC47" s="32" t="e">
        <f t="shared" ca="1" si="26"/>
        <v>#VALUE!</v>
      </c>
      <c r="AD47" s="32" t="e">
        <f t="shared" ca="1" si="26"/>
        <v>#VALUE!</v>
      </c>
      <c r="AE47" s="32" t="e">
        <f t="shared" ca="1" si="26"/>
        <v>#VALUE!</v>
      </c>
      <c r="AF47" s="32" t="e">
        <f t="shared" ca="1" si="26"/>
        <v>#VALUE!</v>
      </c>
      <c r="AG47" s="32" t="e">
        <f t="shared" ca="1" si="26"/>
        <v>#VALUE!</v>
      </c>
      <c r="AH47" s="32" t="e">
        <f t="shared" ca="1" si="26"/>
        <v>#VALUE!</v>
      </c>
      <c r="AI47" s="32" t="e">
        <f t="shared" ca="1" si="26"/>
        <v>#VALUE!</v>
      </c>
      <c r="AJ47" s="32" t="e">
        <f t="shared" ca="1" si="26"/>
        <v>#VALUE!</v>
      </c>
      <c r="AK47" s="32" t="e">
        <f t="shared" ca="1" si="26"/>
        <v>#VALUE!</v>
      </c>
      <c r="AL47" s="32" t="e">
        <f t="shared" ca="1" si="26"/>
        <v>#VALUE!</v>
      </c>
      <c r="AM47" s="32" t="e">
        <f t="shared" ca="1" si="26"/>
        <v>#VALUE!</v>
      </c>
      <c r="AN47" s="32" t="e">
        <f t="shared" ca="1" si="26"/>
        <v>#VALUE!</v>
      </c>
      <c r="AO47" s="32" t="e">
        <f t="shared" ca="1" si="26"/>
        <v>#VALUE!</v>
      </c>
      <c r="AP47" s="32" t="e">
        <f t="shared" ca="1" si="26"/>
        <v>#VALUE!</v>
      </c>
      <c r="AQ47" s="32" t="e">
        <f t="shared" ca="1" si="26"/>
        <v>#VALUE!</v>
      </c>
    </row>
    <row r="48" spans="1:43" ht="10.15" customHeight="1" outlineLevel="1">
      <c r="A48" s="33"/>
      <c r="B48" s="31" t="s">
        <v>74</v>
      </c>
      <c r="C48" s="32" t="e">
        <f t="shared" ref="C48:AQ48" ca="1" si="27">EBlackScholesForward($FA$3,C$20,$A$47,C$22,$C$6,$C$6,$C$7,C$21)</f>
        <v>#VALUE!</v>
      </c>
      <c r="D48" s="32" t="e">
        <f t="shared" ca="1" si="27"/>
        <v>#VALUE!</v>
      </c>
      <c r="E48" s="32" t="e">
        <f t="shared" ca="1" si="27"/>
        <v>#VALUE!</v>
      </c>
      <c r="F48" s="32" t="e">
        <f t="shared" ca="1" si="27"/>
        <v>#VALUE!</v>
      </c>
      <c r="G48" s="32" t="e">
        <f t="shared" ca="1" si="27"/>
        <v>#VALUE!</v>
      </c>
      <c r="H48" s="32" t="e">
        <f t="shared" ca="1" si="27"/>
        <v>#VALUE!</v>
      </c>
      <c r="I48" s="32" t="e">
        <f t="shared" ca="1" si="27"/>
        <v>#VALUE!</v>
      </c>
      <c r="J48" s="32" t="e">
        <f t="shared" ca="1" si="27"/>
        <v>#VALUE!</v>
      </c>
      <c r="K48" s="32" t="e">
        <f t="shared" ca="1" si="27"/>
        <v>#VALUE!</v>
      </c>
      <c r="L48" s="32" t="e">
        <f t="shared" ca="1" si="27"/>
        <v>#VALUE!</v>
      </c>
      <c r="M48" s="32" t="e">
        <f t="shared" ca="1" si="27"/>
        <v>#VALUE!</v>
      </c>
      <c r="N48" s="32" t="e">
        <f t="shared" ca="1" si="27"/>
        <v>#VALUE!</v>
      </c>
      <c r="O48" s="32" t="e">
        <f t="shared" ca="1" si="27"/>
        <v>#VALUE!</v>
      </c>
      <c r="P48" s="32" t="e">
        <f t="shared" ca="1" si="27"/>
        <v>#VALUE!</v>
      </c>
      <c r="Q48" s="32" t="e">
        <f t="shared" ca="1" si="27"/>
        <v>#VALUE!</v>
      </c>
      <c r="R48" s="32" t="e">
        <f t="shared" ca="1" si="27"/>
        <v>#VALUE!</v>
      </c>
      <c r="S48" s="32" t="e">
        <f t="shared" ca="1" si="27"/>
        <v>#VALUE!</v>
      </c>
      <c r="T48" s="32" t="e">
        <f t="shared" ca="1" si="27"/>
        <v>#VALUE!</v>
      </c>
      <c r="U48" s="32" t="e">
        <f t="shared" ca="1" si="27"/>
        <v>#VALUE!</v>
      </c>
      <c r="V48" s="32" t="e">
        <f t="shared" ca="1" si="27"/>
        <v>#VALUE!</v>
      </c>
      <c r="W48" s="76" t="e">
        <f t="shared" ca="1" si="27"/>
        <v>#VALUE!</v>
      </c>
      <c r="X48" s="32" t="e">
        <f t="shared" ca="1" si="27"/>
        <v>#VALUE!</v>
      </c>
      <c r="Y48" s="32" t="e">
        <f t="shared" ca="1" si="27"/>
        <v>#VALUE!</v>
      </c>
      <c r="Z48" s="32" t="e">
        <f t="shared" ca="1" si="27"/>
        <v>#VALUE!</v>
      </c>
      <c r="AA48" s="32" t="e">
        <f t="shared" ca="1" si="27"/>
        <v>#VALUE!</v>
      </c>
      <c r="AB48" s="32" t="e">
        <f t="shared" ca="1" si="27"/>
        <v>#VALUE!</v>
      </c>
      <c r="AC48" s="32" t="e">
        <f t="shared" ca="1" si="27"/>
        <v>#VALUE!</v>
      </c>
      <c r="AD48" s="32" t="e">
        <f t="shared" ca="1" si="27"/>
        <v>#VALUE!</v>
      </c>
      <c r="AE48" s="32" t="e">
        <f t="shared" ca="1" si="27"/>
        <v>#VALUE!</v>
      </c>
      <c r="AF48" s="32" t="e">
        <f t="shared" ca="1" si="27"/>
        <v>#VALUE!</v>
      </c>
      <c r="AG48" s="32" t="e">
        <f t="shared" ca="1" si="27"/>
        <v>#VALUE!</v>
      </c>
      <c r="AH48" s="32" t="e">
        <f t="shared" ca="1" si="27"/>
        <v>#VALUE!</v>
      </c>
      <c r="AI48" s="32" t="e">
        <f t="shared" ca="1" si="27"/>
        <v>#VALUE!</v>
      </c>
      <c r="AJ48" s="32" t="e">
        <f t="shared" ca="1" si="27"/>
        <v>#VALUE!</v>
      </c>
      <c r="AK48" s="32" t="e">
        <f t="shared" ca="1" si="27"/>
        <v>#VALUE!</v>
      </c>
      <c r="AL48" s="32" t="e">
        <f t="shared" ca="1" si="27"/>
        <v>#VALUE!</v>
      </c>
      <c r="AM48" s="32" t="e">
        <f t="shared" ca="1" si="27"/>
        <v>#VALUE!</v>
      </c>
      <c r="AN48" s="32" t="e">
        <f t="shared" ca="1" si="27"/>
        <v>#VALUE!</v>
      </c>
      <c r="AO48" s="32" t="e">
        <f t="shared" ca="1" si="27"/>
        <v>#VALUE!</v>
      </c>
      <c r="AP48" s="32" t="e">
        <f t="shared" ca="1" si="27"/>
        <v>#VALUE!</v>
      </c>
      <c r="AQ48" s="32" t="e">
        <f t="shared" ca="1" si="27"/>
        <v>#VALUE!</v>
      </c>
    </row>
    <row r="49" spans="1:43" ht="10.15" customHeight="1">
      <c r="A49" s="34">
        <f ca="1">A51-$C$12</f>
        <v>49.900000000000006</v>
      </c>
      <c r="B49" s="34" t="s">
        <v>71</v>
      </c>
      <c r="C49" s="35" t="e">
        <f t="shared" ref="C49:AQ49" ca="1" si="28">EBlackScholesForward("p",C$20,$A$49,C$22,$C$6,$C$6,$C$7,C$21)</f>
        <v>#VALUE!</v>
      </c>
      <c r="D49" s="35" t="e">
        <f t="shared" ca="1" si="28"/>
        <v>#VALUE!</v>
      </c>
      <c r="E49" s="35" t="e">
        <f t="shared" ca="1" si="28"/>
        <v>#VALUE!</v>
      </c>
      <c r="F49" s="35" t="e">
        <f t="shared" ca="1" si="28"/>
        <v>#VALUE!</v>
      </c>
      <c r="G49" s="35" t="e">
        <f t="shared" ca="1" si="28"/>
        <v>#VALUE!</v>
      </c>
      <c r="H49" s="35" t="e">
        <f t="shared" ca="1" si="28"/>
        <v>#VALUE!</v>
      </c>
      <c r="I49" s="35" t="e">
        <f t="shared" ca="1" si="28"/>
        <v>#VALUE!</v>
      </c>
      <c r="J49" s="35" t="e">
        <f t="shared" ca="1" si="28"/>
        <v>#VALUE!</v>
      </c>
      <c r="K49" s="35" t="e">
        <f t="shared" ca="1" si="28"/>
        <v>#VALUE!</v>
      </c>
      <c r="L49" s="35" t="e">
        <f t="shared" ca="1" si="28"/>
        <v>#VALUE!</v>
      </c>
      <c r="M49" s="35" t="e">
        <f t="shared" ca="1" si="28"/>
        <v>#VALUE!</v>
      </c>
      <c r="N49" s="35" t="e">
        <f t="shared" ca="1" si="28"/>
        <v>#VALUE!</v>
      </c>
      <c r="O49" s="35" t="e">
        <f t="shared" ca="1" si="28"/>
        <v>#VALUE!</v>
      </c>
      <c r="P49" s="35" t="e">
        <f t="shared" ca="1" si="28"/>
        <v>#VALUE!</v>
      </c>
      <c r="Q49" s="35" t="e">
        <f t="shared" ca="1" si="28"/>
        <v>#VALUE!</v>
      </c>
      <c r="R49" s="35" t="e">
        <f t="shared" ca="1" si="28"/>
        <v>#VALUE!</v>
      </c>
      <c r="S49" s="35" t="e">
        <f t="shared" ca="1" si="28"/>
        <v>#VALUE!</v>
      </c>
      <c r="T49" s="35" t="e">
        <f t="shared" ca="1" si="28"/>
        <v>#VALUE!</v>
      </c>
      <c r="U49" s="35" t="e">
        <f t="shared" ca="1" si="28"/>
        <v>#VALUE!</v>
      </c>
      <c r="V49" s="35" t="e">
        <f t="shared" ca="1" si="28"/>
        <v>#VALUE!</v>
      </c>
      <c r="W49" s="77" t="e">
        <f t="shared" ca="1" si="28"/>
        <v>#VALUE!</v>
      </c>
      <c r="X49" s="35" t="e">
        <f t="shared" ca="1" si="28"/>
        <v>#VALUE!</v>
      </c>
      <c r="Y49" s="35" t="e">
        <f t="shared" ca="1" si="28"/>
        <v>#VALUE!</v>
      </c>
      <c r="Z49" s="35" t="e">
        <f t="shared" ca="1" si="28"/>
        <v>#VALUE!</v>
      </c>
      <c r="AA49" s="35" t="e">
        <f t="shared" ca="1" si="28"/>
        <v>#VALUE!</v>
      </c>
      <c r="AB49" s="35" t="e">
        <f t="shared" ca="1" si="28"/>
        <v>#VALUE!</v>
      </c>
      <c r="AC49" s="35" t="e">
        <f t="shared" ca="1" si="28"/>
        <v>#VALUE!</v>
      </c>
      <c r="AD49" s="35" t="e">
        <f t="shared" ca="1" si="28"/>
        <v>#VALUE!</v>
      </c>
      <c r="AE49" s="35" t="e">
        <f t="shared" ca="1" si="28"/>
        <v>#VALUE!</v>
      </c>
      <c r="AF49" s="35" t="e">
        <f t="shared" ca="1" si="28"/>
        <v>#VALUE!</v>
      </c>
      <c r="AG49" s="35" t="e">
        <f t="shared" ca="1" si="28"/>
        <v>#VALUE!</v>
      </c>
      <c r="AH49" s="35" t="e">
        <f t="shared" ca="1" si="28"/>
        <v>#VALUE!</v>
      </c>
      <c r="AI49" s="35" t="e">
        <f t="shared" ca="1" si="28"/>
        <v>#VALUE!</v>
      </c>
      <c r="AJ49" s="35" t="e">
        <f t="shared" ca="1" si="28"/>
        <v>#VALUE!</v>
      </c>
      <c r="AK49" s="35" t="e">
        <f t="shared" ca="1" si="28"/>
        <v>#VALUE!</v>
      </c>
      <c r="AL49" s="35" t="e">
        <f t="shared" ca="1" si="28"/>
        <v>#VALUE!</v>
      </c>
      <c r="AM49" s="35" t="e">
        <f t="shared" ca="1" si="28"/>
        <v>#VALUE!</v>
      </c>
      <c r="AN49" s="35" t="e">
        <f t="shared" ca="1" si="28"/>
        <v>#VALUE!</v>
      </c>
      <c r="AO49" s="35" t="e">
        <f t="shared" ca="1" si="28"/>
        <v>#VALUE!</v>
      </c>
      <c r="AP49" s="35" t="e">
        <f t="shared" ca="1" si="28"/>
        <v>#VALUE!</v>
      </c>
      <c r="AQ49" s="35" t="e">
        <f t="shared" ca="1" si="28"/>
        <v>#VALUE!</v>
      </c>
    </row>
    <row r="50" spans="1:43" ht="10.15" customHeight="1" outlineLevel="1">
      <c r="A50" s="36"/>
      <c r="B50" s="34" t="s">
        <v>74</v>
      </c>
      <c r="C50" s="35" t="e">
        <f t="shared" ref="C50:AQ50" ca="1" si="29">EBlackScholesForward($FA$3,C$20,$A$49,C$22,$C$6,$C$6,$C$7,C$21)</f>
        <v>#VALUE!</v>
      </c>
      <c r="D50" s="35" t="e">
        <f t="shared" ca="1" si="29"/>
        <v>#VALUE!</v>
      </c>
      <c r="E50" s="35" t="e">
        <f t="shared" ca="1" si="29"/>
        <v>#VALUE!</v>
      </c>
      <c r="F50" s="35" t="e">
        <f t="shared" ca="1" si="29"/>
        <v>#VALUE!</v>
      </c>
      <c r="G50" s="35" t="e">
        <f t="shared" ca="1" si="29"/>
        <v>#VALUE!</v>
      </c>
      <c r="H50" s="35" t="e">
        <f t="shared" ca="1" si="29"/>
        <v>#VALUE!</v>
      </c>
      <c r="I50" s="35" t="e">
        <f t="shared" ca="1" si="29"/>
        <v>#VALUE!</v>
      </c>
      <c r="J50" s="35" t="e">
        <f t="shared" ca="1" si="29"/>
        <v>#VALUE!</v>
      </c>
      <c r="K50" s="35" t="e">
        <f t="shared" ca="1" si="29"/>
        <v>#VALUE!</v>
      </c>
      <c r="L50" s="35" t="e">
        <f t="shared" ca="1" si="29"/>
        <v>#VALUE!</v>
      </c>
      <c r="M50" s="35" t="e">
        <f t="shared" ca="1" si="29"/>
        <v>#VALUE!</v>
      </c>
      <c r="N50" s="35" t="e">
        <f t="shared" ca="1" si="29"/>
        <v>#VALUE!</v>
      </c>
      <c r="O50" s="35" t="e">
        <f t="shared" ca="1" si="29"/>
        <v>#VALUE!</v>
      </c>
      <c r="P50" s="35" t="e">
        <f t="shared" ca="1" si="29"/>
        <v>#VALUE!</v>
      </c>
      <c r="Q50" s="35" t="e">
        <f t="shared" ca="1" si="29"/>
        <v>#VALUE!</v>
      </c>
      <c r="R50" s="35" t="e">
        <f t="shared" ca="1" si="29"/>
        <v>#VALUE!</v>
      </c>
      <c r="S50" s="35" t="e">
        <f t="shared" ca="1" si="29"/>
        <v>#VALUE!</v>
      </c>
      <c r="T50" s="35" t="e">
        <f t="shared" ca="1" si="29"/>
        <v>#VALUE!</v>
      </c>
      <c r="U50" s="35" t="e">
        <f t="shared" ca="1" si="29"/>
        <v>#VALUE!</v>
      </c>
      <c r="V50" s="35" t="e">
        <f t="shared" ca="1" si="29"/>
        <v>#VALUE!</v>
      </c>
      <c r="W50" s="77" t="e">
        <f t="shared" ca="1" si="29"/>
        <v>#VALUE!</v>
      </c>
      <c r="X50" s="35" t="e">
        <f t="shared" ca="1" si="29"/>
        <v>#VALUE!</v>
      </c>
      <c r="Y50" s="35" t="e">
        <f t="shared" ca="1" si="29"/>
        <v>#VALUE!</v>
      </c>
      <c r="Z50" s="35" t="e">
        <f t="shared" ca="1" si="29"/>
        <v>#VALUE!</v>
      </c>
      <c r="AA50" s="35" t="e">
        <f t="shared" ca="1" si="29"/>
        <v>#VALUE!</v>
      </c>
      <c r="AB50" s="35" t="e">
        <f t="shared" ca="1" si="29"/>
        <v>#VALUE!</v>
      </c>
      <c r="AC50" s="35" t="e">
        <f t="shared" ca="1" si="29"/>
        <v>#VALUE!</v>
      </c>
      <c r="AD50" s="35" t="e">
        <f t="shared" ca="1" si="29"/>
        <v>#VALUE!</v>
      </c>
      <c r="AE50" s="35" t="e">
        <f t="shared" ca="1" si="29"/>
        <v>#VALUE!</v>
      </c>
      <c r="AF50" s="35" t="e">
        <f t="shared" ca="1" si="29"/>
        <v>#VALUE!</v>
      </c>
      <c r="AG50" s="35" t="e">
        <f t="shared" ca="1" si="29"/>
        <v>#VALUE!</v>
      </c>
      <c r="AH50" s="35" t="e">
        <f t="shared" ca="1" si="29"/>
        <v>#VALUE!</v>
      </c>
      <c r="AI50" s="35" t="e">
        <f t="shared" ca="1" si="29"/>
        <v>#VALUE!</v>
      </c>
      <c r="AJ50" s="35" t="e">
        <f t="shared" ca="1" si="29"/>
        <v>#VALUE!</v>
      </c>
      <c r="AK50" s="35" t="e">
        <f t="shared" ca="1" si="29"/>
        <v>#VALUE!</v>
      </c>
      <c r="AL50" s="35" t="e">
        <f t="shared" ca="1" si="29"/>
        <v>#VALUE!</v>
      </c>
      <c r="AM50" s="35" t="e">
        <f t="shared" ca="1" si="29"/>
        <v>#VALUE!</v>
      </c>
      <c r="AN50" s="35" t="e">
        <f t="shared" ca="1" si="29"/>
        <v>#VALUE!</v>
      </c>
      <c r="AO50" s="35" t="e">
        <f t="shared" ca="1" si="29"/>
        <v>#VALUE!</v>
      </c>
      <c r="AP50" s="35" t="e">
        <f t="shared" ca="1" si="29"/>
        <v>#VALUE!</v>
      </c>
      <c r="AQ50" s="35" t="e">
        <f t="shared" ca="1" si="29"/>
        <v>#VALUE!</v>
      </c>
    </row>
    <row r="51" spans="1:43" ht="10.15" customHeight="1">
      <c r="A51" s="31">
        <f ca="1">A53-$C$12</f>
        <v>49.95</v>
      </c>
      <c r="B51" s="31" t="s">
        <v>71</v>
      </c>
      <c r="C51" s="32" t="e">
        <f t="shared" ref="C51:AQ51" ca="1" si="30">EBlackScholesForward("p",C$20,$A$51,C$22,$C$6,$C$6,$C$7,C$21)</f>
        <v>#VALUE!</v>
      </c>
      <c r="D51" s="32" t="e">
        <f t="shared" ca="1" si="30"/>
        <v>#VALUE!</v>
      </c>
      <c r="E51" s="32" t="e">
        <f t="shared" ca="1" si="30"/>
        <v>#VALUE!</v>
      </c>
      <c r="F51" s="32" t="e">
        <f t="shared" ca="1" si="30"/>
        <v>#VALUE!</v>
      </c>
      <c r="G51" s="32" t="e">
        <f t="shared" ca="1" si="30"/>
        <v>#VALUE!</v>
      </c>
      <c r="H51" s="32" t="e">
        <f t="shared" ca="1" si="30"/>
        <v>#VALUE!</v>
      </c>
      <c r="I51" s="32" t="e">
        <f t="shared" ca="1" si="30"/>
        <v>#VALUE!</v>
      </c>
      <c r="J51" s="32" t="e">
        <f t="shared" ca="1" si="30"/>
        <v>#VALUE!</v>
      </c>
      <c r="K51" s="32" t="e">
        <f t="shared" ca="1" si="30"/>
        <v>#VALUE!</v>
      </c>
      <c r="L51" s="32" t="e">
        <f t="shared" ca="1" si="30"/>
        <v>#VALUE!</v>
      </c>
      <c r="M51" s="32" t="e">
        <f t="shared" ca="1" si="30"/>
        <v>#VALUE!</v>
      </c>
      <c r="N51" s="32" t="e">
        <f t="shared" ca="1" si="30"/>
        <v>#VALUE!</v>
      </c>
      <c r="O51" s="32" t="e">
        <f t="shared" ca="1" si="30"/>
        <v>#VALUE!</v>
      </c>
      <c r="P51" s="32" t="e">
        <f t="shared" ca="1" si="30"/>
        <v>#VALUE!</v>
      </c>
      <c r="Q51" s="32" t="e">
        <f t="shared" ca="1" si="30"/>
        <v>#VALUE!</v>
      </c>
      <c r="R51" s="32" t="e">
        <f t="shared" ca="1" si="30"/>
        <v>#VALUE!</v>
      </c>
      <c r="S51" s="32" t="e">
        <f t="shared" ca="1" si="30"/>
        <v>#VALUE!</v>
      </c>
      <c r="T51" s="32" t="e">
        <f t="shared" ca="1" si="30"/>
        <v>#VALUE!</v>
      </c>
      <c r="U51" s="32" t="e">
        <f t="shared" ca="1" si="30"/>
        <v>#VALUE!</v>
      </c>
      <c r="V51" s="32" t="e">
        <f t="shared" ca="1" si="30"/>
        <v>#VALUE!</v>
      </c>
      <c r="W51" s="76" t="e">
        <f t="shared" ca="1" si="30"/>
        <v>#VALUE!</v>
      </c>
      <c r="X51" s="32" t="e">
        <f t="shared" ca="1" si="30"/>
        <v>#VALUE!</v>
      </c>
      <c r="Y51" s="32" t="e">
        <f t="shared" ca="1" si="30"/>
        <v>#VALUE!</v>
      </c>
      <c r="Z51" s="32" t="e">
        <f t="shared" ca="1" si="30"/>
        <v>#VALUE!</v>
      </c>
      <c r="AA51" s="32" t="e">
        <f t="shared" ca="1" si="30"/>
        <v>#VALUE!</v>
      </c>
      <c r="AB51" s="32" t="e">
        <f t="shared" ca="1" si="30"/>
        <v>#VALUE!</v>
      </c>
      <c r="AC51" s="32" t="e">
        <f t="shared" ca="1" si="30"/>
        <v>#VALUE!</v>
      </c>
      <c r="AD51" s="32" t="e">
        <f t="shared" ca="1" si="30"/>
        <v>#VALUE!</v>
      </c>
      <c r="AE51" s="32" t="e">
        <f t="shared" ca="1" si="30"/>
        <v>#VALUE!</v>
      </c>
      <c r="AF51" s="32" t="e">
        <f t="shared" ca="1" si="30"/>
        <v>#VALUE!</v>
      </c>
      <c r="AG51" s="32" t="e">
        <f t="shared" ca="1" si="30"/>
        <v>#VALUE!</v>
      </c>
      <c r="AH51" s="32" t="e">
        <f t="shared" ca="1" si="30"/>
        <v>#VALUE!</v>
      </c>
      <c r="AI51" s="32" t="e">
        <f t="shared" ca="1" si="30"/>
        <v>#VALUE!</v>
      </c>
      <c r="AJ51" s="32" t="e">
        <f t="shared" ca="1" si="30"/>
        <v>#VALUE!</v>
      </c>
      <c r="AK51" s="32" t="e">
        <f t="shared" ca="1" si="30"/>
        <v>#VALUE!</v>
      </c>
      <c r="AL51" s="32" t="e">
        <f t="shared" ca="1" si="30"/>
        <v>#VALUE!</v>
      </c>
      <c r="AM51" s="32" t="e">
        <f t="shared" ca="1" si="30"/>
        <v>#VALUE!</v>
      </c>
      <c r="AN51" s="32" t="e">
        <f t="shared" ca="1" si="30"/>
        <v>#VALUE!</v>
      </c>
      <c r="AO51" s="32" t="e">
        <f t="shared" ca="1" si="30"/>
        <v>#VALUE!</v>
      </c>
      <c r="AP51" s="32" t="e">
        <f t="shared" ca="1" si="30"/>
        <v>#VALUE!</v>
      </c>
      <c r="AQ51" s="32" t="e">
        <f t="shared" ca="1" si="30"/>
        <v>#VALUE!</v>
      </c>
    </row>
    <row r="52" spans="1:43" ht="10.15" customHeight="1" outlineLevel="1">
      <c r="A52" s="33"/>
      <c r="B52" s="31" t="s">
        <v>74</v>
      </c>
      <c r="C52" s="32" t="e">
        <f t="shared" ref="C52:AQ52" ca="1" si="31">EBlackScholesForward($FA$3,C$20,$A$51,C$22,$C$6,$C$6,$C$7,C$21)</f>
        <v>#VALUE!</v>
      </c>
      <c r="D52" s="32" t="e">
        <f t="shared" ca="1" si="31"/>
        <v>#VALUE!</v>
      </c>
      <c r="E52" s="32" t="e">
        <f t="shared" ca="1" si="31"/>
        <v>#VALUE!</v>
      </c>
      <c r="F52" s="32" t="e">
        <f t="shared" ca="1" si="31"/>
        <v>#VALUE!</v>
      </c>
      <c r="G52" s="32" t="e">
        <f t="shared" ca="1" si="31"/>
        <v>#VALUE!</v>
      </c>
      <c r="H52" s="32" t="e">
        <f t="shared" ca="1" si="31"/>
        <v>#VALUE!</v>
      </c>
      <c r="I52" s="32" t="e">
        <f t="shared" ca="1" si="31"/>
        <v>#VALUE!</v>
      </c>
      <c r="J52" s="32" t="e">
        <f t="shared" ca="1" si="31"/>
        <v>#VALUE!</v>
      </c>
      <c r="K52" s="32" t="e">
        <f t="shared" ca="1" si="31"/>
        <v>#VALUE!</v>
      </c>
      <c r="L52" s="32" t="e">
        <f t="shared" ca="1" si="31"/>
        <v>#VALUE!</v>
      </c>
      <c r="M52" s="32" t="e">
        <f t="shared" ca="1" si="31"/>
        <v>#VALUE!</v>
      </c>
      <c r="N52" s="32" t="e">
        <f t="shared" ca="1" si="31"/>
        <v>#VALUE!</v>
      </c>
      <c r="O52" s="32" t="e">
        <f t="shared" ca="1" si="31"/>
        <v>#VALUE!</v>
      </c>
      <c r="P52" s="32" t="e">
        <f t="shared" ca="1" si="31"/>
        <v>#VALUE!</v>
      </c>
      <c r="Q52" s="32" t="e">
        <f t="shared" ca="1" si="31"/>
        <v>#VALUE!</v>
      </c>
      <c r="R52" s="32" t="e">
        <f t="shared" ca="1" si="31"/>
        <v>#VALUE!</v>
      </c>
      <c r="S52" s="32" t="e">
        <f t="shared" ca="1" si="31"/>
        <v>#VALUE!</v>
      </c>
      <c r="T52" s="32" t="e">
        <f t="shared" ca="1" si="31"/>
        <v>#VALUE!</v>
      </c>
      <c r="U52" s="32" t="e">
        <f t="shared" ca="1" si="31"/>
        <v>#VALUE!</v>
      </c>
      <c r="V52" s="32" t="e">
        <f t="shared" ca="1" si="31"/>
        <v>#VALUE!</v>
      </c>
      <c r="W52" s="76" t="e">
        <f t="shared" ca="1" si="31"/>
        <v>#VALUE!</v>
      </c>
      <c r="X52" s="32" t="e">
        <f t="shared" ca="1" si="31"/>
        <v>#VALUE!</v>
      </c>
      <c r="Y52" s="32" t="e">
        <f t="shared" ca="1" si="31"/>
        <v>#VALUE!</v>
      </c>
      <c r="Z52" s="32" t="e">
        <f t="shared" ca="1" si="31"/>
        <v>#VALUE!</v>
      </c>
      <c r="AA52" s="32" t="e">
        <f t="shared" ca="1" si="31"/>
        <v>#VALUE!</v>
      </c>
      <c r="AB52" s="32" t="e">
        <f t="shared" ca="1" si="31"/>
        <v>#VALUE!</v>
      </c>
      <c r="AC52" s="32" t="e">
        <f t="shared" ca="1" si="31"/>
        <v>#VALUE!</v>
      </c>
      <c r="AD52" s="32" t="e">
        <f t="shared" ca="1" si="31"/>
        <v>#VALUE!</v>
      </c>
      <c r="AE52" s="32" t="e">
        <f t="shared" ca="1" si="31"/>
        <v>#VALUE!</v>
      </c>
      <c r="AF52" s="32" t="e">
        <f t="shared" ca="1" si="31"/>
        <v>#VALUE!</v>
      </c>
      <c r="AG52" s="32" t="e">
        <f t="shared" ca="1" si="31"/>
        <v>#VALUE!</v>
      </c>
      <c r="AH52" s="32" t="e">
        <f t="shared" ca="1" si="31"/>
        <v>#VALUE!</v>
      </c>
      <c r="AI52" s="32" t="e">
        <f t="shared" ca="1" si="31"/>
        <v>#VALUE!</v>
      </c>
      <c r="AJ52" s="32" t="e">
        <f t="shared" ca="1" si="31"/>
        <v>#VALUE!</v>
      </c>
      <c r="AK52" s="32" t="e">
        <f t="shared" ca="1" si="31"/>
        <v>#VALUE!</v>
      </c>
      <c r="AL52" s="32" t="e">
        <f t="shared" ca="1" si="31"/>
        <v>#VALUE!</v>
      </c>
      <c r="AM52" s="32" t="e">
        <f t="shared" ca="1" si="31"/>
        <v>#VALUE!</v>
      </c>
      <c r="AN52" s="32" t="e">
        <f t="shared" ca="1" si="31"/>
        <v>#VALUE!</v>
      </c>
      <c r="AO52" s="32" t="e">
        <f t="shared" ca="1" si="31"/>
        <v>#VALUE!</v>
      </c>
      <c r="AP52" s="32" t="e">
        <f t="shared" ca="1" si="31"/>
        <v>#VALUE!</v>
      </c>
      <c r="AQ52" s="32" t="e">
        <f t="shared" ca="1" si="31"/>
        <v>#VALUE!</v>
      </c>
    </row>
    <row r="53" spans="1:43" ht="10.15" customHeight="1">
      <c r="A53" s="79">
        <f ca="1">C11</f>
        <v>50</v>
      </c>
      <c r="B53" s="80" t="s">
        <v>71</v>
      </c>
      <c r="C53" s="81" t="e">
        <f t="shared" ref="C53:AQ53" ca="1" si="32">EBlackScholesForward("p",C$20,$A$53,C$22,$C$6,$C$6,$C$7,C$21)</f>
        <v>#VALUE!</v>
      </c>
      <c r="D53" s="81" t="e">
        <f t="shared" ca="1" si="32"/>
        <v>#VALUE!</v>
      </c>
      <c r="E53" s="81" t="e">
        <f t="shared" ca="1" si="32"/>
        <v>#VALUE!</v>
      </c>
      <c r="F53" s="81" t="e">
        <f t="shared" ca="1" si="32"/>
        <v>#VALUE!</v>
      </c>
      <c r="G53" s="81" t="e">
        <f t="shared" ca="1" si="32"/>
        <v>#VALUE!</v>
      </c>
      <c r="H53" s="81" t="e">
        <f t="shared" ca="1" si="32"/>
        <v>#VALUE!</v>
      </c>
      <c r="I53" s="81" t="e">
        <f t="shared" ca="1" si="32"/>
        <v>#VALUE!</v>
      </c>
      <c r="J53" s="81" t="e">
        <f t="shared" ca="1" si="32"/>
        <v>#VALUE!</v>
      </c>
      <c r="K53" s="81" t="e">
        <f t="shared" ca="1" si="32"/>
        <v>#VALUE!</v>
      </c>
      <c r="L53" s="81" t="e">
        <f t="shared" ca="1" si="32"/>
        <v>#VALUE!</v>
      </c>
      <c r="M53" s="81" t="e">
        <f t="shared" ca="1" si="32"/>
        <v>#VALUE!</v>
      </c>
      <c r="N53" s="81" t="e">
        <f t="shared" ca="1" si="32"/>
        <v>#VALUE!</v>
      </c>
      <c r="O53" s="81" t="e">
        <f t="shared" ca="1" si="32"/>
        <v>#VALUE!</v>
      </c>
      <c r="P53" s="81" t="e">
        <f t="shared" ca="1" si="32"/>
        <v>#VALUE!</v>
      </c>
      <c r="Q53" s="81" t="e">
        <f t="shared" ca="1" si="32"/>
        <v>#VALUE!</v>
      </c>
      <c r="R53" s="81" t="e">
        <f t="shared" ca="1" si="32"/>
        <v>#VALUE!</v>
      </c>
      <c r="S53" s="81" t="e">
        <f t="shared" ca="1" si="32"/>
        <v>#VALUE!</v>
      </c>
      <c r="T53" s="81" t="e">
        <f t="shared" ca="1" si="32"/>
        <v>#VALUE!</v>
      </c>
      <c r="U53" s="81" t="e">
        <f t="shared" ca="1" si="32"/>
        <v>#VALUE!</v>
      </c>
      <c r="V53" s="81" t="e">
        <f t="shared" ca="1" si="32"/>
        <v>#VALUE!</v>
      </c>
      <c r="W53" s="82" t="e">
        <f t="shared" ca="1" si="32"/>
        <v>#VALUE!</v>
      </c>
      <c r="X53" s="81" t="e">
        <f t="shared" ca="1" si="32"/>
        <v>#VALUE!</v>
      </c>
      <c r="Y53" s="81" t="e">
        <f t="shared" ca="1" si="32"/>
        <v>#VALUE!</v>
      </c>
      <c r="Z53" s="81" t="e">
        <f t="shared" ca="1" si="32"/>
        <v>#VALUE!</v>
      </c>
      <c r="AA53" s="81" t="e">
        <f t="shared" ca="1" si="32"/>
        <v>#VALUE!</v>
      </c>
      <c r="AB53" s="81" t="e">
        <f t="shared" ca="1" si="32"/>
        <v>#VALUE!</v>
      </c>
      <c r="AC53" s="81" t="e">
        <f t="shared" ca="1" si="32"/>
        <v>#VALUE!</v>
      </c>
      <c r="AD53" s="81" t="e">
        <f t="shared" ca="1" si="32"/>
        <v>#VALUE!</v>
      </c>
      <c r="AE53" s="81" t="e">
        <f t="shared" ca="1" si="32"/>
        <v>#VALUE!</v>
      </c>
      <c r="AF53" s="81" t="e">
        <f t="shared" ca="1" si="32"/>
        <v>#VALUE!</v>
      </c>
      <c r="AG53" s="81" t="e">
        <f t="shared" ca="1" si="32"/>
        <v>#VALUE!</v>
      </c>
      <c r="AH53" s="81" t="e">
        <f t="shared" ca="1" si="32"/>
        <v>#VALUE!</v>
      </c>
      <c r="AI53" s="81" t="e">
        <f t="shared" ca="1" si="32"/>
        <v>#VALUE!</v>
      </c>
      <c r="AJ53" s="81" t="e">
        <f t="shared" ca="1" si="32"/>
        <v>#VALUE!</v>
      </c>
      <c r="AK53" s="81" t="e">
        <f t="shared" ca="1" si="32"/>
        <v>#VALUE!</v>
      </c>
      <c r="AL53" s="81" t="e">
        <f t="shared" ca="1" si="32"/>
        <v>#VALUE!</v>
      </c>
      <c r="AM53" s="81" t="e">
        <f t="shared" ca="1" si="32"/>
        <v>#VALUE!</v>
      </c>
      <c r="AN53" s="81" t="e">
        <f t="shared" ca="1" si="32"/>
        <v>#VALUE!</v>
      </c>
      <c r="AO53" s="81" t="e">
        <f t="shared" ca="1" si="32"/>
        <v>#VALUE!</v>
      </c>
      <c r="AP53" s="81" t="e">
        <f t="shared" ca="1" si="32"/>
        <v>#VALUE!</v>
      </c>
      <c r="AQ53" s="83" t="e">
        <f t="shared" ca="1" si="32"/>
        <v>#VALUE!</v>
      </c>
    </row>
    <row r="54" spans="1:43" ht="10.15" customHeight="1" outlineLevel="1">
      <c r="A54" s="84"/>
      <c r="B54" s="85" t="s">
        <v>74</v>
      </c>
      <c r="C54" s="86" t="e">
        <f t="shared" ref="C54:AQ54" ca="1" si="33">EBlackScholesForward($FA$3,C$20,$A$53,C$22,$C$6,$C$6,$C$7,C$21)</f>
        <v>#VALUE!</v>
      </c>
      <c r="D54" s="86" t="e">
        <f t="shared" ca="1" si="33"/>
        <v>#VALUE!</v>
      </c>
      <c r="E54" s="86" t="e">
        <f t="shared" ca="1" si="33"/>
        <v>#VALUE!</v>
      </c>
      <c r="F54" s="86" t="e">
        <f t="shared" ca="1" si="33"/>
        <v>#VALUE!</v>
      </c>
      <c r="G54" s="86" t="e">
        <f t="shared" ca="1" si="33"/>
        <v>#VALUE!</v>
      </c>
      <c r="H54" s="86" t="e">
        <f t="shared" ca="1" si="33"/>
        <v>#VALUE!</v>
      </c>
      <c r="I54" s="86" t="e">
        <f t="shared" ca="1" si="33"/>
        <v>#VALUE!</v>
      </c>
      <c r="J54" s="86" t="e">
        <f t="shared" ca="1" si="33"/>
        <v>#VALUE!</v>
      </c>
      <c r="K54" s="86" t="e">
        <f t="shared" ca="1" si="33"/>
        <v>#VALUE!</v>
      </c>
      <c r="L54" s="86" t="e">
        <f t="shared" ca="1" si="33"/>
        <v>#VALUE!</v>
      </c>
      <c r="M54" s="86" t="e">
        <f t="shared" ca="1" si="33"/>
        <v>#VALUE!</v>
      </c>
      <c r="N54" s="86" t="e">
        <f t="shared" ca="1" si="33"/>
        <v>#VALUE!</v>
      </c>
      <c r="O54" s="86" t="e">
        <f t="shared" ca="1" si="33"/>
        <v>#VALUE!</v>
      </c>
      <c r="P54" s="86" t="e">
        <f t="shared" ca="1" si="33"/>
        <v>#VALUE!</v>
      </c>
      <c r="Q54" s="86" t="e">
        <f t="shared" ca="1" si="33"/>
        <v>#VALUE!</v>
      </c>
      <c r="R54" s="86" t="e">
        <f t="shared" ca="1" si="33"/>
        <v>#VALUE!</v>
      </c>
      <c r="S54" s="86" t="e">
        <f t="shared" ca="1" si="33"/>
        <v>#VALUE!</v>
      </c>
      <c r="T54" s="86" t="e">
        <f t="shared" ca="1" si="33"/>
        <v>#VALUE!</v>
      </c>
      <c r="U54" s="86" t="e">
        <f t="shared" ca="1" si="33"/>
        <v>#VALUE!</v>
      </c>
      <c r="V54" s="86" t="e">
        <f t="shared" ca="1" si="33"/>
        <v>#VALUE!</v>
      </c>
      <c r="W54" s="87" t="e">
        <f t="shared" ca="1" si="33"/>
        <v>#VALUE!</v>
      </c>
      <c r="X54" s="86" t="e">
        <f t="shared" ca="1" si="33"/>
        <v>#VALUE!</v>
      </c>
      <c r="Y54" s="86" t="e">
        <f t="shared" ca="1" si="33"/>
        <v>#VALUE!</v>
      </c>
      <c r="Z54" s="86" t="e">
        <f t="shared" ca="1" si="33"/>
        <v>#VALUE!</v>
      </c>
      <c r="AA54" s="86" t="e">
        <f t="shared" ca="1" si="33"/>
        <v>#VALUE!</v>
      </c>
      <c r="AB54" s="86" t="e">
        <f t="shared" ca="1" si="33"/>
        <v>#VALUE!</v>
      </c>
      <c r="AC54" s="86" t="e">
        <f t="shared" ca="1" si="33"/>
        <v>#VALUE!</v>
      </c>
      <c r="AD54" s="86" t="e">
        <f t="shared" ca="1" si="33"/>
        <v>#VALUE!</v>
      </c>
      <c r="AE54" s="86" t="e">
        <f t="shared" ca="1" si="33"/>
        <v>#VALUE!</v>
      </c>
      <c r="AF54" s="86" t="e">
        <f t="shared" ca="1" si="33"/>
        <v>#VALUE!</v>
      </c>
      <c r="AG54" s="86" t="e">
        <f t="shared" ca="1" si="33"/>
        <v>#VALUE!</v>
      </c>
      <c r="AH54" s="86" t="e">
        <f t="shared" ca="1" si="33"/>
        <v>#VALUE!</v>
      </c>
      <c r="AI54" s="86" t="e">
        <f t="shared" ca="1" si="33"/>
        <v>#VALUE!</v>
      </c>
      <c r="AJ54" s="86" t="e">
        <f t="shared" ca="1" si="33"/>
        <v>#VALUE!</v>
      </c>
      <c r="AK54" s="86" t="e">
        <f t="shared" ca="1" si="33"/>
        <v>#VALUE!</v>
      </c>
      <c r="AL54" s="86" t="e">
        <f t="shared" ca="1" si="33"/>
        <v>#VALUE!</v>
      </c>
      <c r="AM54" s="86" t="e">
        <f t="shared" ca="1" si="33"/>
        <v>#VALUE!</v>
      </c>
      <c r="AN54" s="86" t="e">
        <f t="shared" ca="1" si="33"/>
        <v>#VALUE!</v>
      </c>
      <c r="AO54" s="86" t="e">
        <f t="shared" ca="1" si="33"/>
        <v>#VALUE!</v>
      </c>
      <c r="AP54" s="86" t="e">
        <f t="shared" ca="1" si="33"/>
        <v>#VALUE!</v>
      </c>
      <c r="AQ54" s="88" t="e">
        <f t="shared" ca="1" si="33"/>
        <v>#VALUE!</v>
      </c>
    </row>
    <row r="55" spans="1:43" ht="10.15" customHeight="1">
      <c r="A55" s="31">
        <f ca="1">A53+C12</f>
        <v>50.05</v>
      </c>
      <c r="B55" s="31" t="s">
        <v>71</v>
      </c>
      <c r="C55" s="32" t="e">
        <f t="shared" ref="C55:AQ55" ca="1" si="34">EBlackScholesForward("p",C$20,$A$55,C$22,$C$6,$C$6,$C$7,C$21)</f>
        <v>#VALUE!</v>
      </c>
      <c r="D55" s="32" t="e">
        <f t="shared" ca="1" si="34"/>
        <v>#VALUE!</v>
      </c>
      <c r="E55" s="32" t="e">
        <f t="shared" ca="1" si="34"/>
        <v>#VALUE!</v>
      </c>
      <c r="F55" s="32" t="e">
        <f t="shared" ca="1" si="34"/>
        <v>#VALUE!</v>
      </c>
      <c r="G55" s="32" t="e">
        <f t="shared" ca="1" si="34"/>
        <v>#VALUE!</v>
      </c>
      <c r="H55" s="32" t="e">
        <f t="shared" ca="1" si="34"/>
        <v>#VALUE!</v>
      </c>
      <c r="I55" s="32" t="e">
        <f t="shared" ca="1" si="34"/>
        <v>#VALUE!</v>
      </c>
      <c r="J55" s="32" t="e">
        <f t="shared" ca="1" si="34"/>
        <v>#VALUE!</v>
      </c>
      <c r="K55" s="32" t="e">
        <f t="shared" ca="1" si="34"/>
        <v>#VALUE!</v>
      </c>
      <c r="L55" s="32" t="e">
        <f t="shared" ca="1" si="34"/>
        <v>#VALUE!</v>
      </c>
      <c r="M55" s="32" t="e">
        <f t="shared" ca="1" si="34"/>
        <v>#VALUE!</v>
      </c>
      <c r="N55" s="32" t="e">
        <f t="shared" ca="1" si="34"/>
        <v>#VALUE!</v>
      </c>
      <c r="O55" s="32" t="e">
        <f t="shared" ca="1" si="34"/>
        <v>#VALUE!</v>
      </c>
      <c r="P55" s="32" t="e">
        <f t="shared" ca="1" si="34"/>
        <v>#VALUE!</v>
      </c>
      <c r="Q55" s="32" t="e">
        <f t="shared" ca="1" si="34"/>
        <v>#VALUE!</v>
      </c>
      <c r="R55" s="32" t="e">
        <f t="shared" ca="1" si="34"/>
        <v>#VALUE!</v>
      </c>
      <c r="S55" s="32" t="e">
        <f t="shared" ca="1" si="34"/>
        <v>#VALUE!</v>
      </c>
      <c r="T55" s="32" t="e">
        <f t="shared" ca="1" si="34"/>
        <v>#VALUE!</v>
      </c>
      <c r="U55" s="32" t="e">
        <f t="shared" ca="1" si="34"/>
        <v>#VALUE!</v>
      </c>
      <c r="V55" s="32" t="e">
        <f t="shared" ca="1" si="34"/>
        <v>#VALUE!</v>
      </c>
      <c r="W55" s="76" t="e">
        <f t="shared" ca="1" si="34"/>
        <v>#VALUE!</v>
      </c>
      <c r="X55" s="32" t="e">
        <f t="shared" ca="1" si="34"/>
        <v>#VALUE!</v>
      </c>
      <c r="Y55" s="32" t="e">
        <f t="shared" ca="1" si="34"/>
        <v>#VALUE!</v>
      </c>
      <c r="Z55" s="32" t="e">
        <f t="shared" ca="1" si="34"/>
        <v>#VALUE!</v>
      </c>
      <c r="AA55" s="32" t="e">
        <f t="shared" ca="1" si="34"/>
        <v>#VALUE!</v>
      </c>
      <c r="AB55" s="32" t="e">
        <f t="shared" ca="1" si="34"/>
        <v>#VALUE!</v>
      </c>
      <c r="AC55" s="32" t="e">
        <f t="shared" ca="1" si="34"/>
        <v>#VALUE!</v>
      </c>
      <c r="AD55" s="32" t="e">
        <f t="shared" ca="1" si="34"/>
        <v>#VALUE!</v>
      </c>
      <c r="AE55" s="32" t="e">
        <f t="shared" ca="1" si="34"/>
        <v>#VALUE!</v>
      </c>
      <c r="AF55" s="32" t="e">
        <f t="shared" ca="1" si="34"/>
        <v>#VALUE!</v>
      </c>
      <c r="AG55" s="32" t="e">
        <f t="shared" ca="1" si="34"/>
        <v>#VALUE!</v>
      </c>
      <c r="AH55" s="32" t="e">
        <f t="shared" ca="1" si="34"/>
        <v>#VALUE!</v>
      </c>
      <c r="AI55" s="32" t="e">
        <f t="shared" ca="1" si="34"/>
        <v>#VALUE!</v>
      </c>
      <c r="AJ55" s="32" t="e">
        <f t="shared" ca="1" si="34"/>
        <v>#VALUE!</v>
      </c>
      <c r="AK55" s="32" t="e">
        <f t="shared" ca="1" si="34"/>
        <v>#VALUE!</v>
      </c>
      <c r="AL55" s="32" t="e">
        <f t="shared" ca="1" si="34"/>
        <v>#VALUE!</v>
      </c>
      <c r="AM55" s="32" t="e">
        <f t="shared" ca="1" si="34"/>
        <v>#VALUE!</v>
      </c>
      <c r="AN55" s="32" t="e">
        <f t="shared" ca="1" si="34"/>
        <v>#VALUE!</v>
      </c>
      <c r="AO55" s="32" t="e">
        <f t="shared" ca="1" si="34"/>
        <v>#VALUE!</v>
      </c>
      <c r="AP55" s="32" t="e">
        <f t="shared" ca="1" si="34"/>
        <v>#VALUE!</v>
      </c>
      <c r="AQ55" s="32" t="e">
        <f t="shared" ca="1" si="34"/>
        <v>#VALUE!</v>
      </c>
    </row>
    <row r="56" spans="1:43" ht="10.15" customHeight="1" outlineLevel="1">
      <c r="A56" s="33"/>
      <c r="B56" s="31" t="s">
        <v>74</v>
      </c>
      <c r="C56" s="32" t="e">
        <f t="shared" ref="C56:AQ56" ca="1" si="35">EBlackScholesForward($FA$3,C$20,$A$55,C$22,$C$6,$C$6,$C$7,C$21)</f>
        <v>#VALUE!</v>
      </c>
      <c r="D56" s="32" t="e">
        <f t="shared" ca="1" si="35"/>
        <v>#VALUE!</v>
      </c>
      <c r="E56" s="32" t="e">
        <f t="shared" ca="1" si="35"/>
        <v>#VALUE!</v>
      </c>
      <c r="F56" s="32" t="e">
        <f t="shared" ca="1" si="35"/>
        <v>#VALUE!</v>
      </c>
      <c r="G56" s="32" t="e">
        <f t="shared" ca="1" si="35"/>
        <v>#VALUE!</v>
      </c>
      <c r="H56" s="32" t="e">
        <f t="shared" ca="1" si="35"/>
        <v>#VALUE!</v>
      </c>
      <c r="I56" s="32" t="e">
        <f t="shared" ca="1" si="35"/>
        <v>#VALUE!</v>
      </c>
      <c r="J56" s="32" t="e">
        <f t="shared" ca="1" si="35"/>
        <v>#VALUE!</v>
      </c>
      <c r="K56" s="32" t="e">
        <f t="shared" ca="1" si="35"/>
        <v>#VALUE!</v>
      </c>
      <c r="L56" s="32" t="e">
        <f t="shared" ca="1" si="35"/>
        <v>#VALUE!</v>
      </c>
      <c r="M56" s="32" t="e">
        <f t="shared" ca="1" si="35"/>
        <v>#VALUE!</v>
      </c>
      <c r="N56" s="32" t="e">
        <f t="shared" ca="1" si="35"/>
        <v>#VALUE!</v>
      </c>
      <c r="O56" s="32" t="e">
        <f t="shared" ca="1" si="35"/>
        <v>#VALUE!</v>
      </c>
      <c r="P56" s="32" t="e">
        <f t="shared" ca="1" si="35"/>
        <v>#VALUE!</v>
      </c>
      <c r="Q56" s="32" t="e">
        <f t="shared" ca="1" si="35"/>
        <v>#VALUE!</v>
      </c>
      <c r="R56" s="32" t="e">
        <f t="shared" ca="1" si="35"/>
        <v>#VALUE!</v>
      </c>
      <c r="S56" s="32" t="e">
        <f t="shared" ca="1" si="35"/>
        <v>#VALUE!</v>
      </c>
      <c r="T56" s="32" t="e">
        <f t="shared" ca="1" si="35"/>
        <v>#VALUE!</v>
      </c>
      <c r="U56" s="32" t="e">
        <f t="shared" ca="1" si="35"/>
        <v>#VALUE!</v>
      </c>
      <c r="V56" s="32" t="e">
        <f t="shared" ca="1" si="35"/>
        <v>#VALUE!</v>
      </c>
      <c r="W56" s="76" t="e">
        <f t="shared" ca="1" si="35"/>
        <v>#VALUE!</v>
      </c>
      <c r="X56" s="32" t="e">
        <f t="shared" ca="1" si="35"/>
        <v>#VALUE!</v>
      </c>
      <c r="Y56" s="32" t="e">
        <f t="shared" ca="1" si="35"/>
        <v>#VALUE!</v>
      </c>
      <c r="Z56" s="32" t="e">
        <f t="shared" ca="1" si="35"/>
        <v>#VALUE!</v>
      </c>
      <c r="AA56" s="32" t="e">
        <f t="shared" ca="1" si="35"/>
        <v>#VALUE!</v>
      </c>
      <c r="AB56" s="32" t="e">
        <f t="shared" ca="1" si="35"/>
        <v>#VALUE!</v>
      </c>
      <c r="AC56" s="32" t="e">
        <f t="shared" ca="1" si="35"/>
        <v>#VALUE!</v>
      </c>
      <c r="AD56" s="32" t="e">
        <f t="shared" ca="1" si="35"/>
        <v>#VALUE!</v>
      </c>
      <c r="AE56" s="32" t="e">
        <f t="shared" ca="1" si="35"/>
        <v>#VALUE!</v>
      </c>
      <c r="AF56" s="32" t="e">
        <f t="shared" ca="1" si="35"/>
        <v>#VALUE!</v>
      </c>
      <c r="AG56" s="32" t="e">
        <f t="shared" ca="1" si="35"/>
        <v>#VALUE!</v>
      </c>
      <c r="AH56" s="32" t="e">
        <f t="shared" ca="1" si="35"/>
        <v>#VALUE!</v>
      </c>
      <c r="AI56" s="32" t="e">
        <f t="shared" ca="1" si="35"/>
        <v>#VALUE!</v>
      </c>
      <c r="AJ56" s="32" t="e">
        <f t="shared" ca="1" si="35"/>
        <v>#VALUE!</v>
      </c>
      <c r="AK56" s="32" t="e">
        <f t="shared" ca="1" si="35"/>
        <v>#VALUE!</v>
      </c>
      <c r="AL56" s="32" t="e">
        <f t="shared" ca="1" si="35"/>
        <v>#VALUE!</v>
      </c>
      <c r="AM56" s="32" t="e">
        <f t="shared" ca="1" si="35"/>
        <v>#VALUE!</v>
      </c>
      <c r="AN56" s="32" t="e">
        <f t="shared" ca="1" si="35"/>
        <v>#VALUE!</v>
      </c>
      <c r="AO56" s="32" t="e">
        <f t="shared" ca="1" si="35"/>
        <v>#VALUE!</v>
      </c>
      <c r="AP56" s="32" t="e">
        <f t="shared" ca="1" si="35"/>
        <v>#VALUE!</v>
      </c>
      <c r="AQ56" s="32" t="e">
        <f t="shared" ca="1" si="35"/>
        <v>#VALUE!</v>
      </c>
    </row>
    <row r="57" spans="1:43" ht="10.15" customHeight="1">
      <c r="A57" s="34">
        <f ca="1">A55+$C$12</f>
        <v>50.099999999999994</v>
      </c>
      <c r="B57" s="34" t="s">
        <v>71</v>
      </c>
      <c r="C57" s="35" t="e">
        <f t="shared" ref="C57:AQ57" ca="1" si="36">EBlackScholesForward("p",C$20,$A$57,C$22,$C$6,$C$6,$C$7,C$21)</f>
        <v>#VALUE!</v>
      </c>
      <c r="D57" s="35" t="e">
        <f t="shared" ca="1" si="36"/>
        <v>#VALUE!</v>
      </c>
      <c r="E57" s="35" t="e">
        <f t="shared" ca="1" si="36"/>
        <v>#VALUE!</v>
      </c>
      <c r="F57" s="35" t="e">
        <f t="shared" ca="1" si="36"/>
        <v>#VALUE!</v>
      </c>
      <c r="G57" s="35" t="e">
        <f t="shared" ca="1" si="36"/>
        <v>#VALUE!</v>
      </c>
      <c r="H57" s="35" t="e">
        <f t="shared" ca="1" si="36"/>
        <v>#VALUE!</v>
      </c>
      <c r="I57" s="35" t="e">
        <f t="shared" ca="1" si="36"/>
        <v>#VALUE!</v>
      </c>
      <c r="J57" s="35" t="e">
        <f t="shared" ca="1" si="36"/>
        <v>#VALUE!</v>
      </c>
      <c r="K57" s="35" t="e">
        <f t="shared" ca="1" si="36"/>
        <v>#VALUE!</v>
      </c>
      <c r="L57" s="35" t="e">
        <f t="shared" ca="1" si="36"/>
        <v>#VALUE!</v>
      </c>
      <c r="M57" s="35" t="e">
        <f t="shared" ca="1" si="36"/>
        <v>#VALUE!</v>
      </c>
      <c r="N57" s="35" t="e">
        <f t="shared" ca="1" si="36"/>
        <v>#VALUE!</v>
      </c>
      <c r="O57" s="35" t="e">
        <f t="shared" ca="1" si="36"/>
        <v>#VALUE!</v>
      </c>
      <c r="P57" s="35" t="e">
        <f t="shared" ca="1" si="36"/>
        <v>#VALUE!</v>
      </c>
      <c r="Q57" s="35" t="e">
        <f t="shared" ca="1" si="36"/>
        <v>#VALUE!</v>
      </c>
      <c r="R57" s="35" t="e">
        <f t="shared" ca="1" si="36"/>
        <v>#VALUE!</v>
      </c>
      <c r="S57" s="35" t="e">
        <f t="shared" ca="1" si="36"/>
        <v>#VALUE!</v>
      </c>
      <c r="T57" s="35" t="e">
        <f t="shared" ca="1" si="36"/>
        <v>#VALUE!</v>
      </c>
      <c r="U57" s="35" t="e">
        <f t="shared" ca="1" si="36"/>
        <v>#VALUE!</v>
      </c>
      <c r="V57" s="35" t="e">
        <f t="shared" ca="1" si="36"/>
        <v>#VALUE!</v>
      </c>
      <c r="W57" s="77" t="e">
        <f t="shared" ca="1" si="36"/>
        <v>#VALUE!</v>
      </c>
      <c r="X57" s="35" t="e">
        <f t="shared" ca="1" si="36"/>
        <v>#VALUE!</v>
      </c>
      <c r="Y57" s="35" t="e">
        <f t="shared" ca="1" si="36"/>
        <v>#VALUE!</v>
      </c>
      <c r="Z57" s="35" t="e">
        <f t="shared" ca="1" si="36"/>
        <v>#VALUE!</v>
      </c>
      <c r="AA57" s="35" t="e">
        <f t="shared" ca="1" si="36"/>
        <v>#VALUE!</v>
      </c>
      <c r="AB57" s="35" t="e">
        <f t="shared" ca="1" si="36"/>
        <v>#VALUE!</v>
      </c>
      <c r="AC57" s="35" t="e">
        <f t="shared" ca="1" si="36"/>
        <v>#VALUE!</v>
      </c>
      <c r="AD57" s="35" t="e">
        <f t="shared" ca="1" si="36"/>
        <v>#VALUE!</v>
      </c>
      <c r="AE57" s="35" t="e">
        <f t="shared" ca="1" si="36"/>
        <v>#VALUE!</v>
      </c>
      <c r="AF57" s="35" t="e">
        <f t="shared" ca="1" si="36"/>
        <v>#VALUE!</v>
      </c>
      <c r="AG57" s="35" t="e">
        <f t="shared" ca="1" si="36"/>
        <v>#VALUE!</v>
      </c>
      <c r="AH57" s="35" t="e">
        <f t="shared" ca="1" si="36"/>
        <v>#VALUE!</v>
      </c>
      <c r="AI57" s="35" t="e">
        <f t="shared" ca="1" si="36"/>
        <v>#VALUE!</v>
      </c>
      <c r="AJ57" s="35" t="e">
        <f t="shared" ca="1" si="36"/>
        <v>#VALUE!</v>
      </c>
      <c r="AK57" s="35" t="e">
        <f t="shared" ca="1" si="36"/>
        <v>#VALUE!</v>
      </c>
      <c r="AL57" s="35" t="e">
        <f t="shared" ca="1" si="36"/>
        <v>#VALUE!</v>
      </c>
      <c r="AM57" s="35" t="e">
        <f t="shared" ca="1" si="36"/>
        <v>#VALUE!</v>
      </c>
      <c r="AN57" s="35" t="e">
        <f t="shared" ca="1" si="36"/>
        <v>#VALUE!</v>
      </c>
      <c r="AO57" s="35" t="e">
        <f t="shared" ca="1" si="36"/>
        <v>#VALUE!</v>
      </c>
      <c r="AP57" s="35" t="e">
        <f t="shared" ca="1" si="36"/>
        <v>#VALUE!</v>
      </c>
      <c r="AQ57" s="35" t="e">
        <f t="shared" ca="1" si="36"/>
        <v>#VALUE!</v>
      </c>
    </row>
    <row r="58" spans="1:43" ht="10.15" customHeight="1" outlineLevel="1">
      <c r="A58" s="36"/>
      <c r="B58" s="34" t="s">
        <v>74</v>
      </c>
      <c r="C58" s="35" t="e">
        <f t="shared" ref="C58:AQ58" ca="1" si="37">EBlackScholesForward($FA$3,C$20,$A$57,C$22,$C$6,$C$6,$C$7,C$21)</f>
        <v>#VALUE!</v>
      </c>
      <c r="D58" s="35" t="e">
        <f t="shared" ca="1" si="37"/>
        <v>#VALUE!</v>
      </c>
      <c r="E58" s="35" t="e">
        <f t="shared" ca="1" si="37"/>
        <v>#VALUE!</v>
      </c>
      <c r="F58" s="35" t="e">
        <f t="shared" ca="1" si="37"/>
        <v>#VALUE!</v>
      </c>
      <c r="G58" s="35" t="e">
        <f t="shared" ca="1" si="37"/>
        <v>#VALUE!</v>
      </c>
      <c r="H58" s="35" t="e">
        <f t="shared" ca="1" si="37"/>
        <v>#VALUE!</v>
      </c>
      <c r="I58" s="35" t="e">
        <f t="shared" ca="1" si="37"/>
        <v>#VALUE!</v>
      </c>
      <c r="J58" s="35" t="e">
        <f t="shared" ca="1" si="37"/>
        <v>#VALUE!</v>
      </c>
      <c r="K58" s="35" t="e">
        <f t="shared" ca="1" si="37"/>
        <v>#VALUE!</v>
      </c>
      <c r="L58" s="35" t="e">
        <f t="shared" ca="1" si="37"/>
        <v>#VALUE!</v>
      </c>
      <c r="M58" s="35" t="e">
        <f t="shared" ca="1" si="37"/>
        <v>#VALUE!</v>
      </c>
      <c r="N58" s="35" t="e">
        <f t="shared" ca="1" si="37"/>
        <v>#VALUE!</v>
      </c>
      <c r="O58" s="35" t="e">
        <f t="shared" ca="1" si="37"/>
        <v>#VALUE!</v>
      </c>
      <c r="P58" s="35" t="e">
        <f t="shared" ca="1" si="37"/>
        <v>#VALUE!</v>
      </c>
      <c r="Q58" s="35" t="e">
        <f t="shared" ca="1" si="37"/>
        <v>#VALUE!</v>
      </c>
      <c r="R58" s="35" t="e">
        <f t="shared" ca="1" si="37"/>
        <v>#VALUE!</v>
      </c>
      <c r="S58" s="35" t="e">
        <f t="shared" ca="1" si="37"/>
        <v>#VALUE!</v>
      </c>
      <c r="T58" s="35" t="e">
        <f t="shared" ca="1" si="37"/>
        <v>#VALUE!</v>
      </c>
      <c r="U58" s="35" t="e">
        <f t="shared" ca="1" si="37"/>
        <v>#VALUE!</v>
      </c>
      <c r="V58" s="35" t="e">
        <f t="shared" ca="1" si="37"/>
        <v>#VALUE!</v>
      </c>
      <c r="W58" s="77" t="e">
        <f t="shared" ca="1" si="37"/>
        <v>#VALUE!</v>
      </c>
      <c r="X58" s="35" t="e">
        <f t="shared" ca="1" si="37"/>
        <v>#VALUE!</v>
      </c>
      <c r="Y58" s="35" t="e">
        <f t="shared" ca="1" si="37"/>
        <v>#VALUE!</v>
      </c>
      <c r="Z58" s="35" t="e">
        <f t="shared" ca="1" si="37"/>
        <v>#VALUE!</v>
      </c>
      <c r="AA58" s="35" t="e">
        <f t="shared" ca="1" si="37"/>
        <v>#VALUE!</v>
      </c>
      <c r="AB58" s="35" t="e">
        <f t="shared" ca="1" si="37"/>
        <v>#VALUE!</v>
      </c>
      <c r="AC58" s="35" t="e">
        <f t="shared" ca="1" si="37"/>
        <v>#VALUE!</v>
      </c>
      <c r="AD58" s="35" t="e">
        <f t="shared" ca="1" si="37"/>
        <v>#VALUE!</v>
      </c>
      <c r="AE58" s="35" t="e">
        <f t="shared" ca="1" si="37"/>
        <v>#VALUE!</v>
      </c>
      <c r="AF58" s="35" t="e">
        <f t="shared" ca="1" si="37"/>
        <v>#VALUE!</v>
      </c>
      <c r="AG58" s="35" t="e">
        <f t="shared" ca="1" si="37"/>
        <v>#VALUE!</v>
      </c>
      <c r="AH58" s="35" t="e">
        <f t="shared" ca="1" si="37"/>
        <v>#VALUE!</v>
      </c>
      <c r="AI58" s="35" t="e">
        <f t="shared" ca="1" si="37"/>
        <v>#VALUE!</v>
      </c>
      <c r="AJ58" s="35" t="e">
        <f t="shared" ca="1" si="37"/>
        <v>#VALUE!</v>
      </c>
      <c r="AK58" s="35" t="e">
        <f t="shared" ca="1" si="37"/>
        <v>#VALUE!</v>
      </c>
      <c r="AL58" s="35" t="e">
        <f t="shared" ca="1" si="37"/>
        <v>#VALUE!</v>
      </c>
      <c r="AM58" s="35" t="e">
        <f t="shared" ca="1" si="37"/>
        <v>#VALUE!</v>
      </c>
      <c r="AN58" s="35" t="e">
        <f t="shared" ca="1" si="37"/>
        <v>#VALUE!</v>
      </c>
      <c r="AO58" s="35" t="e">
        <f t="shared" ca="1" si="37"/>
        <v>#VALUE!</v>
      </c>
      <c r="AP58" s="35" t="e">
        <f t="shared" ca="1" si="37"/>
        <v>#VALUE!</v>
      </c>
      <c r="AQ58" s="35" t="e">
        <f t="shared" ca="1" si="37"/>
        <v>#VALUE!</v>
      </c>
    </row>
    <row r="59" spans="1:43" ht="10.15" customHeight="1">
      <c r="A59" s="31">
        <f ca="1">A57+$C$12</f>
        <v>50.149999999999991</v>
      </c>
      <c r="B59" s="31" t="s">
        <v>71</v>
      </c>
      <c r="C59" s="32" t="e">
        <f t="shared" ref="C59:AQ59" ca="1" si="38">EBlackScholesForward("p",C$20,$A$59,C$22,$C$6,$C$6,$C$7,C$21)</f>
        <v>#VALUE!</v>
      </c>
      <c r="D59" s="32" t="e">
        <f t="shared" ca="1" si="38"/>
        <v>#VALUE!</v>
      </c>
      <c r="E59" s="32" t="e">
        <f t="shared" ca="1" si="38"/>
        <v>#VALUE!</v>
      </c>
      <c r="F59" s="32" t="e">
        <f t="shared" ca="1" si="38"/>
        <v>#VALUE!</v>
      </c>
      <c r="G59" s="32" t="e">
        <f t="shared" ca="1" si="38"/>
        <v>#VALUE!</v>
      </c>
      <c r="H59" s="32" t="e">
        <f t="shared" ca="1" si="38"/>
        <v>#VALUE!</v>
      </c>
      <c r="I59" s="32" t="e">
        <f t="shared" ca="1" si="38"/>
        <v>#VALUE!</v>
      </c>
      <c r="J59" s="32" t="e">
        <f t="shared" ca="1" si="38"/>
        <v>#VALUE!</v>
      </c>
      <c r="K59" s="32" t="e">
        <f t="shared" ca="1" si="38"/>
        <v>#VALUE!</v>
      </c>
      <c r="L59" s="32" t="e">
        <f t="shared" ca="1" si="38"/>
        <v>#VALUE!</v>
      </c>
      <c r="M59" s="32" t="e">
        <f t="shared" ca="1" si="38"/>
        <v>#VALUE!</v>
      </c>
      <c r="N59" s="32" t="e">
        <f t="shared" ca="1" si="38"/>
        <v>#VALUE!</v>
      </c>
      <c r="O59" s="32" t="e">
        <f t="shared" ca="1" si="38"/>
        <v>#VALUE!</v>
      </c>
      <c r="P59" s="32" t="e">
        <f t="shared" ca="1" si="38"/>
        <v>#VALUE!</v>
      </c>
      <c r="Q59" s="32" t="e">
        <f t="shared" ca="1" si="38"/>
        <v>#VALUE!</v>
      </c>
      <c r="R59" s="32" t="e">
        <f t="shared" ca="1" si="38"/>
        <v>#VALUE!</v>
      </c>
      <c r="S59" s="32" t="e">
        <f t="shared" ca="1" si="38"/>
        <v>#VALUE!</v>
      </c>
      <c r="T59" s="32" t="e">
        <f t="shared" ca="1" si="38"/>
        <v>#VALUE!</v>
      </c>
      <c r="U59" s="32" t="e">
        <f t="shared" ca="1" si="38"/>
        <v>#VALUE!</v>
      </c>
      <c r="V59" s="32" t="e">
        <f t="shared" ca="1" si="38"/>
        <v>#VALUE!</v>
      </c>
      <c r="W59" s="76" t="e">
        <f t="shared" ca="1" si="38"/>
        <v>#VALUE!</v>
      </c>
      <c r="X59" s="32" t="e">
        <f t="shared" ca="1" si="38"/>
        <v>#VALUE!</v>
      </c>
      <c r="Y59" s="32" t="e">
        <f t="shared" ca="1" si="38"/>
        <v>#VALUE!</v>
      </c>
      <c r="Z59" s="32" t="e">
        <f t="shared" ca="1" si="38"/>
        <v>#VALUE!</v>
      </c>
      <c r="AA59" s="32" t="e">
        <f t="shared" ca="1" si="38"/>
        <v>#VALUE!</v>
      </c>
      <c r="AB59" s="32" t="e">
        <f t="shared" ca="1" si="38"/>
        <v>#VALUE!</v>
      </c>
      <c r="AC59" s="32" t="e">
        <f t="shared" ca="1" si="38"/>
        <v>#VALUE!</v>
      </c>
      <c r="AD59" s="32" t="e">
        <f t="shared" ca="1" si="38"/>
        <v>#VALUE!</v>
      </c>
      <c r="AE59" s="32" t="e">
        <f t="shared" ca="1" si="38"/>
        <v>#VALUE!</v>
      </c>
      <c r="AF59" s="32" t="e">
        <f t="shared" ca="1" si="38"/>
        <v>#VALUE!</v>
      </c>
      <c r="AG59" s="32" t="e">
        <f t="shared" ca="1" si="38"/>
        <v>#VALUE!</v>
      </c>
      <c r="AH59" s="32" t="e">
        <f t="shared" ca="1" si="38"/>
        <v>#VALUE!</v>
      </c>
      <c r="AI59" s="32" t="e">
        <f t="shared" ca="1" si="38"/>
        <v>#VALUE!</v>
      </c>
      <c r="AJ59" s="32" t="e">
        <f t="shared" ca="1" si="38"/>
        <v>#VALUE!</v>
      </c>
      <c r="AK59" s="32" t="e">
        <f t="shared" ca="1" si="38"/>
        <v>#VALUE!</v>
      </c>
      <c r="AL59" s="32" t="e">
        <f t="shared" ca="1" si="38"/>
        <v>#VALUE!</v>
      </c>
      <c r="AM59" s="32" t="e">
        <f t="shared" ca="1" si="38"/>
        <v>#VALUE!</v>
      </c>
      <c r="AN59" s="32" t="e">
        <f t="shared" ca="1" si="38"/>
        <v>#VALUE!</v>
      </c>
      <c r="AO59" s="32" t="e">
        <f t="shared" ca="1" si="38"/>
        <v>#VALUE!</v>
      </c>
      <c r="AP59" s="32" t="e">
        <f t="shared" ca="1" si="38"/>
        <v>#VALUE!</v>
      </c>
      <c r="AQ59" s="32" t="e">
        <f t="shared" ca="1" si="38"/>
        <v>#VALUE!</v>
      </c>
    </row>
    <row r="60" spans="1:43" ht="10.15" customHeight="1" outlineLevel="1">
      <c r="A60" s="33"/>
      <c r="B60" s="31" t="s">
        <v>74</v>
      </c>
      <c r="C60" s="32" t="e">
        <f t="shared" ref="C60:AQ60" ca="1" si="39">EBlackScholesForward($FA$3,C$20,$A$59,C$22,$C$6,$C$6,$C$7,C$21)</f>
        <v>#VALUE!</v>
      </c>
      <c r="D60" s="32" t="e">
        <f t="shared" ca="1" si="39"/>
        <v>#VALUE!</v>
      </c>
      <c r="E60" s="32" t="e">
        <f t="shared" ca="1" si="39"/>
        <v>#VALUE!</v>
      </c>
      <c r="F60" s="32" t="e">
        <f t="shared" ca="1" si="39"/>
        <v>#VALUE!</v>
      </c>
      <c r="G60" s="32" t="e">
        <f t="shared" ca="1" si="39"/>
        <v>#VALUE!</v>
      </c>
      <c r="H60" s="32" t="e">
        <f t="shared" ca="1" si="39"/>
        <v>#VALUE!</v>
      </c>
      <c r="I60" s="32" t="e">
        <f t="shared" ca="1" si="39"/>
        <v>#VALUE!</v>
      </c>
      <c r="J60" s="32" t="e">
        <f t="shared" ca="1" si="39"/>
        <v>#VALUE!</v>
      </c>
      <c r="K60" s="32" t="e">
        <f t="shared" ca="1" si="39"/>
        <v>#VALUE!</v>
      </c>
      <c r="L60" s="32" t="e">
        <f t="shared" ca="1" si="39"/>
        <v>#VALUE!</v>
      </c>
      <c r="M60" s="32" t="e">
        <f t="shared" ca="1" si="39"/>
        <v>#VALUE!</v>
      </c>
      <c r="N60" s="32" t="e">
        <f t="shared" ca="1" si="39"/>
        <v>#VALUE!</v>
      </c>
      <c r="O60" s="32" t="e">
        <f t="shared" ca="1" si="39"/>
        <v>#VALUE!</v>
      </c>
      <c r="P60" s="32" t="e">
        <f t="shared" ca="1" si="39"/>
        <v>#VALUE!</v>
      </c>
      <c r="Q60" s="32" t="e">
        <f t="shared" ca="1" si="39"/>
        <v>#VALUE!</v>
      </c>
      <c r="R60" s="32" t="e">
        <f t="shared" ca="1" si="39"/>
        <v>#VALUE!</v>
      </c>
      <c r="S60" s="32" t="e">
        <f t="shared" ca="1" si="39"/>
        <v>#VALUE!</v>
      </c>
      <c r="T60" s="32" t="e">
        <f t="shared" ca="1" si="39"/>
        <v>#VALUE!</v>
      </c>
      <c r="U60" s="32" t="e">
        <f t="shared" ca="1" si="39"/>
        <v>#VALUE!</v>
      </c>
      <c r="V60" s="32" t="e">
        <f t="shared" ca="1" si="39"/>
        <v>#VALUE!</v>
      </c>
      <c r="W60" s="76" t="e">
        <f t="shared" ca="1" si="39"/>
        <v>#VALUE!</v>
      </c>
      <c r="X60" s="32" t="e">
        <f t="shared" ca="1" si="39"/>
        <v>#VALUE!</v>
      </c>
      <c r="Y60" s="32" t="e">
        <f t="shared" ca="1" si="39"/>
        <v>#VALUE!</v>
      </c>
      <c r="Z60" s="32" t="e">
        <f t="shared" ca="1" si="39"/>
        <v>#VALUE!</v>
      </c>
      <c r="AA60" s="32" t="e">
        <f t="shared" ca="1" si="39"/>
        <v>#VALUE!</v>
      </c>
      <c r="AB60" s="32" t="e">
        <f t="shared" ca="1" si="39"/>
        <v>#VALUE!</v>
      </c>
      <c r="AC60" s="32" t="e">
        <f t="shared" ca="1" si="39"/>
        <v>#VALUE!</v>
      </c>
      <c r="AD60" s="32" t="e">
        <f t="shared" ca="1" si="39"/>
        <v>#VALUE!</v>
      </c>
      <c r="AE60" s="32" t="e">
        <f t="shared" ca="1" si="39"/>
        <v>#VALUE!</v>
      </c>
      <c r="AF60" s="32" t="e">
        <f t="shared" ca="1" si="39"/>
        <v>#VALUE!</v>
      </c>
      <c r="AG60" s="32" t="e">
        <f t="shared" ca="1" si="39"/>
        <v>#VALUE!</v>
      </c>
      <c r="AH60" s="32" t="e">
        <f t="shared" ca="1" si="39"/>
        <v>#VALUE!</v>
      </c>
      <c r="AI60" s="32" t="e">
        <f t="shared" ca="1" si="39"/>
        <v>#VALUE!</v>
      </c>
      <c r="AJ60" s="32" t="e">
        <f t="shared" ca="1" si="39"/>
        <v>#VALUE!</v>
      </c>
      <c r="AK60" s="32" t="e">
        <f t="shared" ca="1" si="39"/>
        <v>#VALUE!</v>
      </c>
      <c r="AL60" s="32" t="e">
        <f t="shared" ca="1" si="39"/>
        <v>#VALUE!</v>
      </c>
      <c r="AM60" s="32" t="e">
        <f t="shared" ca="1" si="39"/>
        <v>#VALUE!</v>
      </c>
      <c r="AN60" s="32" t="e">
        <f t="shared" ca="1" si="39"/>
        <v>#VALUE!</v>
      </c>
      <c r="AO60" s="32" t="e">
        <f t="shared" ca="1" si="39"/>
        <v>#VALUE!</v>
      </c>
      <c r="AP60" s="32" t="e">
        <f t="shared" ca="1" si="39"/>
        <v>#VALUE!</v>
      </c>
      <c r="AQ60" s="32" t="e">
        <f t="shared" ca="1" si="39"/>
        <v>#VALUE!</v>
      </c>
    </row>
    <row r="61" spans="1:43" ht="10.15" customHeight="1">
      <c r="A61" s="34">
        <f ca="1">A59+$C$12</f>
        <v>50.199999999999989</v>
      </c>
      <c r="B61" s="34" t="s">
        <v>71</v>
      </c>
      <c r="C61" s="35" t="e">
        <f t="shared" ref="C61:AQ61" ca="1" si="40">EBlackScholesForward("p",C$20,$A$61,C$22,$C$6,$C$6,$C$7,C$21)</f>
        <v>#VALUE!</v>
      </c>
      <c r="D61" s="35" t="e">
        <f t="shared" ca="1" si="40"/>
        <v>#VALUE!</v>
      </c>
      <c r="E61" s="35" t="e">
        <f t="shared" ca="1" si="40"/>
        <v>#VALUE!</v>
      </c>
      <c r="F61" s="35" t="e">
        <f t="shared" ca="1" si="40"/>
        <v>#VALUE!</v>
      </c>
      <c r="G61" s="35" t="e">
        <f t="shared" ca="1" si="40"/>
        <v>#VALUE!</v>
      </c>
      <c r="H61" s="35" t="e">
        <f t="shared" ca="1" si="40"/>
        <v>#VALUE!</v>
      </c>
      <c r="I61" s="35" t="e">
        <f t="shared" ca="1" si="40"/>
        <v>#VALUE!</v>
      </c>
      <c r="J61" s="35" t="e">
        <f t="shared" ca="1" si="40"/>
        <v>#VALUE!</v>
      </c>
      <c r="K61" s="35" t="e">
        <f t="shared" ca="1" si="40"/>
        <v>#VALUE!</v>
      </c>
      <c r="L61" s="35" t="e">
        <f t="shared" ca="1" si="40"/>
        <v>#VALUE!</v>
      </c>
      <c r="M61" s="35" t="e">
        <f t="shared" ca="1" si="40"/>
        <v>#VALUE!</v>
      </c>
      <c r="N61" s="35" t="e">
        <f t="shared" ca="1" si="40"/>
        <v>#VALUE!</v>
      </c>
      <c r="O61" s="35" t="e">
        <f t="shared" ca="1" si="40"/>
        <v>#VALUE!</v>
      </c>
      <c r="P61" s="35" t="e">
        <f t="shared" ca="1" si="40"/>
        <v>#VALUE!</v>
      </c>
      <c r="Q61" s="35" t="e">
        <f t="shared" ca="1" si="40"/>
        <v>#VALUE!</v>
      </c>
      <c r="R61" s="35" t="e">
        <f t="shared" ca="1" si="40"/>
        <v>#VALUE!</v>
      </c>
      <c r="S61" s="35" t="e">
        <f t="shared" ca="1" si="40"/>
        <v>#VALUE!</v>
      </c>
      <c r="T61" s="35" t="e">
        <f t="shared" ca="1" si="40"/>
        <v>#VALUE!</v>
      </c>
      <c r="U61" s="35" t="e">
        <f t="shared" ca="1" si="40"/>
        <v>#VALUE!</v>
      </c>
      <c r="V61" s="35" t="e">
        <f t="shared" ca="1" si="40"/>
        <v>#VALUE!</v>
      </c>
      <c r="W61" s="77" t="e">
        <f t="shared" ca="1" si="40"/>
        <v>#VALUE!</v>
      </c>
      <c r="X61" s="35" t="e">
        <f t="shared" ca="1" si="40"/>
        <v>#VALUE!</v>
      </c>
      <c r="Y61" s="35" t="e">
        <f t="shared" ca="1" si="40"/>
        <v>#VALUE!</v>
      </c>
      <c r="Z61" s="35" t="e">
        <f t="shared" ca="1" si="40"/>
        <v>#VALUE!</v>
      </c>
      <c r="AA61" s="35" t="e">
        <f t="shared" ca="1" si="40"/>
        <v>#VALUE!</v>
      </c>
      <c r="AB61" s="35" t="e">
        <f t="shared" ca="1" si="40"/>
        <v>#VALUE!</v>
      </c>
      <c r="AC61" s="35" t="e">
        <f t="shared" ca="1" si="40"/>
        <v>#VALUE!</v>
      </c>
      <c r="AD61" s="35" t="e">
        <f t="shared" ca="1" si="40"/>
        <v>#VALUE!</v>
      </c>
      <c r="AE61" s="35" t="e">
        <f t="shared" ca="1" si="40"/>
        <v>#VALUE!</v>
      </c>
      <c r="AF61" s="35" t="e">
        <f t="shared" ca="1" si="40"/>
        <v>#VALUE!</v>
      </c>
      <c r="AG61" s="35" t="e">
        <f t="shared" ca="1" si="40"/>
        <v>#VALUE!</v>
      </c>
      <c r="AH61" s="35" t="e">
        <f t="shared" ca="1" si="40"/>
        <v>#VALUE!</v>
      </c>
      <c r="AI61" s="35" t="e">
        <f t="shared" ca="1" si="40"/>
        <v>#VALUE!</v>
      </c>
      <c r="AJ61" s="35" t="e">
        <f t="shared" ca="1" si="40"/>
        <v>#VALUE!</v>
      </c>
      <c r="AK61" s="35" t="e">
        <f t="shared" ca="1" si="40"/>
        <v>#VALUE!</v>
      </c>
      <c r="AL61" s="35" t="e">
        <f t="shared" ca="1" si="40"/>
        <v>#VALUE!</v>
      </c>
      <c r="AM61" s="35" t="e">
        <f t="shared" ca="1" si="40"/>
        <v>#VALUE!</v>
      </c>
      <c r="AN61" s="35" t="e">
        <f t="shared" ca="1" si="40"/>
        <v>#VALUE!</v>
      </c>
      <c r="AO61" s="35" t="e">
        <f t="shared" ca="1" si="40"/>
        <v>#VALUE!</v>
      </c>
      <c r="AP61" s="35" t="e">
        <f t="shared" ca="1" si="40"/>
        <v>#VALUE!</v>
      </c>
      <c r="AQ61" s="35" t="e">
        <f t="shared" ca="1" si="40"/>
        <v>#VALUE!</v>
      </c>
    </row>
    <row r="62" spans="1:43" ht="10.15" customHeight="1" outlineLevel="1">
      <c r="A62" s="36"/>
      <c r="B62" s="34" t="s">
        <v>74</v>
      </c>
      <c r="C62" s="35" t="e">
        <f t="shared" ref="C62:AQ62" ca="1" si="41">EBlackScholesForward($FA$3,C$20,$A$61,C$22,$C$6,$C$6,$C$7,C$21)</f>
        <v>#VALUE!</v>
      </c>
      <c r="D62" s="35" t="e">
        <f t="shared" ca="1" si="41"/>
        <v>#VALUE!</v>
      </c>
      <c r="E62" s="35" t="e">
        <f t="shared" ca="1" si="41"/>
        <v>#VALUE!</v>
      </c>
      <c r="F62" s="35" t="e">
        <f t="shared" ca="1" si="41"/>
        <v>#VALUE!</v>
      </c>
      <c r="G62" s="35" t="e">
        <f t="shared" ca="1" si="41"/>
        <v>#VALUE!</v>
      </c>
      <c r="H62" s="35" t="e">
        <f t="shared" ca="1" si="41"/>
        <v>#VALUE!</v>
      </c>
      <c r="I62" s="35" t="e">
        <f t="shared" ca="1" si="41"/>
        <v>#VALUE!</v>
      </c>
      <c r="J62" s="35" t="e">
        <f t="shared" ca="1" si="41"/>
        <v>#VALUE!</v>
      </c>
      <c r="K62" s="35" t="e">
        <f t="shared" ca="1" si="41"/>
        <v>#VALUE!</v>
      </c>
      <c r="L62" s="35" t="e">
        <f t="shared" ca="1" si="41"/>
        <v>#VALUE!</v>
      </c>
      <c r="M62" s="35" t="e">
        <f t="shared" ca="1" si="41"/>
        <v>#VALUE!</v>
      </c>
      <c r="N62" s="35" t="e">
        <f t="shared" ca="1" si="41"/>
        <v>#VALUE!</v>
      </c>
      <c r="O62" s="35" t="e">
        <f t="shared" ca="1" si="41"/>
        <v>#VALUE!</v>
      </c>
      <c r="P62" s="35" t="e">
        <f t="shared" ca="1" si="41"/>
        <v>#VALUE!</v>
      </c>
      <c r="Q62" s="35" t="e">
        <f t="shared" ca="1" si="41"/>
        <v>#VALUE!</v>
      </c>
      <c r="R62" s="35" t="e">
        <f t="shared" ca="1" si="41"/>
        <v>#VALUE!</v>
      </c>
      <c r="S62" s="35" t="e">
        <f t="shared" ca="1" si="41"/>
        <v>#VALUE!</v>
      </c>
      <c r="T62" s="35" t="e">
        <f t="shared" ca="1" si="41"/>
        <v>#VALUE!</v>
      </c>
      <c r="U62" s="35" t="e">
        <f t="shared" ca="1" si="41"/>
        <v>#VALUE!</v>
      </c>
      <c r="V62" s="35" t="e">
        <f t="shared" ca="1" si="41"/>
        <v>#VALUE!</v>
      </c>
      <c r="W62" s="77" t="e">
        <f t="shared" ca="1" si="41"/>
        <v>#VALUE!</v>
      </c>
      <c r="X62" s="35" t="e">
        <f t="shared" ca="1" si="41"/>
        <v>#VALUE!</v>
      </c>
      <c r="Y62" s="35" t="e">
        <f t="shared" ca="1" si="41"/>
        <v>#VALUE!</v>
      </c>
      <c r="Z62" s="35" t="e">
        <f t="shared" ca="1" si="41"/>
        <v>#VALUE!</v>
      </c>
      <c r="AA62" s="35" t="e">
        <f t="shared" ca="1" si="41"/>
        <v>#VALUE!</v>
      </c>
      <c r="AB62" s="35" t="e">
        <f t="shared" ca="1" si="41"/>
        <v>#VALUE!</v>
      </c>
      <c r="AC62" s="35" t="e">
        <f t="shared" ca="1" si="41"/>
        <v>#VALUE!</v>
      </c>
      <c r="AD62" s="35" t="e">
        <f t="shared" ca="1" si="41"/>
        <v>#VALUE!</v>
      </c>
      <c r="AE62" s="35" t="e">
        <f t="shared" ca="1" si="41"/>
        <v>#VALUE!</v>
      </c>
      <c r="AF62" s="35" t="e">
        <f t="shared" ca="1" si="41"/>
        <v>#VALUE!</v>
      </c>
      <c r="AG62" s="35" t="e">
        <f t="shared" ca="1" si="41"/>
        <v>#VALUE!</v>
      </c>
      <c r="AH62" s="35" t="e">
        <f t="shared" ca="1" si="41"/>
        <v>#VALUE!</v>
      </c>
      <c r="AI62" s="35" t="e">
        <f t="shared" ca="1" si="41"/>
        <v>#VALUE!</v>
      </c>
      <c r="AJ62" s="35" t="e">
        <f t="shared" ca="1" si="41"/>
        <v>#VALUE!</v>
      </c>
      <c r="AK62" s="35" t="e">
        <f t="shared" ca="1" si="41"/>
        <v>#VALUE!</v>
      </c>
      <c r="AL62" s="35" t="e">
        <f t="shared" ca="1" si="41"/>
        <v>#VALUE!</v>
      </c>
      <c r="AM62" s="35" t="e">
        <f t="shared" ca="1" si="41"/>
        <v>#VALUE!</v>
      </c>
      <c r="AN62" s="35" t="e">
        <f t="shared" ca="1" si="41"/>
        <v>#VALUE!</v>
      </c>
      <c r="AO62" s="35" t="e">
        <f t="shared" ca="1" si="41"/>
        <v>#VALUE!</v>
      </c>
      <c r="AP62" s="35" t="e">
        <f t="shared" ca="1" si="41"/>
        <v>#VALUE!</v>
      </c>
      <c r="AQ62" s="35" t="e">
        <f t="shared" ca="1" si="41"/>
        <v>#VALUE!</v>
      </c>
    </row>
    <row r="63" spans="1:43" ht="10.15" customHeight="1">
      <c r="A63" s="31">
        <f ca="1">A61+$C$12</f>
        <v>50.249999999999986</v>
      </c>
      <c r="B63" s="31" t="s">
        <v>71</v>
      </c>
      <c r="C63" s="32" t="e">
        <f t="shared" ref="C63:AQ63" ca="1" si="42">EBlackScholesForward("p",C$20,$A$63,C$22,$C$6,$C$6,$C$7,C$21)</f>
        <v>#VALUE!</v>
      </c>
      <c r="D63" s="32" t="e">
        <f t="shared" ca="1" si="42"/>
        <v>#VALUE!</v>
      </c>
      <c r="E63" s="32" t="e">
        <f t="shared" ca="1" si="42"/>
        <v>#VALUE!</v>
      </c>
      <c r="F63" s="32" t="e">
        <f t="shared" ca="1" si="42"/>
        <v>#VALUE!</v>
      </c>
      <c r="G63" s="32" t="e">
        <f t="shared" ca="1" si="42"/>
        <v>#VALUE!</v>
      </c>
      <c r="H63" s="32" t="e">
        <f t="shared" ca="1" si="42"/>
        <v>#VALUE!</v>
      </c>
      <c r="I63" s="32" t="e">
        <f t="shared" ca="1" si="42"/>
        <v>#VALUE!</v>
      </c>
      <c r="J63" s="32" t="e">
        <f t="shared" ca="1" si="42"/>
        <v>#VALUE!</v>
      </c>
      <c r="K63" s="32" t="e">
        <f t="shared" ca="1" si="42"/>
        <v>#VALUE!</v>
      </c>
      <c r="L63" s="32" t="e">
        <f t="shared" ca="1" si="42"/>
        <v>#VALUE!</v>
      </c>
      <c r="M63" s="32" t="e">
        <f t="shared" ca="1" si="42"/>
        <v>#VALUE!</v>
      </c>
      <c r="N63" s="32" t="e">
        <f t="shared" ca="1" si="42"/>
        <v>#VALUE!</v>
      </c>
      <c r="O63" s="32" t="e">
        <f t="shared" ca="1" si="42"/>
        <v>#VALUE!</v>
      </c>
      <c r="P63" s="32" t="e">
        <f t="shared" ca="1" si="42"/>
        <v>#VALUE!</v>
      </c>
      <c r="Q63" s="32" t="e">
        <f t="shared" ca="1" si="42"/>
        <v>#VALUE!</v>
      </c>
      <c r="R63" s="32" t="e">
        <f t="shared" ca="1" si="42"/>
        <v>#VALUE!</v>
      </c>
      <c r="S63" s="32" t="e">
        <f t="shared" ca="1" si="42"/>
        <v>#VALUE!</v>
      </c>
      <c r="T63" s="32" t="e">
        <f t="shared" ca="1" si="42"/>
        <v>#VALUE!</v>
      </c>
      <c r="U63" s="32" t="e">
        <f t="shared" ca="1" si="42"/>
        <v>#VALUE!</v>
      </c>
      <c r="V63" s="32" t="e">
        <f t="shared" ca="1" si="42"/>
        <v>#VALUE!</v>
      </c>
      <c r="W63" s="76" t="e">
        <f t="shared" ca="1" si="42"/>
        <v>#VALUE!</v>
      </c>
      <c r="X63" s="32" t="e">
        <f t="shared" ca="1" si="42"/>
        <v>#VALUE!</v>
      </c>
      <c r="Y63" s="32" t="e">
        <f t="shared" ca="1" si="42"/>
        <v>#VALUE!</v>
      </c>
      <c r="Z63" s="32" t="e">
        <f t="shared" ca="1" si="42"/>
        <v>#VALUE!</v>
      </c>
      <c r="AA63" s="32" t="e">
        <f t="shared" ca="1" si="42"/>
        <v>#VALUE!</v>
      </c>
      <c r="AB63" s="32" t="e">
        <f t="shared" ca="1" si="42"/>
        <v>#VALUE!</v>
      </c>
      <c r="AC63" s="32" t="e">
        <f t="shared" ca="1" si="42"/>
        <v>#VALUE!</v>
      </c>
      <c r="AD63" s="32" t="e">
        <f t="shared" ca="1" si="42"/>
        <v>#VALUE!</v>
      </c>
      <c r="AE63" s="32" t="e">
        <f t="shared" ca="1" si="42"/>
        <v>#VALUE!</v>
      </c>
      <c r="AF63" s="32" t="e">
        <f t="shared" ca="1" si="42"/>
        <v>#VALUE!</v>
      </c>
      <c r="AG63" s="32" t="e">
        <f t="shared" ca="1" si="42"/>
        <v>#VALUE!</v>
      </c>
      <c r="AH63" s="32" t="e">
        <f t="shared" ca="1" si="42"/>
        <v>#VALUE!</v>
      </c>
      <c r="AI63" s="32" t="e">
        <f t="shared" ca="1" si="42"/>
        <v>#VALUE!</v>
      </c>
      <c r="AJ63" s="32" t="e">
        <f t="shared" ca="1" si="42"/>
        <v>#VALUE!</v>
      </c>
      <c r="AK63" s="32" t="e">
        <f t="shared" ca="1" si="42"/>
        <v>#VALUE!</v>
      </c>
      <c r="AL63" s="32" t="e">
        <f t="shared" ca="1" si="42"/>
        <v>#VALUE!</v>
      </c>
      <c r="AM63" s="32" t="e">
        <f t="shared" ca="1" si="42"/>
        <v>#VALUE!</v>
      </c>
      <c r="AN63" s="32" t="e">
        <f t="shared" ca="1" si="42"/>
        <v>#VALUE!</v>
      </c>
      <c r="AO63" s="32" t="e">
        <f t="shared" ca="1" si="42"/>
        <v>#VALUE!</v>
      </c>
      <c r="AP63" s="32" t="e">
        <f t="shared" ca="1" si="42"/>
        <v>#VALUE!</v>
      </c>
      <c r="AQ63" s="32" t="e">
        <f t="shared" ca="1" si="42"/>
        <v>#VALUE!</v>
      </c>
    </row>
    <row r="64" spans="1:43" ht="10.15" customHeight="1" outlineLevel="1">
      <c r="A64" s="33"/>
      <c r="B64" s="31" t="s">
        <v>74</v>
      </c>
      <c r="C64" s="32" t="e">
        <f t="shared" ref="C64:AQ64" ca="1" si="43">EBlackScholesForward($FA$3,C$20,$A$63,C$22,$C$6,$C$6,$C$7,C$21)</f>
        <v>#VALUE!</v>
      </c>
      <c r="D64" s="32" t="e">
        <f t="shared" ca="1" si="43"/>
        <v>#VALUE!</v>
      </c>
      <c r="E64" s="32" t="e">
        <f t="shared" ca="1" si="43"/>
        <v>#VALUE!</v>
      </c>
      <c r="F64" s="32" t="e">
        <f t="shared" ca="1" si="43"/>
        <v>#VALUE!</v>
      </c>
      <c r="G64" s="32" t="e">
        <f t="shared" ca="1" si="43"/>
        <v>#VALUE!</v>
      </c>
      <c r="H64" s="32" t="e">
        <f t="shared" ca="1" si="43"/>
        <v>#VALUE!</v>
      </c>
      <c r="I64" s="32" t="e">
        <f t="shared" ca="1" si="43"/>
        <v>#VALUE!</v>
      </c>
      <c r="J64" s="32" t="e">
        <f t="shared" ca="1" si="43"/>
        <v>#VALUE!</v>
      </c>
      <c r="K64" s="32" t="e">
        <f t="shared" ca="1" si="43"/>
        <v>#VALUE!</v>
      </c>
      <c r="L64" s="32" t="e">
        <f t="shared" ca="1" si="43"/>
        <v>#VALUE!</v>
      </c>
      <c r="M64" s="32" t="e">
        <f t="shared" ca="1" si="43"/>
        <v>#VALUE!</v>
      </c>
      <c r="N64" s="32" t="e">
        <f t="shared" ca="1" si="43"/>
        <v>#VALUE!</v>
      </c>
      <c r="O64" s="32" t="e">
        <f t="shared" ca="1" si="43"/>
        <v>#VALUE!</v>
      </c>
      <c r="P64" s="32" t="e">
        <f t="shared" ca="1" si="43"/>
        <v>#VALUE!</v>
      </c>
      <c r="Q64" s="32" t="e">
        <f t="shared" ca="1" si="43"/>
        <v>#VALUE!</v>
      </c>
      <c r="R64" s="32" t="e">
        <f t="shared" ca="1" si="43"/>
        <v>#VALUE!</v>
      </c>
      <c r="S64" s="32" t="e">
        <f t="shared" ca="1" si="43"/>
        <v>#VALUE!</v>
      </c>
      <c r="T64" s="32" t="e">
        <f t="shared" ca="1" si="43"/>
        <v>#VALUE!</v>
      </c>
      <c r="U64" s="32" t="e">
        <f t="shared" ca="1" si="43"/>
        <v>#VALUE!</v>
      </c>
      <c r="V64" s="32" t="e">
        <f t="shared" ca="1" si="43"/>
        <v>#VALUE!</v>
      </c>
      <c r="W64" s="76" t="e">
        <f t="shared" ca="1" si="43"/>
        <v>#VALUE!</v>
      </c>
      <c r="X64" s="32" t="e">
        <f t="shared" ca="1" si="43"/>
        <v>#VALUE!</v>
      </c>
      <c r="Y64" s="32" t="e">
        <f t="shared" ca="1" si="43"/>
        <v>#VALUE!</v>
      </c>
      <c r="Z64" s="32" t="e">
        <f t="shared" ca="1" si="43"/>
        <v>#VALUE!</v>
      </c>
      <c r="AA64" s="32" t="e">
        <f t="shared" ca="1" si="43"/>
        <v>#VALUE!</v>
      </c>
      <c r="AB64" s="32" t="e">
        <f t="shared" ca="1" si="43"/>
        <v>#VALUE!</v>
      </c>
      <c r="AC64" s="32" t="e">
        <f t="shared" ca="1" si="43"/>
        <v>#VALUE!</v>
      </c>
      <c r="AD64" s="32" t="e">
        <f t="shared" ca="1" si="43"/>
        <v>#VALUE!</v>
      </c>
      <c r="AE64" s="32" t="e">
        <f t="shared" ca="1" si="43"/>
        <v>#VALUE!</v>
      </c>
      <c r="AF64" s="32" t="e">
        <f t="shared" ca="1" si="43"/>
        <v>#VALUE!</v>
      </c>
      <c r="AG64" s="32" t="e">
        <f t="shared" ca="1" si="43"/>
        <v>#VALUE!</v>
      </c>
      <c r="AH64" s="32" t="e">
        <f t="shared" ca="1" si="43"/>
        <v>#VALUE!</v>
      </c>
      <c r="AI64" s="32" t="e">
        <f t="shared" ca="1" si="43"/>
        <v>#VALUE!</v>
      </c>
      <c r="AJ64" s="32" t="e">
        <f t="shared" ca="1" si="43"/>
        <v>#VALUE!</v>
      </c>
      <c r="AK64" s="32" t="e">
        <f t="shared" ca="1" si="43"/>
        <v>#VALUE!</v>
      </c>
      <c r="AL64" s="32" t="e">
        <f t="shared" ca="1" si="43"/>
        <v>#VALUE!</v>
      </c>
      <c r="AM64" s="32" t="e">
        <f t="shared" ca="1" si="43"/>
        <v>#VALUE!</v>
      </c>
      <c r="AN64" s="32" t="e">
        <f t="shared" ca="1" si="43"/>
        <v>#VALUE!</v>
      </c>
      <c r="AO64" s="32" t="e">
        <f t="shared" ca="1" si="43"/>
        <v>#VALUE!</v>
      </c>
      <c r="AP64" s="32" t="e">
        <f t="shared" ca="1" si="43"/>
        <v>#VALUE!</v>
      </c>
      <c r="AQ64" s="32" t="e">
        <f t="shared" ca="1" si="43"/>
        <v>#VALUE!</v>
      </c>
    </row>
    <row r="65" spans="1:43" ht="10.15" customHeight="1">
      <c r="A65" s="34">
        <f ca="1">A63+$C$12</f>
        <v>50.299999999999983</v>
      </c>
      <c r="B65" s="34" t="s">
        <v>71</v>
      </c>
      <c r="C65" s="35" t="e">
        <f t="shared" ref="C65:AQ65" ca="1" si="44">EBlackScholesForward("p",C$20,$A$65,C$22,$C$6,$C$6,$C$7,C$21)</f>
        <v>#VALUE!</v>
      </c>
      <c r="D65" s="35" t="e">
        <f t="shared" ca="1" si="44"/>
        <v>#VALUE!</v>
      </c>
      <c r="E65" s="35" t="e">
        <f t="shared" ca="1" si="44"/>
        <v>#VALUE!</v>
      </c>
      <c r="F65" s="35" t="e">
        <f t="shared" ca="1" si="44"/>
        <v>#VALUE!</v>
      </c>
      <c r="G65" s="35" t="e">
        <f t="shared" ca="1" si="44"/>
        <v>#VALUE!</v>
      </c>
      <c r="H65" s="35" t="e">
        <f t="shared" ca="1" si="44"/>
        <v>#VALUE!</v>
      </c>
      <c r="I65" s="35" t="e">
        <f t="shared" ca="1" si="44"/>
        <v>#VALUE!</v>
      </c>
      <c r="J65" s="35" t="e">
        <f t="shared" ca="1" si="44"/>
        <v>#VALUE!</v>
      </c>
      <c r="K65" s="35" t="e">
        <f t="shared" ca="1" si="44"/>
        <v>#VALUE!</v>
      </c>
      <c r="L65" s="35" t="e">
        <f t="shared" ca="1" si="44"/>
        <v>#VALUE!</v>
      </c>
      <c r="M65" s="35" t="e">
        <f t="shared" ca="1" si="44"/>
        <v>#VALUE!</v>
      </c>
      <c r="N65" s="35" t="e">
        <f t="shared" ca="1" si="44"/>
        <v>#VALUE!</v>
      </c>
      <c r="O65" s="35" t="e">
        <f t="shared" ca="1" si="44"/>
        <v>#VALUE!</v>
      </c>
      <c r="P65" s="35" t="e">
        <f t="shared" ca="1" si="44"/>
        <v>#VALUE!</v>
      </c>
      <c r="Q65" s="35" t="e">
        <f t="shared" ca="1" si="44"/>
        <v>#VALUE!</v>
      </c>
      <c r="R65" s="35" t="e">
        <f t="shared" ca="1" si="44"/>
        <v>#VALUE!</v>
      </c>
      <c r="S65" s="35" t="e">
        <f t="shared" ca="1" si="44"/>
        <v>#VALUE!</v>
      </c>
      <c r="T65" s="35" t="e">
        <f t="shared" ca="1" si="44"/>
        <v>#VALUE!</v>
      </c>
      <c r="U65" s="35" t="e">
        <f t="shared" ca="1" si="44"/>
        <v>#VALUE!</v>
      </c>
      <c r="V65" s="35" t="e">
        <f t="shared" ca="1" si="44"/>
        <v>#VALUE!</v>
      </c>
      <c r="W65" s="77" t="e">
        <f t="shared" ca="1" si="44"/>
        <v>#VALUE!</v>
      </c>
      <c r="X65" s="35" t="e">
        <f t="shared" ca="1" si="44"/>
        <v>#VALUE!</v>
      </c>
      <c r="Y65" s="35" t="e">
        <f t="shared" ca="1" si="44"/>
        <v>#VALUE!</v>
      </c>
      <c r="Z65" s="35" t="e">
        <f t="shared" ca="1" si="44"/>
        <v>#VALUE!</v>
      </c>
      <c r="AA65" s="35" t="e">
        <f t="shared" ca="1" si="44"/>
        <v>#VALUE!</v>
      </c>
      <c r="AB65" s="35" t="e">
        <f t="shared" ca="1" si="44"/>
        <v>#VALUE!</v>
      </c>
      <c r="AC65" s="35" t="e">
        <f t="shared" ca="1" si="44"/>
        <v>#VALUE!</v>
      </c>
      <c r="AD65" s="35" t="e">
        <f t="shared" ca="1" si="44"/>
        <v>#VALUE!</v>
      </c>
      <c r="AE65" s="35" t="e">
        <f t="shared" ca="1" si="44"/>
        <v>#VALUE!</v>
      </c>
      <c r="AF65" s="35" t="e">
        <f t="shared" ca="1" si="44"/>
        <v>#VALUE!</v>
      </c>
      <c r="AG65" s="35" t="e">
        <f t="shared" ca="1" si="44"/>
        <v>#VALUE!</v>
      </c>
      <c r="AH65" s="35" t="e">
        <f t="shared" ca="1" si="44"/>
        <v>#VALUE!</v>
      </c>
      <c r="AI65" s="35" t="e">
        <f t="shared" ca="1" si="44"/>
        <v>#VALUE!</v>
      </c>
      <c r="AJ65" s="35" t="e">
        <f t="shared" ca="1" si="44"/>
        <v>#VALUE!</v>
      </c>
      <c r="AK65" s="35" t="e">
        <f t="shared" ca="1" si="44"/>
        <v>#VALUE!</v>
      </c>
      <c r="AL65" s="35" t="e">
        <f t="shared" ca="1" si="44"/>
        <v>#VALUE!</v>
      </c>
      <c r="AM65" s="35" t="e">
        <f t="shared" ca="1" si="44"/>
        <v>#VALUE!</v>
      </c>
      <c r="AN65" s="35" t="e">
        <f t="shared" ca="1" si="44"/>
        <v>#VALUE!</v>
      </c>
      <c r="AO65" s="35" t="e">
        <f t="shared" ca="1" si="44"/>
        <v>#VALUE!</v>
      </c>
      <c r="AP65" s="35" t="e">
        <f t="shared" ca="1" si="44"/>
        <v>#VALUE!</v>
      </c>
      <c r="AQ65" s="35" t="e">
        <f t="shared" ca="1" si="44"/>
        <v>#VALUE!</v>
      </c>
    </row>
    <row r="66" spans="1:43" ht="10.15" customHeight="1" outlineLevel="1">
      <c r="A66" s="36"/>
      <c r="B66" s="34" t="s">
        <v>74</v>
      </c>
      <c r="C66" s="35" t="e">
        <f ca="1">EBlackScholesForward("d",C$20,$A$65,C$22,$C$6,$C$6,$C$7,C$21)</f>
        <v>#VALUE!</v>
      </c>
      <c r="D66" s="35" t="e">
        <f t="shared" ref="D66:AQ66" ca="1" si="45">EBlackScholesForward($FA$3,D$20,$A$65,D$22,$C$6,$C$6,$C$7,D$21)</f>
        <v>#VALUE!</v>
      </c>
      <c r="E66" s="35" t="e">
        <f t="shared" ca="1" si="45"/>
        <v>#VALUE!</v>
      </c>
      <c r="F66" s="35" t="e">
        <f t="shared" ca="1" si="45"/>
        <v>#VALUE!</v>
      </c>
      <c r="G66" s="35" t="e">
        <f t="shared" ca="1" si="45"/>
        <v>#VALUE!</v>
      </c>
      <c r="H66" s="35" t="e">
        <f t="shared" ca="1" si="45"/>
        <v>#VALUE!</v>
      </c>
      <c r="I66" s="35" t="e">
        <f t="shared" ca="1" si="45"/>
        <v>#VALUE!</v>
      </c>
      <c r="J66" s="35" t="e">
        <f t="shared" ca="1" si="45"/>
        <v>#VALUE!</v>
      </c>
      <c r="K66" s="35" t="e">
        <f t="shared" ca="1" si="45"/>
        <v>#VALUE!</v>
      </c>
      <c r="L66" s="35" t="e">
        <f t="shared" ca="1" si="45"/>
        <v>#VALUE!</v>
      </c>
      <c r="M66" s="35" t="e">
        <f t="shared" ca="1" si="45"/>
        <v>#VALUE!</v>
      </c>
      <c r="N66" s="35" t="e">
        <f t="shared" ca="1" si="45"/>
        <v>#VALUE!</v>
      </c>
      <c r="O66" s="35" t="e">
        <f t="shared" ca="1" si="45"/>
        <v>#VALUE!</v>
      </c>
      <c r="P66" s="35" t="e">
        <f t="shared" ca="1" si="45"/>
        <v>#VALUE!</v>
      </c>
      <c r="Q66" s="35" t="e">
        <f t="shared" ca="1" si="45"/>
        <v>#VALUE!</v>
      </c>
      <c r="R66" s="35" t="e">
        <f t="shared" ca="1" si="45"/>
        <v>#VALUE!</v>
      </c>
      <c r="S66" s="35" t="e">
        <f t="shared" ca="1" si="45"/>
        <v>#VALUE!</v>
      </c>
      <c r="T66" s="35" t="e">
        <f t="shared" ca="1" si="45"/>
        <v>#VALUE!</v>
      </c>
      <c r="U66" s="35" t="e">
        <f t="shared" ca="1" si="45"/>
        <v>#VALUE!</v>
      </c>
      <c r="V66" s="35" t="e">
        <f t="shared" ca="1" si="45"/>
        <v>#VALUE!</v>
      </c>
      <c r="W66" s="77" t="e">
        <f t="shared" ca="1" si="45"/>
        <v>#VALUE!</v>
      </c>
      <c r="X66" s="35" t="e">
        <f t="shared" ca="1" si="45"/>
        <v>#VALUE!</v>
      </c>
      <c r="Y66" s="35" t="e">
        <f t="shared" ca="1" si="45"/>
        <v>#VALUE!</v>
      </c>
      <c r="Z66" s="35" t="e">
        <f t="shared" ca="1" si="45"/>
        <v>#VALUE!</v>
      </c>
      <c r="AA66" s="35" t="e">
        <f t="shared" ca="1" si="45"/>
        <v>#VALUE!</v>
      </c>
      <c r="AB66" s="35" t="e">
        <f t="shared" ca="1" si="45"/>
        <v>#VALUE!</v>
      </c>
      <c r="AC66" s="35" t="e">
        <f t="shared" ca="1" si="45"/>
        <v>#VALUE!</v>
      </c>
      <c r="AD66" s="35" t="e">
        <f t="shared" ca="1" si="45"/>
        <v>#VALUE!</v>
      </c>
      <c r="AE66" s="35" t="e">
        <f t="shared" ca="1" si="45"/>
        <v>#VALUE!</v>
      </c>
      <c r="AF66" s="35" t="e">
        <f t="shared" ca="1" si="45"/>
        <v>#VALUE!</v>
      </c>
      <c r="AG66" s="35" t="e">
        <f t="shared" ca="1" si="45"/>
        <v>#VALUE!</v>
      </c>
      <c r="AH66" s="35" t="e">
        <f t="shared" ca="1" si="45"/>
        <v>#VALUE!</v>
      </c>
      <c r="AI66" s="35" t="e">
        <f t="shared" ca="1" si="45"/>
        <v>#VALUE!</v>
      </c>
      <c r="AJ66" s="35" t="e">
        <f t="shared" ca="1" si="45"/>
        <v>#VALUE!</v>
      </c>
      <c r="AK66" s="35" t="e">
        <f t="shared" ca="1" si="45"/>
        <v>#VALUE!</v>
      </c>
      <c r="AL66" s="35" t="e">
        <f t="shared" ca="1" si="45"/>
        <v>#VALUE!</v>
      </c>
      <c r="AM66" s="35" t="e">
        <f t="shared" ca="1" si="45"/>
        <v>#VALUE!</v>
      </c>
      <c r="AN66" s="35" t="e">
        <f t="shared" ca="1" si="45"/>
        <v>#VALUE!</v>
      </c>
      <c r="AO66" s="35" t="e">
        <f t="shared" ca="1" si="45"/>
        <v>#VALUE!</v>
      </c>
      <c r="AP66" s="35" t="e">
        <f t="shared" ca="1" si="45"/>
        <v>#VALUE!</v>
      </c>
      <c r="AQ66" s="35" t="e">
        <f t="shared" ca="1" si="45"/>
        <v>#VALUE!</v>
      </c>
    </row>
    <row r="67" spans="1:43" ht="10.15" customHeight="1">
      <c r="A67" s="31">
        <f ca="1">A65+$C$12</f>
        <v>50.34999999999998</v>
      </c>
      <c r="B67" s="31" t="s">
        <v>71</v>
      </c>
      <c r="C67" s="32" t="e">
        <f t="shared" ref="C67:AQ67" ca="1" si="46">EBlackScholesForward("p",C$20,$A$67,C$22,$C$6,$C$6,$C$7,C$21)</f>
        <v>#VALUE!</v>
      </c>
      <c r="D67" s="32" t="e">
        <f t="shared" ca="1" si="46"/>
        <v>#VALUE!</v>
      </c>
      <c r="E67" s="32" t="e">
        <f t="shared" ca="1" si="46"/>
        <v>#VALUE!</v>
      </c>
      <c r="F67" s="32" t="e">
        <f t="shared" ca="1" si="46"/>
        <v>#VALUE!</v>
      </c>
      <c r="G67" s="32" t="e">
        <f t="shared" ca="1" si="46"/>
        <v>#VALUE!</v>
      </c>
      <c r="H67" s="32" t="e">
        <f t="shared" ca="1" si="46"/>
        <v>#VALUE!</v>
      </c>
      <c r="I67" s="32" t="e">
        <f t="shared" ca="1" si="46"/>
        <v>#VALUE!</v>
      </c>
      <c r="J67" s="32" t="e">
        <f t="shared" ca="1" si="46"/>
        <v>#VALUE!</v>
      </c>
      <c r="K67" s="32" t="e">
        <f t="shared" ca="1" si="46"/>
        <v>#VALUE!</v>
      </c>
      <c r="L67" s="32" t="e">
        <f t="shared" ca="1" si="46"/>
        <v>#VALUE!</v>
      </c>
      <c r="M67" s="32" t="e">
        <f t="shared" ca="1" si="46"/>
        <v>#VALUE!</v>
      </c>
      <c r="N67" s="32" t="e">
        <f t="shared" ca="1" si="46"/>
        <v>#VALUE!</v>
      </c>
      <c r="O67" s="32" t="e">
        <f t="shared" ca="1" si="46"/>
        <v>#VALUE!</v>
      </c>
      <c r="P67" s="32" t="e">
        <f t="shared" ca="1" si="46"/>
        <v>#VALUE!</v>
      </c>
      <c r="Q67" s="32" t="e">
        <f t="shared" ca="1" si="46"/>
        <v>#VALUE!</v>
      </c>
      <c r="R67" s="32" t="e">
        <f t="shared" ca="1" si="46"/>
        <v>#VALUE!</v>
      </c>
      <c r="S67" s="32" t="e">
        <f t="shared" ca="1" si="46"/>
        <v>#VALUE!</v>
      </c>
      <c r="T67" s="32" t="e">
        <f t="shared" ca="1" si="46"/>
        <v>#VALUE!</v>
      </c>
      <c r="U67" s="32" t="e">
        <f t="shared" ca="1" si="46"/>
        <v>#VALUE!</v>
      </c>
      <c r="V67" s="32" t="e">
        <f t="shared" ca="1" si="46"/>
        <v>#VALUE!</v>
      </c>
      <c r="W67" s="76" t="e">
        <f t="shared" ca="1" si="46"/>
        <v>#VALUE!</v>
      </c>
      <c r="X67" s="32" t="e">
        <f t="shared" ca="1" si="46"/>
        <v>#VALUE!</v>
      </c>
      <c r="Y67" s="32" t="e">
        <f t="shared" ca="1" si="46"/>
        <v>#VALUE!</v>
      </c>
      <c r="Z67" s="32" t="e">
        <f t="shared" ca="1" si="46"/>
        <v>#VALUE!</v>
      </c>
      <c r="AA67" s="32" t="e">
        <f t="shared" ca="1" si="46"/>
        <v>#VALUE!</v>
      </c>
      <c r="AB67" s="32" t="e">
        <f t="shared" ca="1" si="46"/>
        <v>#VALUE!</v>
      </c>
      <c r="AC67" s="32" t="e">
        <f t="shared" ca="1" si="46"/>
        <v>#VALUE!</v>
      </c>
      <c r="AD67" s="32" t="e">
        <f t="shared" ca="1" si="46"/>
        <v>#VALUE!</v>
      </c>
      <c r="AE67" s="32" t="e">
        <f t="shared" ca="1" si="46"/>
        <v>#VALUE!</v>
      </c>
      <c r="AF67" s="32" t="e">
        <f t="shared" ca="1" si="46"/>
        <v>#VALUE!</v>
      </c>
      <c r="AG67" s="32" t="e">
        <f t="shared" ca="1" si="46"/>
        <v>#VALUE!</v>
      </c>
      <c r="AH67" s="32" t="e">
        <f t="shared" ca="1" si="46"/>
        <v>#VALUE!</v>
      </c>
      <c r="AI67" s="32" t="e">
        <f t="shared" ca="1" si="46"/>
        <v>#VALUE!</v>
      </c>
      <c r="AJ67" s="32" t="e">
        <f t="shared" ca="1" si="46"/>
        <v>#VALUE!</v>
      </c>
      <c r="AK67" s="32" t="e">
        <f t="shared" ca="1" si="46"/>
        <v>#VALUE!</v>
      </c>
      <c r="AL67" s="32" t="e">
        <f t="shared" ca="1" si="46"/>
        <v>#VALUE!</v>
      </c>
      <c r="AM67" s="32" t="e">
        <f t="shared" ca="1" si="46"/>
        <v>#VALUE!</v>
      </c>
      <c r="AN67" s="32" t="e">
        <f t="shared" ca="1" si="46"/>
        <v>#VALUE!</v>
      </c>
      <c r="AO67" s="32" t="e">
        <f t="shared" ca="1" si="46"/>
        <v>#VALUE!</v>
      </c>
      <c r="AP67" s="32" t="e">
        <f t="shared" ca="1" si="46"/>
        <v>#VALUE!</v>
      </c>
      <c r="AQ67" s="32" t="e">
        <f t="shared" ca="1" si="46"/>
        <v>#VALUE!</v>
      </c>
    </row>
    <row r="68" spans="1:43" ht="10.15" customHeight="1" outlineLevel="1">
      <c r="A68" s="33"/>
      <c r="B68" s="31" t="s">
        <v>74</v>
      </c>
      <c r="C68" s="32" t="e">
        <f t="shared" ref="C68:AQ68" ca="1" si="47">EBlackScholesForward($FA$3,C$20,$A$67,C$22,$C$6,$C$6,$C$7,C$21)</f>
        <v>#VALUE!</v>
      </c>
      <c r="D68" s="32" t="e">
        <f t="shared" ca="1" si="47"/>
        <v>#VALUE!</v>
      </c>
      <c r="E68" s="32" t="e">
        <f t="shared" ca="1" si="47"/>
        <v>#VALUE!</v>
      </c>
      <c r="F68" s="32" t="e">
        <f t="shared" ca="1" si="47"/>
        <v>#VALUE!</v>
      </c>
      <c r="G68" s="32" t="e">
        <f t="shared" ca="1" si="47"/>
        <v>#VALUE!</v>
      </c>
      <c r="H68" s="32" t="e">
        <f t="shared" ca="1" si="47"/>
        <v>#VALUE!</v>
      </c>
      <c r="I68" s="32" t="e">
        <f t="shared" ca="1" si="47"/>
        <v>#VALUE!</v>
      </c>
      <c r="J68" s="32" t="e">
        <f t="shared" ca="1" si="47"/>
        <v>#VALUE!</v>
      </c>
      <c r="K68" s="32" t="e">
        <f t="shared" ca="1" si="47"/>
        <v>#VALUE!</v>
      </c>
      <c r="L68" s="32" t="e">
        <f t="shared" ca="1" si="47"/>
        <v>#VALUE!</v>
      </c>
      <c r="M68" s="32" t="e">
        <f t="shared" ca="1" si="47"/>
        <v>#VALUE!</v>
      </c>
      <c r="N68" s="32" t="e">
        <f t="shared" ca="1" si="47"/>
        <v>#VALUE!</v>
      </c>
      <c r="O68" s="32" t="e">
        <f t="shared" ca="1" si="47"/>
        <v>#VALUE!</v>
      </c>
      <c r="P68" s="32" t="e">
        <f t="shared" ca="1" si="47"/>
        <v>#VALUE!</v>
      </c>
      <c r="Q68" s="32" t="e">
        <f t="shared" ca="1" si="47"/>
        <v>#VALUE!</v>
      </c>
      <c r="R68" s="32" t="e">
        <f t="shared" ca="1" si="47"/>
        <v>#VALUE!</v>
      </c>
      <c r="S68" s="32" t="e">
        <f t="shared" ca="1" si="47"/>
        <v>#VALUE!</v>
      </c>
      <c r="T68" s="32" t="e">
        <f t="shared" ca="1" si="47"/>
        <v>#VALUE!</v>
      </c>
      <c r="U68" s="32" t="e">
        <f t="shared" ca="1" si="47"/>
        <v>#VALUE!</v>
      </c>
      <c r="V68" s="32" t="e">
        <f t="shared" ca="1" si="47"/>
        <v>#VALUE!</v>
      </c>
      <c r="W68" s="76" t="e">
        <f t="shared" ca="1" si="47"/>
        <v>#VALUE!</v>
      </c>
      <c r="X68" s="32" t="e">
        <f t="shared" ca="1" si="47"/>
        <v>#VALUE!</v>
      </c>
      <c r="Y68" s="32" t="e">
        <f t="shared" ca="1" si="47"/>
        <v>#VALUE!</v>
      </c>
      <c r="Z68" s="32" t="e">
        <f t="shared" ca="1" si="47"/>
        <v>#VALUE!</v>
      </c>
      <c r="AA68" s="32" t="e">
        <f t="shared" ca="1" si="47"/>
        <v>#VALUE!</v>
      </c>
      <c r="AB68" s="32" t="e">
        <f t="shared" ca="1" si="47"/>
        <v>#VALUE!</v>
      </c>
      <c r="AC68" s="32" t="e">
        <f t="shared" ca="1" si="47"/>
        <v>#VALUE!</v>
      </c>
      <c r="AD68" s="32" t="e">
        <f t="shared" ca="1" si="47"/>
        <v>#VALUE!</v>
      </c>
      <c r="AE68" s="32" t="e">
        <f t="shared" ca="1" si="47"/>
        <v>#VALUE!</v>
      </c>
      <c r="AF68" s="32" t="e">
        <f t="shared" ca="1" si="47"/>
        <v>#VALUE!</v>
      </c>
      <c r="AG68" s="32" t="e">
        <f t="shared" ca="1" si="47"/>
        <v>#VALUE!</v>
      </c>
      <c r="AH68" s="32" t="e">
        <f t="shared" ca="1" si="47"/>
        <v>#VALUE!</v>
      </c>
      <c r="AI68" s="32" t="e">
        <f t="shared" ca="1" si="47"/>
        <v>#VALUE!</v>
      </c>
      <c r="AJ68" s="32" t="e">
        <f t="shared" ca="1" si="47"/>
        <v>#VALUE!</v>
      </c>
      <c r="AK68" s="32" t="e">
        <f t="shared" ca="1" si="47"/>
        <v>#VALUE!</v>
      </c>
      <c r="AL68" s="32" t="e">
        <f t="shared" ca="1" si="47"/>
        <v>#VALUE!</v>
      </c>
      <c r="AM68" s="32" t="e">
        <f t="shared" ca="1" si="47"/>
        <v>#VALUE!</v>
      </c>
      <c r="AN68" s="32" t="e">
        <f t="shared" ca="1" si="47"/>
        <v>#VALUE!</v>
      </c>
      <c r="AO68" s="32" t="e">
        <f t="shared" ca="1" si="47"/>
        <v>#VALUE!</v>
      </c>
      <c r="AP68" s="32" t="e">
        <f t="shared" ca="1" si="47"/>
        <v>#VALUE!</v>
      </c>
      <c r="AQ68" s="32" t="e">
        <f t="shared" ca="1" si="47"/>
        <v>#VALUE!</v>
      </c>
    </row>
    <row r="69" spans="1:43" ht="10.15" customHeight="1">
      <c r="A69" s="34">
        <f ca="1">A67+$C$12</f>
        <v>50.399999999999977</v>
      </c>
      <c r="B69" s="34" t="s">
        <v>71</v>
      </c>
      <c r="C69" s="35" t="e">
        <f t="shared" ref="C69:AQ69" ca="1" si="48">EBlackScholesForward("p",C$20,$A$69,C$22,$C$6,$C$6,$C$7,C$21)</f>
        <v>#VALUE!</v>
      </c>
      <c r="D69" s="35" t="e">
        <f t="shared" ca="1" si="48"/>
        <v>#VALUE!</v>
      </c>
      <c r="E69" s="35" t="e">
        <f t="shared" ca="1" si="48"/>
        <v>#VALUE!</v>
      </c>
      <c r="F69" s="35" t="e">
        <f t="shared" ca="1" si="48"/>
        <v>#VALUE!</v>
      </c>
      <c r="G69" s="35" t="e">
        <f t="shared" ca="1" si="48"/>
        <v>#VALUE!</v>
      </c>
      <c r="H69" s="35" t="e">
        <f t="shared" ca="1" si="48"/>
        <v>#VALUE!</v>
      </c>
      <c r="I69" s="35" t="e">
        <f t="shared" ca="1" si="48"/>
        <v>#VALUE!</v>
      </c>
      <c r="J69" s="35" t="e">
        <f t="shared" ca="1" si="48"/>
        <v>#VALUE!</v>
      </c>
      <c r="K69" s="35" t="e">
        <f t="shared" ca="1" si="48"/>
        <v>#VALUE!</v>
      </c>
      <c r="L69" s="35" t="e">
        <f t="shared" ca="1" si="48"/>
        <v>#VALUE!</v>
      </c>
      <c r="M69" s="35" t="e">
        <f t="shared" ca="1" si="48"/>
        <v>#VALUE!</v>
      </c>
      <c r="N69" s="35" t="e">
        <f t="shared" ca="1" si="48"/>
        <v>#VALUE!</v>
      </c>
      <c r="O69" s="35" t="e">
        <f t="shared" ca="1" si="48"/>
        <v>#VALUE!</v>
      </c>
      <c r="P69" s="35" t="e">
        <f t="shared" ca="1" si="48"/>
        <v>#VALUE!</v>
      </c>
      <c r="Q69" s="35" t="e">
        <f t="shared" ca="1" si="48"/>
        <v>#VALUE!</v>
      </c>
      <c r="R69" s="35" t="e">
        <f t="shared" ca="1" si="48"/>
        <v>#VALUE!</v>
      </c>
      <c r="S69" s="35" t="e">
        <f t="shared" ca="1" si="48"/>
        <v>#VALUE!</v>
      </c>
      <c r="T69" s="35" t="e">
        <f t="shared" ca="1" si="48"/>
        <v>#VALUE!</v>
      </c>
      <c r="U69" s="35" t="e">
        <f t="shared" ca="1" si="48"/>
        <v>#VALUE!</v>
      </c>
      <c r="V69" s="35" t="e">
        <f t="shared" ca="1" si="48"/>
        <v>#VALUE!</v>
      </c>
      <c r="W69" s="77" t="e">
        <f t="shared" ca="1" si="48"/>
        <v>#VALUE!</v>
      </c>
      <c r="X69" s="35" t="e">
        <f t="shared" ca="1" si="48"/>
        <v>#VALUE!</v>
      </c>
      <c r="Y69" s="35" t="e">
        <f t="shared" ca="1" si="48"/>
        <v>#VALUE!</v>
      </c>
      <c r="Z69" s="35" t="e">
        <f t="shared" ca="1" si="48"/>
        <v>#VALUE!</v>
      </c>
      <c r="AA69" s="35" t="e">
        <f t="shared" ca="1" si="48"/>
        <v>#VALUE!</v>
      </c>
      <c r="AB69" s="35" t="e">
        <f t="shared" ca="1" si="48"/>
        <v>#VALUE!</v>
      </c>
      <c r="AC69" s="35" t="e">
        <f t="shared" ca="1" si="48"/>
        <v>#VALUE!</v>
      </c>
      <c r="AD69" s="35" t="e">
        <f t="shared" ca="1" si="48"/>
        <v>#VALUE!</v>
      </c>
      <c r="AE69" s="35" t="e">
        <f t="shared" ca="1" si="48"/>
        <v>#VALUE!</v>
      </c>
      <c r="AF69" s="35" t="e">
        <f t="shared" ca="1" si="48"/>
        <v>#VALUE!</v>
      </c>
      <c r="AG69" s="35" t="e">
        <f t="shared" ca="1" si="48"/>
        <v>#VALUE!</v>
      </c>
      <c r="AH69" s="35" t="e">
        <f t="shared" ca="1" si="48"/>
        <v>#VALUE!</v>
      </c>
      <c r="AI69" s="35" t="e">
        <f t="shared" ca="1" si="48"/>
        <v>#VALUE!</v>
      </c>
      <c r="AJ69" s="35" t="e">
        <f t="shared" ca="1" si="48"/>
        <v>#VALUE!</v>
      </c>
      <c r="AK69" s="35" t="e">
        <f t="shared" ca="1" si="48"/>
        <v>#VALUE!</v>
      </c>
      <c r="AL69" s="35" t="e">
        <f t="shared" ca="1" si="48"/>
        <v>#VALUE!</v>
      </c>
      <c r="AM69" s="35" t="e">
        <f t="shared" ca="1" si="48"/>
        <v>#VALUE!</v>
      </c>
      <c r="AN69" s="35" t="e">
        <f t="shared" ca="1" si="48"/>
        <v>#VALUE!</v>
      </c>
      <c r="AO69" s="35" t="e">
        <f t="shared" ca="1" si="48"/>
        <v>#VALUE!</v>
      </c>
      <c r="AP69" s="35" t="e">
        <f t="shared" ca="1" si="48"/>
        <v>#VALUE!</v>
      </c>
      <c r="AQ69" s="35" t="e">
        <f t="shared" ca="1" si="48"/>
        <v>#VALUE!</v>
      </c>
    </row>
    <row r="70" spans="1:43" ht="10.15" customHeight="1" outlineLevel="1">
      <c r="A70" s="36"/>
      <c r="B70" s="34" t="s">
        <v>74</v>
      </c>
      <c r="C70" s="35" t="e">
        <f t="shared" ref="C70:AQ70" ca="1" si="49">EBlackScholesForward($FA$3,C$20,$A$69,C$22,$C$6,$C$6,$C$7,C$21)</f>
        <v>#VALUE!</v>
      </c>
      <c r="D70" s="35" t="e">
        <f t="shared" ca="1" si="49"/>
        <v>#VALUE!</v>
      </c>
      <c r="E70" s="35" t="e">
        <f t="shared" ca="1" si="49"/>
        <v>#VALUE!</v>
      </c>
      <c r="F70" s="35" t="e">
        <f t="shared" ca="1" si="49"/>
        <v>#VALUE!</v>
      </c>
      <c r="G70" s="35" t="e">
        <f t="shared" ca="1" si="49"/>
        <v>#VALUE!</v>
      </c>
      <c r="H70" s="35" t="e">
        <f t="shared" ca="1" si="49"/>
        <v>#VALUE!</v>
      </c>
      <c r="I70" s="35" t="e">
        <f t="shared" ca="1" si="49"/>
        <v>#VALUE!</v>
      </c>
      <c r="J70" s="35" t="e">
        <f t="shared" ca="1" si="49"/>
        <v>#VALUE!</v>
      </c>
      <c r="K70" s="35" t="e">
        <f t="shared" ca="1" si="49"/>
        <v>#VALUE!</v>
      </c>
      <c r="L70" s="35" t="e">
        <f t="shared" ca="1" si="49"/>
        <v>#VALUE!</v>
      </c>
      <c r="M70" s="35" t="e">
        <f t="shared" ca="1" si="49"/>
        <v>#VALUE!</v>
      </c>
      <c r="N70" s="35" t="e">
        <f t="shared" ca="1" si="49"/>
        <v>#VALUE!</v>
      </c>
      <c r="O70" s="35" t="e">
        <f t="shared" ca="1" si="49"/>
        <v>#VALUE!</v>
      </c>
      <c r="P70" s="35" t="e">
        <f t="shared" ca="1" si="49"/>
        <v>#VALUE!</v>
      </c>
      <c r="Q70" s="35" t="e">
        <f t="shared" ca="1" si="49"/>
        <v>#VALUE!</v>
      </c>
      <c r="R70" s="35" t="e">
        <f t="shared" ca="1" si="49"/>
        <v>#VALUE!</v>
      </c>
      <c r="S70" s="35" t="e">
        <f t="shared" ca="1" si="49"/>
        <v>#VALUE!</v>
      </c>
      <c r="T70" s="35" t="e">
        <f t="shared" ca="1" si="49"/>
        <v>#VALUE!</v>
      </c>
      <c r="U70" s="35" t="e">
        <f t="shared" ca="1" si="49"/>
        <v>#VALUE!</v>
      </c>
      <c r="V70" s="35" t="e">
        <f t="shared" ca="1" si="49"/>
        <v>#VALUE!</v>
      </c>
      <c r="W70" s="77" t="e">
        <f t="shared" ca="1" si="49"/>
        <v>#VALUE!</v>
      </c>
      <c r="X70" s="35" t="e">
        <f t="shared" ca="1" si="49"/>
        <v>#VALUE!</v>
      </c>
      <c r="Y70" s="35" t="e">
        <f t="shared" ca="1" si="49"/>
        <v>#VALUE!</v>
      </c>
      <c r="Z70" s="35" t="e">
        <f t="shared" ca="1" si="49"/>
        <v>#VALUE!</v>
      </c>
      <c r="AA70" s="35" t="e">
        <f t="shared" ca="1" si="49"/>
        <v>#VALUE!</v>
      </c>
      <c r="AB70" s="35" t="e">
        <f t="shared" ca="1" si="49"/>
        <v>#VALUE!</v>
      </c>
      <c r="AC70" s="35" t="e">
        <f t="shared" ca="1" si="49"/>
        <v>#VALUE!</v>
      </c>
      <c r="AD70" s="35" t="e">
        <f t="shared" ca="1" si="49"/>
        <v>#VALUE!</v>
      </c>
      <c r="AE70" s="35" t="e">
        <f t="shared" ca="1" si="49"/>
        <v>#VALUE!</v>
      </c>
      <c r="AF70" s="35" t="e">
        <f t="shared" ca="1" si="49"/>
        <v>#VALUE!</v>
      </c>
      <c r="AG70" s="35" t="e">
        <f t="shared" ca="1" si="49"/>
        <v>#VALUE!</v>
      </c>
      <c r="AH70" s="35" t="e">
        <f t="shared" ca="1" si="49"/>
        <v>#VALUE!</v>
      </c>
      <c r="AI70" s="35" t="e">
        <f t="shared" ca="1" si="49"/>
        <v>#VALUE!</v>
      </c>
      <c r="AJ70" s="35" t="e">
        <f t="shared" ca="1" si="49"/>
        <v>#VALUE!</v>
      </c>
      <c r="AK70" s="35" t="e">
        <f t="shared" ca="1" si="49"/>
        <v>#VALUE!</v>
      </c>
      <c r="AL70" s="35" t="e">
        <f t="shared" ca="1" si="49"/>
        <v>#VALUE!</v>
      </c>
      <c r="AM70" s="35" t="e">
        <f t="shared" ca="1" si="49"/>
        <v>#VALUE!</v>
      </c>
      <c r="AN70" s="35" t="e">
        <f t="shared" ca="1" si="49"/>
        <v>#VALUE!</v>
      </c>
      <c r="AO70" s="35" t="e">
        <f t="shared" ca="1" si="49"/>
        <v>#VALUE!</v>
      </c>
      <c r="AP70" s="35" t="e">
        <f t="shared" ca="1" si="49"/>
        <v>#VALUE!</v>
      </c>
      <c r="AQ70" s="35" t="e">
        <f t="shared" ca="1" si="49"/>
        <v>#VALUE!</v>
      </c>
    </row>
    <row r="71" spans="1:43" ht="10.15" customHeight="1">
      <c r="A71" s="31">
        <f ca="1">A69+$C$12</f>
        <v>50.449999999999974</v>
      </c>
      <c r="B71" s="31" t="s">
        <v>71</v>
      </c>
      <c r="C71" s="32" t="e">
        <f t="shared" ref="C71:AQ71" ca="1" si="50">EBlackScholesForward("p",C$20,$A$71,C$22,$C$6,$C$6,$C$7,C$21)</f>
        <v>#VALUE!</v>
      </c>
      <c r="D71" s="32" t="e">
        <f t="shared" ca="1" si="50"/>
        <v>#VALUE!</v>
      </c>
      <c r="E71" s="32" t="e">
        <f t="shared" ca="1" si="50"/>
        <v>#VALUE!</v>
      </c>
      <c r="F71" s="32" t="e">
        <f t="shared" ca="1" si="50"/>
        <v>#VALUE!</v>
      </c>
      <c r="G71" s="32" t="e">
        <f t="shared" ca="1" si="50"/>
        <v>#VALUE!</v>
      </c>
      <c r="H71" s="32" t="e">
        <f t="shared" ca="1" si="50"/>
        <v>#VALUE!</v>
      </c>
      <c r="I71" s="32" t="e">
        <f t="shared" ca="1" si="50"/>
        <v>#VALUE!</v>
      </c>
      <c r="J71" s="32" t="e">
        <f t="shared" ca="1" si="50"/>
        <v>#VALUE!</v>
      </c>
      <c r="K71" s="32" t="e">
        <f t="shared" ca="1" si="50"/>
        <v>#VALUE!</v>
      </c>
      <c r="L71" s="32" t="e">
        <f t="shared" ca="1" si="50"/>
        <v>#VALUE!</v>
      </c>
      <c r="M71" s="32" t="e">
        <f t="shared" ca="1" si="50"/>
        <v>#VALUE!</v>
      </c>
      <c r="N71" s="32" t="e">
        <f t="shared" ca="1" si="50"/>
        <v>#VALUE!</v>
      </c>
      <c r="O71" s="32" t="e">
        <f t="shared" ca="1" si="50"/>
        <v>#VALUE!</v>
      </c>
      <c r="P71" s="32" t="e">
        <f t="shared" ca="1" si="50"/>
        <v>#VALUE!</v>
      </c>
      <c r="Q71" s="32" t="e">
        <f t="shared" ca="1" si="50"/>
        <v>#VALUE!</v>
      </c>
      <c r="R71" s="32" t="e">
        <f t="shared" ca="1" si="50"/>
        <v>#VALUE!</v>
      </c>
      <c r="S71" s="32" t="e">
        <f t="shared" ca="1" si="50"/>
        <v>#VALUE!</v>
      </c>
      <c r="T71" s="32" t="e">
        <f t="shared" ca="1" si="50"/>
        <v>#VALUE!</v>
      </c>
      <c r="U71" s="32" t="e">
        <f t="shared" ca="1" si="50"/>
        <v>#VALUE!</v>
      </c>
      <c r="V71" s="32" t="e">
        <f t="shared" ca="1" si="50"/>
        <v>#VALUE!</v>
      </c>
      <c r="W71" s="76" t="e">
        <f t="shared" ca="1" si="50"/>
        <v>#VALUE!</v>
      </c>
      <c r="X71" s="32" t="e">
        <f t="shared" ca="1" si="50"/>
        <v>#VALUE!</v>
      </c>
      <c r="Y71" s="32" t="e">
        <f t="shared" ca="1" si="50"/>
        <v>#VALUE!</v>
      </c>
      <c r="Z71" s="32" t="e">
        <f t="shared" ca="1" si="50"/>
        <v>#VALUE!</v>
      </c>
      <c r="AA71" s="32" t="e">
        <f t="shared" ca="1" si="50"/>
        <v>#VALUE!</v>
      </c>
      <c r="AB71" s="32" t="e">
        <f t="shared" ca="1" si="50"/>
        <v>#VALUE!</v>
      </c>
      <c r="AC71" s="32" t="e">
        <f t="shared" ca="1" si="50"/>
        <v>#VALUE!</v>
      </c>
      <c r="AD71" s="32" t="e">
        <f t="shared" ca="1" si="50"/>
        <v>#VALUE!</v>
      </c>
      <c r="AE71" s="32" t="e">
        <f t="shared" ca="1" si="50"/>
        <v>#VALUE!</v>
      </c>
      <c r="AF71" s="32" t="e">
        <f t="shared" ca="1" si="50"/>
        <v>#VALUE!</v>
      </c>
      <c r="AG71" s="32" t="e">
        <f t="shared" ca="1" si="50"/>
        <v>#VALUE!</v>
      </c>
      <c r="AH71" s="32" t="e">
        <f t="shared" ca="1" si="50"/>
        <v>#VALUE!</v>
      </c>
      <c r="AI71" s="32" t="e">
        <f t="shared" ca="1" si="50"/>
        <v>#VALUE!</v>
      </c>
      <c r="AJ71" s="32" t="e">
        <f t="shared" ca="1" si="50"/>
        <v>#VALUE!</v>
      </c>
      <c r="AK71" s="32" t="e">
        <f t="shared" ca="1" si="50"/>
        <v>#VALUE!</v>
      </c>
      <c r="AL71" s="32" t="e">
        <f t="shared" ca="1" si="50"/>
        <v>#VALUE!</v>
      </c>
      <c r="AM71" s="32" t="e">
        <f t="shared" ca="1" si="50"/>
        <v>#VALUE!</v>
      </c>
      <c r="AN71" s="32" t="e">
        <f t="shared" ca="1" si="50"/>
        <v>#VALUE!</v>
      </c>
      <c r="AO71" s="32" t="e">
        <f t="shared" ca="1" si="50"/>
        <v>#VALUE!</v>
      </c>
      <c r="AP71" s="32" t="e">
        <f t="shared" ca="1" si="50"/>
        <v>#VALUE!</v>
      </c>
      <c r="AQ71" s="32" t="e">
        <f t="shared" ca="1" si="50"/>
        <v>#VALUE!</v>
      </c>
    </row>
    <row r="72" spans="1:43" ht="10.15" customHeight="1" outlineLevel="1">
      <c r="A72" s="33"/>
      <c r="B72" s="31" t="s">
        <v>74</v>
      </c>
      <c r="C72" s="32" t="e">
        <f t="shared" ref="C72:AQ72" ca="1" si="51">EBlackScholesForward($FA$3,C$20,$A$71,C$22,$C$6,$C$6,$C$7,C$21)</f>
        <v>#VALUE!</v>
      </c>
      <c r="D72" s="32" t="e">
        <f t="shared" ca="1" si="51"/>
        <v>#VALUE!</v>
      </c>
      <c r="E72" s="32" t="e">
        <f t="shared" ca="1" si="51"/>
        <v>#VALUE!</v>
      </c>
      <c r="F72" s="32" t="e">
        <f t="shared" ca="1" si="51"/>
        <v>#VALUE!</v>
      </c>
      <c r="G72" s="32" t="e">
        <f t="shared" ca="1" si="51"/>
        <v>#VALUE!</v>
      </c>
      <c r="H72" s="32" t="e">
        <f t="shared" ca="1" si="51"/>
        <v>#VALUE!</v>
      </c>
      <c r="I72" s="32" t="e">
        <f t="shared" ca="1" si="51"/>
        <v>#VALUE!</v>
      </c>
      <c r="J72" s="32" t="e">
        <f t="shared" ca="1" si="51"/>
        <v>#VALUE!</v>
      </c>
      <c r="K72" s="32" t="e">
        <f t="shared" ca="1" si="51"/>
        <v>#VALUE!</v>
      </c>
      <c r="L72" s="32" t="e">
        <f t="shared" ca="1" si="51"/>
        <v>#VALUE!</v>
      </c>
      <c r="M72" s="32" t="e">
        <f t="shared" ca="1" si="51"/>
        <v>#VALUE!</v>
      </c>
      <c r="N72" s="32" t="e">
        <f t="shared" ca="1" si="51"/>
        <v>#VALUE!</v>
      </c>
      <c r="O72" s="32" t="e">
        <f t="shared" ca="1" si="51"/>
        <v>#VALUE!</v>
      </c>
      <c r="P72" s="32" t="e">
        <f t="shared" ca="1" si="51"/>
        <v>#VALUE!</v>
      </c>
      <c r="Q72" s="32" t="e">
        <f t="shared" ca="1" si="51"/>
        <v>#VALUE!</v>
      </c>
      <c r="R72" s="32" t="e">
        <f t="shared" ca="1" si="51"/>
        <v>#VALUE!</v>
      </c>
      <c r="S72" s="32" t="e">
        <f t="shared" ca="1" si="51"/>
        <v>#VALUE!</v>
      </c>
      <c r="T72" s="32" t="e">
        <f t="shared" ca="1" si="51"/>
        <v>#VALUE!</v>
      </c>
      <c r="U72" s="32" t="e">
        <f t="shared" ca="1" si="51"/>
        <v>#VALUE!</v>
      </c>
      <c r="V72" s="32" t="e">
        <f t="shared" ca="1" si="51"/>
        <v>#VALUE!</v>
      </c>
      <c r="W72" s="76" t="e">
        <f t="shared" ca="1" si="51"/>
        <v>#VALUE!</v>
      </c>
      <c r="X72" s="32" t="e">
        <f t="shared" ca="1" si="51"/>
        <v>#VALUE!</v>
      </c>
      <c r="Y72" s="32" t="e">
        <f t="shared" ca="1" si="51"/>
        <v>#VALUE!</v>
      </c>
      <c r="Z72" s="32" t="e">
        <f t="shared" ca="1" si="51"/>
        <v>#VALUE!</v>
      </c>
      <c r="AA72" s="32" t="e">
        <f t="shared" ca="1" si="51"/>
        <v>#VALUE!</v>
      </c>
      <c r="AB72" s="32" t="e">
        <f t="shared" ca="1" si="51"/>
        <v>#VALUE!</v>
      </c>
      <c r="AC72" s="32" t="e">
        <f t="shared" ca="1" si="51"/>
        <v>#VALUE!</v>
      </c>
      <c r="AD72" s="32" t="e">
        <f t="shared" ca="1" si="51"/>
        <v>#VALUE!</v>
      </c>
      <c r="AE72" s="32" t="e">
        <f t="shared" ca="1" si="51"/>
        <v>#VALUE!</v>
      </c>
      <c r="AF72" s="32" t="e">
        <f t="shared" ca="1" si="51"/>
        <v>#VALUE!</v>
      </c>
      <c r="AG72" s="32" t="e">
        <f t="shared" ca="1" si="51"/>
        <v>#VALUE!</v>
      </c>
      <c r="AH72" s="32" t="e">
        <f t="shared" ca="1" si="51"/>
        <v>#VALUE!</v>
      </c>
      <c r="AI72" s="32" t="e">
        <f t="shared" ca="1" si="51"/>
        <v>#VALUE!</v>
      </c>
      <c r="AJ72" s="32" t="e">
        <f t="shared" ca="1" si="51"/>
        <v>#VALUE!</v>
      </c>
      <c r="AK72" s="32" t="e">
        <f t="shared" ca="1" si="51"/>
        <v>#VALUE!</v>
      </c>
      <c r="AL72" s="32" t="e">
        <f t="shared" ca="1" si="51"/>
        <v>#VALUE!</v>
      </c>
      <c r="AM72" s="32" t="e">
        <f t="shared" ca="1" si="51"/>
        <v>#VALUE!</v>
      </c>
      <c r="AN72" s="32" t="e">
        <f t="shared" ca="1" si="51"/>
        <v>#VALUE!</v>
      </c>
      <c r="AO72" s="32" t="e">
        <f t="shared" ca="1" si="51"/>
        <v>#VALUE!</v>
      </c>
      <c r="AP72" s="32" t="e">
        <f t="shared" ca="1" si="51"/>
        <v>#VALUE!</v>
      </c>
      <c r="AQ72" s="32" t="e">
        <f t="shared" ca="1" si="51"/>
        <v>#VALUE!</v>
      </c>
    </row>
    <row r="73" spans="1:43" ht="10.15" customHeight="1">
      <c r="A73" s="34">
        <f ca="1">A71+$C$12</f>
        <v>50.499999999999972</v>
      </c>
      <c r="B73" s="34" t="s">
        <v>71</v>
      </c>
      <c r="C73" s="35" t="e">
        <f t="shared" ref="C73:AQ73" ca="1" si="52">EBlackScholesForward("p",C$20,$A$73,C$22,$C$6,$C$6,$C$7,C$21)</f>
        <v>#VALUE!</v>
      </c>
      <c r="D73" s="35" t="e">
        <f t="shared" ca="1" si="52"/>
        <v>#VALUE!</v>
      </c>
      <c r="E73" s="35" t="e">
        <f t="shared" ca="1" si="52"/>
        <v>#VALUE!</v>
      </c>
      <c r="F73" s="35" t="e">
        <f t="shared" ca="1" si="52"/>
        <v>#VALUE!</v>
      </c>
      <c r="G73" s="35" t="e">
        <f t="shared" ca="1" si="52"/>
        <v>#VALUE!</v>
      </c>
      <c r="H73" s="35" t="e">
        <f t="shared" ca="1" si="52"/>
        <v>#VALUE!</v>
      </c>
      <c r="I73" s="35" t="e">
        <f t="shared" ca="1" si="52"/>
        <v>#VALUE!</v>
      </c>
      <c r="J73" s="35" t="e">
        <f t="shared" ca="1" si="52"/>
        <v>#VALUE!</v>
      </c>
      <c r="K73" s="35" t="e">
        <f t="shared" ca="1" si="52"/>
        <v>#VALUE!</v>
      </c>
      <c r="L73" s="35" t="e">
        <f t="shared" ca="1" si="52"/>
        <v>#VALUE!</v>
      </c>
      <c r="M73" s="35" t="e">
        <f t="shared" ca="1" si="52"/>
        <v>#VALUE!</v>
      </c>
      <c r="N73" s="35" t="e">
        <f t="shared" ca="1" si="52"/>
        <v>#VALUE!</v>
      </c>
      <c r="O73" s="35" t="e">
        <f t="shared" ca="1" si="52"/>
        <v>#VALUE!</v>
      </c>
      <c r="P73" s="35" t="e">
        <f t="shared" ca="1" si="52"/>
        <v>#VALUE!</v>
      </c>
      <c r="Q73" s="35" t="e">
        <f t="shared" ca="1" si="52"/>
        <v>#VALUE!</v>
      </c>
      <c r="R73" s="35" t="e">
        <f t="shared" ca="1" si="52"/>
        <v>#VALUE!</v>
      </c>
      <c r="S73" s="35" t="e">
        <f t="shared" ca="1" si="52"/>
        <v>#VALUE!</v>
      </c>
      <c r="T73" s="35" t="e">
        <f t="shared" ca="1" si="52"/>
        <v>#VALUE!</v>
      </c>
      <c r="U73" s="35" t="e">
        <f t="shared" ca="1" si="52"/>
        <v>#VALUE!</v>
      </c>
      <c r="V73" s="35" t="e">
        <f t="shared" ca="1" si="52"/>
        <v>#VALUE!</v>
      </c>
      <c r="W73" s="77" t="e">
        <f t="shared" ca="1" si="52"/>
        <v>#VALUE!</v>
      </c>
      <c r="X73" s="35" t="e">
        <f t="shared" ca="1" si="52"/>
        <v>#VALUE!</v>
      </c>
      <c r="Y73" s="35" t="e">
        <f t="shared" ca="1" si="52"/>
        <v>#VALUE!</v>
      </c>
      <c r="Z73" s="35" t="e">
        <f t="shared" ca="1" si="52"/>
        <v>#VALUE!</v>
      </c>
      <c r="AA73" s="35" t="e">
        <f t="shared" ca="1" si="52"/>
        <v>#VALUE!</v>
      </c>
      <c r="AB73" s="35" t="e">
        <f t="shared" ca="1" si="52"/>
        <v>#VALUE!</v>
      </c>
      <c r="AC73" s="35" t="e">
        <f t="shared" ca="1" si="52"/>
        <v>#VALUE!</v>
      </c>
      <c r="AD73" s="35" t="e">
        <f t="shared" ca="1" si="52"/>
        <v>#VALUE!</v>
      </c>
      <c r="AE73" s="35" t="e">
        <f t="shared" ca="1" si="52"/>
        <v>#VALUE!</v>
      </c>
      <c r="AF73" s="35" t="e">
        <f t="shared" ca="1" si="52"/>
        <v>#VALUE!</v>
      </c>
      <c r="AG73" s="35" t="e">
        <f t="shared" ca="1" si="52"/>
        <v>#VALUE!</v>
      </c>
      <c r="AH73" s="35" t="e">
        <f t="shared" ca="1" si="52"/>
        <v>#VALUE!</v>
      </c>
      <c r="AI73" s="35" t="e">
        <f t="shared" ca="1" si="52"/>
        <v>#VALUE!</v>
      </c>
      <c r="AJ73" s="35" t="e">
        <f t="shared" ca="1" si="52"/>
        <v>#VALUE!</v>
      </c>
      <c r="AK73" s="35" t="e">
        <f t="shared" ca="1" si="52"/>
        <v>#VALUE!</v>
      </c>
      <c r="AL73" s="35" t="e">
        <f t="shared" ca="1" si="52"/>
        <v>#VALUE!</v>
      </c>
      <c r="AM73" s="35" t="e">
        <f t="shared" ca="1" si="52"/>
        <v>#VALUE!</v>
      </c>
      <c r="AN73" s="35" t="e">
        <f t="shared" ca="1" si="52"/>
        <v>#VALUE!</v>
      </c>
      <c r="AO73" s="35" t="e">
        <f t="shared" ca="1" si="52"/>
        <v>#VALUE!</v>
      </c>
      <c r="AP73" s="35" t="e">
        <f t="shared" ca="1" si="52"/>
        <v>#VALUE!</v>
      </c>
      <c r="AQ73" s="35" t="e">
        <f t="shared" ca="1" si="52"/>
        <v>#VALUE!</v>
      </c>
    </row>
    <row r="74" spans="1:43" ht="10.15" customHeight="1" outlineLevel="1">
      <c r="A74" s="36"/>
      <c r="B74" s="34" t="s">
        <v>74</v>
      </c>
      <c r="C74" s="35" t="e">
        <f t="shared" ref="C74:AQ74" ca="1" si="53">EBlackScholesForward($FA$3,C$20,$A$73,C$22,$C$6,$C$6,$C$7,C$21)</f>
        <v>#VALUE!</v>
      </c>
      <c r="D74" s="35" t="e">
        <f t="shared" ca="1" si="53"/>
        <v>#VALUE!</v>
      </c>
      <c r="E74" s="35" t="e">
        <f t="shared" ca="1" si="53"/>
        <v>#VALUE!</v>
      </c>
      <c r="F74" s="35" t="e">
        <f t="shared" ca="1" si="53"/>
        <v>#VALUE!</v>
      </c>
      <c r="G74" s="35" t="e">
        <f t="shared" ca="1" si="53"/>
        <v>#VALUE!</v>
      </c>
      <c r="H74" s="35" t="e">
        <f t="shared" ca="1" si="53"/>
        <v>#VALUE!</v>
      </c>
      <c r="I74" s="35" t="e">
        <f t="shared" ca="1" si="53"/>
        <v>#VALUE!</v>
      </c>
      <c r="J74" s="35" t="e">
        <f t="shared" ca="1" si="53"/>
        <v>#VALUE!</v>
      </c>
      <c r="K74" s="35" t="e">
        <f t="shared" ca="1" si="53"/>
        <v>#VALUE!</v>
      </c>
      <c r="L74" s="35" t="e">
        <f t="shared" ca="1" si="53"/>
        <v>#VALUE!</v>
      </c>
      <c r="M74" s="35" t="e">
        <f t="shared" ca="1" si="53"/>
        <v>#VALUE!</v>
      </c>
      <c r="N74" s="35" t="e">
        <f t="shared" ca="1" si="53"/>
        <v>#VALUE!</v>
      </c>
      <c r="O74" s="35" t="e">
        <f t="shared" ca="1" si="53"/>
        <v>#VALUE!</v>
      </c>
      <c r="P74" s="35" t="e">
        <f t="shared" ca="1" si="53"/>
        <v>#VALUE!</v>
      </c>
      <c r="Q74" s="35" t="e">
        <f t="shared" ca="1" si="53"/>
        <v>#VALUE!</v>
      </c>
      <c r="R74" s="35" t="e">
        <f t="shared" ca="1" si="53"/>
        <v>#VALUE!</v>
      </c>
      <c r="S74" s="35" t="e">
        <f t="shared" ca="1" si="53"/>
        <v>#VALUE!</v>
      </c>
      <c r="T74" s="35" t="e">
        <f t="shared" ca="1" si="53"/>
        <v>#VALUE!</v>
      </c>
      <c r="U74" s="35" t="e">
        <f t="shared" ca="1" si="53"/>
        <v>#VALUE!</v>
      </c>
      <c r="V74" s="35" t="e">
        <f t="shared" ca="1" si="53"/>
        <v>#VALUE!</v>
      </c>
      <c r="W74" s="77" t="e">
        <f t="shared" ca="1" si="53"/>
        <v>#VALUE!</v>
      </c>
      <c r="X74" s="35" t="e">
        <f t="shared" ca="1" si="53"/>
        <v>#VALUE!</v>
      </c>
      <c r="Y74" s="35" t="e">
        <f t="shared" ca="1" si="53"/>
        <v>#VALUE!</v>
      </c>
      <c r="Z74" s="35" t="e">
        <f t="shared" ca="1" si="53"/>
        <v>#VALUE!</v>
      </c>
      <c r="AA74" s="35" t="e">
        <f t="shared" ca="1" si="53"/>
        <v>#VALUE!</v>
      </c>
      <c r="AB74" s="35" t="e">
        <f t="shared" ca="1" si="53"/>
        <v>#VALUE!</v>
      </c>
      <c r="AC74" s="35" t="e">
        <f t="shared" ca="1" si="53"/>
        <v>#VALUE!</v>
      </c>
      <c r="AD74" s="35" t="e">
        <f t="shared" ca="1" si="53"/>
        <v>#VALUE!</v>
      </c>
      <c r="AE74" s="35" t="e">
        <f t="shared" ca="1" si="53"/>
        <v>#VALUE!</v>
      </c>
      <c r="AF74" s="35" t="e">
        <f t="shared" ca="1" si="53"/>
        <v>#VALUE!</v>
      </c>
      <c r="AG74" s="35" t="e">
        <f t="shared" ca="1" si="53"/>
        <v>#VALUE!</v>
      </c>
      <c r="AH74" s="35" t="e">
        <f t="shared" ca="1" si="53"/>
        <v>#VALUE!</v>
      </c>
      <c r="AI74" s="35" t="e">
        <f t="shared" ca="1" si="53"/>
        <v>#VALUE!</v>
      </c>
      <c r="AJ74" s="35" t="e">
        <f t="shared" ca="1" si="53"/>
        <v>#VALUE!</v>
      </c>
      <c r="AK74" s="35" t="e">
        <f t="shared" ca="1" si="53"/>
        <v>#VALUE!</v>
      </c>
      <c r="AL74" s="35" t="e">
        <f t="shared" ca="1" si="53"/>
        <v>#VALUE!</v>
      </c>
      <c r="AM74" s="35" t="e">
        <f t="shared" ca="1" si="53"/>
        <v>#VALUE!</v>
      </c>
      <c r="AN74" s="35" t="e">
        <f t="shared" ca="1" si="53"/>
        <v>#VALUE!</v>
      </c>
      <c r="AO74" s="35" t="e">
        <f t="shared" ca="1" si="53"/>
        <v>#VALUE!</v>
      </c>
      <c r="AP74" s="35" t="e">
        <f t="shared" ca="1" si="53"/>
        <v>#VALUE!</v>
      </c>
      <c r="AQ74" s="35" t="e">
        <f t="shared" ca="1" si="53"/>
        <v>#VALUE!</v>
      </c>
    </row>
    <row r="75" spans="1:43" ht="10.15" customHeight="1">
      <c r="A75" s="31">
        <f ca="1">A73+$C$12</f>
        <v>50.549999999999969</v>
      </c>
      <c r="B75" s="31" t="s">
        <v>71</v>
      </c>
      <c r="C75" s="32" t="e">
        <f t="shared" ref="C75:AQ75" ca="1" si="54">EBlackScholesForward("p",C$20,$A$75,C$22,$C$6,$C$6,$C$7,C$21)</f>
        <v>#VALUE!</v>
      </c>
      <c r="D75" s="32" t="e">
        <f t="shared" ca="1" si="54"/>
        <v>#VALUE!</v>
      </c>
      <c r="E75" s="32" t="e">
        <f t="shared" ca="1" si="54"/>
        <v>#VALUE!</v>
      </c>
      <c r="F75" s="32" t="e">
        <f t="shared" ca="1" si="54"/>
        <v>#VALUE!</v>
      </c>
      <c r="G75" s="32" t="e">
        <f t="shared" ca="1" si="54"/>
        <v>#VALUE!</v>
      </c>
      <c r="H75" s="32" t="e">
        <f t="shared" ca="1" si="54"/>
        <v>#VALUE!</v>
      </c>
      <c r="I75" s="32" t="e">
        <f t="shared" ca="1" si="54"/>
        <v>#VALUE!</v>
      </c>
      <c r="J75" s="32" t="e">
        <f t="shared" ca="1" si="54"/>
        <v>#VALUE!</v>
      </c>
      <c r="K75" s="32" t="e">
        <f t="shared" ca="1" si="54"/>
        <v>#VALUE!</v>
      </c>
      <c r="L75" s="32" t="e">
        <f t="shared" ca="1" si="54"/>
        <v>#VALUE!</v>
      </c>
      <c r="M75" s="32" t="e">
        <f t="shared" ca="1" si="54"/>
        <v>#VALUE!</v>
      </c>
      <c r="N75" s="32" t="e">
        <f t="shared" ca="1" si="54"/>
        <v>#VALUE!</v>
      </c>
      <c r="O75" s="32" t="e">
        <f t="shared" ca="1" si="54"/>
        <v>#VALUE!</v>
      </c>
      <c r="P75" s="32" t="e">
        <f t="shared" ca="1" si="54"/>
        <v>#VALUE!</v>
      </c>
      <c r="Q75" s="32" t="e">
        <f t="shared" ca="1" si="54"/>
        <v>#VALUE!</v>
      </c>
      <c r="R75" s="32" t="e">
        <f t="shared" ca="1" si="54"/>
        <v>#VALUE!</v>
      </c>
      <c r="S75" s="32" t="e">
        <f t="shared" ca="1" si="54"/>
        <v>#VALUE!</v>
      </c>
      <c r="T75" s="32" t="e">
        <f t="shared" ca="1" si="54"/>
        <v>#VALUE!</v>
      </c>
      <c r="U75" s="32" t="e">
        <f t="shared" ca="1" si="54"/>
        <v>#VALUE!</v>
      </c>
      <c r="V75" s="32" t="e">
        <f t="shared" ca="1" si="54"/>
        <v>#VALUE!</v>
      </c>
      <c r="W75" s="76" t="e">
        <f t="shared" ca="1" si="54"/>
        <v>#VALUE!</v>
      </c>
      <c r="X75" s="32" t="e">
        <f t="shared" ca="1" si="54"/>
        <v>#VALUE!</v>
      </c>
      <c r="Y75" s="32" t="e">
        <f t="shared" ca="1" si="54"/>
        <v>#VALUE!</v>
      </c>
      <c r="Z75" s="32" t="e">
        <f t="shared" ca="1" si="54"/>
        <v>#VALUE!</v>
      </c>
      <c r="AA75" s="32" t="e">
        <f t="shared" ca="1" si="54"/>
        <v>#VALUE!</v>
      </c>
      <c r="AB75" s="32" t="e">
        <f t="shared" ca="1" si="54"/>
        <v>#VALUE!</v>
      </c>
      <c r="AC75" s="32" t="e">
        <f t="shared" ca="1" si="54"/>
        <v>#VALUE!</v>
      </c>
      <c r="AD75" s="32" t="e">
        <f t="shared" ca="1" si="54"/>
        <v>#VALUE!</v>
      </c>
      <c r="AE75" s="32" t="e">
        <f t="shared" ca="1" si="54"/>
        <v>#VALUE!</v>
      </c>
      <c r="AF75" s="32" t="e">
        <f t="shared" ca="1" si="54"/>
        <v>#VALUE!</v>
      </c>
      <c r="AG75" s="32" t="e">
        <f t="shared" ca="1" si="54"/>
        <v>#VALUE!</v>
      </c>
      <c r="AH75" s="32" t="e">
        <f t="shared" ca="1" si="54"/>
        <v>#VALUE!</v>
      </c>
      <c r="AI75" s="32" t="e">
        <f t="shared" ca="1" si="54"/>
        <v>#VALUE!</v>
      </c>
      <c r="AJ75" s="32" t="e">
        <f t="shared" ca="1" si="54"/>
        <v>#VALUE!</v>
      </c>
      <c r="AK75" s="32" t="e">
        <f t="shared" ca="1" si="54"/>
        <v>#VALUE!</v>
      </c>
      <c r="AL75" s="32" t="e">
        <f t="shared" ca="1" si="54"/>
        <v>#VALUE!</v>
      </c>
      <c r="AM75" s="32" t="e">
        <f t="shared" ca="1" si="54"/>
        <v>#VALUE!</v>
      </c>
      <c r="AN75" s="32" t="e">
        <f t="shared" ca="1" si="54"/>
        <v>#VALUE!</v>
      </c>
      <c r="AO75" s="32" t="e">
        <f t="shared" ca="1" si="54"/>
        <v>#VALUE!</v>
      </c>
      <c r="AP75" s="32" t="e">
        <f t="shared" ca="1" si="54"/>
        <v>#VALUE!</v>
      </c>
      <c r="AQ75" s="32" t="e">
        <f t="shared" ca="1" si="54"/>
        <v>#VALUE!</v>
      </c>
    </row>
    <row r="76" spans="1:43" ht="11.25" customHeight="1" outlineLevel="1">
      <c r="A76" s="33"/>
      <c r="B76" s="31" t="s">
        <v>74</v>
      </c>
      <c r="C76" s="32" t="e">
        <f t="shared" ref="C76:AQ76" ca="1" si="55">EBlackScholesForward($FA$3,C$20,$A$75,C$22,$C$6,$C$6,$C$7,C$21)</f>
        <v>#VALUE!</v>
      </c>
      <c r="D76" s="32" t="e">
        <f t="shared" ca="1" si="55"/>
        <v>#VALUE!</v>
      </c>
      <c r="E76" s="32" t="e">
        <f t="shared" ca="1" si="55"/>
        <v>#VALUE!</v>
      </c>
      <c r="F76" s="32" t="e">
        <f t="shared" ca="1" si="55"/>
        <v>#VALUE!</v>
      </c>
      <c r="G76" s="32" t="e">
        <f t="shared" ca="1" si="55"/>
        <v>#VALUE!</v>
      </c>
      <c r="H76" s="32" t="e">
        <f t="shared" ca="1" si="55"/>
        <v>#VALUE!</v>
      </c>
      <c r="I76" s="32" t="e">
        <f t="shared" ca="1" si="55"/>
        <v>#VALUE!</v>
      </c>
      <c r="J76" s="32" t="e">
        <f t="shared" ca="1" si="55"/>
        <v>#VALUE!</v>
      </c>
      <c r="K76" s="32" t="e">
        <f t="shared" ca="1" si="55"/>
        <v>#VALUE!</v>
      </c>
      <c r="L76" s="32" t="e">
        <f t="shared" ca="1" si="55"/>
        <v>#VALUE!</v>
      </c>
      <c r="M76" s="32" t="e">
        <f t="shared" ca="1" si="55"/>
        <v>#VALUE!</v>
      </c>
      <c r="N76" s="32" t="e">
        <f t="shared" ca="1" si="55"/>
        <v>#VALUE!</v>
      </c>
      <c r="O76" s="32" t="e">
        <f t="shared" ca="1" si="55"/>
        <v>#VALUE!</v>
      </c>
      <c r="P76" s="32" t="e">
        <f t="shared" ca="1" si="55"/>
        <v>#VALUE!</v>
      </c>
      <c r="Q76" s="32" t="e">
        <f t="shared" ca="1" si="55"/>
        <v>#VALUE!</v>
      </c>
      <c r="R76" s="32" t="e">
        <f t="shared" ca="1" si="55"/>
        <v>#VALUE!</v>
      </c>
      <c r="S76" s="32" t="e">
        <f t="shared" ca="1" si="55"/>
        <v>#VALUE!</v>
      </c>
      <c r="T76" s="32" t="e">
        <f t="shared" ca="1" si="55"/>
        <v>#VALUE!</v>
      </c>
      <c r="U76" s="32" t="e">
        <f t="shared" ca="1" si="55"/>
        <v>#VALUE!</v>
      </c>
      <c r="V76" s="32" t="e">
        <f t="shared" ca="1" si="55"/>
        <v>#VALUE!</v>
      </c>
      <c r="W76" s="76" t="e">
        <f t="shared" ca="1" si="55"/>
        <v>#VALUE!</v>
      </c>
      <c r="X76" s="32" t="e">
        <f t="shared" ca="1" si="55"/>
        <v>#VALUE!</v>
      </c>
      <c r="Y76" s="32" t="e">
        <f t="shared" ca="1" si="55"/>
        <v>#VALUE!</v>
      </c>
      <c r="Z76" s="32" t="e">
        <f t="shared" ca="1" si="55"/>
        <v>#VALUE!</v>
      </c>
      <c r="AA76" s="32" t="e">
        <f t="shared" ca="1" si="55"/>
        <v>#VALUE!</v>
      </c>
      <c r="AB76" s="32" t="e">
        <f t="shared" ca="1" si="55"/>
        <v>#VALUE!</v>
      </c>
      <c r="AC76" s="32" t="e">
        <f t="shared" ca="1" si="55"/>
        <v>#VALUE!</v>
      </c>
      <c r="AD76" s="32" t="e">
        <f t="shared" ca="1" si="55"/>
        <v>#VALUE!</v>
      </c>
      <c r="AE76" s="32" t="e">
        <f t="shared" ca="1" si="55"/>
        <v>#VALUE!</v>
      </c>
      <c r="AF76" s="32" t="e">
        <f t="shared" ca="1" si="55"/>
        <v>#VALUE!</v>
      </c>
      <c r="AG76" s="32" t="e">
        <f t="shared" ca="1" si="55"/>
        <v>#VALUE!</v>
      </c>
      <c r="AH76" s="32" t="e">
        <f t="shared" ca="1" si="55"/>
        <v>#VALUE!</v>
      </c>
      <c r="AI76" s="32" t="e">
        <f t="shared" ca="1" si="55"/>
        <v>#VALUE!</v>
      </c>
      <c r="AJ76" s="32" t="e">
        <f t="shared" ca="1" si="55"/>
        <v>#VALUE!</v>
      </c>
      <c r="AK76" s="32" t="e">
        <f t="shared" ca="1" si="55"/>
        <v>#VALUE!</v>
      </c>
      <c r="AL76" s="32" t="e">
        <f t="shared" ca="1" si="55"/>
        <v>#VALUE!</v>
      </c>
      <c r="AM76" s="32" t="e">
        <f t="shared" ca="1" si="55"/>
        <v>#VALUE!</v>
      </c>
      <c r="AN76" s="32" t="e">
        <f t="shared" ca="1" si="55"/>
        <v>#VALUE!</v>
      </c>
      <c r="AO76" s="32" t="e">
        <f t="shared" ca="1" si="55"/>
        <v>#VALUE!</v>
      </c>
      <c r="AP76" s="32" t="e">
        <f t="shared" ca="1" si="55"/>
        <v>#VALUE!</v>
      </c>
      <c r="AQ76" s="32" t="e">
        <f t="shared" ca="1" si="55"/>
        <v>#VALUE!</v>
      </c>
    </row>
    <row r="77" spans="1:43" ht="10.15" customHeight="1">
      <c r="A77" s="34">
        <f ca="1">A75+$C$12</f>
        <v>50.599999999999966</v>
      </c>
      <c r="B77" s="34" t="s">
        <v>71</v>
      </c>
      <c r="C77" s="35" t="e">
        <f t="shared" ref="C77:AQ77" ca="1" si="56">EBlackScholesForward("p",C$20,$A$77,C$22,$C$6,$C$6,$C$7,C$21)</f>
        <v>#VALUE!</v>
      </c>
      <c r="D77" s="35" t="e">
        <f t="shared" ca="1" si="56"/>
        <v>#VALUE!</v>
      </c>
      <c r="E77" s="35" t="e">
        <f t="shared" ca="1" si="56"/>
        <v>#VALUE!</v>
      </c>
      <c r="F77" s="35" t="e">
        <f t="shared" ca="1" si="56"/>
        <v>#VALUE!</v>
      </c>
      <c r="G77" s="35" t="e">
        <f t="shared" ca="1" si="56"/>
        <v>#VALUE!</v>
      </c>
      <c r="H77" s="35" t="e">
        <f t="shared" ca="1" si="56"/>
        <v>#VALUE!</v>
      </c>
      <c r="I77" s="35" t="e">
        <f t="shared" ca="1" si="56"/>
        <v>#VALUE!</v>
      </c>
      <c r="J77" s="35" t="e">
        <f t="shared" ca="1" si="56"/>
        <v>#VALUE!</v>
      </c>
      <c r="K77" s="35" t="e">
        <f t="shared" ca="1" si="56"/>
        <v>#VALUE!</v>
      </c>
      <c r="L77" s="35" t="e">
        <f t="shared" ca="1" si="56"/>
        <v>#VALUE!</v>
      </c>
      <c r="M77" s="35" t="e">
        <f t="shared" ca="1" si="56"/>
        <v>#VALUE!</v>
      </c>
      <c r="N77" s="35" t="e">
        <f t="shared" ca="1" si="56"/>
        <v>#VALUE!</v>
      </c>
      <c r="O77" s="35" t="e">
        <f t="shared" ca="1" si="56"/>
        <v>#VALUE!</v>
      </c>
      <c r="P77" s="35" t="e">
        <f t="shared" ca="1" si="56"/>
        <v>#VALUE!</v>
      </c>
      <c r="Q77" s="35" t="e">
        <f t="shared" ca="1" si="56"/>
        <v>#VALUE!</v>
      </c>
      <c r="R77" s="35" t="e">
        <f t="shared" ca="1" si="56"/>
        <v>#VALUE!</v>
      </c>
      <c r="S77" s="35" t="e">
        <f t="shared" ca="1" si="56"/>
        <v>#VALUE!</v>
      </c>
      <c r="T77" s="35" t="e">
        <f t="shared" ca="1" si="56"/>
        <v>#VALUE!</v>
      </c>
      <c r="U77" s="35" t="e">
        <f t="shared" ca="1" si="56"/>
        <v>#VALUE!</v>
      </c>
      <c r="V77" s="35" t="e">
        <f t="shared" ca="1" si="56"/>
        <v>#VALUE!</v>
      </c>
      <c r="W77" s="77" t="e">
        <f t="shared" ca="1" si="56"/>
        <v>#VALUE!</v>
      </c>
      <c r="X77" s="35" t="e">
        <f t="shared" ca="1" si="56"/>
        <v>#VALUE!</v>
      </c>
      <c r="Y77" s="35" t="e">
        <f t="shared" ca="1" si="56"/>
        <v>#VALUE!</v>
      </c>
      <c r="Z77" s="35" t="e">
        <f t="shared" ca="1" si="56"/>
        <v>#VALUE!</v>
      </c>
      <c r="AA77" s="35" t="e">
        <f t="shared" ca="1" si="56"/>
        <v>#VALUE!</v>
      </c>
      <c r="AB77" s="35" t="e">
        <f t="shared" ca="1" si="56"/>
        <v>#VALUE!</v>
      </c>
      <c r="AC77" s="35" t="e">
        <f t="shared" ca="1" si="56"/>
        <v>#VALUE!</v>
      </c>
      <c r="AD77" s="35" t="e">
        <f t="shared" ca="1" si="56"/>
        <v>#VALUE!</v>
      </c>
      <c r="AE77" s="35" t="e">
        <f t="shared" ca="1" si="56"/>
        <v>#VALUE!</v>
      </c>
      <c r="AF77" s="35" t="e">
        <f t="shared" ca="1" si="56"/>
        <v>#VALUE!</v>
      </c>
      <c r="AG77" s="35" t="e">
        <f t="shared" ca="1" si="56"/>
        <v>#VALUE!</v>
      </c>
      <c r="AH77" s="35" t="e">
        <f t="shared" ca="1" si="56"/>
        <v>#VALUE!</v>
      </c>
      <c r="AI77" s="35" t="e">
        <f t="shared" ca="1" si="56"/>
        <v>#VALUE!</v>
      </c>
      <c r="AJ77" s="35" t="e">
        <f t="shared" ca="1" si="56"/>
        <v>#VALUE!</v>
      </c>
      <c r="AK77" s="35" t="e">
        <f t="shared" ca="1" si="56"/>
        <v>#VALUE!</v>
      </c>
      <c r="AL77" s="35" t="e">
        <f t="shared" ca="1" si="56"/>
        <v>#VALUE!</v>
      </c>
      <c r="AM77" s="35" t="e">
        <f t="shared" ca="1" si="56"/>
        <v>#VALUE!</v>
      </c>
      <c r="AN77" s="35" t="e">
        <f t="shared" ca="1" si="56"/>
        <v>#VALUE!</v>
      </c>
      <c r="AO77" s="35" t="e">
        <f t="shared" ca="1" si="56"/>
        <v>#VALUE!</v>
      </c>
      <c r="AP77" s="35" t="e">
        <f t="shared" ca="1" si="56"/>
        <v>#VALUE!</v>
      </c>
      <c r="AQ77" s="35" t="e">
        <f t="shared" ca="1" si="56"/>
        <v>#VALUE!</v>
      </c>
    </row>
    <row r="78" spans="1:43" ht="10.15" customHeight="1" outlineLevel="1">
      <c r="A78" s="36"/>
      <c r="B78" s="34" t="s">
        <v>74</v>
      </c>
      <c r="C78" s="35" t="e">
        <f t="shared" ref="C78:AQ78" ca="1" si="57">EBlackScholesForward($FA$3,C$20,$A$77,C$22,$C$6,$C$6,$C$7,C$21)</f>
        <v>#VALUE!</v>
      </c>
      <c r="D78" s="35" t="e">
        <f t="shared" ca="1" si="57"/>
        <v>#VALUE!</v>
      </c>
      <c r="E78" s="35" t="e">
        <f t="shared" ca="1" si="57"/>
        <v>#VALUE!</v>
      </c>
      <c r="F78" s="35" t="e">
        <f t="shared" ca="1" si="57"/>
        <v>#VALUE!</v>
      </c>
      <c r="G78" s="35" t="e">
        <f t="shared" ca="1" si="57"/>
        <v>#VALUE!</v>
      </c>
      <c r="H78" s="35" t="e">
        <f t="shared" ca="1" si="57"/>
        <v>#VALUE!</v>
      </c>
      <c r="I78" s="35" t="e">
        <f t="shared" ca="1" si="57"/>
        <v>#VALUE!</v>
      </c>
      <c r="J78" s="35" t="e">
        <f t="shared" ca="1" si="57"/>
        <v>#VALUE!</v>
      </c>
      <c r="K78" s="35" t="e">
        <f t="shared" ca="1" si="57"/>
        <v>#VALUE!</v>
      </c>
      <c r="L78" s="35" t="e">
        <f t="shared" ca="1" si="57"/>
        <v>#VALUE!</v>
      </c>
      <c r="M78" s="35" t="e">
        <f t="shared" ca="1" si="57"/>
        <v>#VALUE!</v>
      </c>
      <c r="N78" s="35" t="e">
        <f t="shared" ca="1" si="57"/>
        <v>#VALUE!</v>
      </c>
      <c r="O78" s="35" t="e">
        <f t="shared" ca="1" si="57"/>
        <v>#VALUE!</v>
      </c>
      <c r="P78" s="35" t="e">
        <f t="shared" ca="1" si="57"/>
        <v>#VALUE!</v>
      </c>
      <c r="Q78" s="35" t="e">
        <f t="shared" ca="1" si="57"/>
        <v>#VALUE!</v>
      </c>
      <c r="R78" s="35" t="e">
        <f t="shared" ca="1" si="57"/>
        <v>#VALUE!</v>
      </c>
      <c r="S78" s="35" t="e">
        <f t="shared" ca="1" si="57"/>
        <v>#VALUE!</v>
      </c>
      <c r="T78" s="35" t="e">
        <f t="shared" ca="1" si="57"/>
        <v>#VALUE!</v>
      </c>
      <c r="U78" s="35" t="e">
        <f t="shared" ca="1" si="57"/>
        <v>#VALUE!</v>
      </c>
      <c r="V78" s="35" t="e">
        <f t="shared" ca="1" si="57"/>
        <v>#VALUE!</v>
      </c>
      <c r="W78" s="77" t="e">
        <f t="shared" ca="1" si="57"/>
        <v>#VALUE!</v>
      </c>
      <c r="X78" s="35" t="e">
        <f t="shared" ca="1" si="57"/>
        <v>#VALUE!</v>
      </c>
      <c r="Y78" s="35" t="e">
        <f t="shared" ca="1" si="57"/>
        <v>#VALUE!</v>
      </c>
      <c r="Z78" s="35" t="e">
        <f t="shared" ca="1" si="57"/>
        <v>#VALUE!</v>
      </c>
      <c r="AA78" s="35" t="e">
        <f t="shared" ca="1" si="57"/>
        <v>#VALUE!</v>
      </c>
      <c r="AB78" s="35" t="e">
        <f t="shared" ca="1" si="57"/>
        <v>#VALUE!</v>
      </c>
      <c r="AC78" s="35" t="e">
        <f t="shared" ca="1" si="57"/>
        <v>#VALUE!</v>
      </c>
      <c r="AD78" s="35" t="e">
        <f t="shared" ca="1" si="57"/>
        <v>#VALUE!</v>
      </c>
      <c r="AE78" s="35" t="e">
        <f t="shared" ca="1" si="57"/>
        <v>#VALUE!</v>
      </c>
      <c r="AF78" s="35" t="e">
        <f t="shared" ca="1" si="57"/>
        <v>#VALUE!</v>
      </c>
      <c r="AG78" s="35" t="e">
        <f t="shared" ca="1" si="57"/>
        <v>#VALUE!</v>
      </c>
      <c r="AH78" s="35" t="e">
        <f t="shared" ca="1" si="57"/>
        <v>#VALUE!</v>
      </c>
      <c r="AI78" s="35" t="e">
        <f t="shared" ca="1" si="57"/>
        <v>#VALUE!</v>
      </c>
      <c r="AJ78" s="35" t="e">
        <f t="shared" ca="1" si="57"/>
        <v>#VALUE!</v>
      </c>
      <c r="AK78" s="35" t="e">
        <f t="shared" ca="1" si="57"/>
        <v>#VALUE!</v>
      </c>
      <c r="AL78" s="35" t="e">
        <f t="shared" ca="1" si="57"/>
        <v>#VALUE!</v>
      </c>
      <c r="AM78" s="35" t="e">
        <f t="shared" ca="1" si="57"/>
        <v>#VALUE!</v>
      </c>
      <c r="AN78" s="35" t="e">
        <f t="shared" ca="1" si="57"/>
        <v>#VALUE!</v>
      </c>
      <c r="AO78" s="35" t="e">
        <f t="shared" ca="1" si="57"/>
        <v>#VALUE!</v>
      </c>
      <c r="AP78" s="35" t="e">
        <f t="shared" ca="1" si="57"/>
        <v>#VALUE!</v>
      </c>
      <c r="AQ78" s="35" t="e">
        <f t="shared" ca="1" si="57"/>
        <v>#VALUE!</v>
      </c>
    </row>
    <row r="79" spans="1:43" ht="10.15" customHeight="1">
      <c r="A79" s="31">
        <f ca="1">A77+$C$12</f>
        <v>50.649999999999963</v>
      </c>
      <c r="B79" s="31" t="s">
        <v>71</v>
      </c>
      <c r="C79" s="32" t="e">
        <f t="shared" ref="C79:AQ79" ca="1" si="58">EBlackScholesForward("p",C$20,$A$79,C$22,$C$6,$C$6,$C$7,C$21)</f>
        <v>#VALUE!</v>
      </c>
      <c r="D79" s="32" t="e">
        <f t="shared" ca="1" si="58"/>
        <v>#VALUE!</v>
      </c>
      <c r="E79" s="32" t="e">
        <f t="shared" ca="1" si="58"/>
        <v>#VALUE!</v>
      </c>
      <c r="F79" s="32" t="e">
        <f t="shared" ca="1" si="58"/>
        <v>#VALUE!</v>
      </c>
      <c r="G79" s="32" t="e">
        <f t="shared" ca="1" si="58"/>
        <v>#VALUE!</v>
      </c>
      <c r="H79" s="32" t="e">
        <f t="shared" ca="1" si="58"/>
        <v>#VALUE!</v>
      </c>
      <c r="I79" s="32" t="e">
        <f t="shared" ca="1" si="58"/>
        <v>#VALUE!</v>
      </c>
      <c r="J79" s="32" t="e">
        <f t="shared" ca="1" si="58"/>
        <v>#VALUE!</v>
      </c>
      <c r="K79" s="32" t="e">
        <f t="shared" ca="1" si="58"/>
        <v>#VALUE!</v>
      </c>
      <c r="L79" s="32" t="e">
        <f t="shared" ca="1" si="58"/>
        <v>#VALUE!</v>
      </c>
      <c r="M79" s="32" t="e">
        <f t="shared" ca="1" si="58"/>
        <v>#VALUE!</v>
      </c>
      <c r="N79" s="32" t="e">
        <f t="shared" ca="1" si="58"/>
        <v>#VALUE!</v>
      </c>
      <c r="O79" s="32" t="e">
        <f t="shared" ca="1" si="58"/>
        <v>#VALUE!</v>
      </c>
      <c r="P79" s="32" t="e">
        <f t="shared" ca="1" si="58"/>
        <v>#VALUE!</v>
      </c>
      <c r="Q79" s="32" t="e">
        <f t="shared" ca="1" si="58"/>
        <v>#VALUE!</v>
      </c>
      <c r="R79" s="32" t="e">
        <f t="shared" ca="1" si="58"/>
        <v>#VALUE!</v>
      </c>
      <c r="S79" s="32" t="e">
        <f t="shared" ca="1" si="58"/>
        <v>#VALUE!</v>
      </c>
      <c r="T79" s="32" t="e">
        <f t="shared" ca="1" si="58"/>
        <v>#VALUE!</v>
      </c>
      <c r="U79" s="32" t="e">
        <f t="shared" ca="1" si="58"/>
        <v>#VALUE!</v>
      </c>
      <c r="V79" s="32" t="e">
        <f t="shared" ca="1" si="58"/>
        <v>#VALUE!</v>
      </c>
      <c r="W79" s="76" t="e">
        <f t="shared" ca="1" si="58"/>
        <v>#VALUE!</v>
      </c>
      <c r="X79" s="32" t="e">
        <f t="shared" ca="1" si="58"/>
        <v>#VALUE!</v>
      </c>
      <c r="Y79" s="32" t="e">
        <f t="shared" ca="1" si="58"/>
        <v>#VALUE!</v>
      </c>
      <c r="Z79" s="32" t="e">
        <f t="shared" ca="1" si="58"/>
        <v>#VALUE!</v>
      </c>
      <c r="AA79" s="32" t="e">
        <f t="shared" ca="1" si="58"/>
        <v>#VALUE!</v>
      </c>
      <c r="AB79" s="32" t="e">
        <f t="shared" ca="1" si="58"/>
        <v>#VALUE!</v>
      </c>
      <c r="AC79" s="32" t="e">
        <f t="shared" ca="1" si="58"/>
        <v>#VALUE!</v>
      </c>
      <c r="AD79" s="32" t="e">
        <f t="shared" ca="1" si="58"/>
        <v>#VALUE!</v>
      </c>
      <c r="AE79" s="32" t="e">
        <f t="shared" ca="1" si="58"/>
        <v>#VALUE!</v>
      </c>
      <c r="AF79" s="32" t="e">
        <f t="shared" ca="1" si="58"/>
        <v>#VALUE!</v>
      </c>
      <c r="AG79" s="32" t="e">
        <f t="shared" ca="1" si="58"/>
        <v>#VALUE!</v>
      </c>
      <c r="AH79" s="32" t="e">
        <f t="shared" ca="1" si="58"/>
        <v>#VALUE!</v>
      </c>
      <c r="AI79" s="32" t="e">
        <f t="shared" ca="1" si="58"/>
        <v>#VALUE!</v>
      </c>
      <c r="AJ79" s="32" t="e">
        <f t="shared" ca="1" si="58"/>
        <v>#VALUE!</v>
      </c>
      <c r="AK79" s="32" t="e">
        <f t="shared" ca="1" si="58"/>
        <v>#VALUE!</v>
      </c>
      <c r="AL79" s="32" t="e">
        <f t="shared" ca="1" si="58"/>
        <v>#VALUE!</v>
      </c>
      <c r="AM79" s="32" t="e">
        <f t="shared" ca="1" si="58"/>
        <v>#VALUE!</v>
      </c>
      <c r="AN79" s="32" t="e">
        <f t="shared" ca="1" si="58"/>
        <v>#VALUE!</v>
      </c>
      <c r="AO79" s="32" t="e">
        <f t="shared" ca="1" si="58"/>
        <v>#VALUE!</v>
      </c>
      <c r="AP79" s="32" t="e">
        <f t="shared" ca="1" si="58"/>
        <v>#VALUE!</v>
      </c>
      <c r="AQ79" s="32" t="e">
        <f t="shared" ca="1" si="58"/>
        <v>#VALUE!</v>
      </c>
    </row>
    <row r="80" spans="1:43" ht="10.15" customHeight="1" outlineLevel="1">
      <c r="A80" s="33"/>
      <c r="B80" s="31" t="s">
        <v>74</v>
      </c>
      <c r="C80" s="32" t="e">
        <f t="shared" ref="C80:AQ80" ca="1" si="59">EBlackScholesForward($FA$3,C$20,$A$79,C$22,$C$6,$C$6,$C$7,C$21)</f>
        <v>#VALUE!</v>
      </c>
      <c r="D80" s="32" t="e">
        <f t="shared" ca="1" si="59"/>
        <v>#VALUE!</v>
      </c>
      <c r="E80" s="32" t="e">
        <f t="shared" ca="1" si="59"/>
        <v>#VALUE!</v>
      </c>
      <c r="F80" s="32" t="e">
        <f t="shared" ca="1" si="59"/>
        <v>#VALUE!</v>
      </c>
      <c r="G80" s="32" t="e">
        <f t="shared" ca="1" si="59"/>
        <v>#VALUE!</v>
      </c>
      <c r="H80" s="32" t="e">
        <f t="shared" ca="1" si="59"/>
        <v>#VALUE!</v>
      </c>
      <c r="I80" s="32" t="e">
        <f t="shared" ca="1" si="59"/>
        <v>#VALUE!</v>
      </c>
      <c r="J80" s="32" t="e">
        <f t="shared" ca="1" si="59"/>
        <v>#VALUE!</v>
      </c>
      <c r="K80" s="32" t="e">
        <f t="shared" ca="1" si="59"/>
        <v>#VALUE!</v>
      </c>
      <c r="L80" s="32" t="e">
        <f t="shared" ca="1" si="59"/>
        <v>#VALUE!</v>
      </c>
      <c r="M80" s="32" t="e">
        <f t="shared" ca="1" si="59"/>
        <v>#VALUE!</v>
      </c>
      <c r="N80" s="32" t="e">
        <f t="shared" ca="1" si="59"/>
        <v>#VALUE!</v>
      </c>
      <c r="O80" s="32" t="e">
        <f t="shared" ca="1" si="59"/>
        <v>#VALUE!</v>
      </c>
      <c r="P80" s="32" t="e">
        <f t="shared" ca="1" si="59"/>
        <v>#VALUE!</v>
      </c>
      <c r="Q80" s="32" t="e">
        <f t="shared" ca="1" si="59"/>
        <v>#VALUE!</v>
      </c>
      <c r="R80" s="32" t="e">
        <f t="shared" ca="1" si="59"/>
        <v>#VALUE!</v>
      </c>
      <c r="S80" s="32" t="e">
        <f t="shared" ca="1" si="59"/>
        <v>#VALUE!</v>
      </c>
      <c r="T80" s="32" t="e">
        <f t="shared" ca="1" si="59"/>
        <v>#VALUE!</v>
      </c>
      <c r="U80" s="32" t="e">
        <f t="shared" ca="1" si="59"/>
        <v>#VALUE!</v>
      </c>
      <c r="V80" s="32" t="e">
        <f t="shared" ca="1" si="59"/>
        <v>#VALUE!</v>
      </c>
      <c r="W80" s="76" t="e">
        <f t="shared" ca="1" si="59"/>
        <v>#VALUE!</v>
      </c>
      <c r="X80" s="32" t="e">
        <f t="shared" ca="1" si="59"/>
        <v>#VALUE!</v>
      </c>
      <c r="Y80" s="32" t="e">
        <f t="shared" ca="1" si="59"/>
        <v>#VALUE!</v>
      </c>
      <c r="Z80" s="32" t="e">
        <f t="shared" ca="1" si="59"/>
        <v>#VALUE!</v>
      </c>
      <c r="AA80" s="32" t="e">
        <f t="shared" ca="1" si="59"/>
        <v>#VALUE!</v>
      </c>
      <c r="AB80" s="32" t="e">
        <f t="shared" ca="1" si="59"/>
        <v>#VALUE!</v>
      </c>
      <c r="AC80" s="32" t="e">
        <f t="shared" ca="1" si="59"/>
        <v>#VALUE!</v>
      </c>
      <c r="AD80" s="32" t="e">
        <f t="shared" ca="1" si="59"/>
        <v>#VALUE!</v>
      </c>
      <c r="AE80" s="32" t="e">
        <f t="shared" ca="1" si="59"/>
        <v>#VALUE!</v>
      </c>
      <c r="AF80" s="32" t="e">
        <f t="shared" ca="1" si="59"/>
        <v>#VALUE!</v>
      </c>
      <c r="AG80" s="32" t="e">
        <f t="shared" ca="1" si="59"/>
        <v>#VALUE!</v>
      </c>
      <c r="AH80" s="32" t="e">
        <f t="shared" ca="1" si="59"/>
        <v>#VALUE!</v>
      </c>
      <c r="AI80" s="32" t="e">
        <f t="shared" ca="1" si="59"/>
        <v>#VALUE!</v>
      </c>
      <c r="AJ80" s="32" t="e">
        <f t="shared" ca="1" si="59"/>
        <v>#VALUE!</v>
      </c>
      <c r="AK80" s="32" t="e">
        <f t="shared" ca="1" si="59"/>
        <v>#VALUE!</v>
      </c>
      <c r="AL80" s="32" t="e">
        <f t="shared" ca="1" si="59"/>
        <v>#VALUE!</v>
      </c>
      <c r="AM80" s="32" t="e">
        <f t="shared" ca="1" si="59"/>
        <v>#VALUE!</v>
      </c>
      <c r="AN80" s="32" t="e">
        <f t="shared" ca="1" si="59"/>
        <v>#VALUE!</v>
      </c>
      <c r="AO80" s="32" t="e">
        <f t="shared" ca="1" si="59"/>
        <v>#VALUE!</v>
      </c>
      <c r="AP80" s="32" t="e">
        <f t="shared" ca="1" si="59"/>
        <v>#VALUE!</v>
      </c>
      <c r="AQ80" s="32" t="e">
        <f t="shared" ca="1" si="59"/>
        <v>#VALUE!</v>
      </c>
    </row>
    <row r="81" spans="1:43" ht="10.15" customHeight="1">
      <c r="A81" s="34">
        <f ca="1">A79+$C$12</f>
        <v>50.69999999999996</v>
      </c>
      <c r="B81" s="34" t="s">
        <v>71</v>
      </c>
      <c r="C81" s="35" t="e">
        <f t="shared" ref="C81:AQ81" ca="1" si="60">EBlackScholesForward("p",C$20,$A$81,C$22,$C$6,$C$6,$C$7,C$21)</f>
        <v>#VALUE!</v>
      </c>
      <c r="D81" s="35" t="e">
        <f t="shared" ca="1" si="60"/>
        <v>#VALUE!</v>
      </c>
      <c r="E81" s="35" t="e">
        <f t="shared" ca="1" si="60"/>
        <v>#VALUE!</v>
      </c>
      <c r="F81" s="35" t="e">
        <f t="shared" ca="1" si="60"/>
        <v>#VALUE!</v>
      </c>
      <c r="G81" s="35" t="e">
        <f t="shared" ca="1" si="60"/>
        <v>#VALUE!</v>
      </c>
      <c r="H81" s="35" t="e">
        <f t="shared" ca="1" si="60"/>
        <v>#VALUE!</v>
      </c>
      <c r="I81" s="35" t="e">
        <f t="shared" ca="1" si="60"/>
        <v>#VALUE!</v>
      </c>
      <c r="J81" s="35" t="e">
        <f t="shared" ca="1" si="60"/>
        <v>#VALUE!</v>
      </c>
      <c r="K81" s="35" t="e">
        <f t="shared" ca="1" si="60"/>
        <v>#VALUE!</v>
      </c>
      <c r="L81" s="35" t="e">
        <f t="shared" ca="1" si="60"/>
        <v>#VALUE!</v>
      </c>
      <c r="M81" s="35" t="e">
        <f t="shared" ca="1" si="60"/>
        <v>#VALUE!</v>
      </c>
      <c r="N81" s="35" t="e">
        <f t="shared" ca="1" si="60"/>
        <v>#VALUE!</v>
      </c>
      <c r="O81" s="35" t="e">
        <f t="shared" ca="1" si="60"/>
        <v>#VALUE!</v>
      </c>
      <c r="P81" s="35" t="e">
        <f t="shared" ca="1" si="60"/>
        <v>#VALUE!</v>
      </c>
      <c r="Q81" s="35" t="e">
        <f t="shared" ca="1" si="60"/>
        <v>#VALUE!</v>
      </c>
      <c r="R81" s="35" t="e">
        <f t="shared" ca="1" si="60"/>
        <v>#VALUE!</v>
      </c>
      <c r="S81" s="35" t="e">
        <f t="shared" ca="1" si="60"/>
        <v>#VALUE!</v>
      </c>
      <c r="T81" s="35" t="e">
        <f t="shared" ca="1" si="60"/>
        <v>#VALUE!</v>
      </c>
      <c r="U81" s="35" t="e">
        <f t="shared" ca="1" si="60"/>
        <v>#VALUE!</v>
      </c>
      <c r="V81" s="35" t="e">
        <f t="shared" ca="1" si="60"/>
        <v>#VALUE!</v>
      </c>
      <c r="W81" s="77" t="e">
        <f t="shared" ca="1" si="60"/>
        <v>#VALUE!</v>
      </c>
      <c r="X81" s="35" t="e">
        <f t="shared" ca="1" si="60"/>
        <v>#VALUE!</v>
      </c>
      <c r="Y81" s="35" t="e">
        <f t="shared" ca="1" si="60"/>
        <v>#VALUE!</v>
      </c>
      <c r="Z81" s="35" t="e">
        <f t="shared" ca="1" si="60"/>
        <v>#VALUE!</v>
      </c>
      <c r="AA81" s="35" t="e">
        <f t="shared" ca="1" si="60"/>
        <v>#VALUE!</v>
      </c>
      <c r="AB81" s="35" t="e">
        <f t="shared" ca="1" si="60"/>
        <v>#VALUE!</v>
      </c>
      <c r="AC81" s="35" t="e">
        <f t="shared" ca="1" si="60"/>
        <v>#VALUE!</v>
      </c>
      <c r="AD81" s="35" t="e">
        <f t="shared" ca="1" si="60"/>
        <v>#VALUE!</v>
      </c>
      <c r="AE81" s="35" t="e">
        <f t="shared" ca="1" si="60"/>
        <v>#VALUE!</v>
      </c>
      <c r="AF81" s="35" t="e">
        <f t="shared" ca="1" si="60"/>
        <v>#VALUE!</v>
      </c>
      <c r="AG81" s="35" t="e">
        <f t="shared" ca="1" si="60"/>
        <v>#VALUE!</v>
      </c>
      <c r="AH81" s="35" t="e">
        <f t="shared" ca="1" si="60"/>
        <v>#VALUE!</v>
      </c>
      <c r="AI81" s="35" t="e">
        <f t="shared" ca="1" si="60"/>
        <v>#VALUE!</v>
      </c>
      <c r="AJ81" s="35" t="e">
        <f t="shared" ca="1" si="60"/>
        <v>#VALUE!</v>
      </c>
      <c r="AK81" s="35" t="e">
        <f t="shared" ca="1" si="60"/>
        <v>#VALUE!</v>
      </c>
      <c r="AL81" s="35" t="e">
        <f t="shared" ca="1" si="60"/>
        <v>#VALUE!</v>
      </c>
      <c r="AM81" s="35" t="e">
        <f t="shared" ca="1" si="60"/>
        <v>#VALUE!</v>
      </c>
      <c r="AN81" s="35" t="e">
        <f t="shared" ca="1" si="60"/>
        <v>#VALUE!</v>
      </c>
      <c r="AO81" s="35" t="e">
        <f t="shared" ca="1" si="60"/>
        <v>#VALUE!</v>
      </c>
      <c r="AP81" s="35" t="e">
        <f t="shared" ca="1" si="60"/>
        <v>#VALUE!</v>
      </c>
      <c r="AQ81" s="35" t="e">
        <f t="shared" ca="1" si="60"/>
        <v>#VALUE!</v>
      </c>
    </row>
    <row r="82" spans="1:43" ht="10.15" customHeight="1" outlineLevel="1">
      <c r="A82" s="36"/>
      <c r="B82" s="34" t="s">
        <v>74</v>
      </c>
      <c r="C82" s="35" t="e">
        <f t="shared" ref="C82:AQ82" ca="1" si="61">EBlackScholesForward($FA$3,C$20,$A$81,C$22,$C$6,$C$6,$C$7,C$21)</f>
        <v>#VALUE!</v>
      </c>
      <c r="D82" s="35" t="e">
        <f t="shared" ca="1" si="61"/>
        <v>#VALUE!</v>
      </c>
      <c r="E82" s="35" t="e">
        <f t="shared" ca="1" si="61"/>
        <v>#VALUE!</v>
      </c>
      <c r="F82" s="35" t="e">
        <f t="shared" ca="1" si="61"/>
        <v>#VALUE!</v>
      </c>
      <c r="G82" s="35" t="e">
        <f t="shared" ca="1" si="61"/>
        <v>#VALUE!</v>
      </c>
      <c r="H82" s="35" t="e">
        <f t="shared" ca="1" si="61"/>
        <v>#VALUE!</v>
      </c>
      <c r="I82" s="35" t="e">
        <f t="shared" ca="1" si="61"/>
        <v>#VALUE!</v>
      </c>
      <c r="J82" s="35" t="e">
        <f t="shared" ca="1" si="61"/>
        <v>#VALUE!</v>
      </c>
      <c r="K82" s="35" t="e">
        <f t="shared" ca="1" si="61"/>
        <v>#VALUE!</v>
      </c>
      <c r="L82" s="35" t="e">
        <f t="shared" ca="1" si="61"/>
        <v>#VALUE!</v>
      </c>
      <c r="M82" s="35" t="e">
        <f t="shared" ca="1" si="61"/>
        <v>#VALUE!</v>
      </c>
      <c r="N82" s="35" t="e">
        <f t="shared" ca="1" si="61"/>
        <v>#VALUE!</v>
      </c>
      <c r="O82" s="35" t="e">
        <f t="shared" ca="1" si="61"/>
        <v>#VALUE!</v>
      </c>
      <c r="P82" s="35" t="e">
        <f t="shared" ca="1" si="61"/>
        <v>#VALUE!</v>
      </c>
      <c r="Q82" s="35" t="e">
        <f t="shared" ca="1" si="61"/>
        <v>#VALUE!</v>
      </c>
      <c r="R82" s="35" t="e">
        <f t="shared" ca="1" si="61"/>
        <v>#VALUE!</v>
      </c>
      <c r="S82" s="35" t="e">
        <f t="shared" ca="1" si="61"/>
        <v>#VALUE!</v>
      </c>
      <c r="T82" s="35" t="e">
        <f t="shared" ca="1" si="61"/>
        <v>#VALUE!</v>
      </c>
      <c r="U82" s="35" t="e">
        <f t="shared" ca="1" si="61"/>
        <v>#VALUE!</v>
      </c>
      <c r="V82" s="35" t="e">
        <f t="shared" ca="1" si="61"/>
        <v>#VALUE!</v>
      </c>
      <c r="W82" s="77" t="e">
        <f t="shared" ca="1" si="61"/>
        <v>#VALUE!</v>
      </c>
      <c r="X82" s="35" t="e">
        <f t="shared" ca="1" si="61"/>
        <v>#VALUE!</v>
      </c>
      <c r="Y82" s="35" t="e">
        <f t="shared" ca="1" si="61"/>
        <v>#VALUE!</v>
      </c>
      <c r="Z82" s="35" t="e">
        <f t="shared" ca="1" si="61"/>
        <v>#VALUE!</v>
      </c>
      <c r="AA82" s="35" t="e">
        <f t="shared" ca="1" si="61"/>
        <v>#VALUE!</v>
      </c>
      <c r="AB82" s="35" t="e">
        <f t="shared" ca="1" si="61"/>
        <v>#VALUE!</v>
      </c>
      <c r="AC82" s="35" t="e">
        <f t="shared" ca="1" si="61"/>
        <v>#VALUE!</v>
      </c>
      <c r="AD82" s="35" t="e">
        <f t="shared" ca="1" si="61"/>
        <v>#VALUE!</v>
      </c>
      <c r="AE82" s="35" t="e">
        <f t="shared" ca="1" si="61"/>
        <v>#VALUE!</v>
      </c>
      <c r="AF82" s="35" t="e">
        <f t="shared" ca="1" si="61"/>
        <v>#VALUE!</v>
      </c>
      <c r="AG82" s="35" t="e">
        <f t="shared" ca="1" si="61"/>
        <v>#VALUE!</v>
      </c>
      <c r="AH82" s="35" t="e">
        <f t="shared" ca="1" si="61"/>
        <v>#VALUE!</v>
      </c>
      <c r="AI82" s="35" t="e">
        <f t="shared" ca="1" si="61"/>
        <v>#VALUE!</v>
      </c>
      <c r="AJ82" s="35" t="e">
        <f t="shared" ca="1" si="61"/>
        <v>#VALUE!</v>
      </c>
      <c r="AK82" s="35" t="e">
        <f t="shared" ca="1" si="61"/>
        <v>#VALUE!</v>
      </c>
      <c r="AL82" s="35" t="e">
        <f t="shared" ca="1" si="61"/>
        <v>#VALUE!</v>
      </c>
      <c r="AM82" s="35" t="e">
        <f t="shared" ca="1" si="61"/>
        <v>#VALUE!</v>
      </c>
      <c r="AN82" s="35" t="e">
        <f t="shared" ca="1" si="61"/>
        <v>#VALUE!</v>
      </c>
      <c r="AO82" s="35" t="e">
        <f t="shared" ca="1" si="61"/>
        <v>#VALUE!</v>
      </c>
      <c r="AP82" s="35" t="e">
        <f t="shared" ca="1" si="61"/>
        <v>#VALUE!</v>
      </c>
      <c r="AQ82" s="35" t="e">
        <f t="shared" ca="1" si="61"/>
        <v>#VALUE!</v>
      </c>
    </row>
    <row r="83" spans="1:43" ht="10.15" customHeight="1">
      <c r="A83" s="31">
        <f ca="1">A81+$C$12</f>
        <v>50.749999999999957</v>
      </c>
      <c r="B83" s="31" t="s">
        <v>71</v>
      </c>
      <c r="C83" s="32" t="e">
        <f t="shared" ref="C83:AQ83" ca="1" si="62">EBlackScholesForward("p",C$20,$A$83,C$22,$C$6,$C$6,$C$7,C$21)</f>
        <v>#VALUE!</v>
      </c>
      <c r="D83" s="32" t="e">
        <f t="shared" ca="1" si="62"/>
        <v>#VALUE!</v>
      </c>
      <c r="E83" s="32" t="e">
        <f t="shared" ca="1" si="62"/>
        <v>#VALUE!</v>
      </c>
      <c r="F83" s="32" t="e">
        <f t="shared" ca="1" si="62"/>
        <v>#VALUE!</v>
      </c>
      <c r="G83" s="32" t="e">
        <f t="shared" ca="1" si="62"/>
        <v>#VALUE!</v>
      </c>
      <c r="H83" s="32" t="e">
        <f t="shared" ca="1" si="62"/>
        <v>#VALUE!</v>
      </c>
      <c r="I83" s="32" t="e">
        <f t="shared" ca="1" si="62"/>
        <v>#VALUE!</v>
      </c>
      <c r="J83" s="32" t="e">
        <f t="shared" ca="1" si="62"/>
        <v>#VALUE!</v>
      </c>
      <c r="K83" s="32" t="e">
        <f t="shared" ca="1" si="62"/>
        <v>#VALUE!</v>
      </c>
      <c r="L83" s="32" t="e">
        <f t="shared" ca="1" si="62"/>
        <v>#VALUE!</v>
      </c>
      <c r="M83" s="32" t="e">
        <f t="shared" ca="1" si="62"/>
        <v>#VALUE!</v>
      </c>
      <c r="N83" s="32" t="e">
        <f t="shared" ca="1" si="62"/>
        <v>#VALUE!</v>
      </c>
      <c r="O83" s="32" t="e">
        <f t="shared" ca="1" si="62"/>
        <v>#VALUE!</v>
      </c>
      <c r="P83" s="32" t="e">
        <f t="shared" ca="1" si="62"/>
        <v>#VALUE!</v>
      </c>
      <c r="Q83" s="32" t="e">
        <f t="shared" ca="1" si="62"/>
        <v>#VALUE!</v>
      </c>
      <c r="R83" s="32" t="e">
        <f t="shared" ca="1" si="62"/>
        <v>#VALUE!</v>
      </c>
      <c r="S83" s="32" t="e">
        <f t="shared" ca="1" si="62"/>
        <v>#VALUE!</v>
      </c>
      <c r="T83" s="32" t="e">
        <f t="shared" ca="1" si="62"/>
        <v>#VALUE!</v>
      </c>
      <c r="U83" s="32" t="e">
        <f t="shared" ca="1" si="62"/>
        <v>#VALUE!</v>
      </c>
      <c r="V83" s="32" t="e">
        <f t="shared" ca="1" si="62"/>
        <v>#VALUE!</v>
      </c>
      <c r="W83" s="76" t="e">
        <f t="shared" ca="1" si="62"/>
        <v>#VALUE!</v>
      </c>
      <c r="X83" s="32" t="e">
        <f t="shared" ca="1" si="62"/>
        <v>#VALUE!</v>
      </c>
      <c r="Y83" s="32" t="e">
        <f t="shared" ca="1" si="62"/>
        <v>#VALUE!</v>
      </c>
      <c r="Z83" s="32" t="e">
        <f t="shared" ca="1" si="62"/>
        <v>#VALUE!</v>
      </c>
      <c r="AA83" s="32" t="e">
        <f t="shared" ca="1" si="62"/>
        <v>#VALUE!</v>
      </c>
      <c r="AB83" s="32" t="e">
        <f t="shared" ca="1" si="62"/>
        <v>#VALUE!</v>
      </c>
      <c r="AC83" s="32" t="e">
        <f t="shared" ca="1" si="62"/>
        <v>#VALUE!</v>
      </c>
      <c r="AD83" s="32" t="e">
        <f t="shared" ca="1" si="62"/>
        <v>#VALUE!</v>
      </c>
      <c r="AE83" s="32" t="e">
        <f t="shared" ca="1" si="62"/>
        <v>#VALUE!</v>
      </c>
      <c r="AF83" s="32" t="e">
        <f t="shared" ca="1" si="62"/>
        <v>#VALUE!</v>
      </c>
      <c r="AG83" s="32" t="e">
        <f t="shared" ca="1" si="62"/>
        <v>#VALUE!</v>
      </c>
      <c r="AH83" s="32" t="e">
        <f t="shared" ca="1" si="62"/>
        <v>#VALUE!</v>
      </c>
      <c r="AI83" s="32" t="e">
        <f t="shared" ca="1" si="62"/>
        <v>#VALUE!</v>
      </c>
      <c r="AJ83" s="32" t="e">
        <f t="shared" ca="1" si="62"/>
        <v>#VALUE!</v>
      </c>
      <c r="AK83" s="32" t="e">
        <f t="shared" ca="1" si="62"/>
        <v>#VALUE!</v>
      </c>
      <c r="AL83" s="32" t="e">
        <f t="shared" ca="1" si="62"/>
        <v>#VALUE!</v>
      </c>
      <c r="AM83" s="32" t="e">
        <f t="shared" ca="1" si="62"/>
        <v>#VALUE!</v>
      </c>
      <c r="AN83" s="32" t="e">
        <f t="shared" ca="1" si="62"/>
        <v>#VALUE!</v>
      </c>
      <c r="AO83" s="32" t="e">
        <f t="shared" ca="1" si="62"/>
        <v>#VALUE!</v>
      </c>
      <c r="AP83" s="32" t="e">
        <f t="shared" ca="1" si="62"/>
        <v>#VALUE!</v>
      </c>
      <c r="AQ83" s="32" t="e">
        <f t="shared" ca="1" si="62"/>
        <v>#VALUE!</v>
      </c>
    </row>
    <row r="84" spans="1:43" ht="10.15" customHeight="1" outlineLevel="1">
      <c r="A84" s="33"/>
      <c r="B84" s="31" t="s">
        <v>74</v>
      </c>
      <c r="C84" s="32" t="e">
        <f t="shared" ref="C84:AQ84" ca="1" si="63">EBlackScholesForward($FA$3,C$20,$A$83,C$22,$C$6,$C$6,$C$7,C$21)</f>
        <v>#VALUE!</v>
      </c>
      <c r="D84" s="32" t="e">
        <f t="shared" ca="1" si="63"/>
        <v>#VALUE!</v>
      </c>
      <c r="E84" s="32" t="e">
        <f t="shared" ca="1" si="63"/>
        <v>#VALUE!</v>
      </c>
      <c r="F84" s="32" t="e">
        <f t="shared" ca="1" si="63"/>
        <v>#VALUE!</v>
      </c>
      <c r="G84" s="32" t="e">
        <f t="shared" ca="1" si="63"/>
        <v>#VALUE!</v>
      </c>
      <c r="H84" s="32" t="e">
        <f t="shared" ca="1" si="63"/>
        <v>#VALUE!</v>
      </c>
      <c r="I84" s="32" t="e">
        <f t="shared" ca="1" si="63"/>
        <v>#VALUE!</v>
      </c>
      <c r="J84" s="32" t="e">
        <f t="shared" ca="1" si="63"/>
        <v>#VALUE!</v>
      </c>
      <c r="K84" s="32" t="e">
        <f t="shared" ca="1" si="63"/>
        <v>#VALUE!</v>
      </c>
      <c r="L84" s="32" t="e">
        <f t="shared" ca="1" si="63"/>
        <v>#VALUE!</v>
      </c>
      <c r="M84" s="32" t="e">
        <f t="shared" ca="1" si="63"/>
        <v>#VALUE!</v>
      </c>
      <c r="N84" s="32" t="e">
        <f t="shared" ca="1" si="63"/>
        <v>#VALUE!</v>
      </c>
      <c r="O84" s="32" t="e">
        <f t="shared" ca="1" si="63"/>
        <v>#VALUE!</v>
      </c>
      <c r="P84" s="32" t="e">
        <f t="shared" ca="1" si="63"/>
        <v>#VALUE!</v>
      </c>
      <c r="Q84" s="32" t="e">
        <f t="shared" ca="1" si="63"/>
        <v>#VALUE!</v>
      </c>
      <c r="R84" s="32" t="e">
        <f t="shared" ca="1" si="63"/>
        <v>#VALUE!</v>
      </c>
      <c r="S84" s="32" t="e">
        <f t="shared" ca="1" si="63"/>
        <v>#VALUE!</v>
      </c>
      <c r="T84" s="32" t="e">
        <f t="shared" ca="1" si="63"/>
        <v>#VALUE!</v>
      </c>
      <c r="U84" s="32" t="e">
        <f t="shared" ca="1" si="63"/>
        <v>#VALUE!</v>
      </c>
      <c r="V84" s="32" t="e">
        <f t="shared" ca="1" si="63"/>
        <v>#VALUE!</v>
      </c>
      <c r="W84" s="78" t="e">
        <f t="shared" ca="1" si="63"/>
        <v>#VALUE!</v>
      </c>
      <c r="X84" s="32" t="e">
        <f t="shared" ca="1" si="63"/>
        <v>#VALUE!</v>
      </c>
      <c r="Y84" s="32" t="e">
        <f t="shared" ca="1" si="63"/>
        <v>#VALUE!</v>
      </c>
      <c r="Z84" s="32" t="e">
        <f t="shared" ca="1" si="63"/>
        <v>#VALUE!</v>
      </c>
      <c r="AA84" s="32" t="e">
        <f t="shared" ca="1" si="63"/>
        <v>#VALUE!</v>
      </c>
      <c r="AB84" s="32" t="e">
        <f t="shared" ca="1" si="63"/>
        <v>#VALUE!</v>
      </c>
      <c r="AC84" s="32" t="e">
        <f t="shared" ca="1" si="63"/>
        <v>#VALUE!</v>
      </c>
      <c r="AD84" s="32" t="e">
        <f t="shared" ca="1" si="63"/>
        <v>#VALUE!</v>
      </c>
      <c r="AE84" s="32" t="e">
        <f t="shared" ca="1" si="63"/>
        <v>#VALUE!</v>
      </c>
      <c r="AF84" s="32" t="e">
        <f t="shared" ca="1" si="63"/>
        <v>#VALUE!</v>
      </c>
      <c r="AG84" s="32" t="e">
        <f t="shared" ca="1" si="63"/>
        <v>#VALUE!</v>
      </c>
      <c r="AH84" s="32" t="e">
        <f t="shared" ca="1" si="63"/>
        <v>#VALUE!</v>
      </c>
      <c r="AI84" s="32" t="e">
        <f t="shared" ca="1" si="63"/>
        <v>#VALUE!</v>
      </c>
      <c r="AJ84" s="32" t="e">
        <f t="shared" ca="1" si="63"/>
        <v>#VALUE!</v>
      </c>
      <c r="AK84" s="32" t="e">
        <f t="shared" ca="1" si="63"/>
        <v>#VALUE!</v>
      </c>
      <c r="AL84" s="32" t="e">
        <f t="shared" ca="1" si="63"/>
        <v>#VALUE!</v>
      </c>
      <c r="AM84" s="32" t="e">
        <f t="shared" ca="1" si="63"/>
        <v>#VALUE!</v>
      </c>
      <c r="AN84" s="32" t="e">
        <f t="shared" ca="1" si="63"/>
        <v>#VALUE!</v>
      </c>
      <c r="AO84" s="32" t="e">
        <f t="shared" ca="1" si="63"/>
        <v>#VALUE!</v>
      </c>
      <c r="AP84" s="32" t="e">
        <f t="shared" ca="1" si="63"/>
        <v>#VALUE!</v>
      </c>
      <c r="AQ84" s="32" t="e">
        <f t="shared" ca="1" si="63"/>
        <v>#VALUE!</v>
      </c>
    </row>
    <row r="85" spans="1:43" ht="10.15" customHeight="1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</row>
  </sheetData>
  <mergeCells count="2">
    <mergeCell ref="C19:V19"/>
    <mergeCell ref="X19:AQ19"/>
  </mergeCells>
  <phoneticPr fontId="1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Q64"/>
  <sheetViews>
    <sheetView workbookViewId="0">
      <selection activeCell="D41" sqref="D41"/>
    </sheetView>
  </sheetViews>
  <sheetFormatPr defaultRowHeight="12"/>
  <cols>
    <col min="1" max="1" width="19.5703125" customWidth="1"/>
    <col min="2" max="2" width="0.7109375" customWidth="1"/>
    <col min="3" max="4" width="10.28515625" bestFit="1" customWidth="1"/>
    <col min="5" max="5" width="10" bestFit="1" customWidth="1"/>
    <col min="7" max="8" width="11" bestFit="1" customWidth="1"/>
    <col min="10" max="10" width="11.140625" bestFit="1" customWidth="1"/>
  </cols>
  <sheetData>
    <row r="1" spans="1:17">
      <c r="A1" s="8" t="s">
        <v>23</v>
      </c>
      <c r="B1" s="8"/>
    </row>
    <row r="2" spans="1:17">
      <c r="E2" s="15"/>
      <c r="F2" s="15"/>
    </row>
    <row r="3" spans="1:17" s="10" customFormat="1" ht="12.75" thickBot="1">
      <c r="A3" s="39" t="s">
        <v>56</v>
      </c>
      <c r="B3" s="39"/>
      <c r="C3" s="39" t="s">
        <v>24</v>
      </c>
      <c r="D3" s="39" t="s">
        <v>25</v>
      </c>
      <c r="E3" s="39" t="s">
        <v>62</v>
      </c>
      <c r="F3" s="39" t="s">
        <v>63</v>
      </c>
      <c r="G3" s="40" t="s">
        <v>57</v>
      </c>
      <c r="H3" s="40" t="s">
        <v>58</v>
      </c>
      <c r="I3" s="9"/>
      <c r="J3" s="9"/>
      <c r="K3" s="9"/>
      <c r="L3" s="9"/>
      <c r="M3" s="9"/>
      <c r="N3" s="9"/>
      <c r="O3" s="9"/>
      <c r="P3" s="9"/>
      <c r="Q3" s="9"/>
    </row>
    <row r="4" spans="1:17">
      <c r="A4" s="45">
        <v>39508</v>
      </c>
      <c r="B4" s="58"/>
      <c r="C4" s="46" t="s">
        <v>27</v>
      </c>
      <c r="D4" s="47">
        <v>39504</v>
      </c>
      <c r="E4" s="46">
        <v>744</v>
      </c>
      <c r="F4" s="46">
        <f t="shared" ref="F4:F37" ca="1" si="0">E4/24</f>
        <v>31</v>
      </c>
      <c r="G4" s="48">
        <v>39508</v>
      </c>
      <c r="H4" s="49">
        <f ca="1">G4+F4-1</f>
        <v>39538</v>
      </c>
      <c r="I4" s="5"/>
      <c r="J4" s="5"/>
      <c r="K4" s="5"/>
      <c r="L4" s="5"/>
      <c r="M4" s="5"/>
      <c r="N4" s="5"/>
      <c r="O4" s="5"/>
      <c r="P4" s="5"/>
      <c r="Q4" s="5"/>
    </row>
    <row r="5" spans="1:17" ht="12.75">
      <c r="A5" s="50">
        <v>39539</v>
      </c>
      <c r="B5" s="59"/>
      <c r="C5" s="41" t="s">
        <v>30</v>
      </c>
      <c r="D5" s="42">
        <v>39533</v>
      </c>
      <c r="E5" s="41">
        <v>720</v>
      </c>
      <c r="F5" s="41">
        <f t="shared" ca="1" si="0"/>
        <v>30</v>
      </c>
      <c r="G5" s="43">
        <v>39539</v>
      </c>
      <c r="H5" s="51">
        <f t="shared" ref="H5:H37" ca="1" si="1">G5+F5-1</f>
        <v>39568</v>
      </c>
      <c r="I5" s="7"/>
      <c r="J5" s="7"/>
      <c r="K5" s="7"/>
      <c r="L5" s="7"/>
      <c r="M5" s="7"/>
      <c r="N5" s="7"/>
      <c r="O5" s="7"/>
      <c r="P5" s="7"/>
      <c r="Q5" s="7"/>
    </row>
    <row r="6" spans="1:17">
      <c r="A6" s="50">
        <v>39569</v>
      </c>
      <c r="B6" s="59"/>
      <c r="C6" s="41" t="s">
        <v>28</v>
      </c>
      <c r="D6" s="42">
        <v>39563</v>
      </c>
      <c r="E6" s="41">
        <v>744</v>
      </c>
      <c r="F6" s="41">
        <f t="shared" ca="1" si="0"/>
        <v>31</v>
      </c>
      <c r="G6" s="43">
        <v>39569</v>
      </c>
      <c r="H6" s="51">
        <f t="shared" ca="1" si="1"/>
        <v>39599</v>
      </c>
      <c r="I6" s="5"/>
      <c r="J6" s="5"/>
      <c r="K6" s="5"/>
      <c r="L6" s="5"/>
      <c r="M6" s="5"/>
      <c r="N6" s="5"/>
      <c r="O6" s="5"/>
      <c r="P6" s="5"/>
      <c r="Q6" s="5"/>
    </row>
    <row r="7" spans="1:17" ht="12.75">
      <c r="A7" s="50">
        <v>39600</v>
      </c>
      <c r="B7" s="59"/>
      <c r="C7" s="41" t="s">
        <v>27</v>
      </c>
      <c r="D7" s="42">
        <v>39595</v>
      </c>
      <c r="E7" s="41">
        <v>720</v>
      </c>
      <c r="F7" s="41">
        <f t="shared" ca="1" si="0"/>
        <v>30</v>
      </c>
      <c r="G7" s="43">
        <v>39600</v>
      </c>
      <c r="H7" s="51">
        <f t="shared" ca="1" si="1"/>
        <v>39629</v>
      </c>
      <c r="I7" s="7"/>
      <c r="J7" s="5"/>
      <c r="K7" s="5"/>
      <c r="L7" s="5"/>
      <c r="M7" s="5"/>
      <c r="N7" s="5"/>
      <c r="O7" s="5"/>
      <c r="P7" s="5"/>
      <c r="Q7" s="5"/>
    </row>
    <row r="8" spans="1:17">
      <c r="A8" s="50">
        <v>39630</v>
      </c>
      <c r="B8" s="59"/>
      <c r="C8" s="41" t="s">
        <v>30</v>
      </c>
      <c r="D8" s="42">
        <v>39624</v>
      </c>
      <c r="E8" s="41">
        <v>744</v>
      </c>
      <c r="F8" s="41">
        <f t="shared" ca="1" si="0"/>
        <v>31</v>
      </c>
      <c r="G8" s="43">
        <v>39630</v>
      </c>
      <c r="H8" s="51">
        <f t="shared" ca="1" si="1"/>
        <v>39660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0">
        <v>39661</v>
      </c>
      <c r="B9" s="59"/>
      <c r="C9" s="41" t="s">
        <v>29</v>
      </c>
      <c r="D9" s="42">
        <v>39657</v>
      </c>
      <c r="E9" s="41">
        <v>744</v>
      </c>
      <c r="F9" s="41">
        <f t="shared" ca="1" si="0"/>
        <v>31</v>
      </c>
      <c r="G9" s="43">
        <v>39661</v>
      </c>
      <c r="H9" s="51">
        <f t="shared" ca="1" si="1"/>
        <v>39691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0">
        <v>39692</v>
      </c>
      <c r="B10" s="59"/>
      <c r="C10" s="41" t="s">
        <v>27</v>
      </c>
      <c r="D10" s="42">
        <v>39686</v>
      </c>
      <c r="E10" s="41">
        <v>720</v>
      </c>
      <c r="F10" s="41">
        <f t="shared" ca="1" si="0"/>
        <v>30</v>
      </c>
      <c r="G10" s="43">
        <v>39692</v>
      </c>
      <c r="H10" s="51">
        <f t="shared" ca="1" si="1"/>
        <v>39721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0">
        <v>39722</v>
      </c>
      <c r="B11" s="59"/>
      <c r="C11" s="41" t="s">
        <v>26</v>
      </c>
      <c r="D11" s="42">
        <v>39716</v>
      </c>
      <c r="E11" s="41">
        <v>744</v>
      </c>
      <c r="F11" s="41">
        <f t="shared" ca="1" si="0"/>
        <v>31</v>
      </c>
      <c r="G11" s="43">
        <v>39722</v>
      </c>
      <c r="H11" s="51">
        <f t="shared" ca="1" si="1"/>
        <v>39752</v>
      </c>
    </row>
    <row r="12" spans="1:17">
      <c r="A12" s="50">
        <v>39753</v>
      </c>
      <c r="B12" s="59"/>
      <c r="C12" s="41" t="s">
        <v>27</v>
      </c>
      <c r="D12" s="42">
        <v>39749</v>
      </c>
      <c r="E12" s="41">
        <v>720</v>
      </c>
      <c r="F12" s="41">
        <f t="shared" ca="1" si="0"/>
        <v>30</v>
      </c>
      <c r="G12" s="43">
        <v>39753</v>
      </c>
      <c r="H12" s="51">
        <f t="shared" ca="1" si="1"/>
        <v>39782</v>
      </c>
    </row>
    <row r="13" spans="1:17">
      <c r="A13" s="50">
        <v>39783</v>
      </c>
      <c r="B13" s="59"/>
      <c r="C13" s="41" t="s">
        <v>27</v>
      </c>
      <c r="D13" s="42">
        <v>39777</v>
      </c>
      <c r="E13" s="41">
        <v>744</v>
      </c>
      <c r="F13" s="41">
        <f t="shared" ca="1" si="0"/>
        <v>31</v>
      </c>
      <c r="G13" s="43">
        <v>39783</v>
      </c>
      <c r="H13" s="51">
        <f t="shared" ca="1" si="1"/>
        <v>39813</v>
      </c>
    </row>
    <row r="14" spans="1:17">
      <c r="A14" s="50">
        <v>39814</v>
      </c>
      <c r="B14" s="59"/>
      <c r="C14" s="41" t="s">
        <v>26</v>
      </c>
      <c r="D14" s="42">
        <v>39797</v>
      </c>
      <c r="E14" s="41">
        <v>744</v>
      </c>
      <c r="F14" s="41">
        <f t="shared" ca="1" si="0"/>
        <v>31</v>
      </c>
      <c r="G14" s="43">
        <v>39814</v>
      </c>
      <c r="H14" s="51">
        <f t="shared" ca="1" si="1"/>
        <v>39844</v>
      </c>
    </row>
    <row r="15" spans="1:17">
      <c r="A15" s="50">
        <v>39845</v>
      </c>
      <c r="B15" s="59"/>
      <c r="C15" s="41" t="s">
        <v>27</v>
      </c>
      <c r="D15" s="42">
        <v>39840</v>
      </c>
      <c r="E15" s="41">
        <v>672</v>
      </c>
      <c r="F15" s="41">
        <f t="shared" ca="1" si="0"/>
        <v>28</v>
      </c>
      <c r="G15" s="43">
        <v>39845</v>
      </c>
      <c r="H15" s="51">
        <f t="shared" ca="1" si="1"/>
        <v>39872</v>
      </c>
    </row>
    <row r="16" spans="1:17">
      <c r="A16" s="50">
        <v>39873</v>
      </c>
      <c r="B16" s="59"/>
      <c r="C16" s="41" t="s">
        <v>27</v>
      </c>
      <c r="D16" s="42">
        <v>39868</v>
      </c>
      <c r="E16" s="41">
        <v>744</v>
      </c>
      <c r="F16" s="41">
        <f t="shared" ca="1" si="0"/>
        <v>31</v>
      </c>
      <c r="G16" s="43">
        <v>39873</v>
      </c>
      <c r="H16" s="51">
        <f t="shared" ca="1" si="1"/>
        <v>39903</v>
      </c>
    </row>
    <row r="17" spans="1:8">
      <c r="A17" s="50">
        <v>39904</v>
      </c>
      <c r="B17" s="59"/>
      <c r="C17" s="41" t="s">
        <v>26</v>
      </c>
      <c r="D17" s="42">
        <v>39898</v>
      </c>
      <c r="E17" s="41">
        <v>720</v>
      </c>
      <c r="F17" s="41">
        <f t="shared" ca="1" si="0"/>
        <v>30</v>
      </c>
      <c r="G17" s="43">
        <v>39904</v>
      </c>
      <c r="H17" s="51">
        <f t="shared" ca="1" si="1"/>
        <v>39933</v>
      </c>
    </row>
    <row r="18" spans="1:8">
      <c r="A18" s="50">
        <v>39934</v>
      </c>
      <c r="B18" s="59"/>
      <c r="C18" s="41" t="s">
        <v>29</v>
      </c>
      <c r="D18" s="42">
        <v>39930</v>
      </c>
      <c r="E18" s="41">
        <v>744</v>
      </c>
      <c r="F18" s="41">
        <f t="shared" ca="1" si="0"/>
        <v>31</v>
      </c>
      <c r="G18" s="43">
        <v>39934</v>
      </c>
      <c r="H18" s="51">
        <f t="shared" ca="1" si="1"/>
        <v>39964</v>
      </c>
    </row>
    <row r="19" spans="1:8">
      <c r="A19" s="50">
        <v>39965</v>
      </c>
      <c r="B19" s="59"/>
      <c r="C19" s="41" t="s">
        <v>27</v>
      </c>
      <c r="D19" s="42">
        <v>39959</v>
      </c>
      <c r="E19" s="41">
        <v>720</v>
      </c>
      <c r="F19" s="41">
        <f t="shared" ca="1" si="0"/>
        <v>30</v>
      </c>
      <c r="G19" s="43">
        <v>39965</v>
      </c>
      <c r="H19" s="51">
        <f t="shared" ca="1" si="1"/>
        <v>39994</v>
      </c>
    </row>
    <row r="20" spans="1:8">
      <c r="A20" s="50">
        <v>39995</v>
      </c>
      <c r="B20" s="59"/>
      <c r="C20" s="41" t="s">
        <v>26</v>
      </c>
      <c r="D20" s="42">
        <v>39989</v>
      </c>
      <c r="E20" s="41">
        <v>744</v>
      </c>
      <c r="F20" s="41">
        <f t="shared" ca="1" si="0"/>
        <v>31</v>
      </c>
      <c r="G20" s="43">
        <v>39995</v>
      </c>
      <c r="H20" s="51">
        <f t="shared" ca="1" si="1"/>
        <v>40025</v>
      </c>
    </row>
    <row r="21" spans="1:8">
      <c r="A21" s="50">
        <v>40026</v>
      </c>
      <c r="B21" s="59"/>
      <c r="C21" s="41" t="s">
        <v>27</v>
      </c>
      <c r="D21" s="42">
        <v>40022</v>
      </c>
      <c r="E21" s="41">
        <v>744</v>
      </c>
      <c r="F21" s="41">
        <f t="shared" ca="1" si="0"/>
        <v>31</v>
      </c>
      <c r="G21" s="43">
        <v>40026</v>
      </c>
      <c r="H21" s="51">
        <f t="shared" ca="1" si="1"/>
        <v>40056</v>
      </c>
    </row>
    <row r="22" spans="1:8">
      <c r="A22" s="50">
        <v>40057</v>
      </c>
      <c r="B22" s="59"/>
      <c r="C22" s="41" t="s">
        <v>30</v>
      </c>
      <c r="D22" s="44" t="s">
        <v>31</v>
      </c>
      <c r="E22" s="41">
        <v>720</v>
      </c>
      <c r="F22" s="41">
        <f t="shared" ca="1" si="0"/>
        <v>30</v>
      </c>
      <c r="G22" s="43">
        <v>40057</v>
      </c>
      <c r="H22" s="51">
        <f t="shared" ca="1" si="1"/>
        <v>40086</v>
      </c>
    </row>
    <row r="23" spans="1:8">
      <c r="A23" s="50">
        <v>40087</v>
      </c>
      <c r="B23" s="59"/>
      <c r="C23" s="41" t="s">
        <v>28</v>
      </c>
      <c r="D23" s="42">
        <v>40081</v>
      </c>
      <c r="E23" s="41">
        <v>744</v>
      </c>
      <c r="F23" s="41">
        <f t="shared" ca="1" si="0"/>
        <v>31</v>
      </c>
      <c r="G23" s="43">
        <v>40087</v>
      </c>
      <c r="H23" s="51">
        <f t="shared" ca="1" si="1"/>
        <v>40117</v>
      </c>
    </row>
    <row r="24" spans="1:8">
      <c r="A24" s="50">
        <v>40118</v>
      </c>
      <c r="B24" s="59"/>
      <c r="C24" s="41" t="s">
        <v>27</v>
      </c>
      <c r="D24" s="42">
        <v>40113</v>
      </c>
      <c r="E24" s="41">
        <v>720</v>
      </c>
      <c r="F24" s="41">
        <f t="shared" ca="1" si="0"/>
        <v>30</v>
      </c>
      <c r="G24" s="43">
        <v>40118</v>
      </c>
      <c r="H24" s="51">
        <f t="shared" ca="1" si="1"/>
        <v>40147</v>
      </c>
    </row>
    <row r="25" spans="1:8">
      <c r="A25" s="50">
        <v>40148</v>
      </c>
      <c r="B25" s="59"/>
      <c r="C25" s="41" t="s">
        <v>30</v>
      </c>
      <c r="D25" s="42">
        <v>40142</v>
      </c>
      <c r="E25" s="41">
        <v>744</v>
      </c>
      <c r="F25" s="41">
        <f t="shared" ca="1" si="0"/>
        <v>31</v>
      </c>
      <c r="G25" s="43">
        <v>40148</v>
      </c>
      <c r="H25" s="51">
        <f t="shared" ca="1" si="1"/>
        <v>40178</v>
      </c>
    </row>
    <row r="26" spans="1:8">
      <c r="A26" s="50">
        <v>40179</v>
      </c>
      <c r="B26" s="59"/>
      <c r="C26" s="41" t="s">
        <v>26</v>
      </c>
      <c r="D26" s="42">
        <v>40164</v>
      </c>
      <c r="E26" s="41">
        <v>744</v>
      </c>
      <c r="F26" s="41">
        <v>31</v>
      </c>
      <c r="G26" s="43">
        <v>39814</v>
      </c>
      <c r="H26" s="51">
        <f ca="1">G26+F26-1</f>
        <v>39844</v>
      </c>
    </row>
    <row r="27" spans="1:8">
      <c r="A27" s="52" t="s">
        <v>19</v>
      </c>
      <c r="B27" s="60"/>
      <c r="C27" s="41" t="s">
        <v>30</v>
      </c>
      <c r="D27" s="42">
        <v>39533</v>
      </c>
      <c r="E27" s="41">
        <v>2184</v>
      </c>
      <c r="F27" s="41">
        <f t="shared" ca="1" si="0"/>
        <v>91</v>
      </c>
      <c r="G27" s="43">
        <v>39539</v>
      </c>
      <c r="H27" s="51">
        <f t="shared" ca="1" si="1"/>
        <v>39629</v>
      </c>
    </row>
    <row r="28" spans="1:8">
      <c r="A28" s="52" t="s">
        <v>20</v>
      </c>
      <c r="B28" s="60"/>
      <c r="C28" s="41" t="s">
        <v>30</v>
      </c>
      <c r="D28" s="42">
        <v>39624</v>
      </c>
      <c r="E28" s="41">
        <v>2208</v>
      </c>
      <c r="F28" s="41">
        <f t="shared" ca="1" si="0"/>
        <v>92</v>
      </c>
      <c r="G28" s="43">
        <v>39630</v>
      </c>
      <c r="H28" s="51">
        <f t="shared" ca="1" si="1"/>
        <v>39721</v>
      </c>
    </row>
    <row r="29" spans="1:8">
      <c r="A29" s="52" t="s">
        <v>21</v>
      </c>
      <c r="B29" s="60"/>
      <c r="C29" s="41" t="s">
        <v>26</v>
      </c>
      <c r="D29" s="42">
        <v>39716</v>
      </c>
      <c r="E29" s="41">
        <v>2208</v>
      </c>
      <c r="F29" s="41">
        <f t="shared" ca="1" si="0"/>
        <v>92</v>
      </c>
      <c r="G29" s="43">
        <v>39722</v>
      </c>
      <c r="H29" s="51">
        <f t="shared" ca="1" si="1"/>
        <v>39813</v>
      </c>
    </row>
    <row r="30" spans="1:8">
      <c r="A30" s="52" t="s">
        <v>32</v>
      </c>
      <c r="B30" s="60"/>
      <c r="C30" s="41" t="s">
        <v>26</v>
      </c>
      <c r="D30" s="42">
        <v>39800</v>
      </c>
      <c r="E30" s="41">
        <v>2160</v>
      </c>
      <c r="F30" s="41">
        <f t="shared" ca="1" si="0"/>
        <v>90</v>
      </c>
      <c r="G30" s="43">
        <v>39814</v>
      </c>
      <c r="H30" s="51">
        <f t="shared" ca="1" si="1"/>
        <v>39903</v>
      </c>
    </row>
    <row r="31" spans="1:8">
      <c r="A31" s="52" t="s">
        <v>33</v>
      </c>
      <c r="B31" s="60"/>
      <c r="C31" s="41" t="s">
        <v>26</v>
      </c>
      <c r="D31" s="42">
        <v>39898</v>
      </c>
      <c r="E31" s="41">
        <v>2184</v>
      </c>
      <c r="F31" s="41">
        <f t="shared" ca="1" si="0"/>
        <v>91</v>
      </c>
      <c r="G31" s="43">
        <v>39904</v>
      </c>
      <c r="H31" s="51">
        <f t="shared" ca="1" si="1"/>
        <v>39994</v>
      </c>
    </row>
    <row r="32" spans="1:8">
      <c r="A32" s="52" t="s">
        <v>34</v>
      </c>
      <c r="B32" s="60"/>
      <c r="C32" s="41" t="s">
        <v>26</v>
      </c>
      <c r="D32" s="42">
        <v>39989</v>
      </c>
      <c r="E32" s="41">
        <v>2208</v>
      </c>
      <c r="F32" s="41">
        <f t="shared" ca="1" si="0"/>
        <v>92</v>
      </c>
      <c r="G32" s="43">
        <v>39995</v>
      </c>
      <c r="H32" s="51">
        <f t="shared" ca="1" si="1"/>
        <v>40086</v>
      </c>
    </row>
    <row r="33" spans="1:8">
      <c r="A33" s="52" t="s">
        <v>35</v>
      </c>
      <c r="B33" s="60"/>
      <c r="C33" s="41" t="s">
        <v>28</v>
      </c>
      <c r="D33" s="42">
        <v>40081</v>
      </c>
      <c r="E33" s="41">
        <v>2208</v>
      </c>
      <c r="F33" s="41">
        <f t="shared" ca="1" si="0"/>
        <v>92</v>
      </c>
      <c r="G33" s="43">
        <v>40087</v>
      </c>
      <c r="H33" s="51">
        <f t="shared" ca="1" si="1"/>
        <v>40178</v>
      </c>
    </row>
    <row r="34" spans="1:8">
      <c r="A34" s="52" t="s">
        <v>18</v>
      </c>
      <c r="B34" s="60"/>
      <c r="C34" s="41" t="s">
        <v>26</v>
      </c>
      <c r="D34" s="42">
        <v>39793</v>
      </c>
      <c r="E34" s="41">
        <v>8760</v>
      </c>
      <c r="F34" s="41">
        <f t="shared" ca="1" si="0"/>
        <v>365</v>
      </c>
      <c r="G34" s="43">
        <v>39814</v>
      </c>
      <c r="H34" s="51">
        <f t="shared" ca="1" si="1"/>
        <v>40178</v>
      </c>
    </row>
    <row r="35" spans="1:8">
      <c r="A35" s="52" t="s">
        <v>22</v>
      </c>
      <c r="B35" s="60"/>
      <c r="C35" s="41" t="s">
        <v>26</v>
      </c>
      <c r="D35" s="42">
        <v>40157</v>
      </c>
      <c r="E35" s="41">
        <v>8760</v>
      </c>
      <c r="F35" s="41">
        <f t="shared" ca="1" si="0"/>
        <v>365</v>
      </c>
      <c r="G35" s="43">
        <v>40179</v>
      </c>
      <c r="H35" s="51">
        <f t="shared" ca="1" si="1"/>
        <v>40543</v>
      </c>
    </row>
    <row r="36" spans="1:8">
      <c r="A36" s="52" t="s">
        <v>36</v>
      </c>
      <c r="B36" s="60"/>
      <c r="C36" s="41" t="s">
        <v>26</v>
      </c>
      <c r="D36" s="42">
        <v>40521</v>
      </c>
      <c r="E36" s="41">
        <v>8760</v>
      </c>
      <c r="F36" s="41">
        <f t="shared" ca="1" si="0"/>
        <v>365</v>
      </c>
      <c r="G36" s="43">
        <v>40544</v>
      </c>
      <c r="H36" s="51">
        <f t="shared" ca="1" si="1"/>
        <v>40908</v>
      </c>
    </row>
    <row r="37" spans="1:8">
      <c r="A37" s="52" t="s">
        <v>37</v>
      </c>
      <c r="B37" s="60"/>
      <c r="C37" s="41" t="s">
        <v>26</v>
      </c>
      <c r="D37" s="42">
        <v>40885</v>
      </c>
      <c r="E37" s="41">
        <v>8784</v>
      </c>
      <c r="F37" s="41">
        <f t="shared" ca="1" si="0"/>
        <v>366</v>
      </c>
      <c r="G37" s="43">
        <v>40909</v>
      </c>
      <c r="H37" s="51">
        <f t="shared" ca="1" si="1"/>
        <v>41274</v>
      </c>
    </row>
    <row r="38" spans="1:8">
      <c r="A38" s="52" t="s">
        <v>38</v>
      </c>
      <c r="B38" s="60"/>
      <c r="C38" s="41" t="s">
        <v>30</v>
      </c>
      <c r="D38" s="42">
        <v>39792</v>
      </c>
      <c r="E38" s="41">
        <v>1000</v>
      </c>
      <c r="F38" s="41">
        <v>1000</v>
      </c>
      <c r="G38" s="43">
        <v>39792</v>
      </c>
      <c r="H38" s="51">
        <f ca="1">G38</f>
        <v>39792</v>
      </c>
    </row>
    <row r="39" spans="1:8">
      <c r="A39" s="52" t="s">
        <v>39</v>
      </c>
      <c r="B39" s="60"/>
      <c r="C39" s="41" t="s">
        <v>30</v>
      </c>
      <c r="D39" s="42">
        <v>40156</v>
      </c>
      <c r="E39" s="41">
        <v>1000</v>
      </c>
      <c r="F39" s="41">
        <v>1000</v>
      </c>
      <c r="G39" s="43">
        <v>40156</v>
      </c>
      <c r="H39" s="51">
        <f ca="1">G39</f>
        <v>40156</v>
      </c>
    </row>
    <row r="40" spans="1:8">
      <c r="A40" s="52" t="s">
        <v>40</v>
      </c>
      <c r="B40" s="60"/>
      <c r="C40" s="41" t="s">
        <v>30</v>
      </c>
      <c r="D40" s="42">
        <v>40527</v>
      </c>
      <c r="E40" s="41">
        <v>1000</v>
      </c>
      <c r="F40" s="41">
        <v>1000</v>
      </c>
      <c r="G40" s="43">
        <v>40527</v>
      </c>
      <c r="H40" s="51">
        <f ca="1">G40</f>
        <v>40527</v>
      </c>
    </row>
    <row r="41" spans="1:8">
      <c r="A41" s="52" t="s">
        <v>41</v>
      </c>
      <c r="B41" s="60"/>
      <c r="C41" s="41" t="s">
        <v>30</v>
      </c>
      <c r="D41" s="42">
        <v>40891</v>
      </c>
      <c r="E41" s="41">
        <v>1000</v>
      </c>
      <c r="F41" s="41">
        <v>1000</v>
      </c>
      <c r="G41" s="43">
        <v>40891</v>
      </c>
      <c r="H41" s="51">
        <f ca="1">G41</f>
        <v>40891</v>
      </c>
    </row>
    <row r="42" spans="1:8" ht="12.75" thickBot="1">
      <c r="A42" s="53" t="s">
        <v>42</v>
      </c>
      <c r="B42" s="61"/>
      <c r="C42" s="54" t="s">
        <v>30</v>
      </c>
      <c r="D42" s="55">
        <v>41255</v>
      </c>
      <c r="E42" s="54">
        <v>1000</v>
      </c>
      <c r="F42" s="54">
        <v>1000</v>
      </c>
      <c r="G42" s="56">
        <v>41255</v>
      </c>
      <c r="H42" s="57">
        <f ca="1">G42</f>
        <v>41255</v>
      </c>
    </row>
    <row r="44" spans="1:8">
      <c r="E44" s="6"/>
      <c r="F44" s="6"/>
      <c r="G44" s="6"/>
    </row>
    <row r="45" spans="1:8">
      <c r="E45" s="6"/>
      <c r="F45" s="6"/>
      <c r="G45" s="6"/>
    </row>
    <row r="46" spans="1:8">
      <c r="E46" s="6"/>
      <c r="F46" s="6"/>
      <c r="G46" s="6"/>
    </row>
    <row r="47" spans="1:8">
      <c r="E47" s="6"/>
      <c r="F47" s="6"/>
      <c r="G47" s="6"/>
    </row>
    <row r="48" spans="1:8">
      <c r="E48" s="6"/>
      <c r="F48" s="6"/>
      <c r="G48" s="6"/>
    </row>
    <row r="49" spans="5:7">
      <c r="E49" s="6"/>
      <c r="F49" s="6"/>
      <c r="G49" s="6"/>
    </row>
    <row r="50" spans="5:7">
      <c r="E50" s="6"/>
      <c r="F50" s="6"/>
      <c r="G50" s="6"/>
    </row>
    <row r="51" spans="5:7">
      <c r="E51" s="6"/>
      <c r="F51" s="6"/>
      <c r="G51" s="6"/>
    </row>
    <row r="52" spans="5:7">
      <c r="E52" s="6"/>
      <c r="F52" s="6"/>
      <c r="G52" s="6"/>
    </row>
    <row r="53" spans="5:7">
      <c r="E53" s="6"/>
      <c r="F53" s="6"/>
      <c r="G53" s="6"/>
    </row>
    <row r="54" spans="5:7">
      <c r="E54" s="6"/>
      <c r="F54" s="6"/>
      <c r="G54" s="6"/>
    </row>
    <row r="55" spans="5:7">
      <c r="E55" s="6"/>
      <c r="F55" s="6"/>
      <c r="G55" s="6"/>
    </row>
    <row r="56" spans="5:7">
      <c r="E56" s="6"/>
      <c r="F56" s="6"/>
      <c r="G56" s="6"/>
    </row>
    <row r="57" spans="5:7">
      <c r="E57" s="6"/>
      <c r="F57" s="6"/>
      <c r="G57" s="6"/>
    </row>
    <row r="58" spans="5:7">
      <c r="E58" s="6"/>
      <c r="F58" s="6"/>
      <c r="G58" s="6"/>
    </row>
    <row r="59" spans="5:7">
      <c r="E59" s="6"/>
      <c r="F59" s="6"/>
      <c r="G59" s="6"/>
    </row>
    <row r="60" spans="5:7">
      <c r="E60" s="6"/>
      <c r="F60" s="6"/>
      <c r="G60" s="6"/>
    </row>
    <row r="61" spans="5:7">
      <c r="E61" s="6"/>
      <c r="F61" s="6"/>
      <c r="G61" s="6"/>
    </row>
    <row r="62" spans="5:7">
      <c r="E62" s="6"/>
      <c r="F62" s="6"/>
      <c r="G62" s="6"/>
    </row>
    <row r="63" spans="5:7">
      <c r="E63" s="6"/>
      <c r="F63" s="6"/>
      <c r="G63" s="6"/>
    </row>
    <row r="64" spans="5:7">
      <c r="E64" s="6"/>
      <c r="F64" s="6"/>
      <c r="G64" s="6"/>
    </row>
  </sheetData>
  <phoneticPr fontId="1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Option Model</vt:lpstr>
      <vt:lpstr>Opt grid 11</vt:lpstr>
      <vt:lpstr>Opt grid 12</vt:lpstr>
      <vt:lpstr>DEPower Expiry Dates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Espen</dc:creator>
  <cp:lastModifiedBy>Alex</cp:lastModifiedBy>
  <cp:lastPrinted>1999-04-10T01:55:03Z</cp:lastPrinted>
  <dcterms:created xsi:type="dcterms:W3CDTF">1999-04-09T15:40:11Z</dcterms:created>
  <dcterms:modified xsi:type="dcterms:W3CDTF">2014-07-12T02:13:36Z</dcterms:modified>
</cp:coreProperties>
</file>