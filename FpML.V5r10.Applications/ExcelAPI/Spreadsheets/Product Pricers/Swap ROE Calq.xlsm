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50" windowWidth="11910" windowHeight="4830" tabRatio="379" firstSheet="2" activeTab="2"/>
  </bookViews>
  <sheets>
    <sheet name="Swap-Template_old" sheetId="163" state="hidden" r:id="rId1"/>
    <sheet name="Reference" sheetId="131" state="hidden" r:id="rId2"/>
    <sheet name="Swap" sheetId="1" r:id="rId3"/>
    <sheet name="Swap-Template" sheetId="165" state="hidden" r:id="rId4"/>
    <sheet name="Versions" sheetId="164" r:id="rId5"/>
  </sheets>
  <functionGroups/>
  <definedNames>
    <definedName name="AdditionalRoEMargin" localSheetId="3">'Swap-Template'!$D$38</definedName>
    <definedName name="AmortisedNotionalBasis">Reference!$AF$3:$AF$4</definedName>
    <definedName name="ATMBasisOptionsList" localSheetId="2">Swap!$BA$11</definedName>
    <definedName name="ATMBasisTypes">Reference!$U$3:$U$6</definedName>
    <definedName name="BasicMetrics" localSheetId="3">'Swap-Template'!$C$25:$C$26</definedName>
    <definedName name="BER" localSheetId="0">'Swap-Template_old'!$D$19</definedName>
    <definedName name="BreakEven" localSheetId="3">'Swap-Template'!$D$24</definedName>
    <definedName name="CounterpartySchedule" localSheetId="3">'Swap-Template'!$AK$88:$AK$90</definedName>
    <definedName name="CounterpartySchedule" localSheetId="0">'Swap-Template_old'!$AK$79:$AK$81</definedName>
    <definedName name="CreditRatings">Reference!$Z$3:$Z$27</definedName>
    <definedName name="CreditValuationSettings" localSheetId="3">'Swap-Template'!$AJ$76:$AK$90</definedName>
    <definedName name="CreditValuationSettings" localSheetId="0">'Swap-Template_old'!$AJ$74:$AK$81</definedName>
    <definedName name="CurrencyList">Reference!$B$4:$B$11</definedName>
    <definedName name="CurrencyTable">Reference!$B$5:$G$11</definedName>
    <definedName name="DateAdjustments">Reference!$V$3:$V$8</definedName>
    <definedName name="DayCounts">Reference!$T$3:$T$8</definedName>
    <definedName name="DiscountingTypes">Reference!$W$3:$W$4</definedName>
    <definedName name="EffectiveDate" localSheetId="3">'Swap-Template'!$D$3</definedName>
    <definedName name="EffectiveDate" localSheetId="0">'Swap-Template_old'!$D$3</definedName>
    <definedName name="FrequencyList">Reference!$S$3:$S$7</definedName>
    <definedName name="InitialRoEMargin" localSheetId="3">'Swap-Template'!$D$39</definedName>
    <definedName name="MarginCalcResults" localSheetId="3">'Swap-Template'!$D$36:$D$37</definedName>
    <definedName name="MarginCalcResults">'Swap-Template_old'!$D$28:$D$29</definedName>
    <definedName name="MarketCurveFilter" localSheetId="1">Reference!$AB$3:$AC$3</definedName>
    <definedName name="MarketCurves">Reference!$AC$4:$AC$31</definedName>
    <definedName name="MarketName" localSheetId="2">Swap!$K$7</definedName>
    <definedName name="NoneOnly">Reference!$AE$5</definedName>
    <definedName name="NotionalAmount" localSheetId="3">'Swap-Template'!$D$9</definedName>
    <definedName name="NotionalAmount" localSheetId="0">'Swap-Template_old'!$D$9</definedName>
    <definedName name="PayAmortisationDates" localSheetId="3">'Swap-Template'!$M$9:$M$208</definedName>
    <definedName name="PayAmortisationDates" localSheetId="0">'Swap-Template_old'!$M$9:$M$208</definedName>
    <definedName name="PayAmortisationSchedule" localSheetId="3">'Swap-Template'!$M$9:$N$208</definedName>
    <definedName name="PayAmortisationSchedule" localSheetId="0">'Swap-Template_old'!$M$9:$N$208</definedName>
    <definedName name="PayAmortisationScheduleRegion" localSheetId="3">'Swap-Template'!$M$8:$N$208</definedName>
    <definedName name="PayAmortisationScheduleRegion" localSheetId="0">'Swap-Template_old'!$M$8:$N$208</definedName>
    <definedName name="PayAndReceive">Reference!$AE$3:$AE$4</definedName>
    <definedName name="PayBreakEven" localSheetId="3">'Swap-Template'!$D$25</definedName>
    <definedName name="PayCashFlows" localSheetId="3">'Swap-Template'!$U$10:$Y$209</definedName>
    <definedName name="PayCashFlows" localSheetId="0">'Swap-Template_old'!$U$9:$Y$208</definedName>
    <definedName name="PayCouponSchedule" localSheetId="3">'Swap-Template'!$F$23:$G$42</definedName>
    <definedName name="PayCouponSchedule" localSheetId="0">'Swap-Template_old'!$F$20:$G$39</definedName>
    <definedName name="PayCouponScheduleRegion" localSheetId="3">'Swap-Template'!$AF$7:$AH$27</definedName>
    <definedName name="PayCouponScheduleRegion" localSheetId="0">'Swap-Template_old'!$AF$7:$AH$27</definedName>
    <definedName name="PayDeltaR" localSheetId="3">'Swap-Template'!$D$31</definedName>
    <definedName name="PayDiscountCurve" localSheetId="3">'Swap-Template'!$AJ$93:$AK$97</definedName>
    <definedName name="PayDiscountCurve" localSheetId="0">'Swap-Template_old'!$AJ$84:$AK$88</definedName>
    <definedName name="PayDiscountCurveName">#REF!</definedName>
    <definedName name="PayForwardCurve" localSheetId="3">'Swap-Template'!$AJ$100:$AK$104</definedName>
    <definedName name="PayForwardCurve" localSheetId="0">'Swap-Template_old'!$AJ$91:$AK$95</definedName>
    <definedName name="PayForwardCurveName">#REF!</definedName>
    <definedName name="PayFxCurve" localSheetId="3">'Swap-Template'!$AJ$121:$AK$125</definedName>
    <definedName name="PayOnly">Reference!$AE$3</definedName>
    <definedName name="PayPECashflows" localSheetId="3">'Swap-Template'!#REF!</definedName>
    <definedName name="PayTerms" localSheetId="3">'Swap-Template'!$AJ$27:$AK$46</definedName>
    <definedName name="PayTerms" localSheetId="0">'Swap-Template_old'!$AJ$25:$AK$44</definedName>
    <definedName name="PayTermsRegion" localSheetId="3">'Swap-Template'!$AJ$26:$AK$46</definedName>
    <definedName name="PayTermsRegion" localSheetId="0">'Swap-Template_old'!$AJ$24:$AK$44</definedName>
    <definedName name="PCE" localSheetId="3">'Swap-Template'!$D$29</definedName>
    <definedName name="PCE" localSheetId="0">'Swap-Template_old'!$D$23</definedName>
    <definedName name="QR_SwapMaturityTenor" localSheetId="3">'Swap-Template'!$E$3</definedName>
    <definedName name="QR_SwapMaturityTenor" localSheetId="0">'Swap-Template_old'!$E$3</definedName>
    <definedName name="ReceiveAmortisationDates" localSheetId="3">'Swap-Template'!$Q$9:$Q$208</definedName>
    <definedName name="ReceiveAmortisationDates" localSheetId="0">'Swap-Template_old'!$Q$9:$Q$208</definedName>
    <definedName name="ReceiveAmortisationSchedule" localSheetId="3">'Swap-Template'!$Q$9:$R$208</definedName>
    <definedName name="ReceiveAmortisationSchedule" localSheetId="0">'Swap-Template_old'!$Q$9:$R$208</definedName>
    <definedName name="ReceiveAmortisationScheduleRegion" localSheetId="3">'Swap-Template'!$Q$8:$R$208</definedName>
    <definedName name="ReceiveAmortisationScheduleRegion" localSheetId="0">'Swap-Template_old'!$Q$8:$R$208</definedName>
    <definedName name="ReceiveBreakEven" localSheetId="3">'Swap-Template'!$D$26</definedName>
    <definedName name="ReceiveCashFlows" localSheetId="3">'Swap-Template'!$Z$10:$AD$209</definedName>
    <definedName name="ReceiveCashFlows" localSheetId="0">'Swap-Template_old'!$Z$9:$AD$208</definedName>
    <definedName name="ReceiveCouponSchedule" localSheetId="3">'Swap-Template'!$I$23:$J$42</definedName>
    <definedName name="ReceiveCouponSchedule" localSheetId="0">'Swap-Template_old'!$I$20:$J$39</definedName>
    <definedName name="ReceiveCouponScheduleRegion" localSheetId="3">'Swap-Template'!$AF$31:$AH$51</definedName>
    <definedName name="ReceiveCouponScheduleRegion" localSheetId="0">'Swap-Template_old'!$AF$31:$AH$51</definedName>
    <definedName name="ReceiveDeltaR" localSheetId="3">'Swap-Template'!$D$32</definedName>
    <definedName name="ReceiveDiscountCurve" localSheetId="3">'Swap-Template'!$AJ$107:$AK$111</definedName>
    <definedName name="ReceiveDiscountCurve" localSheetId="0">'Swap-Template_old'!$AJ$98:$AK$102</definedName>
    <definedName name="ReceiveForwardCurve" localSheetId="3">'Swap-Template'!$AJ$114:$AK$118</definedName>
    <definedName name="ReceiveForwardCurve" localSheetId="0">'Swap-Template_old'!$AJ$105:$AK$109</definedName>
    <definedName name="ReceiveFxCurve" localSheetId="3">'Swap-Template'!$AJ$128:$AK$132</definedName>
    <definedName name="ReceiveOnly">Reference!$AE$4</definedName>
    <definedName name="ReceivePECashflows" localSheetId="3">'Swap-Template'!#REF!</definedName>
    <definedName name="ReceiveTerms" localSheetId="3">'Swap-Template'!$AJ$49:$AK$68</definedName>
    <definedName name="ReceiveTerms" localSheetId="0">'Swap-Template_old'!$AJ$47:$AK$66</definedName>
    <definedName name="ReceiveTermsRegion" localSheetId="3">'Swap-Template'!$AJ$48:$AK$68</definedName>
    <definedName name="ReceiveTermsRegion" localSheetId="0">'Swap-Template_old'!$AJ$46:$AK$66</definedName>
    <definedName name="RegCap" localSheetId="3">'Swap-Template'!$D$28</definedName>
    <definedName name="ReqVANPV" localSheetId="3">'Swap-Template'!$D$36</definedName>
    <definedName name="Results" localSheetId="3">'Swap-Template'!$D$25:$D$32</definedName>
    <definedName name="Results" localSheetId="0">'Swap-Template_old'!$D$20:$D$24</definedName>
    <definedName name="ROE" localSheetId="3">'Swap-Template'!$D$27</definedName>
    <definedName name="ROE">'Swap-Template_old'!$D$22</definedName>
    <definedName name="RollConventions">Reference!$X$3:$X$33</definedName>
    <definedName name="Selected">Reference!$Y$3:$Y$4</definedName>
    <definedName name="STATPROV" localSheetId="3">'Swap-Template'!$D$30</definedName>
    <definedName name="StreamList">Reference!$R$3:$R$5</definedName>
    <definedName name="SupportedXCcySwapCurrencies">Reference!#REF!</definedName>
    <definedName name="SwapNumber" localSheetId="3">'Swap-Template'!$J$2</definedName>
    <definedName name="TargetROE" localSheetId="3">'Swap-Template'!$D$35</definedName>
    <definedName name="TargetROE">'Swap-Template_old'!$D$27</definedName>
    <definedName name="TenorCcys">Reference!$I$3:$P$3</definedName>
    <definedName name="TenorInDays">Reference!$I$3:$I$7</definedName>
    <definedName name="TenorTable">Reference!$I$3:$P$8</definedName>
    <definedName name="TotalDays">'Swap-Template'!$D$13</definedName>
    <definedName name="TotalRoEMargin" localSheetId="3">'Swap-Template'!$D$40</definedName>
    <definedName name="TradeId" localSheetId="3">'Swap-Template'!$D$5</definedName>
    <definedName name="TradeId" localSheetId="0">'Swap-Template_old'!$D$5</definedName>
    <definedName name="TradeMetrics" localSheetId="3">'Swap-Template'!$C$25:$C$30</definedName>
    <definedName name="TradeMetrics" localSheetId="0">'Swap-Template_old'!$C$20:$C$24</definedName>
    <definedName name="TradeTable">Swap!$B$12:$AW$31</definedName>
    <definedName name="TradeTerms" localSheetId="3">'Swap-Template'!$AJ$9:$AK$24</definedName>
    <definedName name="TradeTerms" localSheetId="0">'Swap-Template_old'!$AJ$9:$AK$22</definedName>
    <definedName name="TradeTermsRegion" localSheetId="3">'Swap-Template'!$AJ$8:$AK$24</definedName>
    <definedName name="TradeTermsRegion" localSheetId="0">'Swap-Template_old'!$AJ$8:$AK$22</definedName>
    <definedName name="UsdZeroCurve" localSheetId="3">'Swap-Template'!$AJ$135:$AK$139</definedName>
    <definedName name="ValuationSchedule" localSheetId="3">'Swap-Template'!$AJ$71:$AK$73</definedName>
    <definedName name="ValuationSchedule" localSheetId="0">'Swap-Template_old'!$AJ$69:$AK$71</definedName>
  </definedNames>
  <calcPr calcId="125725"/>
</workbook>
</file>

<file path=xl/calcChain.xml><?xml version="1.0" encoding="utf-8"?>
<calcChain xmlns="http://schemas.openxmlformats.org/spreadsheetml/2006/main">
  <c r="B3" i="1"/>
  <c r="AL114" i="165" l="1"/>
  <c r="AL100"/>
  <c r="AD4"/>
  <c r="Y4"/>
  <c r="F9" i="131"/>
  <c r="E9"/>
  <c r="S11" i="165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10"/>
  <c r="BA13" i="1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12"/>
  <c r="BA8"/>
  <c r="AL139" i="165"/>
  <c r="AK139"/>
  <c r="AL137"/>
  <c r="AK137" s="1"/>
  <c r="AK135"/>
  <c r="AL132"/>
  <c r="AK132"/>
  <c r="AK131"/>
  <c r="AK129"/>
  <c r="AK128"/>
  <c r="AK121"/>
  <c r="AK124"/>
  <c r="AL125"/>
  <c r="AK125"/>
  <c r="D16"/>
  <c r="AQ28" i="1"/>
  <c r="AQ29"/>
  <c r="AQ30"/>
  <c r="AQ31"/>
  <c r="E6" i="131"/>
  <c r="E7"/>
  <c r="F7" s="1"/>
  <c r="E8"/>
  <c r="E10"/>
  <c r="F10" s="1"/>
  <c r="E11"/>
  <c r="F11" s="1"/>
  <c r="E5"/>
  <c r="AQ27" i="1"/>
  <c r="AQ24"/>
  <c r="AQ26"/>
  <c r="AQ25"/>
  <c r="AQ20"/>
  <c r="AQ16"/>
  <c r="AQ23"/>
  <c r="AQ21"/>
  <c r="AQ18"/>
  <c r="AQ19"/>
  <c r="AQ22"/>
  <c r="AQ17"/>
  <c r="AQ15"/>
  <c r="AQ14"/>
  <c r="AQ12"/>
  <c r="AQ13"/>
  <c r="F5" i="131" l="1"/>
  <c r="F8"/>
  <c r="F6"/>
  <c r="AH13" i="1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12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12"/>
  <c r="AD13"/>
  <c r="AC28"/>
  <c r="AC29"/>
  <c r="AC30"/>
  <c r="AC31"/>
  <c r="AC27"/>
  <c r="AC24"/>
  <c r="AC25"/>
  <c r="AC26"/>
  <c r="AC22"/>
  <c r="AC19"/>
  <c r="AC18"/>
  <c r="AC21"/>
  <c r="AC20"/>
  <c r="AC17"/>
  <c r="AC16"/>
  <c r="AC23"/>
  <c r="AC15"/>
  <c r="AC14"/>
  <c r="AC13"/>
  <c r="AT28" l="1"/>
  <c r="AT29"/>
  <c r="AT30"/>
  <c r="AT31"/>
  <c r="AS28"/>
  <c r="AS29"/>
  <c r="AS30"/>
  <c r="AS31"/>
  <c r="AP28"/>
  <c r="AP29"/>
  <c r="AP30"/>
  <c r="AP31"/>
  <c r="AS27"/>
  <c r="AT27"/>
  <c r="AP27"/>
  <c r="AP26"/>
  <c r="AT24"/>
  <c r="AS26"/>
  <c r="AP25"/>
  <c r="AP24"/>
  <c r="AT25"/>
  <c r="AS25"/>
  <c r="AS24"/>
  <c r="AT26"/>
  <c r="AT22"/>
  <c r="AT19"/>
  <c r="AS19"/>
  <c r="AT17"/>
  <c r="AS22"/>
  <c r="AP20"/>
  <c r="AS21"/>
  <c r="AT21"/>
  <c r="AT23"/>
  <c r="AS16"/>
  <c r="AT20"/>
  <c r="AP16"/>
  <c r="AP19"/>
  <c r="AP17"/>
  <c r="AT16"/>
  <c r="AS20"/>
  <c r="AS17"/>
  <c r="AP18"/>
  <c r="AS23"/>
  <c r="AT18"/>
  <c r="AS18"/>
  <c r="AP21"/>
  <c r="AP22"/>
  <c r="AP23"/>
  <c r="AS15"/>
  <c r="AT15"/>
  <c r="AP15"/>
  <c r="AP14"/>
  <c r="AT14"/>
  <c r="AS14"/>
  <c r="AC12"/>
  <c r="AS13"/>
  <c r="AP13"/>
  <c r="AT13"/>
  <c r="AT12"/>
  <c r="AS12"/>
  <c r="AL28" l="1"/>
  <c r="AL29"/>
  <c r="AL30"/>
  <c r="AL31"/>
  <c r="AK28"/>
  <c r="AK29"/>
  <c r="AK30"/>
  <c r="AK31"/>
  <c r="AJ28"/>
  <c r="AJ29"/>
  <c r="AJ30"/>
  <c r="AJ31"/>
  <c r="AK27"/>
  <c r="AJ27"/>
  <c r="AL27"/>
  <c r="AK24"/>
  <c r="AK25"/>
  <c r="AK26"/>
  <c r="AK23"/>
  <c r="AK16"/>
  <c r="AK18"/>
  <c r="AK22"/>
  <c r="AK19"/>
  <c r="AK21"/>
  <c r="AK17"/>
  <c r="AK20"/>
  <c r="AK15"/>
  <c r="AK14"/>
  <c r="AP12"/>
  <c r="AV28" l="1"/>
  <c r="AV29"/>
  <c r="AV30"/>
  <c r="AV31"/>
  <c r="AU28"/>
  <c r="AU29"/>
  <c r="AU30"/>
  <c r="AU31"/>
  <c r="AR28"/>
  <c r="AR29"/>
  <c r="AR30"/>
  <c r="AR31"/>
  <c r="AU27"/>
  <c r="AR27"/>
  <c r="AV27"/>
  <c r="AV26"/>
  <c r="AU25"/>
  <c r="AJ24"/>
  <c r="AU26"/>
  <c r="AV25"/>
  <c r="AR24"/>
  <c r="AJ26"/>
  <c r="AV24"/>
  <c r="AJ25"/>
  <c r="AR25"/>
  <c r="AU24"/>
  <c r="AR26"/>
  <c r="AR21"/>
  <c r="AU22"/>
  <c r="AR16"/>
  <c r="AU20"/>
  <c r="AV19"/>
  <c r="AV16"/>
  <c r="AR22"/>
  <c r="AR19"/>
  <c r="AU18"/>
  <c r="AV20"/>
  <c r="AR20"/>
  <c r="AV17"/>
  <c r="AR17"/>
  <c r="AV22"/>
  <c r="AJ18"/>
  <c r="AR23"/>
  <c r="AJ22"/>
  <c r="AU16"/>
  <c r="AU19"/>
  <c r="AU17"/>
  <c r="AV21"/>
  <c r="AJ20"/>
  <c r="AJ21"/>
  <c r="AV18"/>
  <c r="AR18"/>
  <c r="AU23"/>
  <c r="AV23"/>
  <c r="AJ23"/>
  <c r="AU21"/>
  <c r="AR15"/>
  <c r="AU15"/>
  <c r="AV15"/>
  <c r="AV14"/>
  <c r="AU14"/>
  <c r="AR14"/>
  <c r="AV13"/>
  <c r="AK13"/>
  <c r="AU12"/>
  <c r="AR13"/>
  <c r="AV12"/>
  <c r="AU13"/>
  <c r="J2" i="165" l="1"/>
  <c r="V24" i="1"/>
  <c r="V25"/>
  <c r="V26"/>
  <c r="V27"/>
  <c r="V28"/>
  <c r="V29"/>
  <c r="V30"/>
  <c r="V31"/>
  <c r="O208" i="165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AL118"/>
  <c r="AK118"/>
  <c r="O117"/>
  <c r="O116"/>
  <c r="O115"/>
  <c r="O114"/>
  <c r="O113"/>
  <c r="AL26" i="1"/>
  <c r="AL25"/>
  <c r="AL24"/>
  <c r="AJ17"/>
  <c r="AL21"/>
  <c r="AL18"/>
  <c r="AL23"/>
  <c r="AJ19"/>
  <c r="AL20"/>
  <c r="AL22"/>
  <c r="AJ16"/>
  <c r="AJ15"/>
  <c r="AJ14"/>
  <c r="AR12"/>
  <c r="AK12"/>
  <c r="AJ13"/>
  <c r="D21" i="165" l="1"/>
  <c r="AL77" s="1"/>
  <c r="D14"/>
  <c r="D19"/>
  <c r="AL80" s="1"/>
  <c r="AK80" s="1"/>
  <c r="D20"/>
  <c r="AL81" s="1"/>
  <c r="AK81" s="1"/>
  <c r="D35"/>
  <c r="J11"/>
  <c r="D18"/>
  <c r="D17"/>
  <c r="AL78" s="1"/>
  <c r="AK78" s="1"/>
  <c r="A1"/>
  <c r="J8"/>
  <c r="J16" s="1"/>
  <c r="J7"/>
  <c r="S9" s="1"/>
  <c r="O112"/>
  <c r="O111"/>
  <c r="O110"/>
  <c r="AL111"/>
  <c r="AK111"/>
  <c r="O109"/>
  <c r="O108"/>
  <c r="AL16" i="1"/>
  <c r="AL17"/>
  <c r="AL19"/>
  <c r="AL15"/>
  <c r="AL14"/>
  <c r="AJ12"/>
  <c r="AL13"/>
  <c r="Z8" i="165" l="1"/>
  <c r="AL130"/>
  <c r="AC4"/>
  <c r="B37"/>
  <c r="B32"/>
  <c r="D39"/>
  <c r="AL79"/>
  <c r="AK79" s="1"/>
  <c r="O107"/>
  <c r="O106"/>
  <c r="O105"/>
  <c r="O104"/>
  <c r="O103"/>
  <c r="O102"/>
  <c r="AL104"/>
  <c r="AK104"/>
  <c r="O101"/>
  <c r="O100"/>
  <c r="O99"/>
  <c r="O98"/>
  <c r="O97"/>
  <c r="O96"/>
  <c r="O95"/>
  <c r="O94"/>
  <c r="AL97"/>
  <c r="AK97"/>
  <c r="O93"/>
  <c r="O92"/>
  <c r="O91"/>
  <c r="O90"/>
  <c r="O89"/>
  <c r="O88"/>
  <c r="O87"/>
  <c r="O86"/>
  <c r="O85"/>
  <c r="O84"/>
  <c r="O83"/>
  <c r="AK87"/>
  <c r="O82"/>
  <c r="AK86"/>
  <c r="O81"/>
  <c r="AK85"/>
  <c r="O80"/>
  <c r="O79"/>
  <c r="AK83"/>
  <c r="O78"/>
  <c r="AL82"/>
  <c r="AK82" s="1"/>
  <c r="O77"/>
  <c r="AK77"/>
  <c r="O76"/>
  <c r="O75"/>
  <c r="O74"/>
  <c r="O73"/>
  <c r="O72"/>
  <c r="O71"/>
  <c r="AL72"/>
  <c r="AL136" s="1"/>
  <c r="AK136" s="1"/>
  <c r="AL12" i="1"/>
  <c r="AK72" i="165" l="1"/>
  <c r="O70"/>
  <c r="AM71"/>
  <c r="AK71" s="1"/>
  <c r="O69"/>
  <c r="O68"/>
  <c r="O67"/>
  <c r="O66"/>
  <c r="O65"/>
  <c r="O64" l="1"/>
  <c r="AK65"/>
  <c r="O63"/>
  <c r="AK64"/>
  <c r="O62"/>
  <c r="O61"/>
  <c r="O60"/>
  <c r="AK61"/>
  <c r="O59"/>
  <c r="O58"/>
  <c r="O57"/>
  <c r="AL58"/>
  <c r="AK58" s="1"/>
  <c r="O56"/>
  <c r="AL57"/>
  <c r="AK57" s="1"/>
  <c r="O55"/>
  <c r="AL56"/>
  <c r="AK56" s="1"/>
  <c r="O54"/>
  <c r="O53"/>
  <c r="O52"/>
  <c r="AG51" l="1"/>
  <c r="AF51"/>
  <c r="O51"/>
  <c r="AK52"/>
  <c r="AG50"/>
  <c r="AF50"/>
  <c r="O50"/>
  <c r="AG49"/>
  <c r="AF49"/>
  <c r="O49"/>
  <c r="AG48"/>
  <c r="AF48"/>
  <c r="O48"/>
  <c r="AG47"/>
  <c r="AF47"/>
  <c r="O47"/>
  <c r="AG46"/>
  <c r="AF46"/>
  <c r="O46"/>
  <c r="AG45"/>
  <c r="AF45"/>
  <c r="O45"/>
  <c r="AG44"/>
  <c r="AF44"/>
  <c r="O44"/>
  <c r="AG43"/>
  <c r="AF43"/>
  <c r="O43"/>
  <c r="AG42"/>
  <c r="AF42"/>
  <c r="O42"/>
  <c r="AK43"/>
  <c r="AG41"/>
  <c r="AF41"/>
  <c r="O41"/>
  <c r="AK42"/>
  <c r="AG40"/>
  <c r="AF40"/>
  <c r="O40"/>
  <c r="AG39"/>
  <c r="AF39"/>
  <c r="O39"/>
  <c r="AG38"/>
  <c r="AH41" l="1"/>
  <c r="AH50"/>
  <c r="AH40"/>
  <c r="AH42"/>
  <c r="AF38"/>
  <c r="O38"/>
  <c r="AK39"/>
  <c r="AG37"/>
  <c r="AF37"/>
  <c r="O37"/>
  <c r="AG36"/>
  <c r="AF36"/>
  <c r="O36"/>
  <c r="AG35"/>
  <c r="AF35"/>
  <c r="O35"/>
  <c r="AL36"/>
  <c r="AK36" s="1"/>
  <c r="AG34"/>
  <c r="AF34"/>
  <c r="O34"/>
  <c r="AG33"/>
  <c r="AF33"/>
  <c r="O33"/>
  <c r="AL34"/>
  <c r="AK34" s="1"/>
  <c r="AG32"/>
  <c r="AF32"/>
  <c r="O32"/>
  <c r="O31"/>
  <c r="AH32" l="1"/>
  <c r="AH34"/>
  <c r="AH33"/>
  <c r="AH37"/>
  <c r="O30"/>
  <c r="O29"/>
  <c r="AK30"/>
  <c r="O28"/>
  <c r="AG27"/>
  <c r="AF27"/>
  <c r="O27"/>
  <c r="AG26"/>
  <c r="AF26"/>
  <c r="O26"/>
  <c r="AG25"/>
  <c r="AF25"/>
  <c r="O25"/>
  <c r="AG24"/>
  <c r="AF24"/>
  <c r="O24"/>
  <c r="AG23"/>
  <c r="AF23"/>
  <c r="O23"/>
  <c r="AK24"/>
  <c r="AG22"/>
  <c r="AF22"/>
  <c r="O22"/>
  <c r="AG21"/>
  <c r="AF21"/>
  <c r="O21"/>
  <c r="AG20"/>
  <c r="AF20"/>
  <c r="O20"/>
  <c r="AG19"/>
  <c r="AF19"/>
  <c r="O19"/>
  <c r="AG18"/>
  <c r="AF18"/>
  <c r="O18"/>
  <c r="AG17"/>
  <c r="AF17"/>
  <c r="O17"/>
  <c r="AG16"/>
  <c r="AF16"/>
  <c r="O16"/>
  <c r="AG15"/>
  <c r="AF15"/>
  <c r="O15"/>
  <c r="AG14"/>
  <c r="AF14"/>
  <c r="O14"/>
  <c r="AK13"/>
  <c r="AG13"/>
  <c r="AF13"/>
  <c r="O13"/>
  <c r="AK12"/>
  <c r="AG12"/>
  <c r="AF12"/>
  <c r="O12"/>
  <c r="AG11"/>
  <c r="AF11"/>
  <c r="O11"/>
  <c r="AM10"/>
  <c r="AG10"/>
  <c r="AF10"/>
  <c r="O10"/>
  <c r="AG9"/>
  <c r="AF9"/>
  <c r="AH9" s="1"/>
  <c r="D9"/>
  <c r="AG8"/>
  <c r="AF8"/>
  <c r="D8"/>
  <c r="D7"/>
  <c r="D6"/>
  <c r="D5"/>
  <c r="C59" i="1"/>
  <c r="S59" s="1"/>
  <c r="C58"/>
  <c r="S58" s="1"/>
  <c r="C57"/>
  <c r="S57" s="1"/>
  <c r="C56"/>
  <c r="S56" s="1"/>
  <c r="C55"/>
  <c r="S55" s="1"/>
  <c r="C54"/>
  <c r="S54" s="1"/>
  <c r="C53"/>
  <c r="S53" s="1"/>
  <c r="C52"/>
  <c r="S52" s="1"/>
  <c r="C51"/>
  <c r="S51" s="1"/>
  <c r="C50"/>
  <c r="S50" s="1"/>
  <c r="C49"/>
  <c r="S49" s="1"/>
  <c r="C48"/>
  <c r="S48" s="1"/>
  <c r="AM49" l="1"/>
  <c r="P49"/>
  <c r="AE49"/>
  <c r="Q49"/>
  <c r="AG49"/>
  <c r="AB49"/>
  <c r="AM51"/>
  <c r="P51"/>
  <c r="AE51"/>
  <c r="Q51"/>
  <c r="AG51"/>
  <c r="AB51"/>
  <c r="AM53"/>
  <c r="P53"/>
  <c r="AE53"/>
  <c r="Q53"/>
  <c r="AG53"/>
  <c r="AB53"/>
  <c r="AM55"/>
  <c r="P55"/>
  <c r="AE55"/>
  <c r="Q55"/>
  <c r="AG55"/>
  <c r="AB55"/>
  <c r="AM57"/>
  <c r="P57"/>
  <c r="AE57"/>
  <c r="Q57"/>
  <c r="AG57"/>
  <c r="AB57"/>
  <c r="AM59"/>
  <c r="P59"/>
  <c r="AE59"/>
  <c r="Q59"/>
  <c r="AG59"/>
  <c r="AB59"/>
  <c r="Q48"/>
  <c r="AG48"/>
  <c r="AB48"/>
  <c r="AM48"/>
  <c r="P48"/>
  <c r="AE48"/>
  <c r="Q50"/>
  <c r="AG50"/>
  <c r="AB50"/>
  <c r="AM50"/>
  <c r="P50"/>
  <c r="AE50"/>
  <c r="Q52"/>
  <c r="AG52"/>
  <c r="AB52"/>
  <c r="AM52"/>
  <c r="P52"/>
  <c r="AE52"/>
  <c r="Q54"/>
  <c r="AG54"/>
  <c r="AB54"/>
  <c r="AM54"/>
  <c r="P54"/>
  <c r="AE54"/>
  <c r="Q56"/>
  <c r="AG56"/>
  <c r="AB56"/>
  <c r="AM56"/>
  <c r="P56"/>
  <c r="AE56"/>
  <c r="Q58"/>
  <c r="AG58"/>
  <c r="AB58"/>
  <c r="AM58"/>
  <c r="P58"/>
  <c r="AE58"/>
  <c r="J49"/>
  <c r="R49"/>
  <c r="K49"/>
  <c r="O49"/>
  <c r="N49"/>
  <c r="T49"/>
  <c r="L49"/>
  <c r="J51"/>
  <c r="R51"/>
  <c r="K51"/>
  <c r="O51"/>
  <c r="N51"/>
  <c r="T51"/>
  <c r="L51"/>
  <c r="J53"/>
  <c r="R53"/>
  <c r="K53"/>
  <c r="O53"/>
  <c r="N53"/>
  <c r="T53"/>
  <c r="L53"/>
  <c r="R54"/>
  <c r="J54"/>
  <c r="K54"/>
  <c r="O54"/>
  <c r="N54"/>
  <c r="T54"/>
  <c r="L54"/>
  <c r="R56"/>
  <c r="J56"/>
  <c r="K56"/>
  <c r="O56"/>
  <c r="N56"/>
  <c r="T56"/>
  <c r="L56"/>
  <c r="J57"/>
  <c r="R57"/>
  <c r="K57"/>
  <c r="O57"/>
  <c r="N57"/>
  <c r="T57"/>
  <c r="L57"/>
  <c r="J59"/>
  <c r="R59"/>
  <c r="K59"/>
  <c r="O59"/>
  <c r="N59"/>
  <c r="T59"/>
  <c r="L59"/>
  <c r="R48"/>
  <c r="J48"/>
  <c r="K48"/>
  <c r="O48"/>
  <c r="N48"/>
  <c r="T48"/>
  <c r="L48"/>
  <c r="R50"/>
  <c r="J50"/>
  <c r="R52"/>
  <c r="J52"/>
  <c r="K52"/>
  <c r="O52"/>
  <c r="N52"/>
  <c r="T52"/>
  <c r="L52"/>
  <c r="J55"/>
  <c r="R55"/>
  <c r="K55"/>
  <c r="O55"/>
  <c r="N55"/>
  <c r="T55"/>
  <c r="L55"/>
  <c r="R58"/>
  <c r="J58"/>
  <c r="K58"/>
  <c r="O58"/>
  <c r="N58"/>
  <c r="T58"/>
  <c r="L58"/>
  <c r="K50"/>
  <c r="O50"/>
  <c r="N50"/>
  <c r="T50"/>
  <c r="L50"/>
  <c r="I50"/>
  <c r="I53"/>
  <c r="I56"/>
  <c r="I51"/>
  <c r="I54"/>
  <c r="I58"/>
  <c r="G49"/>
  <c r="G50"/>
  <c r="G51"/>
  <c r="G53"/>
  <c r="G54"/>
  <c r="G56"/>
  <c r="G58"/>
  <c r="H48"/>
  <c r="G48"/>
  <c r="I48"/>
  <c r="H49"/>
  <c r="H50"/>
  <c r="H51"/>
  <c r="G52"/>
  <c r="I52"/>
  <c r="H53"/>
  <c r="H54"/>
  <c r="G55"/>
  <c r="I55"/>
  <c r="H56"/>
  <c r="G57"/>
  <c r="I57"/>
  <c r="H58"/>
  <c r="G59"/>
  <c r="I59"/>
  <c r="I49"/>
  <c r="H52"/>
  <c r="H55"/>
  <c r="H57"/>
  <c r="H59"/>
  <c r="D24" i="165"/>
  <c r="AL73"/>
  <c r="G12"/>
  <c r="AL138" s="1"/>
  <c r="AK138" s="1"/>
  <c r="AH12"/>
  <c r="AH22"/>
  <c r="AH8"/>
  <c r="AH13"/>
  <c r="G6"/>
  <c r="G8"/>
  <c r="AL107" s="1"/>
  <c r="J9"/>
  <c r="AL9"/>
  <c r="AK9" s="1"/>
  <c r="D11"/>
  <c r="AL68"/>
  <c r="AK68" s="1"/>
  <c r="D12"/>
  <c r="J12"/>
  <c r="J6"/>
  <c r="G7"/>
  <c r="AL84" s="1"/>
  <c r="AK84" s="1"/>
  <c r="G9"/>
  <c r="G10"/>
  <c r="G11"/>
  <c r="C47" i="1"/>
  <c r="S47" s="1"/>
  <c r="C46"/>
  <c r="S46" s="1"/>
  <c r="C45"/>
  <c r="S45" s="1"/>
  <c r="C44"/>
  <c r="S44" s="1"/>
  <c r="C43"/>
  <c r="S43" s="1"/>
  <c r="C42"/>
  <c r="S42" s="1"/>
  <c r="C41"/>
  <c r="S41" s="1"/>
  <c r="C40"/>
  <c r="S40" s="1"/>
  <c r="Z31"/>
  <c r="Y31"/>
  <c r="Z30"/>
  <c r="Y30"/>
  <c r="Z29"/>
  <c r="Y29"/>
  <c r="Z28"/>
  <c r="Y28"/>
  <c r="AC3" i="131"/>
  <c r="S208" i="163"/>
  <c r="O208"/>
  <c r="S207"/>
  <c r="O207"/>
  <c r="S206"/>
  <c r="O206"/>
  <c r="S205"/>
  <c r="O205"/>
  <c r="S204"/>
  <c r="O204"/>
  <c r="S203"/>
  <c r="O203"/>
  <c r="S202"/>
  <c r="O202"/>
  <c r="S201"/>
  <c r="O201"/>
  <c r="S200"/>
  <c r="O200"/>
  <c r="S199"/>
  <c r="O199"/>
  <c r="S198"/>
  <c r="O198"/>
  <c r="S197"/>
  <c r="O197"/>
  <c r="S196"/>
  <c r="O196"/>
  <c r="S195"/>
  <c r="O195"/>
  <c r="S194"/>
  <c r="O194"/>
  <c r="S193"/>
  <c r="O193"/>
  <c r="S192"/>
  <c r="O192"/>
  <c r="S191"/>
  <c r="O191"/>
  <c r="S190"/>
  <c r="O190"/>
  <c r="S189"/>
  <c r="O189"/>
  <c r="S188"/>
  <c r="O188"/>
  <c r="S187"/>
  <c r="O187"/>
  <c r="S186"/>
  <c r="O186"/>
  <c r="S185"/>
  <c r="O185"/>
  <c r="S184"/>
  <c r="O184"/>
  <c r="S183"/>
  <c r="O183"/>
  <c r="S182"/>
  <c r="O182"/>
  <c r="S181"/>
  <c r="O181"/>
  <c r="S180"/>
  <c r="O180"/>
  <c r="S179"/>
  <c r="O179"/>
  <c r="S178"/>
  <c r="O178"/>
  <c r="S177"/>
  <c r="O177"/>
  <c r="S176"/>
  <c r="O176"/>
  <c r="S175"/>
  <c r="O175"/>
  <c r="S174"/>
  <c r="O174"/>
  <c r="S173"/>
  <c r="O173"/>
  <c r="S172"/>
  <c r="O172"/>
  <c r="S171"/>
  <c r="O171"/>
  <c r="S170"/>
  <c r="O170"/>
  <c r="S169"/>
  <c r="O169"/>
  <c r="S168"/>
  <c r="O168"/>
  <c r="S167"/>
  <c r="O167"/>
  <c r="S166"/>
  <c r="O166"/>
  <c r="S165"/>
  <c r="O165"/>
  <c r="S164"/>
  <c r="O164"/>
  <c r="S163"/>
  <c r="O163"/>
  <c r="S162"/>
  <c r="O162"/>
  <c r="S161"/>
  <c r="O161"/>
  <c r="S160"/>
  <c r="O160"/>
  <c r="S159"/>
  <c r="O159"/>
  <c r="S158"/>
  <c r="O158"/>
  <c r="S157"/>
  <c r="O157"/>
  <c r="S156"/>
  <c r="O156"/>
  <c r="S155"/>
  <c r="O155"/>
  <c r="S154"/>
  <c r="O154"/>
  <c r="S153"/>
  <c r="O153"/>
  <c r="S152"/>
  <c r="O152"/>
  <c r="S151"/>
  <c r="O151"/>
  <c r="S150"/>
  <c r="O150"/>
  <c r="S149"/>
  <c r="O149"/>
  <c r="S148"/>
  <c r="O148"/>
  <c r="S147"/>
  <c r="O147"/>
  <c r="S146"/>
  <c r="O146"/>
  <c r="S145"/>
  <c r="O145"/>
  <c r="S144"/>
  <c r="O144"/>
  <c r="S143"/>
  <c r="O143"/>
  <c r="S142"/>
  <c r="O142"/>
  <c r="S141"/>
  <c r="O141"/>
  <c r="S140"/>
  <c r="O140"/>
  <c r="S139"/>
  <c r="O139"/>
  <c r="S138"/>
  <c r="O138"/>
  <c r="S137"/>
  <c r="O137"/>
  <c r="S136"/>
  <c r="O136"/>
  <c r="S135"/>
  <c r="O135"/>
  <c r="S134"/>
  <c r="O134"/>
  <c r="S133"/>
  <c r="O133"/>
  <c r="S132"/>
  <c r="O132"/>
  <c r="S131"/>
  <c r="O131"/>
  <c r="S130"/>
  <c r="O130"/>
  <c r="S129"/>
  <c r="O129"/>
  <c r="S128"/>
  <c r="O128"/>
  <c r="S127"/>
  <c r="O127"/>
  <c r="S126"/>
  <c r="O126"/>
  <c r="S125"/>
  <c r="O125"/>
  <c r="S124"/>
  <c r="O124"/>
  <c r="S123"/>
  <c r="O123"/>
  <c r="S122"/>
  <c r="O122"/>
  <c r="S121"/>
  <c r="O121"/>
  <c r="S120"/>
  <c r="O120"/>
  <c r="S119"/>
  <c r="O119"/>
  <c r="S118"/>
  <c r="O118"/>
  <c r="S117"/>
  <c r="O117"/>
  <c r="S116"/>
  <c r="O116"/>
  <c r="S115"/>
  <c r="O115"/>
  <c r="S114"/>
  <c r="O114"/>
  <c r="S113"/>
  <c r="O113"/>
  <c r="S112"/>
  <c r="O112"/>
  <c r="S111"/>
  <c r="O111"/>
  <c r="S110"/>
  <c r="O110"/>
  <c r="S109"/>
  <c r="O109"/>
  <c r="S108"/>
  <c r="O108"/>
  <c r="S107"/>
  <c r="O107"/>
  <c r="S106"/>
  <c r="O106"/>
  <c r="AL105"/>
  <c r="AK105" s="1"/>
  <c r="S105"/>
  <c r="O105"/>
  <c r="S104"/>
  <c r="O104"/>
  <c r="S103"/>
  <c r="O103"/>
  <c r="S102"/>
  <c r="O102"/>
  <c r="S101"/>
  <c r="O101"/>
  <c r="S100"/>
  <c r="O100"/>
  <c r="S99"/>
  <c r="O99"/>
  <c r="AL98"/>
  <c r="AK98" s="1"/>
  <c r="S98"/>
  <c r="O98"/>
  <c r="S97"/>
  <c r="O97"/>
  <c r="S96"/>
  <c r="O96"/>
  <c r="S95"/>
  <c r="O95"/>
  <c r="S94"/>
  <c r="O94"/>
  <c r="S93"/>
  <c r="O93"/>
  <c r="S92"/>
  <c r="O92"/>
  <c r="AL91"/>
  <c r="AK91" s="1"/>
  <c r="S91"/>
  <c r="O91"/>
  <c r="S90"/>
  <c r="O90"/>
  <c r="S89"/>
  <c r="O89"/>
  <c r="S88"/>
  <c r="O88"/>
  <c r="S87"/>
  <c r="O87"/>
  <c r="S86"/>
  <c r="O86"/>
  <c r="S85"/>
  <c r="O85"/>
  <c r="AL84"/>
  <c r="AK84" s="1"/>
  <c r="S84"/>
  <c r="O84"/>
  <c r="S83"/>
  <c r="O83"/>
  <c r="S82"/>
  <c r="O82"/>
  <c r="S81"/>
  <c r="O81"/>
  <c r="S80"/>
  <c r="O80"/>
  <c r="S79"/>
  <c r="O79"/>
  <c r="AK78"/>
  <c r="S78"/>
  <c r="O78"/>
  <c r="AL77"/>
  <c r="AK77" s="1"/>
  <c r="S77"/>
  <c r="O77"/>
  <c r="AL76"/>
  <c r="AK76" s="1"/>
  <c r="S76"/>
  <c r="O76"/>
  <c r="AL75"/>
  <c r="AK75" s="1"/>
  <c r="S75"/>
  <c r="O75"/>
  <c r="S74"/>
  <c r="O74"/>
  <c r="S73"/>
  <c r="O73"/>
  <c r="S72"/>
  <c r="O72"/>
  <c r="S71"/>
  <c r="O71"/>
  <c r="AL70"/>
  <c r="AK70" s="1"/>
  <c r="S70"/>
  <c r="O70"/>
  <c r="AM69"/>
  <c r="AK69" s="1"/>
  <c r="S69"/>
  <c r="O69"/>
  <c r="S68"/>
  <c r="O68"/>
  <c r="S67"/>
  <c r="O67"/>
  <c r="Y27" i="1"/>
  <c r="Z27"/>
  <c r="Y26"/>
  <c r="Z26"/>
  <c r="Y25"/>
  <c r="Y24"/>
  <c r="Z24"/>
  <c r="Z25"/>
  <c r="Y19"/>
  <c r="Y23"/>
  <c r="Y18"/>
  <c r="Z22"/>
  <c r="Z20"/>
  <c r="Y16"/>
  <c r="Y22"/>
  <c r="Z23"/>
  <c r="Y21"/>
  <c r="Z16"/>
  <c r="Z19"/>
  <c r="Z18"/>
  <c r="Z17"/>
  <c r="Y17"/>
  <c r="Y20"/>
  <c r="Z21"/>
  <c r="Z15"/>
  <c r="Y15"/>
  <c r="Y14"/>
  <c r="Z14"/>
  <c r="Z13"/>
  <c r="Y13"/>
  <c r="Y12"/>
  <c r="Z12"/>
  <c r="G16" i="165" l="1"/>
  <c r="AL35" s="1"/>
  <c r="AK35" s="1"/>
  <c r="AL93"/>
  <c r="AK93" s="1"/>
  <c r="AK107"/>
  <c r="G14"/>
  <c r="J14"/>
  <c r="AL53" s="1"/>
  <c r="AK53" s="1"/>
  <c r="AH51" s="1"/>
  <c r="U8"/>
  <c r="AL19"/>
  <c r="AL20" s="1"/>
  <c r="O9"/>
  <c r="AL123"/>
  <c r="AK123" s="1"/>
  <c r="AK130"/>
  <c r="X4"/>
  <c r="AK114"/>
  <c r="AK100"/>
  <c r="B36"/>
  <c r="B31"/>
  <c r="Q40" i="1"/>
  <c r="AG40"/>
  <c r="AB40"/>
  <c r="AM40"/>
  <c r="P40"/>
  <c r="AE40"/>
  <c r="Q42"/>
  <c r="AG42"/>
  <c r="AB42"/>
  <c r="AM42"/>
  <c r="P42"/>
  <c r="AE42"/>
  <c r="Q44"/>
  <c r="AG44"/>
  <c r="AB44"/>
  <c r="AM44"/>
  <c r="P44"/>
  <c r="AE44"/>
  <c r="Q46"/>
  <c r="AG46"/>
  <c r="AB46"/>
  <c r="AM46"/>
  <c r="P46"/>
  <c r="AE46"/>
  <c r="AM43"/>
  <c r="P43"/>
  <c r="AE43"/>
  <c r="Q43"/>
  <c r="AG43"/>
  <c r="AB43"/>
  <c r="AM45"/>
  <c r="P45"/>
  <c r="AE45"/>
  <c r="Q45"/>
  <c r="AG45"/>
  <c r="AB45"/>
  <c r="AM47"/>
  <c r="P47"/>
  <c r="AE47"/>
  <c r="Q47"/>
  <c r="AG47"/>
  <c r="AB47"/>
  <c r="R41"/>
  <c r="AM41"/>
  <c r="Q41"/>
  <c r="P41"/>
  <c r="AG41"/>
  <c r="AE41"/>
  <c r="AB41"/>
  <c r="R46"/>
  <c r="J46"/>
  <c r="K46"/>
  <c r="O46"/>
  <c r="N46"/>
  <c r="T46"/>
  <c r="L46"/>
  <c r="J42"/>
  <c r="R42"/>
  <c r="R44"/>
  <c r="J44"/>
  <c r="K44"/>
  <c r="O44"/>
  <c r="N44"/>
  <c r="T44"/>
  <c r="L44"/>
  <c r="J45"/>
  <c r="R45"/>
  <c r="J47"/>
  <c r="R47"/>
  <c r="K47"/>
  <c r="O47"/>
  <c r="N47"/>
  <c r="T47"/>
  <c r="L47"/>
  <c r="K43"/>
  <c r="R43"/>
  <c r="J43"/>
  <c r="AL117" i="165"/>
  <c r="AK117" s="1"/>
  <c r="AL110"/>
  <c r="AK110" s="1"/>
  <c r="AL103"/>
  <c r="AK103" s="1"/>
  <c r="AL96"/>
  <c r="AK96" s="1"/>
  <c r="R40" i="1"/>
  <c r="J40"/>
  <c r="K41"/>
  <c r="J41"/>
  <c r="O40"/>
  <c r="T40"/>
  <c r="L40"/>
  <c r="K40"/>
  <c r="N40"/>
  <c r="O43"/>
  <c r="N43"/>
  <c r="T43"/>
  <c r="L43"/>
  <c r="O45"/>
  <c r="T45"/>
  <c r="L45"/>
  <c r="K45"/>
  <c r="N45"/>
  <c r="K42"/>
  <c r="N42"/>
  <c r="O42"/>
  <c r="T42"/>
  <c r="L42"/>
  <c r="O41"/>
  <c r="N41"/>
  <c r="T41"/>
  <c r="L41"/>
  <c r="I41"/>
  <c r="I42"/>
  <c r="I43"/>
  <c r="G41"/>
  <c r="G42"/>
  <c r="G43"/>
  <c r="G44"/>
  <c r="I44"/>
  <c r="H45"/>
  <c r="H46"/>
  <c r="H47"/>
  <c r="H41"/>
  <c r="H42"/>
  <c r="H43"/>
  <c r="H44"/>
  <c r="G45"/>
  <c r="I45"/>
  <c r="G46"/>
  <c r="I46"/>
  <c r="G47"/>
  <c r="I47"/>
  <c r="H40"/>
  <c r="G40"/>
  <c r="I40"/>
  <c r="AL45" i="165"/>
  <c r="AK45" s="1"/>
  <c r="AH43" s="1"/>
  <c r="AL32"/>
  <c r="AK32" s="1"/>
  <c r="AL67"/>
  <c r="AK67" s="1"/>
  <c r="AL116"/>
  <c r="AK116" s="1"/>
  <c r="AL109"/>
  <c r="AK109" s="1"/>
  <c r="AL51"/>
  <c r="AK51" s="1"/>
  <c r="AH49" s="1"/>
  <c r="AM11"/>
  <c r="P208"/>
  <c r="L208"/>
  <c r="P207"/>
  <c r="L207"/>
  <c r="P206"/>
  <c r="L206"/>
  <c r="P205"/>
  <c r="L205"/>
  <c r="P204"/>
  <c r="L204"/>
  <c r="P203"/>
  <c r="L203"/>
  <c r="P202"/>
  <c r="L202"/>
  <c r="P201"/>
  <c r="L201"/>
  <c r="P200"/>
  <c r="L200"/>
  <c r="P199"/>
  <c r="L199"/>
  <c r="P198"/>
  <c r="L198"/>
  <c r="P197"/>
  <c r="L197"/>
  <c r="P196"/>
  <c r="L196"/>
  <c r="P195"/>
  <c r="L195"/>
  <c r="P194"/>
  <c r="L194"/>
  <c r="P193"/>
  <c r="L193"/>
  <c r="P192"/>
  <c r="L192"/>
  <c r="P191"/>
  <c r="L191"/>
  <c r="P190"/>
  <c r="L190"/>
  <c r="P189"/>
  <c r="L189"/>
  <c r="P188"/>
  <c r="L188"/>
  <c r="L187"/>
  <c r="P186"/>
  <c r="L186"/>
  <c r="P185"/>
  <c r="P184"/>
  <c r="P183"/>
  <c r="P182"/>
  <c r="L181"/>
  <c r="L180"/>
  <c r="L179"/>
  <c r="L178"/>
  <c r="P177"/>
  <c r="P176"/>
  <c r="P175"/>
  <c r="P174"/>
  <c r="P173"/>
  <c r="L172"/>
  <c r="L171"/>
  <c r="L170"/>
  <c r="L169"/>
  <c r="L168"/>
  <c r="L167"/>
  <c r="P166"/>
  <c r="L165"/>
  <c r="L164"/>
  <c r="L163"/>
  <c r="L162"/>
  <c r="P161"/>
  <c r="P160"/>
  <c r="P159"/>
  <c r="P158"/>
  <c r="P157"/>
  <c r="P156"/>
  <c r="P155"/>
  <c r="L154"/>
  <c r="L153"/>
  <c r="L152"/>
  <c r="L151"/>
  <c r="L150"/>
  <c r="L149"/>
  <c r="L148"/>
  <c r="L147"/>
  <c r="P146"/>
  <c r="P145"/>
  <c r="P144"/>
  <c r="L143"/>
  <c r="L142"/>
  <c r="L141"/>
  <c r="L140"/>
  <c r="L139"/>
  <c r="L138"/>
  <c r="L137"/>
  <c r="P136"/>
  <c r="P135"/>
  <c r="P134"/>
  <c r="L133"/>
  <c r="L132"/>
  <c r="L131"/>
  <c r="P130"/>
  <c r="P129"/>
  <c r="P128"/>
  <c r="P127"/>
  <c r="L126"/>
  <c r="L125"/>
  <c r="L124"/>
  <c r="L123"/>
  <c r="L122"/>
  <c r="L121"/>
  <c r="L120"/>
  <c r="L119"/>
  <c r="L118"/>
  <c r="P117"/>
  <c r="P114"/>
  <c r="P116"/>
  <c r="L116"/>
  <c r="P115"/>
  <c r="L115"/>
  <c r="P113"/>
  <c r="L113"/>
  <c r="P187"/>
  <c r="L185"/>
  <c r="L184"/>
  <c r="L183"/>
  <c r="L182"/>
  <c r="P181"/>
  <c r="P180"/>
  <c r="P179"/>
  <c r="P178"/>
  <c r="L177"/>
  <c r="L176"/>
  <c r="L175"/>
  <c r="L174"/>
  <c r="L173"/>
  <c r="P172"/>
  <c r="P171"/>
  <c r="P170"/>
  <c r="P169"/>
  <c r="P168"/>
  <c r="P167"/>
  <c r="L166"/>
  <c r="P165"/>
  <c r="P164"/>
  <c r="P163"/>
  <c r="P162"/>
  <c r="L161"/>
  <c r="L160"/>
  <c r="L159"/>
  <c r="L158"/>
  <c r="L157"/>
  <c r="L156"/>
  <c r="L155"/>
  <c r="P154"/>
  <c r="P153"/>
  <c r="P152"/>
  <c r="P151"/>
  <c r="P150"/>
  <c r="P149"/>
  <c r="P148"/>
  <c r="P147"/>
  <c r="L146"/>
  <c r="L145"/>
  <c r="L144"/>
  <c r="P143"/>
  <c r="P142"/>
  <c r="P141"/>
  <c r="P140"/>
  <c r="P139"/>
  <c r="P138"/>
  <c r="P137"/>
  <c r="L136"/>
  <c r="L135"/>
  <c r="L134"/>
  <c r="P133"/>
  <c r="P132"/>
  <c r="P131"/>
  <c r="L130"/>
  <c r="L129"/>
  <c r="L128"/>
  <c r="L127"/>
  <c r="P126"/>
  <c r="P125"/>
  <c r="P124"/>
  <c r="P123"/>
  <c r="P122"/>
  <c r="P121"/>
  <c r="P120"/>
  <c r="P119"/>
  <c r="P118"/>
  <c r="L117"/>
  <c r="L114"/>
  <c r="P108"/>
  <c r="L108"/>
  <c r="P112"/>
  <c r="L112"/>
  <c r="P111"/>
  <c r="L111"/>
  <c r="P110"/>
  <c r="L110"/>
  <c r="P109"/>
  <c r="L109"/>
  <c r="P107"/>
  <c r="L107"/>
  <c r="P106"/>
  <c r="L106"/>
  <c r="P104"/>
  <c r="L104"/>
  <c r="P103"/>
  <c r="L103"/>
  <c r="P102"/>
  <c r="L102"/>
  <c r="P101"/>
  <c r="L101"/>
  <c r="P98"/>
  <c r="L98"/>
  <c r="P96"/>
  <c r="L96"/>
  <c r="P95"/>
  <c r="L95"/>
  <c r="P94"/>
  <c r="L94"/>
  <c r="P93"/>
  <c r="L93"/>
  <c r="P92"/>
  <c r="L92"/>
  <c r="P91"/>
  <c r="L91"/>
  <c r="P89"/>
  <c r="L89"/>
  <c r="P82"/>
  <c r="L82"/>
  <c r="P80"/>
  <c r="L80"/>
  <c r="P78"/>
  <c r="L78"/>
  <c r="P76"/>
  <c r="P105"/>
  <c r="L105"/>
  <c r="P100"/>
  <c r="L100"/>
  <c r="P99"/>
  <c r="L99"/>
  <c r="P97"/>
  <c r="L97"/>
  <c r="P90"/>
  <c r="L90"/>
  <c r="AL94" s="1"/>
  <c r="P88"/>
  <c r="L88"/>
  <c r="P87"/>
  <c r="L87"/>
  <c r="P86"/>
  <c r="L86"/>
  <c r="AM90" s="1"/>
  <c r="AK90" s="1"/>
  <c r="P85"/>
  <c r="L85"/>
  <c r="AM89" s="1"/>
  <c r="AK89" s="1"/>
  <c r="P84"/>
  <c r="L84"/>
  <c r="AM88" s="1"/>
  <c r="AK88" s="1"/>
  <c r="P83"/>
  <c r="L83"/>
  <c r="P81"/>
  <c r="L81"/>
  <c r="P79"/>
  <c r="L79"/>
  <c r="P77"/>
  <c r="L77"/>
  <c r="P75"/>
  <c r="L75"/>
  <c r="AL76" s="1"/>
  <c r="AK76" s="1"/>
  <c r="P74"/>
  <c r="L74"/>
  <c r="P73"/>
  <c r="L73"/>
  <c r="P72"/>
  <c r="L72"/>
  <c r="AK73" s="1"/>
  <c r="P71"/>
  <c r="L71"/>
  <c r="L76"/>
  <c r="P70"/>
  <c r="L70"/>
  <c r="P66"/>
  <c r="L66"/>
  <c r="P69"/>
  <c r="L69"/>
  <c r="P68"/>
  <c r="L68"/>
  <c r="P67"/>
  <c r="L67"/>
  <c r="P65"/>
  <c r="L65"/>
  <c r="P63"/>
  <c r="L63"/>
  <c r="P59"/>
  <c r="L59"/>
  <c r="AL60" s="1"/>
  <c r="AK60" s="1"/>
  <c r="P58"/>
  <c r="L58"/>
  <c r="P57"/>
  <c r="L57"/>
  <c r="P56"/>
  <c r="L56"/>
  <c r="L55"/>
  <c r="L54"/>
  <c r="L53"/>
  <c r="P64"/>
  <c r="L64"/>
  <c r="P62"/>
  <c r="L62"/>
  <c r="P61"/>
  <c r="L61"/>
  <c r="P60"/>
  <c r="L60"/>
  <c r="P52"/>
  <c r="L52"/>
  <c r="P55"/>
  <c r="P54"/>
  <c r="P53"/>
  <c r="P50"/>
  <c r="L50"/>
  <c r="P43"/>
  <c r="L43"/>
  <c r="P41"/>
  <c r="L41"/>
  <c r="P42"/>
  <c r="P40"/>
  <c r="P39"/>
  <c r="P51"/>
  <c r="L51"/>
  <c r="P49"/>
  <c r="L49"/>
  <c r="P48"/>
  <c r="L48"/>
  <c r="AL49" s="1"/>
  <c r="AK49" s="1"/>
  <c r="AH47" s="1"/>
  <c r="P47"/>
  <c r="L47"/>
  <c r="AH46" s="1"/>
  <c r="P46"/>
  <c r="L46"/>
  <c r="AH45" s="1"/>
  <c r="P45"/>
  <c r="L45"/>
  <c r="AL46" s="1"/>
  <c r="AK46" s="1"/>
  <c r="AH44" s="1"/>
  <c r="P44"/>
  <c r="L44"/>
  <c r="L42"/>
  <c r="L40"/>
  <c r="L39"/>
  <c r="AH38" s="1"/>
  <c r="P37"/>
  <c r="L37"/>
  <c r="AL38" s="1"/>
  <c r="AK38" s="1"/>
  <c r="AH36" s="1"/>
  <c r="P36"/>
  <c r="L36"/>
  <c r="AH35" s="1"/>
  <c r="P35"/>
  <c r="L35"/>
  <c r="P34"/>
  <c r="P31"/>
  <c r="P38"/>
  <c r="L38"/>
  <c r="P33"/>
  <c r="L33"/>
  <c r="P32"/>
  <c r="L32"/>
  <c r="L34"/>
  <c r="L31"/>
  <c r="P30"/>
  <c r="L30"/>
  <c r="P27"/>
  <c r="L27"/>
  <c r="AL28" s="1"/>
  <c r="P23"/>
  <c r="L23"/>
  <c r="P21"/>
  <c r="L21"/>
  <c r="P19"/>
  <c r="L19"/>
  <c r="P18"/>
  <c r="L18"/>
  <c r="P16"/>
  <c r="L16"/>
  <c r="P13"/>
  <c r="L13"/>
  <c r="P12"/>
  <c r="L12"/>
  <c r="AL11"/>
  <c r="AK11" s="1"/>
  <c r="AH11" s="1"/>
  <c r="P11"/>
  <c r="L11"/>
  <c r="P29"/>
  <c r="L29"/>
  <c r="P28"/>
  <c r="L28"/>
  <c r="P26"/>
  <c r="L26"/>
  <c r="AL27" s="1"/>
  <c r="AK27" s="1"/>
  <c r="AH25" s="1"/>
  <c r="P25"/>
  <c r="L25"/>
  <c r="AH24" s="1"/>
  <c r="P24"/>
  <c r="L24"/>
  <c r="P22"/>
  <c r="L22"/>
  <c r="P20"/>
  <c r="L20"/>
  <c r="P17"/>
  <c r="L17"/>
  <c r="P15"/>
  <c r="L15"/>
  <c r="AL14" s="1"/>
  <c r="AK14" s="1"/>
  <c r="AH14" s="1"/>
  <c r="P14"/>
  <c r="L14"/>
  <c r="D13"/>
  <c r="P10"/>
  <c r="L10"/>
  <c r="G13"/>
  <c r="P9"/>
  <c r="L9"/>
  <c r="J13"/>
  <c r="AL55" s="1"/>
  <c r="AL10"/>
  <c r="AK10" s="1"/>
  <c r="AH10" s="1"/>
  <c r="AL54"/>
  <c r="AK54" s="1"/>
  <c r="AL102"/>
  <c r="AK102" s="1"/>
  <c r="AL95"/>
  <c r="AK95" s="1"/>
  <c r="B30"/>
  <c r="AH23" s="1"/>
  <c r="AL21"/>
  <c r="AK21" s="1"/>
  <c r="AH19" s="1"/>
  <c r="AL29"/>
  <c r="AL22"/>
  <c r="AK22" s="1"/>
  <c r="AH20" s="1"/>
  <c r="S66" i="163"/>
  <c r="O66"/>
  <c r="S65"/>
  <c r="O65"/>
  <c r="AL33" i="165" l="1"/>
  <c r="AK33" s="1"/>
  <c r="AK19"/>
  <c r="AK20"/>
  <c r="AL63"/>
  <c r="AK63" s="1"/>
  <c r="AL66"/>
  <c r="AK66" s="1"/>
  <c r="AL44"/>
  <c r="AK44" s="1"/>
  <c r="AL115"/>
  <c r="AK115" s="1"/>
  <c r="AL108"/>
  <c r="AK108" s="1"/>
  <c r="AL101"/>
  <c r="AK94"/>
  <c r="AL23"/>
  <c r="AK23" s="1"/>
  <c r="AH21" s="1"/>
  <c r="AL31"/>
  <c r="AK31" s="1"/>
  <c r="AL41"/>
  <c r="AK41" s="1"/>
  <c r="AH39" s="1"/>
  <c r="AK29"/>
  <c r="AH27" s="1"/>
  <c r="AL17"/>
  <c r="AK17" s="1"/>
  <c r="AH17" s="1"/>
  <c r="AL15"/>
  <c r="AK15" s="1"/>
  <c r="AH15" s="1"/>
  <c r="AL16"/>
  <c r="AK16" s="1"/>
  <c r="AH16" s="1"/>
  <c r="AK28"/>
  <c r="AK55"/>
  <c r="S64" i="163"/>
  <c r="O64"/>
  <c r="AK63"/>
  <c r="S63"/>
  <c r="O63"/>
  <c r="AK62"/>
  <c r="S62"/>
  <c r="O62"/>
  <c r="AL61"/>
  <c r="AK61" s="1"/>
  <c r="S61"/>
  <c r="O61"/>
  <c r="S60"/>
  <c r="O60"/>
  <c r="AK59"/>
  <c r="S59"/>
  <c r="O59"/>
  <c r="S58"/>
  <c r="O58"/>
  <c r="S57"/>
  <c r="O57"/>
  <c r="AK56"/>
  <c r="S56"/>
  <c r="O56"/>
  <c r="AL55"/>
  <c r="AK55" s="1"/>
  <c r="S55"/>
  <c r="O55"/>
  <c r="AK54"/>
  <c r="S54"/>
  <c r="O54"/>
  <c r="S53"/>
  <c r="O53"/>
  <c r="S52"/>
  <c r="O52"/>
  <c r="AL51"/>
  <c r="AK51" s="1"/>
  <c r="AH51" s="1"/>
  <c r="AG51"/>
  <c r="AF51"/>
  <c r="S51"/>
  <c r="O51"/>
  <c r="AK50"/>
  <c r="AH50" s="1"/>
  <c r="AG50"/>
  <c r="AF50"/>
  <c r="S50"/>
  <c r="O50"/>
  <c r="AG49"/>
  <c r="AF49"/>
  <c r="S49"/>
  <c r="O49"/>
  <c r="AG48"/>
  <c r="AF48"/>
  <c r="S48"/>
  <c r="O48"/>
  <c r="AG47"/>
  <c r="AF47"/>
  <c r="S47"/>
  <c r="O47"/>
  <c r="AG46"/>
  <c r="AF46"/>
  <c r="S46"/>
  <c r="O46"/>
  <c r="AG45"/>
  <c r="AF45"/>
  <c r="S45"/>
  <c r="O45"/>
  <c r="AG44"/>
  <c r="AF44"/>
  <c r="S44"/>
  <c r="O44"/>
  <c r="AG43"/>
  <c r="AF43"/>
  <c r="S43"/>
  <c r="O43"/>
  <c r="AH42"/>
  <c r="AG42"/>
  <c r="AF42"/>
  <c r="S42"/>
  <c r="O42"/>
  <c r="AK41"/>
  <c r="AH41" s="1"/>
  <c r="AG41"/>
  <c r="AF41"/>
  <c r="S41"/>
  <c r="O41"/>
  <c r="AK40"/>
  <c r="AH40"/>
  <c r="AG40"/>
  <c r="AF40"/>
  <c r="S40"/>
  <c r="O40"/>
  <c r="AL39"/>
  <c r="AK39" s="1"/>
  <c r="AH39" s="1"/>
  <c r="AG39"/>
  <c r="AF39"/>
  <c r="S39"/>
  <c r="O39"/>
  <c r="AH38"/>
  <c r="AG38"/>
  <c r="AF38"/>
  <c r="S38"/>
  <c r="O38"/>
  <c r="AK37"/>
  <c r="AH37" s="1"/>
  <c r="AG37"/>
  <c r="AF37"/>
  <c r="S37"/>
  <c r="O37"/>
  <c r="AG36"/>
  <c r="AF36"/>
  <c r="S36"/>
  <c r="O36"/>
  <c r="AH35"/>
  <c r="AG35"/>
  <c r="AF35"/>
  <c r="S35"/>
  <c r="O35"/>
  <c r="AK34"/>
  <c r="AH34" s="1"/>
  <c r="AG34"/>
  <c r="AF34"/>
  <c r="S34"/>
  <c r="O34"/>
  <c r="AL33"/>
  <c r="AK33" s="1"/>
  <c r="AH33"/>
  <c r="AG33"/>
  <c r="AF33"/>
  <c r="S33"/>
  <c r="O33"/>
  <c r="AK32"/>
  <c r="AH32" s="1"/>
  <c r="AG32"/>
  <c r="AF32"/>
  <c r="S32"/>
  <c r="O32"/>
  <c r="S31"/>
  <c r="O31"/>
  <c r="S30"/>
  <c r="O30"/>
  <c r="D30"/>
  <c r="AL29"/>
  <c r="AK29" s="1"/>
  <c r="S29"/>
  <c r="O29"/>
  <c r="AK28"/>
  <c r="S28"/>
  <c r="O28"/>
  <c r="AH27"/>
  <c r="AG27"/>
  <c r="AF27"/>
  <c r="S27"/>
  <c r="O27"/>
  <c r="AG26"/>
  <c r="AF26"/>
  <c r="S26"/>
  <c r="O26"/>
  <c r="AG25"/>
  <c r="AF25"/>
  <c r="S25"/>
  <c r="O25"/>
  <c r="AG24"/>
  <c r="AF24"/>
  <c r="S24"/>
  <c r="O24"/>
  <c r="AH23"/>
  <c r="AG23"/>
  <c r="AF23"/>
  <c r="S23"/>
  <c r="O23"/>
  <c r="AK22"/>
  <c r="AH22" s="1"/>
  <c r="AG22"/>
  <c r="AF22"/>
  <c r="S22"/>
  <c r="O22"/>
  <c r="AL21"/>
  <c r="AK21" s="1"/>
  <c r="AH21" s="1"/>
  <c r="AG21"/>
  <c r="AF21"/>
  <c r="S21"/>
  <c r="O21"/>
  <c r="AG20"/>
  <c r="AF20"/>
  <c r="S20"/>
  <c r="O20"/>
  <c r="AG19"/>
  <c r="AF19"/>
  <c r="S19"/>
  <c r="O19"/>
  <c r="AG18"/>
  <c r="AF18"/>
  <c r="S18"/>
  <c r="O18"/>
  <c r="AG17"/>
  <c r="AF17"/>
  <c r="S17"/>
  <c r="O17"/>
  <c r="AG16"/>
  <c r="AF16"/>
  <c r="S16"/>
  <c r="O16"/>
  <c r="AG15"/>
  <c r="AF15"/>
  <c r="S15"/>
  <c r="O15"/>
  <c r="AG14"/>
  <c r="AF14"/>
  <c r="S14"/>
  <c r="O14"/>
  <c r="AK13"/>
  <c r="AH13" s="1"/>
  <c r="AG13"/>
  <c r="AF13"/>
  <c r="S13"/>
  <c r="O13"/>
  <c r="AK12"/>
  <c r="AH12"/>
  <c r="AG12"/>
  <c r="AF12"/>
  <c r="S12"/>
  <c r="O12"/>
  <c r="AG11"/>
  <c r="AF11"/>
  <c r="S11"/>
  <c r="O11"/>
  <c r="AM10"/>
  <c r="AM11" s="1"/>
  <c r="AG10"/>
  <c r="AF10"/>
  <c r="S10"/>
  <c r="O10"/>
  <c r="AG9"/>
  <c r="AF9"/>
  <c r="D9"/>
  <c r="AH8"/>
  <c r="AG8"/>
  <c r="AF8"/>
  <c r="D8"/>
  <c r="D7"/>
  <c r="D6"/>
  <c r="D5"/>
  <c r="J2"/>
  <c r="AL71" s="1"/>
  <c r="AK71" s="1"/>
  <c r="AK101" i="165" l="1"/>
  <c r="AK122"/>
  <c r="AH26"/>
  <c r="G6" i="163"/>
  <c r="J7"/>
  <c r="G8"/>
  <c r="G9"/>
  <c r="G10"/>
  <c r="D11"/>
  <c r="J11"/>
  <c r="J6"/>
  <c r="G7"/>
  <c r="J8"/>
  <c r="J9"/>
  <c r="AL9"/>
  <c r="AK9" s="1"/>
  <c r="AH9" s="1"/>
  <c r="J10"/>
  <c r="G11"/>
  <c r="D12"/>
  <c r="AL50" i="165"/>
  <c r="AK50" s="1"/>
  <c r="AH48" l="1"/>
  <c r="AL18"/>
  <c r="AK18" s="1"/>
  <c r="AL107" i="163"/>
  <c r="AK107" s="1"/>
  <c r="AL109" s="1"/>
  <c r="AK109" s="1"/>
  <c r="AL100"/>
  <c r="AK100" s="1"/>
  <c r="AL102" s="1"/>
  <c r="AL49"/>
  <c r="AK49" s="1"/>
  <c r="AH49" s="1"/>
  <c r="G13"/>
  <c r="AL31" s="1"/>
  <c r="AK31" s="1"/>
  <c r="J12"/>
  <c r="G12" s="1"/>
  <c r="AL10"/>
  <c r="AK10" s="1"/>
  <c r="AH10" s="1"/>
  <c r="L9"/>
  <c r="P109"/>
  <c r="L109"/>
  <c r="P107"/>
  <c r="L107"/>
  <c r="P105"/>
  <c r="L105"/>
  <c r="P104"/>
  <c r="L104"/>
  <c r="P103"/>
  <c r="L103"/>
  <c r="P101"/>
  <c r="L101"/>
  <c r="P99"/>
  <c r="L99"/>
  <c r="P95"/>
  <c r="L95"/>
  <c r="P93"/>
  <c r="L93"/>
  <c r="P91"/>
  <c r="L91"/>
  <c r="P90"/>
  <c r="L90"/>
  <c r="P89"/>
  <c r="L89"/>
  <c r="P87"/>
  <c r="L87"/>
  <c r="P85"/>
  <c r="L85"/>
  <c r="P78"/>
  <c r="L78"/>
  <c r="P76"/>
  <c r="L76"/>
  <c r="P71"/>
  <c r="L71"/>
  <c r="P69"/>
  <c r="L69"/>
  <c r="P68"/>
  <c r="L68"/>
  <c r="P67"/>
  <c r="L67"/>
  <c r="L147"/>
  <c r="L145"/>
  <c r="P143"/>
  <c r="P142"/>
  <c r="P141"/>
  <c r="P140"/>
  <c r="P139"/>
  <c r="P138"/>
  <c r="P137"/>
  <c r="P136"/>
  <c r="L135"/>
  <c r="L134"/>
  <c r="L133"/>
  <c r="P132"/>
  <c r="P131"/>
  <c r="P130"/>
  <c r="P129"/>
  <c r="L128"/>
  <c r="L127"/>
  <c r="P126"/>
  <c r="P125"/>
  <c r="L124"/>
  <c r="L123"/>
  <c r="P122"/>
  <c r="P121"/>
  <c r="P120"/>
  <c r="P119"/>
  <c r="P118"/>
  <c r="P117"/>
  <c r="L116"/>
  <c r="L115"/>
  <c r="L114"/>
  <c r="P113"/>
  <c r="P112"/>
  <c r="P111"/>
  <c r="P110"/>
  <c r="L108"/>
  <c r="L106"/>
  <c r="P102"/>
  <c r="L102"/>
  <c r="L100"/>
  <c r="P98"/>
  <c r="P97"/>
  <c r="P96"/>
  <c r="L94"/>
  <c r="P92"/>
  <c r="L88"/>
  <c r="L86"/>
  <c r="AL85" s="1"/>
  <c r="L84"/>
  <c r="P83"/>
  <c r="P82"/>
  <c r="P81"/>
  <c r="P80"/>
  <c r="P79"/>
  <c r="P77"/>
  <c r="L75"/>
  <c r="AL74" s="1"/>
  <c r="AK74" s="1"/>
  <c r="L74"/>
  <c r="P73"/>
  <c r="P72"/>
  <c r="P70"/>
  <c r="P208"/>
  <c r="L208"/>
  <c r="P207"/>
  <c r="L207"/>
  <c r="P206"/>
  <c r="L206"/>
  <c r="P205"/>
  <c r="L205"/>
  <c r="P204"/>
  <c r="L204"/>
  <c r="P203"/>
  <c r="L203"/>
  <c r="P202"/>
  <c r="L202"/>
  <c r="P201"/>
  <c r="L201"/>
  <c r="P200"/>
  <c r="L200"/>
  <c r="P199"/>
  <c r="L199"/>
  <c r="P198"/>
  <c r="L198"/>
  <c r="P197"/>
  <c r="L197"/>
  <c r="P196"/>
  <c r="L196"/>
  <c r="P195"/>
  <c r="L195"/>
  <c r="P194"/>
  <c r="L194"/>
  <c r="P193"/>
  <c r="L193"/>
  <c r="P192"/>
  <c r="L192"/>
  <c r="P191"/>
  <c r="L191"/>
  <c r="P190"/>
  <c r="L190"/>
  <c r="P189"/>
  <c r="L189"/>
  <c r="P188"/>
  <c r="L188"/>
  <c r="P187"/>
  <c r="L187"/>
  <c r="P186"/>
  <c r="L186"/>
  <c r="P185"/>
  <c r="L185"/>
  <c r="P184"/>
  <c r="L184"/>
  <c r="P183"/>
  <c r="L183"/>
  <c r="P182"/>
  <c r="L182"/>
  <c r="P181"/>
  <c r="L181"/>
  <c r="P180"/>
  <c r="L180"/>
  <c r="P179"/>
  <c r="L179"/>
  <c r="P178"/>
  <c r="L178"/>
  <c r="P177"/>
  <c r="L177"/>
  <c r="P176"/>
  <c r="L176"/>
  <c r="P175"/>
  <c r="L175"/>
  <c r="P174"/>
  <c r="L174"/>
  <c r="P173"/>
  <c r="L173"/>
  <c r="P172"/>
  <c r="L172"/>
  <c r="P171"/>
  <c r="L171"/>
  <c r="P170"/>
  <c r="L170"/>
  <c r="P169"/>
  <c r="L169"/>
  <c r="P168"/>
  <c r="L168"/>
  <c r="P167"/>
  <c r="L167"/>
  <c r="P166"/>
  <c r="L166"/>
  <c r="P165"/>
  <c r="L165"/>
  <c r="P164"/>
  <c r="L164"/>
  <c r="P163"/>
  <c r="L163"/>
  <c r="P162"/>
  <c r="L162"/>
  <c r="P161"/>
  <c r="L161"/>
  <c r="P160"/>
  <c r="L160"/>
  <c r="P159"/>
  <c r="L159"/>
  <c r="P158"/>
  <c r="L158"/>
  <c r="P157"/>
  <c r="L157"/>
  <c r="P156"/>
  <c r="L156"/>
  <c r="P155"/>
  <c r="L155"/>
  <c r="P154"/>
  <c r="L154"/>
  <c r="P153"/>
  <c r="L153"/>
  <c r="P152"/>
  <c r="L152"/>
  <c r="P151"/>
  <c r="L151"/>
  <c r="P150"/>
  <c r="L150"/>
  <c r="P149"/>
  <c r="L149"/>
  <c r="P148"/>
  <c r="L148"/>
  <c r="P147"/>
  <c r="P146"/>
  <c r="L146"/>
  <c r="P145"/>
  <c r="P144"/>
  <c r="L144"/>
  <c r="L143"/>
  <c r="L142"/>
  <c r="L141"/>
  <c r="L140"/>
  <c r="L139"/>
  <c r="L138"/>
  <c r="L137"/>
  <c r="L136"/>
  <c r="P135"/>
  <c r="P134"/>
  <c r="P133"/>
  <c r="L132"/>
  <c r="L131"/>
  <c r="L130"/>
  <c r="L129"/>
  <c r="P128"/>
  <c r="P127"/>
  <c r="L126"/>
  <c r="L125"/>
  <c r="P124"/>
  <c r="P123"/>
  <c r="L122"/>
  <c r="L121"/>
  <c r="L120"/>
  <c r="L119"/>
  <c r="L118"/>
  <c r="L117"/>
  <c r="P116"/>
  <c r="P115"/>
  <c r="P114"/>
  <c r="L113"/>
  <c r="L112"/>
  <c r="L111"/>
  <c r="L110"/>
  <c r="P108"/>
  <c r="P106"/>
  <c r="P100"/>
  <c r="L98"/>
  <c r="L97"/>
  <c r="L96"/>
  <c r="P94"/>
  <c r="L92"/>
  <c r="P88"/>
  <c r="P86"/>
  <c r="P84"/>
  <c r="L83"/>
  <c r="L82"/>
  <c r="AM81" s="1"/>
  <c r="AK81" s="1"/>
  <c r="L81"/>
  <c r="AM80" s="1"/>
  <c r="AK80" s="1"/>
  <c r="L80"/>
  <c r="AM79" s="1"/>
  <c r="AK79" s="1"/>
  <c r="L79"/>
  <c r="L77"/>
  <c r="P75"/>
  <c r="P74"/>
  <c r="L73"/>
  <c r="L72"/>
  <c r="L70"/>
  <c r="L65"/>
  <c r="P66"/>
  <c r="L66"/>
  <c r="P65"/>
  <c r="P64"/>
  <c r="L64"/>
  <c r="P62"/>
  <c r="L62"/>
  <c r="P59"/>
  <c r="L59"/>
  <c r="AL58" s="1"/>
  <c r="AK58" s="1"/>
  <c r="P58"/>
  <c r="L58"/>
  <c r="P57"/>
  <c r="L57"/>
  <c r="P55"/>
  <c r="L55"/>
  <c r="P51"/>
  <c r="L51"/>
  <c r="P49"/>
  <c r="L49"/>
  <c r="P48"/>
  <c r="L48"/>
  <c r="AL47" s="1"/>
  <c r="AK47" s="1"/>
  <c r="AH47" s="1"/>
  <c r="P47"/>
  <c r="L47"/>
  <c r="AH46" s="1"/>
  <c r="P46"/>
  <c r="L46"/>
  <c r="AH45" s="1"/>
  <c r="P45"/>
  <c r="L45"/>
  <c r="AL44" s="1"/>
  <c r="AK44" s="1"/>
  <c r="AH44" s="1"/>
  <c r="P44"/>
  <c r="L44"/>
  <c r="P41"/>
  <c r="L41"/>
  <c r="P40"/>
  <c r="L40"/>
  <c r="P38"/>
  <c r="L38"/>
  <c r="P35"/>
  <c r="L35"/>
  <c r="P32"/>
  <c r="L32"/>
  <c r="D32" s="1"/>
  <c r="P28"/>
  <c r="L28"/>
  <c r="P23"/>
  <c r="L23"/>
  <c r="P21"/>
  <c r="L21"/>
  <c r="P19"/>
  <c r="L19"/>
  <c r="D19" s="1"/>
  <c r="P15"/>
  <c r="L15"/>
  <c r="AL14" s="1"/>
  <c r="AK14" s="1"/>
  <c r="AH14" s="1"/>
  <c r="P14"/>
  <c r="L14"/>
  <c r="P12"/>
  <c r="L12"/>
  <c r="AL11"/>
  <c r="AK11" s="1"/>
  <c r="AH11" s="1"/>
  <c r="P11"/>
  <c r="L11"/>
  <c r="P63"/>
  <c r="L63"/>
  <c r="P61"/>
  <c r="L61"/>
  <c r="P60"/>
  <c r="L60"/>
  <c r="P56"/>
  <c r="L56"/>
  <c r="P54"/>
  <c r="L54"/>
  <c r="P53"/>
  <c r="L53"/>
  <c r="AL52" s="1"/>
  <c r="AK52" s="1"/>
  <c r="P52"/>
  <c r="L52"/>
  <c r="P50"/>
  <c r="L50"/>
  <c r="P43"/>
  <c r="L43"/>
  <c r="P42"/>
  <c r="L42"/>
  <c r="P39"/>
  <c r="L39"/>
  <c r="P37"/>
  <c r="L37"/>
  <c r="AL36" s="1"/>
  <c r="AK36" s="1"/>
  <c r="AH36" s="1"/>
  <c r="P36"/>
  <c r="L36"/>
  <c r="P34"/>
  <c r="L34"/>
  <c r="P33"/>
  <c r="L33"/>
  <c r="P31"/>
  <c r="L31"/>
  <c r="P30"/>
  <c r="L30"/>
  <c r="P29"/>
  <c r="L29"/>
  <c r="P27"/>
  <c r="L27"/>
  <c r="AL26" s="1"/>
  <c r="AK26" s="1"/>
  <c r="P26"/>
  <c r="L26"/>
  <c r="AL25" s="1"/>
  <c r="AK25" s="1"/>
  <c r="AH25" s="1"/>
  <c r="P25"/>
  <c r="L25"/>
  <c r="AH24" s="1"/>
  <c r="P24"/>
  <c r="L24"/>
  <c r="P22"/>
  <c r="L22"/>
  <c r="P20"/>
  <c r="L20"/>
  <c r="P18"/>
  <c r="L18"/>
  <c r="P17"/>
  <c r="L17"/>
  <c r="P16"/>
  <c r="L16"/>
  <c r="P13"/>
  <c r="L13"/>
  <c r="P10"/>
  <c r="L10"/>
  <c r="AL66"/>
  <c r="AK66" s="1"/>
  <c r="D31"/>
  <c r="AL101"/>
  <c r="AK101" s="1"/>
  <c r="AL108"/>
  <c r="AK108" s="1"/>
  <c r="AL93"/>
  <c r="AK93" s="1"/>
  <c r="AL95" s="1"/>
  <c r="AK95" s="1"/>
  <c r="AL86"/>
  <c r="AK86" s="1"/>
  <c r="AL19"/>
  <c r="AK19" s="1"/>
  <c r="AH19" s="1"/>
  <c r="AL27"/>
  <c r="AL20"/>
  <c r="AK20" s="1"/>
  <c r="AH20" s="1"/>
  <c r="AL16" l="1"/>
  <c r="AK16" s="1"/>
  <c r="AH16" s="1"/>
  <c r="AH18" i="165"/>
  <c r="D38"/>
  <c r="D40" s="1"/>
  <c r="AL53" i="163"/>
  <c r="AK53" s="1"/>
  <c r="AL106"/>
  <c r="AK106" s="1"/>
  <c r="AL99"/>
  <c r="AK99" s="1"/>
  <c r="AL92"/>
  <c r="AK92" s="1"/>
  <c r="AK85"/>
  <c r="AL87"/>
  <c r="AK87" s="1"/>
  <c r="AL94"/>
  <c r="AK94" s="1"/>
  <c r="AL65"/>
  <c r="AK65" s="1"/>
  <c r="AL43"/>
  <c r="AK43" s="1"/>
  <c r="AH43" s="1"/>
  <c r="AL30"/>
  <c r="AK30" s="1"/>
  <c r="AL17"/>
  <c r="AK17" s="1"/>
  <c r="AH17" s="1"/>
  <c r="AL88"/>
  <c r="AK27"/>
  <c r="AL48" s="1"/>
  <c r="AK48" s="1"/>
  <c r="AL15"/>
  <c r="AK15" s="1"/>
  <c r="AH15" s="1"/>
  <c r="AH26"/>
  <c r="O9"/>
  <c r="S9"/>
  <c r="P9" s="1"/>
  <c r="AK102"/>
  <c r="AL64"/>
  <c r="AK64" s="1"/>
  <c r="AH48" l="1"/>
  <c r="AL18"/>
  <c r="AK18" s="1"/>
  <c r="AH18" s="1"/>
  <c r="AK88"/>
  <c r="AL42"/>
  <c r="AK42" s="1"/>
</calcChain>
</file>

<file path=xl/comments1.xml><?xml version="1.0" encoding="utf-8"?>
<comments xmlns="http://schemas.openxmlformats.org/spreadsheetml/2006/main">
  <authors>
    <author>Anil Mistry</author>
  </authors>
  <commentList>
    <comment ref="B30" authorId="0">
      <text>
        <r>
          <rPr>
            <b/>
            <sz val="8"/>
            <color indexed="81"/>
            <rFont val="Tahoma"/>
            <family val="2"/>
          </rPr>
          <t>Additional Margin to be applied to the receive side to generate the required target RoE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Anil Mistry</author>
  </authors>
  <commentList>
    <comment ref="O4" authorId="0">
      <text>
        <r>
          <rPr>
            <b/>
            <sz val="8"/>
            <color indexed="81"/>
            <rFont val="Tahoma"/>
            <family val="2"/>
          </rPr>
          <t xml:space="preserve">For each trade in the portfolio a par swap is created using the respective Break Even rate/spread derived  based on the ATM basis.
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>Note: Any sales margin (VA) applied to receive leg will be ignored.</t>
        </r>
      </text>
    </comment>
    <comment ref="O6" authorId="0">
      <text>
        <r>
          <rPr>
            <b/>
            <sz val="8"/>
            <color indexed="81"/>
            <rFont val="Tahoma"/>
            <family val="2"/>
          </rPr>
          <t xml:space="preserve">Calculate the margin required to achieve the target RoE for each trade in the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" authorId="0">
      <text>
        <r>
          <rPr>
            <b/>
            <sz val="8"/>
            <color indexed="81"/>
            <rFont val="Tahoma"/>
            <family val="2"/>
          </rPr>
          <t xml:space="preserve">Risk metrics are calculated for each trade in the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0" authorId="0">
      <text>
        <r>
          <rPr>
            <b/>
            <sz val="8"/>
            <color indexed="81"/>
            <rFont val="Tahoma"/>
            <family val="2"/>
          </rPr>
          <t xml:space="preserve">Toggles Trade selection when clicking in the respective trade row. 
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Click on the Trade Number to create a trade based on summary details supplied.
Note: No valuation will take place. To run a valuation click on 'Calculate'</t>
        </r>
      </text>
    </comment>
    <comment ref="J11" authorId="0">
      <text>
        <r>
          <rPr>
            <b/>
            <sz val="8"/>
            <color indexed="81"/>
            <rFont val="Tahoma"/>
            <family val="2"/>
          </rPr>
          <t>The 'Fixed' rate. Only applies for fixed leg.</t>
        </r>
      </text>
    </comment>
    <comment ref="K11" authorId="0">
      <text>
        <r>
          <rPr>
            <b/>
            <sz val="8"/>
            <color indexed="81"/>
            <rFont val="Tahoma"/>
            <family val="2"/>
          </rPr>
          <t xml:space="preserve">RoE is calculated (internally) in AUD. This is the conversion rate that will convert AUD to the pay leg currency. </t>
        </r>
      </text>
    </comment>
    <comment ref="R11" authorId="0">
      <text>
        <r>
          <rPr>
            <b/>
            <sz val="8"/>
            <color indexed="81"/>
            <rFont val="Tahoma"/>
            <family val="2"/>
          </rPr>
          <t>The 'Fixed' rate. Only applies for fixed leg.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1" authorId="0">
      <text>
        <r>
          <rPr>
            <b/>
            <sz val="8"/>
            <color indexed="81"/>
            <rFont val="Tahoma"/>
            <family val="2"/>
          </rPr>
          <t>Total Margin to be applied to the receive side to generate the required target RoE</t>
        </r>
      </text>
    </comment>
    <comment ref="AM11" authorId="0">
      <text>
        <r>
          <rPr>
            <b/>
            <sz val="8"/>
            <color indexed="81"/>
            <rFont val="Tahoma"/>
            <family val="2"/>
          </rPr>
          <t>If not supplied this will default to 'Max'.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1" authorId="0">
      <text>
        <r>
          <rPr>
            <b/>
            <sz val="8"/>
            <color indexed="81"/>
            <rFont val="Tahoma"/>
            <family val="2"/>
          </rPr>
          <t>Displays the Pay/Receive Break Even respectively based on the ATM Basis. For example if ATM Basis is 'Pay' then the Pay Break Even is shown.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Anil Mistry</author>
  </authors>
  <commentList>
    <comment ref="D4" authorId="0">
      <text>
        <r>
          <rPr>
            <b/>
            <sz val="8"/>
            <color indexed="81"/>
            <rFont val="Tahoma"/>
            <family val="2"/>
          </rPr>
          <t>Par swap is created using the respective Break Even rate/spread derived  based on the ATM basis.
Note: Any sales margin (VA) applied to receive leg will be ignored.</t>
        </r>
      </text>
    </comment>
    <comment ref="L4" authorId="0">
      <text>
        <r>
          <rPr>
            <b/>
            <sz val="8"/>
            <color indexed="81"/>
            <rFont val="Tahoma"/>
            <family val="2"/>
          </rPr>
          <t>Re-build the schedule to use the latest dates, ajustments and roll day conventions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4" authorId="0">
      <text>
        <r>
          <rPr>
            <b/>
            <sz val="8"/>
            <color indexed="81"/>
            <rFont val="Tahoma"/>
            <family val="2"/>
          </rPr>
          <t>Displays the Pay/Receive Break Even respectively based on the ATM Basis. For example if ATM Basis is 'Pay' then the Pay Break Even is shown.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Represented in bps if pay leg is 'Floating', otherwise as a 'Rate'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>Represented in bps if receive leg is 'Floating', otherwise as a 'Rate'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 xml:space="preserve">Required MTM for the swap to acheive the 'Target' RoE. </t>
        </r>
      </text>
    </comment>
    <comment ref="B38" authorId="0">
      <text>
        <r>
          <rPr>
            <b/>
            <sz val="8"/>
            <color indexed="81"/>
            <rFont val="Tahoma"/>
            <family val="2"/>
          </rPr>
          <t>Additional Sales Margin (VA) to be applied to the receive side to generate the required target RoE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<sst xmlns="http://schemas.openxmlformats.org/spreadsheetml/2006/main" count="867" uniqueCount="339">
  <si>
    <t>Counterparty</t>
  </si>
  <si>
    <t>Name</t>
  </si>
  <si>
    <t>eCRS</t>
  </si>
  <si>
    <t>Trades</t>
  </si>
  <si>
    <t>No.</t>
  </si>
  <si>
    <t>Start</t>
  </si>
  <si>
    <t>End</t>
  </si>
  <si>
    <t>Pay</t>
  </si>
  <si>
    <t>Receive</t>
  </si>
  <si>
    <t>Stream</t>
  </si>
  <si>
    <t>Roll</t>
  </si>
  <si>
    <t>Notional</t>
  </si>
  <si>
    <t>Ccy</t>
  </si>
  <si>
    <t>AUD</t>
  </si>
  <si>
    <t>Rate</t>
  </si>
  <si>
    <t>Margin</t>
  </si>
  <si>
    <t>Calendar</t>
  </si>
  <si>
    <t>DayCount</t>
  </si>
  <si>
    <t>6m</t>
  </si>
  <si>
    <t>Date</t>
  </si>
  <si>
    <t>EffectiveDate</t>
  </si>
  <si>
    <t>TerminationDate</t>
  </si>
  <si>
    <t>Pays</t>
  </si>
  <si>
    <t>CounterpartyName</t>
  </si>
  <si>
    <t>SpotRate</t>
  </si>
  <si>
    <t>MODFOLLOWING</t>
  </si>
  <si>
    <t>StreamType</t>
  </si>
  <si>
    <t>NotionalAmount</t>
  </si>
  <si>
    <t>Currency</t>
  </si>
  <si>
    <t>Forward</t>
  </si>
  <si>
    <t>BusinessCenters</t>
  </si>
  <si>
    <t>CouponPeriod</t>
  </si>
  <si>
    <t>RollDay</t>
  </si>
  <si>
    <t>FOLLOWING</t>
  </si>
  <si>
    <t>DayCountConvention</t>
  </si>
  <si>
    <t>DiscountingType</t>
  </si>
  <si>
    <t>Standard</t>
  </si>
  <si>
    <t>PayDiscountCurve</t>
  </si>
  <si>
    <t>FixedOrObservedRate</t>
  </si>
  <si>
    <t>ObservedRateSpecified</t>
  </si>
  <si>
    <t>PayForwardCurve</t>
  </si>
  <si>
    <t>FixingDateBusinessCenters</t>
  </si>
  <si>
    <t>FixingDateResetInterval</t>
  </si>
  <si>
    <t>0D</t>
  </si>
  <si>
    <t>NONE</t>
  </si>
  <si>
    <t>RateIndexName</t>
  </si>
  <si>
    <t>AUD-LIBOR-BBA</t>
  </si>
  <si>
    <t>RateIndexTenor</t>
  </si>
  <si>
    <t>Spread</t>
  </si>
  <si>
    <t>ReceiveDiscountCurve</t>
  </si>
  <si>
    <t>ReceiveForwardCurve</t>
  </si>
  <si>
    <t>Region</t>
  </si>
  <si>
    <t>Australia</t>
  </si>
  <si>
    <t>USD</t>
  </si>
  <si>
    <t>LendingCategory</t>
  </si>
  <si>
    <t>ECRSRating</t>
  </si>
  <si>
    <t>ReceiveTerms</t>
  </si>
  <si>
    <t>Valuation</t>
  </si>
  <si>
    <t>PricingStructureType</t>
  </si>
  <si>
    <t>RateCurve</t>
  </si>
  <si>
    <t>Market</t>
  </si>
  <si>
    <t>Tenor</t>
  </si>
  <si>
    <t>Deal</t>
  </si>
  <si>
    <t>Number</t>
  </si>
  <si>
    <t>Sydney</t>
  </si>
  <si>
    <t>Large Corporate</t>
  </si>
  <si>
    <t>Fixed</t>
  </si>
  <si>
    <t>Floating</t>
  </si>
  <si>
    <t>Lending Category</t>
  </si>
  <si>
    <t>Telstra</t>
  </si>
  <si>
    <t>Frequency</t>
  </si>
  <si>
    <t>Trade</t>
  </si>
  <si>
    <t>Used</t>
  </si>
  <si>
    <t>Calculated</t>
  </si>
  <si>
    <t>Default</t>
  </si>
  <si>
    <t>SWAP-</t>
  </si>
  <si>
    <t>ACT/365.FIXED</t>
  </si>
  <si>
    <t>SwapReferenceIdentifier</t>
  </si>
  <si>
    <t>AdjustCalculationDates</t>
  </si>
  <si>
    <t>BasePartyPaysRecievesInd</t>
  </si>
  <si>
    <t>QuotedCurrencyPair</t>
  </si>
  <si>
    <t>AUD-AUD</t>
  </si>
  <si>
    <t>NotionalCurrency</t>
  </si>
  <si>
    <t>hasInitialExchange</t>
  </si>
  <si>
    <t>hasFinallExchange</t>
  </si>
  <si>
    <t>principleExchangeBusinessCenters</t>
  </si>
  <si>
    <t>principleExchangeAdjustementConvention</t>
  </si>
  <si>
    <t>ScheduleGeneration</t>
  </si>
  <si>
    <t>CouponDateAdjustment</t>
  </si>
  <si>
    <t>DiscountCurveReference</t>
  </si>
  <si>
    <t>ForwardCurveReference</t>
  </si>
  <si>
    <t>FixingDateAdjustmentConvention</t>
  </si>
  <si>
    <t>Swap Detail Sheet - Trade Number</t>
  </si>
  <si>
    <t>BreakEvenRate</t>
  </si>
  <si>
    <t>PaymentDate</t>
  </si>
  <si>
    <t>NotionalStep</t>
  </si>
  <si>
    <t>DurationInterval</t>
  </si>
  <si>
    <t>StepInterval</t>
  </si>
  <si>
    <t>Step</t>
  </si>
  <si>
    <t>ROE</t>
  </si>
  <si>
    <t>Rebuild</t>
  </si>
  <si>
    <t>J</t>
  </si>
  <si>
    <t>Pay Coupon Schedule</t>
  </si>
  <si>
    <t>Receive Coupon Schedule</t>
  </si>
  <si>
    <t>PayTerms</t>
  </si>
  <si>
    <t>PayCouponSchedule</t>
  </si>
  <si>
    <t>ReceiveCouponSchedule</t>
  </si>
  <si>
    <t>SwapLive</t>
  </si>
  <si>
    <t>Curves</t>
  </si>
  <si>
    <t>Index</t>
  </si>
  <si>
    <t>IndexTenor</t>
  </si>
  <si>
    <t>LIBOR-BBA</t>
  </si>
  <si>
    <t>MarketName</t>
  </si>
  <si>
    <t>TradeTerms</t>
  </si>
  <si>
    <t>Trade Metrics</t>
  </si>
  <si>
    <t>Value Trade</t>
  </si>
  <si>
    <t>Test</t>
  </si>
  <si>
    <t>Clear</t>
  </si>
  <si>
    <t>Index Table</t>
  </si>
  <si>
    <t>Tenor Table</t>
  </si>
  <si>
    <t>1M</t>
  </si>
  <si>
    <t>EUR</t>
  </si>
  <si>
    <t>GBP</t>
  </si>
  <si>
    <t>JPY</t>
  </si>
  <si>
    <t>NZD</t>
  </si>
  <si>
    <t>3M</t>
  </si>
  <si>
    <t>6M</t>
  </si>
  <si>
    <t>LIBOR-ISDA</t>
  </si>
  <si>
    <t>Cash Flows</t>
  </si>
  <si>
    <t>.</t>
  </si>
  <si>
    <t>Freq</t>
  </si>
  <si>
    <t>Frequencies</t>
  </si>
  <si>
    <t>1Y</t>
  </si>
  <si>
    <t>Coupon Schedule</t>
  </si>
  <si>
    <t>DayCounts</t>
  </si>
  <si>
    <t>30/360</t>
  </si>
  <si>
    <t>ATMBasis</t>
  </si>
  <si>
    <t>None</t>
  </si>
  <si>
    <t>PayBreakEven</t>
  </si>
  <si>
    <t>ReceiveBreakEven</t>
  </si>
  <si>
    <t>Credit Valuation Settings</t>
  </si>
  <si>
    <t>CounterPartyType</t>
  </si>
  <si>
    <t>STATPROV</t>
  </si>
  <si>
    <t>Ccy/AUD Rate</t>
  </si>
  <si>
    <t>AUDToBaseCurrencySpotRate</t>
  </si>
  <si>
    <t>Version</t>
  </si>
  <si>
    <t>Details</t>
  </si>
  <si>
    <t>4.6.9</t>
  </si>
  <si>
    <t>Tips</t>
  </si>
  <si>
    <t>* Enable macros, most of the sheet relies on running macros
* Manual calculation mode may prevent the blotter updating on calculation. You may need to recalculate the sheet before and after using the calculate button
* After the trade has been built for the first time (the swap-n sheet exists) changes to the term or frequency do not automatically regenerate the coupon schedule. You must go to that sheet and click the rebuild button
* Dark Blue = Heading or total, Light Blue = calculated, Yellow = Button, White for entering data</t>
  </si>
  <si>
    <t>* Cells with missing or incorrect data are highlighted on the blotter page
* Added the version/title page including tips for common issues
* Less aggressive colours
* Fixed some formatting due to added columns</t>
  </si>
  <si>
    <t>CreditRatings</t>
  </si>
  <si>
    <t>4.7.0</t>
  </si>
  <si>
    <t>Credit ratings converted to drop down combo box</t>
  </si>
  <si>
    <t>Click here to go to the "Swap" tab to begin (check macros if this doesn't work)</t>
  </si>
  <si>
    <t>Discount Factor</t>
  </si>
  <si>
    <t>PV</t>
  </si>
  <si>
    <t>Amount</t>
  </si>
  <si>
    <t>4.7.1</t>
  </si>
  <si>
    <t>4.7.2</t>
  </si>
  <si>
    <t>Added EOD to Market drop down</t>
  </si>
  <si>
    <t>4.7.3</t>
  </si>
  <si>
    <t>Added TraderMid market and EOD Market now resolves to ZERO-BANK rate index</t>
  </si>
  <si>
    <t>LGD Counterparty Type</t>
  </si>
  <si>
    <t>MTMOverride</t>
  </si>
  <si>
    <t>RoE Overrides</t>
  </si>
  <si>
    <t>PCE.MaxValue</t>
  </si>
  <si>
    <t>PCE (USD)</t>
  </si>
  <si>
    <t>Pay Breakeven</t>
  </si>
  <si>
    <t>Counterparty Type</t>
  </si>
  <si>
    <t>Breakeven Rate</t>
  </si>
  <si>
    <t>Receive Breakeven</t>
  </si>
  <si>
    <t>Target MTM</t>
  </si>
  <si>
    <t>DeltaR (Receive)</t>
  </si>
  <si>
    <t>NPV Override</t>
  </si>
  <si>
    <t>TargetROE</t>
  </si>
  <si>
    <t>RoeMtmOverride</t>
  </si>
  <si>
    <t>RoeAmortisedNotionalBasis</t>
  </si>
  <si>
    <t>Max</t>
  </si>
  <si>
    <t>Amortised Notional Basis</t>
  </si>
  <si>
    <t>Calculate Margin</t>
  </si>
  <si>
    <t>Target RoE</t>
  </si>
  <si>
    <t>TargetRoe</t>
  </si>
  <si>
    <t>Payment</t>
  </si>
  <si>
    <t>4.10.0</t>
  </si>
  <si>
    <t>Additional Margin (bps)</t>
  </si>
  <si>
    <t>Initial Margin</t>
  </si>
  <si>
    <t>Total Margin</t>
  </si>
  <si>
    <t>BusinessCenter</t>
  </si>
  <si>
    <t>NewYork</t>
  </si>
  <si>
    <t>London</t>
  </si>
  <si>
    <t>Wellington</t>
  </si>
  <si>
    <t>Total Days</t>
  </si>
  <si>
    <t>BaseIndex</t>
  </si>
  <si>
    <t>Bus Adj</t>
  </si>
  <si>
    <t>FRN</t>
  </si>
  <si>
    <t>PRECEDING</t>
  </si>
  <si>
    <t>MODPRECEDING</t>
  </si>
  <si>
    <t>Adjustment</t>
  </si>
  <si>
    <t>Swap</t>
  </si>
  <si>
    <t>Pay Discount Curve</t>
  </si>
  <si>
    <t>Pay Forward Curve</t>
  </si>
  <si>
    <t>Receive Discount Curve</t>
  </si>
  <si>
    <t>Receive Forward Curve</t>
  </si>
  <si>
    <t>EURO</t>
  </si>
  <si>
    <t>Discounting</t>
  </si>
  <si>
    <t>FRA</t>
  </si>
  <si>
    <t>Discount Type</t>
  </si>
  <si>
    <t>EOD</t>
  </si>
  <si>
    <t>MarginSolverNumericalTolerance</t>
  </si>
  <si>
    <t>marginSolverMaxIterations</t>
  </si>
  <si>
    <t>MarginSolverIntervalLowerBound</t>
  </si>
  <si>
    <t>MarginSolverIntervalUpperBound</t>
  </si>
  <si>
    <t>Initial Margin (bps)</t>
  </si>
  <si>
    <t>Total Margin (bps)</t>
  </si>
  <si>
    <t>Market Curves</t>
  </si>
  <si>
    <t>Forcasting</t>
  </si>
  <si>
    <t>Identifier</t>
  </si>
  <si>
    <t>3m</t>
  </si>
  <si>
    <t>Additonal Margin Calculation Fields added</t>
  </si>
  <si>
    <t>4.12.0</t>
  </si>
  <si>
    <t>Pay Break Even</t>
  </si>
  <si>
    <t>Receive Break Even</t>
  </si>
  <si>
    <t>Basis</t>
  </si>
  <si>
    <t>ATM</t>
  </si>
  <si>
    <t>ATM Basis</t>
  </si>
  <si>
    <t>Break Even</t>
  </si>
  <si>
    <t>Par Trade</t>
  </si>
  <si>
    <t>Par Trades</t>
  </si>
  <si>
    <t>Spread
in bps</t>
  </si>
  <si>
    <t>Sales</t>
  </si>
  <si>
    <t>4.13.0</t>
  </si>
  <si>
    <t>Reference Data DO NOT REMOVE</t>
  </si>
  <si>
    <t>Enhanced to allow par trades to be calculated. Note: Any sales margin applied to the recieve leg will not be included in the par valuation</t>
  </si>
  <si>
    <t>Par Margin</t>
  </si>
  <si>
    <t>Sales NPV
(VA) override</t>
  </si>
  <si>
    <t>Sales NPV
(VA) currency</t>
  </si>
  <si>
    <t>Execution
cost
override</t>
  </si>
  <si>
    <t>Execution
cost
currency</t>
  </si>
  <si>
    <t>Additional
Margin
(bps)</t>
  </si>
  <si>
    <t>Initial
Margin
(bps)</t>
  </si>
  <si>
    <t>Total
Margin
(bps)</t>
  </si>
  <si>
    <t>ATM Basis Options List</t>
  </si>
  <si>
    <t>Target RoE (%)</t>
  </si>
  <si>
    <t>Averaged</t>
  </si>
  <si>
    <t>Execution</t>
  </si>
  <si>
    <t xml:space="preserve"> Margin (VA)
in bps</t>
  </si>
  <si>
    <t>RoeVASalesMargin</t>
  </si>
  <si>
    <t>RoeExecutionMargin</t>
  </si>
  <si>
    <t>RoeVaMtmOverride</t>
  </si>
  <si>
    <t>RoeExecutionCostOverride</t>
  </si>
  <si>
    <t>RoE Input/Overrides</t>
  </si>
  <si>
    <t>Break Even (Pay)</t>
  </si>
  <si>
    <t>Break Even (Receive)</t>
  </si>
  <si>
    <t>Required VA NPV Currency</t>
  </si>
  <si>
    <t xml:space="preserve">Required VA NPV
</t>
  </si>
  <si>
    <t>4.15.0</t>
  </si>
  <si>
    <t>ROE.RegCap</t>
  </si>
  <si>
    <t>UI Changes and enhanced to allow both the sales margin and execution to be supplied.</t>
  </si>
  <si>
    <t>REGCAP (AUD)</t>
  </si>
  <si>
    <t>ACT/360</t>
  </si>
  <si>
    <t>ACT/ACT.AFB</t>
  </si>
  <si>
    <t>ACT/ACT.ISDA</t>
  </si>
  <si>
    <t>ACT/ACT.ISMA</t>
  </si>
  <si>
    <t>Roll Convention</t>
  </si>
  <si>
    <t>EOM</t>
  </si>
  <si>
    <t>Sales Margin (VA) in bps</t>
  </si>
  <si>
    <t>Execution Margin in bps</t>
  </si>
  <si>
    <t>Sales NPV (VA) override</t>
  </si>
  <si>
    <t>Execution cost override</t>
  </si>
  <si>
    <t>ü</t>
  </si>
  <si>
    <t>û</t>
  </si>
  <si>
    <t>Switch</t>
  </si>
  <si>
    <t>Include</t>
  </si>
  <si>
    <t>Forcast Index</t>
  </si>
  <si>
    <t>Inclusion of a Target RoE margin solver</t>
  </si>
  <si>
    <t>Support for AUD-USD Xccy Swaps only</t>
  </si>
  <si>
    <t>STATPROV  (AUD)</t>
  </si>
  <si>
    <t>DeltaR 
(Pay  Ccy)</t>
  </si>
  <si>
    <t>DeltaR
(Receive Ccy)</t>
  </si>
  <si>
    <t>Margin
in bps</t>
  </si>
  <si>
    <t>Information Only</t>
  </si>
  <si>
    <t>Cashflows</t>
  </si>
  <si>
    <t>Value Trades</t>
  </si>
  <si>
    <t>4.18.0</t>
  </si>
  <si>
    <t>PayReceiveSpotRate</t>
  </si>
  <si>
    <t>ReceivePaySpotRate</t>
  </si>
  <si>
    <t>Pay Fx Curve</t>
  </si>
  <si>
    <t>FxCurve</t>
  </si>
  <si>
    <t>CrossCurrency</t>
  </si>
  <si>
    <t>Receive Fx Curve</t>
  </si>
  <si>
    <t>USD Zero Curve</t>
  </si>
  <si>
    <t>4.19.0</t>
  </si>
  <si>
    <t>Extended to support GBP &amp; EUR</t>
  </si>
  <si>
    <t>Day Count</t>
  </si>
  <si>
    <t>SGD</t>
  </si>
  <si>
    <t>Singapore</t>
  </si>
  <si>
    <t>Required for Trade Creation/Calculation</t>
  </si>
  <si>
    <t>Tokyo</t>
  </si>
  <si>
    <t>AUD to Pay Ccy Conversion  Rate</t>
  </si>
  <si>
    <t>AUD/Ccy Conv. Rate</t>
  </si>
  <si>
    <t>PE Type / Rate</t>
  </si>
  <si>
    <t>4.20.0</t>
  </si>
  <si>
    <t>Highlander Swap RoE CalQ</t>
  </si>
  <si>
    <t>Principal Exchanges and cashflows displayed adjacently  in details sheet</t>
  </si>
  <si>
    <t>FxCurve.AUD-USD</t>
  </si>
  <si>
    <t>FxCurve.EUR-USD</t>
  </si>
  <si>
    <t>FxCurve.GBP-USD</t>
  </si>
  <si>
    <t>FxCurve.NZD-USD</t>
  </si>
  <si>
    <t>FxCurve.USD-CAD</t>
  </si>
  <si>
    <t>FxCurve.USD-CHF</t>
  </si>
  <si>
    <t>FxCurve.USD-HKD</t>
  </si>
  <si>
    <t>FxCurve.USD-JPY</t>
  </si>
  <si>
    <t>FxCurve.USD-SGD</t>
  </si>
  <si>
    <t>RateCurve.AUD-XCCY-BASIS-3M</t>
  </si>
  <si>
    <t>RateCurve.AUD-ZERO-BANK-3M</t>
  </si>
  <si>
    <t>RateCurve.CAD-XCCY-BASIS-3M</t>
  </si>
  <si>
    <t>RateCurve.CAD-ZERO-BANK-3M</t>
  </si>
  <si>
    <t>RateCurve.CHF-XCCY-BASIS-3M</t>
  </si>
  <si>
    <t>RateCurve.CHF-ZERO-BANK-3M</t>
  </si>
  <si>
    <t>RateCurve.EUR-XCCY-BASIS-3M</t>
  </si>
  <si>
    <t>RateCurve.EUR-ZERO-BANK-3M</t>
  </si>
  <si>
    <t>RateCurve.GBP-XCCY-BASIS-3M</t>
  </si>
  <si>
    <t>RateCurve.GBP-ZERO-BANK-3M</t>
  </si>
  <si>
    <t>RateCurve.HKD-XCCY-BASIS-3M</t>
  </si>
  <si>
    <t>RateCurve.HKD-ZERO-BANK-3M</t>
  </si>
  <si>
    <t>RateCurve.JPY-XCCY-BASIS-3M</t>
  </si>
  <si>
    <t>RateCurve.JPY-ZERO-BANK-3M</t>
  </si>
  <si>
    <t>RateCurve.NZD-XCCY-BASIS-3M</t>
  </si>
  <si>
    <t>RateCurve.NZD-ZERO-BANK-3M</t>
  </si>
  <si>
    <t>RateCurve.SGD-XCCY-BASIS-3M</t>
  </si>
  <si>
    <t>RateCurve.SGD-ZERO-BANK-3M</t>
  </si>
  <si>
    <t>RateCurve.USD-ZERO-BANK-3M</t>
  </si>
  <si>
    <t>4.21.0</t>
  </si>
  <si>
    <t>Change to use new underlying library - QRSC</t>
  </si>
  <si>
    <t>4.22.0</t>
  </si>
  <si>
    <t>Increase number of currencies available</t>
  </si>
  <si>
    <t>4.23.0</t>
  </si>
  <si>
    <t>Fix for curve loading cross currency swaps</t>
  </si>
</sst>
</file>

<file path=xl/styles.xml><?xml version="1.0" encoding="utf-8"?>
<styleSheet xmlns="http://schemas.openxmlformats.org/spreadsheetml/2006/main">
  <numFmts count="16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%"/>
    <numFmt numFmtId="165" formatCode="#,##0.00_ ;\-#,##0.00;\ "/>
    <numFmt numFmtId="166" formatCode="d/mm/yyyy;;"/>
    <numFmt numFmtId="167" formatCode="dd/mm/yyyy;;"/>
    <numFmt numFmtId="168" formatCode="0.0000"/>
    <numFmt numFmtId="169" formatCode="_-* #,##0.0000_-;\-* #,##0.0000_-;_-* &quot;-&quot;??_-;_-@_-"/>
    <numFmt numFmtId="170" formatCode="_-* #,##0.0000000_-;\-* #,##0.0000000_-;_-* &quot;-&quot;??_-;_-@_-"/>
    <numFmt numFmtId="171" formatCode="0.0000_ ;\-0.0000\ "/>
    <numFmt numFmtId="172" formatCode="0.000000"/>
    <numFmt numFmtId="173" formatCode="#,##0.0000"/>
    <numFmt numFmtId="174" formatCode="#,##0.000000"/>
    <numFmt numFmtId="175" formatCode="&quot;$&quot;#,##0.00000;\-&quot;$&quot;#,##0.00000"/>
    <numFmt numFmtId="176" formatCode="yyyy\-mm\-dd;@"/>
  </numFmts>
  <fonts count="34">
    <font>
      <sz val="8"/>
      <color theme="1"/>
      <name val="Arial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18"/>
      <color indexed="8"/>
      <name val="Arial"/>
      <family val="2"/>
    </font>
    <font>
      <b/>
      <sz val="18"/>
      <color indexed="8"/>
      <name val="Arial"/>
      <family val="2"/>
    </font>
    <font>
      <b/>
      <sz val="8"/>
      <color theme="0"/>
      <name val="Arial"/>
      <family val="2"/>
    </font>
    <font>
      <b/>
      <u/>
      <sz val="8"/>
      <color theme="0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theme="0"/>
      <name val="Arial"/>
      <family val="2"/>
    </font>
    <font>
      <sz val="8"/>
      <color indexed="8"/>
      <name val="Calibri"/>
      <family val="2"/>
      <scheme val="minor"/>
    </font>
    <font>
      <b/>
      <sz val="8"/>
      <color theme="3" tint="0.79998168889431442"/>
      <name val="Arial"/>
      <family val="2"/>
    </font>
    <font>
      <sz val="8"/>
      <color theme="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Garamond"/>
      <family val="1"/>
    </font>
    <font>
      <b/>
      <sz val="20"/>
      <color theme="0"/>
      <name val="Arial"/>
      <family val="2"/>
    </font>
    <font>
      <sz val="8"/>
      <color rgb="FF00B050"/>
      <name val="Arial"/>
      <family val="2"/>
    </font>
    <font>
      <b/>
      <sz val="8"/>
      <color rgb="FF00B050"/>
      <name val="Arial"/>
      <family val="2"/>
    </font>
    <font>
      <sz val="8"/>
      <color theme="1"/>
      <name val="Wingdings"/>
      <charset val="2"/>
    </font>
    <font>
      <b/>
      <sz val="12"/>
      <color rgb="FFFFFF00"/>
      <name val="Wingdings"/>
      <charset val="2"/>
    </font>
    <font>
      <b/>
      <sz val="8"/>
      <color theme="1" tint="0.34998626667073579"/>
      <name val="Arial"/>
      <family val="2"/>
    </font>
    <font>
      <b/>
      <sz val="12"/>
      <color theme="0"/>
      <name val="Wingdings"/>
      <charset val="2"/>
    </font>
    <font>
      <sz val="8"/>
      <color rgb="FFFF0000"/>
      <name val="Arial"/>
      <family val="2"/>
    </font>
    <font>
      <b/>
      <sz val="8"/>
      <color indexed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8"/>
      <color theme="0" tint="-4.9989318521683403E-2"/>
      <name val="Arial"/>
      <family val="2"/>
    </font>
    <font>
      <b/>
      <sz val="16"/>
      <color theme="0"/>
      <name val="Helvetica-Narrow"/>
      <family val="2"/>
    </font>
    <font>
      <b/>
      <sz val="16"/>
      <color theme="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gradientFill degree="90">
        <stop position="0">
          <color rgb="FF808080"/>
        </stop>
        <stop position="1">
          <color theme="1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5"/>
      </patternFill>
    </fill>
    <fill>
      <gradientFill degree="90">
        <stop position="0">
          <color rgb="FFFFC000"/>
        </stop>
        <stop position="1">
          <color rgb="FF806200"/>
        </stop>
      </gradient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gray0625">
        <bgColor theme="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gradientFill degree="90">
        <stop position="0">
          <color theme="1" tint="0.49803155613879818"/>
        </stop>
        <stop position="1">
          <color theme="1" tint="0.34900967436750391"/>
        </stop>
      </gradientFill>
    </fill>
    <fill>
      <patternFill patternType="lightTrellis">
        <bgColor theme="1" tint="0.34998626667073579"/>
      </patternFill>
    </fill>
    <fill>
      <patternFill patternType="lightTrellis">
        <bgColor theme="1" tint="0.499984740745262"/>
      </patternFill>
    </fill>
    <fill>
      <patternFill patternType="solid">
        <fgColor theme="1"/>
        <bgColor auto="1"/>
      </patternFill>
    </fill>
    <fill>
      <patternFill patternType="solid">
        <fgColor theme="0" tint="-0.499984740745262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hair">
        <color indexed="12"/>
      </bottom>
      <diagonal/>
    </border>
    <border>
      <left style="medium">
        <color indexed="12"/>
      </left>
      <right style="medium">
        <color indexed="12"/>
      </right>
      <top style="hair">
        <color indexed="12"/>
      </top>
      <bottom style="hair">
        <color indexed="12"/>
      </bottom>
      <diagonal/>
    </border>
    <border>
      <left style="medium">
        <color indexed="12"/>
      </left>
      <right style="medium">
        <color indexed="12"/>
      </right>
      <top style="hair">
        <color indexed="12"/>
      </top>
      <bottom style="medium">
        <color indexed="12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indexed="64"/>
      </bottom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/>
      <top/>
      <bottom style="medium">
        <color rgb="FF00B0F0"/>
      </bottom>
      <diagonal/>
    </border>
    <border>
      <left/>
      <right style="thin">
        <color indexed="64"/>
      </right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/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34998626667073579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</borders>
  <cellStyleXfs count="13">
    <xf numFmtId="0" fontId="0" fillId="2" borderId="0"/>
    <xf numFmtId="0" fontId="9" fillId="4" borderId="16"/>
    <xf numFmtId="44" fontId="1" fillId="2" borderId="0" applyFont="0" applyBorder="0" applyAlignment="0" applyProtection="0"/>
    <xf numFmtId="0" fontId="10" fillId="5" borderId="0" applyNumberFormat="0" applyBorder="0" applyProtection="0">
      <alignment horizontal="center" vertical="center"/>
      <protection locked="0"/>
    </xf>
    <xf numFmtId="0" fontId="9" fillId="6" borderId="0" applyNumberFormat="0" applyBorder="0" applyProtection="0">
      <alignment horizontal="center" vertical="center"/>
      <protection locked="0"/>
    </xf>
    <xf numFmtId="9" fontId="1" fillId="2" borderId="0" applyFont="0" applyBorder="0" applyAlignment="0" applyProtection="0"/>
    <xf numFmtId="0" fontId="11" fillId="7" borderId="1"/>
    <xf numFmtId="0" fontId="9" fillId="8" borderId="1">
      <alignment vertical="top"/>
    </xf>
    <xf numFmtId="0" fontId="3" fillId="3" borderId="1">
      <alignment vertical="top"/>
    </xf>
    <xf numFmtId="43" fontId="16" fillId="0" borderId="0" applyFont="0" applyFill="0" applyBorder="0" applyAlignment="0" applyProtection="0"/>
    <xf numFmtId="0" fontId="9" fillId="19" borderId="1"/>
    <xf numFmtId="0" fontId="9" fillId="19" borderId="1" applyBorder="0"/>
    <xf numFmtId="0" fontId="26" fillId="4" borderId="16">
      <alignment horizontal="center" vertical="center"/>
    </xf>
  </cellStyleXfs>
  <cellXfs count="593">
    <xf numFmtId="0" fontId="0" fillId="2" borderId="0" xfId="0"/>
    <xf numFmtId="0" fontId="6" fillId="9" borderId="0" xfId="0" applyFont="1" applyFill="1" applyBorder="1" applyAlignment="1">
      <alignment vertical="top"/>
    </xf>
    <xf numFmtId="0" fontId="4" fillId="9" borderId="0" xfId="0" applyFont="1" applyFill="1" applyBorder="1" applyAlignment="1">
      <alignment vertical="top"/>
    </xf>
    <xf numFmtId="0" fontId="4" fillId="9" borderId="0" xfId="0" applyFont="1" applyFill="1" applyBorder="1" applyAlignment="1">
      <alignment horizontal="left" vertical="top"/>
    </xf>
    <xf numFmtId="0" fontId="0" fillId="9" borderId="0" xfId="0" applyFill="1" applyBorder="1"/>
    <xf numFmtId="0" fontId="3" fillId="9" borderId="0" xfId="0" applyFont="1" applyFill="1" applyBorder="1"/>
    <xf numFmtId="0" fontId="0" fillId="9" borderId="0" xfId="0" applyFill="1"/>
    <xf numFmtId="0" fontId="9" fillId="9" borderId="0" xfId="4" applyFill="1" applyProtection="1">
      <alignment horizontal="center" vertical="center"/>
    </xf>
    <xf numFmtId="0" fontId="0" fillId="9" borderId="0" xfId="0" quotePrefix="1" applyFill="1" applyBorder="1"/>
    <xf numFmtId="165" fontId="2" fillId="9" borderId="4" xfId="2" applyNumberFormat="1" applyFont="1" applyFill="1" applyBorder="1"/>
    <xf numFmtId="165" fontId="2" fillId="9" borderId="2" xfId="2" applyNumberFormat="1" applyFont="1" applyFill="1" applyBorder="1"/>
    <xf numFmtId="165" fontId="2" fillId="9" borderId="3" xfId="2" applyNumberFormat="1" applyFont="1" applyFill="1" applyBorder="1"/>
    <xf numFmtId="0" fontId="0" fillId="9" borderId="6" xfId="0" applyFill="1" applyBorder="1"/>
    <xf numFmtId="0" fontId="0" fillId="9" borderId="7" xfId="0" applyFill="1" applyBorder="1"/>
    <xf numFmtId="0" fontId="0" fillId="11" borderId="4" xfId="0" applyFill="1" applyBorder="1" applyAlignment="1">
      <alignment horizontal="left"/>
    </xf>
    <xf numFmtId="0" fontId="0" fillId="11" borderId="5" xfId="0" applyFill="1" applyBorder="1"/>
    <xf numFmtId="0" fontId="0" fillId="11" borderId="2" xfId="0" applyFill="1" applyBorder="1" applyAlignment="1">
      <alignment horizontal="left"/>
    </xf>
    <xf numFmtId="44" fontId="2" fillId="11" borderId="6" xfId="2" applyFont="1" applyFill="1" applyBorder="1"/>
    <xf numFmtId="0" fontId="0" fillId="11" borderId="6" xfId="0" applyFill="1" applyBorder="1"/>
    <xf numFmtId="0" fontId="0" fillId="11" borderId="3" xfId="0" applyFill="1" applyBorder="1" applyAlignment="1">
      <alignment horizontal="left"/>
    </xf>
    <xf numFmtId="14" fontId="2" fillId="11" borderId="4" xfId="2" applyNumberFormat="1" applyFont="1" applyFill="1" applyBorder="1"/>
    <xf numFmtId="44" fontId="2" fillId="11" borderId="5" xfId="2" applyFont="1" applyFill="1" applyBorder="1"/>
    <xf numFmtId="14" fontId="0" fillId="11" borderId="9" xfId="0" applyNumberFormat="1" applyFill="1" applyBorder="1"/>
    <xf numFmtId="14" fontId="2" fillId="11" borderId="2" xfId="2" applyNumberFormat="1" applyFont="1" applyFill="1" applyBorder="1"/>
    <xf numFmtId="14" fontId="0" fillId="11" borderId="11" xfId="0" applyNumberFormat="1" applyFill="1" applyBorder="1"/>
    <xf numFmtId="0" fontId="0" fillId="11" borderId="7" xfId="0" applyFill="1" applyBorder="1"/>
    <xf numFmtId="0" fontId="0" fillId="11" borderId="11" xfId="0" applyFill="1" applyBorder="1"/>
    <xf numFmtId="14" fontId="2" fillId="11" borderId="3" xfId="2" applyNumberFormat="1" applyFont="1" applyFill="1" applyBorder="1"/>
    <xf numFmtId="44" fontId="2" fillId="11" borderId="7" xfId="2" applyFont="1" applyFill="1" applyBorder="1"/>
    <xf numFmtId="0" fontId="0" fillId="11" borderId="12" xfId="0" applyFill="1" applyBorder="1"/>
    <xf numFmtId="0" fontId="8" fillId="9" borderId="0" xfId="0" applyFont="1" applyFill="1"/>
    <xf numFmtId="0" fontId="7" fillId="9" borderId="0" xfId="0" applyFont="1" applyFill="1"/>
    <xf numFmtId="0" fontId="3" fillId="9" borderId="0" xfId="0" applyFont="1" applyFill="1"/>
    <xf numFmtId="0" fontId="3" fillId="9" borderId="0" xfId="8" applyFill="1" applyBorder="1" applyAlignment="1">
      <alignment horizontal="center" vertical="top"/>
    </xf>
    <xf numFmtId="0" fontId="3" fillId="9" borderId="1" xfId="0" applyFont="1" applyFill="1" applyBorder="1"/>
    <xf numFmtId="0" fontId="6" fillId="9" borderId="1" xfId="0" applyFont="1" applyFill="1" applyBorder="1"/>
    <xf numFmtId="0" fontId="0" fillId="9" borderId="1" xfId="0" applyFill="1" applyBorder="1"/>
    <xf numFmtId="0" fontId="3" fillId="9" borderId="3" xfId="8" applyFont="1" applyFill="1" applyBorder="1">
      <alignment vertical="top"/>
    </xf>
    <xf numFmtId="0" fontId="3" fillId="9" borderId="3" xfId="0" applyFont="1" applyFill="1" applyBorder="1"/>
    <xf numFmtId="0" fontId="0" fillId="9" borderId="2" xfId="0" applyFill="1" applyBorder="1"/>
    <xf numFmtId="0" fontId="0" fillId="9" borderId="4" xfId="0" applyFill="1" applyBorder="1"/>
    <xf numFmtId="166" fontId="0" fillId="9" borderId="9" xfId="0" applyNumberFormat="1" applyFill="1" applyBorder="1"/>
    <xf numFmtId="0" fontId="6" fillId="9" borderId="4" xfId="0" applyFont="1" applyFill="1" applyBorder="1" applyAlignment="1">
      <alignment vertical="top"/>
    </xf>
    <xf numFmtId="0" fontId="4" fillId="9" borderId="5" xfId="0" applyFont="1" applyFill="1" applyBorder="1" applyAlignment="1">
      <alignment horizontal="left" vertical="top"/>
    </xf>
    <xf numFmtId="0" fontId="3" fillId="9" borderId="0" xfId="8" applyFill="1" applyBorder="1">
      <alignment vertical="top"/>
    </xf>
    <xf numFmtId="167" fontId="0" fillId="9" borderId="11" xfId="0" applyNumberFormat="1" applyFill="1" applyBorder="1"/>
    <xf numFmtId="0" fontId="6" fillId="9" borderId="2" xfId="0" applyFont="1" applyFill="1" applyBorder="1" applyAlignment="1">
      <alignment vertical="top"/>
    </xf>
    <xf numFmtId="14" fontId="4" fillId="9" borderId="6" xfId="0" applyNumberFormat="1" applyFont="1" applyFill="1" applyBorder="1" applyAlignment="1">
      <alignment horizontal="left" vertical="top"/>
    </xf>
    <xf numFmtId="0" fontId="4" fillId="9" borderId="6" xfId="0" applyFont="1" applyFill="1" applyBorder="1" applyAlignment="1">
      <alignment horizontal="left" vertical="top"/>
    </xf>
    <xf numFmtId="0" fontId="0" fillId="9" borderId="0" xfId="0" applyNumberFormat="1" applyFill="1"/>
    <xf numFmtId="43" fontId="4" fillId="9" borderId="6" xfId="0" applyNumberFormat="1" applyFont="1" applyFill="1" applyBorder="1" applyAlignment="1">
      <alignment horizontal="left" vertical="top"/>
    </xf>
    <xf numFmtId="0" fontId="0" fillId="9" borderId="3" xfId="0" applyFill="1" applyBorder="1"/>
    <xf numFmtId="0" fontId="6" fillId="9" borderId="3" xfId="0" applyFont="1" applyFill="1" applyBorder="1" applyAlignment="1">
      <alignment vertical="top"/>
    </xf>
    <xf numFmtId="0" fontId="4" fillId="9" borderId="7" xfId="0" applyFont="1" applyFill="1" applyBorder="1" applyAlignment="1">
      <alignment horizontal="left" vertical="top"/>
    </xf>
    <xf numFmtId="0" fontId="0" fillId="9" borderId="0" xfId="0" applyFill="1" applyAlignment="1">
      <alignment horizontal="left"/>
    </xf>
    <xf numFmtId="0" fontId="3" fillId="9" borderId="0" xfId="0" applyFont="1" applyFill="1" applyBorder="1" applyAlignment="1">
      <alignment vertical="top"/>
    </xf>
    <xf numFmtId="0" fontId="4" fillId="9" borderId="4" xfId="5" applyNumberFormat="1" applyFont="1" applyFill="1" applyBorder="1" applyAlignment="1" applyProtection="1">
      <alignment horizontal="left" vertical="top"/>
    </xf>
    <xf numFmtId="0" fontId="6" fillId="9" borderId="2" xfId="0" applyFont="1" applyFill="1" applyBorder="1" applyAlignment="1" applyProtection="1">
      <alignment vertical="top"/>
    </xf>
    <xf numFmtId="43" fontId="4" fillId="9" borderId="2" xfId="5" applyNumberFormat="1" applyFont="1" applyFill="1" applyBorder="1" applyAlignment="1" applyProtection="1">
      <alignment horizontal="left" vertical="top"/>
    </xf>
    <xf numFmtId="0" fontId="4" fillId="9" borderId="2" xfId="5" applyNumberFormat="1" applyFont="1" applyFill="1" applyBorder="1" applyAlignment="1" applyProtection="1">
      <alignment horizontal="left" vertical="top"/>
    </xf>
    <xf numFmtId="14" fontId="4" fillId="9" borderId="2" xfId="5" applyNumberFormat="1" applyFont="1" applyFill="1" applyBorder="1" applyAlignment="1" applyProtection="1">
      <alignment horizontal="left" vertical="top"/>
    </xf>
    <xf numFmtId="0" fontId="4" fillId="9" borderId="2" xfId="0" applyFont="1" applyFill="1" applyBorder="1" applyAlignment="1">
      <alignment vertical="top"/>
    </xf>
    <xf numFmtId="0" fontId="4" fillId="9" borderId="2" xfId="0" applyFont="1" applyFill="1" applyBorder="1" applyAlignment="1">
      <alignment horizontal="left" vertical="top"/>
    </xf>
    <xf numFmtId="10" fontId="4" fillId="9" borderId="2" xfId="5" applyNumberFormat="1" applyFont="1" applyFill="1" applyBorder="1" applyAlignment="1" applyProtection="1">
      <alignment horizontal="left" vertical="top"/>
    </xf>
    <xf numFmtId="0" fontId="6" fillId="9" borderId="3" xfId="0" applyFont="1" applyFill="1" applyBorder="1" applyAlignment="1" applyProtection="1">
      <alignment vertical="top"/>
    </xf>
    <xf numFmtId="0" fontId="4" fillId="9" borderId="3" xfId="5" applyNumberFormat="1" applyFont="1" applyFill="1" applyBorder="1" applyAlignment="1" applyProtection="1">
      <alignment horizontal="left" vertical="top"/>
    </xf>
    <xf numFmtId="0" fontId="3" fillId="9" borderId="6" xfId="0" applyFont="1" applyFill="1" applyBorder="1" applyAlignment="1">
      <alignment vertical="top"/>
    </xf>
    <xf numFmtId="0" fontId="4" fillId="9" borderId="4" xfId="0" applyFont="1" applyFill="1" applyBorder="1" applyAlignment="1" applyProtection="1">
      <alignment horizontal="left" vertical="top"/>
    </xf>
    <xf numFmtId="0" fontId="4" fillId="9" borderId="2" xfId="0" applyNumberFormat="1" applyFont="1" applyFill="1" applyBorder="1" applyAlignment="1" applyProtection="1">
      <alignment horizontal="left" vertical="top"/>
    </xf>
    <xf numFmtId="43" fontId="4" fillId="9" borderId="2" xfId="0" applyNumberFormat="1" applyFont="1" applyFill="1" applyBorder="1" applyAlignment="1" applyProtection="1">
      <alignment horizontal="left" vertical="top"/>
    </xf>
    <xf numFmtId="0" fontId="4" fillId="9" borderId="2" xfId="0" applyFont="1" applyFill="1" applyBorder="1" applyAlignment="1" applyProtection="1">
      <alignment horizontal="left" vertical="top"/>
    </xf>
    <xf numFmtId="14" fontId="4" fillId="9" borderId="2" xfId="0" applyNumberFormat="1" applyFont="1" applyFill="1" applyBorder="1" applyAlignment="1" applyProtection="1">
      <alignment horizontal="left" vertical="top"/>
    </xf>
    <xf numFmtId="10" fontId="4" fillId="9" borderId="2" xfId="0" applyNumberFormat="1" applyFont="1" applyFill="1" applyBorder="1" applyAlignment="1" applyProtection="1">
      <alignment horizontal="left" vertical="top"/>
    </xf>
    <xf numFmtId="0" fontId="4" fillId="9" borderId="3" xfId="0" applyFont="1" applyFill="1" applyBorder="1" applyAlignment="1" applyProtection="1">
      <alignment horizontal="left" vertical="top"/>
    </xf>
    <xf numFmtId="0" fontId="5" fillId="9" borderId="1" xfId="0" applyFont="1" applyFill="1" applyBorder="1" applyAlignment="1">
      <alignment vertical="top"/>
    </xf>
    <xf numFmtId="0" fontId="6" fillId="9" borderId="4" xfId="0" applyFont="1" applyFill="1" applyBorder="1" applyAlignment="1" applyProtection="1">
      <alignment vertical="top"/>
    </xf>
    <xf numFmtId="14" fontId="4" fillId="9" borderId="4" xfId="0" applyNumberFormat="1" applyFont="1" applyFill="1" applyBorder="1" applyAlignment="1">
      <alignment horizontal="left" vertical="top"/>
    </xf>
    <xf numFmtId="14" fontId="4" fillId="9" borderId="2" xfId="0" applyNumberFormat="1" applyFont="1" applyFill="1" applyBorder="1" applyAlignment="1">
      <alignment horizontal="left" vertical="top"/>
    </xf>
    <xf numFmtId="0" fontId="4" fillId="9" borderId="3" xfId="0" applyFont="1" applyFill="1" applyBorder="1" applyAlignment="1">
      <alignment horizontal="left" vertical="top"/>
    </xf>
    <xf numFmtId="0" fontId="5" fillId="9" borderId="4" xfId="0" applyFont="1" applyFill="1" applyBorder="1" applyAlignment="1">
      <alignment vertical="top"/>
    </xf>
    <xf numFmtId="10" fontId="4" fillId="9" borderId="4" xfId="0" applyNumberFormat="1" applyFont="1" applyFill="1" applyBorder="1" applyAlignment="1">
      <alignment horizontal="left" vertical="top"/>
    </xf>
    <xf numFmtId="0" fontId="4" fillId="9" borderId="4" xfId="0" applyFont="1" applyFill="1" applyBorder="1" applyAlignment="1">
      <alignment horizontal="left" vertical="top"/>
    </xf>
    <xf numFmtId="0" fontId="4" fillId="9" borderId="5" xfId="0" applyFont="1" applyFill="1" applyBorder="1" applyAlignment="1">
      <alignment vertical="top"/>
    </xf>
    <xf numFmtId="0" fontId="4" fillId="9" borderId="7" xfId="0" quotePrefix="1" applyFont="1" applyFill="1" applyBorder="1" applyAlignment="1">
      <alignment horizontal="left" vertical="top"/>
    </xf>
    <xf numFmtId="0" fontId="4" fillId="9" borderId="3" xfId="0" quotePrefix="1" applyFont="1" applyFill="1" applyBorder="1" applyAlignment="1">
      <alignment horizontal="left" vertical="top"/>
    </xf>
    <xf numFmtId="0" fontId="4" fillId="9" borderId="6" xfId="0" applyFont="1" applyFill="1" applyBorder="1" applyAlignment="1">
      <alignment vertical="top"/>
    </xf>
    <xf numFmtId="0" fontId="0" fillId="9" borderId="1" xfId="0" applyFill="1" applyBorder="1" applyAlignment="1">
      <alignment horizontal="left"/>
    </xf>
    <xf numFmtId="1" fontId="4" fillId="9" borderId="7" xfId="0" applyNumberFormat="1" applyFont="1" applyFill="1" applyBorder="1" applyAlignment="1">
      <alignment horizontal="left" vertical="top"/>
    </xf>
    <xf numFmtId="167" fontId="0" fillId="9" borderId="12" xfId="0" applyNumberFormat="1" applyFill="1" applyBorder="1"/>
    <xf numFmtId="0" fontId="6" fillId="10" borderId="4" xfId="8" applyFont="1" applyFill="1" applyBorder="1">
      <alignment vertical="top"/>
    </xf>
    <xf numFmtId="0" fontId="6" fillId="10" borderId="2" xfId="8" applyFont="1" applyFill="1" applyBorder="1">
      <alignment vertical="top"/>
    </xf>
    <xf numFmtId="0" fontId="6" fillId="10" borderId="3" xfId="8" applyFont="1" applyFill="1" applyBorder="1">
      <alignment vertical="top"/>
    </xf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6" fillId="10" borderId="4" xfId="8" applyFont="1" applyFill="1" applyBorder="1" applyAlignment="1">
      <alignment horizontal="center" vertical="top"/>
    </xf>
    <xf numFmtId="0" fontId="6" fillId="10" borderId="11" xfId="0" applyFont="1" applyFill="1" applyBorder="1" applyAlignment="1" applyProtection="1">
      <alignment vertical="top"/>
    </xf>
    <xf numFmtId="0" fontId="6" fillId="10" borderId="1" xfId="8" applyFont="1" applyFill="1" applyBorder="1">
      <alignment vertical="top"/>
    </xf>
    <xf numFmtId="0" fontId="15" fillId="10" borderId="3" xfId="8" applyFont="1" applyFill="1" applyBorder="1">
      <alignment vertical="top"/>
    </xf>
    <xf numFmtId="0" fontId="15" fillId="10" borderId="3" xfId="8" applyFont="1" applyFill="1" applyBorder="1" applyAlignment="1">
      <alignment vertical="top"/>
    </xf>
    <xf numFmtId="0" fontId="15" fillId="10" borderId="2" xfId="8" applyFont="1" applyFill="1" applyBorder="1">
      <alignment vertical="top"/>
    </xf>
    <xf numFmtId="0" fontId="0" fillId="11" borderId="8" xfId="0" applyFill="1" applyBorder="1"/>
    <xf numFmtId="0" fontId="6" fillId="12" borderId="1" xfId="4" applyFont="1" applyFill="1" applyBorder="1" applyProtection="1">
      <alignment horizontal="center" vertical="center"/>
    </xf>
    <xf numFmtId="0" fontId="13" fillId="9" borderId="0" xfId="0" applyFont="1" applyFill="1"/>
    <xf numFmtId="0" fontId="0" fillId="11" borderId="0" xfId="0" applyFill="1" applyBorder="1"/>
    <xf numFmtId="0" fontId="0" fillId="11" borderId="10" xfId="0" applyFill="1" applyBorder="1"/>
    <xf numFmtId="0" fontId="0" fillId="11" borderId="13" xfId="0" applyFill="1" applyBorder="1"/>
    <xf numFmtId="0" fontId="0" fillId="11" borderId="9" xfId="0" applyFill="1" applyBorder="1"/>
    <xf numFmtId="0" fontId="0" fillId="11" borderId="10" xfId="0" applyNumberFormat="1" applyFill="1" applyBorder="1"/>
    <xf numFmtId="0" fontId="0" fillId="11" borderId="0" xfId="0" applyNumberFormat="1" applyFill="1" applyBorder="1"/>
    <xf numFmtId="0" fontId="0" fillId="11" borderId="13" xfId="0" applyNumberFormat="1" applyFill="1" applyBorder="1"/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5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11" fillId="10" borderId="3" xfId="0" applyFont="1" applyFill="1" applyBorder="1"/>
    <xf numFmtId="10" fontId="0" fillId="11" borderId="6" xfId="5" quotePrefix="1" applyNumberFormat="1" applyFont="1" applyFill="1" applyBorder="1"/>
    <xf numFmtId="43" fontId="0" fillId="11" borderId="6" xfId="9" quotePrefix="1" applyFont="1" applyFill="1" applyBorder="1"/>
    <xf numFmtId="43" fontId="0" fillId="11" borderId="7" xfId="9" quotePrefix="1" applyFont="1" applyFill="1" applyBorder="1"/>
    <xf numFmtId="0" fontId="11" fillId="10" borderId="1" xfId="0" applyFont="1" applyFill="1" applyBorder="1"/>
    <xf numFmtId="0" fontId="11" fillId="10" borderId="2" xfId="0" applyFont="1" applyFill="1" applyBorder="1"/>
    <xf numFmtId="169" fontId="4" fillId="9" borderId="2" xfId="0" applyNumberFormat="1" applyFont="1" applyFill="1" applyBorder="1" applyAlignment="1">
      <alignment horizontal="left" vertical="top"/>
    </xf>
    <xf numFmtId="0" fontId="11" fillId="10" borderId="4" xfId="0" applyFont="1" applyFill="1" applyBorder="1"/>
    <xf numFmtId="14" fontId="0" fillId="11" borderId="5" xfId="0" applyNumberFormat="1" applyFill="1" applyBorder="1" applyAlignment="1">
      <alignment horizontal="left"/>
    </xf>
    <xf numFmtId="14" fontId="0" fillId="11" borderId="7" xfId="0" applyNumberFormat="1" applyFill="1" applyBorder="1" applyAlignment="1">
      <alignment horizontal="left"/>
    </xf>
    <xf numFmtId="169" fontId="0" fillId="9" borderId="4" xfId="9" quotePrefix="1" applyNumberFormat="1" applyFont="1" applyFill="1" applyBorder="1" applyAlignment="1">
      <alignment horizontal="left"/>
    </xf>
    <xf numFmtId="169" fontId="0" fillId="9" borderId="3" xfId="9" applyNumberFormat="1" applyFont="1" applyFill="1" applyBorder="1" applyAlignment="1">
      <alignment horizontal="left"/>
    </xf>
    <xf numFmtId="0" fontId="0" fillId="9" borderId="0" xfId="0" quotePrefix="1" applyFill="1" applyBorder="1" applyAlignment="1">
      <alignment horizontal="left"/>
    </xf>
    <xf numFmtId="0" fontId="0" fillId="10" borderId="0" xfId="0" applyFont="1" applyFill="1" applyBorder="1"/>
    <xf numFmtId="9" fontId="0" fillId="2" borderId="1" xfId="9" quotePrefix="1" applyNumberFormat="1" applyFont="1" applyFill="1" applyBorder="1" applyAlignment="1">
      <alignment horizontal="right"/>
    </xf>
    <xf numFmtId="9" fontId="4" fillId="9" borderId="2" xfId="0" applyNumberFormat="1" applyFont="1" applyFill="1" applyBorder="1" applyAlignment="1">
      <alignment horizontal="left" vertical="top"/>
    </xf>
    <xf numFmtId="9" fontId="4" fillId="9" borderId="6" xfId="0" applyNumberFormat="1" applyFont="1" applyFill="1" applyBorder="1" applyAlignment="1">
      <alignment horizontal="left" vertical="top"/>
    </xf>
    <xf numFmtId="0" fontId="0" fillId="11" borderId="5" xfId="0" applyFill="1" applyBorder="1" applyAlignment="1">
      <alignment horizontal="left"/>
    </xf>
    <xf numFmtId="44" fontId="2" fillId="11" borderId="6" xfId="2" applyFont="1" applyFill="1" applyBorder="1" applyAlignment="1">
      <alignment horizontal="left"/>
    </xf>
    <xf numFmtId="0" fontId="0" fillId="11" borderId="6" xfId="0" applyFill="1" applyBorder="1" applyAlignment="1">
      <alignment horizontal="left"/>
    </xf>
    <xf numFmtId="10" fontId="2" fillId="11" borderId="6" xfId="5" applyNumberFormat="1" applyFont="1" applyFill="1" applyBorder="1" applyAlignment="1">
      <alignment horizontal="left"/>
    </xf>
    <xf numFmtId="168" fontId="2" fillId="11" borderId="6" xfId="5" applyNumberFormat="1" applyFont="1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6" xfId="0" applyFill="1" applyBorder="1" applyAlignment="1" applyProtection="1">
      <alignment horizontal="left"/>
    </xf>
    <xf numFmtId="0" fontId="0" fillId="9" borderId="4" xfId="0" applyFill="1" applyBorder="1" applyAlignment="1">
      <alignment horizontal="left"/>
    </xf>
    <xf numFmtId="10" fontId="11" fillId="11" borderId="8" xfId="5" quotePrefix="1" applyNumberFormat="1" applyFont="1" applyFill="1" applyBorder="1"/>
    <xf numFmtId="0" fontId="19" fillId="13" borderId="0" xfId="0" applyFont="1" applyFill="1"/>
    <xf numFmtId="0" fontId="11" fillId="10" borderId="0" xfId="0" applyFont="1" applyFill="1" applyBorder="1"/>
    <xf numFmtId="0" fontId="11" fillId="10" borderId="10" xfId="0" applyFont="1" applyFill="1" applyBorder="1"/>
    <xf numFmtId="43" fontId="0" fillId="11" borderId="4" xfId="9" quotePrefix="1" applyFont="1" applyFill="1" applyBorder="1" applyAlignment="1">
      <alignment horizontal="right"/>
    </xf>
    <xf numFmtId="43" fontId="0" fillId="11" borderId="2" xfId="9" quotePrefix="1" applyFont="1" applyFill="1" applyBorder="1" applyAlignment="1">
      <alignment horizontal="right"/>
    </xf>
    <xf numFmtId="170" fontId="0" fillId="11" borderId="2" xfId="9" quotePrefix="1" applyNumberFormat="1" applyFont="1" applyFill="1" applyBorder="1" applyAlignment="1">
      <alignment horizontal="right"/>
    </xf>
    <xf numFmtId="170" fontId="0" fillId="11" borderId="3" xfId="9" quotePrefix="1" applyNumberFormat="1" applyFont="1" applyFill="1" applyBorder="1" applyAlignment="1">
      <alignment horizontal="right"/>
    </xf>
    <xf numFmtId="14" fontId="4" fillId="9" borderId="3" xfId="0" applyNumberFormat="1" applyFont="1" applyFill="1" applyBorder="1" applyAlignment="1">
      <alignment horizontal="left" vertical="top"/>
    </xf>
    <xf numFmtId="0" fontId="13" fillId="14" borderId="12" xfId="0" applyFont="1" applyFill="1" applyBorder="1"/>
    <xf numFmtId="0" fontId="13" fillId="14" borderId="13" xfId="0" applyFont="1" applyFill="1" applyBorder="1"/>
    <xf numFmtId="0" fontId="13" fillId="14" borderId="7" xfId="0" applyFont="1" applyFill="1" applyBorder="1"/>
    <xf numFmtId="0" fontId="13" fillId="14" borderId="4" xfId="0" applyFont="1" applyFill="1" applyBorder="1" applyAlignment="1">
      <alignment horizontal="right"/>
    </xf>
    <xf numFmtId="0" fontId="9" fillId="14" borderId="0" xfId="0" applyFont="1" applyFill="1" applyAlignment="1">
      <alignment horizontal="left"/>
    </xf>
    <xf numFmtId="0" fontId="9" fillId="14" borderId="4" xfId="0" applyFont="1" applyFill="1" applyBorder="1" applyAlignment="1">
      <alignment horizontal="left"/>
    </xf>
    <xf numFmtId="0" fontId="13" fillId="14" borderId="4" xfId="0" applyFont="1" applyFill="1" applyBorder="1" applyAlignment="1">
      <alignment horizontal="left"/>
    </xf>
    <xf numFmtId="0" fontId="13" fillId="9" borderId="0" xfId="0" applyFont="1" applyFill="1" applyBorder="1"/>
    <xf numFmtId="0" fontId="0" fillId="2" borderId="0" xfId="0" applyFont="1"/>
    <xf numFmtId="0" fontId="0" fillId="2" borderId="0" xfId="0" applyFont="1" applyBorder="1"/>
    <xf numFmtId="0" fontId="13" fillId="14" borderId="0" xfId="0" applyFont="1" applyFill="1" applyBorder="1" applyAlignment="1">
      <alignment horizontal="left"/>
    </xf>
    <xf numFmtId="0" fontId="9" fillId="14" borderId="1" xfId="0" applyFont="1" applyFill="1" applyBorder="1"/>
    <xf numFmtId="0" fontId="9" fillId="14" borderId="1" xfId="0" applyFont="1" applyFill="1" applyBorder="1" applyAlignment="1">
      <alignment vertical="top"/>
    </xf>
    <xf numFmtId="0" fontId="9" fillId="14" borderId="6" xfId="0" applyFont="1" applyFill="1" applyBorder="1" applyAlignment="1">
      <alignment vertical="top"/>
    </xf>
    <xf numFmtId="0" fontId="13" fillId="14" borderId="1" xfId="0" applyFont="1" applyFill="1" applyBorder="1" applyAlignment="1">
      <alignment vertical="top"/>
    </xf>
    <xf numFmtId="0" fontId="13" fillId="14" borderId="4" xfId="0" applyFont="1" applyFill="1" applyBorder="1" applyAlignment="1">
      <alignment vertical="top"/>
    </xf>
    <xf numFmtId="2" fontId="4" fillId="9" borderId="6" xfId="0" applyNumberFormat="1" applyFont="1" applyFill="1" applyBorder="1" applyAlignment="1">
      <alignment horizontal="left" vertical="top"/>
    </xf>
    <xf numFmtId="2" fontId="4" fillId="9" borderId="2" xfId="0" applyNumberFormat="1" applyFont="1" applyFill="1" applyBorder="1" applyAlignment="1">
      <alignment horizontal="left" vertical="top"/>
    </xf>
    <xf numFmtId="1" fontId="4" fillId="9" borderId="2" xfId="0" applyNumberFormat="1" applyFont="1" applyFill="1" applyBorder="1" applyAlignment="1">
      <alignment horizontal="left" vertical="top"/>
    </xf>
    <xf numFmtId="0" fontId="21" fillId="9" borderId="2" xfId="0" applyFont="1" applyFill="1" applyBorder="1"/>
    <xf numFmtId="0" fontId="0" fillId="9" borderId="2" xfId="0" applyFont="1" applyFill="1" applyBorder="1"/>
    <xf numFmtId="0" fontId="0" fillId="9" borderId="6" xfId="0" applyFont="1" applyFill="1" applyBorder="1"/>
    <xf numFmtId="0" fontId="13" fillId="14" borderId="14" xfId="0" applyFont="1" applyFill="1" applyBorder="1"/>
    <xf numFmtId="0" fontId="4" fillId="9" borderId="7" xfId="0" applyNumberFormat="1" applyFont="1" applyFill="1" applyBorder="1" applyAlignment="1">
      <alignment horizontal="left" vertical="top"/>
    </xf>
    <xf numFmtId="0" fontId="2" fillId="9" borderId="0" xfId="0" applyFont="1" applyFill="1" applyBorder="1" applyProtection="1">
      <protection locked="0"/>
    </xf>
    <xf numFmtId="0" fontId="2" fillId="9" borderId="0" xfId="0" applyFont="1" applyFill="1" applyProtection="1">
      <protection locked="0"/>
    </xf>
    <xf numFmtId="0" fontId="3" fillId="9" borderId="0" xfId="0" applyFont="1" applyFill="1" applyBorder="1" applyProtection="1">
      <protection locked="0"/>
    </xf>
    <xf numFmtId="44" fontId="2" fillId="9" borderId="0" xfId="2" applyFont="1" applyFill="1" applyBorder="1" applyProtection="1">
      <protection locked="0"/>
    </xf>
    <xf numFmtId="0" fontId="13" fillId="14" borderId="4" xfId="0" applyFont="1" applyFill="1" applyBorder="1"/>
    <xf numFmtId="0" fontId="2" fillId="9" borderId="6" xfId="0" applyNumberFormat="1" applyFont="1" applyFill="1" applyBorder="1" applyProtection="1">
      <protection locked="0"/>
    </xf>
    <xf numFmtId="0" fontId="2" fillId="9" borderId="7" xfId="0" applyNumberFormat="1" applyFont="1" applyFill="1" applyBorder="1" applyProtection="1">
      <protection locked="0"/>
    </xf>
    <xf numFmtId="0" fontId="2" fillId="16" borderId="1" xfId="0" applyFont="1" applyFill="1" applyBorder="1" applyProtection="1">
      <protection locked="0"/>
    </xf>
    <xf numFmtId="0" fontId="2" fillId="9" borderId="0" xfId="0" applyFont="1" applyFill="1" applyProtection="1"/>
    <xf numFmtId="0" fontId="14" fillId="9" borderId="0" xfId="0" applyFont="1" applyFill="1" applyProtection="1"/>
    <xf numFmtId="167" fontId="0" fillId="9" borderId="11" xfId="0" applyNumberFormat="1" applyFill="1" applyBorder="1" applyProtection="1">
      <protection locked="0"/>
    </xf>
    <xf numFmtId="165" fontId="2" fillId="9" borderId="2" xfId="2" applyNumberFormat="1" applyFont="1" applyFill="1" applyBorder="1" applyProtection="1">
      <protection locked="0"/>
    </xf>
    <xf numFmtId="167" fontId="0" fillId="9" borderId="17" xfId="0" applyNumberFormat="1" applyFill="1" applyBorder="1" applyProtection="1">
      <protection locked="0"/>
    </xf>
    <xf numFmtId="165" fontId="2" fillId="9" borderId="18" xfId="2" applyNumberFormat="1" applyFont="1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3" xfId="0" applyFill="1" applyBorder="1" applyProtection="1">
      <protection locked="0"/>
    </xf>
    <xf numFmtId="0" fontId="2" fillId="9" borderId="4" xfId="0" applyNumberFormat="1" applyFont="1" applyFill="1" applyBorder="1" applyProtection="1">
      <protection locked="0"/>
    </xf>
    <xf numFmtId="0" fontId="2" fillId="9" borderId="2" xfId="0" applyNumberFormat="1" applyFont="1" applyFill="1" applyBorder="1" applyProtection="1">
      <protection locked="0"/>
    </xf>
    <xf numFmtId="0" fontId="2" fillId="9" borderId="3" xfId="0" applyNumberFormat="1" applyFont="1" applyFill="1" applyBorder="1" applyProtection="1">
      <protection locked="0"/>
    </xf>
    <xf numFmtId="0" fontId="2" fillId="9" borderId="2" xfId="0" applyFont="1" applyFill="1" applyBorder="1" applyProtection="1"/>
    <xf numFmtId="0" fontId="2" fillId="9" borderId="2" xfId="0" applyFont="1" applyFill="1" applyBorder="1" applyAlignment="1" applyProtection="1">
      <alignment wrapText="1"/>
    </xf>
    <xf numFmtId="0" fontId="13" fillId="14" borderId="0" xfId="0" applyFont="1" applyFill="1"/>
    <xf numFmtId="0" fontId="0" fillId="9" borderId="3" xfId="0" applyFill="1" applyBorder="1" applyAlignment="1">
      <alignment horizontal="left"/>
    </xf>
    <xf numFmtId="164" fontId="2" fillId="9" borderId="0" xfId="0" applyNumberFormat="1" applyFont="1" applyFill="1" applyBorder="1" applyProtection="1">
      <protection locked="0"/>
    </xf>
    <xf numFmtId="164" fontId="2" fillId="9" borderId="13" xfId="0" applyNumberFormat="1" applyFont="1" applyFill="1" applyBorder="1" applyProtection="1">
      <protection locked="0"/>
    </xf>
    <xf numFmtId="164" fontId="2" fillId="9" borderId="10" xfId="0" applyNumberFormat="1" applyFont="1" applyFill="1" applyBorder="1" applyProtection="1">
      <protection locked="0"/>
    </xf>
    <xf numFmtId="0" fontId="0" fillId="10" borderId="0" xfId="0" applyFill="1" applyBorder="1"/>
    <xf numFmtId="9" fontId="22" fillId="9" borderId="11" xfId="0" applyNumberFormat="1" applyFont="1" applyFill="1" applyBorder="1" applyProtection="1">
      <protection locked="0"/>
    </xf>
    <xf numFmtId="9" fontId="22" fillId="9" borderId="12" xfId="0" applyNumberFormat="1" applyFont="1" applyFill="1" applyBorder="1" applyProtection="1">
      <protection locked="0"/>
    </xf>
    <xf numFmtId="0" fontId="4" fillId="9" borderId="10" xfId="0" applyFont="1" applyFill="1" applyBorder="1" applyProtection="1">
      <protection locked="0"/>
    </xf>
    <xf numFmtId="0" fontId="4" fillId="9" borderId="0" xfId="0" applyFont="1" applyFill="1" applyBorder="1" applyProtection="1">
      <protection locked="0"/>
    </xf>
    <xf numFmtId="0" fontId="4" fillId="9" borderId="13" xfId="0" applyFont="1" applyFill="1" applyBorder="1" applyProtection="1">
      <protection locked="0"/>
    </xf>
    <xf numFmtId="0" fontId="0" fillId="11" borderId="0" xfId="0" applyFont="1" applyFill="1" applyBorder="1"/>
    <xf numFmtId="0" fontId="0" fillId="11" borderId="6" xfId="0" applyFont="1" applyFill="1" applyBorder="1"/>
    <xf numFmtId="0" fontId="0" fillId="11" borderId="11" xfId="0" applyFont="1" applyFill="1" applyBorder="1"/>
    <xf numFmtId="0" fontId="0" fillId="11" borderId="12" xfId="0" applyFont="1" applyFill="1" applyBorder="1"/>
    <xf numFmtId="0" fontId="0" fillId="11" borderId="13" xfId="0" applyFont="1" applyFill="1" applyBorder="1"/>
    <xf numFmtId="0" fontId="0" fillId="11" borderId="7" xfId="0" applyFont="1" applyFill="1" applyBorder="1"/>
    <xf numFmtId="0" fontId="0" fillId="11" borderId="9" xfId="0" applyFont="1" applyFill="1" applyBorder="1"/>
    <xf numFmtId="0" fontId="0" fillId="11" borderId="10" xfId="0" applyFont="1" applyFill="1" applyBorder="1"/>
    <xf numFmtId="0" fontId="0" fillId="11" borderId="5" xfId="0" applyFont="1" applyFill="1" applyBorder="1"/>
    <xf numFmtId="0" fontId="0" fillId="11" borderId="4" xfId="0" applyFont="1" applyFill="1" applyBorder="1"/>
    <xf numFmtId="0" fontId="0" fillId="11" borderId="2" xfId="0" applyFont="1" applyFill="1" applyBorder="1"/>
    <xf numFmtId="0" fontId="0" fillId="11" borderId="3" xfId="0" applyFont="1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0" xfId="0" applyFont="1" applyProtection="1">
      <protection locked="0"/>
    </xf>
    <xf numFmtId="0" fontId="0" fillId="9" borderId="4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0" fontId="0" fillId="9" borderId="3" xfId="0" applyFill="1" applyBorder="1" applyAlignment="1" applyProtection="1">
      <alignment horizontal="left"/>
      <protection locked="0"/>
    </xf>
    <xf numFmtId="0" fontId="0" fillId="9" borderId="1" xfId="0" applyFill="1" applyBorder="1" applyAlignment="1" applyProtection="1">
      <alignment horizontal="left"/>
      <protection locked="0"/>
    </xf>
    <xf numFmtId="0" fontId="13" fillId="14" borderId="1" xfId="0" applyFont="1" applyFill="1" applyBorder="1" applyAlignment="1">
      <alignment horizontal="left"/>
    </xf>
    <xf numFmtId="0" fontId="0" fillId="2" borderId="0" xfId="0" applyAlignment="1">
      <alignment horizontal="right"/>
    </xf>
    <xf numFmtId="0" fontId="0" fillId="2" borderId="14" xfId="0" applyFont="1" applyBorder="1"/>
    <xf numFmtId="0" fontId="0" fillId="11" borderId="3" xfId="0" applyFill="1" applyBorder="1" applyAlignment="1">
      <alignment horizontal="right"/>
    </xf>
    <xf numFmtId="0" fontId="2" fillId="9" borderId="4" xfId="0" applyFont="1" applyFill="1" applyBorder="1" applyAlignment="1" applyProtection="1">
      <alignment horizontal="center"/>
      <protection locked="0"/>
    </xf>
    <xf numFmtId="0" fontId="2" fillId="9" borderId="2" xfId="0" applyFont="1" applyFill="1" applyBorder="1" applyAlignment="1" applyProtection="1">
      <alignment horizontal="center"/>
      <protection locked="0"/>
    </xf>
    <xf numFmtId="0" fontId="2" fillId="9" borderId="3" xfId="0" applyFont="1" applyFill="1" applyBorder="1" applyAlignment="1" applyProtection="1">
      <alignment horizontal="center"/>
      <protection locked="0"/>
    </xf>
    <xf numFmtId="174" fontId="0" fillId="9" borderId="1" xfId="0" applyNumberFormat="1" applyFill="1" applyBorder="1"/>
    <xf numFmtId="0" fontId="13" fillId="14" borderId="2" xfId="0" applyFont="1" applyFill="1" applyBorder="1" applyAlignment="1">
      <alignment horizontal="left"/>
    </xf>
    <xf numFmtId="0" fontId="23" fillId="11" borderId="4" xfId="0" applyFont="1" applyFill="1" applyBorder="1" applyAlignment="1">
      <alignment horizontal="center"/>
    </xf>
    <xf numFmtId="0" fontId="23" fillId="11" borderId="3" xfId="0" applyFont="1" applyFill="1" applyBorder="1" applyAlignment="1">
      <alignment horizontal="center"/>
    </xf>
    <xf numFmtId="0" fontId="0" fillId="2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13" fillId="14" borderId="7" xfId="0" applyFont="1" applyFill="1" applyBorder="1" applyAlignment="1">
      <alignment horizontal="center"/>
    </xf>
    <xf numFmtId="0" fontId="0" fillId="11" borderId="9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12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2" fillId="9" borderId="5" xfId="0" applyNumberFormat="1" applyFont="1" applyFill="1" applyBorder="1" applyProtection="1">
      <protection locked="0"/>
    </xf>
    <xf numFmtId="0" fontId="2" fillId="17" borderId="0" xfId="0" applyFont="1" applyFill="1" applyProtection="1">
      <protection locked="0"/>
    </xf>
    <xf numFmtId="0" fontId="2" fillId="17" borderId="27" xfId="0" applyFont="1" applyFill="1" applyBorder="1" applyProtection="1">
      <protection locked="0"/>
    </xf>
    <xf numFmtId="0" fontId="2" fillId="14" borderId="0" xfId="0" applyFont="1" applyFill="1" applyProtection="1">
      <protection locked="0"/>
    </xf>
    <xf numFmtId="0" fontId="2" fillId="17" borderId="0" xfId="0" applyFont="1" applyFill="1" applyBorder="1" applyProtection="1">
      <protection locked="0"/>
    </xf>
    <xf numFmtId="0" fontId="2" fillId="14" borderId="0" xfId="0" applyNumberFormat="1" applyFont="1" applyFill="1" applyBorder="1" applyProtection="1">
      <protection locked="0"/>
    </xf>
    <xf numFmtId="0" fontId="11" fillId="10" borderId="0" xfId="0" applyFont="1" applyFill="1" applyBorder="1"/>
    <xf numFmtId="0" fontId="6" fillId="10" borderId="15" xfId="8" applyFont="1" applyFill="1" applyBorder="1">
      <alignment vertical="top"/>
    </xf>
    <xf numFmtId="165" fontId="2" fillId="9" borderId="2" xfId="2" applyNumberFormat="1" applyFont="1" applyFill="1" applyBorder="1" applyProtection="1">
      <protection locked="0"/>
    </xf>
    <xf numFmtId="0" fontId="0" fillId="10" borderId="0" xfId="0" applyFill="1" applyBorder="1"/>
    <xf numFmtId="172" fontId="2" fillId="9" borderId="4" xfId="0" applyNumberFormat="1" applyFont="1" applyFill="1" applyBorder="1" applyProtection="1">
      <protection locked="0"/>
    </xf>
    <xf numFmtId="172" fontId="2" fillId="9" borderId="2" xfId="0" applyNumberFormat="1" applyFont="1" applyFill="1" applyBorder="1" applyProtection="1">
      <protection locked="0"/>
    </xf>
    <xf numFmtId="172" fontId="2" fillId="9" borderId="3" xfId="0" applyNumberFormat="1" applyFont="1" applyFill="1" applyBorder="1" applyProtection="1">
      <protection locked="0"/>
    </xf>
    <xf numFmtId="0" fontId="2" fillId="9" borderId="9" xfId="0" applyNumberFormat="1" applyFont="1" applyFill="1" applyBorder="1" applyProtection="1">
      <protection locked="0"/>
    </xf>
    <xf numFmtId="0" fontId="2" fillId="9" borderId="11" xfId="0" applyNumberFormat="1" applyFont="1" applyFill="1" applyBorder="1" applyProtection="1">
      <protection locked="0"/>
    </xf>
    <xf numFmtId="0" fontId="2" fillId="9" borderId="12" xfId="0" applyNumberFormat="1" applyFont="1" applyFill="1" applyBorder="1" applyProtection="1">
      <protection locked="0"/>
    </xf>
    <xf numFmtId="0" fontId="2" fillId="9" borderId="5" xfId="0" applyNumberFormat="1" applyFont="1" applyFill="1" applyBorder="1" applyAlignment="1" applyProtection="1">
      <alignment horizontal="center"/>
      <protection locked="0"/>
    </xf>
    <xf numFmtId="0" fontId="2" fillId="9" borderId="6" xfId="0" applyNumberFormat="1" applyFont="1" applyFill="1" applyBorder="1" applyAlignment="1" applyProtection="1">
      <alignment horizontal="center"/>
      <protection locked="0"/>
    </xf>
    <xf numFmtId="0" fontId="2" fillId="9" borderId="7" xfId="0" applyNumberFormat="1" applyFont="1" applyFill="1" applyBorder="1" applyAlignment="1" applyProtection="1">
      <alignment horizontal="center"/>
      <protection locked="0"/>
    </xf>
    <xf numFmtId="0" fontId="2" fillId="14" borderId="0" xfId="0" applyFont="1" applyFill="1" applyBorder="1" applyProtection="1">
      <protection locked="0"/>
    </xf>
    <xf numFmtId="0" fontId="2" fillId="17" borderId="31" xfId="0" applyFont="1" applyFill="1" applyBorder="1" applyProtection="1">
      <protection locked="0"/>
    </xf>
    <xf numFmtId="0" fontId="13" fillId="14" borderId="0" xfId="0" applyFont="1" applyFill="1" applyBorder="1" applyProtection="1">
      <protection locked="0"/>
    </xf>
    <xf numFmtId="0" fontId="0" fillId="14" borderId="0" xfId="0" applyNumberFormat="1" applyFont="1" applyFill="1" applyBorder="1" applyAlignment="1" applyProtection="1">
      <alignment shrinkToFit="1"/>
      <protection locked="0"/>
    </xf>
    <xf numFmtId="0" fontId="12" fillId="14" borderId="0" xfId="7" applyFont="1" applyFill="1" applyBorder="1" applyAlignment="1" applyProtection="1">
      <alignment horizontal="center" vertical="top"/>
      <protection locked="0"/>
    </xf>
    <xf numFmtId="0" fontId="12" fillId="14" borderId="0" xfId="7" applyFont="1" applyFill="1" applyBorder="1" applyProtection="1">
      <alignment vertical="top"/>
      <protection locked="0"/>
    </xf>
    <xf numFmtId="0" fontId="2" fillId="14" borderId="0" xfId="0" applyFont="1" applyFill="1" applyBorder="1" applyAlignment="1" applyProtection="1">
      <protection locked="0"/>
    </xf>
    <xf numFmtId="0" fontId="3" fillId="14" borderId="0" xfId="0" applyFont="1" applyFill="1" applyBorder="1" applyProtection="1">
      <protection locked="0"/>
    </xf>
    <xf numFmtId="0" fontId="2" fillId="14" borderId="0" xfId="0" applyFont="1" applyFill="1" applyBorder="1" applyAlignment="1" applyProtection="1">
      <alignment horizontal="center"/>
      <protection locked="0"/>
    </xf>
    <xf numFmtId="0" fontId="2" fillId="14" borderId="0" xfId="0" applyFont="1" applyFill="1" applyProtection="1"/>
    <xf numFmtId="14" fontId="0" fillId="9" borderId="2" xfId="0" applyNumberFormat="1" applyFont="1" applyFill="1" applyBorder="1" applyProtection="1">
      <protection locked="0"/>
    </xf>
    <xf numFmtId="14" fontId="0" fillId="9" borderId="3" xfId="0" applyNumberFormat="1" applyFont="1" applyFill="1" applyBorder="1" applyProtection="1">
      <protection locked="0"/>
    </xf>
    <xf numFmtId="171" fontId="0" fillId="9" borderId="2" xfId="0" applyNumberFormat="1" applyFont="1" applyFill="1" applyBorder="1" applyProtection="1">
      <protection locked="0"/>
    </xf>
    <xf numFmtId="171" fontId="0" fillId="9" borderId="3" xfId="0" applyNumberFormat="1" applyFont="1" applyFill="1" applyBorder="1" applyProtection="1">
      <protection locked="0"/>
    </xf>
    <xf numFmtId="0" fontId="20" fillId="14" borderId="0" xfId="0" applyFont="1" applyFill="1" applyBorder="1" applyAlignment="1" applyProtection="1">
      <alignment vertical="center"/>
      <protection locked="0"/>
    </xf>
    <xf numFmtId="0" fontId="9" fillId="14" borderId="30" xfId="0" applyFont="1" applyFill="1" applyBorder="1" applyProtection="1">
      <protection locked="0"/>
    </xf>
    <xf numFmtId="0" fontId="0" fillId="14" borderId="0" xfId="0" applyFont="1" applyFill="1"/>
    <xf numFmtId="0" fontId="7" fillId="14" borderId="0" xfId="0" applyFont="1" applyFill="1"/>
    <xf numFmtId="0" fontId="0" fillId="14" borderId="0" xfId="0" applyFill="1"/>
    <xf numFmtId="0" fontId="0" fillId="14" borderId="0" xfId="0" applyNumberFormat="1" applyFill="1"/>
    <xf numFmtId="0" fontId="0" fillId="14" borderId="0" xfId="0" applyFill="1" applyAlignment="1">
      <alignment horizontal="left"/>
    </xf>
    <xf numFmtId="0" fontId="0" fillId="14" borderId="0" xfId="0" applyFill="1" applyBorder="1"/>
    <xf numFmtId="0" fontId="0" fillId="14" borderId="0" xfId="0" quotePrefix="1" applyFill="1" applyBorder="1" applyAlignment="1">
      <alignment horizontal="right"/>
    </xf>
    <xf numFmtId="0" fontId="3" fillId="14" borderId="0" xfId="0" applyFont="1" applyFill="1" applyBorder="1"/>
    <xf numFmtId="0" fontId="0" fillId="14" borderId="0" xfId="0" applyFill="1" applyBorder="1" applyAlignment="1">
      <alignment horizontal="right"/>
    </xf>
    <xf numFmtId="0" fontId="6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horizontal="left" vertical="top"/>
    </xf>
    <xf numFmtId="0" fontId="8" fillId="14" borderId="0" xfId="0" applyFont="1" applyFill="1"/>
    <xf numFmtId="0" fontId="3" fillId="14" borderId="0" xfId="8" applyFill="1" applyBorder="1" applyAlignment="1">
      <alignment horizontal="center" vertical="top"/>
    </xf>
    <xf numFmtId="0" fontId="9" fillId="4" borderId="36" xfId="1" applyBorder="1" applyAlignment="1">
      <alignment horizontal="center" vertical="center"/>
    </xf>
    <xf numFmtId="0" fontId="9" fillId="4" borderId="29" xfId="1" applyBorder="1" applyAlignment="1">
      <alignment horizontal="center" vertical="center"/>
    </xf>
    <xf numFmtId="0" fontId="11" fillId="10" borderId="13" xfId="0" applyFont="1" applyFill="1" applyBorder="1"/>
    <xf numFmtId="0" fontId="9" fillId="19" borderId="1" xfId="10"/>
    <xf numFmtId="0" fontId="9" fillId="19" borderId="1" xfId="10" applyAlignment="1">
      <alignment horizontal="center" vertical="center" wrapText="1"/>
    </xf>
    <xf numFmtId="0" fontId="9" fillId="19" borderId="1" xfId="10" applyAlignment="1">
      <alignment horizontal="center" vertical="top" wrapText="1"/>
    </xf>
    <xf numFmtId="0" fontId="9" fillId="19" borderId="1" xfId="10" applyAlignment="1">
      <alignment horizontal="center" vertical="center"/>
    </xf>
    <xf numFmtId="0" fontId="2" fillId="17" borderId="0" xfId="0" applyFont="1" applyFill="1" applyBorder="1" applyAlignment="1" applyProtection="1">
      <alignment horizontal="center" vertical="center"/>
      <protection locked="0"/>
    </xf>
    <xf numFmtId="0" fontId="9" fillId="19" borderId="1" xfId="10" applyAlignment="1">
      <alignment horizontal="center" vertical="top"/>
    </xf>
    <xf numFmtId="0" fontId="9" fillId="19" borderId="1" xfId="10" applyAlignment="1">
      <alignment horizontal="center"/>
    </xf>
    <xf numFmtId="0" fontId="2" fillId="9" borderId="41" xfId="0" applyFont="1" applyFill="1" applyBorder="1" applyAlignment="1" applyProtection="1">
      <alignment horizontal="center"/>
      <protection locked="0"/>
    </xf>
    <xf numFmtId="0" fontId="2" fillId="17" borderId="35" xfId="0" applyFont="1" applyFill="1" applyBorder="1" applyProtection="1">
      <protection locked="0"/>
    </xf>
    <xf numFmtId="0" fontId="9" fillId="19" borderId="4" xfId="11" applyBorder="1"/>
    <xf numFmtId="0" fontId="6" fillId="10" borderId="8" xfId="8" applyFont="1" applyFill="1" applyBorder="1">
      <alignment vertical="top"/>
    </xf>
    <xf numFmtId="0" fontId="6" fillId="10" borderId="5" xfId="8" applyFont="1" applyFill="1" applyBorder="1">
      <alignment vertical="top"/>
    </xf>
    <xf numFmtId="0" fontId="6" fillId="10" borderId="0" xfId="0" applyFont="1" applyFill="1" applyBorder="1" applyAlignment="1" applyProtection="1">
      <alignment vertical="top"/>
    </xf>
    <xf numFmtId="0" fontId="6" fillId="10" borderId="6" xfId="8" applyFont="1" applyFill="1" applyBorder="1">
      <alignment vertical="top"/>
    </xf>
    <xf numFmtId="0" fontId="6" fillId="10" borderId="7" xfId="8" applyFont="1" applyFill="1" applyBorder="1">
      <alignment vertical="top"/>
    </xf>
    <xf numFmtId="0" fontId="6" fillId="10" borderId="10" xfId="8" applyFont="1" applyFill="1" applyBorder="1">
      <alignment vertical="top"/>
    </xf>
    <xf numFmtId="0" fontId="6" fillId="10" borderId="0" xfId="8" applyFont="1" applyFill="1" applyBorder="1">
      <alignment vertical="top"/>
    </xf>
    <xf numFmtId="0" fontId="0" fillId="10" borderId="13" xfId="0" applyFill="1" applyBorder="1"/>
    <xf numFmtId="0" fontId="9" fillId="15" borderId="4" xfId="8" applyFont="1" applyFill="1" applyBorder="1">
      <alignment vertical="top"/>
    </xf>
    <xf numFmtId="0" fontId="9" fillId="15" borderId="2" xfId="8" applyFont="1" applyFill="1" applyBorder="1">
      <alignment vertical="top"/>
    </xf>
    <xf numFmtId="0" fontId="9" fillId="15" borderId="3" xfId="8" applyFont="1" applyFill="1" applyBorder="1">
      <alignment vertical="top"/>
    </xf>
    <xf numFmtId="0" fontId="9" fillId="20" borderId="2" xfId="8" applyFont="1" applyFill="1" applyBorder="1">
      <alignment vertical="top"/>
    </xf>
    <xf numFmtId="0" fontId="6" fillId="10" borderId="51" xfId="8" applyFont="1" applyFill="1" applyBorder="1">
      <alignment vertical="top"/>
    </xf>
    <xf numFmtId="0" fontId="6" fillId="10" borderId="55" xfId="8" applyFont="1" applyFill="1" applyBorder="1">
      <alignment vertical="top"/>
    </xf>
    <xf numFmtId="10" fontId="13" fillId="18" borderId="4" xfId="5" applyNumberFormat="1" applyFont="1" applyFill="1" applyBorder="1" applyProtection="1"/>
    <xf numFmtId="10" fontId="13" fillId="18" borderId="2" xfId="5" applyNumberFormat="1" applyFont="1" applyFill="1" applyBorder="1" applyProtection="1"/>
    <xf numFmtId="10" fontId="13" fillId="18" borderId="3" xfId="5" applyNumberFormat="1" applyFont="1" applyFill="1" applyBorder="1" applyProtection="1"/>
    <xf numFmtId="44" fontId="13" fillId="18" borderId="4" xfId="2" applyFont="1" applyFill="1" applyBorder="1" applyProtection="1"/>
    <xf numFmtId="44" fontId="13" fillId="18" borderId="2" xfId="2" applyFont="1" applyFill="1" applyBorder="1" applyProtection="1"/>
    <xf numFmtId="44" fontId="13" fillId="18" borderId="3" xfId="2" applyFont="1" applyFill="1" applyBorder="1" applyProtection="1"/>
    <xf numFmtId="7" fontId="13" fillId="18" borderId="9" xfId="0" applyNumberFormat="1" applyFont="1" applyFill="1" applyBorder="1" applyProtection="1"/>
    <xf numFmtId="0" fontId="13" fillId="18" borderId="4" xfId="0" applyNumberFormat="1" applyFont="1" applyFill="1" applyBorder="1" applyAlignment="1" applyProtection="1">
      <alignment horizontal="center"/>
    </xf>
    <xf numFmtId="7" fontId="13" fillId="18" borderId="11" xfId="0" applyNumberFormat="1" applyFont="1" applyFill="1" applyBorder="1" applyProtection="1"/>
    <xf numFmtId="0" fontId="13" fillId="18" borderId="2" xfId="0" applyNumberFormat="1" applyFont="1" applyFill="1" applyBorder="1" applyAlignment="1" applyProtection="1">
      <alignment horizontal="center"/>
    </xf>
    <xf numFmtId="7" fontId="13" fillId="18" borderId="12" xfId="0" applyNumberFormat="1" applyFont="1" applyFill="1" applyBorder="1" applyProtection="1"/>
    <xf numFmtId="0" fontId="13" fillId="18" borderId="3" xfId="0" applyNumberFormat="1" applyFont="1" applyFill="1" applyBorder="1" applyAlignment="1" applyProtection="1">
      <alignment horizontal="center"/>
    </xf>
    <xf numFmtId="170" fontId="13" fillId="18" borderId="9" xfId="0" applyNumberFormat="1" applyFont="1" applyFill="1" applyBorder="1" applyProtection="1"/>
    <xf numFmtId="170" fontId="13" fillId="18" borderId="11" xfId="0" applyNumberFormat="1" applyFont="1" applyFill="1" applyBorder="1" applyProtection="1"/>
    <xf numFmtId="170" fontId="13" fillId="18" borderId="12" xfId="0" applyNumberFormat="1" applyFont="1" applyFill="1" applyBorder="1" applyProtection="1"/>
    <xf numFmtId="173" fontId="13" fillId="18" borderId="9" xfId="0" applyNumberFormat="1" applyFont="1" applyFill="1" applyBorder="1" applyProtection="1"/>
    <xf numFmtId="4" fontId="13" fillId="18" borderId="4" xfId="0" applyNumberFormat="1" applyFont="1" applyFill="1" applyBorder="1" applyProtection="1"/>
    <xf numFmtId="172" fontId="13" fillId="18" borderId="10" xfId="5" applyNumberFormat="1" applyFont="1" applyFill="1" applyBorder="1" applyProtection="1"/>
    <xf numFmtId="173" fontId="13" fillId="18" borderId="4" xfId="0" applyNumberFormat="1" applyFont="1" applyFill="1" applyBorder="1" applyProtection="1"/>
    <xf numFmtId="172" fontId="13" fillId="18" borderId="5" xfId="5" applyNumberFormat="1" applyFont="1" applyFill="1" applyBorder="1" applyProtection="1"/>
    <xf numFmtId="172" fontId="13" fillId="18" borderId="4" xfId="5" applyNumberFormat="1" applyFont="1" applyFill="1" applyBorder="1" applyProtection="1"/>
    <xf numFmtId="0" fontId="13" fillId="18" borderId="11" xfId="0" applyFont="1" applyFill="1" applyBorder="1" applyProtection="1"/>
    <xf numFmtId="4" fontId="13" fillId="18" borderId="2" xfId="0" applyNumberFormat="1" applyFont="1" applyFill="1" applyBorder="1" applyProtection="1"/>
    <xf numFmtId="172" fontId="13" fillId="18" borderId="0" xfId="5" applyNumberFormat="1" applyFont="1" applyFill="1" applyBorder="1" applyProtection="1"/>
    <xf numFmtId="173" fontId="13" fillId="18" borderId="11" xfId="0" applyNumberFormat="1" applyFont="1" applyFill="1" applyBorder="1" applyProtection="1"/>
    <xf numFmtId="173" fontId="13" fillId="18" borderId="2" xfId="0" applyNumberFormat="1" applyFont="1" applyFill="1" applyBorder="1" applyProtection="1"/>
    <xf numFmtId="172" fontId="13" fillId="18" borderId="6" xfId="5" applyNumberFormat="1" applyFont="1" applyFill="1" applyBorder="1" applyProtection="1"/>
    <xf numFmtId="172" fontId="13" fillId="18" borderId="2" xfId="5" applyNumberFormat="1" applyFont="1" applyFill="1" applyBorder="1" applyProtection="1"/>
    <xf numFmtId="0" fontId="13" fillId="18" borderId="12" xfId="0" applyFont="1" applyFill="1" applyBorder="1" applyProtection="1"/>
    <xf numFmtId="4" fontId="13" fillId="18" borderId="3" xfId="0" applyNumberFormat="1" applyFont="1" applyFill="1" applyBorder="1" applyProtection="1"/>
    <xf numFmtId="172" fontId="13" fillId="18" borderId="13" xfId="5" applyNumberFormat="1" applyFont="1" applyFill="1" applyBorder="1" applyProtection="1"/>
    <xf numFmtId="173" fontId="13" fillId="18" borderId="12" xfId="0" applyNumberFormat="1" applyFont="1" applyFill="1" applyBorder="1" applyProtection="1"/>
    <xf numFmtId="173" fontId="13" fillId="18" borderId="3" xfId="0" applyNumberFormat="1" applyFont="1" applyFill="1" applyBorder="1" applyProtection="1"/>
    <xf numFmtId="172" fontId="13" fillId="18" borderId="7" xfId="5" applyNumberFormat="1" applyFont="1" applyFill="1" applyBorder="1" applyProtection="1"/>
    <xf numFmtId="172" fontId="13" fillId="18" borderId="3" xfId="5" applyNumberFormat="1" applyFont="1" applyFill="1" applyBorder="1" applyProtection="1"/>
    <xf numFmtId="0" fontId="13" fillId="18" borderId="7" xfId="0" applyFont="1" applyFill="1" applyBorder="1"/>
    <xf numFmtId="0" fontId="13" fillId="18" borderId="4" xfId="0" applyFont="1" applyFill="1" applyBorder="1" applyAlignment="1">
      <alignment horizontal="left"/>
    </xf>
    <xf numFmtId="0" fontId="13" fillId="18" borderId="2" xfId="0" applyFont="1" applyFill="1" applyBorder="1" applyAlignment="1">
      <alignment horizontal="left"/>
    </xf>
    <xf numFmtId="0" fontId="13" fillId="18" borderId="3" xfId="0" applyFont="1" applyFill="1" applyBorder="1" applyAlignment="1">
      <alignment horizontal="left"/>
    </xf>
    <xf numFmtId="14" fontId="13" fillId="18" borderId="52" xfId="0" applyNumberFormat="1" applyFont="1" applyFill="1" applyBorder="1" applyAlignment="1">
      <alignment horizontal="left"/>
    </xf>
    <xf numFmtId="14" fontId="13" fillId="18" borderId="53" xfId="0" applyNumberFormat="1" applyFont="1" applyFill="1" applyBorder="1" applyAlignment="1">
      <alignment horizontal="left"/>
    </xf>
    <xf numFmtId="0" fontId="13" fillId="18" borderId="54" xfId="0" applyNumberFormat="1" applyFont="1" applyFill="1" applyBorder="1" applyAlignment="1">
      <alignment horizontal="left"/>
    </xf>
    <xf numFmtId="0" fontId="13" fillId="18" borderId="56" xfId="0" applyNumberFormat="1" applyFont="1" applyFill="1" applyBorder="1" applyAlignment="1">
      <alignment horizontal="left"/>
    </xf>
    <xf numFmtId="169" fontId="13" fillId="18" borderId="4" xfId="9" quotePrefix="1" applyNumberFormat="1" applyFont="1" applyFill="1" applyBorder="1" applyAlignment="1" applyProtection="1">
      <alignment horizontal="left"/>
      <protection locked="0"/>
    </xf>
    <xf numFmtId="169" fontId="13" fillId="18" borderId="2" xfId="9" quotePrefix="1" applyNumberFormat="1" applyFont="1" applyFill="1" applyBorder="1" applyAlignment="1" applyProtection="1">
      <alignment horizontal="left"/>
      <protection locked="0"/>
    </xf>
    <xf numFmtId="0" fontId="13" fillId="18" borderId="3" xfId="9" applyNumberFormat="1" applyFont="1" applyFill="1" applyBorder="1" applyAlignment="1" applyProtection="1">
      <alignment horizontal="center"/>
      <protection locked="0"/>
    </xf>
    <xf numFmtId="172" fontId="13" fillId="18" borderId="1" xfId="0" quotePrefix="1" applyNumberFormat="1" applyFont="1" applyFill="1" applyBorder="1"/>
    <xf numFmtId="172" fontId="13" fillId="18" borderId="4" xfId="5" quotePrefix="1" applyNumberFormat="1" applyFont="1" applyFill="1" applyBorder="1"/>
    <xf numFmtId="168" fontId="13" fillId="18" borderId="2" xfId="5" quotePrefix="1" applyNumberFormat="1" applyFont="1" applyFill="1" applyBorder="1"/>
    <xf numFmtId="10" fontId="9" fillId="18" borderId="2" xfId="5" quotePrefix="1" applyNumberFormat="1" applyFont="1" applyFill="1" applyBorder="1"/>
    <xf numFmtId="4" fontId="13" fillId="18" borderId="2" xfId="5" quotePrefix="1" applyNumberFormat="1" applyFont="1" applyFill="1" applyBorder="1"/>
    <xf numFmtId="43" fontId="13" fillId="18" borderId="2" xfId="9" quotePrefix="1" applyFont="1" applyFill="1" applyBorder="1"/>
    <xf numFmtId="43" fontId="13" fillId="18" borderId="3" xfId="9" quotePrefix="1" applyFont="1" applyFill="1" applyBorder="1"/>
    <xf numFmtId="43" fontId="13" fillId="18" borderId="4" xfId="9" quotePrefix="1" applyFont="1" applyFill="1" applyBorder="1"/>
    <xf numFmtId="9" fontId="9" fillId="18" borderId="2" xfId="9" quotePrefix="1" applyNumberFormat="1" applyFont="1" applyFill="1" applyBorder="1" applyAlignment="1" applyProtection="1">
      <alignment horizontal="right"/>
      <protection locked="0"/>
    </xf>
    <xf numFmtId="4" fontId="13" fillId="18" borderId="2" xfId="9" quotePrefix="1" applyNumberFormat="1" applyFont="1" applyFill="1" applyBorder="1" applyAlignment="1">
      <alignment horizontal="right"/>
    </xf>
    <xf numFmtId="172" fontId="13" fillId="18" borderId="2" xfId="9" quotePrefix="1" applyNumberFormat="1" applyFont="1" applyFill="1" applyBorder="1" applyAlignment="1">
      <alignment horizontal="right"/>
    </xf>
    <xf numFmtId="172" fontId="13" fillId="18" borderId="3" xfId="9" quotePrefix="1" applyNumberFormat="1" applyFont="1" applyFill="1" applyBorder="1" applyAlignment="1">
      <alignment horizontal="right"/>
    </xf>
    <xf numFmtId="44" fontId="13" fillId="18" borderId="2" xfId="2" applyFont="1" applyFill="1" applyBorder="1" applyAlignment="1">
      <alignment horizontal="left"/>
    </xf>
    <xf numFmtId="10" fontId="13" fillId="18" borderId="2" xfId="5" applyNumberFormat="1" applyFont="1" applyFill="1" applyBorder="1" applyAlignment="1">
      <alignment horizontal="left"/>
    </xf>
    <xf numFmtId="168" fontId="13" fillId="18" borderId="2" xfId="5" applyNumberFormat="1" applyFont="1" applyFill="1" applyBorder="1" applyAlignment="1">
      <alignment horizontal="left"/>
    </xf>
    <xf numFmtId="10" fontId="13" fillId="21" borderId="2" xfId="5" applyNumberFormat="1" applyFont="1" applyFill="1" applyBorder="1" applyAlignment="1">
      <alignment horizontal="left"/>
    </xf>
    <xf numFmtId="44" fontId="13" fillId="18" borderId="21" xfId="2" applyFont="1" applyFill="1" applyBorder="1"/>
    <xf numFmtId="14" fontId="13" fillId="18" borderId="19" xfId="2" applyNumberFormat="1" applyFont="1" applyFill="1" applyBorder="1"/>
    <xf numFmtId="44" fontId="13" fillId="18" borderId="22" xfId="2" applyFont="1" applyFill="1" applyBorder="1"/>
    <xf numFmtId="14" fontId="13" fillId="18" borderId="20" xfId="2" applyNumberFormat="1" applyFont="1" applyFill="1" applyBorder="1"/>
    <xf numFmtId="166" fontId="0" fillId="9" borderId="11" xfId="0" applyNumberFormat="1" applyFill="1" applyBorder="1" applyProtection="1">
      <protection locked="0"/>
    </xf>
    <xf numFmtId="0" fontId="15" fillId="15" borderId="62" xfId="8" applyFont="1" applyFill="1" applyBorder="1">
      <alignment vertical="top"/>
    </xf>
    <xf numFmtId="0" fontId="25" fillId="15" borderId="62" xfId="8" applyFont="1" applyFill="1" applyBorder="1" applyAlignment="1">
      <alignment vertical="top"/>
    </xf>
    <xf numFmtId="0" fontId="25" fillId="15" borderId="62" xfId="8" applyFont="1" applyFill="1" applyBorder="1">
      <alignment vertical="top"/>
    </xf>
    <xf numFmtId="0" fontId="9" fillId="19" borderId="61" xfId="10" applyBorder="1" applyAlignment="1">
      <alignment horizontal="center"/>
    </xf>
    <xf numFmtId="0" fontId="13" fillId="18" borderId="10" xfId="0" applyFont="1" applyFill="1" applyBorder="1"/>
    <xf numFmtId="14" fontId="13" fillId="18" borderId="9" xfId="0" applyNumberFormat="1" applyFont="1" applyFill="1" applyBorder="1"/>
    <xf numFmtId="0" fontId="13" fillId="18" borderId="13" xfId="0" applyFont="1" applyFill="1" applyBorder="1"/>
    <xf numFmtId="0" fontId="13" fillId="18" borderId="5" xfId="0" applyFont="1" applyFill="1" applyBorder="1"/>
    <xf numFmtId="14" fontId="13" fillId="18" borderId="11" xfId="0" applyNumberFormat="1" applyFont="1" applyFill="1" applyBorder="1"/>
    <xf numFmtId="0" fontId="13" fillId="18" borderId="0" xfId="0" applyFont="1" applyFill="1" applyBorder="1"/>
    <xf numFmtId="0" fontId="13" fillId="18" borderId="6" xfId="0" applyFont="1" applyFill="1" applyBorder="1"/>
    <xf numFmtId="0" fontId="13" fillId="18" borderId="11" xfId="0" applyFont="1" applyFill="1" applyBorder="1"/>
    <xf numFmtId="0" fontId="13" fillId="18" borderId="12" xfId="0" applyFont="1" applyFill="1" applyBorder="1"/>
    <xf numFmtId="0" fontId="9" fillId="15" borderId="44" xfId="11" applyFill="1" applyBorder="1" applyAlignment="1">
      <alignment horizontal="left"/>
    </xf>
    <xf numFmtId="0" fontId="9" fillId="15" borderId="45" xfId="11" applyFill="1" applyBorder="1" applyAlignment="1">
      <alignment horizontal="left"/>
    </xf>
    <xf numFmtId="0" fontId="9" fillId="15" borderId="46" xfId="11" applyFill="1" applyBorder="1" applyAlignment="1">
      <alignment horizontal="left"/>
    </xf>
    <xf numFmtId="0" fontId="9" fillId="15" borderId="47" xfId="11" applyFill="1" applyBorder="1" applyAlignment="1">
      <alignment horizontal="left"/>
    </xf>
    <xf numFmtId="0" fontId="9" fillId="15" borderId="48" xfId="11" applyFill="1" applyBorder="1" applyAlignment="1">
      <alignment horizontal="left"/>
    </xf>
    <xf numFmtId="0" fontId="9" fillId="15" borderId="49" xfId="11" applyFill="1" applyBorder="1" applyAlignment="1">
      <alignment horizontal="left"/>
    </xf>
    <xf numFmtId="0" fontId="9" fillId="15" borderId="50" xfId="11" applyFill="1" applyBorder="1" applyAlignment="1">
      <alignment horizontal="left"/>
    </xf>
    <xf numFmtId="0" fontId="9" fillId="19" borderId="8" xfId="10" applyBorder="1" applyAlignment="1">
      <alignment vertical="top"/>
    </xf>
    <xf numFmtId="0" fontId="9" fillId="14" borderId="4" xfId="7" applyFont="1" applyFill="1" applyBorder="1" applyAlignment="1" applyProtection="1">
      <alignment horizontal="center" vertical="center"/>
      <protection locked="0"/>
    </xf>
    <xf numFmtId="0" fontId="24" fillId="14" borderId="57" xfId="0" applyFont="1" applyFill="1" applyBorder="1" applyAlignment="1" applyProtection="1">
      <alignment horizontal="center" vertical="center"/>
      <protection locked="0"/>
    </xf>
    <xf numFmtId="0" fontId="9" fillId="19" borderId="43" xfId="10" applyBorder="1" applyAlignment="1">
      <alignment horizontal="center"/>
    </xf>
    <xf numFmtId="172" fontId="27" fillId="14" borderId="0" xfId="0" applyNumberFormat="1" applyFont="1" applyFill="1" applyProtection="1">
      <protection locked="0"/>
    </xf>
    <xf numFmtId="0" fontId="3" fillId="14" borderId="0" xfId="8" applyFill="1" applyBorder="1" applyAlignment="1">
      <alignment horizontal="left" vertical="top"/>
    </xf>
    <xf numFmtId="0" fontId="3" fillId="14" borderId="0" xfId="8" applyFill="1" applyBorder="1">
      <alignment vertical="top"/>
    </xf>
    <xf numFmtId="0" fontId="4" fillId="14" borderId="0" xfId="0" quotePrefix="1" applyFont="1" applyFill="1" applyBorder="1" applyAlignment="1">
      <alignment horizontal="left"/>
    </xf>
    <xf numFmtId="0" fontId="0" fillId="14" borderId="0" xfId="0" quotePrefix="1" applyFill="1" applyBorder="1"/>
    <xf numFmtId="0" fontId="9" fillId="15" borderId="4" xfId="11" applyFill="1" applyBorder="1" applyAlignment="1">
      <alignment horizontal="left"/>
    </xf>
    <xf numFmtId="0" fontId="9" fillId="15" borderId="2" xfId="11" applyFill="1" applyBorder="1" applyAlignment="1">
      <alignment horizontal="left"/>
    </xf>
    <xf numFmtId="0" fontId="9" fillId="15" borderId="3" xfId="11" applyFill="1" applyBorder="1" applyAlignment="1">
      <alignment horizontal="left"/>
    </xf>
    <xf numFmtId="0" fontId="9" fillId="15" borderId="1" xfId="11" applyFill="1" applyBorder="1" applyAlignment="1">
      <alignment horizontal="left"/>
    </xf>
    <xf numFmtId="0" fontId="9" fillId="15" borderId="67" xfId="11" applyFill="1" applyBorder="1" applyAlignment="1">
      <alignment horizontal="left"/>
    </xf>
    <xf numFmtId="0" fontId="9" fillId="19" borderId="1" xfId="11" applyBorder="1" applyAlignment="1">
      <alignment horizontal="center" vertical="center"/>
    </xf>
    <xf numFmtId="0" fontId="9" fillId="19" borderId="1" xfId="10" applyBorder="1" applyAlignment="1">
      <alignment horizontal="center" vertical="center"/>
    </xf>
    <xf numFmtId="14" fontId="0" fillId="9" borderId="4" xfId="0" applyNumberFormat="1" applyFill="1" applyBorder="1" applyProtection="1">
      <protection locked="0"/>
    </xf>
    <xf numFmtId="174" fontId="0" fillId="14" borderId="0" xfId="0" applyNumberFormat="1" applyFill="1" applyBorder="1"/>
    <xf numFmtId="0" fontId="9" fillId="22" borderId="4" xfId="10" applyFill="1" applyBorder="1"/>
    <xf numFmtId="0" fontId="9" fillId="15" borderId="2" xfId="0" applyFont="1" applyFill="1" applyBorder="1" applyAlignment="1">
      <alignment horizontal="left"/>
    </xf>
    <xf numFmtId="0" fontId="0" fillId="14" borderId="0" xfId="0" applyFill="1" applyAlignment="1">
      <alignment vertical="top"/>
    </xf>
    <xf numFmtId="0" fontId="22" fillId="14" borderId="0" xfId="0" applyFont="1" applyFill="1" applyAlignment="1">
      <alignment horizontal="right" vertical="top"/>
    </xf>
    <xf numFmtId="0" fontId="13" fillId="14" borderId="0" xfId="0" applyFont="1" applyFill="1" applyAlignment="1">
      <alignment vertical="top"/>
    </xf>
    <xf numFmtId="0" fontId="11" fillId="9" borderId="0" xfId="0" applyFont="1" applyFill="1" applyBorder="1" applyAlignment="1">
      <alignment vertical="top"/>
    </xf>
    <xf numFmtId="0" fontId="0" fillId="9" borderId="0" xfId="0" applyFont="1" applyFill="1" applyBorder="1" applyAlignment="1">
      <alignment vertical="top"/>
    </xf>
    <xf numFmtId="0" fontId="11" fillId="9" borderId="2" xfId="0" applyFont="1" applyFill="1" applyBorder="1" applyAlignment="1">
      <alignment horizontal="center" vertical="top"/>
    </xf>
    <xf numFmtId="0" fontId="0" fillId="9" borderId="2" xfId="0" applyFont="1" applyFill="1" applyBorder="1" applyAlignment="1">
      <alignment horizontal="center" vertical="top"/>
    </xf>
    <xf numFmtId="0" fontId="9" fillId="14" borderId="1" xfId="10" applyFill="1"/>
    <xf numFmtId="0" fontId="4" fillId="23" borderId="0" xfId="0" applyFont="1" applyFill="1" applyBorder="1" applyAlignment="1">
      <alignment vertical="top"/>
    </xf>
    <xf numFmtId="0" fontId="13" fillId="23" borderId="69" xfId="0" applyFont="1" applyFill="1" applyBorder="1" applyAlignment="1">
      <alignment vertical="top" wrapText="1"/>
    </xf>
    <xf numFmtId="0" fontId="13" fillId="23" borderId="0" xfId="0" applyFont="1" applyFill="1" applyBorder="1" applyAlignment="1">
      <alignment vertical="top"/>
    </xf>
    <xf numFmtId="0" fontId="9" fillId="19" borderId="15" xfId="11" applyBorder="1"/>
    <xf numFmtId="0" fontId="9" fillId="19" borderId="8" xfId="11" applyBorder="1"/>
    <xf numFmtId="0" fontId="9" fillId="19" borderId="15" xfId="11" applyBorder="1" applyAlignment="1">
      <alignment wrapText="1"/>
    </xf>
    <xf numFmtId="0" fontId="9" fillId="19" borderId="1" xfId="11" applyFont="1" applyBorder="1" applyAlignment="1">
      <alignment horizontal="center"/>
    </xf>
    <xf numFmtId="0" fontId="9" fillId="19" borderId="1" xfId="11" applyBorder="1" applyAlignment="1">
      <alignment horizontal="center" vertical="top"/>
    </xf>
    <xf numFmtId="0" fontId="26" fillId="4" borderId="66" xfId="12" applyBorder="1" applyProtection="1">
      <alignment horizontal="center" vertical="center"/>
      <protection locked="0"/>
    </xf>
    <xf numFmtId="0" fontId="4" fillId="9" borderId="6" xfId="0" applyNumberFormat="1" applyFont="1" applyFill="1" applyBorder="1" applyAlignment="1">
      <alignment horizontal="left" vertical="top"/>
    </xf>
    <xf numFmtId="0" fontId="31" fillId="17" borderId="0" xfId="0" applyFont="1" applyFill="1" applyBorder="1" applyProtection="1">
      <protection locked="0"/>
    </xf>
    <xf numFmtId="175" fontId="31" fillId="17" borderId="0" xfId="0" applyNumberFormat="1" applyFont="1" applyFill="1" applyBorder="1" applyProtection="1">
      <protection locked="0"/>
    </xf>
    <xf numFmtId="7" fontId="31" fillId="17" borderId="0" xfId="0" applyNumberFormat="1" applyFont="1" applyFill="1" applyBorder="1" applyProtection="1">
      <protection locked="0"/>
    </xf>
    <xf numFmtId="0" fontId="9" fillId="19" borderId="4" xfId="10" applyBorder="1" applyAlignment="1">
      <alignment horizontal="center" vertical="top"/>
    </xf>
    <xf numFmtId="0" fontId="6" fillId="9" borderId="1" xfId="0" applyFont="1" applyFill="1" applyBorder="1" applyAlignment="1">
      <alignment vertical="top"/>
    </xf>
    <xf numFmtId="0" fontId="4" fillId="9" borderId="8" xfId="0" applyNumberFormat="1" applyFont="1" applyFill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/>
    </xf>
    <xf numFmtId="0" fontId="0" fillId="11" borderId="2" xfId="0" applyFill="1" applyBorder="1" applyAlignment="1">
      <alignment horizontal="center"/>
    </xf>
    <xf numFmtId="176" fontId="9" fillId="19" borderId="3" xfId="10" applyNumberFormat="1" applyBorder="1" applyAlignment="1">
      <alignment horizontal="center" vertical="center"/>
    </xf>
    <xf numFmtId="176" fontId="11" fillId="9" borderId="2" xfId="0" applyNumberFormat="1" applyFont="1" applyFill="1" applyBorder="1" applyAlignment="1">
      <alignment horizontal="center" vertical="top"/>
    </xf>
    <xf numFmtId="176" fontId="9" fillId="19" borderId="1" xfId="11" applyNumberFormat="1" applyFont="1" applyBorder="1" applyAlignment="1">
      <alignment horizontal="center"/>
    </xf>
    <xf numFmtId="176" fontId="9" fillId="19" borderId="1" xfId="11" applyNumberFormat="1" applyBorder="1" applyAlignment="1">
      <alignment horizontal="center" vertical="top"/>
    </xf>
    <xf numFmtId="176" fontId="0" fillId="9" borderId="2" xfId="0" applyNumberFormat="1" applyFont="1" applyFill="1" applyBorder="1" applyAlignment="1">
      <alignment horizontal="center" vertical="top"/>
    </xf>
    <xf numFmtId="0" fontId="9" fillId="19" borderId="13" xfId="10" applyBorder="1" applyAlignment="1">
      <alignment horizontal="left"/>
    </xf>
    <xf numFmtId="0" fontId="9" fillId="19" borderId="15" xfId="11" applyFont="1" applyBorder="1" applyAlignment="1">
      <alignment horizontal="left"/>
    </xf>
    <xf numFmtId="0" fontId="9" fillId="14" borderId="4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171" fontId="0" fillId="9" borderId="4" xfId="0" applyNumberFormat="1" applyFont="1" applyFill="1" applyBorder="1" applyProtection="1">
      <protection locked="0"/>
    </xf>
    <xf numFmtId="0" fontId="26" fillId="4" borderId="16" xfId="12" applyProtection="1">
      <alignment horizontal="center" vertical="center"/>
      <protection locked="0"/>
    </xf>
    <xf numFmtId="0" fontId="9" fillId="4" borderId="70" xfId="1" applyBorder="1" applyAlignment="1">
      <alignment horizontal="center"/>
    </xf>
    <xf numFmtId="0" fontId="0" fillId="9" borderId="4" xfId="0" applyNumberFormat="1" applyFill="1" applyBorder="1" applyProtection="1">
      <protection locked="0"/>
    </xf>
    <xf numFmtId="164" fontId="0" fillId="9" borderId="10" xfId="5" applyNumberFormat="1" applyFont="1" applyFill="1" applyBorder="1" applyProtection="1">
      <protection locked="0"/>
    </xf>
    <xf numFmtId="164" fontId="0" fillId="9" borderId="0" xfId="5" applyNumberFormat="1" applyFont="1" applyFill="1" applyBorder="1" applyProtection="1">
      <protection locked="0"/>
    </xf>
    <xf numFmtId="164" fontId="0" fillId="9" borderId="13" xfId="5" applyNumberFormat="1" applyFont="1" applyFill="1" applyBorder="1" applyProtection="1">
      <protection locked="0"/>
    </xf>
    <xf numFmtId="172" fontId="0" fillId="9" borderId="5" xfId="0" applyNumberFormat="1" applyFont="1" applyFill="1" applyBorder="1" applyProtection="1">
      <protection locked="0"/>
    </xf>
    <xf numFmtId="172" fontId="0" fillId="9" borderId="6" xfId="0" applyNumberFormat="1" applyFont="1" applyFill="1" applyBorder="1" applyProtection="1">
      <protection locked="0"/>
    </xf>
    <xf numFmtId="172" fontId="0" fillId="9" borderId="7" xfId="0" applyNumberFormat="1" applyFont="1" applyFill="1" applyBorder="1" applyProtection="1">
      <protection locked="0"/>
    </xf>
    <xf numFmtId="0" fontId="0" fillId="14" borderId="0" xfId="0" applyFill="1" applyAlignment="1">
      <alignment horizontal="center"/>
    </xf>
    <xf numFmtId="0" fontId="7" fillId="14" borderId="0" xfId="0" applyFont="1" applyFill="1" applyAlignment="1">
      <alignment horizontal="center"/>
    </xf>
    <xf numFmtId="0" fontId="13" fillId="18" borderId="10" xfId="0" applyNumberFormat="1" applyFont="1" applyFill="1" applyBorder="1" applyAlignment="1">
      <alignment horizontal="center"/>
    </xf>
    <xf numFmtId="0" fontId="13" fillId="18" borderId="0" xfId="0" applyNumberFormat="1" applyFont="1" applyFill="1" applyBorder="1" applyAlignment="1">
      <alignment horizontal="center"/>
    </xf>
    <xf numFmtId="0" fontId="13" fillId="18" borderId="13" xfId="0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3" fillId="18" borderId="10" xfId="0" applyFont="1" applyFill="1" applyBorder="1" applyAlignment="1">
      <alignment horizontal="center"/>
    </xf>
    <xf numFmtId="0" fontId="13" fillId="18" borderId="0" xfId="0" applyFont="1" applyFill="1" applyBorder="1" applyAlignment="1">
      <alignment horizontal="center"/>
    </xf>
    <xf numFmtId="0" fontId="13" fillId="18" borderId="13" xfId="0" applyFont="1" applyFill="1" applyBorder="1" applyAlignment="1">
      <alignment horizontal="center"/>
    </xf>
    <xf numFmtId="0" fontId="9" fillId="19" borderId="13" xfId="10" applyBorder="1" applyAlignment="1">
      <alignment horizontal="left" vertical="center"/>
    </xf>
    <xf numFmtId="0" fontId="32" fillId="14" borderId="34" xfId="0" applyFont="1" applyFill="1" applyBorder="1" applyAlignment="1" applyProtection="1">
      <alignment vertical="center"/>
      <protection locked="0"/>
    </xf>
    <xf numFmtId="0" fontId="32" fillId="14" borderId="29" xfId="0" applyFont="1" applyFill="1" applyBorder="1" applyAlignment="1" applyProtection="1">
      <alignment vertical="center"/>
      <protection locked="0"/>
    </xf>
    <xf numFmtId="0" fontId="32" fillId="14" borderId="35" xfId="0" applyFont="1" applyFill="1" applyBorder="1" applyAlignment="1" applyProtection="1">
      <alignment vertical="center"/>
      <protection locked="0"/>
    </xf>
    <xf numFmtId="0" fontId="33" fillId="14" borderId="35" xfId="0" applyFont="1" applyFill="1" applyBorder="1" applyAlignment="1" applyProtection="1">
      <alignment vertical="center"/>
      <protection locked="0"/>
    </xf>
    <xf numFmtId="0" fontId="33" fillId="14" borderId="31" xfId="0" applyFont="1" applyFill="1" applyBorder="1" applyAlignment="1" applyProtection="1">
      <alignment vertical="center"/>
      <protection locked="0"/>
    </xf>
    <xf numFmtId="0" fontId="32" fillId="14" borderId="29" xfId="0" applyFont="1" applyFill="1" applyBorder="1" applyAlignment="1">
      <alignment horizontal="center" vertical="center"/>
    </xf>
    <xf numFmtId="14" fontId="0" fillId="9" borderId="2" xfId="0" applyNumberFormat="1" applyFill="1" applyBorder="1" applyProtection="1">
      <protection locked="0"/>
    </xf>
    <xf numFmtId="14" fontId="0" fillId="9" borderId="9" xfId="0" applyNumberFormat="1" applyFill="1" applyBorder="1" applyProtection="1">
      <protection locked="0"/>
    </xf>
    <xf numFmtId="14" fontId="0" fillId="9" borderId="11" xfId="0" applyNumberFormat="1" applyFill="1" applyBorder="1" applyProtection="1">
      <protection locked="0"/>
    </xf>
    <xf numFmtId="14" fontId="0" fillId="9" borderId="11" xfId="0" applyNumberFormat="1" applyFont="1" applyFill="1" applyBorder="1" applyProtection="1">
      <protection locked="0"/>
    </xf>
    <xf numFmtId="14" fontId="0" fillId="9" borderId="12" xfId="0" applyNumberFormat="1" applyFont="1" applyFill="1" applyBorder="1" applyProtection="1">
      <protection locked="0"/>
    </xf>
    <xf numFmtId="7" fontId="0" fillId="9" borderId="9" xfId="0" applyNumberFormat="1" applyFill="1" applyBorder="1" applyProtection="1">
      <protection locked="0"/>
    </xf>
    <xf numFmtId="7" fontId="0" fillId="9" borderId="11" xfId="0" applyNumberFormat="1" applyFill="1" applyBorder="1" applyProtection="1">
      <protection locked="0"/>
    </xf>
    <xf numFmtId="7" fontId="0" fillId="9" borderId="11" xfId="0" applyNumberFormat="1" applyFont="1" applyFill="1" applyBorder="1" applyProtection="1">
      <protection locked="0"/>
    </xf>
    <xf numFmtId="7" fontId="0" fillId="9" borderId="12" xfId="0" applyNumberFormat="1" applyFont="1" applyFill="1" applyBorder="1" applyProtection="1">
      <protection locked="0"/>
    </xf>
    <xf numFmtId="0" fontId="0" fillId="9" borderId="2" xfId="0" applyNumberFormat="1" applyFill="1" applyBorder="1" applyProtection="1">
      <protection locked="0"/>
    </xf>
    <xf numFmtId="0" fontId="0" fillId="9" borderId="9" xfId="0" applyNumberFormat="1" applyFill="1" applyBorder="1" applyProtection="1">
      <protection locked="0"/>
    </xf>
    <xf numFmtId="0" fontId="0" fillId="9" borderId="11" xfId="0" applyNumberFormat="1" applyFill="1" applyBorder="1" applyProtection="1">
      <protection locked="0"/>
    </xf>
    <xf numFmtId="0" fontId="0" fillId="9" borderId="11" xfId="0" applyNumberFormat="1" applyFont="1" applyFill="1" applyBorder="1" applyProtection="1">
      <protection locked="0"/>
    </xf>
    <xf numFmtId="0" fontId="0" fillId="9" borderId="12" xfId="0" applyNumberFormat="1" applyFont="1" applyFill="1" applyBorder="1" applyProtection="1">
      <protection locked="0"/>
    </xf>
    <xf numFmtId="14" fontId="2" fillId="9" borderId="9" xfId="0" applyNumberFormat="1" applyFont="1" applyFill="1" applyBorder="1" applyProtection="1">
      <protection locked="0"/>
    </xf>
    <xf numFmtId="14" fontId="2" fillId="9" borderId="11" xfId="0" applyNumberFormat="1" applyFont="1" applyFill="1" applyBorder="1" applyProtection="1">
      <protection locked="0"/>
    </xf>
    <xf numFmtId="14" fontId="2" fillId="9" borderId="12" xfId="0" applyNumberFormat="1" applyFont="1" applyFill="1" applyBorder="1" applyProtection="1">
      <protection locked="0"/>
    </xf>
    <xf numFmtId="7" fontId="2" fillId="9" borderId="9" xfId="0" applyNumberFormat="1" applyFont="1" applyFill="1" applyBorder="1" applyProtection="1">
      <protection locked="0"/>
    </xf>
    <xf numFmtId="7" fontId="2" fillId="9" borderId="11" xfId="0" applyNumberFormat="1" applyFont="1" applyFill="1" applyBorder="1" applyProtection="1">
      <protection locked="0"/>
    </xf>
    <xf numFmtId="7" fontId="2" fillId="9" borderId="12" xfId="0" applyNumberFormat="1" applyFont="1" applyFill="1" applyBorder="1" applyProtection="1">
      <protection locked="0"/>
    </xf>
    <xf numFmtId="0" fontId="0" fillId="0" borderId="0" xfId="0" applyFont="1" applyFill="1" applyBorder="1"/>
    <xf numFmtId="0" fontId="13" fillId="14" borderId="9" xfId="0" applyFont="1" applyFill="1" applyBorder="1"/>
    <xf numFmtId="0" fontId="0" fillId="0" borderId="23" xfId="0" applyFont="1" applyFill="1" applyBorder="1"/>
    <xf numFmtId="0" fontId="0" fillId="0" borderId="24" xfId="0" applyFont="1" applyFill="1" applyBorder="1"/>
    <xf numFmtId="0" fontId="0" fillId="0" borderId="25" xfId="0" applyFont="1" applyFill="1" applyBorder="1"/>
    <xf numFmtId="0" fontId="9" fillId="19" borderId="3" xfId="10" applyBorder="1" applyAlignment="1">
      <alignment horizontal="center" vertical="center"/>
    </xf>
    <xf numFmtId="0" fontId="9" fillId="19" borderId="7" xfId="10" applyBorder="1" applyAlignment="1">
      <alignment horizontal="center" vertical="center"/>
    </xf>
    <xf numFmtId="0" fontId="20" fillId="13" borderId="0" xfId="0" applyFont="1" applyFill="1" applyAlignment="1">
      <alignment horizontal="left"/>
    </xf>
    <xf numFmtId="0" fontId="6" fillId="10" borderId="14" xfId="8" applyFont="1" applyFill="1" applyBorder="1" applyAlignment="1">
      <alignment horizontal="center" vertical="top"/>
    </xf>
    <xf numFmtId="0" fontId="6" fillId="10" borderId="8" xfId="8" applyFont="1" applyFill="1" applyBorder="1" applyAlignment="1">
      <alignment horizontal="center" vertical="top"/>
    </xf>
    <xf numFmtId="0" fontId="3" fillId="9" borderId="14" xfId="8" applyFont="1" applyFill="1" applyBorder="1" applyAlignment="1">
      <alignment horizontal="center" vertical="top"/>
    </xf>
    <xf numFmtId="0" fontId="3" fillId="9" borderId="15" xfId="8" applyFill="1" applyBorder="1" applyAlignment="1">
      <alignment horizontal="center" vertical="top"/>
    </xf>
    <xf numFmtId="0" fontId="3" fillId="9" borderId="8" xfId="8" applyFill="1" applyBorder="1" applyAlignment="1">
      <alignment horizontal="center" vertical="top"/>
    </xf>
    <xf numFmtId="0" fontId="3" fillId="9" borderId="9" xfId="8" applyFont="1" applyFill="1" applyBorder="1" applyAlignment="1">
      <alignment horizontal="center" vertical="top"/>
    </xf>
    <xf numFmtId="0" fontId="3" fillId="9" borderId="10" xfId="8" applyFont="1" applyFill="1" applyBorder="1" applyAlignment="1">
      <alignment horizontal="center" vertical="top"/>
    </xf>
    <xf numFmtId="0" fontId="3" fillId="9" borderId="5" xfId="8" applyFont="1" applyFill="1" applyBorder="1" applyAlignment="1">
      <alignment horizontal="center" vertical="top"/>
    </xf>
    <xf numFmtId="0" fontId="6" fillId="10" borderId="15" xfId="8" applyFont="1" applyFill="1" applyBorder="1" applyAlignment="1">
      <alignment horizontal="center" vertical="top"/>
    </xf>
    <xf numFmtId="0" fontId="4" fillId="10" borderId="14" xfId="0" applyFont="1" applyFill="1" applyBorder="1" applyAlignment="1">
      <alignment horizontal="center"/>
    </xf>
    <xf numFmtId="0" fontId="4" fillId="10" borderId="15" xfId="0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0" fillId="9" borderId="0" xfId="0" quotePrefix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6" fillId="10" borderId="1" xfId="8" applyFont="1" applyFill="1" applyBorder="1" applyAlignment="1">
      <alignment horizontal="center" vertical="top"/>
    </xf>
    <xf numFmtId="0" fontId="9" fillId="14" borderId="9" xfId="0" applyFont="1" applyFill="1" applyBorder="1" applyAlignment="1">
      <alignment horizontal="center"/>
    </xf>
    <xf numFmtId="0" fontId="9" fillId="14" borderId="10" xfId="0" applyFont="1" applyFill="1" applyBorder="1" applyAlignment="1">
      <alignment horizontal="center"/>
    </xf>
    <xf numFmtId="0" fontId="9" fillId="14" borderId="5" xfId="0" applyFont="1" applyFill="1" applyBorder="1" applyAlignment="1">
      <alignment horizontal="center"/>
    </xf>
    <xf numFmtId="0" fontId="13" fillId="14" borderId="9" xfId="0" applyFont="1" applyFill="1" applyBorder="1" applyAlignment="1">
      <alignment horizontal="center"/>
    </xf>
    <xf numFmtId="0" fontId="13" fillId="14" borderId="5" xfId="0" applyFont="1" applyFill="1" applyBorder="1" applyAlignment="1">
      <alignment horizontal="center"/>
    </xf>
    <xf numFmtId="0" fontId="9" fillId="14" borderId="14" xfId="0" applyFont="1" applyFill="1" applyBorder="1" applyAlignment="1">
      <alignment horizontal="center"/>
    </xf>
    <xf numFmtId="0" fontId="9" fillId="14" borderId="15" xfId="0" applyFont="1" applyFill="1" applyBorder="1" applyAlignment="1">
      <alignment horizontal="center"/>
    </xf>
    <xf numFmtId="0" fontId="9" fillId="14" borderId="8" xfId="0" applyFont="1" applyFill="1" applyBorder="1" applyAlignment="1">
      <alignment horizontal="center"/>
    </xf>
    <xf numFmtId="0" fontId="9" fillId="14" borderId="11" xfId="0" applyFont="1" applyFill="1" applyBorder="1" applyAlignment="1" applyProtection="1">
      <alignment horizontal="left"/>
    </xf>
    <xf numFmtId="0" fontId="9" fillId="14" borderId="0" xfId="0" applyFont="1" applyFill="1" applyBorder="1" applyAlignment="1" applyProtection="1">
      <alignment horizontal="left"/>
    </xf>
    <xf numFmtId="0" fontId="9" fillId="19" borderId="43" xfId="10" applyBorder="1" applyAlignment="1">
      <alignment horizontal="center"/>
    </xf>
    <xf numFmtId="0" fontId="9" fillId="19" borderId="33" xfId="10" applyBorder="1" applyAlignment="1">
      <alignment horizontal="center"/>
    </xf>
    <xf numFmtId="0" fontId="9" fillId="19" borderId="14" xfId="10" applyBorder="1" applyAlignment="1">
      <alignment horizontal="center"/>
    </xf>
    <xf numFmtId="0" fontId="9" fillId="19" borderId="15" xfId="10" applyBorder="1" applyAlignment="1">
      <alignment horizontal="center"/>
    </xf>
    <xf numFmtId="0" fontId="9" fillId="19" borderId="8" xfId="10" applyBorder="1" applyAlignment="1">
      <alignment horizontal="center"/>
    </xf>
    <xf numFmtId="0" fontId="9" fillId="19" borderId="1" xfId="10"/>
    <xf numFmtId="0" fontId="9" fillId="14" borderId="11" xfId="0" applyFont="1" applyFill="1" applyBorder="1" applyAlignment="1" applyProtection="1">
      <alignment horizontal="left"/>
      <protection locked="0"/>
    </xf>
    <xf numFmtId="0" fontId="9" fillId="14" borderId="0" xfId="0" applyFont="1" applyFill="1" applyAlignment="1" applyProtection="1">
      <alignment horizontal="left"/>
      <protection locked="0"/>
    </xf>
    <xf numFmtId="0" fontId="9" fillId="4" borderId="30" xfId="1" applyBorder="1" applyAlignment="1">
      <alignment horizontal="center" vertical="center"/>
    </xf>
    <xf numFmtId="0" fontId="9" fillId="4" borderId="31" xfId="1" applyBorder="1" applyAlignment="1">
      <alignment horizontal="center" vertical="center"/>
    </xf>
    <xf numFmtId="0" fontId="9" fillId="19" borderId="32" xfId="10" applyBorder="1"/>
    <xf numFmtId="0" fontId="9" fillId="19" borderId="43" xfId="10" applyBorder="1"/>
    <xf numFmtId="0" fontId="9" fillId="19" borderId="28" xfId="10" applyBorder="1"/>
    <xf numFmtId="0" fontId="9" fillId="19" borderId="26" xfId="10" applyBorder="1"/>
    <xf numFmtId="0" fontId="2" fillId="9" borderId="37" xfId="0" applyFont="1" applyFill="1" applyBorder="1" applyAlignment="1" applyProtection="1">
      <alignment horizontal="left"/>
      <protection locked="0"/>
    </xf>
    <xf numFmtId="0" fontId="2" fillId="9" borderId="38" xfId="0" applyFont="1" applyFill="1" applyBorder="1" applyAlignment="1" applyProtection="1">
      <alignment horizontal="left"/>
      <protection locked="0"/>
    </xf>
    <xf numFmtId="0" fontId="2" fillId="9" borderId="39" xfId="0" applyFont="1" applyFill="1" applyBorder="1" applyAlignment="1" applyProtection="1">
      <alignment horizontal="center"/>
      <protection locked="0"/>
    </xf>
    <xf numFmtId="0" fontId="2" fillId="9" borderId="38" xfId="0" applyFont="1" applyFill="1" applyBorder="1" applyAlignment="1" applyProtection="1">
      <alignment horizontal="center"/>
      <protection locked="0"/>
    </xf>
    <xf numFmtId="0" fontId="2" fillId="9" borderId="40" xfId="0" applyFont="1" applyFill="1" applyBorder="1" applyAlignment="1" applyProtection="1">
      <alignment horizontal="center"/>
      <protection locked="0"/>
    </xf>
    <xf numFmtId="0" fontId="28" fillId="9" borderId="39" xfId="0" applyFont="1" applyFill="1" applyBorder="1" applyAlignment="1" applyProtection="1">
      <alignment horizontal="center"/>
      <protection locked="0"/>
    </xf>
    <xf numFmtId="0" fontId="28" fillId="9" borderId="42" xfId="0" applyFont="1" applyFill="1" applyBorder="1" applyAlignment="1" applyProtection="1">
      <alignment horizontal="center"/>
      <protection locked="0"/>
    </xf>
    <xf numFmtId="0" fontId="32" fillId="14" borderId="30" xfId="0" applyFont="1" applyFill="1" applyBorder="1" applyAlignment="1">
      <alignment horizontal="left" vertical="center"/>
    </xf>
    <xf numFmtId="0" fontId="32" fillId="14" borderId="35" xfId="0" applyFont="1" applyFill="1" applyBorder="1" applyAlignment="1">
      <alignment horizontal="left" vertical="center"/>
    </xf>
    <xf numFmtId="0" fontId="32" fillId="14" borderId="31" xfId="0" applyFont="1" applyFill="1" applyBorder="1" applyAlignment="1">
      <alignment horizontal="left" vertical="center"/>
    </xf>
    <xf numFmtId="0" fontId="6" fillId="14" borderId="19" xfId="8" applyFont="1" applyFill="1" applyBorder="1" applyAlignment="1">
      <alignment horizontal="center" vertical="top"/>
    </xf>
    <xf numFmtId="0" fontId="6" fillId="14" borderId="2" xfId="8" applyFont="1" applyFill="1" applyBorder="1" applyAlignment="1">
      <alignment horizontal="center" vertical="top"/>
    </xf>
    <xf numFmtId="0" fontId="6" fillId="14" borderId="63" xfId="8" applyFont="1" applyFill="1" applyBorder="1" applyAlignment="1">
      <alignment horizontal="center" vertical="top"/>
    </xf>
    <xf numFmtId="0" fontId="9" fillId="19" borderId="58" xfId="10" applyBorder="1" applyAlignment="1">
      <alignment horizontal="center"/>
    </xf>
    <xf numFmtId="0" fontId="9" fillId="19" borderId="59" xfId="10" applyBorder="1" applyAlignment="1">
      <alignment horizontal="center"/>
    </xf>
    <xf numFmtId="0" fontId="9" fillId="19" borderId="64" xfId="10" applyBorder="1" applyAlignment="1">
      <alignment horizontal="center"/>
    </xf>
    <xf numFmtId="0" fontId="9" fillId="19" borderId="65" xfId="10" applyBorder="1" applyAlignment="1">
      <alignment horizontal="center"/>
    </xf>
    <xf numFmtId="0" fontId="9" fillId="19" borderId="60" xfId="10" applyBorder="1" applyAlignment="1">
      <alignment horizontal="center"/>
    </xf>
    <xf numFmtId="0" fontId="9" fillId="19" borderId="0" xfId="10" applyBorder="1" applyAlignment="1">
      <alignment horizontal="center" vertical="center"/>
    </xf>
    <xf numFmtId="0" fontId="9" fillId="19" borderId="13" xfId="10" applyBorder="1" applyAlignment="1">
      <alignment horizontal="center" vertical="center"/>
    </xf>
    <xf numFmtId="0" fontId="9" fillId="4" borderId="30" xfId="1" applyBorder="1" applyAlignment="1">
      <alignment horizontal="center"/>
    </xf>
    <xf numFmtId="0" fontId="9" fillId="4" borderId="35" xfId="1" applyBorder="1" applyAlignment="1">
      <alignment horizontal="center"/>
    </xf>
    <xf numFmtId="0" fontId="9" fillId="4" borderId="31" xfId="1" applyBorder="1" applyAlignment="1">
      <alignment horizontal="center"/>
    </xf>
    <xf numFmtId="0" fontId="9" fillId="19" borderId="14" xfId="10" applyBorder="1" applyAlignment="1">
      <alignment horizontal="center" vertical="center"/>
    </xf>
    <xf numFmtId="0" fontId="9" fillId="19" borderId="8" xfId="10" applyBorder="1" applyAlignment="1">
      <alignment horizontal="center" vertical="center"/>
    </xf>
    <xf numFmtId="0" fontId="9" fillId="14" borderId="1" xfId="10" applyFill="1"/>
    <xf numFmtId="0" fontId="29" fillId="23" borderId="0" xfId="0" applyFont="1" applyFill="1" applyBorder="1" applyAlignment="1">
      <alignment horizontal="center" vertical="top"/>
    </xf>
    <xf numFmtId="0" fontId="9" fillId="19" borderId="4" xfId="10" applyBorder="1" applyAlignment="1">
      <alignment horizontal="center" vertical="center"/>
    </xf>
    <xf numFmtId="0" fontId="9" fillId="19" borderId="3" xfId="10" applyBorder="1" applyAlignment="1">
      <alignment horizontal="center" vertical="center"/>
    </xf>
    <xf numFmtId="0" fontId="9" fillId="19" borderId="9" xfId="10" applyBorder="1" applyAlignment="1">
      <alignment horizontal="center" vertical="center"/>
    </xf>
    <xf numFmtId="0" fontId="9" fillId="19" borderId="5" xfId="10" applyBorder="1" applyAlignment="1">
      <alignment horizontal="center" vertical="center"/>
    </xf>
    <xf numFmtId="0" fontId="9" fillId="19" borderId="12" xfId="10" applyBorder="1" applyAlignment="1">
      <alignment horizontal="center" vertical="center"/>
    </xf>
    <xf numFmtId="0" fontId="9" fillId="19" borderId="7" xfId="10" applyBorder="1" applyAlignment="1">
      <alignment horizontal="center" vertical="center"/>
    </xf>
    <xf numFmtId="0" fontId="30" fillId="23" borderId="0" xfId="0" applyFont="1" applyFill="1" applyBorder="1" applyAlignment="1">
      <alignment horizontal="center" vertical="top"/>
    </xf>
    <xf numFmtId="0" fontId="30" fillId="23" borderId="68" xfId="0" applyFont="1" applyFill="1" applyBorder="1" applyAlignment="1">
      <alignment horizontal="center" vertical="top"/>
    </xf>
    <xf numFmtId="14" fontId="4" fillId="9" borderId="7" xfId="0" applyNumberFormat="1" applyFont="1" applyFill="1" applyBorder="1" applyAlignment="1">
      <alignment horizontal="left" vertical="top"/>
    </xf>
    <xf numFmtId="0" fontId="4" fillId="9" borderId="7" xfId="0" applyFont="1" applyFill="1" applyBorder="1" applyAlignment="1">
      <alignment vertical="top"/>
    </xf>
  </cellXfs>
  <cellStyles count="13">
    <cellStyle name="Button" xfId="1"/>
    <cellStyle name="ColumnHead" xfId="11"/>
    <cellStyle name="Comma" xfId="9" builtinId="3"/>
    <cellStyle name="Currency" xfId="2" builtinId="4"/>
    <cellStyle name="Followed Hyperlink" xfId="3" builtinId="9" customBuiltin="1"/>
    <cellStyle name="Hyperlink" xfId="4" builtinId="8" customBuiltin="1"/>
    <cellStyle name="Normal" xfId="0" builtinId="0" customBuiltin="1"/>
    <cellStyle name="Percent" xfId="5" builtinId="5"/>
    <cellStyle name="RowHead" xfId="6"/>
    <cellStyle name="RowHeadTrade" xfId="10"/>
    <cellStyle name="TableHead" xfId="7"/>
    <cellStyle name="TableHead_Swap" xfId="8"/>
    <cellStyle name="TradeSelection" xfId="12"/>
  </cellStyles>
  <dxfs count="215"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FF0000"/>
      </font>
      <fill>
        <gradientFill degree="90">
          <stop position="0">
            <color theme="1" tint="0.49803155613879818"/>
          </stop>
          <stop position="1">
            <color theme="1"/>
          </stop>
        </gradientFill>
      </fill>
    </dxf>
    <dxf>
      <font>
        <color rgb="FF92D050"/>
      </font>
      <fill>
        <gradientFill degree="90">
          <stop position="0">
            <color theme="1" tint="0.49803155613879818"/>
          </stop>
          <stop position="1">
            <color theme="1"/>
          </stop>
        </gradient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</dxfs>
  <tableStyles count="0" defaultTableStyle="TableStyleMedium9" defaultPivotStyle="PivotStyleLight16"/>
  <colors>
    <mruColors>
      <color rgb="FFFFFF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95250</xdr:rowOff>
    </xdr:from>
    <xdr:to>
      <xdr:col>13</xdr:col>
      <xdr:colOff>838200</xdr:colOff>
      <xdr:row>2</xdr:row>
      <xdr:rowOff>47625</xdr:rowOff>
    </xdr:to>
    <xdr:pic>
      <xdr:nvPicPr>
        <xdr:cNvPr id="143415" name="Picture 1" descr="National-Australia-Bank-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48375" y="95250"/>
          <a:ext cx="23812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</xdr:colOff>
      <xdr:row>0</xdr:row>
      <xdr:rowOff>47625</xdr:rowOff>
    </xdr:from>
    <xdr:to>
      <xdr:col>20</xdr:col>
      <xdr:colOff>447675</xdr:colOff>
      <xdr:row>1</xdr:row>
      <xdr:rowOff>371475</xdr:rowOff>
    </xdr:to>
    <xdr:pic>
      <xdr:nvPicPr>
        <xdr:cNvPr id="3" name="Picture 2" descr="nab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582275" y="47625"/>
          <a:ext cx="11906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266700</xdr:colOff>
      <xdr:row>0</xdr:row>
      <xdr:rowOff>47625</xdr:rowOff>
    </xdr:from>
    <xdr:to>
      <xdr:col>15</xdr:col>
      <xdr:colOff>304800</xdr:colOff>
      <xdr:row>1</xdr:row>
      <xdr:rowOff>371475</xdr:rowOff>
    </xdr:to>
    <xdr:pic>
      <xdr:nvPicPr>
        <xdr:cNvPr id="3" name="Picture 2" descr="nab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01325" y="47625"/>
          <a:ext cx="11906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0</xdr:row>
      <xdr:rowOff>47625</xdr:rowOff>
    </xdr:from>
    <xdr:to>
      <xdr:col>10</xdr:col>
      <xdr:colOff>333375</xdr:colOff>
      <xdr:row>3</xdr:row>
      <xdr:rowOff>66675</xdr:rowOff>
    </xdr:to>
    <xdr:pic>
      <xdr:nvPicPr>
        <xdr:cNvPr id="2" name="Picture 1" descr="nab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01325" y="47625"/>
          <a:ext cx="1190625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7"/>
  <dimension ref="B2:AM208"/>
  <sheetViews>
    <sheetView topLeftCell="B173" workbookViewId="0">
      <selection activeCell="S9" sqref="S9:S208"/>
    </sheetView>
  </sheetViews>
  <sheetFormatPr defaultRowHeight="11.25"/>
  <cols>
    <col min="1" max="1" width="2.83203125" style="6" customWidth="1"/>
    <col min="2" max="2" width="24.1640625" style="6" customWidth="1"/>
    <col min="3" max="3" width="18.1640625" style="6" hidden="1" customWidth="1"/>
    <col min="4" max="4" width="14.5" style="6" bestFit="1" customWidth="1"/>
    <col min="5" max="5" width="2.83203125" style="6" customWidth="1"/>
    <col min="6" max="6" width="13" style="6" customWidth="1"/>
    <col min="7" max="7" width="17" style="6" customWidth="1"/>
    <col min="8" max="8" width="2.83203125" style="6" customWidth="1"/>
    <col min="9" max="9" width="13" style="6" customWidth="1"/>
    <col min="10" max="10" width="15.6640625" style="6" customWidth="1"/>
    <col min="11" max="11" width="2.83203125" style="6" customWidth="1"/>
    <col min="12" max="12" width="11.5" style="6" customWidth="1"/>
    <col min="13" max="13" width="12.6640625" style="6" bestFit="1" customWidth="1"/>
    <col min="14" max="14" width="16.1640625" style="6" bestFit="1" customWidth="1"/>
    <col min="15" max="15" width="14.1640625" style="6" bestFit="1" customWidth="1"/>
    <col min="16" max="16" width="12.6640625" style="6" bestFit="1" customWidth="1"/>
    <col min="17" max="17" width="13.33203125" style="6" bestFit="1" customWidth="1"/>
    <col min="18" max="19" width="14.1640625" style="6" bestFit="1" customWidth="1"/>
    <col min="20" max="20" width="4.83203125" style="6" customWidth="1"/>
    <col min="21" max="21" width="9.5" style="6" customWidth="1"/>
    <col min="22" max="22" width="16.5" style="6" customWidth="1"/>
    <col min="23" max="23" width="9.1640625" style="6" bestFit="1" customWidth="1"/>
    <col min="24" max="24" width="14" style="6" customWidth="1"/>
    <col min="25" max="25" width="17" style="6" customWidth="1"/>
    <col min="26" max="26" width="12.83203125" style="6" customWidth="1"/>
    <col min="27" max="27" width="16.5" style="6" customWidth="1"/>
    <col min="28" max="28" width="11.33203125" style="6" customWidth="1"/>
    <col min="29" max="29" width="14.1640625" style="6" customWidth="1"/>
    <col min="30" max="30" width="17" style="6" customWidth="1"/>
    <col min="31" max="31" width="4.1640625" style="6" customWidth="1"/>
    <col min="32" max="32" width="16.5" style="6" customWidth="1"/>
    <col min="33" max="33" width="48.6640625" style="6" customWidth="1"/>
    <col min="34" max="35" width="9.33203125" style="6" customWidth="1"/>
    <col min="36" max="36" width="41.1640625" style="6" customWidth="1"/>
    <col min="37" max="37" width="19.33203125" style="6" customWidth="1"/>
    <col min="38" max="38" width="17.1640625" style="6" customWidth="1"/>
    <col min="39" max="39" width="22.6640625" style="6" customWidth="1"/>
    <col min="40" max="16384" width="9.33203125" style="6"/>
  </cols>
  <sheetData>
    <row r="2" spans="2:39" s="31" customFormat="1" ht="30" customHeight="1">
      <c r="B2" s="516" t="s">
        <v>92</v>
      </c>
      <c r="C2" s="516"/>
      <c r="D2" s="516"/>
      <c r="E2" s="516"/>
      <c r="F2" s="516"/>
      <c r="G2" s="516"/>
      <c r="H2" s="516"/>
      <c r="I2" s="516"/>
      <c r="J2" s="141" t="e">
        <f ca="1">VALUE(MID(CELL("filename",A1),FIND("]",CELL("filename",A1))+6,99))</f>
        <v>#VALUE!</v>
      </c>
      <c r="K2" s="30"/>
      <c r="L2" s="30"/>
      <c r="M2" s="30"/>
      <c r="N2" s="30"/>
      <c r="O2" s="30"/>
      <c r="P2" s="30"/>
    </row>
    <row r="4" spans="2:39">
      <c r="B4" s="102" t="s">
        <v>115</v>
      </c>
      <c r="C4" s="102" t="s">
        <v>115</v>
      </c>
      <c r="L4" s="102" t="s">
        <v>100</v>
      </c>
      <c r="AJ4" s="32" t="s">
        <v>72</v>
      </c>
      <c r="AK4" s="32" t="s">
        <v>73</v>
      </c>
      <c r="AL4" s="32" t="s">
        <v>74</v>
      </c>
    </row>
    <row r="5" spans="2:39">
      <c r="B5" s="97" t="s">
        <v>71</v>
      </c>
      <c r="C5" s="97" t="s">
        <v>71</v>
      </c>
      <c r="D5" s="101" t="str">
        <f ca="1">(MID(CELL("filename",A1),FIND("]",CELL("filename",A1))+1,99))</f>
        <v>Swap-Template_old</v>
      </c>
      <c r="F5" s="89" t="s">
        <v>7</v>
      </c>
      <c r="G5" s="103">
        <v>5</v>
      </c>
      <c r="I5" s="89" t="s">
        <v>8</v>
      </c>
      <c r="J5" s="103">
        <v>12</v>
      </c>
      <c r="L5" s="531" t="s">
        <v>133</v>
      </c>
      <c r="M5" s="531"/>
      <c r="N5" s="531"/>
      <c r="O5" s="33"/>
      <c r="AF5" s="519"/>
      <c r="AG5" s="520"/>
      <c r="AH5" s="521"/>
      <c r="AJ5" s="34" t="s">
        <v>62</v>
      </c>
    </row>
    <row r="6" spans="2:39">
      <c r="B6" s="89" t="s">
        <v>0</v>
      </c>
      <c r="C6" s="89" t="s">
        <v>0</v>
      </c>
      <c r="D6" s="14" t="str">
        <f>Swap!B7</f>
        <v>Telstra</v>
      </c>
      <c r="F6" s="89" t="s">
        <v>9</v>
      </c>
      <c r="G6" s="132" t="e">
        <f ca="1">VLOOKUP($J$2,TradeTable,G5,FALSE)</f>
        <v>#VALUE!</v>
      </c>
      <c r="I6" s="89" t="s">
        <v>9</v>
      </c>
      <c r="J6" s="132" t="e">
        <f ca="1">VLOOKUP($J$2,TradeTable,J5,FALSE)</f>
        <v>#VALUE!</v>
      </c>
      <c r="L6" s="517" t="s">
        <v>7</v>
      </c>
      <c r="M6" s="525"/>
      <c r="N6" s="525"/>
      <c r="O6" s="518"/>
      <c r="P6" s="517" t="s">
        <v>8</v>
      </c>
      <c r="Q6" s="525"/>
      <c r="R6" s="525"/>
      <c r="S6" s="518"/>
      <c r="U6" s="526" t="s">
        <v>128</v>
      </c>
      <c r="V6" s="527"/>
      <c r="W6" s="527"/>
      <c r="X6" s="527"/>
      <c r="Y6" s="527"/>
      <c r="Z6" s="527"/>
      <c r="AA6" s="527"/>
      <c r="AB6" s="527"/>
      <c r="AC6" s="527"/>
      <c r="AD6" s="528"/>
      <c r="AF6" s="522" t="s">
        <v>105</v>
      </c>
      <c r="AG6" s="523"/>
      <c r="AH6" s="524"/>
      <c r="AJ6" s="35" t="s">
        <v>63</v>
      </c>
      <c r="AK6" s="36">
        <v>2</v>
      </c>
      <c r="AL6" s="36">
        <v>2</v>
      </c>
      <c r="AM6" s="36">
        <v>2</v>
      </c>
    </row>
    <row r="7" spans="2:39">
      <c r="B7" s="96" t="s">
        <v>169</v>
      </c>
      <c r="C7" s="96" t="s">
        <v>141</v>
      </c>
      <c r="D7" s="16" t="str">
        <f>Swap!D7</f>
        <v>Large Corporate</v>
      </c>
      <c r="F7" s="90" t="s">
        <v>11</v>
      </c>
      <c r="G7" s="133" t="e">
        <f ca="1">VLOOKUP($J$2,TradeTable,G5+1,FALSE)</f>
        <v>#VALUE!</v>
      </c>
      <c r="I7" s="90" t="s">
        <v>11</v>
      </c>
      <c r="J7" s="133" t="e">
        <f ca="1">VLOOKUP($J$2,TradeTable,J5+1,FALSE)</f>
        <v>#VALUE!</v>
      </c>
      <c r="L7" s="95" t="s">
        <v>5</v>
      </c>
      <c r="M7" s="95" t="s">
        <v>183</v>
      </c>
      <c r="N7" s="95" t="s">
        <v>98</v>
      </c>
      <c r="O7" s="95" t="s">
        <v>11</v>
      </c>
      <c r="P7" s="95" t="s">
        <v>5</v>
      </c>
      <c r="Q7" s="95" t="s">
        <v>183</v>
      </c>
      <c r="R7" s="95" t="s">
        <v>98</v>
      </c>
      <c r="S7" s="95" t="s">
        <v>11</v>
      </c>
      <c r="U7" s="517" t="s">
        <v>7</v>
      </c>
      <c r="V7" s="525"/>
      <c r="W7" s="525"/>
      <c r="X7" s="525"/>
      <c r="Y7" s="518"/>
      <c r="Z7" s="517" t="s">
        <v>8</v>
      </c>
      <c r="AA7" s="525"/>
      <c r="AB7" s="525"/>
      <c r="AC7" s="525"/>
      <c r="AD7" s="518"/>
      <c r="AF7" s="37" t="s">
        <v>96</v>
      </c>
      <c r="AG7" s="37" t="s">
        <v>97</v>
      </c>
      <c r="AH7" s="38" t="s">
        <v>32</v>
      </c>
    </row>
    <row r="8" spans="2:39">
      <c r="B8" s="90" t="s">
        <v>2</v>
      </c>
      <c r="C8" s="90" t="s">
        <v>2</v>
      </c>
      <c r="D8" s="16">
        <f>Swap!G7</f>
        <v>1</v>
      </c>
      <c r="F8" s="90" t="s">
        <v>28</v>
      </c>
      <c r="G8" s="134" t="e">
        <f ca="1">VLOOKUP($J$2,TradeTable,G5+2,FALSE)</f>
        <v>#VALUE!</v>
      </c>
      <c r="I8" s="90" t="s">
        <v>28</v>
      </c>
      <c r="J8" s="134" t="e">
        <f ca="1">VLOOKUP($J$2,TradeTable,J5+2,FALSE)</f>
        <v>#VALUE!</v>
      </c>
      <c r="L8" s="98"/>
      <c r="M8" s="99" t="s">
        <v>94</v>
      </c>
      <c r="N8" s="100" t="s">
        <v>95</v>
      </c>
      <c r="O8" s="98" t="s">
        <v>11</v>
      </c>
      <c r="P8" s="98"/>
      <c r="Q8" s="99" t="s">
        <v>94</v>
      </c>
      <c r="R8" s="98" t="s">
        <v>95</v>
      </c>
      <c r="S8" s="98" t="s">
        <v>11</v>
      </c>
      <c r="U8" s="111" t="s">
        <v>19</v>
      </c>
      <c r="V8" s="113" t="s">
        <v>157</v>
      </c>
      <c r="W8" s="113" t="s">
        <v>14</v>
      </c>
      <c r="X8" s="113" t="s">
        <v>155</v>
      </c>
      <c r="Y8" s="114" t="s">
        <v>156</v>
      </c>
      <c r="Z8" s="112" t="s">
        <v>19</v>
      </c>
      <c r="AA8" s="113" t="s">
        <v>157</v>
      </c>
      <c r="AB8" s="113" t="s">
        <v>14</v>
      </c>
      <c r="AC8" s="113" t="s">
        <v>155</v>
      </c>
      <c r="AD8" s="114" t="s">
        <v>156</v>
      </c>
      <c r="AF8" s="39" t="str">
        <f t="shared" ref="AF8:AF27" si="0">IF(F20="","",F20)</f>
        <v/>
      </c>
      <c r="AG8" s="39" t="str">
        <f t="shared" ref="AG8:AG27" si="1">IF(G20="","",G20)</f>
        <v/>
      </c>
      <c r="AH8" s="40" t="str">
        <f t="shared" ref="AH8:AH27" si="2">IF(AF8="","",$G$13)</f>
        <v/>
      </c>
      <c r="AJ8" s="34" t="s">
        <v>113</v>
      </c>
      <c r="AK8" s="36"/>
    </row>
    <row r="9" spans="2:39">
      <c r="B9" s="91" t="s">
        <v>68</v>
      </c>
      <c r="C9" s="91" t="s">
        <v>54</v>
      </c>
      <c r="D9" s="19" t="str">
        <f>Swap!H7</f>
        <v>J</v>
      </c>
      <c r="F9" s="90" t="s">
        <v>14</v>
      </c>
      <c r="G9" s="135" t="e">
        <f ca="1">VLOOKUP($J$2,TradeTable,G5+4,FALSE)</f>
        <v>#VALUE!</v>
      </c>
      <c r="I9" s="90" t="s">
        <v>14</v>
      </c>
      <c r="J9" s="135" t="e">
        <f ca="1">VLOOKUP($J$2,TradeTable,J5+4,FALSE)</f>
        <v>#VALUE!</v>
      </c>
      <c r="L9" s="20" t="e">
        <f ca="1">$D$11</f>
        <v>#VALUE!</v>
      </c>
      <c r="M9" s="41"/>
      <c r="N9" s="9"/>
      <c r="O9" s="21" t="e">
        <f ca="1">$AK$26</f>
        <v>#VALUE!</v>
      </c>
      <c r="P9" s="20" t="e">
        <f ca="1">$D$11</f>
        <v>#VALUE!</v>
      </c>
      <c r="Q9" s="41"/>
      <c r="R9" s="9"/>
      <c r="S9" s="21" t="e">
        <f ca="1">$AK$26</f>
        <v>#VALUE!</v>
      </c>
      <c r="U9" s="22"/>
      <c r="V9" s="105"/>
      <c r="W9" s="108"/>
      <c r="X9" s="105"/>
      <c r="Y9" s="15"/>
      <c r="Z9" s="107"/>
      <c r="AA9" s="105"/>
      <c r="AB9" s="105"/>
      <c r="AC9" s="105"/>
      <c r="AD9" s="15"/>
      <c r="AF9" s="39" t="str">
        <f t="shared" si="0"/>
        <v/>
      </c>
      <c r="AG9" s="12" t="str">
        <f t="shared" si="1"/>
        <v/>
      </c>
      <c r="AH9" s="39" t="str">
        <f t="shared" si="2"/>
        <v/>
      </c>
      <c r="AJ9" s="42" t="s">
        <v>77</v>
      </c>
      <c r="AK9" s="43" t="e">
        <f t="shared" ref="AK9:AK22" ca="1" si="3">IF(AL9="",AM9,AL9)</f>
        <v>#VALUE!</v>
      </c>
      <c r="AL9" s="43" t="e">
        <f ca="1">"SWAP-" &amp; $J$2</f>
        <v>#VALUE!</v>
      </c>
      <c r="AM9" s="43" t="s">
        <v>75</v>
      </c>
    </row>
    <row r="10" spans="2:39">
      <c r="B10" s="44"/>
      <c r="C10" s="44"/>
      <c r="D10" s="54"/>
      <c r="F10" s="90" t="s">
        <v>143</v>
      </c>
      <c r="G10" s="136" t="e">
        <f ca="1">VLOOKUP($J$2,TradeTable,G5+5,FALSE)</f>
        <v>#VALUE!</v>
      </c>
      <c r="I10" s="90" t="s">
        <v>15</v>
      </c>
      <c r="J10" s="134" t="e">
        <f ca="1">VLOOKUP($J$2,TradeTable,J5+5,FALSE)</f>
        <v>#VALUE!</v>
      </c>
      <c r="L10" s="23" t="e">
        <f ca="1">IF(AND(M9&lt;$D$12, M9&lt;&gt;""),M9,"")</f>
        <v>#VALUE!</v>
      </c>
      <c r="M10" s="45"/>
      <c r="N10" s="10"/>
      <c r="O10" s="17" t="str">
        <f>IF(M10=0,"",O9+N9)</f>
        <v/>
      </c>
      <c r="P10" s="23" t="e">
        <f ca="1">IF(AND(Q9&lt;$D$12, Q9&lt;&gt;""),Q9,"")</f>
        <v>#VALUE!</v>
      </c>
      <c r="Q10" s="45"/>
      <c r="R10" s="10"/>
      <c r="S10" s="17" t="str">
        <f>IF(Q10=0,"",S9+R9)</f>
        <v/>
      </c>
      <c r="U10" s="24"/>
      <c r="V10" s="104"/>
      <c r="W10" s="109"/>
      <c r="X10" s="104"/>
      <c r="Y10" s="18"/>
      <c r="Z10" s="26"/>
      <c r="AA10" s="104"/>
      <c r="AB10" s="104"/>
      <c r="AC10" s="104"/>
      <c r="AD10" s="18"/>
      <c r="AF10" s="39" t="str">
        <f t="shared" si="0"/>
        <v/>
      </c>
      <c r="AG10" s="12" t="str">
        <f t="shared" si="1"/>
        <v/>
      </c>
      <c r="AH10" s="39" t="str">
        <f t="shared" si="2"/>
        <v/>
      </c>
      <c r="AJ10" s="46" t="s">
        <v>20</v>
      </c>
      <c r="AK10" s="47" t="e">
        <f t="shared" ca="1" si="3"/>
        <v>#VALUE!</v>
      </c>
      <c r="AL10" s="47" t="e">
        <f ca="1">D11</f>
        <v>#VALUE!</v>
      </c>
      <c r="AM10" s="47">
        <f ca="1">TODAY()</f>
        <v>40491</v>
      </c>
    </row>
    <row r="11" spans="2:39">
      <c r="B11" s="89" t="s">
        <v>5</v>
      </c>
      <c r="C11" s="89" t="s">
        <v>5</v>
      </c>
      <c r="D11" s="123" t="e">
        <f ca="1">VLOOKUP($J$2,TradeTable,2,FALSE)</f>
        <v>#VALUE!</v>
      </c>
      <c r="F11" s="90" t="s">
        <v>15</v>
      </c>
      <c r="G11" s="134" t="e">
        <f ca="1">VLOOKUP($J$2,TradeTable,G5+6,FALSE)</f>
        <v>#VALUE!</v>
      </c>
      <c r="I11" s="90" t="s">
        <v>70</v>
      </c>
      <c r="J11" s="134" t="e">
        <f ca="1">VLOOKUP($J$2,TradeTable,J5+3,FALSE)</f>
        <v>#VALUE!</v>
      </c>
      <c r="L11" s="23" t="e">
        <f t="shared" ref="L11:L74" ca="1" si="4">IF(AND(M10&lt;$D$12, M10&lt;&gt;""),M10,"")</f>
        <v>#VALUE!</v>
      </c>
      <c r="M11" s="45"/>
      <c r="N11" s="10"/>
      <c r="O11" s="17" t="str">
        <f t="shared" ref="O11:O74" si="5">IF(M11=0,"",O10+N10)</f>
        <v/>
      </c>
      <c r="P11" s="23" t="e">
        <f t="shared" ref="P11:P74" ca="1" si="6">IF(AND(Q10&lt;$D$12, Q10&lt;&gt;""),Q10,"")</f>
        <v>#VALUE!</v>
      </c>
      <c r="Q11" s="45"/>
      <c r="R11" s="10"/>
      <c r="S11" s="17" t="str">
        <f t="shared" ref="S11:S74" si="7">IF(Q11=0,"",S10+R10)</f>
        <v/>
      </c>
      <c r="U11" s="24"/>
      <c r="V11" s="104"/>
      <c r="W11" s="109"/>
      <c r="X11" s="104"/>
      <c r="Y11" s="18"/>
      <c r="Z11" s="26"/>
      <c r="AA11" s="104"/>
      <c r="AB11" s="104"/>
      <c r="AC11" s="104"/>
      <c r="AD11" s="18"/>
      <c r="AF11" s="39" t="str">
        <f t="shared" si="0"/>
        <v/>
      </c>
      <c r="AG11" s="12" t="str">
        <f t="shared" si="1"/>
        <v/>
      </c>
      <c r="AH11" s="39" t="str">
        <f t="shared" si="2"/>
        <v/>
      </c>
      <c r="AJ11" s="46" t="s">
        <v>21</v>
      </c>
      <c r="AK11" s="47" t="e">
        <f t="shared" ca="1" si="3"/>
        <v>#VALUE!</v>
      </c>
      <c r="AL11" s="47" t="e">
        <f ca="1">D12</f>
        <v>#VALUE!</v>
      </c>
      <c r="AM11" s="47">
        <f ca="1">DATE(YEAR(AM10)+10,MONTH(AM10),DAY(AM10))</f>
        <v>44144</v>
      </c>
    </row>
    <row r="12" spans="2:39">
      <c r="B12" s="91" t="s">
        <v>6</v>
      </c>
      <c r="C12" s="91" t="s">
        <v>6</v>
      </c>
      <c r="D12" s="124" t="e">
        <f ca="1">VLOOKUP($J$2,TradeTable,3,FALSE)</f>
        <v>#VALUE!</v>
      </c>
      <c r="F12" s="90" t="s">
        <v>70</v>
      </c>
      <c r="G12" s="134" t="e">
        <f ca="1">VLOOKUP($J$2,TradeTable,G5+3,FALSE)</f>
        <v>#VALUE!</v>
      </c>
      <c r="I12" s="90" t="s">
        <v>10</v>
      </c>
      <c r="J12" s="138" t="e">
        <f ca="1">DAY(D11)</f>
        <v>#VALUE!</v>
      </c>
      <c r="L12" s="23" t="e">
        <f t="shared" ca="1" si="4"/>
        <v>#VALUE!</v>
      </c>
      <c r="M12" s="45"/>
      <c r="N12" s="10"/>
      <c r="O12" s="17" t="str">
        <f t="shared" si="5"/>
        <v/>
      </c>
      <c r="P12" s="23" t="e">
        <f t="shared" ca="1" si="6"/>
        <v>#VALUE!</v>
      </c>
      <c r="Q12" s="45"/>
      <c r="R12" s="10"/>
      <c r="S12" s="17" t="str">
        <f t="shared" si="7"/>
        <v/>
      </c>
      <c r="U12" s="24"/>
      <c r="V12" s="104"/>
      <c r="W12" s="109"/>
      <c r="X12" s="104"/>
      <c r="Y12" s="18"/>
      <c r="Z12" s="26"/>
      <c r="AA12" s="104"/>
      <c r="AB12" s="104"/>
      <c r="AC12" s="104"/>
      <c r="AD12" s="18"/>
      <c r="AF12" s="39" t="str">
        <f t="shared" si="0"/>
        <v/>
      </c>
      <c r="AG12" s="12" t="str">
        <f t="shared" si="1"/>
        <v/>
      </c>
      <c r="AH12" s="39" t="str">
        <f t="shared" si="2"/>
        <v/>
      </c>
      <c r="AJ12" s="46" t="s">
        <v>78</v>
      </c>
      <c r="AK12" s="48" t="b">
        <f t="shared" si="3"/>
        <v>1</v>
      </c>
      <c r="AL12" s="48"/>
      <c r="AM12" s="48" t="b">
        <v>1</v>
      </c>
    </row>
    <row r="13" spans="2:39">
      <c r="D13" s="54"/>
      <c r="F13" s="90" t="s">
        <v>10</v>
      </c>
      <c r="G13" s="134" t="e">
        <f ca="1">DAY(D11)</f>
        <v>#VALUE!</v>
      </c>
      <c r="I13" s="90" t="s">
        <v>16</v>
      </c>
      <c r="J13" s="134" t="s">
        <v>64</v>
      </c>
      <c r="L13" s="23" t="e">
        <f t="shared" ca="1" si="4"/>
        <v>#VALUE!</v>
      </c>
      <c r="M13" s="45"/>
      <c r="N13" s="10"/>
      <c r="O13" s="17" t="str">
        <f t="shared" si="5"/>
        <v/>
      </c>
      <c r="P13" s="23" t="e">
        <f t="shared" ca="1" si="6"/>
        <v>#VALUE!</v>
      </c>
      <c r="Q13" s="45"/>
      <c r="R13" s="10"/>
      <c r="S13" s="17" t="str">
        <f t="shared" si="7"/>
        <v/>
      </c>
      <c r="U13" s="24"/>
      <c r="V13" s="104"/>
      <c r="W13" s="109"/>
      <c r="X13" s="104"/>
      <c r="Y13" s="18"/>
      <c r="Z13" s="26"/>
      <c r="AA13" s="104"/>
      <c r="AB13" s="104"/>
      <c r="AC13" s="104"/>
      <c r="AD13" s="18"/>
      <c r="AF13" s="39" t="str">
        <f t="shared" si="0"/>
        <v/>
      </c>
      <c r="AG13" s="12" t="str">
        <f t="shared" si="1"/>
        <v/>
      </c>
      <c r="AH13" s="39" t="str">
        <f t="shared" si="2"/>
        <v/>
      </c>
      <c r="AJ13" s="46" t="s">
        <v>79</v>
      </c>
      <c r="AK13" s="48" t="str">
        <f t="shared" si="3"/>
        <v>Pays</v>
      </c>
      <c r="AL13" s="48"/>
      <c r="AM13" s="48" t="s">
        <v>22</v>
      </c>
    </row>
    <row r="14" spans="2:39">
      <c r="B14" s="89" t="s">
        <v>165</v>
      </c>
      <c r="C14" s="89"/>
      <c r="D14" s="127"/>
      <c r="F14" s="90" t="s">
        <v>16</v>
      </c>
      <c r="G14" s="134" t="s">
        <v>64</v>
      </c>
      <c r="I14" s="91" t="s">
        <v>17</v>
      </c>
      <c r="J14" s="137" t="s">
        <v>76</v>
      </c>
      <c r="L14" s="23" t="e">
        <f t="shared" ca="1" si="4"/>
        <v>#VALUE!</v>
      </c>
      <c r="M14" s="45"/>
      <c r="N14" s="10"/>
      <c r="O14" s="17" t="str">
        <f t="shared" si="5"/>
        <v/>
      </c>
      <c r="P14" s="23" t="e">
        <f t="shared" ca="1" si="6"/>
        <v>#VALUE!</v>
      </c>
      <c r="Q14" s="45"/>
      <c r="R14" s="10"/>
      <c r="S14" s="17" t="str">
        <f t="shared" si="7"/>
        <v/>
      </c>
      <c r="U14" s="24"/>
      <c r="V14" s="104"/>
      <c r="W14" s="109"/>
      <c r="X14" s="104"/>
      <c r="Y14" s="18"/>
      <c r="Z14" s="26"/>
      <c r="AA14" s="104"/>
      <c r="AB14" s="104"/>
      <c r="AC14" s="104"/>
      <c r="AD14" s="18"/>
      <c r="AF14" s="39" t="str">
        <f t="shared" si="0"/>
        <v/>
      </c>
      <c r="AG14" s="12" t="str">
        <f t="shared" si="1"/>
        <v/>
      </c>
      <c r="AH14" s="39" t="str">
        <f t="shared" si="2"/>
        <v/>
      </c>
      <c r="AJ14" s="46" t="s">
        <v>23</v>
      </c>
      <c r="AK14" s="48" t="str">
        <f t="shared" si="3"/>
        <v>Telstra</v>
      </c>
      <c r="AL14" s="48" t="str">
        <f>D6</f>
        <v>Telstra</v>
      </c>
      <c r="AM14" s="48">
        <v>0</v>
      </c>
    </row>
    <row r="15" spans="2:39">
      <c r="B15" s="122" t="s">
        <v>174</v>
      </c>
      <c r="C15" s="128" t="s">
        <v>164</v>
      </c>
      <c r="D15" s="125"/>
      <c r="F15" s="91" t="s">
        <v>17</v>
      </c>
      <c r="G15" s="137" t="s">
        <v>76</v>
      </c>
      <c r="L15" s="23" t="e">
        <f t="shared" ca="1" si="4"/>
        <v>#VALUE!</v>
      </c>
      <c r="M15" s="45"/>
      <c r="N15" s="10"/>
      <c r="O15" s="17" t="str">
        <f t="shared" si="5"/>
        <v/>
      </c>
      <c r="P15" s="23" t="e">
        <f t="shared" ca="1" si="6"/>
        <v>#VALUE!</v>
      </c>
      <c r="Q15" s="45"/>
      <c r="R15" s="10"/>
      <c r="S15" s="17" t="str">
        <f t="shared" si="7"/>
        <v/>
      </c>
      <c r="U15" s="24"/>
      <c r="V15" s="104"/>
      <c r="W15" s="109"/>
      <c r="X15" s="104"/>
      <c r="Y15" s="18"/>
      <c r="Z15" s="26"/>
      <c r="AA15" s="104"/>
      <c r="AB15" s="104"/>
      <c r="AC15" s="104"/>
      <c r="AD15" s="18"/>
      <c r="AF15" s="39" t="str">
        <f t="shared" si="0"/>
        <v/>
      </c>
      <c r="AG15" s="12" t="str">
        <f t="shared" si="1"/>
        <v/>
      </c>
      <c r="AH15" s="39" t="str">
        <f t="shared" si="2"/>
        <v/>
      </c>
      <c r="AJ15" s="46" t="s">
        <v>80</v>
      </c>
      <c r="AK15" s="48" t="e">
        <f t="shared" ca="1" si="3"/>
        <v>#VALUE!</v>
      </c>
      <c r="AL15" s="48" t="e">
        <f ca="1">AL27&amp;"-"&amp;AL49</f>
        <v>#VALUE!</v>
      </c>
      <c r="AM15" s="48" t="s">
        <v>81</v>
      </c>
    </row>
    <row r="16" spans="2:39">
      <c r="B16" s="115" t="s">
        <v>179</v>
      </c>
      <c r="C16" s="128"/>
      <c r="D16" s="126" t="s">
        <v>178</v>
      </c>
      <c r="L16" s="23" t="e">
        <f t="shared" ca="1" si="4"/>
        <v>#VALUE!</v>
      </c>
      <c r="M16" s="45"/>
      <c r="N16" s="10"/>
      <c r="O16" s="17" t="str">
        <f t="shared" si="5"/>
        <v/>
      </c>
      <c r="P16" s="23" t="e">
        <f t="shared" ca="1" si="6"/>
        <v>#VALUE!</v>
      </c>
      <c r="Q16" s="45"/>
      <c r="R16" s="10"/>
      <c r="S16" s="17" t="str">
        <f t="shared" si="7"/>
        <v/>
      </c>
      <c r="U16" s="24"/>
      <c r="V16" s="104"/>
      <c r="W16" s="109"/>
      <c r="X16" s="104"/>
      <c r="Y16" s="18"/>
      <c r="Z16" s="26"/>
      <c r="AA16" s="104"/>
      <c r="AB16" s="104"/>
      <c r="AC16" s="104"/>
      <c r="AD16" s="18"/>
      <c r="AF16" s="39" t="str">
        <f t="shared" si="0"/>
        <v/>
      </c>
      <c r="AG16" s="12" t="str">
        <f t="shared" si="1"/>
        <v/>
      </c>
      <c r="AH16" s="39" t="str">
        <f t="shared" si="2"/>
        <v/>
      </c>
      <c r="AJ16" s="46" t="s">
        <v>27</v>
      </c>
      <c r="AK16" s="48" t="e">
        <f t="shared" ca="1" si="3"/>
        <v>#VALUE!</v>
      </c>
      <c r="AL16" s="50" t="e">
        <f ca="1">AL26</f>
        <v>#VALUE!</v>
      </c>
      <c r="AM16" s="48">
        <v>1000000</v>
      </c>
    </row>
    <row r="17" spans="2:39">
      <c r="L17" s="23" t="e">
        <f t="shared" ca="1" si="4"/>
        <v>#VALUE!</v>
      </c>
      <c r="M17" s="45"/>
      <c r="N17" s="10"/>
      <c r="O17" s="17" t="str">
        <f t="shared" si="5"/>
        <v/>
      </c>
      <c r="P17" s="23" t="e">
        <f t="shared" ca="1" si="6"/>
        <v>#VALUE!</v>
      </c>
      <c r="Q17" s="45"/>
      <c r="R17" s="10"/>
      <c r="S17" s="17" t="str">
        <f t="shared" si="7"/>
        <v/>
      </c>
      <c r="U17" s="24"/>
      <c r="V17" s="104"/>
      <c r="W17" s="109"/>
      <c r="X17" s="104"/>
      <c r="Y17" s="18"/>
      <c r="Z17" s="26"/>
      <c r="AA17" s="104"/>
      <c r="AB17" s="104"/>
      <c r="AC17" s="104"/>
      <c r="AD17" s="18"/>
      <c r="AF17" s="39" t="str">
        <f t="shared" si="0"/>
        <v/>
      </c>
      <c r="AG17" s="12" t="str">
        <f t="shared" si="1"/>
        <v/>
      </c>
      <c r="AH17" s="39" t="str">
        <f t="shared" si="2"/>
        <v/>
      </c>
      <c r="AJ17" s="46" t="s">
        <v>82</v>
      </c>
      <c r="AK17" s="48" t="e">
        <f t="shared" ca="1" si="3"/>
        <v>#VALUE!</v>
      </c>
      <c r="AL17" s="50" t="e">
        <f ca="1">UPPER(AL27)</f>
        <v>#VALUE!</v>
      </c>
      <c r="AM17" s="48" t="s">
        <v>13</v>
      </c>
    </row>
    <row r="18" spans="2:39">
      <c r="B18" s="89" t="s">
        <v>114</v>
      </c>
      <c r="C18" s="89"/>
      <c r="D18" s="8"/>
      <c r="F18" s="517" t="s">
        <v>102</v>
      </c>
      <c r="G18" s="518"/>
      <c r="I18" s="517" t="s">
        <v>103</v>
      </c>
      <c r="J18" s="518"/>
      <c r="L18" s="23" t="e">
        <f t="shared" ca="1" si="4"/>
        <v>#VALUE!</v>
      </c>
      <c r="M18" s="45"/>
      <c r="N18" s="10"/>
      <c r="O18" s="17" t="str">
        <f t="shared" si="5"/>
        <v/>
      </c>
      <c r="P18" s="23" t="e">
        <f t="shared" ca="1" si="6"/>
        <v>#VALUE!</v>
      </c>
      <c r="Q18" s="45"/>
      <c r="R18" s="10"/>
      <c r="S18" s="17" t="str">
        <f t="shared" si="7"/>
        <v/>
      </c>
      <c r="U18" s="24"/>
      <c r="V18" s="104"/>
      <c r="W18" s="109"/>
      <c r="X18" s="104"/>
      <c r="Y18" s="18"/>
      <c r="Z18" s="26"/>
      <c r="AA18" s="104"/>
      <c r="AB18" s="104"/>
      <c r="AC18" s="104"/>
      <c r="AD18" s="18"/>
      <c r="AF18" s="39" t="str">
        <f t="shared" si="0"/>
        <v/>
      </c>
      <c r="AG18" s="12" t="str">
        <f t="shared" si="1"/>
        <v/>
      </c>
      <c r="AH18" s="39" t="str">
        <f t="shared" si="2"/>
        <v/>
      </c>
      <c r="AJ18" s="46" t="s">
        <v>24</v>
      </c>
      <c r="AK18" s="48" t="e">
        <f t="shared" ca="1" si="3"/>
        <v>#VALUE!</v>
      </c>
      <c r="AL18" s="50" t="e">
        <f ca="1">AK48/AK26</f>
        <v>#VALUE!</v>
      </c>
      <c r="AM18" s="48">
        <v>1</v>
      </c>
    </row>
    <row r="19" spans="2:39">
      <c r="B19" s="119" t="s">
        <v>170</v>
      </c>
      <c r="C19" s="92" t="s">
        <v>93</v>
      </c>
      <c r="D19" s="140" t="e">
        <f ca="1">IF(AK71="Pay", D20,IF(AK71="Receive", D21, 0))</f>
        <v>#VALUE!</v>
      </c>
      <c r="F19" s="95" t="s">
        <v>61</v>
      </c>
      <c r="G19" s="95" t="s">
        <v>70</v>
      </c>
      <c r="I19" s="95" t="s">
        <v>61</v>
      </c>
      <c r="J19" s="95" t="s">
        <v>70</v>
      </c>
      <c r="L19" s="23" t="e">
        <f t="shared" ca="1" si="4"/>
        <v>#VALUE!</v>
      </c>
      <c r="M19" s="45"/>
      <c r="N19" s="10"/>
      <c r="O19" s="17" t="str">
        <f t="shared" si="5"/>
        <v/>
      </c>
      <c r="P19" s="23" t="e">
        <f t="shared" ca="1" si="6"/>
        <v>#VALUE!</v>
      </c>
      <c r="Q19" s="45"/>
      <c r="R19" s="10"/>
      <c r="S19" s="17" t="str">
        <f t="shared" si="7"/>
        <v/>
      </c>
      <c r="U19" s="24"/>
      <c r="V19" s="104"/>
      <c r="W19" s="109"/>
      <c r="X19" s="104"/>
      <c r="Y19" s="18"/>
      <c r="Z19" s="26"/>
      <c r="AA19" s="104"/>
      <c r="AB19" s="104"/>
      <c r="AC19" s="104"/>
      <c r="AD19" s="18"/>
      <c r="AF19" s="39" t="str">
        <f t="shared" si="0"/>
        <v/>
      </c>
      <c r="AG19" s="12" t="str">
        <f t="shared" si="1"/>
        <v/>
      </c>
      <c r="AH19" s="39" t="str">
        <f t="shared" si="2"/>
        <v/>
      </c>
      <c r="AJ19" s="46" t="s">
        <v>83</v>
      </c>
      <c r="AK19" s="48" t="e">
        <f t="shared" ca="1" si="3"/>
        <v>#VALUE!</v>
      </c>
      <c r="AL19" s="48" t="e">
        <f ca="1">NOT(G8=J8)</f>
        <v>#VALUE!</v>
      </c>
      <c r="AM19" s="48" t="b">
        <v>0</v>
      </c>
    </row>
    <row r="20" spans="2:39">
      <c r="B20" s="120" t="s">
        <v>168</v>
      </c>
      <c r="C20" s="93" t="s">
        <v>138</v>
      </c>
      <c r="D20" s="116"/>
      <c r="F20" s="39"/>
      <c r="G20" s="39"/>
      <c r="I20" s="39"/>
      <c r="J20" s="39"/>
      <c r="L20" s="23" t="e">
        <f t="shared" ca="1" si="4"/>
        <v>#VALUE!</v>
      </c>
      <c r="M20" s="45"/>
      <c r="N20" s="10"/>
      <c r="O20" s="17" t="str">
        <f t="shared" si="5"/>
        <v/>
      </c>
      <c r="P20" s="23" t="e">
        <f t="shared" ca="1" si="6"/>
        <v>#VALUE!</v>
      </c>
      <c r="Q20" s="45"/>
      <c r="R20" s="10"/>
      <c r="S20" s="17" t="str">
        <f t="shared" si="7"/>
        <v/>
      </c>
      <c r="U20" s="24"/>
      <c r="V20" s="104"/>
      <c r="W20" s="109"/>
      <c r="X20" s="104"/>
      <c r="Y20" s="18"/>
      <c r="Z20" s="26"/>
      <c r="AA20" s="104"/>
      <c r="AB20" s="104"/>
      <c r="AC20" s="104"/>
      <c r="AD20" s="18"/>
      <c r="AF20" s="39" t="str">
        <f t="shared" si="0"/>
        <v/>
      </c>
      <c r="AG20" s="12" t="str">
        <f t="shared" si="1"/>
        <v/>
      </c>
      <c r="AH20" s="39" t="str">
        <f t="shared" si="2"/>
        <v/>
      </c>
      <c r="AJ20" s="46" t="s">
        <v>84</v>
      </c>
      <c r="AK20" s="48" t="e">
        <f t="shared" ca="1" si="3"/>
        <v>#VALUE!</v>
      </c>
      <c r="AL20" s="48" t="e">
        <f ca="1">NOT(G8=J8)</f>
        <v>#VALUE!</v>
      </c>
      <c r="AM20" s="48" t="b">
        <v>0</v>
      </c>
    </row>
    <row r="21" spans="2:39">
      <c r="B21" s="120" t="s">
        <v>171</v>
      </c>
      <c r="C21" s="93" t="s">
        <v>139</v>
      </c>
      <c r="D21" s="116"/>
      <c r="F21" s="39"/>
      <c r="G21" s="39"/>
      <c r="I21" s="39"/>
      <c r="J21" s="39"/>
      <c r="L21" s="23" t="e">
        <f t="shared" ca="1" si="4"/>
        <v>#VALUE!</v>
      </c>
      <c r="M21" s="45"/>
      <c r="N21" s="10"/>
      <c r="O21" s="17" t="str">
        <f t="shared" si="5"/>
        <v/>
      </c>
      <c r="P21" s="23" t="e">
        <f t="shared" ca="1" si="6"/>
        <v>#VALUE!</v>
      </c>
      <c r="Q21" s="45"/>
      <c r="R21" s="10"/>
      <c r="S21" s="17" t="str">
        <f t="shared" si="7"/>
        <v/>
      </c>
      <c r="U21" s="24"/>
      <c r="V21" s="104"/>
      <c r="W21" s="109"/>
      <c r="X21" s="104"/>
      <c r="Y21" s="18"/>
      <c r="Z21" s="26"/>
      <c r="AA21" s="104"/>
      <c r="AB21" s="104"/>
      <c r="AC21" s="104"/>
      <c r="AD21" s="18"/>
      <c r="AF21" s="39" t="str">
        <f t="shared" si="0"/>
        <v/>
      </c>
      <c r="AG21" s="12" t="str">
        <f t="shared" si="1"/>
        <v/>
      </c>
      <c r="AH21" s="39" t="str">
        <f t="shared" si="2"/>
        <v/>
      </c>
      <c r="AJ21" s="46" t="s">
        <v>85</v>
      </c>
      <c r="AK21" s="48" t="str">
        <f t="shared" si="3"/>
        <v>Sydney</v>
      </c>
      <c r="AL21" s="48" t="str">
        <f>G14</f>
        <v>Sydney</v>
      </c>
      <c r="AM21" s="48" t="s">
        <v>64</v>
      </c>
    </row>
    <row r="22" spans="2:39">
      <c r="B22" s="120" t="s">
        <v>99</v>
      </c>
      <c r="C22" s="93" t="s">
        <v>99</v>
      </c>
      <c r="D22" s="116"/>
      <c r="F22" s="39"/>
      <c r="G22" s="39"/>
      <c r="I22" s="39"/>
      <c r="J22" s="39"/>
      <c r="L22" s="23" t="e">
        <f t="shared" ca="1" si="4"/>
        <v>#VALUE!</v>
      </c>
      <c r="M22" s="45"/>
      <c r="N22" s="10"/>
      <c r="O22" s="17" t="str">
        <f t="shared" si="5"/>
        <v/>
      </c>
      <c r="P22" s="23" t="e">
        <f t="shared" ca="1" si="6"/>
        <v>#VALUE!</v>
      </c>
      <c r="Q22" s="45"/>
      <c r="R22" s="10"/>
      <c r="S22" s="17" t="str">
        <f t="shared" si="7"/>
        <v/>
      </c>
      <c r="U22" s="24"/>
      <c r="V22" s="104"/>
      <c r="W22" s="109"/>
      <c r="X22" s="104"/>
      <c r="Y22" s="18"/>
      <c r="Z22" s="26"/>
      <c r="AA22" s="104"/>
      <c r="AB22" s="104"/>
      <c r="AC22" s="104"/>
      <c r="AD22" s="18"/>
      <c r="AF22" s="39" t="str">
        <f t="shared" si="0"/>
        <v/>
      </c>
      <c r="AG22" s="12" t="str">
        <f t="shared" si="1"/>
        <v/>
      </c>
      <c r="AH22" s="39" t="str">
        <f t="shared" si="2"/>
        <v/>
      </c>
      <c r="AJ22" s="52" t="s">
        <v>86</v>
      </c>
      <c r="AK22" s="53" t="str">
        <f t="shared" si="3"/>
        <v>MODFOLLOWING</v>
      </c>
      <c r="AL22" s="53"/>
      <c r="AM22" s="53" t="s">
        <v>25</v>
      </c>
    </row>
    <row r="23" spans="2:39">
      <c r="B23" s="120" t="s">
        <v>167</v>
      </c>
      <c r="C23" s="93" t="s">
        <v>166</v>
      </c>
      <c r="D23" s="117"/>
      <c r="E23" s="49"/>
      <c r="F23" s="39"/>
      <c r="G23" s="39"/>
      <c r="I23" s="39"/>
      <c r="J23" s="39"/>
      <c r="L23" s="23" t="e">
        <f t="shared" ca="1" si="4"/>
        <v>#VALUE!</v>
      </c>
      <c r="M23" s="45"/>
      <c r="N23" s="10"/>
      <c r="O23" s="17" t="str">
        <f t="shared" si="5"/>
        <v/>
      </c>
      <c r="P23" s="23" t="e">
        <f t="shared" ca="1" si="6"/>
        <v>#VALUE!</v>
      </c>
      <c r="Q23" s="45"/>
      <c r="R23" s="10"/>
      <c r="S23" s="17" t="str">
        <f t="shared" si="7"/>
        <v/>
      </c>
      <c r="U23" s="24"/>
      <c r="V23" s="104"/>
      <c r="W23" s="109"/>
      <c r="X23" s="104"/>
      <c r="Y23" s="18"/>
      <c r="Z23" s="26"/>
      <c r="AA23" s="104"/>
      <c r="AB23" s="104"/>
      <c r="AC23" s="104"/>
      <c r="AD23" s="18"/>
      <c r="AF23" s="39" t="str">
        <f t="shared" si="0"/>
        <v/>
      </c>
      <c r="AG23" s="12" t="str">
        <f t="shared" si="1"/>
        <v/>
      </c>
      <c r="AH23" s="39" t="str">
        <f t="shared" si="2"/>
        <v/>
      </c>
      <c r="AK23" s="54"/>
      <c r="AL23" s="54"/>
    </row>
    <row r="24" spans="2:39">
      <c r="B24" s="115" t="s">
        <v>142</v>
      </c>
      <c r="C24" s="94" t="s">
        <v>142</v>
      </c>
      <c r="D24" s="118"/>
      <c r="F24" s="39"/>
      <c r="G24" s="39"/>
      <c r="I24" s="39"/>
      <c r="J24" s="39"/>
      <c r="L24" s="23" t="e">
        <f t="shared" ca="1" si="4"/>
        <v>#VALUE!</v>
      </c>
      <c r="M24" s="45"/>
      <c r="N24" s="10"/>
      <c r="O24" s="17" t="str">
        <f t="shared" si="5"/>
        <v/>
      </c>
      <c r="P24" s="23" t="e">
        <f t="shared" ca="1" si="6"/>
        <v>#VALUE!</v>
      </c>
      <c r="Q24" s="45"/>
      <c r="R24" s="10"/>
      <c r="S24" s="17" t="str">
        <f t="shared" si="7"/>
        <v/>
      </c>
      <c r="U24" s="24"/>
      <c r="V24" s="104"/>
      <c r="W24" s="109"/>
      <c r="X24" s="104"/>
      <c r="Y24" s="18"/>
      <c r="Z24" s="26"/>
      <c r="AA24" s="104"/>
      <c r="AB24" s="104"/>
      <c r="AC24" s="104"/>
      <c r="AD24" s="18"/>
      <c r="AF24" s="39" t="str">
        <f t="shared" si="0"/>
        <v/>
      </c>
      <c r="AG24" s="12" t="str">
        <f t="shared" si="1"/>
        <v/>
      </c>
      <c r="AH24" s="39" t="str">
        <f t="shared" si="2"/>
        <v/>
      </c>
      <c r="AJ24" s="55" t="s">
        <v>104</v>
      </c>
      <c r="AK24" s="86"/>
      <c r="AL24" s="54"/>
    </row>
    <row r="25" spans="2:39">
      <c r="F25" s="39"/>
      <c r="G25" s="39"/>
      <c r="I25" s="39"/>
      <c r="J25" s="39"/>
      <c r="L25" s="23" t="e">
        <f t="shared" ca="1" si="4"/>
        <v>#VALUE!</v>
      </c>
      <c r="M25" s="45"/>
      <c r="N25" s="10"/>
      <c r="O25" s="17" t="str">
        <f t="shared" si="5"/>
        <v/>
      </c>
      <c r="P25" s="23" t="e">
        <f t="shared" ca="1" si="6"/>
        <v>#VALUE!</v>
      </c>
      <c r="Q25" s="45"/>
      <c r="R25" s="10"/>
      <c r="S25" s="17" t="str">
        <f t="shared" si="7"/>
        <v/>
      </c>
      <c r="U25" s="24"/>
      <c r="V25" s="104"/>
      <c r="W25" s="109"/>
      <c r="X25" s="104"/>
      <c r="Y25" s="18"/>
      <c r="Z25" s="26"/>
      <c r="AA25" s="104"/>
      <c r="AB25" s="104"/>
      <c r="AC25" s="104"/>
      <c r="AD25" s="18"/>
      <c r="AF25" s="39" t="str">
        <f t="shared" si="0"/>
        <v/>
      </c>
      <c r="AG25" s="12" t="str">
        <f t="shared" si="1"/>
        <v/>
      </c>
      <c r="AH25" s="39" t="str">
        <f t="shared" si="2"/>
        <v/>
      </c>
      <c r="AJ25" s="42" t="s">
        <v>26</v>
      </c>
      <c r="AK25" s="56" t="e">
        <f t="shared" ref="AK25:AK44" ca="1" si="8">IF(AL25="",AM25,AL25)</f>
        <v>#VALUE!</v>
      </c>
      <c r="AL25" s="56" t="e">
        <f ca="1">G6</f>
        <v>#VALUE!</v>
      </c>
      <c r="AM25" s="56" t="s">
        <v>66</v>
      </c>
    </row>
    <row r="26" spans="2:39">
      <c r="B26" s="102" t="s">
        <v>180</v>
      </c>
      <c r="F26" s="39"/>
      <c r="G26" s="39"/>
      <c r="I26" s="39"/>
      <c r="J26" s="39"/>
      <c r="L26" s="23" t="e">
        <f t="shared" ca="1" si="4"/>
        <v>#VALUE!</v>
      </c>
      <c r="M26" s="45"/>
      <c r="N26" s="10"/>
      <c r="O26" s="17" t="str">
        <f t="shared" si="5"/>
        <v/>
      </c>
      <c r="P26" s="23" t="e">
        <f t="shared" ca="1" si="6"/>
        <v>#VALUE!</v>
      </c>
      <c r="Q26" s="45"/>
      <c r="R26" s="10"/>
      <c r="S26" s="17" t="str">
        <f t="shared" si="7"/>
        <v/>
      </c>
      <c r="U26" s="24"/>
      <c r="V26" s="104"/>
      <c r="W26" s="109"/>
      <c r="X26" s="104"/>
      <c r="Y26" s="18"/>
      <c r="Z26" s="26"/>
      <c r="AA26" s="104"/>
      <c r="AB26" s="104"/>
      <c r="AC26" s="104"/>
      <c r="AD26" s="18"/>
      <c r="AF26" s="39" t="str">
        <f t="shared" si="0"/>
        <v/>
      </c>
      <c r="AG26" s="12" t="str">
        <f t="shared" si="1"/>
        <v/>
      </c>
      <c r="AH26" s="39" t="str">
        <f t="shared" si="2"/>
        <v/>
      </c>
      <c r="AJ26" s="57" t="s">
        <v>27</v>
      </c>
      <c r="AK26" s="58" t="e">
        <f t="shared" ca="1" si="8"/>
        <v>#VALUE!</v>
      </c>
      <c r="AL26" s="58" t="e">
        <f ca="1">G7</f>
        <v>#VALUE!</v>
      </c>
      <c r="AM26" s="58">
        <v>1000000</v>
      </c>
    </row>
    <row r="27" spans="2:39">
      <c r="B27" s="119" t="s">
        <v>181</v>
      </c>
      <c r="C27" s="119" t="s">
        <v>175</v>
      </c>
      <c r="D27" s="129">
        <v>0.2</v>
      </c>
      <c r="F27" s="39"/>
      <c r="G27" s="39"/>
      <c r="I27" s="39"/>
      <c r="J27" s="39"/>
      <c r="L27" s="23" t="e">
        <f t="shared" ca="1" si="4"/>
        <v>#VALUE!</v>
      </c>
      <c r="M27" s="45"/>
      <c r="N27" s="10"/>
      <c r="O27" s="17" t="str">
        <f t="shared" si="5"/>
        <v/>
      </c>
      <c r="P27" s="23" t="e">
        <f t="shared" ca="1" si="6"/>
        <v>#VALUE!</v>
      </c>
      <c r="Q27" s="45"/>
      <c r="R27" s="10"/>
      <c r="S27" s="17" t="str">
        <f t="shared" si="7"/>
        <v/>
      </c>
      <c r="U27" s="24"/>
      <c r="V27" s="104"/>
      <c r="W27" s="109"/>
      <c r="X27" s="104"/>
      <c r="Y27" s="18"/>
      <c r="Z27" s="26"/>
      <c r="AA27" s="104"/>
      <c r="AB27" s="104"/>
      <c r="AC27" s="104"/>
      <c r="AD27" s="18"/>
      <c r="AF27" s="51" t="str">
        <f t="shared" si="0"/>
        <v/>
      </c>
      <c r="AG27" s="13" t="str">
        <f t="shared" si="1"/>
        <v/>
      </c>
      <c r="AH27" s="51" t="str">
        <f t="shared" si="2"/>
        <v/>
      </c>
      <c r="AJ27" s="57" t="s">
        <v>28</v>
      </c>
      <c r="AK27" s="59" t="e">
        <f t="shared" ca="1" si="8"/>
        <v>#VALUE!</v>
      </c>
      <c r="AL27" s="59" t="e">
        <f ca="1">UPPER(G8)</f>
        <v>#VALUE!</v>
      </c>
      <c r="AM27" s="59" t="s">
        <v>13</v>
      </c>
    </row>
    <row r="28" spans="2:39">
      <c r="B28" s="122" t="s">
        <v>172</v>
      </c>
      <c r="C28" s="143"/>
      <c r="D28" s="144"/>
      <c r="F28" s="39"/>
      <c r="G28" s="39"/>
      <c r="I28" s="39"/>
      <c r="J28" s="39"/>
      <c r="L28" s="23" t="e">
        <f t="shared" ca="1" si="4"/>
        <v>#VALUE!</v>
      </c>
      <c r="M28" s="45"/>
      <c r="N28" s="10"/>
      <c r="O28" s="17" t="str">
        <f t="shared" si="5"/>
        <v/>
      </c>
      <c r="P28" s="23" t="e">
        <f t="shared" ca="1" si="6"/>
        <v>#VALUE!</v>
      </c>
      <c r="Q28" s="45"/>
      <c r="R28" s="10"/>
      <c r="S28" s="17" t="str">
        <f t="shared" si="7"/>
        <v/>
      </c>
      <c r="U28" s="24"/>
      <c r="V28" s="104"/>
      <c r="W28" s="109"/>
      <c r="X28" s="104"/>
      <c r="Y28" s="18"/>
      <c r="Z28" s="26"/>
      <c r="AA28" s="104"/>
      <c r="AB28" s="104"/>
      <c r="AC28" s="104"/>
      <c r="AD28" s="18"/>
      <c r="AJ28" s="57" t="s">
        <v>87</v>
      </c>
      <c r="AK28" s="59" t="str">
        <f t="shared" si="8"/>
        <v>Forward</v>
      </c>
      <c r="AL28" s="59"/>
      <c r="AM28" s="59" t="s">
        <v>29</v>
      </c>
    </row>
    <row r="29" spans="2:39">
      <c r="B29" s="120" t="s">
        <v>173</v>
      </c>
      <c r="C29" s="142"/>
      <c r="D29" s="145"/>
      <c r="F29" s="39"/>
      <c r="G29" s="39"/>
      <c r="I29" s="39"/>
      <c r="J29" s="39"/>
      <c r="L29" s="23" t="e">
        <f t="shared" ca="1" si="4"/>
        <v>#VALUE!</v>
      </c>
      <c r="M29" s="45"/>
      <c r="N29" s="10"/>
      <c r="O29" s="17" t="str">
        <f t="shared" si="5"/>
        <v/>
      </c>
      <c r="P29" s="23" t="e">
        <f t="shared" ca="1" si="6"/>
        <v>#VALUE!</v>
      </c>
      <c r="Q29" s="45"/>
      <c r="R29" s="10"/>
      <c r="S29" s="17" t="str">
        <f t="shared" si="7"/>
        <v/>
      </c>
      <c r="U29" s="26"/>
      <c r="V29" s="104"/>
      <c r="W29" s="109"/>
      <c r="X29" s="104"/>
      <c r="Y29" s="18"/>
      <c r="Z29" s="26"/>
      <c r="AA29" s="104"/>
      <c r="AB29" s="104"/>
      <c r="AC29" s="104"/>
      <c r="AD29" s="18"/>
      <c r="AF29" s="519"/>
      <c r="AG29" s="520"/>
      <c r="AH29" s="521"/>
      <c r="AJ29" s="57" t="s">
        <v>30</v>
      </c>
      <c r="AK29" s="59" t="str">
        <f t="shared" si="8"/>
        <v>Sydney</v>
      </c>
      <c r="AL29" s="59" t="str">
        <f>G14</f>
        <v>Sydney</v>
      </c>
      <c r="AM29" s="59" t="s">
        <v>64</v>
      </c>
    </row>
    <row r="30" spans="2:39">
      <c r="B30" s="120" t="s">
        <v>185</v>
      </c>
      <c r="C30" s="142"/>
      <c r="D30" s="146" t="e">
        <f>D28/D29</f>
        <v>#DIV/0!</v>
      </c>
      <c r="F30" s="39"/>
      <c r="G30" s="39"/>
      <c r="I30" s="39"/>
      <c r="J30" s="39"/>
      <c r="L30" s="23" t="e">
        <f t="shared" ca="1" si="4"/>
        <v>#VALUE!</v>
      </c>
      <c r="M30" s="45"/>
      <c r="N30" s="10"/>
      <c r="O30" s="17" t="str">
        <f t="shared" si="5"/>
        <v/>
      </c>
      <c r="P30" s="23" t="e">
        <f t="shared" ca="1" si="6"/>
        <v>#VALUE!</v>
      </c>
      <c r="Q30" s="45"/>
      <c r="R30" s="10"/>
      <c r="S30" s="17" t="str">
        <f t="shared" si="7"/>
        <v/>
      </c>
      <c r="U30" s="26"/>
      <c r="V30" s="104"/>
      <c r="W30" s="109"/>
      <c r="X30" s="104"/>
      <c r="Y30" s="18"/>
      <c r="Z30" s="26"/>
      <c r="AA30" s="104"/>
      <c r="AB30" s="104"/>
      <c r="AC30" s="104"/>
      <c r="AD30" s="18"/>
      <c r="AF30" s="522" t="s">
        <v>106</v>
      </c>
      <c r="AG30" s="523"/>
      <c r="AH30" s="524"/>
      <c r="AJ30" s="57" t="s">
        <v>31</v>
      </c>
      <c r="AK30" s="59" t="e">
        <f t="shared" ca="1" si="8"/>
        <v>#VALUE!</v>
      </c>
      <c r="AL30" s="60" t="e">
        <f ca="1">G12</f>
        <v>#VALUE!</v>
      </c>
      <c r="AM30" s="59" t="s">
        <v>18</v>
      </c>
    </row>
    <row r="31" spans="2:39">
      <c r="B31" s="120" t="s">
        <v>186</v>
      </c>
      <c r="C31" s="142"/>
      <c r="D31" s="146" t="e">
        <f ca="1">IF(D15="",J10,D15/D29)</f>
        <v>#VALUE!</v>
      </c>
      <c r="F31" s="39"/>
      <c r="G31" s="39"/>
      <c r="I31" s="39"/>
      <c r="J31" s="39"/>
      <c r="L31" s="23" t="e">
        <f t="shared" ca="1" si="4"/>
        <v>#VALUE!</v>
      </c>
      <c r="M31" s="45"/>
      <c r="N31" s="10"/>
      <c r="O31" s="17" t="str">
        <f t="shared" si="5"/>
        <v/>
      </c>
      <c r="P31" s="23" t="e">
        <f t="shared" ca="1" si="6"/>
        <v>#VALUE!</v>
      </c>
      <c r="Q31" s="45"/>
      <c r="R31" s="10"/>
      <c r="S31" s="17" t="str">
        <f t="shared" si="7"/>
        <v/>
      </c>
      <c r="U31" s="26"/>
      <c r="V31" s="104"/>
      <c r="W31" s="109"/>
      <c r="X31" s="104"/>
      <c r="Y31" s="18"/>
      <c r="Z31" s="26"/>
      <c r="AA31" s="104"/>
      <c r="AB31" s="104"/>
      <c r="AC31" s="104"/>
      <c r="AD31" s="18"/>
      <c r="AF31" s="37" t="s">
        <v>96</v>
      </c>
      <c r="AG31" s="37" t="s">
        <v>97</v>
      </c>
      <c r="AH31" s="38" t="s">
        <v>32</v>
      </c>
      <c r="AJ31" s="57" t="s">
        <v>32</v>
      </c>
      <c r="AK31" s="59" t="e">
        <f t="shared" ca="1" si="8"/>
        <v>#VALUE!</v>
      </c>
      <c r="AL31" s="59" t="e">
        <f ca="1">G13</f>
        <v>#VALUE!</v>
      </c>
      <c r="AM31" s="59">
        <v>1</v>
      </c>
    </row>
    <row r="32" spans="2:39">
      <c r="B32" s="115" t="s">
        <v>187</v>
      </c>
      <c r="C32" s="142"/>
      <c r="D32" s="147" t="e">
        <f>SUM(D30:D31)</f>
        <v>#DIV/0!</v>
      </c>
      <c r="F32" s="39"/>
      <c r="G32" s="39"/>
      <c r="I32" s="39"/>
      <c r="J32" s="39"/>
      <c r="L32" s="23" t="e">
        <f t="shared" ca="1" si="4"/>
        <v>#VALUE!</v>
      </c>
      <c r="M32" s="45"/>
      <c r="N32" s="10"/>
      <c r="O32" s="17" t="str">
        <f t="shared" si="5"/>
        <v/>
      </c>
      <c r="P32" s="23" t="e">
        <f t="shared" ca="1" si="6"/>
        <v>#VALUE!</v>
      </c>
      <c r="Q32" s="45"/>
      <c r="R32" s="10"/>
      <c r="S32" s="17" t="str">
        <f t="shared" si="7"/>
        <v/>
      </c>
      <c r="U32" s="26"/>
      <c r="V32" s="104"/>
      <c r="W32" s="109"/>
      <c r="X32" s="104"/>
      <c r="Y32" s="18"/>
      <c r="Z32" s="26"/>
      <c r="AA32" s="104"/>
      <c r="AB32" s="104"/>
      <c r="AC32" s="104"/>
      <c r="AD32" s="18"/>
      <c r="AF32" s="39" t="str">
        <f t="shared" ref="AF32:AF51" si="9">IF(I20="","",I20)</f>
        <v/>
      </c>
      <c r="AG32" s="39" t="str">
        <f t="shared" ref="AG32:AG51" si="10">IF(J20="","",J20)</f>
        <v/>
      </c>
      <c r="AH32" s="40" t="str">
        <f t="shared" ref="AH32:AH51" si="11">IF(AF32="","",$G$13)</f>
        <v/>
      </c>
      <c r="AJ32" s="57" t="s">
        <v>88</v>
      </c>
      <c r="AK32" s="59" t="str">
        <f t="shared" si="8"/>
        <v>FOLLOWING</v>
      </c>
      <c r="AL32" s="59"/>
      <c r="AM32" s="59" t="s">
        <v>33</v>
      </c>
    </row>
    <row r="33" spans="6:39">
      <c r="F33" s="39"/>
      <c r="G33" s="39"/>
      <c r="I33" s="39"/>
      <c r="J33" s="39"/>
      <c r="L33" s="23" t="e">
        <f t="shared" ca="1" si="4"/>
        <v>#VALUE!</v>
      </c>
      <c r="M33" s="45"/>
      <c r="N33" s="10"/>
      <c r="O33" s="17" t="str">
        <f t="shared" si="5"/>
        <v/>
      </c>
      <c r="P33" s="23" t="e">
        <f t="shared" ca="1" si="6"/>
        <v>#VALUE!</v>
      </c>
      <c r="Q33" s="45"/>
      <c r="R33" s="10"/>
      <c r="S33" s="17" t="str">
        <f t="shared" si="7"/>
        <v/>
      </c>
      <c r="U33" s="26"/>
      <c r="V33" s="104"/>
      <c r="W33" s="109"/>
      <c r="X33" s="104"/>
      <c r="Y33" s="18"/>
      <c r="Z33" s="26"/>
      <c r="AA33" s="104"/>
      <c r="AB33" s="104"/>
      <c r="AC33" s="104"/>
      <c r="AD33" s="18"/>
      <c r="AF33" s="39" t="str">
        <f t="shared" si="9"/>
        <v/>
      </c>
      <c r="AG33" s="12" t="str">
        <f t="shared" si="10"/>
        <v/>
      </c>
      <c r="AH33" s="39" t="str">
        <f t="shared" si="11"/>
        <v/>
      </c>
      <c r="AJ33" s="57" t="s">
        <v>34</v>
      </c>
      <c r="AK33" s="59" t="str">
        <f t="shared" si="8"/>
        <v>ACT/365.FIXED</v>
      </c>
      <c r="AL33" s="59" t="str">
        <f>G15</f>
        <v>ACT/365.FIXED</v>
      </c>
      <c r="AM33" s="59" t="s">
        <v>76</v>
      </c>
    </row>
    <row r="34" spans="6:39">
      <c r="F34" s="39"/>
      <c r="G34" s="39"/>
      <c r="I34" s="39"/>
      <c r="J34" s="39"/>
      <c r="L34" s="23" t="e">
        <f t="shared" ca="1" si="4"/>
        <v>#VALUE!</v>
      </c>
      <c r="M34" s="45"/>
      <c r="N34" s="10"/>
      <c r="O34" s="17" t="str">
        <f t="shared" si="5"/>
        <v/>
      </c>
      <c r="P34" s="23" t="e">
        <f t="shared" ca="1" si="6"/>
        <v>#VALUE!</v>
      </c>
      <c r="Q34" s="45"/>
      <c r="R34" s="10"/>
      <c r="S34" s="17" t="str">
        <f t="shared" si="7"/>
        <v/>
      </c>
      <c r="U34" s="26"/>
      <c r="V34" s="104"/>
      <c r="W34" s="109"/>
      <c r="X34" s="104"/>
      <c r="Y34" s="18"/>
      <c r="Z34" s="26"/>
      <c r="AA34" s="104"/>
      <c r="AB34" s="104"/>
      <c r="AC34" s="104"/>
      <c r="AD34" s="18"/>
      <c r="AF34" s="39" t="str">
        <f t="shared" si="9"/>
        <v/>
      </c>
      <c r="AG34" s="12" t="str">
        <f t="shared" si="10"/>
        <v/>
      </c>
      <c r="AH34" s="39" t="str">
        <f t="shared" si="11"/>
        <v/>
      </c>
      <c r="AJ34" s="57" t="s">
        <v>35</v>
      </c>
      <c r="AK34" s="59" t="str">
        <f t="shared" si="8"/>
        <v>Standard</v>
      </c>
      <c r="AL34" s="59"/>
      <c r="AM34" s="59" t="s">
        <v>36</v>
      </c>
    </row>
    <row r="35" spans="6:39">
      <c r="F35" s="39"/>
      <c r="G35" s="39"/>
      <c r="I35" s="39"/>
      <c r="J35" s="39"/>
      <c r="L35" s="23" t="e">
        <f t="shared" ca="1" si="4"/>
        <v>#VALUE!</v>
      </c>
      <c r="M35" s="45"/>
      <c r="N35" s="10"/>
      <c r="O35" s="17" t="str">
        <f t="shared" si="5"/>
        <v/>
      </c>
      <c r="P35" s="23" t="e">
        <f t="shared" ca="1" si="6"/>
        <v>#VALUE!</v>
      </c>
      <c r="Q35" s="45"/>
      <c r="R35" s="10"/>
      <c r="S35" s="17" t="str">
        <f t="shared" si="7"/>
        <v/>
      </c>
      <c r="U35" s="26"/>
      <c r="V35" s="104"/>
      <c r="W35" s="109"/>
      <c r="X35" s="104"/>
      <c r="Y35" s="18"/>
      <c r="Z35" s="26"/>
      <c r="AA35" s="104"/>
      <c r="AB35" s="104"/>
      <c r="AC35" s="104"/>
      <c r="AD35" s="18"/>
      <c r="AF35" s="39" t="str">
        <f t="shared" si="9"/>
        <v/>
      </c>
      <c r="AG35" s="12" t="str">
        <f t="shared" si="10"/>
        <v/>
      </c>
      <c r="AH35" s="39" t="str">
        <f t="shared" si="11"/>
        <v/>
      </c>
      <c r="AJ35" s="57" t="s">
        <v>89</v>
      </c>
      <c r="AK35" s="62"/>
      <c r="AL35" s="62"/>
      <c r="AM35" s="61"/>
    </row>
    <row r="36" spans="6:39">
      <c r="F36" s="39"/>
      <c r="G36" s="39"/>
      <c r="I36" s="39"/>
      <c r="J36" s="39"/>
      <c r="L36" s="23" t="e">
        <f t="shared" ca="1" si="4"/>
        <v>#VALUE!</v>
      </c>
      <c r="M36" s="45"/>
      <c r="N36" s="10"/>
      <c r="O36" s="17" t="str">
        <f t="shared" si="5"/>
        <v/>
      </c>
      <c r="P36" s="23" t="e">
        <f t="shared" ca="1" si="6"/>
        <v>#VALUE!</v>
      </c>
      <c r="Q36" s="45"/>
      <c r="R36" s="10"/>
      <c r="S36" s="17" t="str">
        <f t="shared" si="7"/>
        <v/>
      </c>
      <c r="U36" s="26"/>
      <c r="V36" s="104"/>
      <c r="W36" s="109"/>
      <c r="X36" s="104"/>
      <c r="Y36" s="18"/>
      <c r="Z36" s="26"/>
      <c r="AA36" s="104"/>
      <c r="AB36" s="104"/>
      <c r="AC36" s="104"/>
      <c r="AD36" s="18"/>
      <c r="AF36" s="39" t="str">
        <f t="shared" si="9"/>
        <v/>
      </c>
      <c r="AG36" s="12" t="str">
        <f t="shared" si="10"/>
        <v/>
      </c>
      <c r="AH36" s="39" t="str">
        <f t="shared" si="11"/>
        <v/>
      </c>
      <c r="AJ36" s="57" t="s">
        <v>38</v>
      </c>
      <c r="AK36" s="59" t="e">
        <f t="shared" ca="1" si="8"/>
        <v>#VALUE!</v>
      </c>
      <c r="AL36" s="63" t="e">
        <f ca="1">G9</f>
        <v>#VALUE!</v>
      </c>
      <c r="AM36" s="63">
        <v>0</v>
      </c>
    </row>
    <row r="37" spans="6:39">
      <c r="F37" s="39"/>
      <c r="G37" s="39"/>
      <c r="I37" s="39"/>
      <c r="J37" s="39"/>
      <c r="L37" s="23" t="e">
        <f t="shared" ca="1" si="4"/>
        <v>#VALUE!</v>
      </c>
      <c r="M37" s="45"/>
      <c r="N37" s="10"/>
      <c r="O37" s="17" t="str">
        <f t="shared" si="5"/>
        <v/>
      </c>
      <c r="P37" s="23" t="e">
        <f t="shared" ca="1" si="6"/>
        <v>#VALUE!</v>
      </c>
      <c r="Q37" s="45"/>
      <c r="R37" s="10"/>
      <c r="S37" s="17" t="str">
        <f t="shared" si="7"/>
        <v/>
      </c>
      <c r="U37" s="26"/>
      <c r="V37" s="104"/>
      <c r="W37" s="109"/>
      <c r="X37" s="104"/>
      <c r="Y37" s="18"/>
      <c r="Z37" s="26"/>
      <c r="AA37" s="104"/>
      <c r="AB37" s="104"/>
      <c r="AC37" s="104"/>
      <c r="AD37" s="18"/>
      <c r="AF37" s="39" t="str">
        <f t="shared" si="9"/>
        <v/>
      </c>
      <c r="AG37" s="12" t="str">
        <f t="shared" si="10"/>
        <v/>
      </c>
      <c r="AH37" s="39" t="str">
        <f t="shared" si="11"/>
        <v/>
      </c>
      <c r="AJ37" s="57" t="s">
        <v>39</v>
      </c>
      <c r="AK37" s="59" t="b">
        <f t="shared" si="8"/>
        <v>0</v>
      </c>
      <c r="AL37" s="59"/>
      <c r="AM37" s="59" t="b">
        <v>0</v>
      </c>
    </row>
    <row r="38" spans="6:39">
      <c r="F38" s="39"/>
      <c r="G38" s="39"/>
      <c r="I38" s="39"/>
      <c r="J38" s="39"/>
      <c r="L38" s="23" t="e">
        <f t="shared" ca="1" si="4"/>
        <v>#VALUE!</v>
      </c>
      <c r="M38" s="45"/>
      <c r="N38" s="10"/>
      <c r="O38" s="17" t="str">
        <f t="shared" si="5"/>
        <v/>
      </c>
      <c r="P38" s="23" t="e">
        <f t="shared" ca="1" si="6"/>
        <v>#VALUE!</v>
      </c>
      <c r="Q38" s="45"/>
      <c r="R38" s="10"/>
      <c r="S38" s="17" t="str">
        <f t="shared" si="7"/>
        <v/>
      </c>
      <c r="U38" s="26"/>
      <c r="V38" s="104"/>
      <c r="W38" s="109"/>
      <c r="X38" s="104"/>
      <c r="Y38" s="18"/>
      <c r="Z38" s="26"/>
      <c r="AA38" s="104"/>
      <c r="AB38" s="104"/>
      <c r="AC38" s="104"/>
      <c r="AD38" s="18"/>
      <c r="AF38" s="39" t="str">
        <f t="shared" si="9"/>
        <v/>
      </c>
      <c r="AG38" s="12" t="str">
        <f t="shared" si="10"/>
        <v/>
      </c>
      <c r="AH38" s="39" t="str">
        <f t="shared" si="11"/>
        <v/>
      </c>
      <c r="AJ38" s="57" t="s">
        <v>90</v>
      </c>
      <c r="AK38" s="62"/>
      <c r="AL38" s="62"/>
      <c r="AM38" s="61"/>
    </row>
    <row r="39" spans="6:39">
      <c r="F39" s="51"/>
      <c r="G39" s="51"/>
      <c r="I39" s="51"/>
      <c r="J39" s="51"/>
      <c r="L39" s="23" t="e">
        <f t="shared" ca="1" si="4"/>
        <v>#VALUE!</v>
      </c>
      <c r="M39" s="45"/>
      <c r="N39" s="10"/>
      <c r="O39" s="17" t="str">
        <f t="shared" si="5"/>
        <v/>
      </c>
      <c r="P39" s="23" t="e">
        <f t="shared" ca="1" si="6"/>
        <v>#VALUE!</v>
      </c>
      <c r="Q39" s="45"/>
      <c r="R39" s="10"/>
      <c r="S39" s="17" t="str">
        <f t="shared" si="7"/>
        <v/>
      </c>
      <c r="U39" s="26"/>
      <c r="V39" s="104"/>
      <c r="W39" s="109"/>
      <c r="X39" s="104"/>
      <c r="Y39" s="18"/>
      <c r="Z39" s="26"/>
      <c r="AA39" s="104"/>
      <c r="AB39" s="104"/>
      <c r="AC39" s="104"/>
      <c r="AD39" s="18"/>
      <c r="AF39" s="39" t="str">
        <f t="shared" si="9"/>
        <v/>
      </c>
      <c r="AG39" s="12" t="str">
        <f t="shared" si="10"/>
        <v/>
      </c>
      <c r="AH39" s="39" t="str">
        <f t="shared" si="11"/>
        <v/>
      </c>
      <c r="AJ39" s="57" t="s">
        <v>41</v>
      </c>
      <c r="AK39" s="59" t="str">
        <f t="shared" si="8"/>
        <v>Sydney</v>
      </c>
      <c r="AL39" s="59" t="str">
        <f>G14</f>
        <v>Sydney</v>
      </c>
      <c r="AM39" s="59" t="s">
        <v>64</v>
      </c>
    </row>
    <row r="40" spans="6:39">
      <c r="F40" s="5" t="s">
        <v>108</v>
      </c>
      <c r="G40" s="4"/>
      <c r="H40" s="4"/>
      <c r="I40" s="4"/>
      <c r="J40" s="4"/>
      <c r="L40" s="23" t="e">
        <f t="shared" ca="1" si="4"/>
        <v>#VALUE!</v>
      </c>
      <c r="M40" s="45"/>
      <c r="N40" s="10"/>
      <c r="O40" s="17" t="str">
        <f t="shared" si="5"/>
        <v/>
      </c>
      <c r="P40" s="23" t="e">
        <f t="shared" ca="1" si="6"/>
        <v>#VALUE!</v>
      </c>
      <c r="Q40" s="45"/>
      <c r="R40" s="10"/>
      <c r="S40" s="17" t="str">
        <f t="shared" si="7"/>
        <v/>
      </c>
      <c r="U40" s="26"/>
      <c r="V40" s="104"/>
      <c r="W40" s="109"/>
      <c r="X40" s="104"/>
      <c r="Y40" s="18"/>
      <c r="Z40" s="26"/>
      <c r="AA40" s="104"/>
      <c r="AB40" s="104"/>
      <c r="AC40" s="104"/>
      <c r="AD40" s="18"/>
      <c r="AF40" s="39" t="str">
        <f t="shared" si="9"/>
        <v/>
      </c>
      <c r="AG40" s="12" t="str">
        <f t="shared" si="10"/>
        <v/>
      </c>
      <c r="AH40" s="39" t="str">
        <f t="shared" si="11"/>
        <v/>
      </c>
      <c r="AJ40" s="57" t="s">
        <v>42</v>
      </c>
      <c r="AK40" s="59" t="str">
        <f t="shared" si="8"/>
        <v>0D</v>
      </c>
      <c r="AL40" s="59"/>
      <c r="AM40" s="59" t="s">
        <v>43</v>
      </c>
    </row>
    <row r="41" spans="6:39">
      <c r="F41" s="4"/>
      <c r="G41" s="4"/>
      <c r="H41" s="529"/>
      <c r="I41" s="530"/>
      <c r="J41" s="530"/>
      <c r="L41" s="23" t="e">
        <f t="shared" ca="1" si="4"/>
        <v>#VALUE!</v>
      </c>
      <c r="M41" s="45"/>
      <c r="N41" s="10"/>
      <c r="O41" s="17" t="str">
        <f t="shared" si="5"/>
        <v/>
      </c>
      <c r="P41" s="23" t="e">
        <f t="shared" ca="1" si="6"/>
        <v>#VALUE!</v>
      </c>
      <c r="Q41" s="45"/>
      <c r="R41" s="10"/>
      <c r="S41" s="17" t="str">
        <f t="shared" si="7"/>
        <v/>
      </c>
      <c r="U41" s="26"/>
      <c r="V41" s="104"/>
      <c r="W41" s="109"/>
      <c r="X41" s="104"/>
      <c r="Y41" s="18"/>
      <c r="Z41" s="26"/>
      <c r="AA41" s="104"/>
      <c r="AB41" s="104"/>
      <c r="AC41" s="104"/>
      <c r="AD41" s="18"/>
      <c r="AF41" s="39" t="str">
        <f t="shared" si="9"/>
        <v/>
      </c>
      <c r="AG41" s="12" t="str">
        <f t="shared" si="10"/>
        <v/>
      </c>
      <c r="AH41" s="39" t="str">
        <f t="shared" si="11"/>
        <v/>
      </c>
      <c r="AJ41" s="57" t="s">
        <v>91</v>
      </c>
      <c r="AK41" s="59" t="str">
        <f t="shared" si="8"/>
        <v>NONE</v>
      </c>
      <c r="AL41" s="59"/>
      <c r="AM41" s="59" t="s">
        <v>44</v>
      </c>
    </row>
    <row r="42" spans="6:39">
      <c r="G42" s="4"/>
      <c r="H42" s="529"/>
      <c r="I42" s="530"/>
      <c r="J42" s="530"/>
      <c r="L42" s="23" t="e">
        <f t="shared" ca="1" si="4"/>
        <v>#VALUE!</v>
      </c>
      <c r="M42" s="45"/>
      <c r="N42" s="10"/>
      <c r="O42" s="17" t="str">
        <f t="shared" si="5"/>
        <v/>
      </c>
      <c r="P42" s="23" t="e">
        <f t="shared" ca="1" si="6"/>
        <v>#VALUE!</v>
      </c>
      <c r="Q42" s="45"/>
      <c r="R42" s="10"/>
      <c r="S42" s="17" t="str">
        <f t="shared" si="7"/>
        <v/>
      </c>
      <c r="U42" s="26"/>
      <c r="V42" s="104"/>
      <c r="W42" s="109"/>
      <c r="X42" s="104"/>
      <c r="Y42" s="18"/>
      <c r="Z42" s="26"/>
      <c r="AA42" s="104"/>
      <c r="AB42" s="104"/>
      <c r="AC42" s="104"/>
      <c r="AD42" s="18"/>
      <c r="AF42" s="39" t="str">
        <f t="shared" si="9"/>
        <v/>
      </c>
      <c r="AG42" s="12" t="str">
        <f t="shared" si="10"/>
        <v/>
      </c>
      <c r="AH42" s="39" t="str">
        <f t="shared" si="11"/>
        <v/>
      </c>
      <c r="AJ42" s="57" t="s">
        <v>45</v>
      </c>
      <c r="AK42" s="59" t="e">
        <f t="shared" ca="1" si="8"/>
        <v>#VALUE!</v>
      </c>
      <c r="AL42" s="59" t="e">
        <f ca="1">AL88</f>
        <v>#VALUE!</v>
      </c>
      <c r="AM42" s="59" t="s">
        <v>46</v>
      </c>
    </row>
    <row r="43" spans="6:39">
      <c r="G43" s="4"/>
      <c r="H43" s="529"/>
      <c r="I43" s="530"/>
      <c r="J43" s="530"/>
      <c r="L43" s="23" t="e">
        <f t="shared" ca="1" si="4"/>
        <v>#VALUE!</v>
      </c>
      <c r="M43" s="45"/>
      <c r="N43" s="10"/>
      <c r="O43" s="17" t="str">
        <f t="shared" si="5"/>
        <v/>
      </c>
      <c r="P43" s="23" t="e">
        <f t="shared" ca="1" si="6"/>
        <v>#VALUE!</v>
      </c>
      <c r="Q43" s="45"/>
      <c r="R43" s="10"/>
      <c r="S43" s="17" t="str">
        <f t="shared" si="7"/>
        <v/>
      </c>
      <c r="U43" s="26"/>
      <c r="V43" s="104"/>
      <c r="W43" s="109"/>
      <c r="X43" s="104"/>
      <c r="Y43" s="18"/>
      <c r="Z43" s="26"/>
      <c r="AA43" s="104"/>
      <c r="AB43" s="104"/>
      <c r="AC43" s="104"/>
      <c r="AD43" s="18"/>
      <c r="AF43" s="39" t="str">
        <f t="shared" si="9"/>
        <v/>
      </c>
      <c r="AG43" s="12" t="str">
        <f t="shared" si="10"/>
        <v/>
      </c>
      <c r="AH43" s="39" t="str">
        <f t="shared" si="11"/>
        <v/>
      </c>
      <c r="AJ43" s="57" t="s">
        <v>47</v>
      </c>
      <c r="AK43" s="59" t="e">
        <f t="shared" ca="1" si="8"/>
        <v>#VALUE!</v>
      </c>
      <c r="AL43" s="60" t="e">
        <f ca="1">G12</f>
        <v>#VALUE!</v>
      </c>
      <c r="AM43" s="59" t="s">
        <v>18</v>
      </c>
    </row>
    <row r="44" spans="6:39">
      <c r="F44" s="4"/>
      <c r="G44" s="4"/>
      <c r="H44" s="529"/>
      <c r="I44" s="530"/>
      <c r="J44" s="530"/>
      <c r="L44" s="23" t="e">
        <f t="shared" ca="1" si="4"/>
        <v>#VALUE!</v>
      </c>
      <c r="M44" s="45"/>
      <c r="N44" s="10"/>
      <c r="O44" s="17" t="str">
        <f t="shared" si="5"/>
        <v/>
      </c>
      <c r="P44" s="23" t="e">
        <f t="shared" ca="1" si="6"/>
        <v>#VALUE!</v>
      </c>
      <c r="Q44" s="45"/>
      <c r="R44" s="10"/>
      <c r="S44" s="17" t="str">
        <f t="shared" si="7"/>
        <v/>
      </c>
      <c r="U44" s="26"/>
      <c r="V44" s="104"/>
      <c r="W44" s="109"/>
      <c r="X44" s="104"/>
      <c r="Y44" s="18"/>
      <c r="Z44" s="26"/>
      <c r="AA44" s="104"/>
      <c r="AB44" s="104"/>
      <c r="AC44" s="104"/>
      <c r="AD44" s="18"/>
      <c r="AF44" s="39" t="str">
        <f t="shared" si="9"/>
        <v/>
      </c>
      <c r="AG44" s="12" t="str">
        <f t="shared" si="10"/>
        <v/>
      </c>
      <c r="AH44" s="39" t="str">
        <f t="shared" si="11"/>
        <v/>
      </c>
      <c r="AJ44" s="64" t="s">
        <v>48</v>
      </c>
      <c r="AK44" s="65" t="e">
        <f t="shared" ca="1" si="8"/>
        <v>#VALUE!</v>
      </c>
      <c r="AL44" s="65" t="e">
        <f ca="1">G11/10000</f>
        <v>#VALUE!</v>
      </c>
      <c r="AM44" s="65">
        <v>0</v>
      </c>
    </row>
    <row r="45" spans="6:39">
      <c r="F45" s="4"/>
      <c r="G45" s="4"/>
      <c r="H45" s="529"/>
      <c r="I45" s="530"/>
      <c r="J45" s="530"/>
      <c r="L45" s="23" t="e">
        <f t="shared" ca="1" si="4"/>
        <v>#VALUE!</v>
      </c>
      <c r="M45" s="45"/>
      <c r="N45" s="10"/>
      <c r="O45" s="17" t="str">
        <f t="shared" si="5"/>
        <v/>
      </c>
      <c r="P45" s="23" t="e">
        <f t="shared" ca="1" si="6"/>
        <v>#VALUE!</v>
      </c>
      <c r="Q45" s="45"/>
      <c r="R45" s="10"/>
      <c r="S45" s="17" t="str">
        <f t="shared" si="7"/>
        <v/>
      </c>
      <c r="U45" s="26"/>
      <c r="V45" s="104"/>
      <c r="W45" s="109"/>
      <c r="X45" s="104"/>
      <c r="Y45" s="18"/>
      <c r="Z45" s="26"/>
      <c r="AA45" s="104"/>
      <c r="AB45" s="104"/>
      <c r="AC45" s="104"/>
      <c r="AD45" s="18"/>
      <c r="AF45" s="39" t="str">
        <f t="shared" si="9"/>
        <v/>
      </c>
      <c r="AG45" s="12" t="str">
        <f t="shared" si="10"/>
        <v/>
      </c>
      <c r="AH45" s="39" t="str">
        <f t="shared" si="11"/>
        <v/>
      </c>
      <c r="AK45" s="54"/>
      <c r="AL45" s="54"/>
    </row>
    <row r="46" spans="6:39">
      <c r="F46" s="1"/>
      <c r="G46" s="2"/>
      <c r="L46" s="23" t="e">
        <f t="shared" ca="1" si="4"/>
        <v>#VALUE!</v>
      </c>
      <c r="M46" s="45"/>
      <c r="N46" s="10"/>
      <c r="O46" s="17" t="str">
        <f t="shared" si="5"/>
        <v/>
      </c>
      <c r="P46" s="23" t="e">
        <f t="shared" ca="1" si="6"/>
        <v>#VALUE!</v>
      </c>
      <c r="Q46" s="45"/>
      <c r="R46" s="10"/>
      <c r="S46" s="17" t="str">
        <f t="shared" si="7"/>
        <v/>
      </c>
      <c r="U46" s="26"/>
      <c r="V46" s="104"/>
      <c r="W46" s="109"/>
      <c r="X46" s="104"/>
      <c r="Y46" s="18"/>
      <c r="Z46" s="26"/>
      <c r="AA46" s="104"/>
      <c r="AB46" s="104"/>
      <c r="AC46" s="104"/>
      <c r="AD46" s="18"/>
      <c r="AF46" s="39" t="str">
        <f t="shared" si="9"/>
        <v/>
      </c>
      <c r="AG46" s="12" t="str">
        <f t="shared" si="10"/>
        <v/>
      </c>
      <c r="AH46" s="39" t="str">
        <f t="shared" si="11"/>
        <v/>
      </c>
      <c r="AJ46" s="66" t="s">
        <v>56</v>
      </c>
      <c r="AK46" s="86"/>
      <c r="AL46" s="54"/>
    </row>
    <row r="47" spans="6:39">
      <c r="F47" s="1"/>
      <c r="G47" s="2"/>
      <c r="L47" s="23" t="e">
        <f t="shared" ca="1" si="4"/>
        <v>#VALUE!</v>
      </c>
      <c r="M47" s="45"/>
      <c r="N47" s="10"/>
      <c r="O47" s="17" t="str">
        <f t="shared" si="5"/>
        <v/>
      </c>
      <c r="P47" s="23" t="e">
        <f t="shared" ca="1" si="6"/>
        <v>#VALUE!</v>
      </c>
      <c r="Q47" s="45"/>
      <c r="R47" s="10"/>
      <c r="S47" s="17" t="str">
        <f t="shared" si="7"/>
        <v/>
      </c>
      <c r="U47" s="26"/>
      <c r="V47" s="104"/>
      <c r="W47" s="109"/>
      <c r="X47" s="104"/>
      <c r="Y47" s="18"/>
      <c r="Z47" s="26"/>
      <c r="AA47" s="104"/>
      <c r="AB47" s="104"/>
      <c r="AC47" s="104"/>
      <c r="AD47" s="18"/>
      <c r="AF47" s="39" t="str">
        <f t="shared" si="9"/>
        <v/>
      </c>
      <c r="AG47" s="12" t="str">
        <f t="shared" si="10"/>
        <v/>
      </c>
      <c r="AH47" s="39" t="str">
        <f t="shared" si="11"/>
        <v/>
      </c>
      <c r="AJ47" s="42" t="s">
        <v>26</v>
      </c>
      <c r="AK47" s="67" t="e">
        <f t="shared" ref="AK47:AK66" ca="1" si="12">IF(AL47="",AM47,AL47)</f>
        <v>#VALUE!</v>
      </c>
      <c r="AL47" s="67" t="e">
        <f ca="1">J6</f>
        <v>#VALUE!</v>
      </c>
      <c r="AM47" s="56" t="s">
        <v>67</v>
      </c>
    </row>
    <row r="48" spans="6:39">
      <c r="F48" s="1"/>
      <c r="G48" s="2"/>
      <c r="L48" s="23" t="e">
        <f t="shared" ca="1" si="4"/>
        <v>#VALUE!</v>
      </c>
      <c r="M48" s="45"/>
      <c r="N48" s="10"/>
      <c r="O48" s="17" t="str">
        <f t="shared" si="5"/>
        <v/>
      </c>
      <c r="P48" s="23" t="e">
        <f t="shared" ca="1" si="6"/>
        <v>#VALUE!</v>
      </c>
      <c r="Q48" s="45"/>
      <c r="R48" s="10"/>
      <c r="S48" s="17" t="str">
        <f t="shared" si="7"/>
        <v/>
      </c>
      <c r="U48" s="26"/>
      <c r="V48" s="104"/>
      <c r="W48" s="109"/>
      <c r="X48" s="104"/>
      <c r="Y48" s="18"/>
      <c r="Z48" s="26"/>
      <c r="AA48" s="104"/>
      <c r="AB48" s="104"/>
      <c r="AC48" s="104"/>
      <c r="AD48" s="18"/>
      <c r="AF48" s="39" t="str">
        <f t="shared" si="9"/>
        <v/>
      </c>
      <c r="AG48" s="12" t="str">
        <f t="shared" si="10"/>
        <v/>
      </c>
      <c r="AH48" s="39" t="str">
        <f t="shared" si="11"/>
        <v/>
      </c>
      <c r="AJ48" s="57" t="s">
        <v>27</v>
      </c>
      <c r="AK48" s="68" t="e">
        <f t="shared" ca="1" si="12"/>
        <v>#VALUE!</v>
      </c>
      <c r="AL48" s="69" t="e">
        <f ca="1">IF(AK27=AK49,AK26,J7)</f>
        <v>#VALUE!</v>
      </c>
      <c r="AM48" s="58">
        <v>1000000</v>
      </c>
    </row>
    <row r="49" spans="6:39">
      <c r="F49" s="1"/>
      <c r="G49" s="2"/>
      <c r="L49" s="23" t="e">
        <f t="shared" ca="1" si="4"/>
        <v>#VALUE!</v>
      </c>
      <c r="M49" s="45"/>
      <c r="N49" s="10"/>
      <c r="O49" s="17" t="str">
        <f t="shared" si="5"/>
        <v/>
      </c>
      <c r="P49" s="23" t="e">
        <f t="shared" ca="1" si="6"/>
        <v>#VALUE!</v>
      </c>
      <c r="Q49" s="45"/>
      <c r="R49" s="10"/>
      <c r="S49" s="17" t="str">
        <f t="shared" si="7"/>
        <v/>
      </c>
      <c r="U49" s="26"/>
      <c r="V49" s="104"/>
      <c r="W49" s="109"/>
      <c r="X49" s="104"/>
      <c r="Y49" s="18"/>
      <c r="Z49" s="26"/>
      <c r="AA49" s="104"/>
      <c r="AB49" s="104"/>
      <c r="AC49" s="104"/>
      <c r="AD49" s="18"/>
      <c r="AF49" s="39" t="str">
        <f t="shared" si="9"/>
        <v/>
      </c>
      <c r="AG49" s="12" t="str">
        <f t="shared" si="10"/>
        <v/>
      </c>
      <c r="AH49" s="39" t="str">
        <f t="shared" si="11"/>
        <v/>
      </c>
      <c r="AJ49" s="57" t="s">
        <v>28</v>
      </c>
      <c r="AK49" s="70" t="e">
        <f t="shared" ca="1" si="12"/>
        <v>#VALUE!</v>
      </c>
      <c r="AL49" s="70" t="e">
        <f ca="1">UPPER(J8)</f>
        <v>#VALUE!</v>
      </c>
      <c r="AM49" s="59" t="s">
        <v>13</v>
      </c>
    </row>
    <row r="50" spans="6:39">
      <c r="F50" s="1"/>
      <c r="G50" s="3"/>
      <c r="L50" s="23" t="e">
        <f t="shared" ca="1" si="4"/>
        <v>#VALUE!</v>
      </c>
      <c r="M50" s="45"/>
      <c r="N50" s="10"/>
      <c r="O50" s="17" t="str">
        <f t="shared" si="5"/>
        <v/>
      </c>
      <c r="P50" s="23" t="e">
        <f t="shared" ca="1" si="6"/>
        <v>#VALUE!</v>
      </c>
      <c r="Q50" s="45"/>
      <c r="R50" s="10"/>
      <c r="S50" s="17" t="str">
        <f t="shared" si="7"/>
        <v/>
      </c>
      <c r="U50" s="26"/>
      <c r="V50" s="104"/>
      <c r="W50" s="109"/>
      <c r="X50" s="104"/>
      <c r="Y50" s="18"/>
      <c r="Z50" s="26"/>
      <c r="AA50" s="104"/>
      <c r="AB50" s="104"/>
      <c r="AC50" s="104"/>
      <c r="AD50" s="18"/>
      <c r="AF50" s="39" t="str">
        <f t="shared" si="9"/>
        <v/>
      </c>
      <c r="AG50" s="12" t="str">
        <f t="shared" si="10"/>
        <v/>
      </c>
      <c r="AH50" s="39" t="str">
        <f t="shared" si="11"/>
        <v/>
      </c>
      <c r="AJ50" s="57" t="s">
        <v>87</v>
      </c>
      <c r="AK50" s="70" t="str">
        <f t="shared" si="12"/>
        <v>Forward</v>
      </c>
      <c r="AL50" s="70"/>
      <c r="AM50" s="59" t="s">
        <v>29</v>
      </c>
    </row>
    <row r="51" spans="6:39">
      <c r="F51" s="4"/>
      <c r="G51" s="4"/>
      <c r="L51" s="23" t="e">
        <f t="shared" ca="1" si="4"/>
        <v>#VALUE!</v>
      </c>
      <c r="M51" s="45"/>
      <c r="N51" s="10"/>
      <c r="O51" s="17" t="str">
        <f t="shared" si="5"/>
        <v/>
      </c>
      <c r="P51" s="23" t="e">
        <f t="shared" ca="1" si="6"/>
        <v>#VALUE!</v>
      </c>
      <c r="Q51" s="45"/>
      <c r="R51" s="10"/>
      <c r="S51" s="17" t="str">
        <f t="shared" si="7"/>
        <v/>
      </c>
      <c r="U51" s="26"/>
      <c r="V51" s="104"/>
      <c r="W51" s="109"/>
      <c r="X51" s="104"/>
      <c r="Y51" s="18"/>
      <c r="Z51" s="26"/>
      <c r="AA51" s="104"/>
      <c r="AB51" s="104"/>
      <c r="AC51" s="104"/>
      <c r="AD51" s="18"/>
      <c r="AF51" s="51" t="str">
        <f t="shared" si="9"/>
        <v/>
      </c>
      <c r="AG51" s="13" t="str">
        <f t="shared" si="10"/>
        <v/>
      </c>
      <c r="AH51" s="51" t="str">
        <f t="shared" si="11"/>
        <v/>
      </c>
      <c r="AJ51" s="57" t="s">
        <v>30</v>
      </c>
      <c r="AK51" s="70" t="str">
        <f t="shared" si="12"/>
        <v>Sydney</v>
      </c>
      <c r="AL51" s="70" t="str">
        <f>J13</f>
        <v>Sydney</v>
      </c>
      <c r="AM51" s="59" t="s">
        <v>64</v>
      </c>
    </row>
    <row r="52" spans="6:39">
      <c r="L52" s="23" t="e">
        <f t="shared" ca="1" si="4"/>
        <v>#VALUE!</v>
      </c>
      <c r="M52" s="45"/>
      <c r="N52" s="10"/>
      <c r="O52" s="17" t="str">
        <f t="shared" si="5"/>
        <v/>
      </c>
      <c r="P52" s="23" t="e">
        <f t="shared" ca="1" si="6"/>
        <v>#VALUE!</v>
      </c>
      <c r="Q52" s="45"/>
      <c r="R52" s="10"/>
      <c r="S52" s="17" t="str">
        <f t="shared" si="7"/>
        <v/>
      </c>
      <c r="U52" s="26"/>
      <c r="V52" s="104"/>
      <c r="W52" s="109"/>
      <c r="X52" s="104"/>
      <c r="Y52" s="18"/>
      <c r="Z52" s="26"/>
      <c r="AA52" s="104"/>
      <c r="AB52" s="104"/>
      <c r="AC52" s="104"/>
      <c r="AD52" s="18"/>
      <c r="AJ52" s="57" t="s">
        <v>31</v>
      </c>
      <c r="AK52" s="70" t="e">
        <f t="shared" ca="1" si="12"/>
        <v>#VALUE!</v>
      </c>
      <c r="AL52" s="71" t="e">
        <f ca="1">J11</f>
        <v>#VALUE!</v>
      </c>
      <c r="AM52" s="59" t="s">
        <v>18</v>
      </c>
    </row>
    <row r="53" spans="6:39">
      <c r="L53" s="23" t="e">
        <f t="shared" ca="1" si="4"/>
        <v>#VALUE!</v>
      </c>
      <c r="M53" s="45"/>
      <c r="N53" s="10"/>
      <c r="O53" s="17" t="str">
        <f t="shared" si="5"/>
        <v/>
      </c>
      <c r="P53" s="23" t="e">
        <f t="shared" ca="1" si="6"/>
        <v>#VALUE!</v>
      </c>
      <c r="Q53" s="45"/>
      <c r="R53" s="10"/>
      <c r="S53" s="17" t="str">
        <f t="shared" si="7"/>
        <v/>
      </c>
      <c r="U53" s="26"/>
      <c r="V53" s="104"/>
      <c r="W53" s="109"/>
      <c r="X53" s="104"/>
      <c r="Y53" s="18"/>
      <c r="Z53" s="26"/>
      <c r="AA53" s="104"/>
      <c r="AB53" s="104"/>
      <c r="AC53" s="104"/>
      <c r="AD53" s="18"/>
      <c r="AJ53" s="57" t="s">
        <v>32</v>
      </c>
      <c r="AK53" s="70" t="e">
        <f t="shared" ca="1" si="12"/>
        <v>#VALUE!</v>
      </c>
      <c r="AL53" s="70" t="e">
        <f ca="1">J12</f>
        <v>#VALUE!</v>
      </c>
      <c r="AM53" s="59">
        <v>1</v>
      </c>
    </row>
    <row r="54" spans="6:39">
      <c r="L54" s="23" t="e">
        <f t="shared" ca="1" si="4"/>
        <v>#VALUE!</v>
      </c>
      <c r="M54" s="45"/>
      <c r="N54" s="10"/>
      <c r="O54" s="17" t="str">
        <f t="shared" si="5"/>
        <v/>
      </c>
      <c r="P54" s="23" t="e">
        <f t="shared" ca="1" si="6"/>
        <v>#VALUE!</v>
      </c>
      <c r="Q54" s="45"/>
      <c r="R54" s="10"/>
      <c r="S54" s="17" t="str">
        <f t="shared" si="7"/>
        <v/>
      </c>
      <c r="U54" s="26"/>
      <c r="V54" s="104"/>
      <c r="W54" s="109"/>
      <c r="X54" s="104"/>
      <c r="Y54" s="18"/>
      <c r="Z54" s="26"/>
      <c r="AA54" s="104"/>
      <c r="AB54" s="104"/>
      <c r="AC54" s="104"/>
      <c r="AD54" s="18"/>
      <c r="AJ54" s="57" t="s">
        <v>88</v>
      </c>
      <c r="AK54" s="70" t="str">
        <f t="shared" si="12"/>
        <v>FOLLOWING</v>
      </c>
      <c r="AL54" s="70"/>
      <c r="AM54" s="59" t="s">
        <v>33</v>
      </c>
    </row>
    <row r="55" spans="6:39">
      <c r="L55" s="23" t="e">
        <f t="shared" ca="1" si="4"/>
        <v>#VALUE!</v>
      </c>
      <c r="M55" s="45"/>
      <c r="N55" s="10"/>
      <c r="O55" s="17" t="str">
        <f t="shared" si="5"/>
        <v/>
      </c>
      <c r="P55" s="23" t="e">
        <f t="shared" ca="1" si="6"/>
        <v>#VALUE!</v>
      </c>
      <c r="Q55" s="45"/>
      <c r="R55" s="10"/>
      <c r="S55" s="17" t="str">
        <f t="shared" si="7"/>
        <v/>
      </c>
      <c r="U55" s="26"/>
      <c r="V55" s="104"/>
      <c r="W55" s="109"/>
      <c r="X55" s="104"/>
      <c r="Y55" s="18"/>
      <c r="Z55" s="26"/>
      <c r="AA55" s="104"/>
      <c r="AB55" s="104"/>
      <c r="AC55" s="104"/>
      <c r="AD55" s="18"/>
      <c r="AJ55" s="57" t="s">
        <v>34</v>
      </c>
      <c r="AK55" s="70" t="str">
        <f t="shared" si="12"/>
        <v>ACT/365.FIXED</v>
      </c>
      <c r="AL55" s="70" t="str">
        <f>J14</f>
        <v>ACT/365.FIXED</v>
      </c>
      <c r="AM55" s="59" t="s">
        <v>76</v>
      </c>
    </row>
    <row r="56" spans="6:39">
      <c r="L56" s="23" t="e">
        <f t="shared" ca="1" si="4"/>
        <v>#VALUE!</v>
      </c>
      <c r="M56" s="45"/>
      <c r="N56" s="10"/>
      <c r="O56" s="17" t="str">
        <f t="shared" si="5"/>
        <v/>
      </c>
      <c r="P56" s="23" t="e">
        <f t="shared" ca="1" si="6"/>
        <v>#VALUE!</v>
      </c>
      <c r="Q56" s="45"/>
      <c r="R56" s="10"/>
      <c r="S56" s="17" t="str">
        <f t="shared" si="7"/>
        <v/>
      </c>
      <c r="U56" s="26"/>
      <c r="V56" s="104"/>
      <c r="W56" s="109"/>
      <c r="X56" s="104"/>
      <c r="Y56" s="18"/>
      <c r="Z56" s="26"/>
      <c r="AA56" s="104"/>
      <c r="AB56" s="104"/>
      <c r="AC56" s="104"/>
      <c r="AD56" s="18"/>
      <c r="AJ56" s="57" t="s">
        <v>35</v>
      </c>
      <c r="AK56" s="70" t="str">
        <f t="shared" si="12"/>
        <v>Standard</v>
      </c>
      <c r="AL56" s="70"/>
      <c r="AM56" s="59" t="s">
        <v>36</v>
      </c>
    </row>
    <row r="57" spans="6:39">
      <c r="L57" s="23" t="e">
        <f t="shared" ca="1" si="4"/>
        <v>#VALUE!</v>
      </c>
      <c r="M57" s="45"/>
      <c r="N57" s="10"/>
      <c r="O57" s="17" t="str">
        <f t="shared" si="5"/>
        <v/>
      </c>
      <c r="P57" s="23" t="e">
        <f t="shared" ca="1" si="6"/>
        <v>#VALUE!</v>
      </c>
      <c r="Q57" s="45"/>
      <c r="R57" s="10"/>
      <c r="S57" s="17" t="str">
        <f t="shared" si="7"/>
        <v/>
      </c>
      <c r="U57" s="26"/>
      <c r="V57" s="104"/>
      <c r="W57" s="109"/>
      <c r="X57" s="104"/>
      <c r="Y57" s="18"/>
      <c r="Z57" s="26"/>
      <c r="AA57" s="104"/>
      <c r="AB57" s="104"/>
      <c r="AC57" s="104"/>
      <c r="AD57" s="18"/>
      <c r="AJ57" s="57" t="s">
        <v>89</v>
      </c>
      <c r="AK57" s="62"/>
      <c r="AL57" s="62"/>
      <c r="AM57" s="61"/>
    </row>
    <row r="58" spans="6:39">
      <c r="L58" s="23" t="e">
        <f t="shared" ca="1" si="4"/>
        <v>#VALUE!</v>
      </c>
      <c r="M58" s="45"/>
      <c r="N58" s="10"/>
      <c r="O58" s="17" t="str">
        <f t="shared" si="5"/>
        <v/>
      </c>
      <c r="P58" s="23" t="e">
        <f t="shared" ca="1" si="6"/>
        <v>#VALUE!</v>
      </c>
      <c r="Q58" s="45"/>
      <c r="R58" s="10"/>
      <c r="S58" s="17" t="str">
        <f t="shared" si="7"/>
        <v/>
      </c>
      <c r="U58" s="26"/>
      <c r="V58" s="104"/>
      <c r="W58" s="109"/>
      <c r="X58" s="104"/>
      <c r="Y58" s="18"/>
      <c r="Z58" s="26"/>
      <c r="AA58" s="104"/>
      <c r="AB58" s="104"/>
      <c r="AC58" s="104"/>
      <c r="AD58" s="18"/>
      <c r="AJ58" s="57" t="s">
        <v>38</v>
      </c>
      <c r="AK58" s="70" t="e">
        <f t="shared" ca="1" si="12"/>
        <v>#VALUE!</v>
      </c>
      <c r="AL58" s="72" t="e">
        <f ca="1">J9</f>
        <v>#VALUE!</v>
      </c>
      <c r="AM58" s="63">
        <v>0</v>
      </c>
    </row>
    <row r="59" spans="6:39">
      <c r="L59" s="23" t="e">
        <f t="shared" ca="1" si="4"/>
        <v>#VALUE!</v>
      </c>
      <c r="M59" s="45"/>
      <c r="N59" s="10"/>
      <c r="O59" s="17" t="str">
        <f t="shared" si="5"/>
        <v/>
      </c>
      <c r="P59" s="23" t="e">
        <f t="shared" ca="1" si="6"/>
        <v>#VALUE!</v>
      </c>
      <c r="Q59" s="45"/>
      <c r="R59" s="10"/>
      <c r="S59" s="17" t="str">
        <f t="shared" si="7"/>
        <v/>
      </c>
      <c r="U59" s="26"/>
      <c r="V59" s="104"/>
      <c r="W59" s="109"/>
      <c r="X59" s="104"/>
      <c r="Y59" s="18"/>
      <c r="Z59" s="26"/>
      <c r="AA59" s="104"/>
      <c r="AB59" s="104"/>
      <c r="AC59" s="104"/>
      <c r="AD59" s="18"/>
      <c r="AJ59" s="57" t="s">
        <v>39</v>
      </c>
      <c r="AK59" s="70" t="b">
        <f t="shared" si="12"/>
        <v>0</v>
      </c>
      <c r="AL59" s="70"/>
      <c r="AM59" s="59" t="b">
        <v>0</v>
      </c>
    </row>
    <row r="60" spans="6:39">
      <c r="L60" s="23" t="e">
        <f t="shared" ca="1" si="4"/>
        <v>#VALUE!</v>
      </c>
      <c r="M60" s="45"/>
      <c r="N60" s="10"/>
      <c r="O60" s="17" t="str">
        <f t="shared" si="5"/>
        <v/>
      </c>
      <c r="P60" s="23" t="e">
        <f t="shared" ca="1" si="6"/>
        <v>#VALUE!</v>
      </c>
      <c r="Q60" s="45"/>
      <c r="R60" s="10"/>
      <c r="S60" s="17" t="str">
        <f t="shared" si="7"/>
        <v/>
      </c>
      <c r="U60" s="26"/>
      <c r="V60" s="104"/>
      <c r="W60" s="109"/>
      <c r="X60" s="104"/>
      <c r="Y60" s="18"/>
      <c r="Z60" s="26"/>
      <c r="AA60" s="104"/>
      <c r="AB60" s="104"/>
      <c r="AC60" s="104"/>
      <c r="AD60" s="18"/>
      <c r="AJ60" s="57" t="s">
        <v>90</v>
      </c>
      <c r="AK60" s="62"/>
      <c r="AL60" s="62"/>
      <c r="AM60" s="61"/>
    </row>
    <row r="61" spans="6:39">
      <c r="L61" s="23" t="e">
        <f t="shared" ca="1" si="4"/>
        <v>#VALUE!</v>
      </c>
      <c r="M61" s="45"/>
      <c r="N61" s="10"/>
      <c r="O61" s="17" t="str">
        <f t="shared" si="5"/>
        <v/>
      </c>
      <c r="P61" s="23" t="e">
        <f t="shared" ca="1" si="6"/>
        <v>#VALUE!</v>
      </c>
      <c r="Q61" s="45"/>
      <c r="R61" s="10"/>
      <c r="S61" s="17" t="str">
        <f t="shared" si="7"/>
        <v/>
      </c>
      <c r="U61" s="26"/>
      <c r="V61" s="104"/>
      <c r="W61" s="109"/>
      <c r="X61" s="104"/>
      <c r="Y61" s="18"/>
      <c r="Z61" s="26"/>
      <c r="AA61" s="104"/>
      <c r="AB61" s="104"/>
      <c r="AC61" s="104"/>
      <c r="AD61" s="18"/>
      <c r="AJ61" s="57" t="s">
        <v>41</v>
      </c>
      <c r="AK61" s="70" t="str">
        <f t="shared" si="12"/>
        <v>Sydney</v>
      </c>
      <c r="AL61" s="70" t="str">
        <f>J13</f>
        <v>Sydney</v>
      </c>
      <c r="AM61" s="59" t="s">
        <v>64</v>
      </c>
    </row>
    <row r="62" spans="6:39">
      <c r="L62" s="23" t="e">
        <f t="shared" ca="1" si="4"/>
        <v>#VALUE!</v>
      </c>
      <c r="M62" s="45"/>
      <c r="N62" s="10"/>
      <c r="O62" s="17" t="str">
        <f t="shared" si="5"/>
        <v/>
      </c>
      <c r="P62" s="23" t="e">
        <f t="shared" ca="1" si="6"/>
        <v>#VALUE!</v>
      </c>
      <c r="Q62" s="45"/>
      <c r="R62" s="10"/>
      <c r="S62" s="17" t="str">
        <f t="shared" si="7"/>
        <v/>
      </c>
      <c r="U62" s="26"/>
      <c r="V62" s="104"/>
      <c r="W62" s="109"/>
      <c r="X62" s="104"/>
      <c r="Y62" s="18"/>
      <c r="Z62" s="26"/>
      <c r="AA62" s="104"/>
      <c r="AB62" s="104"/>
      <c r="AC62" s="104"/>
      <c r="AD62" s="18"/>
      <c r="AJ62" s="57" t="s">
        <v>42</v>
      </c>
      <c r="AK62" s="70" t="str">
        <f t="shared" si="12"/>
        <v>0D</v>
      </c>
      <c r="AL62" s="70"/>
      <c r="AM62" s="59" t="s">
        <v>43</v>
      </c>
    </row>
    <row r="63" spans="6:39">
      <c r="L63" s="23" t="e">
        <f t="shared" ca="1" si="4"/>
        <v>#VALUE!</v>
      </c>
      <c r="M63" s="45"/>
      <c r="N63" s="10"/>
      <c r="O63" s="17" t="str">
        <f t="shared" si="5"/>
        <v/>
      </c>
      <c r="P63" s="23" t="e">
        <f t="shared" ca="1" si="6"/>
        <v>#VALUE!</v>
      </c>
      <c r="Q63" s="45"/>
      <c r="R63" s="10"/>
      <c r="S63" s="17" t="str">
        <f t="shared" si="7"/>
        <v/>
      </c>
      <c r="U63" s="26"/>
      <c r="V63" s="104"/>
      <c r="W63" s="109"/>
      <c r="X63" s="104"/>
      <c r="Y63" s="18"/>
      <c r="Z63" s="26"/>
      <c r="AA63" s="104"/>
      <c r="AB63" s="104"/>
      <c r="AC63" s="104"/>
      <c r="AD63" s="18"/>
      <c r="AJ63" s="57" t="s">
        <v>91</v>
      </c>
      <c r="AK63" s="70" t="str">
        <f t="shared" si="12"/>
        <v>NONE</v>
      </c>
      <c r="AL63" s="70"/>
      <c r="AM63" s="59" t="s">
        <v>44</v>
      </c>
    </row>
    <row r="64" spans="6:39">
      <c r="L64" s="23" t="e">
        <f t="shared" ca="1" si="4"/>
        <v>#VALUE!</v>
      </c>
      <c r="M64" s="45"/>
      <c r="N64" s="10"/>
      <c r="O64" s="17" t="str">
        <f t="shared" si="5"/>
        <v/>
      </c>
      <c r="P64" s="23" t="e">
        <f t="shared" ca="1" si="6"/>
        <v>#VALUE!</v>
      </c>
      <c r="Q64" s="45"/>
      <c r="R64" s="10"/>
      <c r="S64" s="17" t="str">
        <f t="shared" si="7"/>
        <v/>
      </c>
      <c r="U64" s="26"/>
      <c r="V64" s="104"/>
      <c r="W64" s="109"/>
      <c r="X64" s="104"/>
      <c r="Y64" s="18"/>
      <c r="Z64" s="26"/>
      <c r="AA64" s="104"/>
      <c r="AB64" s="104"/>
      <c r="AC64" s="104"/>
      <c r="AD64" s="18"/>
      <c r="AJ64" s="57" t="s">
        <v>45</v>
      </c>
      <c r="AK64" s="59" t="e">
        <f t="shared" ca="1" si="12"/>
        <v>#VALUE!</v>
      </c>
      <c r="AL64" s="71" t="e">
        <f ca="1">AL102</f>
        <v>#VALUE!</v>
      </c>
      <c r="AM64" s="59" t="s">
        <v>46</v>
      </c>
    </row>
    <row r="65" spans="12:39">
      <c r="L65" s="23" t="e">
        <f t="shared" ca="1" si="4"/>
        <v>#VALUE!</v>
      </c>
      <c r="M65" s="45"/>
      <c r="N65" s="10"/>
      <c r="O65" s="17" t="str">
        <f t="shared" si="5"/>
        <v/>
      </c>
      <c r="P65" s="23" t="e">
        <f t="shared" ca="1" si="6"/>
        <v>#VALUE!</v>
      </c>
      <c r="Q65" s="45"/>
      <c r="R65" s="10"/>
      <c r="S65" s="17" t="str">
        <f t="shared" si="7"/>
        <v/>
      </c>
      <c r="U65" s="26"/>
      <c r="V65" s="104"/>
      <c r="W65" s="109"/>
      <c r="X65" s="104"/>
      <c r="Y65" s="18"/>
      <c r="Z65" s="26"/>
      <c r="AA65" s="104"/>
      <c r="AB65" s="104"/>
      <c r="AC65" s="104"/>
      <c r="AD65" s="18"/>
      <c r="AJ65" s="57" t="s">
        <v>47</v>
      </c>
      <c r="AK65" s="59" t="e">
        <f t="shared" ca="1" si="12"/>
        <v>#VALUE!</v>
      </c>
      <c r="AL65" s="71" t="e">
        <f ca="1">G12</f>
        <v>#VALUE!</v>
      </c>
      <c r="AM65" s="59"/>
    </row>
    <row r="66" spans="12:39">
      <c r="L66" s="23" t="e">
        <f t="shared" ca="1" si="4"/>
        <v>#VALUE!</v>
      </c>
      <c r="M66" s="45"/>
      <c r="N66" s="10"/>
      <c r="O66" s="17" t="str">
        <f t="shared" si="5"/>
        <v/>
      </c>
      <c r="P66" s="23" t="e">
        <f t="shared" ca="1" si="6"/>
        <v>#VALUE!</v>
      </c>
      <c r="Q66" s="45"/>
      <c r="R66" s="10"/>
      <c r="S66" s="17" t="str">
        <f t="shared" si="7"/>
        <v/>
      </c>
      <c r="U66" s="26"/>
      <c r="V66" s="104"/>
      <c r="W66" s="109"/>
      <c r="X66" s="104"/>
      <c r="Y66" s="18"/>
      <c r="Z66" s="26"/>
      <c r="AA66" s="104"/>
      <c r="AB66" s="104"/>
      <c r="AC66" s="104"/>
      <c r="AD66" s="18"/>
      <c r="AJ66" s="64" t="s">
        <v>48</v>
      </c>
      <c r="AK66" s="73" t="e">
        <f t="shared" ca="1" si="12"/>
        <v>#VALUE!</v>
      </c>
      <c r="AL66" s="73" t="e">
        <f ca="1">J10/10000</f>
        <v>#VALUE!</v>
      </c>
      <c r="AM66" s="65">
        <v>0</v>
      </c>
    </row>
    <row r="67" spans="12:39">
      <c r="L67" s="23" t="e">
        <f t="shared" ca="1" si="4"/>
        <v>#VALUE!</v>
      </c>
      <c r="M67" s="45"/>
      <c r="N67" s="10"/>
      <c r="O67" s="17" t="str">
        <f t="shared" si="5"/>
        <v/>
      </c>
      <c r="P67" s="23" t="e">
        <f t="shared" ca="1" si="6"/>
        <v>#VALUE!</v>
      </c>
      <c r="Q67" s="45"/>
      <c r="R67" s="10"/>
      <c r="S67" s="17" t="str">
        <f t="shared" si="7"/>
        <v/>
      </c>
      <c r="U67" s="26"/>
      <c r="V67" s="104"/>
      <c r="W67" s="109"/>
      <c r="X67" s="104"/>
      <c r="Y67" s="18"/>
      <c r="Z67" s="26"/>
      <c r="AA67" s="104"/>
      <c r="AB67" s="104"/>
      <c r="AC67" s="104"/>
      <c r="AD67" s="18"/>
      <c r="AK67" s="54"/>
      <c r="AL67" s="54"/>
    </row>
    <row r="68" spans="12:39">
      <c r="L68" s="23" t="e">
        <f t="shared" ca="1" si="4"/>
        <v>#VALUE!</v>
      </c>
      <c r="M68" s="45"/>
      <c r="N68" s="10"/>
      <c r="O68" s="17" t="str">
        <f t="shared" si="5"/>
        <v/>
      </c>
      <c r="P68" s="23" t="e">
        <f t="shared" ca="1" si="6"/>
        <v>#VALUE!</v>
      </c>
      <c r="Q68" s="45"/>
      <c r="R68" s="10"/>
      <c r="S68" s="17" t="str">
        <f t="shared" si="7"/>
        <v/>
      </c>
      <c r="U68" s="26"/>
      <c r="V68" s="104"/>
      <c r="W68" s="109"/>
      <c r="X68" s="104"/>
      <c r="Y68" s="18"/>
      <c r="Z68" s="26"/>
      <c r="AA68" s="104"/>
      <c r="AB68" s="104"/>
      <c r="AC68" s="104"/>
      <c r="AD68" s="18"/>
      <c r="AJ68" s="74" t="s">
        <v>57</v>
      </c>
      <c r="AK68" s="86"/>
      <c r="AL68" s="54"/>
    </row>
    <row r="69" spans="12:39">
      <c r="L69" s="23" t="e">
        <f t="shared" ca="1" si="4"/>
        <v>#VALUE!</v>
      </c>
      <c r="M69" s="45"/>
      <c r="N69" s="10"/>
      <c r="O69" s="17" t="str">
        <f t="shared" si="5"/>
        <v/>
      </c>
      <c r="P69" s="23" t="e">
        <f t="shared" ca="1" si="6"/>
        <v>#VALUE!</v>
      </c>
      <c r="Q69" s="45"/>
      <c r="R69" s="10"/>
      <c r="S69" s="17" t="str">
        <f t="shared" si="7"/>
        <v/>
      </c>
      <c r="U69" s="26"/>
      <c r="V69" s="104"/>
      <c r="W69" s="109"/>
      <c r="X69" s="104"/>
      <c r="Y69" s="18"/>
      <c r="Z69" s="26"/>
      <c r="AA69" s="104"/>
      <c r="AB69" s="104"/>
      <c r="AC69" s="104"/>
      <c r="AD69" s="18"/>
      <c r="AJ69" s="75" t="s">
        <v>19</v>
      </c>
      <c r="AK69" s="76">
        <f ca="1">IF(AL69="",AM69,AL69)</f>
        <v>40491</v>
      </c>
      <c r="AL69" s="76"/>
      <c r="AM69" s="76">
        <f ca="1">TODAY()</f>
        <v>40491</v>
      </c>
    </row>
    <row r="70" spans="12:39">
      <c r="L70" s="23" t="e">
        <f t="shared" ca="1" si="4"/>
        <v>#VALUE!</v>
      </c>
      <c r="M70" s="45"/>
      <c r="N70" s="10"/>
      <c r="O70" s="17" t="str">
        <f t="shared" si="5"/>
        <v/>
      </c>
      <c r="P70" s="23" t="e">
        <f t="shared" ca="1" si="6"/>
        <v>#VALUE!</v>
      </c>
      <c r="Q70" s="45"/>
      <c r="R70" s="10"/>
      <c r="S70" s="17" t="str">
        <f t="shared" si="7"/>
        <v/>
      </c>
      <c r="U70" s="26"/>
      <c r="V70" s="104"/>
      <c r="W70" s="109"/>
      <c r="X70" s="104"/>
      <c r="Y70" s="18"/>
      <c r="Z70" s="26"/>
      <c r="AA70" s="104"/>
      <c r="AB70" s="104"/>
      <c r="AC70" s="104"/>
      <c r="AD70" s="18"/>
      <c r="AJ70" s="57" t="s">
        <v>112</v>
      </c>
      <c r="AK70" s="62" t="str">
        <f>IF(AL70="",AM70,AL70)</f>
        <v>EOD</v>
      </c>
      <c r="AL70" s="77" t="str">
        <f>Swap!K7</f>
        <v>EOD</v>
      </c>
      <c r="AM70" s="77" t="s">
        <v>107</v>
      </c>
    </row>
    <row r="71" spans="12:39">
      <c r="L71" s="23" t="e">
        <f t="shared" ca="1" si="4"/>
        <v>#VALUE!</v>
      </c>
      <c r="M71" s="45"/>
      <c r="N71" s="10"/>
      <c r="O71" s="17" t="str">
        <f t="shared" si="5"/>
        <v/>
      </c>
      <c r="P71" s="23" t="e">
        <f t="shared" ca="1" si="6"/>
        <v>#VALUE!</v>
      </c>
      <c r="Q71" s="45"/>
      <c r="R71" s="10"/>
      <c r="S71" s="17" t="str">
        <f t="shared" si="7"/>
        <v/>
      </c>
      <c r="U71" s="26"/>
      <c r="V71" s="104"/>
      <c r="W71" s="109"/>
      <c r="X71" s="104"/>
      <c r="Y71" s="18"/>
      <c r="Z71" s="26"/>
      <c r="AA71" s="104"/>
      <c r="AB71" s="104"/>
      <c r="AC71" s="104"/>
      <c r="AD71" s="18"/>
      <c r="AJ71" s="64" t="s">
        <v>136</v>
      </c>
      <c r="AK71" s="78" t="e">
        <f ca="1">IF(AL71="",AM71,AL71)</f>
        <v>#VALUE!</v>
      </c>
      <c r="AL71" s="148" t="e">
        <f ca="1">VLOOKUP($J$2,TradeTable,19,TRUE)</f>
        <v>#VALUE!</v>
      </c>
      <c r="AM71" s="148" t="s">
        <v>137</v>
      </c>
    </row>
    <row r="72" spans="12:39">
      <c r="L72" s="23" t="e">
        <f t="shared" ca="1" si="4"/>
        <v>#VALUE!</v>
      </c>
      <c r="M72" s="45"/>
      <c r="N72" s="10"/>
      <c r="O72" s="17" t="str">
        <f t="shared" si="5"/>
        <v/>
      </c>
      <c r="P72" s="23" t="e">
        <f t="shared" ca="1" si="6"/>
        <v>#VALUE!</v>
      </c>
      <c r="Q72" s="45"/>
      <c r="R72" s="10"/>
      <c r="S72" s="17" t="str">
        <f t="shared" si="7"/>
        <v/>
      </c>
      <c r="U72" s="26"/>
      <c r="V72" s="104"/>
      <c r="W72" s="109"/>
      <c r="X72" s="104"/>
      <c r="Y72" s="18"/>
      <c r="Z72" s="26"/>
      <c r="AA72" s="104"/>
      <c r="AB72" s="104"/>
      <c r="AC72" s="104"/>
      <c r="AD72" s="18"/>
      <c r="AK72" s="54"/>
      <c r="AL72" s="54"/>
    </row>
    <row r="73" spans="12:39">
      <c r="L73" s="23" t="e">
        <f t="shared" ca="1" si="4"/>
        <v>#VALUE!</v>
      </c>
      <c r="M73" s="45"/>
      <c r="N73" s="10"/>
      <c r="O73" s="17" t="str">
        <f t="shared" si="5"/>
        <v/>
      </c>
      <c r="P73" s="23" t="e">
        <f t="shared" ca="1" si="6"/>
        <v>#VALUE!</v>
      </c>
      <c r="Q73" s="45"/>
      <c r="R73" s="10"/>
      <c r="S73" s="17" t="str">
        <f t="shared" si="7"/>
        <v/>
      </c>
      <c r="U73" s="26"/>
      <c r="V73" s="104"/>
      <c r="W73" s="109"/>
      <c r="X73" s="104"/>
      <c r="Y73" s="18"/>
      <c r="Z73" s="26"/>
      <c r="AA73" s="104"/>
      <c r="AB73" s="104"/>
      <c r="AC73" s="104"/>
      <c r="AD73" s="18"/>
      <c r="AJ73" s="79" t="s">
        <v>140</v>
      </c>
      <c r="AK73" s="139"/>
      <c r="AL73" s="54"/>
    </row>
    <row r="74" spans="12:39">
      <c r="L74" s="23" t="e">
        <f t="shared" ca="1" si="4"/>
        <v>#VALUE!</v>
      </c>
      <c r="M74" s="45"/>
      <c r="N74" s="10"/>
      <c r="O74" s="17" t="str">
        <f t="shared" si="5"/>
        <v/>
      </c>
      <c r="P74" s="23" t="e">
        <f t="shared" ca="1" si="6"/>
        <v>#VALUE!</v>
      </c>
      <c r="Q74" s="45"/>
      <c r="R74" s="10"/>
      <c r="S74" s="17" t="str">
        <f t="shared" si="7"/>
        <v/>
      </c>
      <c r="U74" s="26"/>
      <c r="V74" s="104"/>
      <c r="W74" s="109"/>
      <c r="X74" s="104"/>
      <c r="Y74" s="18"/>
      <c r="Z74" s="26"/>
      <c r="AA74" s="104"/>
      <c r="AB74" s="104"/>
      <c r="AC74" s="104"/>
      <c r="AD74" s="18"/>
      <c r="AJ74" s="75" t="s">
        <v>144</v>
      </c>
      <c r="AK74" s="81" t="e">
        <f t="shared" ref="AK74:AK81" ca="1" si="13">IF(AL74="",AM74,AL74)</f>
        <v>#VALUE!</v>
      </c>
      <c r="AL74" s="80" t="e">
        <f ca="1">G10</f>
        <v>#VALUE!</v>
      </c>
      <c r="AM74" s="43">
        <v>1</v>
      </c>
    </row>
    <row r="75" spans="12:39">
      <c r="L75" s="23" t="e">
        <f t="shared" ref="L75:L138" ca="1" si="14">IF(AND(M74&lt;$D$12, M74&lt;&gt;""),M74,"")</f>
        <v>#VALUE!</v>
      </c>
      <c r="M75" s="45"/>
      <c r="N75" s="10"/>
      <c r="O75" s="17" t="str">
        <f t="shared" ref="O75:O138" si="15">IF(M75=0,"",O74+N74)</f>
        <v/>
      </c>
      <c r="P75" s="23" t="e">
        <f t="shared" ref="P75:P138" ca="1" si="16">IF(AND(Q74&lt;$D$12, Q74&lt;&gt;""),Q74,"")</f>
        <v>#VALUE!</v>
      </c>
      <c r="Q75" s="45"/>
      <c r="R75" s="10"/>
      <c r="S75" s="17" t="str">
        <f t="shared" ref="S75:S138" si="17">IF(Q75=0,"",S74+R74)</f>
        <v/>
      </c>
      <c r="U75" s="26"/>
      <c r="V75" s="104"/>
      <c r="W75" s="109"/>
      <c r="X75" s="104"/>
      <c r="Y75" s="18"/>
      <c r="Z75" s="26"/>
      <c r="AA75" s="104"/>
      <c r="AB75" s="104"/>
      <c r="AC75" s="104"/>
      <c r="AD75" s="18"/>
      <c r="AJ75" s="57" t="s">
        <v>176</v>
      </c>
      <c r="AK75" s="62">
        <f t="shared" si="13"/>
        <v>0</v>
      </c>
      <c r="AL75" s="121">
        <f>D15</f>
        <v>0</v>
      </c>
      <c r="AM75" s="48"/>
    </row>
    <row r="76" spans="12:39">
      <c r="L76" s="23" t="e">
        <f t="shared" ca="1" si="14"/>
        <v>#VALUE!</v>
      </c>
      <c r="M76" s="45"/>
      <c r="N76" s="10"/>
      <c r="O76" s="17" t="str">
        <f t="shared" si="15"/>
        <v/>
      </c>
      <c r="P76" s="23" t="e">
        <f t="shared" ca="1" si="16"/>
        <v>#VALUE!</v>
      </c>
      <c r="Q76" s="45"/>
      <c r="R76" s="10"/>
      <c r="S76" s="17" t="str">
        <f t="shared" si="17"/>
        <v/>
      </c>
      <c r="U76" s="26"/>
      <c r="V76" s="104"/>
      <c r="W76" s="109"/>
      <c r="X76" s="104"/>
      <c r="Y76" s="18"/>
      <c r="Z76" s="26"/>
      <c r="AA76" s="104"/>
      <c r="AB76" s="104"/>
      <c r="AC76" s="104"/>
      <c r="AD76" s="18"/>
      <c r="AJ76" s="57" t="s">
        <v>177</v>
      </c>
      <c r="AK76" s="62" t="str">
        <f t="shared" si="13"/>
        <v>Max</v>
      </c>
      <c r="AL76" s="121" t="str">
        <f>D16</f>
        <v>Max</v>
      </c>
      <c r="AM76" s="48" t="s">
        <v>178</v>
      </c>
    </row>
    <row r="77" spans="12:39">
      <c r="L77" s="23" t="e">
        <f t="shared" ca="1" si="14"/>
        <v>#VALUE!</v>
      </c>
      <c r="M77" s="45"/>
      <c r="N77" s="10"/>
      <c r="O77" s="17" t="str">
        <f t="shared" si="15"/>
        <v/>
      </c>
      <c r="P77" s="23" t="e">
        <f t="shared" ca="1" si="16"/>
        <v>#VALUE!</v>
      </c>
      <c r="Q77" s="45"/>
      <c r="R77" s="10"/>
      <c r="S77" s="17" t="str">
        <f t="shared" si="17"/>
        <v/>
      </c>
      <c r="U77" s="26"/>
      <c r="V77" s="104"/>
      <c r="W77" s="109"/>
      <c r="X77" s="104"/>
      <c r="Y77" s="18"/>
      <c r="Z77" s="26"/>
      <c r="AA77" s="104"/>
      <c r="AB77" s="104"/>
      <c r="AC77" s="104"/>
      <c r="AD77" s="18"/>
      <c r="AJ77" s="57" t="s">
        <v>182</v>
      </c>
      <c r="AK77" s="130">
        <f t="shared" si="13"/>
        <v>0.2</v>
      </c>
      <c r="AL77" s="130">
        <f>TargetROE</f>
        <v>0.2</v>
      </c>
      <c r="AM77" s="131">
        <v>0.2</v>
      </c>
    </row>
    <row r="78" spans="12:39">
      <c r="L78" s="23" t="e">
        <f t="shared" ca="1" si="14"/>
        <v>#VALUE!</v>
      </c>
      <c r="M78" s="45"/>
      <c r="N78" s="10"/>
      <c r="O78" s="17" t="str">
        <f t="shared" si="15"/>
        <v/>
      </c>
      <c r="P78" s="23" t="e">
        <f t="shared" ca="1" si="16"/>
        <v>#VALUE!</v>
      </c>
      <c r="Q78" s="45"/>
      <c r="R78" s="10"/>
      <c r="S78" s="17" t="str">
        <f t="shared" si="17"/>
        <v/>
      </c>
      <c r="U78" s="26"/>
      <c r="V78" s="104"/>
      <c r="W78" s="109"/>
      <c r="X78" s="104"/>
      <c r="Y78" s="18"/>
      <c r="Z78" s="26"/>
      <c r="AA78" s="104"/>
      <c r="AB78" s="104"/>
      <c r="AC78" s="104"/>
      <c r="AD78" s="18"/>
      <c r="AJ78" s="57" t="s">
        <v>51</v>
      </c>
      <c r="AK78" s="62" t="str">
        <f t="shared" si="13"/>
        <v>Australia</v>
      </c>
      <c r="AL78" s="62"/>
      <c r="AM78" s="48" t="s">
        <v>52</v>
      </c>
    </row>
    <row r="79" spans="12:39">
      <c r="L79" s="23" t="e">
        <f t="shared" ca="1" si="14"/>
        <v>#VALUE!</v>
      </c>
      <c r="M79" s="45"/>
      <c r="N79" s="10"/>
      <c r="O79" s="17" t="str">
        <f t="shared" si="15"/>
        <v/>
      </c>
      <c r="P79" s="23" t="e">
        <f t="shared" ca="1" si="16"/>
        <v>#VALUE!</v>
      </c>
      <c r="Q79" s="45"/>
      <c r="R79" s="10"/>
      <c r="S79" s="17" t="str">
        <f t="shared" si="17"/>
        <v/>
      </c>
      <c r="U79" s="26"/>
      <c r="V79" s="104"/>
      <c r="W79" s="109"/>
      <c r="X79" s="104"/>
      <c r="Y79" s="18"/>
      <c r="Z79" s="26"/>
      <c r="AA79" s="104"/>
      <c r="AB79" s="104"/>
      <c r="AC79" s="104"/>
      <c r="AD79" s="18"/>
      <c r="AJ79" s="57" t="s">
        <v>141</v>
      </c>
      <c r="AK79" s="62" t="str">
        <f t="shared" si="13"/>
        <v>Large Corporate</v>
      </c>
      <c r="AL79" s="62"/>
      <c r="AM79" s="48" t="str">
        <f>D7</f>
        <v>Large Corporate</v>
      </c>
    </row>
    <row r="80" spans="12:39">
      <c r="L80" s="23" t="e">
        <f t="shared" ca="1" si="14"/>
        <v>#VALUE!</v>
      </c>
      <c r="M80" s="45"/>
      <c r="N80" s="10"/>
      <c r="O80" s="17" t="str">
        <f t="shared" si="15"/>
        <v/>
      </c>
      <c r="P80" s="23" t="e">
        <f t="shared" ca="1" si="16"/>
        <v>#VALUE!</v>
      </c>
      <c r="Q80" s="45"/>
      <c r="R80" s="10"/>
      <c r="S80" s="17" t="str">
        <f t="shared" si="17"/>
        <v/>
      </c>
      <c r="U80" s="26"/>
      <c r="V80" s="104"/>
      <c r="W80" s="109"/>
      <c r="X80" s="104"/>
      <c r="Y80" s="18"/>
      <c r="Z80" s="26"/>
      <c r="AA80" s="104"/>
      <c r="AB80" s="104"/>
      <c r="AC80" s="104"/>
      <c r="AD80" s="18"/>
      <c r="AJ80" s="57" t="s">
        <v>54</v>
      </c>
      <c r="AK80" s="62" t="str">
        <f t="shared" si="13"/>
        <v>J</v>
      </c>
      <c r="AL80" s="62"/>
      <c r="AM80" s="48" t="str">
        <f>D9</f>
        <v>J</v>
      </c>
    </row>
    <row r="81" spans="12:39">
      <c r="L81" s="23" t="e">
        <f t="shared" ca="1" si="14"/>
        <v>#VALUE!</v>
      </c>
      <c r="M81" s="45"/>
      <c r="N81" s="10"/>
      <c r="O81" s="17" t="str">
        <f t="shared" si="15"/>
        <v/>
      </c>
      <c r="P81" s="23" t="e">
        <f t="shared" ca="1" si="16"/>
        <v>#VALUE!</v>
      </c>
      <c r="Q81" s="45"/>
      <c r="R81" s="10"/>
      <c r="S81" s="17" t="str">
        <f t="shared" si="17"/>
        <v/>
      </c>
      <c r="U81" s="26"/>
      <c r="V81" s="104"/>
      <c r="W81" s="109"/>
      <c r="X81" s="104"/>
      <c r="Y81" s="18"/>
      <c r="Z81" s="26"/>
      <c r="AA81" s="104"/>
      <c r="AB81" s="104"/>
      <c r="AC81" s="104"/>
      <c r="AD81" s="18"/>
      <c r="AJ81" s="64" t="s">
        <v>55</v>
      </c>
      <c r="AK81" s="84">
        <f t="shared" si="13"/>
        <v>1</v>
      </c>
      <c r="AL81" s="84"/>
      <c r="AM81" s="83">
        <f>D8</f>
        <v>1</v>
      </c>
    </row>
    <row r="82" spans="12:39">
      <c r="L82" s="23" t="e">
        <f t="shared" ca="1" si="14"/>
        <v>#VALUE!</v>
      </c>
      <c r="M82" s="45"/>
      <c r="N82" s="10"/>
      <c r="O82" s="17" t="str">
        <f t="shared" si="15"/>
        <v/>
      </c>
      <c r="P82" s="23" t="e">
        <f t="shared" ca="1" si="16"/>
        <v>#VALUE!</v>
      </c>
      <c r="Q82" s="45"/>
      <c r="R82" s="10"/>
      <c r="S82" s="17" t="str">
        <f t="shared" si="17"/>
        <v/>
      </c>
      <c r="U82" s="26"/>
      <c r="V82" s="104"/>
      <c r="W82" s="109"/>
      <c r="X82" s="104"/>
      <c r="Y82" s="18"/>
      <c r="Z82" s="26"/>
      <c r="AA82" s="104"/>
      <c r="AB82" s="104"/>
      <c r="AC82" s="104"/>
      <c r="AD82" s="18"/>
      <c r="AK82" s="54"/>
      <c r="AL82" s="54"/>
    </row>
    <row r="83" spans="12:39">
      <c r="L83" s="23" t="e">
        <f t="shared" ca="1" si="14"/>
        <v>#VALUE!</v>
      </c>
      <c r="M83" s="45"/>
      <c r="N83" s="10"/>
      <c r="O83" s="17" t="str">
        <f t="shared" si="15"/>
        <v/>
      </c>
      <c r="P83" s="23" t="e">
        <f t="shared" ca="1" si="16"/>
        <v>#VALUE!</v>
      </c>
      <c r="Q83" s="45"/>
      <c r="R83" s="10"/>
      <c r="S83" s="17" t="str">
        <f t="shared" si="17"/>
        <v/>
      </c>
      <c r="U83" s="26"/>
      <c r="V83" s="104"/>
      <c r="W83" s="109"/>
      <c r="X83" s="104"/>
      <c r="Y83" s="18"/>
      <c r="Z83" s="26"/>
      <c r="AA83" s="104"/>
      <c r="AB83" s="104"/>
      <c r="AC83" s="104"/>
      <c r="AD83" s="18"/>
      <c r="AJ83" s="74" t="s">
        <v>37</v>
      </c>
      <c r="AK83" s="86"/>
      <c r="AL83" s="54"/>
    </row>
    <row r="84" spans="12:39">
      <c r="L84" s="23" t="e">
        <f t="shared" ca="1" si="14"/>
        <v>#VALUE!</v>
      </c>
      <c r="M84" s="45"/>
      <c r="N84" s="10"/>
      <c r="O84" s="17" t="str">
        <f t="shared" si="15"/>
        <v/>
      </c>
      <c r="P84" s="23" t="e">
        <f t="shared" ca="1" si="16"/>
        <v>#VALUE!</v>
      </c>
      <c r="Q84" s="45"/>
      <c r="R84" s="10"/>
      <c r="S84" s="17" t="str">
        <f t="shared" si="17"/>
        <v/>
      </c>
      <c r="U84" s="26"/>
      <c r="V84" s="104"/>
      <c r="W84" s="109"/>
      <c r="X84" s="104"/>
      <c r="Y84" s="18"/>
      <c r="Z84" s="26"/>
      <c r="AA84" s="104"/>
      <c r="AB84" s="104"/>
      <c r="AC84" s="104"/>
      <c r="AD84" s="18"/>
      <c r="AJ84" s="42" t="s">
        <v>58</v>
      </c>
      <c r="AK84" s="43" t="str">
        <f>IF(AL84="",AM84,AL84)</f>
        <v>DiscountCurve</v>
      </c>
      <c r="AL84" s="43" t="str">
        <f>IF(Swap!$K$7="EOD", "DiscountCurve", AM84)</f>
        <v>DiscountCurve</v>
      </c>
      <c r="AM84" s="82" t="s">
        <v>59</v>
      </c>
    </row>
    <row r="85" spans="12:39">
      <c r="L85" s="23" t="e">
        <f t="shared" ca="1" si="14"/>
        <v>#VALUE!</v>
      </c>
      <c r="M85" s="45"/>
      <c r="N85" s="10"/>
      <c r="O85" s="17" t="str">
        <f t="shared" si="15"/>
        <v/>
      </c>
      <c r="P85" s="23" t="e">
        <f t="shared" ca="1" si="16"/>
        <v>#VALUE!</v>
      </c>
      <c r="Q85" s="45"/>
      <c r="R85" s="10"/>
      <c r="S85" s="17" t="str">
        <f t="shared" si="17"/>
        <v/>
      </c>
      <c r="U85" s="26"/>
      <c r="V85" s="104"/>
      <c r="W85" s="109"/>
      <c r="X85" s="104"/>
      <c r="Y85" s="18"/>
      <c r="Z85" s="26"/>
      <c r="AA85" s="104"/>
      <c r="AB85" s="104"/>
      <c r="AC85" s="104"/>
      <c r="AD85" s="18"/>
      <c r="AJ85" s="46" t="s">
        <v>112</v>
      </c>
      <c r="AK85" s="48" t="str">
        <f>IF(AL85="",AM85,AL85)</f>
        <v>EOD</v>
      </c>
      <c r="AL85" s="47" t="str">
        <f>AL70</f>
        <v>EOD</v>
      </c>
      <c r="AM85" s="77" t="s">
        <v>116</v>
      </c>
    </row>
    <row r="86" spans="12:39">
      <c r="L86" s="23" t="e">
        <f t="shared" ca="1" si="14"/>
        <v>#VALUE!</v>
      </c>
      <c r="M86" s="45"/>
      <c r="N86" s="10"/>
      <c r="O86" s="17" t="str">
        <f t="shared" si="15"/>
        <v/>
      </c>
      <c r="P86" s="23" t="e">
        <f t="shared" ca="1" si="16"/>
        <v>#VALUE!</v>
      </c>
      <c r="Q86" s="45"/>
      <c r="R86" s="10"/>
      <c r="S86" s="17" t="str">
        <f t="shared" si="17"/>
        <v/>
      </c>
      <c r="U86" s="26"/>
      <c r="V86" s="104"/>
      <c r="W86" s="109"/>
      <c r="X86" s="104"/>
      <c r="Y86" s="18"/>
      <c r="Z86" s="26"/>
      <c r="AA86" s="104"/>
      <c r="AB86" s="104"/>
      <c r="AC86" s="104"/>
      <c r="AD86" s="18"/>
      <c r="AJ86" s="46" t="s">
        <v>28</v>
      </c>
      <c r="AK86" s="48" t="e">
        <f ca="1">IF(AL86="",AM86,AL86)</f>
        <v>#VALUE!</v>
      </c>
      <c r="AL86" s="48" t="e">
        <f ca="1">UPPER(G8)</f>
        <v>#VALUE!</v>
      </c>
      <c r="AM86" s="85" t="s">
        <v>13</v>
      </c>
    </row>
    <row r="87" spans="12:39">
      <c r="L87" s="23" t="e">
        <f t="shared" ca="1" si="14"/>
        <v>#VALUE!</v>
      </c>
      <c r="M87" s="45"/>
      <c r="N87" s="10"/>
      <c r="O87" s="17" t="str">
        <f t="shared" si="15"/>
        <v/>
      </c>
      <c r="P87" s="23" t="e">
        <f t="shared" ca="1" si="16"/>
        <v>#VALUE!</v>
      </c>
      <c r="Q87" s="45"/>
      <c r="R87" s="10"/>
      <c r="S87" s="17" t="str">
        <f t="shared" si="17"/>
        <v/>
      </c>
      <c r="U87" s="26"/>
      <c r="V87" s="104"/>
      <c r="W87" s="109"/>
      <c r="X87" s="104"/>
      <c r="Y87" s="18"/>
      <c r="Z87" s="26"/>
      <c r="AA87" s="104"/>
      <c r="AB87" s="104"/>
      <c r="AC87" s="104"/>
      <c r="AD87" s="18"/>
      <c r="AJ87" s="46" t="s">
        <v>110</v>
      </c>
      <c r="AK87" s="48" t="e">
        <f ca="1">IF(AL87="",AM87,AL87)</f>
        <v>#VALUE!</v>
      </c>
      <c r="AL87" s="47" t="e">
        <f ca="1">G12</f>
        <v>#VALUE!</v>
      </c>
      <c r="AM87" s="85" t="s">
        <v>18</v>
      </c>
    </row>
    <row r="88" spans="12:39">
      <c r="L88" s="23" t="e">
        <f t="shared" ca="1" si="14"/>
        <v>#VALUE!</v>
      </c>
      <c r="M88" s="45"/>
      <c r="N88" s="10"/>
      <c r="O88" s="17" t="str">
        <f t="shared" si="15"/>
        <v/>
      </c>
      <c r="P88" s="23" t="e">
        <f t="shared" ca="1" si="16"/>
        <v>#VALUE!</v>
      </c>
      <c r="Q88" s="45"/>
      <c r="R88" s="10"/>
      <c r="S88" s="17" t="str">
        <f t="shared" si="17"/>
        <v/>
      </c>
      <c r="U88" s="26"/>
      <c r="V88" s="104"/>
      <c r="W88" s="109"/>
      <c r="X88" s="104"/>
      <c r="Y88" s="18"/>
      <c r="Z88" s="26"/>
      <c r="AA88" s="104"/>
      <c r="AB88" s="104"/>
      <c r="AC88" s="104"/>
      <c r="AD88" s="18"/>
      <c r="AG88" s="7"/>
      <c r="AJ88" s="52" t="s">
        <v>109</v>
      </c>
      <c r="AK88" s="53" t="e">
        <f ca="1">IF(AL88="",AM88,AL88)</f>
        <v>#VALUE!</v>
      </c>
      <c r="AL88" s="53" t="e">
        <f ca="1">VLOOKUP(AK86,Reference!$B$5:$D$11,2,FALSE)</f>
        <v>#VALUE!</v>
      </c>
      <c r="AM88" s="53" t="s">
        <v>111</v>
      </c>
    </row>
    <row r="89" spans="12:39">
      <c r="L89" s="23" t="e">
        <f t="shared" ca="1" si="14"/>
        <v>#VALUE!</v>
      </c>
      <c r="M89" s="45"/>
      <c r="N89" s="10"/>
      <c r="O89" s="17" t="str">
        <f t="shared" si="15"/>
        <v/>
      </c>
      <c r="P89" s="23" t="e">
        <f t="shared" ca="1" si="16"/>
        <v>#VALUE!</v>
      </c>
      <c r="Q89" s="45"/>
      <c r="R89" s="10"/>
      <c r="S89" s="17" t="str">
        <f t="shared" si="17"/>
        <v/>
      </c>
      <c r="U89" s="26"/>
      <c r="V89" s="104"/>
      <c r="W89" s="109"/>
      <c r="X89" s="104"/>
      <c r="Y89" s="18"/>
      <c r="Z89" s="26"/>
      <c r="AA89" s="104"/>
      <c r="AB89" s="104"/>
      <c r="AC89" s="104"/>
      <c r="AD89" s="18"/>
      <c r="AK89" s="54"/>
      <c r="AL89" s="54"/>
    </row>
    <row r="90" spans="12:39">
      <c r="L90" s="23" t="e">
        <f t="shared" ca="1" si="14"/>
        <v>#VALUE!</v>
      </c>
      <c r="M90" s="45"/>
      <c r="N90" s="10"/>
      <c r="O90" s="17" t="str">
        <f t="shared" si="15"/>
        <v/>
      </c>
      <c r="P90" s="23" t="e">
        <f t="shared" ca="1" si="16"/>
        <v>#VALUE!</v>
      </c>
      <c r="Q90" s="45"/>
      <c r="R90" s="10"/>
      <c r="S90" s="17" t="str">
        <f t="shared" si="17"/>
        <v/>
      </c>
      <c r="U90" s="26"/>
      <c r="V90" s="104"/>
      <c r="W90" s="109"/>
      <c r="X90" s="104"/>
      <c r="Y90" s="18"/>
      <c r="Z90" s="26"/>
      <c r="AA90" s="104"/>
      <c r="AB90" s="104"/>
      <c r="AC90" s="104"/>
      <c r="AD90" s="18"/>
      <c r="AJ90" s="74" t="s">
        <v>40</v>
      </c>
      <c r="AK90" s="86"/>
      <c r="AL90" s="54"/>
    </row>
    <row r="91" spans="12:39">
      <c r="L91" s="23" t="e">
        <f t="shared" ca="1" si="14"/>
        <v>#VALUE!</v>
      </c>
      <c r="M91" s="45"/>
      <c r="N91" s="10"/>
      <c r="O91" s="17" t="str">
        <f t="shared" si="15"/>
        <v/>
      </c>
      <c r="P91" s="23" t="e">
        <f t="shared" ca="1" si="16"/>
        <v>#VALUE!</v>
      </c>
      <c r="Q91" s="45"/>
      <c r="R91" s="10"/>
      <c r="S91" s="17" t="str">
        <f t="shared" si="17"/>
        <v/>
      </c>
      <c r="U91" s="26"/>
      <c r="V91" s="104"/>
      <c r="W91" s="109"/>
      <c r="X91" s="104"/>
      <c r="Y91" s="18"/>
      <c r="Z91" s="26"/>
      <c r="AA91" s="104"/>
      <c r="AB91" s="104"/>
      <c r="AC91" s="104"/>
      <c r="AD91" s="18"/>
      <c r="AJ91" s="42" t="s">
        <v>58</v>
      </c>
      <c r="AK91" s="43" t="str">
        <f>IF(AL91="",AM91,AL91)</f>
        <v>DiscountCurve</v>
      </c>
      <c r="AL91" s="43" t="str">
        <f>IF(Swap!$K$7="EOD", "DiscountCurve", AM91)</f>
        <v>DiscountCurve</v>
      </c>
      <c r="AM91" s="82" t="s">
        <v>59</v>
      </c>
    </row>
    <row r="92" spans="12:39">
      <c r="L92" s="23" t="e">
        <f t="shared" ca="1" si="14"/>
        <v>#VALUE!</v>
      </c>
      <c r="M92" s="45"/>
      <c r="N92" s="10"/>
      <c r="O92" s="17" t="str">
        <f t="shared" si="15"/>
        <v/>
      </c>
      <c r="P92" s="23" t="e">
        <f t="shared" ca="1" si="16"/>
        <v>#VALUE!</v>
      </c>
      <c r="Q92" s="45"/>
      <c r="R92" s="10"/>
      <c r="S92" s="17" t="str">
        <f t="shared" si="17"/>
        <v/>
      </c>
      <c r="U92" s="26"/>
      <c r="V92" s="104"/>
      <c r="W92" s="109"/>
      <c r="X92" s="104"/>
      <c r="Y92" s="18"/>
      <c r="Z92" s="26"/>
      <c r="AA92" s="104"/>
      <c r="AB92" s="104"/>
      <c r="AC92" s="104"/>
      <c r="AD92" s="18"/>
      <c r="AJ92" s="46" t="s">
        <v>112</v>
      </c>
      <c r="AK92" s="48" t="str">
        <f>IF(AL92="",AM92,AL92)</f>
        <v>EOD</v>
      </c>
      <c r="AL92" s="48" t="str">
        <f>AL85</f>
        <v>EOD</v>
      </c>
      <c r="AM92" s="77" t="s">
        <v>107</v>
      </c>
    </row>
    <row r="93" spans="12:39">
      <c r="L93" s="23" t="e">
        <f t="shared" ca="1" si="14"/>
        <v>#VALUE!</v>
      </c>
      <c r="M93" s="45"/>
      <c r="N93" s="10"/>
      <c r="O93" s="17" t="str">
        <f t="shared" si="15"/>
        <v/>
      </c>
      <c r="P93" s="23" t="e">
        <f t="shared" ca="1" si="16"/>
        <v>#VALUE!</v>
      </c>
      <c r="Q93" s="45"/>
      <c r="R93" s="10"/>
      <c r="S93" s="17" t="str">
        <f t="shared" si="17"/>
        <v/>
      </c>
      <c r="U93" s="26"/>
      <c r="V93" s="104"/>
      <c r="W93" s="109"/>
      <c r="X93" s="104"/>
      <c r="Y93" s="18"/>
      <c r="Z93" s="26"/>
      <c r="AA93" s="104"/>
      <c r="AB93" s="104"/>
      <c r="AC93" s="104"/>
      <c r="AD93" s="18"/>
      <c r="AJ93" s="46" t="s">
        <v>28</v>
      </c>
      <c r="AK93" s="48" t="e">
        <f ca="1">IF(AL93="",AM93,AL93)</f>
        <v>#VALUE!</v>
      </c>
      <c r="AL93" s="48" t="e">
        <f ca="1">UPPER(G8)</f>
        <v>#VALUE!</v>
      </c>
      <c r="AM93" s="85" t="s">
        <v>13</v>
      </c>
    </row>
    <row r="94" spans="12:39">
      <c r="L94" s="23" t="e">
        <f t="shared" ca="1" si="14"/>
        <v>#VALUE!</v>
      </c>
      <c r="M94" s="45"/>
      <c r="N94" s="10"/>
      <c r="O94" s="17" t="str">
        <f t="shared" si="15"/>
        <v/>
      </c>
      <c r="P94" s="23" t="e">
        <f t="shared" ca="1" si="16"/>
        <v>#VALUE!</v>
      </c>
      <c r="Q94" s="45"/>
      <c r="R94" s="10"/>
      <c r="S94" s="17" t="str">
        <f t="shared" si="17"/>
        <v/>
      </c>
      <c r="U94" s="26"/>
      <c r="V94" s="104"/>
      <c r="W94" s="109"/>
      <c r="X94" s="104"/>
      <c r="Y94" s="18"/>
      <c r="Z94" s="26"/>
      <c r="AA94" s="104"/>
      <c r="AB94" s="104"/>
      <c r="AC94" s="104"/>
      <c r="AD94" s="18"/>
      <c r="AJ94" s="46" t="s">
        <v>110</v>
      </c>
      <c r="AK94" s="48" t="e">
        <f ca="1">IF(AL94="",AM94,AL94)</f>
        <v>#VALUE!</v>
      </c>
      <c r="AL94" s="47" t="e">
        <f ca="1">G12</f>
        <v>#VALUE!</v>
      </c>
      <c r="AM94" s="85" t="s">
        <v>18</v>
      </c>
    </row>
    <row r="95" spans="12:39">
      <c r="L95" s="23" t="e">
        <f t="shared" ca="1" si="14"/>
        <v>#VALUE!</v>
      </c>
      <c r="M95" s="45"/>
      <c r="N95" s="10"/>
      <c r="O95" s="17" t="str">
        <f t="shared" si="15"/>
        <v/>
      </c>
      <c r="P95" s="23" t="e">
        <f t="shared" ca="1" si="16"/>
        <v>#VALUE!</v>
      </c>
      <c r="Q95" s="45"/>
      <c r="R95" s="10"/>
      <c r="S95" s="17" t="str">
        <f t="shared" si="17"/>
        <v/>
      </c>
      <c r="U95" s="26"/>
      <c r="V95" s="104"/>
      <c r="W95" s="109"/>
      <c r="X95" s="104"/>
      <c r="Y95" s="18"/>
      <c r="Z95" s="26"/>
      <c r="AA95" s="104"/>
      <c r="AB95" s="104"/>
      <c r="AC95" s="104"/>
      <c r="AD95" s="18"/>
      <c r="AJ95" s="52" t="s">
        <v>109</v>
      </c>
      <c r="AK95" s="53" t="e">
        <f ca="1">IF(AL95="",AM95,AL95)</f>
        <v>#VALUE!</v>
      </c>
      <c r="AL95" s="53" t="e">
        <f ca="1">VLOOKUP(AK93,Reference!$B$5:$D$11,2,FALSE)</f>
        <v>#VALUE!</v>
      </c>
      <c r="AM95" s="53" t="s">
        <v>111</v>
      </c>
    </row>
    <row r="96" spans="12:39">
      <c r="L96" s="23" t="e">
        <f t="shared" ca="1" si="14"/>
        <v>#VALUE!</v>
      </c>
      <c r="M96" s="45"/>
      <c r="N96" s="10"/>
      <c r="O96" s="17" t="str">
        <f t="shared" si="15"/>
        <v/>
      </c>
      <c r="P96" s="23" t="e">
        <f t="shared" ca="1" si="16"/>
        <v>#VALUE!</v>
      </c>
      <c r="Q96" s="45"/>
      <c r="R96" s="10"/>
      <c r="S96" s="17" t="str">
        <f t="shared" si="17"/>
        <v/>
      </c>
      <c r="U96" s="26"/>
      <c r="V96" s="104"/>
      <c r="W96" s="109"/>
      <c r="X96" s="104"/>
      <c r="Y96" s="18"/>
      <c r="Z96" s="26"/>
      <c r="AA96" s="104"/>
      <c r="AB96" s="104"/>
      <c r="AC96" s="104"/>
      <c r="AD96" s="18"/>
      <c r="AK96" s="54"/>
      <c r="AL96" s="54"/>
    </row>
    <row r="97" spans="12:39">
      <c r="L97" s="23" t="e">
        <f t="shared" ca="1" si="14"/>
        <v>#VALUE!</v>
      </c>
      <c r="M97" s="45"/>
      <c r="N97" s="10"/>
      <c r="O97" s="17" t="str">
        <f t="shared" si="15"/>
        <v/>
      </c>
      <c r="P97" s="23" t="e">
        <f t="shared" ca="1" si="16"/>
        <v>#VALUE!</v>
      </c>
      <c r="Q97" s="45"/>
      <c r="R97" s="10"/>
      <c r="S97" s="17" t="str">
        <f t="shared" si="17"/>
        <v/>
      </c>
      <c r="U97" s="26"/>
      <c r="V97" s="104"/>
      <c r="W97" s="109"/>
      <c r="X97" s="104"/>
      <c r="Y97" s="18"/>
      <c r="Z97" s="26"/>
      <c r="AA97" s="104"/>
      <c r="AB97" s="104"/>
      <c r="AC97" s="104"/>
      <c r="AD97" s="18"/>
      <c r="AJ97" s="74" t="s">
        <v>49</v>
      </c>
      <c r="AK97" s="86"/>
      <c r="AL97" s="54"/>
    </row>
    <row r="98" spans="12:39">
      <c r="L98" s="23" t="e">
        <f t="shared" ca="1" si="14"/>
        <v>#VALUE!</v>
      </c>
      <c r="M98" s="45"/>
      <c r="N98" s="10"/>
      <c r="O98" s="17" t="str">
        <f t="shared" si="15"/>
        <v/>
      </c>
      <c r="P98" s="23" t="e">
        <f t="shared" ca="1" si="16"/>
        <v>#VALUE!</v>
      </c>
      <c r="Q98" s="45"/>
      <c r="R98" s="10"/>
      <c r="S98" s="17" t="str">
        <f t="shared" si="17"/>
        <v/>
      </c>
      <c r="U98" s="26"/>
      <c r="V98" s="104"/>
      <c r="W98" s="109"/>
      <c r="X98" s="104"/>
      <c r="Y98" s="18"/>
      <c r="Z98" s="26"/>
      <c r="AA98" s="104"/>
      <c r="AB98" s="104"/>
      <c r="AC98" s="104"/>
      <c r="AD98" s="18"/>
      <c r="AJ98" s="42" t="s">
        <v>58</v>
      </c>
      <c r="AK98" s="43" t="str">
        <f>IF(AL98="",AM98,AL98)</f>
        <v>DiscountCurve</v>
      </c>
      <c r="AL98" s="43" t="str">
        <f>IF(Swap!$K$7="EOD", "DiscountCurve", AM98)</f>
        <v>DiscountCurve</v>
      </c>
      <c r="AM98" s="82" t="s">
        <v>59</v>
      </c>
    </row>
    <row r="99" spans="12:39">
      <c r="L99" s="23" t="e">
        <f t="shared" ca="1" si="14"/>
        <v>#VALUE!</v>
      </c>
      <c r="M99" s="45"/>
      <c r="N99" s="10"/>
      <c r="O99" s="17" t="str">
        <f t="shared" si="15"/>
        <v/>
      </c>
      <c r="P99" s="23" t="e">
        <f t="shared" ca="1" si="16"/>
        <v>#VALUE!</v>
      </c>
      <c r="Q99" s="45"/>
      <c r="R99" s="10"/>
      <c r="S99" s="17" t="str">
        <f t="shared" si="17"/>
        <v/>
      </c>
      <c r="U99" s="26"/>
      <c r="V99" s="104"/>
      <c r="W99" s="109"/>
      <c r="X99" s="104"/>
      <c r="Y99" s="18"/>
      <c r="Z99" s="26"/>
      <c r="AA99" s="104"/>
      <c r="AB99" s="104"/>
      <c r="AC99" s="104"/>
      <c r="AD99" s="18"/>
      <c r="AJ99" s="46" t="s">
        <v>112</v>
      </c>
      <c r="AK99" s="48" t="str">
        <f>IF(AL99="",AM99,AL99)</f>
        <v>EOD</v>
      </c>
      <c r="AL99" s="48" t="str">
        <f>AL85</f>
        <v>EOD</v>
      </c>
      <c r="AM99" s="77" t="s">
        <v>107</v>
      </c>
    </row>
    <row r="100" spans="12:39">
      <c r="L100" s="23" t="e">
        <f t="shared" ca="1" si="14"/>
        <v>#VALUE!</v>
      </c>
      <c r="M100" s="45"/>
      <c r="N100" s="10"/>
      <c r="O100" s="17" t="str">
        <f t="shared" si="15"/>
        <v/>
      </c>
      <c r="P100" s="23" t="e">
        <f t="shared" ca="1" si="16"/>
        <v>#VALUE!</v>
      </c>
      <c r="Q100" s="45"/>
      <c r="R100" s="10"/>
      <c r="S100" s="17" t="str">
        <f t="shared" si="17"/>
        <v/>
      </c>
      <c r="U100" s="26"/>
      <c r="V100" s="104"/>
      <c r="W100" s="109"/>
      <c r="X100" s="104"/>
      <c r="Y100" s="18"/>
      <c r="Z100" s="26"/>
      <c r="AA100" s="104"/>
      <c r="AB100" s="104"/>
      <c r="AC100" s="104"/>
      <c r="AD100" s="18"/>
      <c r="AJ100" s="46" t="s">
        <v>28</v>
      </c>
      <c r="AK100" s="48" t="e">
        <f ca="1">IF(AL100="",AM100,AL100)</f>
        <v>#VALUE!</v>
      </c>
      <c r="AL100" s="48" t="e">
        <f ca="1">UPPER(J8)</f>
        <v>#VALUE!</v>
      </c>
      <c r="AM100" s="85" t="s">
        <v>13</v>
      </c>
    </row>
    <row r="101" spans="12:39">
      <c r="L101" s="23" t="e">
        <f t="shared" ca="1" si="14"/>
        <v>#VALUE!</v>
      </c>
      <c r="M101" s="45"/>
      <c r="N101" s="10"/>
      <c r="O101" s="17" t="str">
        <f t="shared" si="15"/>
        <v/>
      </c>
      <c r="P101" s="23" t="e">
        <f t="shared" ca="1" si="16"/>
        <v>#VALUE!</v>
      </c>
      <c r="Q101" s="45"/>
      <c r="R101" s="10"/>
      <c r="S101" s="17" t="str">
        <f t="shared" si="17"/>
        <v/>
      </c>
      <c r="U101" s="26"/>
      <c r="V101" s="104"/>
      <c r="W101" s="109"/>
      <c r="X101" s="104"/>
      <c r="Y101" s="18"/>
      <c r="Z101" s="26"/>
      <c r="AA101" s="104"/>
      <c r="AB101" s="104"/>
      <c r="AC101" s="104"/>
      <c r="AD101" s="18"/>
      <c r="AJ101" s="46" t="s">
        <v>110</v>
      </c>
      <c r="AK101" s="48" t="e">
        <f ca="1">IF(AL101="",AM101,AL101)</f>
        <v>#VALUE!</v>
      </c>
      <c r="AL101" s="47" t="e">
        <f ca="1">J11</f>
        <v>#VALUE!</v>
      </c>
      <c r="AM101" s="85" t="s">
        <v>18</v>
      </c>
    </row>
    <row r="102" spans="12:39">
      <c r="L102" s="23" t="e">
        <f t="shared" ca="1" si="14"/>
        <v>#VALUE!</v>
      </c>
      <c r="M102" s="45"/>
      <c r="N102" s="10"/>
      <c r="O102" s="17" t="str">
        <f t="shared" si="15"/>
        <v/>
      </c>
      <c r="P102" s="23" t="e">
        <f t="shared" ca="1" si="16"/>
        <v>#VALUE!</v>
      </c>
      <c r="Q102" s="45"/>
      <c r="R102" s="10"/>
      <c r="S102" s="17" t="str">
        <f t="shared" si="17"/>
        <v/>
      </c>
      <c r="U102" s="26"/>
      <c r="V102" s="104"/>
      <c r="W102" s="109"/>
      <c r="X102" s="104"/>
      <c r="Y102" s="18"/>
      <c r="Z102" s="26"/>
      <c r="AA102" s="104"/>
      <c r="AB102" s="104"/>
      <c r="AC102" s="104"/>
      <c r="AD102" s="18"/>
      <c r="AJ102" s="52" t="s">
        <v>109</v>
      </c>
      <c r="AK102" s="53" t="e">
        <f ca="1">IF(AL102="",AM102,AL102)</f>
        <v>#VALUE!</v>
      </c>
      <c r="AL102" s="53" t="e">
        <f ca="1">VLOOKUP(AK100,Reference!$B$5:$D$11,2,FALSE)</f>
        <v>#VALUE!</v>
      </c>
      <c r="AM102" s="53" t="s">
        <v>111</v>
      </c>
    </row>
    <row r="103" spans="12:39">
      <c r="L103" s="23" t="e">
        <f t="shared" ca="1" si="14"/>
        <v>#VALUE!</v>
      </c>
      <c r="M103" s="45"/>
      <c r="N103" s="10"/>
      <c r="O103" s="17" t="str">
        <f t="shared" si="15"/>
        <v/>
      </c>
      <c r="P103" s="23" t="e">
        <f t="shared" ca="1" si="16"/>
        <v>#VALUE!</v>
      </c>
      <c r="Q103" s="45"/>
      <c r="R103" s="10"/>
      <c r="S103" s="17" t="str">
        <f t="shared" si="17"/>
        <v/>
      </c>
      <c r="U103" s="26"/>
      <c r="V103" s="104"/>
      <c r="W103" s="109"/>
      <c r="X103" s="104"/>
      <c r="Y103" s="18"/>
      <c r="Z103" s="26"/>
      <c r="AA103" s="104"/>
      <c r="AB103" s="104"/>
      <c r="AC103" s="104"/>
      <c r="AD103" s="18"/>
      <c r="AK103" s="54"/>
      <c r="AL103" s="54"/>
    </row>
    <row r="104" spans="12:39">
      <c r="L104" s="23" t="e">
        <f t="shared" ca="1" si="14"/>
        <v>#VALUE!</v>
      </c>
      <c r="M104" s="45"/>
      <c r="N104" s="10"/>
      <c r="O104" s="17" t="str">
        <f t="shared" si="15"/>
        <v/>
      </c>
      <c r="P104" s="23" t="e">
        <f t="shared" ca="1" si="16"/>
        <v>#VALUE!</v>
      </c>
      <c r="Q104" s="45"/>
      <c r="R104" s="10"/>
      <c r="S104" s="17" t="str">
        <f t="shared" si="17"/>
        <v/>
      </c>
      <c r="U104" s="26"/>
      <c r="V104" s="104"/>
      <c r="W104" s="109"/>
      <c r="X104" s="104"/>
      <c r="Y104" s="18"/>
      <c r="Z104" s="26"/>
      <c r="AA104" s="104"/>
      <c r="AB104" s="104"/>
      <c r="AC104" s="104"/>
      <c r="AD104" s="18"/>
      <c r="AJ104" s="74" t="s">
        <v>50</v>
      </c>
      <c r="AK104" s="86"/>
      <c r="AL104" s="54"/>
    </row>
    <row r="105" spans="12:39">
      <c r="L105" s="23" t="e">
        <f t="shared" ca="1" si="14"/>
        <v>#VALUE!</v>
      </c>
      <c r="M105" s="45"/>
      <c r="N105" s="10"/>
      <c r="O105" s="17" t="str">
        <f t="shared" si="15"/>
        <v/>
      </c>
      <c r="P105" s="23" t="e">
        <f t="shared" ca="1" si="16"/>
        <v>#VALUE!</v>
      </c>
      <c r="Q105" s="45"/>
      <c r="R105" s="10"/>
      <c r="S105" s="17" t="str">
        <f t="shared" si="17"/>
        <v/>
      </c>
      <c r="U105" s="26"/>
      <c r="V105" s="104"/>
      <c r="W105" s="109"/>
      <c r="X105" s="104"/>
      <c r="Y105" s="18"/>
      <c r="Z105" s="26"/>
      <c r="AA105" s="104"/>
      <c r="AB105" s="104"/>
      <c r="AC105" s="104"/>
      <c r="AD105" s="18"/>
      <c r="AJ105" s="42" t="s">
        <v>58</v>
      </c>
      <c r="AK105" s="43" t="str">
        <f>IF(AL105="",AM105,AL105)</f>
        <v>DiscountCurve</v>
      </c>
      <c r="AL105" s="43" t="str">
        <f>IF(Swap!$K$7="EOD", "DiscountCurve", AM105)</f>
        <v>DiscountCurve</v>
      </c>
      <c r="AM105" s="82" t="s">
        <v>59</v>
      </c>
    </row>
    <row r="106" spans="12:39">
      <c r="L106" s="23" t="e">
        <f t="shared" ca="1" si="14"/>
        <v>#VALUE!</v>
      </c>
      <c r="M106" s="45"/>
      <c r="N106" s="10"/>
      <c r="O106" s="17" t="str">
        <f t="shared" si="15"/>
        <v/>
      </c>
      <c r="P106" s="23" t="e">
        <f t="shared" ca="1" si="16"/>
        <v>#VALUE!</v>
      </c>
      <c r="Q106" s="45"/>
      <c r="R106" s="10"/>
      <c r="S106" s="17" t="str">
        <f t="shared" si="17"/>
        <v/>
      </c>
      <c r="U106" s="26"/>
      <c r="V106" s="104"/>
      <c r="W106" s="109"/>
      <c r="X106" s="104"/>
      <c r="Y106" s="18"/>
      <c r="Z106" s="26"/>
      <c r="AA106" s="104"/>
      <c r="AB106" s="104"/>
      <c r="AC106" s="104"/>
      <c r="AD106" s="18"/>
      <c r="AJ106" s="46" t="s">
        <v>112</v>
      </c>
      <c r="AK106" s="48" t="str">
        <f>IF(AL106="",AM106,AL106)</f>
        <v>EOD</v>
      </c>
      <c r="AL106" s="48" t="str">
        <f>AL85</f>
        <v>EOD</v>
      </c>
      <c r="AM106" s="77" t="s">
        <v>107</v>
      </c>
    </row>
    <row r="107" spans="12:39">
      <c r="L107" s="23" t="e">
        <f t="shared" ca="1" si="14"/>
        <v>#VALUE!</v>
      </c>
      <c r="M107" s="45"/>
      <c r="N107" s="10"/>
      <c r="O107" s="17" t="str">
        <f t="shared" si="15"/>
        <v/>
      </c>
      <c r="P107" s="23" t="e">
        <f t="shared" ca="1" si="16"/>
        <v>#VALUE!</v>
      </c>
      <c r="Q107" s="45"/>
      <c r="R107" s="10"/>
      <c r="S107" s="17" t="str">
        <f t="shared" si="17"/>
        <v/>
      </c>
      <c r="U107" s="26"/>
      <c r="V107" s="104"/>
      <c r="W107" s="109"/>
      <c r="X107" s="104"/>
      <c r="Y107" s="18"/>
      <c r="Z107" s="26"/>
      <c r="AA107" s="104"/>
      <c r="AB107" s="104"/>
      <c r="AC107" s="104"/>
      <c r="AD107" s="18"/>
      <c r="AJ107" s="46" t="s">
        <v>28</v>
      </c>
      <c r="AK107" s="48" t="e">
        <f ca="1">IF(AL107="",AM107,AL107)</f>
        <v>#VALUE!</v>
      </c>
      <c r="AL107" s="48" t="e">
        <f ca="1">UPPER(J8)</f>
        <v>#VALUE!</v>
      </c>
      <c r="AM107" s="85" t="s">
        <v>13</v>
      </c>
    </row>
    <row r="108" spans="12:39">
      <c r="L108" s="23" t="e">
        <f t="shared" ca="1" si="14"/>
        <v>#VALUE!</v>
      </c>
      <c r="M108" s="45"/>
      <c r="N108" s="10"/>
      <c r="O108" s="17" t="str">
        <f t="shared" si="15"/>
        <v/>
      </c>
      <c r="P108" s="23" t="e">
        <f t="shared" ca="1" si="16"/>
        <v>#VALUE!</v>
      </c>
      <c r="Q108" s="45"/>
      <c r="R108" s="10"/>
      <c r="S108" s="17" t="str">
        <f t="shared" si="17"/>
        <v/>
      </c>
      <c r="U108" s="26"/>
      <c r="V108" s="104"/>
      <c r="W108" s="109"/>
      <c r="X108" s="104"/>
      <c r="Y108" s="18"/>
      <c r="Z108" s="26"/>
      <c r="AA108" s="104"/>
      <c r="AB108" s="104"/>
      <c r="AC108" s="104"/>
      <c r="AD108" s="18"/>
      <c r="AJ108" s="46" t="s">
        <v>110</v>
      </c>
      <c r="AK108" s="48" t="e">
        <f ca="1">IF(AL108="",AM108,AL108)</f>
        <v>#VALUE!</v>
      </c>
      <c r="AL108" s="47" t="e">
        <f ca="1">J11</f>
        <v>#VALUE!</v>
      </c>
      <c r="AM108" s="85" t="s">
        <v>18</v>
      </c>
    </row>
    <row r="109" spans="12:39">
      <c r="L109" s="23" t="e">
        <f t="shared" ca="1" si="14"/>
        <v>#VALUE!</v>
      </c>
      <c r="M109" s="45"/>
      <c r="N109" s="10"/>
      <c r="O109" s="17" t="str">
        <f t="shared" si="15"/>
        <v/>
      </c>
      <c r="P109" s="23" t="e">
        <f t="shared" ca="1" si="16"/>
        <v>#VALUE!</v>
      </c>
      <c r="Q109" s="45"/>
      <c r="R109" s="10"/>
      <c r="S109" s="17" t="str">
        <f t="shared" si="17"/>
        <v/>
      </c>
      <c r="U109" s="26"/>
      <c r="V109" s="104"/>
      <c r="W109" s="109"/>
      <c r="X109" s="104"/>
      <c r="Y109" s="18"/>
      <c r="Z109" s="26"/>
      <c r="AA109" s="104"/>
      <c r="AB109" s="104"/>
      <c r="AC109" s="104"/>
      <c r="AD109" s="18"/>
      <c r="AJ109" s="52" t="s">
        <v>109</v>
      </c>
      <c r="AK109" s="87" t="e">
        <f ca="1">IF(AL109="",AM109,AL109)</f>
        <v>#VALUE!</v>
      </c>
      <c r="AL109" s="53" t="e">
        <f ca="1">VLOOKUP(AK107,Reference!$B$5:$D$11,2,FALSE)</f>
        <v>#VALUE!</v>
      </c>
      <c r="AM109" s="53" t="s">
        <v>111</v>
      </c>
    </row>
    <row r="110" spans="12:39">
      <c r="L110" s="23" t="e">
        <f t="shared" ca="1" si="14"/>
        <v>#VALUE!</v>
      </c>
      <c r="M110" s="45"/>
      <c r="N110" s="10"/>
      <c r="O110" s="17" t="str">
        <f t="shared" si="15"/>
        <v/>
      </c>
      <c r="P110" s="23" t="e">
        <f t="shared" ca="1" si="16"/>
        <v>#VALUE!</v>
      </c>
      <c r="Q110" s="45"/>
      <c r="R110" s="10"/>
      <c r="S110" s="17" t="str">
        <f t="shared" si="17"/>
        <v/>
      </c>
      <c r="U110" s="26"/>
      <c r="V110" s="104"/>
      <c r="W110" s="109"/>
      <c r="X110" s="104"/>
      <c r="Y110" s="18"/>
      <c r="Z110" s="26"/>
      <c r="AA110" s="104"/>
      <c r="AB110" s="104"/>
      <c r="AC110" s="104"/>
      <c r="AD110" s="18"/>
    </row>
    <row r="111" spans="12:39">
      <c r="L111" s="23" t="e">
        <f t="shared" ca="1" si="14"/>
        <v>#VALUE!</v>
      </c>
      <c r="M111" s="45"/>
      <c r="N111" s="10"/>
      <c r="O111" s="17" t="str">
        <f t="shared" si="15"/>
        <v/>
      </c>
      <c r="P111" s="23" t="e">
        <f t="shared" ca="1" si="16"/>
        <v>#VALUE!</v>
      </c>
      <c r="Q111" s="45"/>
      <c r="R111" s="10"/>
      <c r="S111" s="17" t="str">
        <f t="shared" si="17"/>
        <v/>
      </c>
      <c r="U111" s="26"/>
      <c r="V111" s="104"/>
      <c r="W111" s="109"/>
      <c r="X111" s="104"/>
      <c r="Y111" s="18"/>
      <c r="Z111" s="26"/>
      <c r="AA111" s="104"/>
      <c r="AB111" s="104"/>
      <c r="AC111" s="104"/>
      <c r="AD111" s="18"/>
    </row>
    <row r="112" spans="12:39">
      <c r="L112" s="23" t="e">
        <f t="shared" ca="1" si="14"/>
        <v>#VALUE!</v>
      </c>
      <c r="M112" s="45"/>
      <c r="N112" s="10"/>
      <c r="O112" s="17" t="str">
        <f t="shared" si="15"/>
        <v/>
      </c>
      <c r="P112" s="23" t="e">
        <f t="shared" ca="1" si="16"/>
        <v>#VALUE!</v>
      </c>
      <c r="Q112" s="45"/>
      <c r="R112" s="10"/>
      <c r="S112" s="17" t="str">
        <f t="shared" si="17"/>
        <v/>
      </c>
      <c r="U112" s="26"/>
      <c r="V112" s="104"/>
      <c r="W112" s="109"/>
      <c r="X112" s="104"/>
      <c r="Y112" s="18"/>
      <c r="Z112" s="26"/>
      <c r="AA112" s="104"/>
      <c r="AB112" s="104"/>
      <c r="AC112" s="104"/>
      <c r="AD112" s="18"/>
    </row>
    <row r="113" spans="12:30">
      <c r="L113" s="23" t="e">
        <f t="shared" ca="1" si="14"/>
        <v>#VALUE!</v>
      </c>
      <c r="M113" s="45"/>
      <c r="N113" s="10"/>
      <c r="O113" s="17" t="str">
        <f t="shared" si="15"/>
        <v/>
      </c>
      <c r="P113" s="23" t="e">
        <f t="shared" ca="1" si="16"/>
        <v>#VALUE!</v>
      </c>
      <c r="Q113" s="45"/>
      <c r="R113" s="10"/>
      <c r="S113" s="17" t="str">
        <f t="shared" si="17"/>
        <v/>
      </c>
      <c r="U113" s="26"/>
      <c r="V113" s="104"/>
      <c r="W113" s="109"/>
      <c r="X113" s="104"/>
      <c r="Y113" s="18"/>
      <c r="Z113" s="26"/>
      <c r="AA113" s="104"/>
      <c r="AB113" s="104"/>
      <c r="AC113" s="104"/>
      <c r="AD113" s="18"/>
    </row>
    <row r="114" spans="12:30">
      <c r="L114" s="23" t="e">
        <f t="shared" ca="1" si="14"/>
        <v>#VALUE!</v>
      </c>
      <c r="M114" s="45"/>
      <c r="N114" s="10"/>
      <c r="O114" s="17" t="str">
        <f t="shared" si="15"/>
        <v/>
      </c>
      <c r="P114" s="23" t="e">
        <f t="shared" ca="1" si="16"/>
        <v>#VALUE!</v>
      </c>
      <c r="Q114" s="45"/>
      <c r="R114" s="10"/>
      <c r="S114" s="17" t="str">
        <f t="shared" si="17"/>
        <v/>
      </c>
      <c r="U114" s="26"/>
      <c r="V114" s="104"/>
      <c r="W114" s="109"/>
      <c r="X114" s="104"/>
      <c r="Y114" s="18"/>
      <c r="Z114" s="26"/>
      <c r="AA114" s="104"/>
      <c r="AB114" s="104"/>
      <c r="AC114" s="104"/>
      <c r="AD114" s="18"/>
    </row>
    <row r="115" spans="12:30">
      <c r="L115" s="23" t="e">
        <f t="shared" ca="1" si="14"/>
        <v>#VALUE!</v>
      </c>
      <c r="M115" s="45"/>
      <c r="N115" s="10"/>
      <c r="O115" s="17" t="str">
        <f t="shared" si="15"/>
        <v/>
      </c>
      <c r="P115" s="23" t="e">
        <f t="shared" ca="1" si="16"/>
        <v>#VALUE!</v>
      </c>
      <c r="Q115" s="45"/>
      <c r="R115" s="10"/>
      <c r="S115" s="17" t="str">
        <f t="shared" si="17"/>
        <v/>
      </c>
      <c r="U115" s="26"/>
      <c r="V115" s="104"/>
      <c r="W115" s="109"/>
      <c r="X115" s="104"/>
      <c r="Y115" s="18"/>
      <c r="Z115" s="26"/>
      <c r="AA115" s="104"/>
      <c r="AB115" s="104"/>
      <c r="AC115" s="104"/>
      <c r="AD115" s="18"/>
    </row>
    <row r="116" spans="12:30">
      <c r="L116" s="23" t="e">
        <f t="shared" ca="1" si="14"/>
        <v>#VALUE!</v>
      </c>
      <c r="M116" s="45"/>
      <c r="N116" s="10"/>
      <c r="O116" s="17" t="str">
        <f t="shared" si="15"/>
        <v/>
      </c>
      <c r="P116" s="23" t="e">
        <f t="shared" ca="1" si="16"/>
        <v>#VALUE!</v>
      </c>
      <c r="Q116" s="45"/>
      <c r="R116" s="10"/>
      <c r="S116" s="17" t="str">
        <f t="shared" si="17"/>
        <v/>
      </c>
      <c r="U116" s="26"/>
      <c r="V116" s="104"/>
      <c r="W116" s="109"/>
      <c r="X116" s="104"/>
      <c r="Y116" s="18"/>
      <c r="Z116" s="26"/>
      <c r="AA116" s="104"/>
      <c r="AB116" s="104"/>
      <c r="AC116" s="104"/>
      <c r="AD116" s="18"/>
    </row>
    <row r="117" spans="12:30">
      <c r="L117" s="23" t="e">
        <f t="shared" ca="1" si="14"/>
        <v>#VALUE!</v>
      </c>
      <c r="M117" s="45"/>
      <c r="N117" s="10"/>
      <c r="O117" s="17" t="str">
        <f t="shared" si="15"/>
        <v/>
      </c>
      <c r="P117" s="23" t="e">
        <f t="shared" ca="1" si="16"/>
        <v>#VALUE!</v>
      </c>
      <c r="Q117" s="45"/>
      <c r="R117" s="10"/>
      <c r="S117" s="17" t="str">
        <f t="shared" si="17"/>
        <v/>
      </c>
      <c r="U117" s="26"/>
      <c r="V117" s="104"/>
      <c r="W117" s="109"/>
      <c r="X117" s="104"/>
      <c r="Y117" s="18"/>
      <c r="Z117" s="26"/>
      <c r="AA117" s="104"/>
      <c r="AB117" s="104"/>
      <c r="AC117" s="104"/>
      <c r="AD117" s="18"/>
    </row>
    <row r="118" spans="12:30">
      <c r="L118" s="23" t="e">
        <f t="shared" ca="1" si="14"/>
        <v>#VALUE!</v>
      </c>
      <c r="M118" s="45"/>
      <c r="N118" s="10"/>
      <c r="O118" s="17" t="str">
        <f t="shared" si="15"/>
        <v/>
      </c>
      <c r="P118" s="23" t="e">
        <f t="shared" ca="1" si="16"/>
        <v>#VALUE!</v>
      </c>
      <c r="Q118" s="45"/>
      <c r="R118" s="10"/>
      <c r="S118" s="17" t="str">
        <f t="shared" si="17"/>
        <v/>
      </c>
      <c r="U118" s="26"/>
      <c r="V118" s="104"/>
      <c r="W118" s="109"/>
      <c r="X118" s="104"/>
      <c r="Y118" s="18"/>
      <c r="Z118" s="26"/>
      <c r="AA118" s="104"/>
      <c r="AB118" s="104"/>
      <c r="AC118" s="104"/>
      <c r="AD118" s="18"/>
    </row>
    <row r="119" spans="12:30">
      <c r="L119" s="23" t="e">
        <f t="shared" ca="1" si="14"/>
        <v>#VALUE!</v>
      </c>
      <c r="M119" s="45"/>
      <c r="N119" s="10"/>
      <c r="O119" s="17" t="str">
        <f t="shared" si="15"/>
        <v/>
      </c>
      <c r="P119" s="23" t="e">
        <f t="shared" ca="1" si="16"/>
        <v>#VALUE!</v>
      </c>
      <c r="Q119" s="45"/>
      <c r="R119" s="10"/>
      <c r="S119" s="17" t="str">
        <f t="shared" si="17"/>
        <v/>
      </c>
      <c r="U119" s="26"/>
      <c r="V119" s="104"/>
      <c r="W119" s="109"/>
      <c r="X119" s="104"/>
      <c r="Y119" s="18"/>
      <c r="Z119" s="26"/>
      <c r="AA119" s="104"/>
      <c r="AB119" s="104"/>
      <c r="AC119" s="104"/>
      <c r="AD119" s="18"/>
    </row>
    <row r="120" spans="12:30">
      <c r="L120" s="23" t="e">
        <f t="shared" ca="1" si="14"/>
        <v>#VALUE!</v>
      </c>
      <c r="M120" s="45"/>
      <c r="N120" s="10"/>
      <c r="O120" s="17" t="str">
        <f t="shared" si="15"/>
        <v/>
      </c>
      <c r="P120" s="23" t="e">
        <f t="shared" ca="1" si="16"/>
        <v>#VALUE!</v>
      </c>
      <c r="Q120" s="45"/>
      <c r="R120" s="10"/>
      <c r="S120" s="17" t="str">
        <f t="shared" si="17"/>
        <v/>
      </c>
      <c r="U120" s="26"/>
      <c r="V120" s="104"/>
      <c r="W120" s="109"/>
      <c r="X120" s="104"/>
      <c r="Y120" s="18"/>
      <c r="Z120" s="26"/>
      <c r="AA120" s="104"/>
      <c r="AB120" s="104"/>
      <c r="AC120" s="104"/>
      <c r="AD120" s="18"/>
    </row>
    <row r="121" spans="12:30">
      <c r="L121" s="23" t="e">
        <f t="shared" ca="1" si="14"/>
        <v>#VALUE!</v>
      </c>
      <c r="M121" s="45"/>
      <c r="N121" s="10"/>
      <c r="O121" s="17" t="str">
        <f t="shared" si="15"/>
        <v/>
      </c>
      <c r="P121" s="23" t="e">
        <f t="shared" ca="1" si="16"/>
        <v>#VALUE!</v>
      </c>
      <c r="Q121" s="45"/>
      <c r="R121" s="10"/>
      <c r="S121" s="17" t="str">
        <f t="shared" si="17"/>
        <v/>
      </c>
      <c r="U121" s="26"/>
      <c r="V121" s="104"/>
      <c r="W121" s="109"/>
      <c r="X121" s="104"/>
      <c r="Y121" s="18"/>
      <c r="Z121" s="26"/>
      <c r="AA121" s="104"/>
      <c r="AB121" s="104"/>
      <c r="AC121" s="104"/>
      <c r="AD121" s="18"/>
    </row>
    <row r="122" spans="12:30">
      <c r="L122" s="23" t="e">
        <f t="shared" ca="1" si="14"/>
        <v>#VALUE!</v>
      </c>
      <c r="M122" s="45"/>
      <c r="N122" s="10"/>
      <c r="O122" s="17" t="str">
        <f t="shared" si="15"/>
        <v/>
      </c>
      <c r="P122" s="23" t="e">
        <f t="shared" ca="1" si="16"/>
        <v>#VALUE!</v>
      </c>
      <c r="Q122" s="45"/>
      <c r="R122" s="10"/>
      <c r="S122" s="17" t="str">
        <f t="shared" si="17"/>
        <v/>
      </c>
      <c r="U122" s="26"/>
      <c r="V122" s="104"/>
      <c r="W122" s="109"/>
      <c r="X122" s="104"/>
      <c r="Y122" s="18"/>
      <c r="Z122" s="26"/>
      <c r="AA122" s="104"/>
      <c r="AB122" s="104"/>
      <c r="AC122" s="104"/>
      <c r="AD122" s="18"/>
    </row>
    <row r="123" spans="12:30">
      <c r="L123" s="23" t="e">
        <f t="shared" ca="1" si="14"/>
        <v>#VALUE!</v>
      </c>
      <c r="M123" s="45"/>
      <c r="N123" s="10"/>
      <c r="O123" s="17" t="str">
        <f t="shared" si="15"/>
        <v/>
      </c>
      <c r="P123" s="23" t="e">
        <f t="shared" ca="1" si="16"/>
        <v>#VALUE!</v>
      </c>
      <c r="Q123" s="45"/>
      <c r="R123" s="10"/>
      <c r="S123" s="17" t="str">
        <f t="shared" si="17"/>
        <v/>
      </c>
      <c r="U123" s="26"/>
      <c r="V123" s="104"/>
      <c r="W123" s="109"/>
      <c r="X123" s="104"/>
      <c r="Y123" s="18"/>
      <c r="Z123" s="26"/>
      <c r="AA123" s="104"/>
      <c r="AB123" s="104"/>
      <c r="AC123" s="104"/>
      <c r="AD123" s="18"/>
    </row>
    <row r="124" spans="12:30">
      <c r="L124" s="23" t="e">
        <f t="shared" ca="1" si="14"/>
        <v>#VALUE!</v>
      </c>
      <c r="M124" s="45"/>
      <c r="N124" s="10"/>
      <c r="O124" s="17" t="str">
        <f t="shared" si="15"/>
        <v/>
      </c>
      <c r="P124" s="23" t="e">
        <f t="shared" ca="1" si="16"/>
        <v>#VALUE!</v>
      </c>
      <c r="Q124" s="45"/>
      <c r="R124" s="10"/>
      <c r="S124" s="17" t="str">
        <f t="shared" si="17"/>
        <v/>
      </c>
      <c r="U124" s="26"/>
      <c r="V124" s="104"/>
      <c r="W124" s="109"/>
      <c r="X124" s="104"/>
      <c r="Y124" s="18"/>
      <c r="Z124" s="26"/>
      <c r="AA124" s="104"/>
      <c r="AB124" s="104"/>
      <c r="AC124" s="104"/>
      <c r="AD124" s="18"/>
    </row>
    <row r="125" spans="12:30">
      <c r="L125" s="23" t="e">
        <f t="shared" ca="1" si="14"/>
        <v>#VALUE!</v>
      </c>
      <c r="M125" s="45"/>
      <c r="N125" s="10"/>
      <c r="O125" s="17" t="str">
        <f t="shared" si="15"/>
        <v/>
      </c>
      <c r="P125" s="23" t="e">
        <f t="shared" ca="1" si="16"/>
        <v>#VALUE!</v>
      </c>
      <c r="Q125" s="45"/>
      <c r="R125" s="10"/>
      <c r="S125" s="17" t="str">
        <f t="shared" si="17"/>
        <v/>
      </c>
      <c r="U125" s="26"/>
      <c r="V125" s="104"/>
      <c r="W125" s="109"/>
      <c r="X125" s="104"/>
      <c r="Y125" s="18"/>
      <c r="Z125" s="26"/>
      <c r="AA125" s="104"/>
      <c r="AB125" s="104"/>
      <c r="AC125" s="104"/>
      <c r="AD125" s="18"/>
    </row>
    <row r="126" spans="12:30">
      <c r="L126" s="23" t="e">
        <f t="shared" ca="1" si="14"/>
        <v>#VALUE!</v>
      </c>
      <c r="M126" s="45"/>
      <c r="N126" s="10"/>
      <c r="O126" s="17" t="str">
        <f t="shared" si="15"/>
        <v/>
      </c>
      <c r="P126" s="23" t="e">
        <f t="shared" ca="1" si="16"/>
        <v>#VALUE!</v>
      </c>
      <c r="Q126" s="45"/>
      <c r="R126" s="10"/>
      <c r="S126" s="17" t="str">
        <f t="shared" si="17"/>
        <v/>
      </c>
      <c r="U126" s="26"/>
      <c r="V126" s="104"/>
      <c r="W126" s="109"/>
      <c r="X126" s="104"/>
      <c r="Y126" s="18"/>
      <c r="Z126" s="26"/>
      <c r="AA126" s="104"/>
      <c r="AB126" s="104"/>
      <c r="AC126" s="104"/>
      <c r="AD126" s="18"/>
    </row>
    <row r="127" spans="12:30">
      <c r="L127" s="23" t="e">
        <f t="shared" ca="1" si="14"/>
        <v>#VALUE!</v>
      </c>
      <c r="M127" s="45"/>
      <c r="N127" s="10"/>
      <c r="O127" s="17" t="str">
        <f t="shared" si="15"/>
        <v/>
      </c>
      <c r="P127" s="23" t="e">
        <f t="shared" ca="1" si="16"/>
        <v>#VALUE!</v>
      </c>
      <c r="Q127" s="45"/>
      <c r="R127" s="10"/>
      <c r="S127" s="17" t="str">
        <f t="shared" si="17"/>
        <v/>
      </c>
      <c r="U127" s="26"/>
      <c r="V127" s="104"/>
      <c r="W127" s="109"/>
      <c r="X127" s="104"/>
      <c r="Y127" s="18"/>
      <c r="Z127" s="26"/>
      <c r="AA127" s="104"/>
      <c r="AB127" s="104"/>
      <c r="AC127" s="104"/>
      <c r="AD127" s="18"/>
    </row>
    <row r="128" spans="12:30">
      <c r="L128" s="23" t="e">
        <f t="shared" ca="1" si="14"/>
        <v>#VALUE!</v>
      </c>
      <c r="M128" s="45"/>
      <c r="N128" s="10"/>
      <c r="O128" s="17" t="str">
        <f t="shared" si="15"/>
        <v/>
      </c>
      <c r="P128" s="23" t="e">
        <f t="shared" ca="1" si="16"/>
        <v>#VALUE!</v>
      </c>
      <c r="Q128" s="45"/>
      <c r="R128" s="10"/>
      <c r="S128" s="17" t="str">
        <f t="shared" si="17"/>
        <v/>
      </c>
      <c r="U128" s="26"/>
      <c r="V128" s="104"/>
      <c r="W128" s="109"/>
      <c r="X128" s="104"/>
      <c r="Y128" s="18"/>
      <c r="Z128" s="26"/>
      <c r="AA128" s="104"/>
      <c r="AB128" s="104"/>
      <c r="AC128" s="104"/>
      <c r="AD128" s="18"/>
    </row>
    <row r="129" spans="12:30">
      <c r="L129" s="23" t="e">
        <f t="shared" ca="1" si="14"/>
        <v>#VALUE!</v>
      </c>
      <c r="M129" s="45"/>
      <c r="N129" s="10"/>
      <c r="O129" s="17" t="str">
        <f t="shared" si="15"/>
        <v/>
      </c>
      <c r="P129" s="23" t="e">
        <f t="shared" ca="1" si="16"/>
        <v>#VALUE!</v>
      </c>
      <c r="Q129" s="45"/>
      <c r="R129" s="10"/>
      <c r="S129" s="17" t="str">
        <f t="shared" si="17"/>
        <v/>
      </c>
      <c r="U129" s="26"/>
      <c r="V129" s="104"/>
      <c r="W129" s="109"/>
      <c r="X129" s="104"/>
      <c r="Y129" s="18"/>
      <c r="Z129" s="26"/>
      <c r="AA129" s="104"/>
      <c r="AB129" s="104"/>
      <c r="AC129" s="104"/>
      <c r="AD129" s="18"/>
    </row>
    <row r="130" spans="12:30">
      <c r="L130" s="23" t="e">
        <f t="shared" ca="1" si="14"/>
        <v>#VALUE!</v>
      </c>
      <c r="M130" s="45"/>
      <c r="N130" s="10"/>
      <c r="O130" s="17" t="str">
        <f t="shared" si="15"/>
        <v/>
      </c>
      <c r="P130" s="23" t="e">
        <f t="shared" ca="1" si="16"/>
        <v>#VALUE!</v>
      </c>
      <c r="Q130" s="45"/>
      <c r="R130" s="10"/>
      <c r="S130" s="17" t="str">
        <f t="shared" si="17"/>
        <v/>
      </c>
      <c r="U130" s="26"/>
      <c r="V130" s="104"/>
      <c r="W130" s="109"/>
      <c r="X130" s="104"/>
      <c r="Y130" s="18"/>
      <c r="Z130" s="26"/>
      <c r="AA130" s="104"/>
      <c r="AB130" s="104"/>
      <c r="AC130" s="104"/>
      <c r="AD130" s="18"/>
    </row>
    <row r="131" spans="12:30">
      <c r="L131" s="23" t="e">
        <f t="shared" ca="1" si="14"/>
        <v>#VALUE!</v>
      </c>
      <c r="M131" s="45"/>
      <c r="N131" s="10"/>
      <c r="O131" s="17" t="str">
        <f t="shared" si="15"/>
        <v/>
      </c>
      <c r="P131" s="23" t="e">
        <f t="shared" ca="1" si="16"/>
        <v>#VALUE!</v>
      </c>
      <c r="Q131" s="45"/>
      <c r="R131" s="10"/>
      <c r="S131" s="17" t="str">
        <f t="shared" si="17"/>
        <v/>
      </c>
      <c r="U131" s="26"/>
      <c r="V131" s="104"/>
      <c r="W131" s="109"/>
      <c r="X131" s="104"/>
      <c r="Y131" s="18"/>
      <c r="Z131" s="26"/>
      <c r="AA131" s="104"/>
      <c r="AB131" s="104"/>
      <c r="AC131" s="104"/>
      <c r="AD131" s="18"/>
    </row>
    <row r="132" spans="12:30">
      <c r="L132" s="23" t="e">
        <f t="shared" ca="1" si="14"/>
        <v>#VALUE!</v>
      </c>
      <c r="M132" s="45"/>
      <c r="N132" s="10"/>
      <c r="O132" s="17" t="str">
        <f t="shared" si="15"/>
        <v/>
      </c>
      <c r="P132" s="23" t="e">
        <f t="shared" ca="1" si="16"/>
        <v>#VALUE!</v>
      </c>
      <c r="Q132" s="45"/>
      <c r="R132" s="10"/>
      <c r="S132" s="17" t="str">
        <f t="shared" si="17"/>
        <v/>
      </c>
      <c r="U132" s="26"/>
      <c r="V132" s="104"/>
      <c r="W132" s="109"/>
      <c r="X132" s="104"/>
      <c r="Y132" s="18"/>
      <c r="Z132" s="26"/>
      <c r="AA132" s="104"/>
      <c r="AB132" s="104"/>
      <c r="AC132" s="104"/>
      <c r="AD132" s="18"/>
    </row>
    <row r="133" spans="12:30">
      <c r="L133" s="23" t="e">
        <f t="shared" ca="1" si="14"/>
        <v>#VALUE!</v>
      </c>
      <c r="M133" s="45"/>
      <c r="N133" s="10"/>
      <c r="O133" s="17" t="str">
        <f t="shared" si="15"/>
        <v/>
      </c>
      <c r="P133" s="23" t="e">
        <f t="shared" ca="1" si="16"/>
        <v>#VALUE!</v>
      </c>
      <c r="Q133" s="45"/>
      <c r="R133" s="10"/>
      <c r="S133" s="17" t="str">
        <f t="shared" si="17"/>
        <v/>
      </c>
      <c r="U133" s="26"/>
      <c r="V133" s="104"/>
      <c r="W133" s="109"/>
      <c r="X133" s="104"/>
      <c r="Y133" s="18"/>
      <c r="Z133" s="26"/>
      <c r="AA133" s="104"/>
      <c r="AB133" s="104"/>
      <c r="AC133" s="104"/>
      <c r="AD133" s="18"/>
    </row>
    <row r="134" spans="12:30">
      <c r="L134" s="23" t="e">
        <f t="shared" ca="1" si="14"/>
        <v>#VALUE!</v>
      </c>
      <c r="M134" s="45"/>
      <c r="N134" s="10"/>
      <c r="O134" s="17" t="str">
        <f t="shared" si="15"/>
        <v/>
      </c>
      <c r="P134" s="23" t="e">
        <f t="shared" ca="1" si="16"/>
        <v>#VALUE!</v>
      </c>
      <c r="Q134" s="45"/>
      <c r="R134" s="10"/>
      <c r="S134" s="17" t="str">
        <f t="shared" si="17"/>
        <v/>
      </c>
      <c r="U134" s="26"/>
      <c r="V134" s="104"/>
      <c r="W134" s="109"/>
      <c r="X134" s="104"/>
      <c r="Y134" s="18"/>
      <c r="Z134" s="26"/>
      <c r="AA134" s="104"/>
      <c r="AB134" s="104"/>
      <c r="AC134" s="104"/>
      <c r="AD134" s="18"/>
    </row>
    <row r="135" spans="12:30">
      <c r="L135" s="23" t="e">
        <f t="shared" ca="1" si="14"/>
        <v>#VALUE!</v>
      </c>
      <c r="M135" s="45"/>
      <c r="N135" s="10"/>
      <c r="O135" s="17" t="str">
        <f t="shared" si="15"/>
        <v/>
      </c>
      <c r="P135" s="23" t="e">
        <f t="shared" ca="1" si="16"/>
        <v>#VALUE!</v>
      </c>
      <c r="Q135" s="45"/>
      <c r="R135" s="10"/>
      <c r="S135" s="17" t="str">
        <f t="shared" si="17"/>
        <v/>
      </c>
      <c r="U135" s="26"/>
      <c r="V135" s="104"/>
      <c r="W135" s="109"/>
      <c r="X135" s="104"/>
      <c r="Y135" s="18"/>
      <c r="Z135" s="26"/>
      <c r="AA135" s="104"/>
      <c r="AB135" s="104"/>
      <c r="AC135" s="104"/>
      <c r="AD135" s="18"/>
    </row>
    <row r="136" spans="12:30">
      <c r="L136" s="23" t="e">
        <f t="shared" ca="1" si="14"/>
        <v>#VALUE!</v>
      </c>
      <c r="M136" s="45"/>
      <c r="N136" s="10"/>
      <c r="O136" s="17" t="str">
        <f t="shared" si="15"/>
        <v/>
      </c>
      <c r="P136" s="23" t="e">
        <f t="shared" ca="1" si="16"/>
        <v>#VALUE!</v>
      </c>
      <c r="Q136" s="45"/>
      <c r="R136" s="10"/>
      <c r="S136" s="17" t="str">
        <f t="shared" si="17"/>
        <v/>
      </c>
      <c r="U136" s="26"/>
      <c r="V136" s="104"/>
      <c r="W136" s="109"/>
      <c r="X136" s="104"/>
      <c r="Y136" s="18"/>
      <c r="Z136" s="26"/>
      <c r="AA136" s="104"/>
      <c r="AB136" s="104"/>
      <c r="AC136" s="104"/>
      <c r="AD136" s="18"/>
    </row>
    <row r="137" spans="12:30">
      <c r="L137" s="23" t="e">
        <f t="shared" ca="1" si="14"/>
        <v>#VALUE!</v>
      </c>
      <c r="M137" s="45"/>
      <c r="N137" s="10"/>
      <c r="O137" s="17" t="str">
        <f t="shared" si="15"/>
        <v/>
      </c>
      <c r="P137" s="23" t="e">
        <f t="shared" ca="1" si="16"/>
        <v>#VALUE!</v>
      </c>
      <c r="Q137" s="45"/>
      <c r="R137" s="10"/>
      <c r="S137" s="17" t="str">
        <f t="shared" si="17"/>
        <v/>
      </c>
      <c r="U137" s="26"/>
      <c r="V137" s="104"/>
      <c r="W137" s="109"/>
      <c r="X137" s="104"/>
      <c r="Y137" s="18"/>
      <c r="Z137" s="26"/>
      <c r="AA137" s="104"/>
      <c r="AB137" s="104"/>
      <c r="AC137" s="104"/>
      <c r="AD137" s="18"/>
    </row>
    <row r="138" spans="12:30">
      <c r="L138" s="23" t="e">
        <f t="shared" ca="1" si="14"/>
        <v>#VALUE!</v>
      </c>
      <c r="M138" s="45"/>
      <c r="N138" s="10"/>
      <c r="O138" s="17" t="str">
        <f t="shared" si="15"/>
        <v/>
      </c>
      <c r="P138" s="23" t="e">
        <f t="shared" ca="1" si="16"/>
        <v>#VALUE!</v>
      </c>
      <c r="Q138" s="45"/>
      <c r="R138" s="10"/>
      <c r="S138" s="17" t="str">
        <f t="shared" si="17"/>
        <v/>
      </c>
      <c r="U138" s="26"/>
      <c r="V138" s="104"/>
      <c r="W138" s="109"/>
      <c r="X138" s="104"/>
      <c r="Y138" s="18"/>
      <c r="Z138" s="26"/>
      <c r="AA138" s="104"/>
      <c r="AB138" s="104"/>
      <c r="AC138" s="104"/>
      <c r="AD138" s="18"/>
    </row>
    <row r="139" spans="12:30">
      <c r="L139" s="23" t="e">
        <f t="shared" ref="L139:L202" ca="1" si="18">IF(AND(M138&lt;$D$12, M138&lt;&gt;""),M138,"")</f>
        <v>#VALUE!</v>
      </c>
      <c r="M139" s="45"/>
      <c r="N139" s="10"/>
      <c r="O139" s="17" t="str">
        <f t="shared" ref="O139:O202" si="19">IF(M139=0,"",O138+N138)</f>
        <v/>
      </c>
      <c r="P139" s="23" t="e">
        <f t="shared" ref="P139:P202" ca="1" si="20">IF(AND(Q138&lt;$D$12, Q138&lt;&gt;""),Q138,"")</f>
        <v>#VALUE!</v>
      </c>
      <c r="Q139" s="45"/>
      <c r="R139" s="10"/>
      <c r="S139" s="17" t="str">
        <f t="shared" ref="S139:S202" si="21">IF(Q139=0,"",S138+R138)</f>
        <v/>
      </c>
      <c r="U139" s="26"/>
      <c r="V139" s="104"/>
      <c r="W139" s="109"/>
      <c r="X139" s="104"/>
      <c r="Y139" s="18"/>
      <c r="Z139" s="26"/>
      <c r="AA139" s="104"/>
      <c r="AB139" s="104"/>
      <c r="AC139" s="104"/>
      <c r="AD139" s="18"/>
    </row>
    <row r="140" spans="12:30">
      <c r="L140" s="23" t="e">
        <f t="shared" ca="1" si="18"/>
        <v>#VALUE!</v>
      </c>
      <c r="M140" s="45"/>
      <c r="N140" s="10"/>
      <c r="O140" s="17" t="str">
        <f t="shared" si="19"/>
        <v/>
      </c>
      <c r="P140" s="23" t="e">
        <f t="shared" ca="1" si="20"/>
        <v>#VALUE!</v>
      </c>
      <c r="Q140" s="45"/>
      <c r="R140" s="10"/>
      <c r="S140" s="17" t="str">
        <f t="shared" si="21"/>
        <v/>
      </c>
      <c r="U140" s="26"/>
      <c r="V140" s="104"/>
      <c r="W140" s="109"/>
      <c r="X140" s="104"/>
      <c r="Y140" s="18"/>
      <c r="Z140" s="26"/>
      <c r="AA140" s="104"/>
      <c r="AB140" s="104"/>
      <c r="AC140" s="104"/>
      <c r="AD140" s="18"/>
    </row>
    <row r="141" spans="12:30">
      <c r="L141" s="23" t="e">
        <f t="shared" ca="1" si="18"/>
        <v>#VALUE!</v>
      </c>
      <c r="M141" s="45"/>
      <c r="N141" s="10"/>
      <c r="O141" s="17" t="str">
        <f t="shared" si="19"/>
        <v/>
      </c>
      <c r="P141" s="23" t="e">
        <f t="shared" ca="1" si="20"/>
        <v>#VALUE!</v>
      </c>
      <c r="Q141" s="45"/>
      <c r="R141" s="10"/>
      <c r="S141" s="17" t="str">
        <f t="shared" si="21"/>
        <v/>
      </c>
      <c r="U141" s="26"/>
      <c r="V141" s="104"/>
      <c r="W141" s="109"/>
      <c r="X141" s="104"/>
      <c r="Y141" s="18"/>
      <c r="Z141" s="26"/>
      <c r="AA141" s="104"/>
      <c r="AB141" s="104"/>
      <c r="AC141" s="104"/>
      <c r="AD141" s="18"/>
    </row>
    <row r="142" spans="12:30">
      <c r="L142" s="23" t="e">
        <f t="shared" ca="1" si="18"/>
        <v>#VALUE!</v>
      </c>
      <c r="M142" s="45"/>
      <c r="N142" s="10"/>
      <c r="O142" s="17" t="str">
        <f t="shared" si="19"/>
        <v/>
      </c>
      <c r="P142" s="23" t="e">
        <f t="shared" ca="1" si="20"/>
        <v>#VALUE!</v>
      </c>
      <c r="Q142" s="45"/>
      <c r="R142" s="10"/>
      <c r="S142" s="17" t="str">
        <f t="shared" si="21"/>
        <v/>
      </c>
      <c r="U142" s="26"/>
      <c r="V142" s="104"/>
      <c r="W142" s="109"/>
      <c r="X142" s="104"/>
      <c r="Y142" s="18"/>
      <c r="Z142" s="26"/>
      <c r="AA142" s="104"/>
      <c r="AB142" s="104"/>
      <c r="AC142" s="104"/>
      <c r="AD142" s="18"/>
    </row>
    <row r="143" spans="12:30">
      <c r="L143" s="23" t="e">
        <f t="shared" ca="1" si="18"/>
        <v>#VALUE!</v>
      </c>
      <c r="M143" s="45"/>
      <c r="N143" s="10"/>
      <c r="O143" s="17" t="str">
        <f t="shared" si="19"/>
        <v/>
      </c>
      <c r="P143" s="23" t="e">
        <f t="shared" ca="1" si="20"/>
        <v>#VALUE!</v>
      </c>
      <c r="Q143" s="45"/>
      <c r="R143" s="10"/>
      <c r="S143" s="17" t="str">
        <f t="shared" si="21"/>
        <v/>
      </c>
      <c r="U143" s="26"/>
      <c r="V143" s="104"/>
      <c r="W143" s="109"/>
      <c r="X143" s="104"/>
      <c r="Y143" s="18"/>
      <c r="Z143" s="26"/>
      <c r="AA143" s="104"/>
      <c r="AB143" s="104"/>
      <c r="AC143" s="104"/>
      <c r="AD143" s="18"/>
    </row>
    <row r="144" spans="12:30">
      <c r="L144" s="23" t="e">
        <f t="shared" ca="1" si="18"/>
        <v>#VALUE!</v>
      </c>
      <c r="M144" s="45"/>
      <c r="N144" s="10"/>
      <c r="O144" s="17" t="str">
        <f t="shared" si="19"/>
        <v/>
      </c>
      <c r="P144" s="23" t="e">
        <f t="shared" ca="1" si="20"/>
        <v>#VALUE!</v>
      </c>
      <c r="Q144" s="45"/>
      <c r="R144" s="10"/>
      <c r="S144" s="17" t="str">
        <f t="shared" si="21"/>
        <v/>
      </c>
      <c r="U144" s="26"/>
      <c r="V144" s="104"/>
      <c r="W144" s="109"/>
      <c r="X144" s="104"/>
      <c r="Y144" s="18"/>
      <c r="Z144" s="26"/>
      <c r="AA144" s="104"/>
      <c r="AB144" s="104"/>
      <c r="AC144" s="104"/>
      <c r="AD144" s="18"/>
    </row>
    <row r="145" spans="12:30">
      <c r="L145" s="23" t="e">
        <f t="shared" ca="1" si="18"/>
        <v>#VALUE!</v>
      </c>
      <c r="M145" s="45"/>
      <c r="N145" s="10"/>
      <c r="O145" s="17" t="str">
        <f t="shared" si="19"/>
        <v/>
      </c>
      <c r="P145" s="23" t="e">
        <f t="shared" ca="1" si="20"/>
        <v>#VALUE!</v>
      </c>
      <c r="Q145" s="45"/>
      <c r="R145" s="10"/>
      <c r="S145" s="17" t="str">
        <f t="shared" si="21"/>
        <v/>
      </c>
      <c r="U145" s="26"/>
      <c r="V145" s="104"/>
      <c r="W145" s="109"/>
      <c r="X145" s="104"/>
      <c r="Y145" s="18"/>
      <c r="Z145" s="26"/>
      <c r="AA145" s="104"/>
      <c r="AB145" s="104"/>
      <c r="AC145" s="104"/>
      <c r="AD145" s="18"/>
    </row>
    <row r="146" spans="12:30">
      <c r="L146" s="23" t="e">
        <f t="shared" ca="1" si="18"/>
        <v>#VALUE!</v>
      </c>
      <c r="M146" s="45"/>
      <c r="N146" s="10"/>
      <c r="O146" s="17" t="str">
        <f t="shared" si="19"/>
        <v/>
      </c>
      <c r="P146" s="23" t="e">
        <f t="shared" ca="1" si="20"/>
        <v>#VALUE!</v>
      </c>
      <c r="Q146" s="45"/>
      <c r="R146" s="10"/>
      <c r="S146" s="17" t="str">
        <f t="shared" si="21"/>
        <v/>
      </c>
      <c r="U146" s="26"/>
      <c r="V146" s="104"/>
      <c r="W146" s="109"/>
      <c r="X146" s="104"/>
      <c r="Y146" s="18"/>
      <c r="Z146" s="26"/>
      <c r="AA146" s="104"/>
      <c r="AB146" s="104"/>
      <c r="AC146" s="104"/>
      <c r="AD146" s="18"/>
    </row>
    <row r="147" spans="12:30">
      <c r="L147" s="23" t="e">
        <f t="shared" ca="1" si="18"/>
        <v>#VALUE!</v>
      </c>
      <c r="M147" s="45"/>
      <c r="N147" s="10"/>
      <c r="O147" s="17" t="str">
        <f t="shared" si="19"/>
        <v/>
      </c>
      <c r="P147" s="23" t="e">
        <f t="shared" ca="1" si="20"/>
        <v>#VALUE!</v>
      </c>
      <c r="Q147" s="45"/>
      <c r="R147" s="10"/>
      <c r="S147" s="17" t="str">
        <f t="shared" si="21"/>
        <v/>
      </c>
      <c r="U147" s="26"/>
      <c r="V147" s="104"/>
      <c r="W147" s="109"/>
      <c r="X147" s="104"/>
      <c r="Y147" s="18"/>
      <c r="Z147" s="26"/>
      <c r="AA147" s="104"/>
      <c r="AB147" s="104"/>
      <c r="AC147" s="104"/>
      <c r="AD147" s="18"/>
    </row>
    <row r="148" spans="12:30">
      <c r="L148" s="23" t="e">
        <f t="shared" ca="1" si="18"/>
        <v>#VALUE!</v>
      </c>
      <c r="M148" s="45"/>
      <c r="N148" s="10"/>
      <c r="O148" s="17" t="str">
        <f t="shared" si="19"/>
        <v/>
      </c>
      <c r="P148" s="23" t="e">
        <f t="shared" ca="1" si="20"/>
        <v>#VALUE!</v>
      </c>
      <c r="Q148" s="45"/>
      <c r="R148" s="10"/>
      <c r="S148" s="17" t="str">
        <f t="shared" si="21"/>
        <v/>
      </c>
      <c r="U148" s="26"/>
      <c r="V148" s="104"/>
      <c r="W148" s="109"/>
      <c r="X148" s="104"/>
      <c r="Y148" s="18"/>
      <c r="Z148" s="26"/>
      <c r="AA148" s="104"/>
      <c r="AB148" s="104"/>
      <c r="AC148" s="104"/>
      <c r="AD148" s="18"/>
    </row>
    <row r="149" spans="12:30">
      <c r="L149" s="23" t="e">
        <f t="shared" ca="1" si="18"/>
        <v>#VALUE!</v>
      </c>
      <c r="M149" s="45"/>
      <c r="N149" s="10"/>
      <c r="O149" s="17" t="str">
        <f t="shared" si="19"/>
        <v/>
      </c>
      <c r="P149" s="23" t="e">
        <f t="shared" ca="1" si="20"/>
        <v>#VALUE!</v>
      </c>
      <c r="Q149" s="45"/>
      <c r="R149" s="10"/>
      <c r="S149" s="17" t="str">
        <f t="shared" si="21"/>
        <v/>
      </c>
      <c r="U149" s="26"/>
      <c r="V149" s="104"/>
      <c r="W149" s="109"/>
      <c r="X149" s="104"/>
      <c r="Y149" s="18"/>
      <c r="Z149" s="26"/>
      <c r="AA149" s="104"/>
      <c r="AB149" s="104"/>
      <c r="AC149" s="104"/>
      <c r="AD149" s="18"/>
    </row>
    <row r="150" spans="12:30">
      <c r="L150" s="23" t="e">
        <f t="shared" ca="1" si="18"/>
        <v>#VALUE!</v>
      </c>
      <c r="M150" s="45"/>
      <c r="N150" s="10"/>
      <c r="O150" s="17" t="str">
        <f t="shared" si="19"/>
        <v/>
      </c>
      <c r="P150" s="23" t="e">
        <f t="shared" ca="1" si="20"/>
        <v>#VALUE!</v>
      </c>
      <c r="Q150" s="45"/>
      <c r="R150" s="10"/>
      <c r="S150" s="17" t="str">
        <f t="shared" si="21"/>
        <v/>
      </c>
      <c r="U150" s="26"/>
      <c r="V150" s="104"/>
      <c r="W150" s="109"/>
      <c r="X150" s="104"/>
      <c r="Y150" s="18"/>
      <c r="Z150" s="26"/>
      <c r="AA150" s="104"/>
      <c r="AB150" s="104"/>
      <c r="AC150" s="104"/>
      <c r="AD150" s="18"/>
    </row>
    <row r="151" spans="12:30">
      <c r="L151" s="23" t="e">
        <f t="shared" ca="1" si="18"/>
        <v>#VALUE!</v>
      </c>
      <c r="M151" s="45"/>
      <c r="N151" s="10"/>
      <c r="O151" s="17" t="str">
        <f t="shared" si="19"/>
        <v/>
      </c>
      <c r="P151" s="23" t="e">
        <f t="shared" ca="1" si="20"/>
        <v>#VALUE!</v>
      </c>
      <c r="Q151" s="45"/>
      <c r="R151" s="10"/>
      <c r="S151" s="17" t="str">
        <f t="shared" si="21"/>
        <v/>
      </c>
      <c r="U151" s="26"/>
      <c r="V151" s="104"/>
      <c r="W151" s="109"/>
      <c r="X151" s="104"/>
      <c r="Y151" s="18"/>
      <c r="Z151" s="26"/>
      <c r="AA151" s="104"/>
      <c r="AB151" s="104"/>
      <c r="AC151" s="104"/>
      <c r="AD151" s="18"/>
    </row>
    <row r="152" spans="12:30">
      <c r="L152" s="23" t="e">
        <f t="shared" ca="1" si="18"/>
        <v>#VALUE!</v>
      </c>
      <c r="M152" s="45"/>
      <c r="N152" s="10"/>
      <c r="O152" s="17" t="str">
        <f t="shared" si="19"/>
        <v/>
      </c>
      <c r="P152" s="23" t="e">
        <f t="shared" ca="1" si="20"/>
        <v>#VALUE!</v>
      </c>
      <c r="Q152" s="45"/>
      <c r="R152" s="10"/>
      <c r="S152" s="17" t="str">
        <f t="shared" si="21"/>
        <v/>
      </c>
      <c r="U152" s="26"/>
      <c r="V152" s="104"/>
      <c r="W152" s="109"/>
      <c r="X152" s="104"/>
      <c r="Y152" s="18"/>
      <c r="Z152" s="26"/>
      <c r="AA152" s="104"/>
      <c r="AB152" s="104"/>
      <c r="AC152" s="104"/>
      <c r="AD152" s="18"/>
    </row>
    <row r="153" spans="12:30">
      <c r="L153" s="23" t="e">
        <f t="shared" ca="1" si="18"/>
        <v>#VALUE!</v>
      </c>
      <c r="M153" s="45"/>
      <c r="N153" s="10"/>
      <c r="O153" s="17" t="str">
        <f t="shared" si="19"/>
        <v/>
      </c>
      <c r="P153" s="23" t="e">
        <f t="shared" ca="1" si="20"/>
        <v>#VALUE!</v>
      </c>
      <c r="Q153" s="45"/>
      <c r="R153" s="10"/>
      <c r="S153" s="17" t="str">
        <f t="shared" si="21"/>
        <v/>
      </c>
      <c r="U153" s="26"/>
      <c r="V153" s="104"/>
      <c r="W153" s="109"/>
      <c r="X153" s="104"/>
      <c r="Y153" s="18"/>
      <c r="Z153" s="26"/>
      <c r="AA153" s="104"/>
      <c r="AB153" s="104"/>
      <c r="AC153" s="104"/>
      <c r="AD153" s="18"/>
    </row>
    <row r="154" spans="12:30">
      <c r="L154" s="23" t="e">
        <f t="shared" ca="1" si="18"/>
        <v>#VALUE!</v>
      </c>
      <c r="M154" s="45"/>
      <c r="N154" s="10"/>
      <c r="O154" s="17" t="str">
        <f t="shared" si="19"/>
        <v/>
      </c>
      <c r="P154" s="23" t="e">
        <f t="shared" ca="1" si="20"/>
        <v>#VALUE!</v>
      </c>
      <c r="Q154" s="45"/>
      <c r="R154" s="10"/>
      <c r="S154" s="17" t="str">
        <f t="shared" si="21"/>
        <v/>
      </c>
      <c r="U154" s="26"/>
      <c r="V154" s="104"/>
      <c r="W154" s="109"/>
      <c r="X154" s="104"/>
      <c r="Y154" s="18"/>
      <c r="Z154" s="26"/>
      <c r="AA154" s="104"/>
      <c r="AB154" s="104"/>
      <c r="AC154" s="104"/>
      <c r="AD154" s="18"/>
    </row>
    <row r="155" spans="12:30">
      <c r="L155" s="23" t="e">
        <f t="shared" ca="1" si="18"/>
        <v>#VALUE!</v>
      </c>
      <c r="M155" s="45"/>
      <c r="N155" s="10"/>
      <c r="O155" s="17" t="str">
        <f t="shared" si="19"/>
        <v/>
      </c>
      <c r="P155" s="23" t="e">
        <f t="shared" ca="1" si="20"/>
        <v>#VALUE!</v>
      </c>
      <c r="Q155" s="45"/>
      <c r="R155" s="10"/>
      <c r="S155" s="17" t="str">
        <f t="shared" si="21"/>
        <v/>
      </c>
      <c r="U155" s="26"/>
      <c r="V155" s="104"/>
      <c r="W155" s="109"/>
      <c r="X155" s="104"/>
      <c r="Y155" s="18"/>
      <c r="Z155" s="26"/>
      <c r="AA155" s="104"/>
      <c r="AB155" s="104"/>
      <c r="AC155" s="104"/>
      <c r="AD155" s="18"/>
    </row>
    <row r="156" spans="12:30">
      <c r="L156" s="23" t="e">
        <f t="shared" ca="1" si="18"/>
        <v>#VALUE!</v>
      </c>
      <c r="M156" s="45"/>
      <c r="N156" s="10"/>
      <c r="O156" s="17" t="str">
        <f t="shared" si="19"/>
        <v/>
      </c>
      <c r="P156" s="23" t="e">
        <f t="shared" ca="1" si="20"/>
        <v>#VALUE!</v>
      </c>
      <c r="Q156" s="45"/>
      <c r="R156" s="10"/>
      <c r="S156" s="17" t="str">
        <f t="shared" si="21"/>
        <v/>
      </c>
      <c r="U156" s="26"/>
      <c r="V156" s="104"/>
      <c r="W156" s="109"/>
      <c r="X156" s="104"/>
      <c r="Y156" s="18"/>
      <c r="Z156" s="26"/>
      <c r="AA156" s="104"/>
      <c r="AB156" s="104"/>
      <c r="AC156" s="104"/>
      <c r="AD156" s="18"/>
    </row>
    <row r="157" spans="12:30">
      <c r="L157" s="23" t="e">
        <f t="shared" ca="1" si="18"/>
        <v>#VALUE!</v>
      </c>
      <c r="M157" s="45"/>
      <c r="N157" s="10"/>
      <c r="O157" s="17" t="str">
        <f t="shared" si="19"/>
        <v/>
      </c>
      <c r="P157" s="23" t="e">
        <f t="shared" ca="1" si="20"/>
        <v>#VALUE!</v>
      </c>
      <c r="Q157" s="45"/>
      <c r="R157" s="10"/>
      <c r="S157" s="17" t="str">
        <f t="shared" si="21"/>
        <v/>
      </c>
      <c r="U157" s="26"/>
      <c r="V157" s="104"/>
      <c r="W157" s="109"/>
      <c r="X157" s="104"/>
      <c r="Y157" s="18"/>
      <c r="Z157" s="26"/>
      <c r="AA157" s="104"/>
      <c r="AB157" s="104"/>
      <c r="AC157" s="104"/>
      <c r="AD157" s="18"/>
    </row>
    <row r="158" spans="12:30">
      <c r="L158" s="23" t="e">
        <f t="shared" ca="1" si="18"/>
        <v>#VALUE!</v>
      </c>
      <c r="M158" s="45"/>
      <c r="N158" s="10"/>
      <c r="O158" s="17" t="str">
        <f t="shared" si="19"/>
        <v/>
      </c>
      <c r="P158" s="23" t="e">
        <f t="shared" ca="1" si="20"/>
        <v>#VALUE!</v>
      </c>
      <c r="Q158" s="45"/>
      <c r="R158" s="10"/>
      <c r="S158" s="17" t="str">
        <f t="shared" si="21"/>
        <v/>
      </c>
      <c r="U158" s="26"/>
      <c r="V158" s="104"/>
      <c r="W158" s="109"/>
      <c r="X158" s="104"/>
      <c r="Y158" s="18"/>
      <c r="Z158" s="26"/>
      <c r="AA158" s="104"/>
      <c r="AB158" s="104"/>
      <c r="AC158" s="104"/>
      <c r="AD158" s="18"/>
    </row>
    <row r="159" spans="12:30">
      <c r="L159" s="23" t="e">
        <f t="shared" ca="1" si="18"/>
        <v>#VALUE!</v>
      </c>
      <c r="M159" s="45"/>
      <c r="N159" s="10"/>
      <c r="O159" s="17" t="str">
        <f t="shared" si="19"/>
        <v/>
      </c>
      <c r="P159" s="23" t="e">
        <f t="shared" ca="1" si="20"/>
        <v>#VALUE!</v>
      </c>
      <c r="Q159" s="45"/>
      <c r="R159" s="10"/>
      <c r="S159" s="17" t="str">
        <f t="shared" si="21"/>
        <v/>
      </c>
      <c r="U159" s="26"/>
      <c r="V159" s="104"/>
      <c r="W159" s="109"/>
      <c r="X159" s="104"/>
      <c r="Y159" s="18"/>
      <c r="Z159" s="26"/>
      <c r="AA159" s="104"/>
      <c r="AB159" s="104"/>
      <c r="AC159" s="104"/>
      <c r="AD159" s="18"/>
    </row>
    <row r="160" spans="12:30">
      <c r="L160" s="23" t="e">
        <f t="shared" ca="1" si="18"/>
        <v>#VALUE!</v>
      </c>
      <c r="M160" s="45"/>
      <c r="N160" s="10"/>
      <c r="O160" s="17" t="str">
        <f t="shared" si="19"/>
        <v/>
      </c>
      <c r="P160" s="23" t="e">
        <f t="shared" ca="1" si="20"/>
        <v>#VALUE!</v>
      </c>
      <c r="Q160" s="45"/>
      <c r="R160" s="10"/>
      <c r="S160" s="17" t="str">
        <f t="shared" si="21"/>
        <v/>
      </c>
      <c r="U160" s="26"/>
      <c r="V160" s="104"/>
      <c r="W160" s="109"/>
      <c r="X160" s="104"/>
      <c r="Y160" s="18"/>
      <c r="Z160" s="26"/>
      <c r="AA160" s="104"/>
      <c r="AB160" s="104"/>
      <c r="AC160" s="104"/>
      <c r="AD160" s="18"/>
    </row>
    <row r="161" spans="12:30">
      <c r="L161" s="23" t="e">
        <f t="shared" ca="1" si="18"/>
        <v>#VALUE!</v>
      </c>
      <c r="M161" s="45"/>
      <c r="N161" s="10"/>
      <c r="O161" s="17" t="str">
        <f t="shared" si="19"/>
        <v/>
      </c>
      <c r="P161" s="23" t="e">
        <f t="shared" ca="1" si="20"/>
        <v>#VALUE!</v>
      </c>
      <c r="Q161" s="45"/>
      <c r="R161" s="10"/>
      <c r="S161" s="17" t="str">
        <f t="shared" si="21"/>
        <v/>
      </c>
      <c r="U161" s="26"/>
      <c r="V161" s="104"/>
      <c r="W161" s="109"/>
      <c r="X161" s="104"/>
      <c r="Y161" s="18"/>
      <c r="Z161" s="26"/>
      <c r="AA161" s="104"/>
      <c r="AB161" s="104"/>
      <c r="AC161" s="104"/>
      <c r="AD161" s="18"/>
    </row>
    <row r="162" spans="12:30">
      <c r="L162" s="23" t="e">
        <f t="shared" ca="1" si="18"/>
        <v>#VALUE!</v>
      </c>
      <c r="M162" s="45"/>
      <c r="N162" s="10"/>
      <c r="O162" s="17" t="str">
        <f t="shared" si="19"/>
        <v/>
      </c>
      <c r="P162" s="23" t="e">
        <f t="shared" ca="1" si="20"/>
        <v>#VALUE!</v>
      </c>
      <c r="Q162" s="45"/>
      <c r="R162" s="10"/>
      <c r="S162" s="17" t="str">
        <f t="shared" si="21"/>
        <v/>
      </c>
      <c r="U162" s="26"/>
      <c r="V162" s="104"/>
      <c r="W162" s="109"/>
      <c r="X162" s="104"/>
      <c r="Y162" s="18"/>
      <c r="Z162" s="26"/>
      <c r="AA162" s="104"/>
      <c r="AB162" s="104"/>
      <c r="AC162" s="104"/>
      <c r="AD162" s="18"/>
    </row>
    <row r="163" spans="12:30">
      <c r="L163" s="23" t="e">
        <f t="shared" ca="1" si="18"/>
        <v>#VALUE!</v>
      </c>
      <c r="M163" s="45"/>
      <c r="N163" s="10"/>
      <c r="O163" s="17" t="str">
        <f t="shared" si="19"/>
        <v/>
      </c>
      <c r="P163" s="23" t="e">
        <f t="shared" ca="1" si="20"/>
        <v>#VALUE!</v>
      </c>
      <c r="Q163" s="45"/>
      <c r="R163" s="10"/>
      <c r="S163" s="17" t="str">
        <f t="shared" si="21"/>
        <v/>
      </c>
      <c r="U163" s="26"/>
      <c r="V163" s="104"/>
      <c r="W163" s="109"/>
      <c r="X163" s="104"/>
      <c r="Y163" s="18"/>
      <c r="Z163" s="26"/>
      <c r="AA163" s="104"/>
      <c r="AB163" s="104"/>
      <c r="AC163" s="104"/>
      <c r="AD163" s="18"/>
    </row>
    <row r="164" spans="12:30">
      <c r="L164" s="23" t="e">
        <f t="shared" ca="1" si="18"/>
        <v>#VALUE!</v>
      </c>
      <c r="M164" s="45"/>
      <c r="N164" s="10"/>
      <c r="O164" s="17" t="str">
        <f t="shared" si="19"/>
        <v/>
      </c>
      <c r="P164" s="23" t="e">
        <f t="shared" ca="1" si="20"/>
        <v>#VALUE!</v>
      </c>
      <c r="Q164" s="45"/>
      <c r="R164" s="10"/>
      <c r="S164" s="17" t="str">
        <f t="shared" si="21"/>
        <v/>
      </c>
      <c r="U164" s="26"/>
      <c r="V164" s="104"/>
      <c r="W164" s="109"/>
      <c r="X164" s="104"/>
      <c r="Y164" s="18"/>
      <c r="Z164" s="26"/>
      <c r="AA164" s="104"/>
      <c r="AB164" s="104"/>
      <c r="AC164" s="104"/>
      <c r="AD164" s="18"/>
    </row>
    <row r="165" spans="12:30">
      <c r="L165" s="23" t="e">
        <f t="shared" ca="1" si="18"/>
        <v>#VALUE!</v>
      </c>
      <c r="M165" s="45"/>
      <c r="N165" s="10"/>
      <c r="O165" s="17" t="str">
        <f t="shared" si="19"/>
        <v/>
      </c>
      <c r="P165" s="23" t="e">
        <f t="shared" ca="1" si="20"/>
        <v>#VALUE!</v>
      </c>
      <c r="Q165" s="45"/>
      <c r="R165" s="10"/>
      <c r="S165" s="17" t="str">
        <f t="shared" si="21"/>
        <v/>
      </c>
      <c r="U165" s="26"/>
      <c r="V165" s="104"/>
      <c r="W165" s="109"/>
      <c r="X165" s="104"/>
      <c r="Y165" s="18"/>
      <c r="Z165" s="26"/>
      <c r="AA165" s="104"/>
      <c r="AB165" s="104"/>
      <c r="AC165" s="104"/>
      <c r="AD165" s="18"/>
    </row>
    <row r="166" spans="12:30">
      <c r="L166" s="23" t="e">
        <f t="shared" ca="1" si="18"/>
        <v>#VALUE!</v>
      </c>
      <c r="M166" s="45"/>
      <c r="N166" s="10"/>
      <c r="O166" s="17" t="str">
        <f t="shared" si="19"/>
        <v/>
      </c>
      <c r="P166" s="23" t="e">
        <f t="shared" ca="1" si="20"/>
        <v>#VALUE!</v>
      </c>
      <c r="Q166" s="45"/>
      <c r="R166" s="10"/>
      <c r="S166" s="17" t="str">
        <f t="shared" si="21"/>
        <v/>
      </c>
      <c r="U166" s="26"/>
      <c r="V166" s="104"/>
      <c r="W166" s="109"/>
      <c r="X166" s="104"/>
      <c r="Y166" s="18"/>
      <c r="Z166" s="26"/>
      <c r="AA166" s="104"/>
      <c r="AB166" s="104"/>
      <c r="AC166" s="104"/>
      <c r="AD166" s="18"/>
    </row>
    <row r="167" spans="12:30">
      <c r="L167" s="23" t="e">
        <f t="shared" ca="1" si="18"/>
        <v>#VALUE!</v>
      </c>
      <c r="M167" s="45"/>
      <c r="N167" s="10"/>
      <c r="O167" s="17" t="str">
        <f t="shared" si="19"/>
        <v/>
      </c>
      <c r="P167" s="23" t="e">
        <f t="shared" ca="1" si="20"/>
        <v>#VALUE!</v>
      </c>
      <c r="Q167" s="45"/>
      <c r="R167" s="10"/>
      <c r="S167" s="17" t="str">
        <f t="shared" si="21"/>
        <v/>
      </c>
      <c r="U167" s="26"/>
      <c r="V167" s="104"/>
      <c r="W167" s="109"/>
      <c r="X167" s="104"/>
      <c r="Y167" s="18"/>
      <c r="Z167" s="26"/>
      <c r="AA167" s="104"/>
      <c r="AB167" s="104"/>
      <c r="AC167" s="104"/>
      <c r="AD167" s="18"/>
    </row>
    <row r="168" spans="12:30">
      <c r="L168" s="23" t="e">
        <f t="shared" ca="1" si="18"/>
        <v>#VALUE!</v>
      </c>
      <c r="M168" s="45"/>
      <c r="N168" s="10"/>
      <c r="O168" s="17" t="str">
        <f t="shared" si="19"/>
        <v/>
      </c>
      <c r="P168" s="23" t="e">
        <f t="shared" ca="1" si="20"/>
        <v>#VALUE!</v>
      </c>
      <c r="Q168" s="45"/>
      <c r="R168" s="10"/>
      <c r="S168" s="17" t="str">
        <f t="shared" si="21"/>
        <v/>
      </c>
      <c r="U168" s="26"/>
      <c r="V168" s="104"/>
      <c r="W168" s="109"/>
      <c r="X168" s="104"/>
      <c r="Y168" s="18"/>
      <c r="Z168" s="26"/>
      <c r="AA168" s="104"/>
      <c r="AB168" s="104"/>
      <c r="AC168" s="104"/>
      <c r="AD168" s="18"/>
    </row>
    <row r="169" spans="12:30">
      <c r="L169" s="23" t="e">
        <f t="shared" ca="1" si="18"/>
        <v>#VALUE!</v>
      </c>
      <c r="M169" s="45"/>
      <c r="N169" s="10"/>
      <c r="O169" s="17" t="str">
        <f t="shared" si="19"/>
        <v/>
      </c>
      <c r="P169" s="23" t="e">
        <f t="shared" ca="1" si="20"/>
        <v>#VALUE!</v>
      </c>
      <c r="Q169" s="45"/>
      <c r="R169" s="10"/>
      <c r="S169" s="17" t="str">
        <f t="shared" si="21"/>
        <v/>
      </c>
      <c r="U169" s="26"/>
      <c r="V169" s="104"/>
      <c r="W169" s="109"/>
      <c r="X169" s="104"/>
      <c r="Y169" s="18"/>
      <c r="Z169" s="26"/>
      <c r="AA169" s="104"/>
      <c r="AB169" s="104"/>
      <c r="AC169" s="104"/>
      <c r="AD169" s="18"/>
    </row>
    <row r="170" spans="12:30">
      <c r="L170" s="23" t="e">
        <f t="shared" ca="1" si="18"/>
        <v>#VALUE!</v>
      </c>
      <c r="M170" s="45"/>
      <c r="N170" s="10"/>
      <c r="O170" s="17" t="str">
        <f t="shared" si="19"/>
        <v/>
      </c>
      <c r="P170" s="23" t="e">
        <f t="shared" ca="1" si="20"/>
        <v>#VALUE!</v>
      </c>
      <c r="Q170" s="45"/>
      <c r="R170" s="10"/>
      <c r="S170" s="17" t="str">
        <f t="shared" si="21"/>
        <v/>
      </c>
      <c r="U170" s="26"/>
      <c r="V170" s="104"/>
      <c r="W170" s="109"/>
      <c r="X170" s="104"/>
      <c r="Y170" s="18"/>
      <c r="Z170" s="26"/>
      <c r="AA170" s="104"/>
      <c r="AB170" s="104"/>
      <c r="AC170" s="104"/>
      <c r="AD170" s="18"/>
    </row>
    <row r="171" spans="12:30">
      <c r="L171" s="23" t="e">
        <f t="shared" ca="1" si="18"/>
        <v>#VALUE!</v>
      </c>
      <c r="M171" s="45"/>
      <c r="N171" s="10"/>
      <c r="O171" s="17" t="str">
        <f t="shared" si="19"/>
        <v/>
      </c>
      <c r="P171" s="23" t="e">
        <f t="shared" ca="1" si="20"/>
        <v>#VALUE!</v>
      </c>
      <c r="Q171" s="45"/>
      <c r="R171" s="10"/>
      <c r="S171" s="17" t="str">
        <f t="shared" si="21"/>
        <v/>
      </c>
      <c r="U171" s="26"/>
      <c r="V171" s="104"/>
      <c r="W171" s="109"/>
      <c r="X171" s="104"/>
      <c r="Y171" s="18"/>
      <c r="Z171" s="26"/>
      <c r="AA171" s="104"/>
      <c r="AB171" s="104"/>
      <c r="AC171" s="104"/>
      <c r="AD171" s="18"/>
    </row>
    <row r="172" spans="12:30">
      <c r="L172" s="23" t="e">
        <f t="shared" ca="1" si="18"/>
        <v>#VALUE!</v>
      </c>
      <c r="M172" s="45"/>
      <c r="N172" s="10"/>
      <c r="O172" s="17" t="str">
        <f t="shared" si="19"/>
        <v/>
      </c>
      <c r="P172" s="23" t="e">
        <f t="shared" ca="1" si="20"/>
        <v>#VALUE!</v>
      </c>
      <c r="Q172" s="45"/>
      <c r="R172" s="10"/>
      <c r="S172" s="17" t="str">
        <f t="shared" si="21"/>
        <v/>
      </c>
      <c r="U172" s="26"/>
      <c r="V172" s="104"/>
      <c r="W172" s="109"/>
      <c r="X172" s="104"/>
      <c r="Y172" s="18"/>
      <c r="Z172" s="26"/>
      <c r="AA172" s="104"/>
      <c r="AB172" s="104"/>
      <c r="AC172" s="104"/>
      <c r="AD172" s="18"/>
    </row>
    <row r="173" spans="12:30">
      <c r="L173" s="23" t="e">
        <f t="shared" ca="1" si="18"/>
        <v>#VALUE!</v>
      </c>
      <c r="M173" s="45"/>
      <c r="N173" s="10"/>
      <c r="O173" s="17" t="str">
        <f t="shared" si="19"/>
        <v/>
      </c>
      <c r="P173" s="23" t="e">
        <f t="shared" ca="1" si="20"/>
        <v>#VALUE!</v>
      </c>
      <c r="Q173" s="45"/>
      <c r="R173" s="10"/>
      <c r="S173" s="17" t="str">
        <f t="shared" si="21"/>
        <v/>
      </c>
      <c r="U173" s="26"/>
      <c r="V173" s="104"/>
      <c r="W173" s="109"/>
      <c r="X173" s="104"/>
      <c r="Y173" s="18"/>
      <c r="Z173" s="26"/>
      <c r="AA173" s="104"/>
      <c r="AB173" s="104"/>
      <c r="AC173" s="104"/>
      <c r="AD173" s="18"/>
    </row>
    <row r="174" spans="12:30">
      <c r="L174" s="23" t="e">
        <f t="shared" ca="1" si="18"/>
        <v>#VALUE!</v>
      </c>
      <c r="M174" s="45"/>
      <c r="N174" s="10"/>
      <c r="O174" s="17" t="str">
        <f t="shared" si="19"/>
        <v/>
      </c>
      <c r="P174" s="23" t="e">
        <f t="shared" ca="1" si="20"/>
        <v>#VALUE!</v>
      </c>
      <c r="Q174" s="45"/>
      <c r="R174" s="10"/>
      <c r="S174" s="17" t="str">
        <f t="shared" si="21"/>
        <v/>
      </c>
      <c r="U174" s="26"/>
      <c r="V174" s="104"/>
      <c r="W174" s="109"/>
      <c r="X174" s="104"/>
      <c r="Y174" s="18"/>
      <c r="Z174" s="26"/>
      <c r="AA174" s="104"/>
      <c r="AB174" s="104"/>
      <c r="AC174" s="104"/>
      <c r="AD174" s="18"/>
    </row>
    <row r="175" spans="12:30">
      <c r="L175" s="23" t="e">
        <f t="shared" ca="1" si="18"/>
        <v>#VALUE!</v>
      </c>
      <c r="M175" s="45"/>
      <c r="N175" s="10"/>
      <c r="O175" s="17" t="str">
        <f t="shared" si="19"/>
        <v/>
      </c>
      <c r="P175" s="23" t="e">
        <f t="shared" ca="1" si="20"/>
        <v>#VALUE!</v>
      </c>
      <c r="Q175" s="45"/>
      <c r="R175" s="10"/>
      <c r="S175" s="17" t="str">
        <f t="shared" si="21"/>
        <v/>
      </c>
      <c r="U175" s="26"/>
      <c r="V175" s="104"/>
      <c r="W175" s="109"/>
      <c r="X175" s="104"/>
      <c r="Y175" s="18"/>
      <c r="Z175" s="26"/>
      <c r="AA175" s="104"/>
      <c r="AB175" s="104"/>
      <c r="AC175" s="104"/>
      <c r="AD175" s="18"/>
    </row>
    <row r="176" spans="12:30">
      <c r="L176" s="23" t="e">
        <f t="shared" ca="1" si="18"/>
        <v>#VALUE!</v>
      </c>
      <c r="M176" s="45"/>
      <c r="N176" s="10"/>
      <c r="O176" s="17" t="str">
        <f t="shared" si="19"/>
        <v/>
      </c>
      <c r="P176" s="23" t="e">
        <f t="shared" ca="1" si="20"/>
        <v>#VALUE!</v>
      </c>
      <c r="Q176" s="45"/>
      <c r="R176" s="10"/>
      <c r="S176" s="17" t="str">
        <f t="shared" si="21"/>
        <v/>
      </c>
      <c r="U176" s="26"/>
      <c r="V176" s="104"/>
      <c r="W176" s="109"/>
      <c r="X176" s="104"/>
      <c r="Y176" s="18"/>
      <c r="Z176" s="26"/>
      <c r="AA176" s="104"/>
      <c r="AB176" s="104"/>
      <c r="AC176" s="104"/>
      <c r="AD176" s="18"/>
    </row>
    <row r="177" spans="12:30">
      <c r="L177" s="23" t="e">
        <f t="shared" ca="1" si="18"/>
        <v>#VALUE!</v>
      </c>
      <c r="M177" s="45"/>
      <c r="N177" s="10"/>
      <c r="O177" s="17" t="str">
        <f t="shared" si="19"/>
        <v/>
      </c>
      <c r="P177" s="23" t="e">
        <f t="shared" ca="1" si="20"/>
        <v>#VALUE!</v>
      </c>
      <c r="Q177" s="45"/>
      <c r="R177" s="10"/>
      <c r="S177" s="17" t="str">
        <f t="shared" si="21"/>
        <v/>
      </c>
      <c r="U177" s="26"/>
      <c r="V177" s="104"/>
      <c r="W177" s="109"/>
      <c r="X177" s="104"/>
      <c r="Y177" s="18"/>
      <c r="Z177" s="26"/>
      <c r="AA177" s="104"/>
      <c r="AB177" s="104"/>
      <c r="AC177" s="104"/>
      <c r="AD177" s="18"/>
    </row>
    <row r="178" spans="12:30">
      <c r="L178" s="23" t="e">
        <f t="shared" ca="1" si="18"/>
        <v>#VALUE!</v>
      </c>
      <c r="M178" s="45"/>
      <c r="N178" s="10"/>
      <c r="O178" s="17" t="str">
        <f t="shared" si="19"/>
        <v/>
      </c>
      <c r="P178" s="23" t="e">
        <f t="shared" ca="1" si="20"/>
        <v>#VALUE!</v>
      </c>
      <c r="Q178" s="45"/>
      <c r="R178" s="10"/>
      <c r="S178" s="17" t="str">
        <f t="shared" si="21"/>
        <v/>
      </c>
      <c r="U178" s="26"/>
      <c r="V178" s="104"/>
      <c r="W178" s="109"/>
      <c r="X178" s="104"/>
      <c r="Y178" s="18"/>
      <c r="Z178" s="26"/>
      <c r="AA178" s="104"/>
      <c r="AB178" s="104"/>
      <c r="AC178" s="104"/>
      <c r="AD178" s="18"/>
    </row>
    <row r="179" spans="12:30">
      <c r="L179" s="23" t="e">
        <f t="shared" ca="1" si="18"/>
        <v>#VALUE!</v>
      </c>
      <c r="M179" s="45"/>
      <c r="N179" s="10"/>
      <c r="O179" s="17" t="str">
        <f t="shared" si="19"/>
        <v/>
      </c>
      <c r="P179" s="23" t="e">
        <f t="shared" ca="1" si="20"/>
        <v>#VALUE!</v>
      </c>
      <c r="Q179" s="45"/>
      <c r="R179" s="10"/>
      <c r="S179" s="17" t="str">
        <f t="shared" si="21"/>
        <v/>
      </c>
      <c r="U179" s="26"/>
      <c r="V179" s="104"/>
      <c r="W179" s="109"/>
      <c r="X179" s="104"/>
      <c r="Y179" s="18"/>
      <c r="Z179" s="26"/>
      <c r="AA179" s="104"/>
      <c r="AB179" s="104"/>
      <c r="AC179" s="104"/>
      <c r="AD179" s="18"/>
    </row>
    <row r="180" spans="12:30">
      <c r="L180" s="23" t="e">
        <f t="shared" ca="1" si="18"/>
        <v>#VALUE!</v>
      </c>
      <c r="M180" s="45"/>
      <c r="N180" s="10"/>
      <c r="O180" s="17" t="str">
        <f t="shared" si="19"/>
        <v/>
      </c>
      <c r="P180" s="23" t="e">
        <f t="shared" ca="1" si="20"/>
        <v>#VALUE!</v>
      </c>
      <c r="Q180" s="45"/>
      <c r="R180" s="10"/>
      <c r="S180" s="17" t="str">
        <f t="shared" si="21"/>
        <v/>
      </c>
      <c r="U180" s="26"/>
      <c r="V180" s="104"/>
      <c r="W180" s="109"/>
      <c r="X180" s="104"/>
      <c r="Y180" s="18"/>
      <c r="Z180" s="26"/>
      <c r="AA180" s="104"/>
      <c r="AB180" s="104"/>
      <c r="AC180" s="104"/>
      <c r="AD180" s="18"/>
    </row>
    <row r="181" spans="12:30">
      <c r="L181" s="23" t="e">
        <f t="shared" ca="1" si="18"/>
        <v>#VALUE!</v>
      </c>
      <c r="M181" s="45"/>
      <c r="N181" s="10"/>
      <c r="O181" s="17" t="str">
        <f t="shared" si="19"/>
        <v/>
      </c>
      <c r="P181" s="23" t="e">
        <f t="shared" ca="1" si="20"/>
        <v>#VALUE!</v>
      </c>
      <c r="Q181" s="45"/>
      <c r="R181" s="10"/>
      <c r="S181" s="17" t="str">
        <f t="shared" si="21"/>
        <v/>
      </c>
      <c r="U181" s="26"/>
      <c r="V181" s="104"/>
      <c r="W181" s="109"/>
      <c r="X181" s="104"/>
      <c r="Y181" s="18"/>
      <c r="Z181" s="26"/>
      <c r="AA181" s="104"/>
      <c r="AB181" s="104"/>
      <c r="AC181" s="104"/>
      <c r="AD181" s="18"/>
    </row>
    <row r="182" spans="12:30">
      <c r="L182" s="23" t="e">
        <f t="shared" ca="1" si="18"/>
        <v>#VALUE!</v>
      </c>
      <c r="M182" s="45"/>
      <c r="N182" s="10"/>
      <c r="O182" s="17" t="str">
        <f t="shared" si="19"/>
        <v/>
      </c>
      <c r="P182" s="23" t="e">
        <f t="shared" ca="1" si="20"/>
        <v>#VALUE!</v>
      </c>
      <c r="Q182" s="45"/>
      <c r="R182" s="10"/>
      <c r="S182" s="17" t="str">
        <f t="shared" si="21"/>
        <v/>
      </c>
      <c r="U182" s="26"/>
      <c r="V182" s="104"/>
      <c r="W182" s="109"/>
      <c r="X182" s="104"/>
      <c r="Y182" s="18"/>
      <c r="Z182" s="26"/>
      <c r="AA182" s="104"/>
      <c r="AB182" s="104"/>
      <c r="AC182" s="104"/>
      <c r="AD182" s="18"/>
    </row>
    <row r="183" spans="12:30">
      <c r="L183" s="23" t="e">
        <f t="shared" ca="1" si="18"/>
        <v>#VALUE!</v>
      </c>
      <c r="M183" s="45"/>
      <c r="N183" s="10"/>
      <c r="O183" s="17" t="str">
        <f t="shared" si="19"/>
        <v/>
      </c>
      <c r="P183" s="23" t="e">
        <f t="shared" ca="1" si="20"/>
        <v>#VALUE!</v>
      </c>
      <c r="Q183" s="45"/>
      <c r="R183" s="10"/>
      <c r="S183" s="17" t="str">
        <f t="shared" si="21"/>
        <v/>
      </c>
      <c r="U183" s="26"/>
      <c r="V183" s="104"/>
      <c r="W183" s="109"/>
      <c r="X183" s="104"/>
      <c r="Y183" s="18"/>
      <c r="Z183" s="26"/>
      <c r="AA183" s="104"/>
      <c r="AB183" s="104"/>
      <c r="AC183" s="104"/>
      <c r="AD183" s="18"/>
    </row>
    <row r="184" spans="12:30">
      <c r="L184" s="23" t="e">
        <f t="shared" ca="1" si="18"/>
        <v>#VALUE!</v>
      </c>
      <c r="M184" s="45"/>
      <c r="N184" s="10"/>
      <c r="O184" s="17" t="str">
        <f t="shared" si="19"/>
        <v/>
      </c>
      <c r="P184" s="23" t="e">
        <f t="shared" ca="1" si="20"/>
        <v>#VALUE!</v>
      </c>
      <c r="Q184" s="45"/>
      <c r="R184" s="10"/>
      <c r="S184" s="17" t="str">
        <f t="shared" si="21"/>
        <v/>
      </c>
      <c r="U184" s="26"/>
      <c r="V184" s="104"/>
      <c r="W184" s="109"/>
      <c r="X184" s="104"/>
      <c r="Y184" s="18"/>
      <c r="Z184" s="26"/>
      <c r="AA184" s="104"/>
      <c r="AB184" s="104"/>
      <c r="AC184" s="104"/>
      <c r="AD184" s="18"/>
    </row>
    <row r="185" spans="12:30">
      <c r="L185" s="23" t="e">
        <f t="shared" ca="1" si="18"/>
        <v>#VALUE!</v>
      </c>
      <c r="M185" s="45"/>
      <c r="N185" s="10"/>
      <c r="O185" s="17" t="str">
        <f t="shared" si="19"/>
        <v/>
      </c>
      <c r="P185" s="23" t="e">
        <f t="shared" ca="1" si="20"/>
        <v>#VALUE!</v>
      </c>
      <c r="Q185" s="45"/>
      <c r="R185" s="10"/>
      <c r="S185" s="17" t="str">
        <f t="shared" si="21"/>
        <v/>
      </c>
      <c r="U185" s="26"/>
      <c r="V185" s="104"/>
      <c r="W185" s="109"/>
      <c r="X185" s="104"/>
      <c r="Y185" s="18"/>
      <c r="Z185" s="26"/>
      <c r="AA185" s="104"/>
      <c r="AB185" s="104"/>
      <c r="AC185" s="104"/>
      <c r="AD185" s="18"/>
    </row>
    <row r="186" spans="12:30">
      <c r="L186" s="23" t="e">
        <f t="shared" ca="1" si="18"/>
        <v>#VALUE!</v>
      </c>
      <c r="M186" s="45"/>
      <c r="N186" s="10"/>
      <c r="O186" s="17" t="str">
        <f t="shared" si="19"/>
        <v/>
      </c>
      <c r="P186" s="23" t="e">
        <f t="shared" ca="1" si="20"/>
        <v>#VALUE!</v>
      </c>
      <c r="Q186" s="45"/>
      <c r="R186" s="10"/>
      <c r="S186" s="17" t="str">
        <f t="shared" si="21"/>
        <v/>
      </c>
      <c r="U186" s="26"/>
      <c r="V186" s="104"/>
      <c r="W186" s="109"/>
      <c r="X186" s="104"/>
      <c r="Y186" s="18"/>
      <c r="Z186" s="26"/>
      <c r="AA186" s="104"/>
      <c r="AB186" s="104"/>
      <c r="AC186" s="104"/>
      <c r="AD186" s="18"/>
    </row>
    <row r="187" spans="12:30">
      <c r="L187" s="23" t="e">
        <f t="shared" ca="1" si="18"/>
        <v>#VALUE!</v>
      </c>
      <c r="M187" s="45"/>
      <c r="N187" s="10"/>
      <c r="O187" s="17" t="str">
        <f t="shared" si="19"/>
        <v/>
      </c>
      <c r="P187" s="23" t="e">
        <f t="shared" ca="1" si="20"/>
        <v>#VALUE!</v>
      </c>
      <c r="Q187" s="45"/>
      <c r="R187" s="10"/>
      <c r="S187" s="17" t="str">
        <f t="shared" si="21"/>
        <v/>
      </c>
      <c r="U187" s="26"/>
      <c r="V187" s="104"/>
      <c r="W187" s="109"/>
      <c r="X187" s="104"/>
      <c r="Y187" s="18"/>
      <c r="Z187" s="26"/>
      <c r="AA187" s="104"/>
      <c r="AB187" s="104"/>
      <c r="AC187" s="104"/>
      <c r="AD187" s="18"/>
    </row>
    <row r="188" spans="12:30">
      <c r="L188" s="23" t="e">
        <f t="shared" ca="1" si="18"/>
        <v>#VALUE!</v>
      </c>
      <c r="M188" s="45"/>
      <c r="N188" s="10"/>
      <c r="O188" s="17" t="str">
        <f t="shared" si="19"/>
        <v/>
      </c>
      <c r="P188" s="23" t="e">
        <f t="shared" ca="1" si="20"/>
        <v>#VALUE!</v>
      </c>
      <c r="Q188" s="45"/>
      <c r="R188" s="10"/>
      <c r="S188" s="17" t="str">
        <f t="shared" si="21"/>
        <v/>
      </c>
      <c r="U188" s="26"/>
      <c r="V188" s="104"/>
      <c r="W188" s="109"/>
      <c r="X188" s="104"/>
      <c r="Y188" s="18"/>
      <c r="Z188" s="26"/>
      <c r="AA188" s="104"/>
      <c r="AB188" s="104"/>
      <c r="AC188" s="104"/>
      <c r="AD188" s="18"/>
    </row>
    <row r="189" spans="12:30">
      <c r="L189" s="23" t="e">
        <f t="shared" ca="1" si="18"/>
        <v>#VALUE!</v>
      </c>
      <c r="M189" s="45"/>
      <c r="N189" s="10"/>
      <c r="O189" s="17" t="str">
        <f t="shared" si="19"/>
        <v/>
      </c>
      <c r="P189" s="23" t="e">
        <f t="shared" ca="1" si="20"/>
        <v>#VALUE!</v>
      </c>
      <c r="Q189" s="45"/>
      <c r="R189" s="10"/>
      <c r="S189" s="17" t="str">
        <f t="shared" si="21"/>
        <v/>
      </c>
      <c r="U189" s="26"/>
      <c r="V189" s="104"/>
      <c r="W189" s="109"/>
      <c r="X189" s="104"/>
      <c r="Y189" s="18"/>
      <c r="Z189" s="26"/>
      <c r="AA189" s="104"/>
      <c r="AB189" s="104"/>
      <c r="AC189" s="104"/>
      <c r="AD189" s="18"/>
    </row>
    <row r="190" spans="12:30">
      <c r="L190" s="23" t="e">
        <f t="shared" ca="1" si="18"/>
        <v>#VALUE!</v>
      </c>
      <c r="M190" s="45"/>
      <c r="N190" s="10"/>
      <c r="O190" s="17" t="str">
        <f t="shared" si="19"/>
        <v/>
      </c>
      <c r="P190" s="23" t="e">
        <f t="shared" ca="1" si="20"/>
        <v>#VALUE!</v>
      </c>
      <c r="Q190" s="45"/>
      <c r="R190" s="10"/>
      <c r="S190" s="17" t="str">
        <f t="shared" si="21"/>
        <v/>
      </c>
      <c r="U190" s="26"/>
      <c r="V190" s="104"/>
      <c r="W190" s="109"/>
      <c r="X190" s="104"/>
      <c r="Y190" s="18"/>
      <c r="Z190" s="26"/>
      <c r="AA190" s="104"/>
      <c r="AB190" s="104"/>
      <c r="AC190" s="104"/>
      <c r="AD190" s="18"/>
    </row>
    <row r="191" spans="12:30">
      <c r="L191" s="23" t="e">
        <f t="shared" ca="1" si="18"/>
        <v>#VALUE!</v>
      </c>
      <c r="M191" s="45"/>
      <c r="N191" s="10"/>
      <c r="O191" s="17" t="str">
        <f t="shared" si="19"/>
        <v/>
      </c>
      <c r="P191" s="23" t="e">
        <f t="shared" ca="1" si="20"/>
        <v>#VALUE!</v>
      </c>
      <c r="Q191" s="45"/>
      <c r="R191" s="10"/>
      <c r="S191" s="17" t="str">
        <f t="shared" si="21"/>
        <v/>
      </c>
      <c r="U191" s="26"/>
      <c r="V191" s="104"/>
      <c r="W191" s="109"/>
      <c r="X191" s="104"/>
      <c r="Y191" s="18"/>
      <c r="Z191" s="26"/>
      <c r="AA191" s="104"/>
      <c r="AB191" s="104"/>
      <c r="AC191" s="104"/>
      <c r="AD191" s="18"/>
    </row>
    <row r="192" spans="12:30">
      <c r="L192" s="23" t="e">
        <f t="shared" ca="1" si="18"/>
        <v>#VALUE!</v>
      </c>
      <c r="M192" s="45"/>
      <c r="N192" s="10"/>
      <c r="O192" s="17" t="str">
        <f t="shared" si="19"/>
        <v/>
      </c>
      <c r="P192" s="23" t="e">
        <f t="shared" ca="1" si="20"/>
        <v>#VALUE!</v>
      </c>
      <c r="Q192" s="45"/>
      <c r="R192" s="10"/>
      <c r="S192" s="17" t="str">
        <f t="shared" si="21"/>
        <v/>
      </c>
      <c r="U192" s="26"/>
      <c r="V192" s="104"/>
      <c r="W192" s="109"/>
      <c r="X192" s="104"/>
      <c r="Y192" s="18"/>
      <c r="Z192" s="26"/>
      <c r="AA192" s="104"/>
      <c r="AB192" s="104"/>
      <c r="AC192" s="104"/>
      <c r="AD192" s="18"/>
    </row>
    <row r="193" spans="12:30">
      <c r="L193" s="23" t="e">
        <f t="shared" ca="1" si="18"/>
        <v>#VALUE!</v>
      </c>
      <c r="M193" s="45"/>
      <c r="N193" s="10"/>
      <c r="O193" s="17" t="str">
        <f t="shared" si="19"/>
        <v/>
      </c>
      <c r="P193" s="23" t="e">
        <f t="shared" ca="1" si="20"/>
        <v>#VALUE!</v>
      </c>
      <c r="Q193" s="45"/>
      <c r="R193" s="10"/>
      <c r="S193" s="17" t="str">
        <f t="shared" si="21"/>
        <v/>
      </c>
      <c r="U193" s="26"/>
      <c r="V193" s="104"/>
      <c r="W193" s="109"/>
      <c r="X193" s="104"/>
      <c r="Y193" s="18"/>
      <c r="Z193" s="26"/>
      <c r="AA193" s="104"/>
      <c r="AB193" s="104"/>
      <c r="AC193" s="104"/>
      <c r="AD193" s="18"/>
    </row>
    <row r="194" spans="12:30">
      <c r="L194" s="23" t="e">
        <f t="shared" ca="1" si="18"/>
        <v>#VALUE!</v>
      </c>
      <c r="M194" s="45"/>
      <c r="N194" s="10"/>
      <c r="O194" s="17" t="str">
        <f t="shared" si="19"/>
        <v/>
      </c>
      <c r="P194" s="23" t="e">
        <f t="shared" ca="1" si="20"/>
        <v>#VALUE!</v>
      </c>
      <c r="Q194" s="45"/>
      <c r="R194" s="10"/>
      <c r="S194" s="17" t="str">
        <f t="shared" si="21"/>
        <v/>
      </c>
      <c r="U194" s="26"/>
      <c r="V194" s="104"/>
      <c r="W194" s="109"/>
      <c r="X194" s="104"/>
      <c r="Y194" s="18"/>
      <c r="Z194" s="26"/>
      <c r="AA194" s="104"/>
      <c r="AB194" s="104"/>
      <c r="AC194" s="104"/>
      <c r="AD194" s="18"/>
    </row>
    <row r="195" spans="12:30">
      <c r="L195" s="23" t="e">
        <f t="shared" ca="1" si="18"/>
        <v>#VALUE!</v>
      </c>
      <c r="M195" s="45"/>
      <c r="N195" s="10"/>
      <c r="O195" s="17" t="str">
        <f t="shared" si="19"/>
        <v/>
      </c>
      <c r="P195" s="23" t="e">
        <f t="shared" ca="1" si="20"/>
        <v>#VALUE!</v>
      </c>
      <c r="Q195" s="45"/>
      <c r="R195" s="10"/>
      <c r="S195" s="17" t="str">
        <f t="shared" si="21"/>
        <v/>
      </c>
      <c r="U195" s="26"/>
      <c r="V195" s="104"/>
      <c r="W195" s="109"/>
      <c r="X195" s="104"/>
      <c r="Y195" s="18"/>
      <c r="Z195" s="26"/>
      <c r="AA195" s="104"/>
      <c r="AB195" s="104"/>
      <c r="AC195" s="104"/>
      <c r="AD195" s="18"/>
    </row>
    <row r="196" spans="12:30">
      <c r="L196" s="23" t="e">
        <f t="shared" ca="1" si="18"/>
        <v>#VALUE!</v>
      </c>
      <c r="M196" s="45"/>
      <c r="N196" s="10"/>
      <c r="O196" s="17" t="str">
        <f t="shared" si="19"/>
        <v/>
      </c>
      <c r="P196" s="23" t="e">
        <f t="shared" ca="1" si="20"/>
        <v>#VALUE!</v>
      </c>
      <c r="Q196" s="45"/>
      <c r="R196" s="10"/>
      <c r="S196" s="17" t="str">
        <f t="shared" si="21"/>
        <v/>
      </c>
      <c r="U196" s="26"/>
      <c r="V196" s="104"/>
      <c r="W196" s="109"/>
      <c r="X196" s="104"/>
      <c r="Y196" s="18"/>
      <c r="Z196" s="26"/>
      <c r="AA196" s="104"/>
      <c r="AB196" s="104"/>
      <c r="AC196" s="104"/>
      <c r="AD196" s="18"/>
    </row>
    <row r="197" spans="12:30">
      <c r="L197" s="23" t="e">
        <f t="shared" ca="1" si="18"/>
        <v>#VALUE!</v>
      </c>
      <c r="M197" s="45"/>
      <c r="N197" s="10"/>
      <c r="O197" s="17" t="str">
        <f t="shared" si="19"/>
        <v/>
      </c>
      <c r="P197" s="23" t="e">
        <f t="shared" ca="1" si="20"/>
        <v>#VALUE!</v>
      </c>
      <c r="Q197" s="45"/>
      <c r="R197" s="10"/>
      <c r="S197" s="17" t="str">
        <f t="shared" si="21"/>
        <v/>
      </c>
      <c r="U197" s="26"/>
      <c r="V197" s="104"/>
      <c r="W197" s="109"/>
      <c r="X197" s="104"/>
      <c r="Y197" s="18"/>
      <c r="Z197" s="26"/>
      <c r="AA197" s="104"/>
      <c r="AB197" s="104"/>
      <c r="AC197" s="104"/>
      <c r="AD197" s="18"/>
    </row>
    <row r="198" spans="12:30">
      <c r="L198" s="23" t="e">
        <f t="shared" ca="1" si="18"/>
        <v>#VALUE!</v>
      </c>
      <c r="M198" s="45"/>
      <c r="N198" s="10"/>
      <c r="O198" s="17" t="str">
        <f t="shared" si="19"/>
        <v/>
      </c>
      <c r="P198" s="23" t="e">
        <f t="shared" ca="1" si="20"/>
        <v>#VALUE!</v>
      </c>
      <c r="Q198" s="45"/>
      <c r="R198" s="10"/>
      <c r="S198" s="17" t="str">
        <f t="shared" si="21"/>
        <v/>
      </c>
      <c r="U198" s="26"/>
      <c r="V198" s="104"/>
      <c r="W198" s="109"/>
      <c r="X198" s="104"/>
      <c r="Y198" s="18"/>
      <c r="Z198" s="26"/>
      <c r="AA198" s="104"/>
      <c r="AB198" s="104"/>
      <c r="AC198" s="104"/>
      <c r="AD198" s="18"/>
    </row>
    <row r="199" spans="12:30">
      <c r="L199" s="23" t="e">
        <f t="shared" ca="1" si="18"/>
        <v>#VALUE!</v>
      </c>
      <c r="M199" s="45"/>
      <c r="N199" s="10"/>
      <c r="O199" s="17" t="str">
        <f t="shared" si="19"/>
        <v/>
      </c>
      <c r="P199" s="23" t="e">
        <f t="shared" ca="1" si="20"/>
        <v>#VALUE!</v>
      </c>
      <c r="Q199" s="45"/>
      <c r="R199" s="10"/>
      <c r="S199" s="17" t="str">
        <f t="shared" si="21"/>
        <v/>
      </c>
      <c r="U199" s="26"/>
      <c r="V199" s="104"/>
      <c r="W199" s="109"/>
      <c r="X199" s="104"/>
      <c r="Y199" s="18"/>
      <c r="Z199" s="26"/>
      <c r="AA199" s="104"/>
      <c r="AB199" s="104"/>
      <c r="AC199" s="104"/>
      <c r="AD199" s="18"/>
    </row>
    <row r="200" spans="12:30">
      <c r="L200" s="23" t="e">
        <f t="shared" ca="1" si="18"/>
        <v>#VALUE!</v>
      </c>
      <c r="M200" s="45"/>
      <c r="N200" s="10"/>
      <c r="O200" s="17" t="str">
        <f t="shared" si="19"/>
        <v/>
      </c>
      <c r="P200" s="23" t="e">
        <f t="shared" ca="1" si="20"/>
        <v>#VALUE!</v>
      </c>
      <c r="Q200" s="45"/>
      <c r="R200" s="10"/>
      <c r="S200" s="17" t="str">
        <f t="shared" si="21"/>
        <v/>
      </c>
      <c r="U200" s="26"/>
      <c r="V200" s="104"/>
      <c r="W200" s="109"/>
      <c r="X200" s="104"/>
      <c r="Y200" s="18"/>
      <c r="Z200" s="26"/>
      <c r="AA200" s="104"/>
      <c r="AB200" s="104"/>
      <c r="AC200" s="104"/>
      <c r="AD200" s="18"/>
    </row>
    <row r="201" spans="12:30">
      <c r="L201" s="23" t="e">
        <f t="shared" ca="1" si="18"/>
        <v>#VALUE!</v>
      </c>
      <c r="M201" s="45"/>
      <c r="N201" s="10"/>
      <c r="O201" s="17" t="str">
        <f t="shared" si="19"/>
        <v/>
      </c>
      <c r="P201" s="23" t="e">
        <f t="shared" ca="1" si="20"/>
        <v>#VALUE!</v>
      </c>
      <c r="Q201" s="45"/>
      <c r="R201" s="10"/>
      <c r="S201" s="17" t="str">
        <f t="shared" si="21"/>
        <v/>
      </c>
      <c r="U201" s="26"/>
      <c r="V201" s="104"/>
      <c r="W201" s="109"/>
      <c r="X201" s="104"/>
      <c r="Y201" s="18"/>
      <c r="Z201" s="26"/>
      <c r="AA201" s="104"/>
      <c r="AB201" s="104"/>
      <c r="AC201" s="104"/>
      <c r="AD201" s="18"/>
    </row>
    <row r="202" spans="12:30">
      <c r="L202" s="23" t="e">
        <f t="shared" ca="1" si="18"/>
        <v>#VALUE!</v>
      </c>
      <c r="M202" s="45"/>
      <c r="N202" s="10"/>
      <c r="O202" s="17" t="str">
        <f t="shared" si="19"/>
        <v/>
      </c>
      <c r="P202" s="23" t="e">
        <f t="shared" ca="1" si="20"/>
        <v>#VALUE!</v>
      </c>
      <c r="Q202" s="45"/>
      <c r="R202" s="10"/>
      <c r="S202" s="17" t="str">
        <f t="shared" si="21"/>
        <v/>
      </c>
      <c r="U202" s="26"/>
      <c r="V202" s="104"/>
      <c r="W202" s="109"/>
      <c r="X202" s="104"/>
      <c r="Y202" s="18"/>
      <c r="Z202" s="26"/>
      <c r="AA202" s="104"/>
      <c r="AB202" s="104"/>
      <c r="AC202" s="104"/>
      <c r="AD202" s="18"/>
    </row>
    <row r="203" spans="12:30">
      <c r="L203" s="23" t="e">
        <f t="shared" ref="L203:L208" ca="1" si="22">IF(AND(M202&lt;$D$12, M202&lt;&gt;""),M202,"")</f>
        <v>#VALUE!</v>
      </c>
      <c r="M203" s="45"/>
      <c r="N203" s="10"/>
      <c r="O203" s="17" t="str">
        <f t="shared" ref="O203:O208" si="23">IF(M203=0,"",O202+N202)</f>
        <v/>
      </c>
      <c r="P203" s="23" t="e">
        <f t="shared" ref="P203:P208" ca="1" si="24">IF(AND(Q202&lt;$D$12, Q202&lt;&gt;""),Q202,"")</f>
        <v>#VALUE!</v>
      </c>
      <c r="Q203" s="45"/>
      <c r="R203" s="10"/>
      <c r="S203" s="17" t="str">
        <f t="shared" ref="S203:S208" si="25">IF(Q203=0,"",S202+R202)</f>
        <v/>
      </c>
      <c r="U203" s="26"/>
      <c r="V203" s="104"/>
      <c r="W203" s="109"/>
      <c r="X203" s="104"/>
      <c r="Y203" s="18"/>
      <c r="Z203" s="26"/>
      <c r="AA203" s="104"/>
      <c r="AB203" s="104"/>
      <c r="AC203" s="104"/>
      <c r="AD203" s="18"/>
    </row>
    <row r="204" spans="12:30">
      <c r="L204" s="23" t="e">
        <f t="shared" ca="1" si="22"/>
        <v>#VALUE!</v>
      </c>
      <c r="M204" s="45"/>
      <c r="N204" s="10"/>
      <c r="O204" s="17" t="str">
        <f t="shared" si="23"/>
        <v/>
      </c>
      <c r="P204" s="23" t="e">
        <f t="shared" ca="1" si="24"/>
        <v>#VALUE!</v>
      </c>
      <c r="Q204" s="45"/>
      <c r="R204" s="10"/>
      <c r="S204" s="17" t="str">
        <f t="shared" si="25"/>
        <v/>
      </c>
      <c r="U204" s="26"/>
      <c r="V204" s="104"/>
      <c r="W204" s="109"/>
      <c r="X204" s="104"/>
      <c r="Y204" s="18"/>
      <c r="Z204" s="26"/>
      <c r="AA204" s="104"/>
      <c r="AB204" s="104"/>
      <c r="AC204" s="104"/>
      <c r="AD204" s="18"/>
    </row>
    <row r="205" spans="12:30">
      <c r="L205" s="23" t="e">
        <f t="shared" ca="1" si="22"/>
        <v>#VALUE!</v>
      </c>
      <c r="M205" s="45"/>
      <c r="N205" s="10"/>
      <c r="O205" s="17" t="str">
        <f t="shared" si="23"/>
        <v/>
      </c>
      <c r="P205" s="23" t="e">
        <f t="shared" ca="1" si="24"/>
        <v>#VALUE!</v>
      </c>
      <c r="Q205" s="45"/>
      <c r="R205" s="10"/>
      <c r="S205" s="17" t="str">
        <f t="shared" si="25"/>
        <v/>
      </c>
      <c r="U205" s="26"/>
      <c r="V205" s="104"/>
      <c r="W205" s="109"/>
      <c r="X205" s="104"/>
      <c r="Y205" s="18"/>
      <c r="Z205" s="26"/>
      <c r="AA205" s="104"/>
      <c r="AB205" s="104"/>
      <c r="AC205" s="104"/>
      <c r="AD205" s="18"/>
    </row>
    <row r="206" spans="12:30">
      <c r="L206" s="23" t="e">
        <f t="shared" ca="1" si="22"/>
        <v>#VALUE!</v>
      </c>
      <c r="M206" s="45"/>
      <c r="N206" s="10"/>
      <c r="O206" s="17" t="str">
        <f t="shared" si="23"/>
        <v/>
      </c>
      <c r="P206" s="23" t="e">
        <f t="shared" ca="1" si="24"/>
        <v>#VALUE!</v>
      </c>
      <c r="Q206" s="45"/>
      <c r="R206" s="10"/>
      <c r="S206" s="17" t="str">
        <f t="shared" si="25"/>
        <v/>
      </c>
      <c r="U206" s="26"/>
      <c r="V206" s="104"/>
      <c r="W206" s="109"/>
      <c r="X206" s="104"/>
      <c r="Y206" s="18"/>
      <c r="Z206" s="26"/>
      <c r="AA206" s="104"/>
      <c r="AB206" s="104"/>
      <c r="AC206" s="104"/>
      <c r="AD206" s="18"/>
    </row>
    <row r="207" spans="12:30">
      <c r="L207" s="23" t="e">
        <f t="shared" ca="1" si="22"/>
        <v>#VALUE!</v>
      </c>
      <c r="M207" s="45"/>
      <c r="N207" s="10"/>
      <c r="O207" s="17" t="str">
        <f t="shared" si="23"/>
        <v/>
      </c>
      <c r="P207" s="23" t="e">
        <f t="shared" ca="1" si="24"/>
        <v>#VALUE!</v>
      </c>
      <c r="Q207" s="45"/>
      <c r="R207" s="10"/>
      <c r="S207" s="17" t="str">
        <f t="shared" si="25"/>
        <v/>
      </c>
      <c r="U207" s="26"/>
      <c r="V207" s="104"/>
      <c r="W207" s="109"/>
      <c r="X207" s="104"/>
      <c r="Y207" s="18"/>
      <c r="Z207" s="26"/>
      <c r="AA207" s="104"/>
      <c r="AB207" s="104"/>
      <c r="AC207" s="104"/>
      <c r="AD207" s="18"/>
    </row>
    <row r="208" spans="12:30">
      <c r="L208" s="27" t="e">
        <f t="shared" ca="1" si="22"/>
        <v>#VALUE!</v>
      </c>
      <c r="M208" s="88"/>
      <c r="N208" s="11"/>
      <c r="O208" s="28" t="str">
        <f t="shared" si="23"/>
        <v/>
      </c>
      <c r="P208" s="27" t="e">
        <f t="shared" ca="1" si="24"/>
        <v>#VALUE!</v>
      </c>
      <c r="Q208" s="88"/>
      <c r="R208" s="11"/>
      <c r="S208" s="28" t="str">
        <f t="shared" si="25"/>
        <v/>
      </c>
      <c r="U208" s="29"/>
      <c r="V208" s="106"/>
      <c r="W208" s="110"/>
      <c r="X208" s="106"/>
      <c r="Y208" s="25"/>
      <c r="Z208" s="29"/>
      <c r="AA208" s="106"/>
      <c r="AB208" s="106"/>
      <c r="AC208" s="106"/>
      <c r="AD208" s="25"/>
    </row>
  </sheetData>
  <protectedRanges>
    <protectedRange sqref="I20:J39" name="ReceiveCouponSchedule"/>
    <protectedRange sqref="F20:G39" name="PayCouponSchedule"/>
    <protectedRange sqref="U9:V208" name="PayCashFlows"/>
    <protectedRange sqref="U9:V208" name="ReceiveCashFlows"/>
    <protectedRange sqref="G13:G15 J14" name="PayTerms"/>
    <protectedRange sqref="J12:J13" name="ReceiveTerms"/>
  </protectedRanges>
  <dataConsolidate/>
  <mergeCells count="18">
    <mergeCell ref="H45:J45"/>
    <mergeCell ref="L5:N5"/>
    <mergeCell ref="H41:J41"/>
    <mergeCell ref="H42:J42"/>
    <mergeCell ref="H43:J43"/>
    <mergeCell ref="H44:J44"/>
    <mergeCell ref="B2:I2"/>
    <mergeCell ref="F18:G18"/>
    <mergeCell ref="I18:J18"/>
    <mergeCell ref="AF29:AH29"/>
    <mergeCell ref="AF30:AH30"/>
    <mergeCell ref="AF5:AH5"/>
    <mergeCell ref="L6:O6"/>
    <mergeCell ref="P6:S6"/>
    <mergeCell ref="AF6:AH6"/>
    <mergeCell ref="U7:Y7"/>
    <mergeCell ref="Z7:AD7"/>
    <mergeCell ref="U6:AD6"/>
  </mergeCells>
  <dataValidations count="2">
    <dataValidation type="list" allowBlank="1" showInputMessage="1" showErrorMessage="1" sqref="J14 G15">
      <formula1>DayCounts</formula1>
    </dataValidation>
    <dataValidation type="list" allowBlank="1" showInputMessage="1" showErrorMessage="1" sqref="D16">
      <formula1>"Averaged,Max"</formula1>
    </dataValidation>
  </dataValidations>
  <hyperlinks>
    <hyperlink ref="C4" location="A1" display="A1"/>
    <hyperlink ref="L4" location="A1" display="A1"/>
    <hyperlink ref="B4" location="A1" display="A1"/>
    <hyperlink ref="B26" location="'Swap-Template'!A1" display="Calculate Margin"/>
  </hyperlinks>
  <pageMargins left="0.7" right="0.7" top="0.75" bottom="0.75" header="0.3" footer="0.3"/>
  <pageSetup paperSize="9" orientation="portrait" horizontalDpi="4294967293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F58"/>
  <sheetViews>
    <sheetView workbookViewId="0">
      <selection activeCell="B16" sqref="B16"/>
    </sheetView>
  </sheetViews>
  <sheetFormatPr defaultRowHeight="11.25"/>
  <cols>
    <col min="1" max="1" width="2.83203125" style="157" customWidth="1"/>
    <col min="2" max="2" width="9.33203125" style="157"/>
    <col min="3" max="3" width="17.83203125" style="157" customWidth="1"/>
    <col min="4" max="4" width="11.5" style="157" customWidth="1"/>
    <col min="5" max="5" width="12.1640625" style="157" customWidth="1"/>
    <col min="6" max="6" width="15.5" style="157" customWidth="1"/>
    <col min="7" max="7" width="13.5" style="157" bestFit="1" customWidth="1"/>
    <col min="8" max="8" width="3.1640625" style="157" customWidth="1"/>
    <col min="9" max="15" width="9.33203125" style="157"/>
    <col min="16" max="16" width="3.33203125" style="157" customWidth="1"/>
    <col min="17" max="17" width="9.33203125" style="157"/>
    <col min="18" max="18" width="7.83203125" style="157" bestFit="1" customWidth="1"/>
    <col min="19" max="19" width="12.6640625" style="157" bestFit="1" customWidth="1"/>
    <col min="20" max="20" width="13.5" style="157" bestFit="1" customWidth="1"/>
    <col min="21" max="21" width="9.33203125" style="157" bestFit="1" customWidth="1"/>
    <col min="22" max="22" width="15.33203125" style="157" bestFit="1" customWidth="1"/>
    <col min="23" max="23" width="10.5" style="157" bestFit="1" customWidth="1"/>
    <col min="24" max="24" width="13.6640625" style="157" bestFit="1" customWidth="1"/>
    <col min="25" max="25" width="6.83203125" style="157" bestFit="1" customWidth="1"/>
    <col min="26" max="26" width="11.83203125" style="235" bestFit="1" customWidth="1"/>
    <col min="27" max="27" width="14.5" style="157" customWidth="1"/>
    <col min="28" max="28" width="36.5" style="157" customWidth="1"/>
    <col min="29" max="29" width="28.83203125" style="157" bestFit="1" customWidth="1"/>
    <col min="30" max="16384" width="9.33203125" style="157"/>
  </cols>
  <sheetData>
    <row r="1" spans="2:32">
      <c r="Z1" s="157"/>
    </row>
    <row r="2" spans="2:32">
      <c r="B2" s="537" t="s">
        <v>118</v>
      </c>
      <c r="C2" s="538"/>
      <c r="D2" s="538"/>
      <c r="E2" s="538"/>
      <c r="F2" s="539"/>
      <c r="G2" s="461"/>
      <c r="H2" s="156"/>
      <c r="I2" s="532" t="s">
        <v>119</v>
      </c>
      <c r="J2" s="533"/>
      <c r="K2" s="533"/>
      <c r="L2" s="533"/>
      <c r="M2" s="533"/>
      <c r="N2" s="533"/>
      <c r="O2" s="533"/>
      <c r="P2" s="534"/>
      <c r="R2" s="153" t="s">
        <v>9</v>
      </c>
      <c r="S2" s="154" t="s">
        <v>131</v>
      </c>
      <c r="T2" s="155" t="s">
        <v>134</v>
      </c>
      <c r="U2" s="155" t="s">
        <v>136</v>
      </c>
      <c r="V2" s="159" t="s">
        <v>194</v>
      </c>
      <c r="W2" s="224" t="s">
        <v>205</v>
      </c>
      <c r="X2" s="224" t="s">
        <v>264</v>
      </c>
      <c r="Y2" s="232" t="s">
        <v>272</v>
      </c>
      <c r="Z2" s="152" t="s">
        <v>151</v>
      </c>
      <c r="AB2" s="535" t="s">
        <v>215</v>
      </c>
      <c r="AC2" s="536"/>
      <c r="AE2" s="177" t="s">
        <v>225</v>
      </c>
      <c r="AF2" s="194" t="s">
        <v>179</v>
      </c>
    </row>
    <row r="3" spans="2:32" ht="12" thickBot="1">
      <c r="B3" s="149" t="s">
        <v>28</v>
      </c>
      <c r="C3" s="150" t="s">
        <v>188</v>
      </c>
      <c r="D3" s="240" t="s">
        <v>193</v>
      </c>
      <c r="E3" s="244" t="s">
        <v>109</v>
      </c>
      <c r="F3" s="244" t="s">
        <v>274</v>
      </c>
      <c r="G3" s="462" t="s">
        <v>294</v>
      </c>
      <c r="H3" s="156"/>
      <c r="I3" s="149"/>
      <c r="J3" s="150" t="s">
        <v>13</v>
      </c>
      <c r="K3" s="150" t="s">
        <v>121</v>
      </c>
      <c r="L3" s="150" t="s">
        <v>122</v>
      </c>
      <c r="M3" s="150" t="s">
        <v>123</v>
      </c>
      <c r="N3" s="150" t="s">
        <v>124</v>
      </c>
      <c r="O3" s="150" t="s">
        <v>53</v>
      </c>
      <c r="P3" s="151"/>
      <c r="R3" s="214" t="s">
        <v>129</v>
      </c>
      <c r="S3" s="207" t="s">
        <v>129</v>
      </c>
      <c r="T3" s="211" t="s">
        <v>76</v>
      </c>
      <c r="U3" s="214" t="s">
        <v>129</v>
      </c>
      <c r="V3" s="213" t="s">
        <v>33</v>
      </c>
      <c r="W3" s="211" t="s">
        <v>36</v>
      </c>
      <c r="X3" s="214">
        <v>1</v>
      </c>
      <c r="Y3" s="233" t="s">
        <v>270</v>
      </c>
      <c r="Z3" s="207">
        <v>1</v>
      </c>
      <c r="AB3" s="171" t="s">
        <v>112</v>
      </c>
      <c r="AC3" s="510" t="str">
        <f>Swap!K7</f>
        <v>EOD</v>
      </c>
      <c r="AE3" s="217" t="s">
        <v>7</v>
      </c>
      <c r="AF3" s="217" t="s">
        <v>178</v>
      </c>
    </row>
    <row r="4" spans="2:32">
      <c r="B4" s="26" t="s">
        <v>129</v>
      </c>
      <c r="C4" s="104"/>
      <c r="D4" s="237"/>
      <c r="E4" s="241"/>
      <c r="F4" s="237"/>
      <c r="G4" s="237"/>
      <c r="H4" s="158"/>
      <c r="I4" s="211">
        <v>0</v>
      </c>
      <c r="J4" s="212" t="s">
        <v>120</v>
      </c>
      <c r="K4" s="212" t="s">
        <v>120</v>
      </c>
      <c r="L4" s="212" t="s">
        <v>120</v>
      </c>
      <c r="M4" s="212" t="s">
        <v>120</v>
      </c>
      <c r="N4" s="212" t="s">
        <v>120</v>
      </c>
      <c r="O4" s="212" t="s">
        <v>125</v>
      </c>
      <c r="P4" s="213"/>
      <c r="R4" s="215" t="s">
        <v>66</v>
      </c>
      <c r="S4" s="207" t="s">
        <v>120</v>
      </c>
      <c r="T4" s="26" t="s">
        <v>260</v>
      </c>
      <c r="U4" s="215" t="s">
        <v>137</v>
      </c>
      <c r="V4" s="206" t="s">
        <v>25</v>
      </c>
      <c r="W4" s="208" t="s">
        <v>206</v>
      </c>
      <c r="X4" s="215">
        <v>2</v>
      </c>
      <c r="Y4" s="234" t="s">
        <v>271</v>
      </c>
      <c r="Z4" s="207">
        <v>2</v>
      </c>
      <c r="AC4" s="511" t="s">
        <v>305</v>
      </c>
      <c r="AE4" s="217" t="s">
        <v>8</v>
      </c>
      <c r="AF4" s="218" t="s">
        <v>244</v>
      </c>
    </row>
    <row r="5" spans="2:32">
      <c r="B5" s="207" t="s">
        <v>13</v>
      </c>
      <c r="C5" s="205" t="s">
        <v>64</v>
      </c>
      <c r="D5" s="238" t="s">
        <v>111</v>
      </c>
      <c r="E5" s="242" t="str">
        <f>IF(Swap!$K$7="EOD", "ZERO-BANK", D5)</f>
        <v>ZERO-BANK</v>
      </c>
      <c r="F5" s="238" t="str">
        <f>IF(Swap!$K$7="EOD", "XCCY-BASIS", E5)</f>
        <v>XCCY-BASIS</v>
      </c>
      <c r="G5" s="238" t="s">
        <v>76</v>
      </c>
      <c r="H5" s="158"/>
      <c r="I5" s="207">
        <v>1098</v>
      </c>
      <c r="J5" s="205" t="s">
        <v>125</v>
      </c>
      <c r="K5" s="205" t="s">
        <v>125</v>
      </c>
      <c r="L5" s="205" t="s">
        <v>125</v>
      </c>
      <c r="M5" s="205" t="s">
        <v>125</v>
      </c>
      <c r="N5" s="205" t="s">
        <v>125</v>
      </c>
      <c r="O5" s="205" t="s">
        <v>125</v>
      </c>
      <c r="P5" s="206"/>
      <c r="R5" s="216" t="s">
        <v>67</v>
      </c>
      <c r="S5" s="207" t="s">
        <v>125</v>
      </c>
      <c r="T5" s="207" t="s">
        <v>261</v>
      </c>
      <c r="U5" s="215" t="s">
        <v>7</v>
      </c>
      <c r="V5" s="206" t="s">
        <v>195</v>
      </c>
      <c r="X5" s="215">
        <v>3</v>
      </c>
      <c r="Z5" s="207">
        <v>3</v>
      </c>
      <c r="AC5" s="512" t="s">
        <v>306</v>
      </c>
      <c r="AE5" s="218" t="s">
        <v>137</v>
      </c>
    </row>
    <row r="6" spans="2:32">
      <c r="B6" s="207" t="s">
        <v>53</v>
      </c>
      <c r="C6" s="205" t="s">
        <v>189</v>
      </c>
      <c r="D6" s="238" t="s">
        <v>127</v>
      </c>
      <c r="E6" s="242" t="str">
        <f>IF(Swap!$K$7="EOD", "ZERO-BANK", D6)</f>
        <v>ZERO-BANK</v>
      </c>
      <c r="F6" s="238" t="str">
        <f>IF(Swap!$K$7="EOD", "XCCY-BASIS", E6)</f>
        <v>XCCY-BASIS</v>
      </c>
      <c r="G6" s="453" t="s">
        <v>260</v>
      </c>
      <c r="H6" s="158"/>
      <c r="I6" s="207">
        <v>3650</v>
      </c>
      <c r="J6" s="104" t="s">
        <v>218</v>
      </c>
      <c r="K6" s="205" t="s">
        <v>126</v>
      </c>
      <c r="L6" s="205" t="s">
        <v>126</v>
      </c>
      <c r="M6" s="205" t="s">
        <v>126</v>
      </c>
      <c r="N6" s="205" t="s">
        <v>126</v>
      </c>
      <c r="O6" s="205" t="s">
        <v>125</v>
      </c>
      <c r="P6" s="206"/>
      <c r="S6" s="207" t="s">
        <v>126</v>
      </c>
      <c r="T6" s="207" t="s">
        <v>262</v>
      </c>
      <c r="U6" s="216" t="s">
        <v>8</v>
      </c>
      <c r="V6" s="206" t="s">
        <v>196</v>
      </c>
      <c r="X6" s="215">
        <v>4</v>
      </c>
      <c r="Z6" s="207">
        <v>4</v>
      </c>
      <c r="AC6" s="512" t="s">
        <v>307</v>
      </c>
    </row>
    <row r="7" spans="2:32">
      <c r="B7" s="26" t="s">
        <v>121</v>
      </c>
      <c r="C7" s="205" t="s">
        <v>204</v>
      </c>
      <c r="D7" s="238" t="s">
        <v>111</v>
      </c>
      <c r="E7" s="242" t="str">
        <f>IF(Swap!$K$7="EOD", "ZERO-BANK", D7)</f>
        <v>ZERO-BANK</v>
      </c>
      <c r="F7" s="238" t="str">
        <f>IF(Swap!$K$7="EOD", "XCCY-BASIS", E7)</f>
        <v>XCCY-BASIS</v>
      </c>
      <c r="G7" s="453" t="s">
        <v>260</v>
      </c>
      <c r="H7" s="158"/>
      <c r="I7" s="207">
        <v>36500</v>
      </c>
      <c r="J7" s="205" t="s">
        <v>126</v>
      </c>
      <c r="K7" s="205" t="s">
        <v>126</v>
      </c>
      <c r="L7" s="205" t="s">
        <v>126</v>
      </c>
      <c r="M7" s="205" t="s">
        <v>126</v>
      </c>
      <c r="N7" s="205" t="s">
        <v>126</v>
      </c>
      <c r="O7" s="205" t="s">
        <v>125</v>
      </c>
      <c r="P7" s="206"/>
      <c r="S7" s="208" t="s">
        <v>132</v>
      </c>
      <c r="T7" s="215" t="s">
        <v>263</v>
      </c>
      <c r="V7" s="215" t="s">
        <v>197</v>
      </c>
      <c r="X7" s="215">
        <v>5</v>
      </c>
      <c r="Z7" s="207">
        <v>5</v>
      </c>
      <c r="AC7" s="512" t="s">
        <v>308</v>
      </c>
    </row>
    <row r="8" spans="2:32">
      <c r="B8" s="207" t="s">
        <v>122</v>
      </c>
      <c r="C8" s="205" t="s">
        <v>190</v>
      </c>
      <c r="D8" s="238" t="s">
        <v>111</v>
      </c>
      <c r="E8" s="242" t="str">
        <f>IF(Swap!$K$7="EOD", "ZERO-BANK", D8)</f>
        <v>ZERO-BANK</v>
      </c>
      <c r="F8" s="238" t="str">
        <f>IF(Swap!$K$7="EOD", "XCCY-BASIS", E8)</f>
        <v>XCCY-BASIS</v>
      </c>
      <c r="G8" s="238" t="s">
        <v>76</v>
      </c>
      <c r="H8" s="158"/>
      <c r="I8" s="208"/>
      <c r="J8" s="209"/>
      <c r="K8" s="209"/>
      <c r="L8" s="209"/>
      <c r="M8" s="209"/>
      <c r="N8" s="209"/>
      <c r="O8" s="209"/>
      <c r="P8" s="210"/>
      <c r="T8" s="216" t="s">
        <v>135</v>
      </c>
      <c r="V8" s="216" t="s">
        <v>44</v>
      </c>
      <c r="X8" s="215">
        <v>6</v>
      </c>
      <c r="Z8" s="215">
        <v>6</v>
      </c>
      <c r="AC8" s="512" t="s">
        <v>309</v>
      </c>
    </row>
    <row r="9" spans="2:32">
      <c r="B9" s="26" t="s">
        <v>124</v>
      </c>
      <c r="C9" s="104" t="s">
        <v>191</v>
      </c>
      <c r="D9" s="238" t="s">
        <v>111</v>
      </c>
      <c r="E9" s="242" t="str">
        <f>IF(Swap!$K$7="EOD", "ZERO-BANK", D9)</f>
        <v>ZERO-BANK</v>
      </c>
      <c r="F9" s="238" t="str">
        <f>IF(Swap!$K$7="EOD", "XCCY-BASIS", E9)</f>
        <v>XCCY-BASIS</v>
      </c>
      <c r="G9" s="238" t="s">
        <v>76</v>
      </c>
      <c r="X9" s="215">
        <v>7</v>
      </c>
      <c r="Z9" s="215">
        <v>7</v>
      </c>
      <c r="AC9" s="512" t="s">
        <v>310</v>
      </c>
    </row>
    <row r="10" spans="2:32">
      <c r="B10" s="26" t="s">
        <v>295</v>
      </c>
      <c r="C10" s="104" t="s">
        <v>296</v>
      </c>
      <c r="D10" s="238" t="s">
        <v>111</v>
      </c>
      <c r="E10" s="242" t="str">
        <f>IF(Swap!$K$7="EOD", "ZERO-BANK", D10)</f>
        <v>ZERO-BANK</v>
      </c>
      <c r="F10" s="238" t="str">
        <f>IF(Swap!$K$7="EOD", "XCCY-BASIS", E10)</f>
        <v>XCCY-BASIS</v>
      </c>
      <c r="G10" s="238" t="s">
        <v>76</v>
      </c>
      <c r="X10" s="215">
        <v>8</v>
      </c>
      <c r="Z10" s="215">
        <v>8</v>
      </c>
      <c r="AC10" s="512" t="s">
        <v>311</v>
      </c>
    </row>
    <row r="11" spans="2:32">
      <c r="B11" s="29" t="s">
        <v>123</v>
      </c>
      <c r="C11" s="106" t="s">
        <v>298</v>
      </c>
      <c r="D11" s="239" t="s">
        <v>111</v>
      </c>
      <c r="E11" s="243" t="str">
        <f>IF(Swap!$K$7="EOD", "ZERO-BANK", D11)</f>
        <v>ZERO-BANK</v>
      </c>
      <c r="F11" s="239" t="str">
        <f>IF(Swap!$K$7="EOD", "XCCY-BASIS", E11)</f>
        <v>XCCY-BASIS</v>
      </c>
      <c r="G11" s="236" t="s">
        <v>260</v>
      </c>
      <c r="X11" s="215">
        <v>9</v>
      </c>
      <c r="Z11" s="215">
        <v>9</v>
      </c>
      <c r="AC11" s="512" t="s">
        <v>312</v>
      </c>
    </row>
    <row r="12" spans="2:32">
      <c r="X12" s="215">
        <v>10</v>
      </c>
      <c r="Z12" s="215">
        <v>10</v>
      </c>
      <c r="AC12" s="512" t="s">
        <v>313</v>
      </c>
    </row>
    <row r="13" spans="2:32">
      <c r="X13" s="215">
        <v>11</v>
      </c>
      <c r="Z13" s="215">
        <v>11</v>
      </c>
      <c r="AC13" s="512" t="s">
        <v>314</v>
      </c>
    </row>
    <row r="14" spans="2:32">
      <c r="W14" s="226"/>
      <c r="X14" s="215">
        <v>12</v>
      </c>
      <c r="Z14" s="215">
        <v>12</v>
      </c>
      <c r="AC14" s="512" t="s">
        <v>315</v>
      </c>
    </row>
    <row r="15" spans="2:32">
      <c r="X15" s="215">
        <v>13</v>
      </c>
      <c r="Z15" s="215">
        <v>13</v>
      </c>
      <c r="AC15" s="512" t="s">
        <v>316</v>
      </c>
    </row>
    <row r="16" spans="2:32">
      <c r="X16" s="215">
        <v>14</v>
      </c>
      <c r="Z16" s="215">
        <v>14</v>
      </c>
      <c r="AC16" s="512" t="s">
        <v>317</v>
      </c>
    </row>
    <row r="17" spans="24:29">
      <c r="X17" s="215">
        <v>15</v>
      </c>
      <c r="Z17" s="215">
        <v>15</v>
      </c>
      <c r="AC17" s="512" t="s">
        <v>318</v>
      </c>
    </row>
    <row r="18" spans="24:29">
      <c r="X18" s="215">
        <v>16</v>
      </c>
      <c r="Z18" s="215">
        <v>16</v>
      </c>
      <c r="AC18" s="512" t="s">
        <v>319</v>
      </c>
    </row>
    <row r="19" spans="24:29">
      <c r="X19" s="215">
        <v>17</v>
      </c>
      <c r="Z19" s="215">
        <v>17</v>
      </c>
      <c r="AC19" s="512" t="s">
        <v>320</v>
      </c>
    </row>
    <row r="20" spans="24:29">
      <c r="X20" s="215">
        <v>18</v>
      </c>
      <c r="Z20" s="215">
        <v>18</v>
      </c>
      <c r="AC20" s="512" t="s">
        <v>321</v>
      </c>
    </row>
    <row r="21" spans="24:29">
      <c r="X21" s="215">
        <v>19</v>
      </c>
      <c r="Z21" s="215">
        <v>19</v>
      </c>
      <c r="AC21" s="512" t="s">
        <v>322</v>
      </c>
    </row>
    <row r="22" spans="24:29">
      <c r="X22" s="215">
        <v>20</v>
      </c>
      <c r="Z22" s="215">
        <v>20</v>
      </c>
      <c r="AC22" s="512" t="s">
        <v>323</v>
      </c>
    </row>
    <row r="23" spans="24:29">
      <c r="X23" s="215">
        <v>21</v>
      </c>
      <c r="Z23" s="215">
        <v>21</v>
      </c>
      <c r="AC23" s="512" t="s">
        <v>324</v>
      </c>
    </row>
    <row r="24" spans="24:29">
      <c r="X24" s="215">
        <v>22</v>
      </c>
      <c r="Z24" s="215">
        <v>22</v>
      </c>
      <c r="AC24" s="512" t="s">
        <v>325</v>
      </c>
    </row>
    <row r="25" spans="24:29">
      <c r="X25" s="215">
        <v>23</v>
      </c>
      <c r="Z25" s="215">
        <v>23</v>
      </c>
      <c r="AC25" s="512" t="s">
        <v>326</v>
      </c>
    </row>
    <row r="26" spans="24:29">
      <c r="X26" s="215">
        <v>24</v>
      </c>
      <c r="Z26" s="215">
        <v>98</v>
      </c>
      <c r="AC26" s="512" t="s">
        <v>327</v>
      </c>
    </row>
    <row r="27" spans="24:29">
      <c r="X27" s="215">
        <v>25</v>
      </c>
      <c r="Z27" s="216">
        <v>99</v>
      </c>
      <c r="AC27" s="512" t="s">
        <v>328</v>
      </c>
    </row>
    <row r="28" spans="24:29">
      <c r="X28" s="215">
        <v>26</v>
      </c>
      <c r="Z28" s="157"/>
      <c r="AC28" s="512" t="s">
        <v>329</v>
      </c>
    </row>
    <row r="29" spans="24:29">
      <c r="X29" s="215">
        <v>27</v>
      </c>
      <c r="Z29" s="157"/>
      <c r="AC29" s="512" t="s">
        <v>330</v>
      </c>
    </row>
    <row r="30" spans="24:29">
      <c r="X30" s="215">
        <v>28</v>
      </c>
      <c r="Z30" s="157"/>
      <c r="AC30" s="512" t="s">
        <v>331</v>
      </c>
    </row>
    <row r="31" spans="24:29" ht="12" thickBot="1">
      <c r="X31" s="215">
        <v>29</v>
      </c>
      <c r="Z31" s="157"/>
      <c r="AC31" s="513" t="s">
        <v>332</v>
      </c>
    </row>
    <row r="32" spans="24:29">
      <c r="X32" s="215">
        <v>30</v>
      </c>
      <c r="Z32" s="157"/>
      <c r="AC32" s="509"/>
    </row>
    <row r="33" spans="23:29">
      <c r="X33" s="227" t="s">
        <v>265</v>
      </c>
      <c r="Z33" s="157"/>
      <c r="AC33" s="509"/>
    </row>
    <row r="34" spans="23:29">
      <c r="W34" s="225"/>
      <c r="AB34" s="219"/>
      <c r="AC34" s="509"/>
    </row>
    <row r="35" spans="23:29">
      <c r="AB35" s="219"/>
      <c r="AC35" s="509"/>
    </row>
    <row r="36" spans="23:29">
      <c r="AB36" s="219"/>
      <c r="AC36" s="509"/>
    </row>
    <row r="37" spans="23:29">
      <c r="AB37" s="219"/>
      <c r="AC37" s="509"/>
    </row>
    <row r="38" spans="23:29">
      <c r="AB38" s="219"/>
      <c r="AC38" s="158"/>
    </row>
    <row r="39" spans="23:29">
      <c r="AB39" s="219"/>
      <c r="AC39" s="158"/>
    </row>
    <row r="40" spans="23:29">
      <c r="AB40" s="219"/>
    </row>
    <row r="41" spans="23:29">
      <c r="AB41" s="219"/>
    </row>
    <row r="42" spans="23:29">
      <c r="AB42" s="219"/>
    </row>
    <row r="43" spans="23:29">
      <c r="AB43" s="219"/>
    </row>
    <row r="44" spans="23:29">
      <c r="AA44" s="219"/>
    </row>
    <row r="45" spans="23:29">
      <c r="AA45" s="219"/>
    </row>
    <row r="46" spans="23:29">
      <c r="AA46" s="219"/>
    </row>
    <row r="47" spans="23:29">
      <c r="AA47" s="219"/>
    </row>
    <row r="48" spans="23:29">
      <c r="AA48" s="219"/>
    </row>
    <row r="49" spans="27:27">
      <c r="AA49" s="219"/>
    </row>
    <row r="50" spans="27:27">
      <c r="AA50" s="219"/>
    </row>
    <row r="51" spans="27:27">
      <c r="AA51" s="219"/>
    </row>
    <row r="52" spans="27:27">
      <c r="AA52" s="219"/>
    </row>
    <row r="53" spans="27:27">
      <c r="AA53" s="219"/>
    </row>
    <row r="54" spans="27:27">
      <c r="AA54" s="219"/>
    </row>
    <row r="55" spans="27:27">
      <c r="AA55" s="219"/>
    </row>
    <row r="56" spans="27:27">
      <c r="AA56" s="219"/>
    </row>
    <row r="57" spans="27:27">
      <c r="AA57" s="219"/>
    </row>
    <row r="58" spans="27:27">
      <c r="AA58" s="219"/>
    </row>
  </sheetData>
  <dataConsolidate/>
  <mergeCells count="3">
    <mergeCell ref="I2:P2"/>
    <mergeCell ref="AB2:AC2"/>
    <mergeCell ref="B2:F2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D60"/>
  <sheetViews>
    <sheetView tabSelected="1" workbookViewId="0">
      <selection activeCell="C12" sqref="C12"/>
    </sheetView>
  </sheetViews>
  <sheetFormatPr defaultRowHeight="11.25"/>
  <cols>
    <col min="1" max="1" width="7.5" style="248" customWidth="1"/>
    <col min="2" max="2" width="3.83203125" style="248" customWidth="1"/>
    <col min="3" max="4" width="10.1640625" style="248" bestFit="1" customWidth="1"/>
    <col min="5" max="5" width="1.5" style="248" customWidth="1"/>
    <col min="6" max="6" width="12.6640625" style="248" customWidth="1"/>
    <col min="7" max="7" width="17.5" style="248" bestFit="1" customWidth="1"/>
    <col min="8" max="9" width="5.5" style="248" customWidth="1"/>
    <col min="10" max="10" width="17" style="248" bestFit="1" customWidth="1"/>
    <col min="11" max="11" width="14.33203125" style="248" bestFit="1" customWidth="1"/>
    <col min="12" max="12" width="12.33203125" style="248" bestFit="1" customWidth="1"/>
    <col min="13" max="13" width="1.33203125" style="248" customWidth="1"/>
    <col min="14" max="14" width="8.5" style="248" customWidth="1"/>
    <col min="15" max="15" width="16.1640625" style="248" customWidth="1"/>
    <col min="16" max="16" width="5.5" style="248" customWidth="1"/>
    <col min="17" max="17" width="5.5" style="248" bestFit="1" customWidth="1"/>
    <col min="18" max="18" width="13" style="248" bestFit="1" customWidth="1"/>
    <col min="19" max="19" width="16.6640625" style="248" customWidth="1"/>
    <col min="20" max="20" width="13.5" style="248" customWidth="1"/>
    <col min="21" max="21" width="14.33203125" style="248" customWidth="1"/>
    <col min="22" max="22" width="1.33203125" style="248" customWidth="1"/>
    <col min="23" max="23" width="9.6640625" style="248" customWidth="1"/>
    <col min="24" max="24" width="1.1640625" style="248" customWidth="1"/>
    <col min="25" max="25" width="15.6640625" style="248" customWidth="1"/>
    <col min="26" max="26" width="22.33203125" style="248" customWidth="1"/>
    <col min="27" max="27" width="1.5" style="248" customWidth="1"/>
    <col min="28" max="28" width="11.1640625" style="248" customWidth="1"/>
    <col min="29" max="29" width="11.83203125" style="248" customWidth="1"/>
    <col min="30" max="30" width="10.1640625" style="248" customWidth="1"/>
    <col min="31" max="31" width="13.6640625" style="248" customWidth="1"/>
    <col min="32" max="32" width="10.83203125" style="248" customWidth="1"/>
    <col min="33" max="33" width="12" style="248" customWidth="1"/>
    <col min="34" max="34" width="10" style="248" bestFit="1" customWidth="1"/>
    <col min="35" max="35" width="1.6640625" style="248" customWidth="1"/>
    <col min="36" max="36" width="15.6640625" style="248" customWidth="1"/>
    <col min="37" max="37" width="16.33203125" style="248" customWidth="1"/>
    <col min="38" max="38" width="16.1640625" style="248" customWidth="1"/>
    <col min="39" max="39" width="12.6640625" style="248" customWidth="1"/>
    <col min="40" max="40" width="1.5" style="248" customWidth="1"/>
    <col min="41" max="41" width="1" style="248" hidden="1" customWidth="1"/>
    <col min="42" max="42" width="10.6640625" style="248" customWidth="1"/>
    <col min="43" max="43" width="12.33203125" style="248" customWidth="1"/>
    <col min="44" max="44" width="11.6640625" style="248" customWidth="1"/>
    <col min="45" max="45" width="14.1640625" style="248" bestFit="1" customWidth="1"/>
    <col min="46" max="46" width="13.83203125" style="248" customWidth="1"/>
    <col min="47" max="47" width="15" style="248" customWidth="1"/>
    <col min="48" max="48" width="13.5" style="248" customWidth="1"/>
    <col min="49" max="54" width="9.33203125" style="248" hidden="1" customWidth="1"/>
    <col min="55" max="55" width="11.33203125" style="248" hidden="1" customWidth="1"/>
    <col min="56" max="56" width="27" style="248" hidden="1" customWidth="1"/>
    <col min="57" max="16384" width="9.33203125" style="248"/>
  </cols>
  <sheetData>
    <row r="1" spans="1:56">
      <c r="A1" s="249"/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174"/>
      <c r="AX1" s="174"/>
      <c r="AY1" s="174"/>
      <c r="AZ1" s="174"/>
      <c r="BA1" s="174"/>
      <c r="BB1" s="174"/>
      <c r="BC1" s="174"/>
      <c r="BD1" s="174"/>
    </row>
    <row r="2" spans="1:56" ht="30" customHeight="1">
      <c r="A2" s="249"/>
      <c r="B2" s="483" t="s">
        <v>303</v>
      </c>
      <c r="C2" s="483"/>
      <c r="D2" s="484"/>
      <c r="E2" s="485"/>
      <c r="F2" s="485"/>
      <c r="G2" s="485"/>
      <c r="H2" s="485"/>
      <c r="I2" s="486"/>
      <c r="J2" s="486"/>
      <c r="K2" s="486"/>
      <c r="L2" s="487"/>
      <c r="M2" s="278"/>
      <c r="N2" s="278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  <c r="AI2" s="249"/>
      <c r="AJ2" s="249"/>
      <c r="AK2" s="249"/>
      <c r="AL2" s="249"/>
      <c r="AM2" s="249"/>
      <c r="AN2" s="249"/>
      <c r="AO2" s="249"/>
      <c r="AP2" s="249"/>
      <c r="AQ2" s="249"/>
      <c r="AR2" s="249"/>
      <c r="AS2" s="249"/>
      <c r="AT2" s="249"/>
      <c r="AU2" s="249"/>
      <c r="AV2" s="249"/>
      <c r="AW2" s="174"/>
      <c r="AX2" s="174"/>
      <c r="AY2" s="174"/>
      <c r="AZ2" s="174"/>
      <c r="BA2" s="174"/>
      <c r="BB2" s="174"/>
      <c r="BC2" s="174"/>
      <c r="BD2" s="174"/>
    </row>
    <row r="3" spans="1:56">
      <c r="A3" s="249"/>
      <c r="B3" s="279" t="str">
        <f>"Version " &amp;Versions!$B$10</f>
        <v>Version 4.23.0</v>
      </c>
      <c r="C3" s="265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9"/>
      <c r="P3" s="249"/>
      <c r="Q3" s="264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174"/>
      <c r="AX3" s="174"/>
      <c r="AY3" s="174"/>
      <c r="AZ3" s="174"/>
      <c r="BA3" s="174"/>
      <c r="BB3" s="174"/>
      <c r="BC3" s="174"/>
      <c r="BD3" s="174"/>
    </row>
    <row r="4" spans="1:56" ht="13.5" customHeight="1">
      <c r="A4" s="249"/>
      <c r="B4" s="305"/>
      <c r="C4" s="305"/>
      <c r="D4" s="249"/>
      <c r="E4" s="249"/>
      <c r="F4" s="249"/>
      <c r="G4" s="249"/>
      <c r="H4" s="249"/>
      <c r="I4" s="249"/>
      <c r="J4" s="249"/>
      <c r="K4" s="249"/>
      <c r="L4" s="249"/>
      <c r="M4" s="246"/>
      <c r="N4" s="246"/>
      <c r="O4" s="550" t="s">
        <v>228</v>
      </c>
      <c r="P4" s="551"/>
      <c r="Q4" s="264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AR4" s="249"/>
      <c r="AS4" s="249"/>
      <c r="AT4" s="249"/>
      <c r="AU4" s="249"/>
      <c r="AV4" s="249"/>
      <c r="AW4" s="174"/>
      <c r="AX4" s="174"/>
      <c r="AY4" s="174"/>
      <c r="AZ4" s="174"/>
      <c r="BA4" s="174"/>
      <c r="BB4" s="174"/>
      <c r="BC4" s="174"/>
      <c r="BD4" s="174"/>
    </row>
    <row r="5" spans="1:56">
      <c r="A5" s="247"/>
      <c r="B5" s="554" t="s">
        <v>0</v>
      </c>
      <c r="C5" s="555"/>
      <c r="D5" s="266"/>
      <c r="E5" s="266"/>
      <c r="F5" s="266"/>
      <c r="G5" s="266"/>
      <c r="H5" s="266"/>
      <c r="I5" s="266"/>
      <c r="J5" s="266"/>
      <c r="K5" s="266"/>
      <c r="L5" s="266"/>
      <c r="M5" s="246"/>
      <c r="N5" s="246"/>
      <c r="O5" s="249"/>
      <c r="P5" s="264"/>
      <c r="Q5" s="264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49"/>
      <c r="AE5" s="249"/>
      <c r="AF5" s="249"/>
      <c r="AG5" s="249"/>
      <c r="AH5" s="249"/>
      <c r="AI5" s="249"/>
      <c r="AJ5" s="249"/>
      <c r="AK5" s="249"/>
      <c r="AL5" s="249"/>
      <c r="AM5" s="249"/>
      <c r="AN5" s="249"/>
      <c r="AO5" s="249"/>
      <c r="AP5" s="249"/>
      <c r="AQ5" s="249"/>
      <c r="AR5" s="249"/>
      <c r="AS5" s="249"/>
      <c r="AT5" s="249"/>
      <c r="AU5" s="249"/>
      <c r="AV5" s="249"/>
      <c r="AW5" s="174"/>
      <c r="AX5" s="174"/>
      <c r="AY5" s="174"/>
      <c r="AZ5" s="174"/>
      <c r="BA5" s="174"/>
      <c r="BB5" s="174"/>
      <c r="BC5" s="174"/>
      <c r="BD5" s="174"/>
    </row>
    <row r="6" spans="1:56" ht="12.75" customHeight="1">
      <c r="A6" s="249"/>
      <c r="B6" s="552" t="s">
        <v>1</v>
      </c>
      <c r="C6" s="553"/>
      <c r="D6" s="542" t="s">
        <v>163</v>
      </c>
      <c r="E6" s="542"/>
      <c r="F6" s="542"/>
      <c r="G6" s="411" t="s">
        <v>2</v>
      </c>
      <c r="H6" s="542" t="s">
        <v>68</v>
      </c>
      <c r="I6" s="542"/>
      <c r="J6" s="542"/>
      <c r="K6" s="542" t="s">
        <v>60</v>
      </c>
      <c r="L6" s="543"/>
      <c r="M6" s="246"/>
      <c r="N6" s="246"/>
      <c r="O6" s="550" t="s">
        <v>180</v>
      </c>
      <c r="P6" s="551"/>
      <c r="Q6" s="264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174"/>
      <c r="AX6" s="174"/>
      <c r="AY6" s="174"/>
      <c r="AZ6" s="174"/>
      <c r="BA6" s="174"/>
      <c r="BB6" s="174"/>
      <c r="BC6" s="174"/>
      <c r="BD6" s="174"/>
    </row>
    <row r="7" spans="1:56" ht="13.5" customHeight="1" thickBot="1">
      <c r="A7" s="249"/>
      <c r="B7" s="556" t="s">
        <v>69</v>
      </c>
      <c r="C7" s="557"/>
      <c r="D7" s="558" t="s">
        <v>65</v>
      </c>
      <c r="E7" s="559"/>
      <c r="F7" s="560"/>
      <c r="G7" s="304">
        <v>1</v>
      </c>
      <c r="H7" s="558" t="s">
        <v>101</v>
      </c>
      <c r="I7" s="559"/>
      <c r="J7" s="559"/>
      <c r="K7" s="561" t="s">
        <v>208</v>
      </c>
      <c r="L7" s="562"/>
      <c r="M7" s="246"/>
      <c r="N7" s="246"/>
      <c r="O7" s="249"/>
      <c r="P7" s="264"/>
      <c r="Q7" s="264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  <c r="AW7" s="174"/>
      <c r="AX7" s="174"/>
      <c r="AY7" s="174"/>
      <c r="AZ7" s="174"/>
      <c r="BA7" s="174"/>
      <c r="BB7" s="174"/>
      <c r="BC7" s="174"/>
      <c r="BD7" s="174"/>
    </row>
    <row r="8" spans="1:56" ht="12.75" customHeight="1">
      <c r="A8" s="246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550" t="s">
        <v>283</v>
      </c>
      <c r="P8" s="551"/>
      <c r="Q8" s="264"/>
      <c r="R8" s="249"/>
      <c r="S8" s="249"/>
      <c r="T8" s="295" t="s">
        <v>117</v>
      </c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174"/>
      <c r="AX8" s="174"/>
      <c r="AY8" s="174"/>
      <c r="AZ8" s="174"/>
      <c r="BA8" s="174" t="str">
        <f>IF(AND(F12="Fixed",N12="Floating"),"PayOnly",IF(AND(F12="Floating",N12="Fixed"),"ReceiveOnly",IF(OR(AND(F12="Fixed",N12="Fixed"),AND(F12="Floating",N12="Floating")),"PayAndReceive","NoneOnly")))</f>
        <v>NoneOnly</v>
      </c>
      <c r="BB8" s="174"/>
      <c r="BC8" s="174"/>
      <c r="BD8" s="174"/>
    </row>
    <row r="9" spans="1:56">
      <c r="A9" s="246"/>
      <c r="B9" s="246"/>
      <c r="C9" s="246"/>
      <c r="D9" s="246"/>
      <c r="E9" s="249"/>
      <c r="F9" s="246"/>
      <c r="G9" s="246"/>
      <c r="H9" s="246"/>
      <c r="I9" s="246"/>
      <c r="J9" s="246"/>
      <c r="K9" s="246"/>
      <c r="L9" s="246"/>
      <c r="M9" s="246"/>
      <c r="N9" s="246"/>
      <c r="O9" s="249"/>
      <c r="P9" s="264"/>
      <c r="Q9" s="264"/>
      <c r="R9" s="249"/>
      <c r="S9" s="249"/>
      <c r="T9" s="249"/>
      <c r="U9" s="249"/>
      <c r="V9" s="249"/>
      <c r="W9" s="249"/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174"/>
      <c r="AX9" s="174"/>
      <c r="AY9" s="174"/>
      <c r="AZ9" s="174"/>
      <c r="BA9" s="174"/>
      <c r="BB9" s="174"/>
      <c r="BC9" s="174"/>
      <c r="BD9" s="174"/>
    </row>
    <row r="10" spans="1:56" ht="11.25" customHeight="1">
      <c r="A10" s="409" t="s">
        <v>273</v>
      </c>
      <c r="B10" s="547" t="s">
        <v>3</v>
      </c>
      <c r="C10" s="547"/>
      <c r="D10" s="547"/>
      <c r="E10" s="249"/>
      <c r="F10" s="544" t="s">
        <v>7</v>
      </c>
      <c r="G10" s="545"/>
      <c r="H10" s="545"/>
      <c r="I10" s="545"/>
      <c r="J10" s="545"/>
      <c r="K10" s="545"/>
      <c r="L10" s="546"/>
      <c r="M10" s="249"/>
      <c r="N10" s="544" t="s">
        <v>8</v>
      </c>
      <c r="O10" s="545"/>
      <c r="P10" s="545"/>
      <c r="Q10" s="545"/>
      <c r="R10" s="545"/>
      <c r="S10" s="546"/>
      <c r="T10" s="303" t="s">
        <v>230</v>
      </c>
      <c r="U10" s="303" t="s">
        <v>245</v>
      </c>
      <c r="V10" s="250"/>
      <c r="W10" s="303" t="s">
        <v>224</v>
      </c>
      <c r="X10" s="268"/>
      <c r="Y10" s="297" t="s">
        <v>57</v>
      </c>
      <c r="AB10" s="297" t="s">
        <v>234</v>
      </c>
      <c r="AP10" s="547" t="s">
        <v>281</v>
      </c>
      <c r="AQ10" s="547"/>
      <c r="AW10" s="173"/>
      <c r="AX10" s="173"/>
      <c r="AY10" s="173"/>
      <c r="AZ10" s="173"/>
      <c r="BA10" s="540" t="s">
        <v>232</v>
      </c>
      <c r="BB10" s="541"/>
      <c r="BC10" s="541"/>
      <c r="BD10" s="541"/>
    </row>
    <row r="11" spans="1:56" ht="37.5" customHeight="1">
      <c r="A11" s="410" t="s">
        <v>270</v>
      </c>
      <c r="B11" s="408" t="s">
        <v>4</v>
      </c>
      <c r="C11" s="449" t="s">
        <v>5</v>
      </c>
      <c r="D11" s="449" t="s">
        <v>6</v>
      </c>
      <c r="E11" s="249"/>
      <c r="F11" s="449" t="s">
        <v>9</v>
      </c>
      <c r="G11" s="449" t="s">
        <v>11</v>
      </c>
      <c r="H11" s="449" t="s">
        <v>12</v>
      </c>
      <c r="I11" s="449" t="s">
        <v>130</v>
      </c>
      <c r="J11" s="302" t="s">
        <v>14</v>
      </c>
      <c r="K11" s="299" t="s">
        <v>299</v>
      </c>
      <c r="L11" s="299" t="s">
        <v>229</v>
      </c>
      <c r="M11" s="301"/>
      <c r="N11" s="449" t="s">
        <v>9</v>
      </c>
      <c r="O11" s="449" t="s">
        <v>11</v>
      </c>
      <c r="P11" s="449" t="s">
        <v>12</v>
      </c>
      <c r="Q11" s="449" t="s">
        <v>130</v>
      </c>
      <c r="R11" s="302" t="s">
        <v>14</v>
      </c>
      <c r="S11" s="299" t="s">
        <v>229</v>
      </c>
      <c r="T11" s="299" t="s">
        <v>246</v>
      </c>
      <c r="U11" s="299" t="s">
        <v>280</v>
      </c>
      <c r="V11" s="250"/>
      <c r="W11" s="302" t="s">
        <v>223</v>
      </c>
      <c r="X11" s="269"/>
      <c r="Y11" s="300" t="s">
        <v>99</v>
      </c>
      <c r="Z11" s="300" t="s">
        <v>167</v>
      </c>
      <c r="AA11" s="271"/>
      <c r="AB11" s="298" t="s">
        <v>243</v>
      </c>
      <c r="AC11" s="299" t="s">
        <v>255</v>
      </c>
      <c r="AD11" s="299" t="s">
        <v>254</v>
      </c>
      <c r="AE11" s="299" t="s">
        <v>235</v>
      </c>
      <c r="AF11" s="299" t="s">
        <v>236</v>
      </c>
      <c r="AG11" s="299" t="s">
        <v>237</v>
      </c>
      <c r="AH11" s="299" t="s">
        <v>238</v>
      </c>
      <c r="AJ11" s="299" t="s">
        <v>239</v>
      </c>
      <c r="AK11" s="299" t="s">
        <v>240</v>
      </c>
      <c r="AL11" s="299" t="s">
        <v>241</v>
      </c>
      <c r="AM11" s="299" t="s">
        <v>179</v>
      </c>
      <c r="AN11" s="264"/>
      <c r="AO11" s="264"/>
      <c r="AP11" s="299" t="s">
        <v>277</v>
      </c>
      <c r="AQ11" s="299" t="s">
        <v>259</v>
      </c>
      <c r="AR11" s="299" t="s">
        <v>226</v>
      </c>
      <c r="AS11" s="299" t="s">
        <v>278</v>
      </c>
      <c r="AT11" s="299" t="s">
        <v>279</v>
      </c>
      <c r="AU11" s="299" t="s">
        <v>252</v>
      </c>
      <c r="AV11" s="299" t="s">
        <v>253</v>
      </c>
      <c r="AW11" s="173"/>
      <c r="AX11" s="175"/>
      <c r="AY11" s="173"/>
      <c r="AZ11" s="173"/>
      <c r="BA11" s="193" t="s">
        <v>242</v>
      </c>
      <c r="BB11" s="174"/>
      <c r="BC11" s="174"/>
      <c r="BD11" s="174"/>
    </row>
    <row r="12" spans="1:56" ht="15">
      <c r="A12" s="444" t="s">
        <v>270</v>
      </c>
      <c r="B12" s="465">
        <v>1</v>
      </c>
      <c r="C12" s="490"/>
      <c r="D12" s="424"/>
      <c r="E12" s="249"/>
      <c r="F12" s="490"/>
      <c r="G12" s="494"/>
      <c r="H12" s="466"/>
      <c r="I12" s="424"/>
      <c r="J12" s="467"/>
      <c r="K12" s="463"/>
      <c r="L12" s="470"/>
      <c r="M12" s="249"/>
      <c r="N12" s="503"/>
      <c r="O12" s="506"/>
      <c r="P12" s="499"/>
      <c r="Q12" s="189"/>
      <c r="R12" s="198"/>
      <c r="S12" s="255"/>
      <c r="T12" s="245"/>
      <c r="U12" s="258"/>
      <c r="V12" s="267"/>
      <c r="W12" s="261"/>
      <c r="X12" s="270"/>
      <c r="Y12" s="321" t="str">
        <f ca="1">IF($C12="","",INDIRECT("'Swap-"&amp;$B12&amp;"'!ROE"))</f>
        <v/>
      </c>
      <c r="Z12" s="324" t="str">
        <f ca="1">IF($C12="","",INDIRECT("'Swap-"&amp;$B12&amp;"'!PCE"))</f>
        <v/>
      </c>
      <c r="AA12" s="271"/>
      <c r="AB12" s="200"/>
      <c r="AC12" s="327" t="str">
        <f ca="1">IF($C12="","",INDIRECT("'Swap-"&amp;$B12&amp;"'!ReqVANPV"))</f>
        <v/>
      </c>
      <c r="AD12" s="328" t="str">
        <f>IF(H12="", "", H12)</f>
        <v/>
      </c>
      <c r="AE12" s="202"/>
      <c r="AF12" s="328" t="str">
        <f>IF(H12="", "", H12)</f>
        <v/>
      </c>
      <c r="AG12" s="202"/>
      <c r="AH12" s="328" t="str">
        <f>IF(H12="", "", H12)</f>
        <v/>
      </c>
      <c r="AJ12" s="333" t="str">
        <f ca="1">IF($C12="","",INDIRECT("'Swap-"&amp;$B12&amp;"'!AdditionalRoEMargin"))</f>
        <v/>
      </c>
      <c r="AK12" s="333" t="str">
        <f ca="1">IF($C12="","",INDIRECT("'Swap-"&amp;$B12&amp;"'!InitialRoEMargin"))</f>
        <v/>
      </c>
      <c r="AL12" s="333" t="str">
        <f ca="1">IF($C12="","",INDIRECT("'Swap-"&amp;$B12&amp;"'!TotalRoEMargin"))</f>
        <v/>
      </c>
      <c r="AM12" s="228" t="s">
        <v>178</v>
      </c>
      <c r="AN12" s="272"/>
      <c r="AO12" s="272"/>
      <c r="AP12" s="336" t="str">
        <f ca="1">IF($C12="","",INDIRECT("'Swap-"&amp;$B12&amp;"'!StatProv"))</f>
        <v/>
      </c>
      <c r="AQ12" s="337" t="str">
        <f ca="1">IF($C12="","",INDIRECT("'Swap-"&amp;$B12&amp;"'!RegCap"))</f>
        <v/>
      </c>
      <c r="AR12" s="338" t="str">
        <f t="shared" ref="AR12:AR31" ca="1" si="0">IF($C12="","",INDIRECT("'Swap-"&amp;$B12&amp;"'!BreakEven"))</f>
        <v/>
      </c>
      <c r="AS12" s="336" t="str">
        <f ca="1">IF($C12="","",INDIRECT("'Swap-"&amp;$B12&amp;"'!PayDeltaR"))</f>
        <v/>
      </c>
      <c r="AT12" s="339" t="str">
        <f ca="1">IF($C12="","",INDIRECT("'Swap-"&amp;$B12&amp;"'!ReceiveDeltaR"))</f>
        <v/>
      </c>
      <c r="AU12" s="340" t="str">
        <f ca="1">IF($C12="","",INDIRECT("'Swap-"&amp;$B12&amp;"'!PayBreakEven"))</f>
        <v/>
      </c>
      <c r="AV12" s="341" t="str">
        <f ca="1">IF($C12="","",INDIRECT("'Swap-"&amp;$B12&amp;"'!ReceiveBreakEven"))</f>
        <v/>
      </c>
      <c r="AW12" s="176"/>
      <c r="AX12" s="173"/>
      <c r="AY12" s="173"/>
      <c r="AZ12" s="173"/>
      <c r="BA12" s="192" t="str">
        <f>IF(OR(F12="",N12=""), "None", "PayAndReceive")</f>
        <v>None</v>
      </c>
      <c r="BB12" s="174"/>
      <c r="BC12" s="174"/>
      <c r="BD12" s="174"/>
    </row>
    <row r="13" spans="1:56" ht="15">
      <c r="A13" s="464" t="s">
        <v>270</v>
      </c>
      <c r="B13" s="465">
        <v>2</v>
      </c>
      <c r="C13" s="491"/>
      <c r="D13" s="489"/>
      <c r="E13" s="249"/>
      <c r="F13" s="491"/>
      <c r="G13" s="495"/>
      <c r="H13" s="498"/>
      <c r="I13" s="489"/>
      <c r="J13" s="468"/>
      <c r="K13" s="276"/>
      <c r="L13" s="471"/>
      <c r="M13" s="249"/>
      <c r="N13" s="504"/>
      <c r="O13" s="507"/>
      <c r="P13" s="500"/>
      <c r="Q13" s="190"/>
      <c r="R13" s="196"/>
      <c r="S13" s="256"/>
      <c r="T13" s="178"/>
      <c r="U13" s="259"/>
      <c r="V13" s="267"/>
      <c r="W13" s="262"/>
      <c r="X13" s="270"/>
      <c r="Y13" s="322" t="str">
        <f ca="1">IF($C13="","",INDIRECT("'Swap-"&amp;$B13&amp;"'!ROE"))</f>
        <v/>
      </c>
      <c r="Z13" s="325" t="str">
        <f ca="1">IF($C13="","",INDIRECT("'Swap-"&amp;$B13&amp;"'!PCE"))</f>
        <v/>
      </c>
      <c r="AA13" s="271"/>
      <c r="AB13" s="200"/>
      <c r="AC13" s="329" t="str">
        <f t="shared" ref="AC13:AC31" ca="1" si="1">IF($C13="","",INDIRECT("'Swap-"&amp;$B13&amp;"'!ReqVANPV"))</f>
        <v/>
      </c>
      <c r="AD13" s="330" t="str">
        <f>IF(H13="", "", H13)</f>
        <v/>
      </c>
      <c r="AE13" s="203"/>
      <c r="AF13" s="330" t="str">
        <f t="shared" ref="AF13:AF31" si="2">IF(H13="", "", H13)</f>
        <v/>
      </c>
      <c r="AG13" s="203"/>
      <c r="AH13" s="330" t="str">
        <f t="shared" ref="AH13:AH31" si="3">IF(H13="", "", H13)</f>
        <v/>
      </c>
      <c r="AJ13" s="334" t="str">
        <f t="shared" ref="AJ13:AJ31" ca="1" si="4">IF($C13="","",INDIRECT("'Swap-"&amp;$B13&amp;"'!AdditionalRoEMargin"))</f>
        <v/>
      </c>
      <c r="AK13" s="334" t="str">
        <f t="shared" ref="AK13:AK31" ca="1" si="5">IF($C13="","",INDIRECT("'Swap-"&amp;$B13&amp;"'!InitialRoEMargin"))</f>
        <v/>
      </c>
      <c r="AL13" s="334" t="str">
        <f t="shared" ref="AL13:AL31" ca="1" si="6">IF($C13="","",INDIRECT("'Swap-"&amp;$B13&amp;"'!TotalRoEMargin"))</f>
        <v/>
      </c>
      <c r="AM13" s="229" t="s">
        <v>178</v>
      </c>
      <c r="AN13" s="272"/>
      <c r="AO13" s="272"/>
      <c r="AP13" s="342" t="str">
        <f t="shared" ref="AP13:AP31" ca="1" si="7">IF($C13="","",INDIRECT("'Swap-"&amp;$B13&amp;"'!StatProv"))</f>
        <v/>
      </c>
      <c r="AQ13" s="343" t="str">
        <f t="shared" ref="AQ13:AQ31" ca="1" si="8">IF($C13="","",INDIRECT("'Swap-"&amp;$B13&amp;"'!RegCap"))</f>
        <v/>
      </c>
      <c r="AR13" s="344" t="str">
        <f t="shared" ca="1" si="0"/>
        <v/>
      </c>
      <c r="AS13" s="345" t="str">
        <f t="shared" ref="AS13:AS31" ca="1" si="9">IF($C13="","",INDIRECT("'Swap-"&amp;$B13&amp;"'!PayDeltaR"))</f>
        <v/>
      </c>
      <c r="AT13" s="346" t="str">
        <f t="shared" ref="AT13:AT31" ca="1" si="10">IF($C13="","",INDIRECT("'Swap-"&amp;$B13&amp;"'!ReceiveDeltaR"))</f>
        <v/>
      </c>
      <c r="AU13" s="347" t="str">
        <f t="shared" ref="AU13:AU31" ca="1" si="11">IF($C13="","",INDIRECT("'Swap-"&amp;$B13&amp;"'!PayBreakEven"))</f>
        <v/>
      </c>
      <c r="AV13" s="348" t="str">
        <f t="shared" ref="AV13:AV31" ca="1" si="12">IF($C13="","",INDIRECT("'Swap-"&amp;$B13&amp;"'!ReceiveBreakEven"))</f>
        <v/>
      </c>
      <c r="AW13" s="176"/>
      <c r="AX13" s="173"/>
      <c r="AY13" s="173"/>
      <c r="AZ13" s="173"/>
      <c r="BA13" s="192" t="str">
        <f t="shared" ref="BA13:BA31" si="13">IF(OR(F13="",N13=""), "None", "PayAndReceive")</f>
        <v>None</v>
      </c>
      <c r="BB13" s="174"/>
      <c r="BC13" s="174"/>
      <c r="BD13" s="174"/>
    </row>
    <row r="14" spans="1:56" ht="15">
      <c r="A14" s="464" t="s">
        <v>270</v>
      </c>
      <c r="B14" s="465">
        <v>3</v>
      </c>
      <c r="C14" s="491"/>
      <c r="D14" s="489"/>
      <c r="E14" s="249"/>
      <c r="F14" s="491"/>
      <c r="G14" s="495"/>
      <c r="H14" s="500"/>
      <c r="I14" s="489"/>
      <c r="J14" s="468"/>
      <c r="K14" s="276"/>
      <c r="L14" s="471"/>
      <c r="M14" s="249"/>
      <c r="N14" s="504"/>
      <c r="O14" s="507"/>
      <c r="P14" s="500"/>
      <c r="Q14" s="190"/>
      <c r="R14" s="196"/>
      <c r="S14" s="256"/>
      <c r="T14" s="178"/>
      <c r="U14" s="259"/>
      <c r="V14" s="267"/>
      <c r="W14" s="262"/>
      <c r="X14" s="270"/>
      <c r="Y14" s="322" t="str">
        <f t="shared" ref="Y14:Y31" ca="1" si="14">IF($C14="","",INDIRECT("'Swap-"&amp;$B14&amp;"'!ROE"))</f>
        <v/>
      </c>
      <c r="Z14" s="325" t="str">
        <f t="shared" ref="Z14:Z31" ca="1" si="15">IF($C14="","",INDIRECT("'Swap-"&amp;$B14&amp;"'!PCE"))</f>
        <v/>
      </c>
      <c r="AA14" s="271"/>
      <c r="AB14" s="200"/>
      <c r="AC14" s="329" t="str">
        <f t="shared" ca="1" si="1"/>
        <v/>
      </c>
      <c r="AD14" s="330" t="str">
        <f t="shared" ref="AD14:AD31" si="16">IF(H14="", "", H14)</f>
        <v/>
      </c>
      <c r="AE14" s="203"/>
      <c r="AF14" s="330" t="str">
        <f t="shared" si="2"/>
        <v/>
      </c>
      <c r="AG14" s="203"/>
      <c r="AH14" s="330" t="str">
        <f t="shared" si="3"/>
        <v/>
      </c>
      <c r="AJ14" s="334" t="str">
        <f t="shared" ca="1" si="4"/>
        <v/>
      </c>
      <c r="AK14" s="334" t="str">
        <f t="shared" ca="1" si="5"/>
        <v/>
      </c>
      <c r="AL14" s="334" t="str">
        <f t="shared" ca="1" si="6"/>
        <v/>
      </c>
      <c r="AM14" s="229" t="s">
        <v>178</v>
      </c>
      <c r="AN14" s="272"/>
      <c r="AO14" s="272"/>
      <c r="AP14" s="342" t="str">
        <f t="shared" ca="1" si="7"/>
        <v/>
      </c>
      <c r="AQ14" s="343" t="str">
        <f t="shared" ca="1" si="8"/>
        <v/>
      </c>
      <c r="AR14" s="344" t="str">
        <f t="shared" ca="1" si="0"/>
        <v/>
      </c>
      <c r="AS14" s="345" t="str">
        <f t="shared" ca="1" si="9"/>
        <v/>
      </c>
      <c r="AT14" s="346" t="str">
        <f t="shared" ca="1" si="10"/>
        <v/>
      </c>
      <c r="AU14" s="347" t="str">
        <f t="shared" ca="1" si="11"/>
        <v/>
      </c>
      <c r="AV14" s="348" t="str">
        <f t="shared" ca="1" si="12"/>
        <v/>
      </c>
      <c r="AW14" s="176"/>
      <c r="AX14" s="173"/>
      <c r="AY14" s="173"/>
      <c r="AZ14" s="173"/>
      <c r="BA14" s="192" t="str">
        <f t="shared" si="13"/>
        <v>None</v>
      </c>
      <c r="BB14" s="174"/>
      <c r="BC14" s="174"/>
      <c r="BD14" s="174"/>
    </row>
    <row r="15" spans="1:56" ht="15">
      <c r="A15" s="464" t="s">
        <v>270</v>
      </c>
      <c r="B15" s="465">
        <v>4</v>
      </c>
      <c r="C15" s="491"/>
      <c r="D15" s="489"/>
      <c r="E15" s="249"/>
      <c r="F15" s="491"/>
      <c r="G15" s="495"/>
      <c r="H15" s="498"/>
      <c r="I15" s="489"/>
      <c r="J15" s="468"/>
      <c r="K15" s="276"/>
      <c r="L15" s="471"/>
      <c r="M15" s="249"/>
      <c r="N15" s="504"/>
      <c r="O15" s="507"/>
      <c r="P15" s="500"/>
      <c r="Q15" s="190"/>
      <c r="R15" s="196"/>
      <c r="S15" s="256"/>
      <c r="T15" s="178"/>
      <c r="U15" s="259"/>
      <c r="V15" s="267"/>
      <c r="W15" s="262"/>
      <c r="X15" s="270"/>
      <c r="Y15" s="322" t="str">
        <f t="shared" ca="1" si="14"/>
        <v/>
      </c>
      <c r="Z15" s="325" t="str">
        <f t="shared" ca="1" si="15"/>
        <v/>
      </c>
      <c r="AA15" s="271"/>
      <c r="AB15" s="200"/>
      <c r="AC15" s="329" t="str">
        <f t="shared" ca="1" si="1"/>
        <v/>
      </c>
      <c r="AD15" s="330" t="str">
        <f t="shared" si="16"/>
        <v/>
      </c>
      <c r="AE15" s="203"/>
      <c r="AF15" s="330" t="str">
        <f t="shared" si="2"/>
        <v/>
      </c>
      <c r="AG15" s="203"/>
      <c r="AH15" s="330" t="str">
        <f t="shared" si="3"/>
        <v/>
      </c>
      <c r="AJ15" s="334" t="str">
        <f t="shared" ca="1" si="4"/>
        <v/>
      </c>
      <c r="AK15" s="334" t="str">
        <f t="shared" ca="1" si="5"/>
        <v/>
      </c>
      <c r="AL15" s="334" t="str">
        <f t="shared" ca="1" si="6"/>
        <v/>
      </c>
      <c r="AM15" s="229" t="s">
        <v>178</v>
      </c>
      <c r="AN15" s="272"/>
      <c r="AO15" s="272"/>
      <c r="AP15" s="342" t="str">
        <f t="shared" ca="1" si="7"/>
        <v/>
      </c>
      <c r="AQ15" s="343" t="str">
        <f t="shared" ca="1" si="8"/>
        <v/>
      </c>
      <c r="AR15" s="344" t="str">
        <f t="shared" ca="1" si="0"/>
        <v/>
      </c>
      <c r="AS15" s="345" t="str">
        <f t="shared" ca="1" si="9"/>
        <v/>
      </c>
      <c r="AT15" s="346" t="str">
        <f t="shared" ca="1" si="10"/>
        <v/>
      </c>
      <c r="AU15" s="347" t="str">
        <f t="shared" ca="1" si="11"/>
        <v/>
      </c>
      <c r="AV15" s="348" t="str">
        <f t="shared" ca="1" si="12"/>
        <v/>
      </c>
      <c r="AW15" s="176"/>
      <c r="AX15" s="173"/>
      <c r="AY15" s="173"/>
      <c r="AZ15" s="173"/>
      <c r="BA15" s="192" t="str">
        <f t="shared" si="13"/>
        <v>None</v>
      </c>
      <c r="BB15" s="174"/>
      <c r="BC15" s="174"/>
      <c r="BD15" s="174"/>
    </row>
    <row r="16" spans="1:56" ht="15">
      <c r="A16" s="464" t="s">
        <v>270</v>
      </c>
      <c r="B16" s="465">
        <v>5</v>
      </c>
      <c r="C16" s="491"/>
      <c r="D16" s="489"/>
      <c r="E16" s="249"/>
      <c r="F16" s="491"/>
      <c r="G16" s="495"/>
      <c r="H16" s="500"/>
      <c r="I16" s="489"/>
      <c r="J16" s="468"/>
      <c r="K16" s="276"/>
      <c r="L16" s="471"/>
      <c r="M16" s="249"/>
      <c r="N16" s="504"/>
      <c r="O16" s="507"/>
      <c r="P16" s="500"/>
      <c r="Q16" s="190"/>
      <c r="R16" s="196"/>
      <c r="S16" s="256"/>
      <c r="T16" s="178"/>
      <c r="U16" s="259"/>
      <c r="V16" s="267"/>
      <c r="W16" s="262"/>
      <c r="X16" s="270"/>
      <c r="Y16" s="322" t="str">
        <f t="shared" ca="1" si="14"/>
        <v/>
      </c>
      <c r="Z16" s="325" t="str">
        <f t="shared" ca="1" si="15"/>
        <v/>
      </c>
      <c r="AA16" s="271"/>
      <c r="AB16" s="200"/>
      <c r="AC16" s="329" t="str">
        <f t="shared" ca="1" si="1"/>
        <v/>
      </c>
      <c r="AD16" s="330" t="str">
        <f t="shared" si="16"/>
        <v/>
      </c>
      <c r="AE16" s="203"/>
      <c r="AF16" s="330" t="str">
        <f t="shared" si="2"/>
        <v/>
      </c>
      <c r="AG16" s="203"/>
      <c r="AH16" s="330" t="str">
        <f t="shared" si="3"/>
        <v/>
      </c>
      <c r="AJ16" s="334" t="str">
        <f t="shared" ca="1" si="4"/>
        <v/>
      </c>
      <c r="AK16" s="334" t="str">
        <f t="shared" ca="1" si="5"/>
        <v/>
      </c>
      <c r="AL16" s="334" t="str">
        <f t="shared" ca="1" si="6"/>
        <v/>
      </c>
      <c r="AM16" s="229" t="s">
        <v>178</v>
      </c>
      <c r="AN16" s="272"/>
      <c r="AO16" s="272"/>
      <c r="AP16" s="342" t="str">
        <f t="shared" ca="1" si="7"/>
        <v/>
      </c>
      <c r="AQ16" s="343" t="str">
        <f t="shared" ca="1" si="8"/>
        <v/>
      </c>
      <c r="AR16" s="344" t="str">
        <f t="shared" ca="1" si="0"/>
        <v/>
      </c>
      <c r="AS16" s="345" t="str">
        <f t="shared" ca="1" si="9"/>
        <v/>
      </c>
      <c r="AT16" s="346" t="str">
        <f t="shared" ca="1" si="10"/>
        <v/>
      </c>
      <c r="AU16" s="347" t="str">
        <f t="shared" ca="1" si="11"/>
        <v/>
      </c>
      <c r="AV16" s="348" t="str">
        <f t="shared" ca="1" si="12"/>
        <v/>
      </c>
      <c r="AW16" s="176"/>
      <c r="AX16" s="173"/>
      <c r="AY16" s="173"/>
      <c r="AZ16" s="173"/>
      <c r="BA16" s="192" t="str">
        <f t="shared" si="13"/>
        <v>None</v>
      </c>
      <c r="BB16" s="174"/>
      <c r="BC16" s="174"/>
      <c r="BD16" s="174"/>
    </row>
    <row r="17" spans="1:56" ht="15">
      <c r="A17" s="464" t="s">
        <v>270</v>
      </c>
      <c r="B17" s="465">
        <v>6</v>
      </c>
      <c r="C17" s="491"/>
      <c r="D17" s="489"/>
      <c r="E17" s="249"/>
      <c r="F17" s="491"/>
      <c r="G17" s="495"/>
      <c r="H17" s="498"/>
      <c r="I17" s="489"/>
      <c r="J17" s="468"/>
      <c r="K17" s="276"/>
      <c r="L17" s="471"/>
      <c r="M17" s="249"/>
      <c r="N17" s="504"/>
      <c r="O17" s="507"/>
      <c r="P17" s="500"/>
      <c r="Q17" s="190"/>
      <c r="R17" s="196"/>
      <c r="S17" s="256"/>
      <c r="T17" s="178"/>
      <c r="U17" s="259"/>
      <c r="V17" s="267"/>
      <c r="W17" s="262"/>
      <c r="X17" s="270"/>
      <c r="Y17" s="322" t="str">
        <f t="shared" ca="1" si="14"/>
        <v/>
      </c>
      <c r="Z17" s="325" t="str">
        <f t="shared" ca="1" si="15"/>
        <v/>
      </c>
      <c r="AA17" s="271"/>
      <c r="AB17" s="200"/>
      <c r="AC17" s="329" t="str">
        <f t="shared" ca="1" si="1"/>
        <v/>
      </c>
      <c r="AD17" s="330" t="str">
        <f t="shared" si="16"/>
        <v/>
      </c>
      <c r="AE17" s="203"/>
      <c r="AF17" s="330" t="str">
        <f t="shared" si="2"/>
        <v/>
      </c>
      <c r="AG17" s="203"/>
      <c r="AH17" s="330" t="str">
        <f t="shared" si="3"/>
        <v/>
      </c>
      <c r="AJ17" s="334" t="str">
        <f t="shared" ca="1" si="4"/>
        <v/>
      </c>
      <c r="AK17" s="334" t="str">
        <f t="shared" ca="1" si="5"/>
        <v/>
      </c>
      <c r="AL17" s="334" t="str">
        <f t="shared" ca="1" si="6"/>
        <v/>
      </c>
      <c r="AM17" s="229" t="s">
        <v>178</v>
      </c>
      <c r="AN17" s="272"/>
      <c r="AO17" s="272"/>
      <c r="AP17" s="342" t="str">
        <f t="shared" ca="1" si="7"/>
        <v/>
      </c>
      <c r="AQ17" s="343" t="str">
        <f t="shared" ca="1" si="8"/>
        <v/>
      </c>
      <c r="AR17" s="344" t="str">
        <f t="shared" ca="1" si="0"/>
        <v/>
      </c>
      <c r="AS17" s="345" t="str">
        <f t="shared" ca="1" si="9"/>
        <v/>
      </c>
      <c r="AT17" s="346" t="str">
        <f t="shared" ca="1" si="10"/>
        <v/>
      </c>
      <c r="AU17" s="347" t="str">
        <f t="shared" ca="1" si="11"/>
        <v/>
      </c>
      <c r="AV17" s="348" t="str">
        <f t="shared" ca="1" si="12"/>
        <v/>
      </c>
      <c r="AW17" s="176"/>
      <c r="AX17" s="173"/>
      <c r="AY17" s="173"/>
      <c r="AZ17" s="173"/>
      <c r="BA17" s="192" t="str">
        <f t="shared" si="13"/>
        <v>None</v>
      </c>
      <c r="BB17" s="174"/>
      <c r="BC17" s="174"/>
      <c r="BD17" s="174"/>
    </row>
    <row r="18" spans="1:56" ht="15">
      <c r="A18" s="464" t="s">
        <v>270</v>
      </c>
      <c r="B18" s="465">
        <v>7</v>
      </c>
      <c r="C18" s="491"/>
      <c r="D18" s="489"/>
      <c r="E18" s="249"/>
      <c r="F18" s="491"/>
      <c r="G18" s="495"/>
      <c r="H18" s="500"/>
      <c r="I18" s="489"/>
      <c r="J18" s="468"/>
      <c r="K18" s="276"/>
      <c r="L18" s="471"/>
      <c r="M18" s="249"/>
      <c r="N18" s="504"/>
      <c r="O18" s="507"/>
      <c r="P18" s="500"/>
      <c r="Q18" s="190"/>
      <c r="R18" s="196"/>
      <c r="S18" s="256"/>
      <c r="T18" s="178"/>
      <c r="U18" s="259"/>
      <c r="V18" s="267"/>
      <c r="W18" s="262"/>
      <c r="X18" s="270"/>
      <c r="Y18" s="322" t="str">
        <f t="shared" ca="1" si="14"/>
        <v/>
      </c>
      <c r="Z18" s="325" t="str">
        <f t="shared" ca="1" si="15"/>
        <v/>
      </c>
      <c r="AA18" s="271"/>
      <c r="AB18" s="200"/>
      <c r="AC18" s="329" t="str">
        <f t="shared" ca="1" si="1"/>
        <v/>
      </c>
      <c r="AD18" s="330" t="str">
        <f t="shared" si="16"/>
        <v/>
      </c>
      <c r="AE18" s="203"/>
      <c r="AF18" s="330" t="str">
        <f t="shared" si="2"/>
        <v/>
      </c>
      <c r="AG18" s="203"/>
      <c r="AH18" s="330" t="str">
        <f t="shared" si="3"/>
        <v/>
      </c>
      <c r="AJ18" s="334" t="str">
        <f t="shared" ca="1" si="4"/>
        <v/>
      </c>
      <c r="AK18" s="334" t="str">
        <f t="shared" ca="1" si="5"/>
        <v/>
      </c>
      <c r="AL18" s="334" t="str">
        <f t="shared" ca="1" si="6"/>
        <v/>
      </c>
      <c r="AM18" s="229" t="s">
        <v>178</v>
      </c>
      <c r="AN18" s="272"/>
      <c r="AO18" s="272"/>
      <c r="AP18" s="342" t="str">
        <f t="shared" ca="1" si="7"/>
        <v/>
      </c>
      <c r="AQ18" s="343" t="str">
        <f t="shared" ca="1" si="8"/>
        <v/>
      </c>
      <c r="AR18" s="344" t="str">
        <f t="shared" ca="1" si="0"/>
        <v/>
      </c>
      <c r="AS18" s="345" t="str">
        <f t="shared" ca="1" si="9"/>
        <v/>
      </c>
      <c r="AT18" s="346" t="str">
        <f t="shared" ca="1" si="10"/>
        <v/>
      </c>
      <c r="AU18" s="347" t="str">
        <f t="shared" ca="1" si="11"/>
        <v/>
      </c>
      <c r="AV18" s="348" t="str">
        <f t="shared" ca="1" si="12"/>
        <v/>
      </c>
      <c r="AW18" s="176"/>
      <c r="AX18" s="173"/>
      <c r="AY18" s="173"/>
      <c r="AZ18" s="173"/>
      <c r="BA18" s="192" t="str">
        <f t="shared" si="13"/>
        <v>None</v>
      </c>
      <c r="BB18" s="174"/>
      <c r="BC18" s="174"/>
      <c r="BD18" s="174"/>
    </row>
    <row r="19" spans="1:56" ht="15">
      <c r="A19" s="464" t="s">
        <v>270</v>
      </c>
      <c r="B19" s="465">
        <v>8</v>
      </c>
      <c r="C19" s="491"/>
      <c r="D19" s="489"/>
      <c r="E19" s="249"/>
      <c r="F19" s="491"/>
      <c r="G19" s="495"/>
      <c r="H19" s="498"/>
      <c r="I19" s="489"/>
      <c r="J19" s="468"/>
      <c r="K19" s="276"/>
      <c r="L19" s="471"/>
      <c r="M19" s="249"/>
      <c r="N19" s="504"/>
      <c r="O19" s="507"/>
      <c r="P19" s="500"/>
      <c r="Q19" s="190"/>
      <c r="R19" s="196"/>
      <c r="S19" s="256"/>
      <c r="T19" s="178"/>
      <c r="U19" s="259"/>
      <c r="V19" s="267"/>
      <c r="W19" s="262"/>
      <c r="X19" s="270"/>
      <c r="Y19" s="322" t="str">
        <f t="shared" ca="1" si="14"/>
        <v/>
      </c>
      <c r="Z19" s="325" t="str">
        <f t="shared" ca="1" si="15"/>
        <v/>
      </c>
      <c r="AA19" s="271"/>
      <c r="AB19" s="200"/>
      <c r="AC19" s="329" t="str">
        <f t="shared" ca="1" si="1"/>
        <v/>
      </c>
      <c r="AD19" s="330" t="str">
        <f t="shared" si="16"/>
        <v/>
      </c>
      <c r="AE19" s="203"/>
      <c r="AF19" s="330" t="str">
        <f t="shared" si="2"/>
        <v/>
      </c>
      <c r="AG19" s="203"/>
      <c r="AH19" s="330" t="str">
        <f t="shared" si="3"/>
        <v/>
      </c>
      <c r="AJ19" s="334" t="str">
        <f t="shared" ca="1" si="4"/>
        <v/>
      </c>
      <c r="AK19" s="334" t="str">
        <f t="shared" ca="1" si="5"/>
        <v/>
      </c>
      <c r="AL19" s="334" t="str">
        <f t="shared" ca="1" si="6"/>
        <v/>
      </c>
      <c r="AM19" s="229" t="s">
        <v>178</v>
      </c>
      <c r="AN19" s="272"/>
      <c r="AO19" s="272"/>
      <c r="AP19" s="342" t="str">
        <f t="shared" ca="1" si="7"/>
        <v/>
      </c>
      <c r="AQ19" s="343" t="str">
        <f t="shared" ca="1" si="8"/>
        <v/>
      </c>
      <c r="AR19" s="344" t="str">
        <f t="shared" ca="1" si="0"/>
        <v/>
      </c>
      <c r="AS19" s="345" t="str">
        <f t="shared" ca="1" si="9"/>
        <v/>
      </c>
      <c r="AT19" s="346" t="str">
        <f t="shared" ca="1" si="10"/>
        <v/>
      </c>
      <c r="AU19" s="347" t="str">
        <f t="shared" ca="1" si="11"/>
        <v/>
      </c>
      <c r="AV19" s="348" t="str">
        <f t="shared" ca="1" si="12"/>
        <v/>
      </c>
      <c r="AW19" s="176"/>
      <c r="AX19" s="173"/>
      <c r="AY19" s="173"/>
      <c r="AZ19" s="173"/>
      <c r="BA19" s="192" t="str">
        <f t="shared" si="13"/>
        <v>None</v>
      </c>
      <c r="BB19" s="174"/>
      <c r="BC19" s="174"/>
      <c r="BD19" s="174"/>
    </row>
    <row r="20" spans="1:56" ht="15">
      <c r="A20" s="464" t="s">
        <v>270</v>
      </c>
      <c r="B20" s="465">
        <v>9</v>
      </c>
      <c r="C20" s="491"/>
      <c r="D20" s="489"/>
      <c r="E20" s="249"/>
      <c r="F20" s="491"/>
      <c r="G20" s="495"/>
      <c r="H20" s="500"/>
      <c r="I20" s="489"/>
      <c r="J20" s="468"/>
      <c r="K20" s="276"/>
      <c r="L20" s="471"/>
      <c r="M20" s="249"/>
      <c r="N20" s="504"/>
      <c r="O20" s="507"/>
      <c r="P20" s="500"/>
      <c r="Q20" s="190"/>
      <c r="R20" s="196"/>
      <c r="S20" s="256"/>
      <c r="T20" s="178"/>
      <c r="U20" s="259"/>
      <c r="V20" s="267"/>
      <c r="W20" s="262"/>
      <c r="X20" s="270"/>
      <c r="Y20" s="322" t="str">
        <f t="shared" ca="1" si="14"/>
        <v/>
      </c>
      <c r="Z20" s="325" t="str">
        <f t="shared" ca="1" si="15"/>
        <v/>
      </c>
      <c r="AA20" s="271"/>
      <c r="AB20" s="200"/>
      <c r="AC20" s="329" t="str">
        <f t="shared" ca="1" si="1"/>
        <v/>
      </c>
      <c r="AD20" s="330" t="str">
        <f t="shared" si="16"/>
        <v/>
      </c>
      <c r="AE20" s="203"/>
      <c r="AF20" s="330" t="str">
        <f t="shared" si="2"/>
        <v/>
      </c>
      <c r="AG20" s="203"/>
      <c r="AH20" s="330" t="str">
        <f t="shared" si="3"/>
        <v/>
      </c>
      <c r="AJ20" s="334" t="str">
        <f t="shared" ca="1" si="4"/>
        <v/>
      </c>
      <c r="AK20" s="334" t="str">
        <f t="shared" ca="1" si="5"/>
        <v/>
      </c>
      <c r="AL20" s="334" t="str">
        <f t="shared" ca="1" si="6"/>
        <v/>
      </c>
      <c r="AM20" s="229" t="s">
        <v>178</v>
      </c>
      <c r="AN20" s="272"/>
      <c r="AO20" s="272"/>
      <c r="AP20" s="342" t="str">
        <f t="shared" ca="1" si="7"/>
        <v/>
      </c>
      <c r="AQ20" s="343" t="str">
        <f t="shared" ca="1" si="8"/>
        <v/>
      </c>
      <c r="AR20" s="344" t="str">
        <f t="shared" ca="1" si="0"/>
        <v/>
      </c>
      <c r="AS20" s="345" t="str">
        <f t="shared" ca="1" si="9"/>
        <v/>
      </c>
      <c r="AT20" s="346" t="str">
        <f t="shared" ca="1" si="10"/>
        <v/>
      </c>
      <c r="AU20" s="347" t="str">
        <f t="shared" ca="1" si="11"/>
        <v/>
      </c>
      <c r="AV20" s="348" t="str">
        <f t="shared" ca="1" si="12"/>
        <v/>
      </c>
      <c r="AW20" s="176"/>
      <c r="AX20" s="173"/>
      <c r="AY20" s="173"/>
      <c r="AZ20" s="173"/>
      <c r="BA20" s="192" t="str">
        <f t="shared" si="13"/>
        <v>None</v>
      </c>
      <c r="BB20" s="174"/>
      <c r="BC20" s="174"/>
      <c r="BD20" s="174"/>
    </row>
    <row r="21" spans="1:56" ht="15">
      <c r="A21" s="464" t="s">
        <v>270</v>
      </c>
      <c r="B21" s="465">
        <v>10</v>
      </c>
      <c r="C21" s="491"/>
      <c r="D21" s="489"/>
      <c r="E21" s="249"/>
      <c r="F21" s="491"/>
      <c r="G21" s="495"/>
      <c r="H21" s="498"/>
      <c r="I21" s="489"/>
      <c r="J21" s="468"/>
      <c r="K21" s="276"/>
      <c r="L21" s="471"/>
      <c r="M21" s="249"/>
      <c r="N21" s="504"/>
      <c r="O21" s="507"/>
      <c r="P21" s="500"/>
      <c r="Q21" s="190"/>
      <c r="R21" s="196"/>
      <c r="S21" s="256"/>
      <c r="T21" s="178"/>
      <c r="U21" s="259"/>
      <c r="V21" s="267"/>
      <c r="W21" s="262"/>
      <c r="X21" s="270"/>
      <c r="Y21" s="322" t="str">
        <f t="shared" ca="1" si="14"/>
        <v/>
      </c>
      <c r="Z21" s="325" t="str">
        <f t="shared" ca="1" si="15"/>
        <v/>
      </c>
      <c r="AA21" s="271"/>
      <c r="AB21" s="200"/>
      <c r="AC21" s="329" t="str">
        <f t="shared" ca="1" si="1"/>
        <v/>
      </c>
      <c r="AD21" s="330" t="str">
        <f t="shared" si="16"/>
        <v/>
      </c>
      <c r="AE21" s="203"/>
      <c r="AF21" s="330" t="str">
        <f t="shared" si="2"/>
        <v/>
      </c>
      <c r="AG21" s="203"/>
      <c r="AH21" s="330" t="str">
        <f t="shared" si="3"/>
        <v/>
      </c>
      <c r="AJ21" s="334" t="str">
        <f t="shared" ca="1" si="4"/>
        <v/>
      </c>
      <c r="AK21" s="334" t="str">
        <f t="shared" ca="1" si="5"/>
        <v/>
      </c>
      <c r="AL21" s="334" t="str">
        <f t="shared" ca="1" si="6"/>
        <v/>
      </c>
      <c r="AM21" s="229" t="s">
        <v>178</v>
      </c>
      <c r="AN21" s="272"/>
      <c r="AO21" s="272"/>
      <c r="AP21" s="342" t="str">
        <f t="shared" ca="1" si="7"/>
        <v/>
      </c>
      <c r="AQ21" s="343" t="str">
        <f t="shared" ca="1" si="8"/>
        <v/>
      </c>
      <c r="AR21" s="344" t="str">
        <f t="shared" ca="1" si="0"/>
        <v/>
      </c>
      <c r="AS21" s="345" t="str">
        <f t="shared" ca="1" si="9"/>
        <v/>
      </c>
      <c r="AT21" s="346" t="str">
        <f t="shared" ca="1" si="10"/>
        <v/>
      </c>
      <c r="AU21" s="347" t="str">
        <f t="shared" ca="1" si="11"/>
        <v/>
      </c>
      <c r="AV21" s="348" t="str">
        <f t="shared" ca="1" si="12"/>
        <v/>
      </c>
      <c r="AW21" s="176"/>
      <c r="AX21" s="173"/>
      <c r="AY21" s="173"/>
      <c r="AZ21" s="173"/>
      <c r="BA21" s="192" t="str">
        <f t="shared" si="13"/>
        <v>None</v>
      </c>
      <c r="BB21" s="174"/>
      <c r="BC21" s="174"/>
      <c r="BD21" s="174"/>
    </row>
    <row r="22" spans="1:56" ht="15">
      <c r="A22" s="464" t="s">
        <v>270</v>
      </c>
      <c r="B22" s="465">
        <v>11</v>
      </c>
      <c r="C22" s="491"/>
      <c r="D22" s="489"/>
      <c r="E22" s="249"/>
      <c r="F22" s="491"/>
      <c r="G22" s="495"/>
      <c r="H22" s="500"/>
      <c r="I22" s="489"/>
      <c r="J22" s="468"/>
      <c r="K22" s="276"/>
      <c r="L22" s="471"/>
      <c r="M22" s="249"/>
      <c r="N22" s="504"/>
      <c r="O22" s="507"/>
      <c r="P22" s="500"/>
      <c r="Q22" s="190"/>
      <c r="R22" s="196"/>
      <c r="S22" s="256"/>
      <c r="T22" s="178"/>
      <c r="U22" s="259"/>
      <c r="V22" s="267"/>
      <c r="W22" s="262"/>
      <c r="X22" s="270"/>
      <c r="Y22" s="322" t="str">
        <f t="shared" ca="1" si="14"/>
        <v/>
      </c>
      <c r="Z22" s="325" t="str">
        <f t="shared" ca="1" si="15"/>
        <v/>
      </c>
      <c r="AA22" s="271"/>
      <c r="AB22" s="200"/>
      <c r="AC22" s="329" t="str">
        <f t="shared" ca="1" si="1"/>
        <v/>
      </c>
      <c r="AD22" s="330" t="str">
        <f t="shared" si="16"/>
        <v/>
      </c>
      <c r="AE22" s="203"/>
      <c r="AF22" s="330" t="str">
        <f t="shared" si="2"/>
        <v/>
      </c>
      <c r="AG22" s="203"/>
      <c r="AH22" s="330" t="str">
        <f t="shared" si="3"/>
        <v/>
      </c>
      <c r="AJ22" s="334" t="str">
        <f t="shared" ca="1" si="4"/>
        <v/>
      </c>
      <c r="AK22" s="334" t="str">
        <f t="shared" ca="1" si="5"/>
        <v/>
      </c>
      <c r="AL22" s="334" t="str">
        <f t="shared" ca="1" si="6"/>
        <v/>
      </c>
      <c r="AM22" s="229" t="s">
        <v>178</v>
      </c>
      <c r="AN22" s="272"/>
      <c r="AO22" s="272"/>
      <c r="AP22" s="342" t="str">
        <f t="shared" ca="1" si="7"/>
        <v/>
      </c>
      <c r="AQ22" s="343" t="str">
        <f t="shared" ca="1" si="8"/>
        <v/>
      </c>
      <c r="AR22" s="344" t="str">
        <f t="shared" ca="1" si="0"/>
        <v/>
      </c>
      <c r="AS22" s="345" t="str">
        <f t="shared" ca="1" si="9"/>
        <v/>
      </c>
      <c r="AT22" s="346" t="str">
        <f t="shared" ca="1" si="10"/>
        <v/>
      </c>
      <c r="AU22" s="347" t="str">
        <f t="shared" ca="1" si="11"/>
        <v/>
      </c>
      <c r="AV22" s="348" t="str">
        <f t="shared" ca="1" si="12"/>
        <v/>
      </c>
      <c r="AW22" s="176"/>
      <c r="AX22" s="173"/>
      <c r="AY22" s="173"/>
      <c r="AZ22" s="173"/>
      <c r="BA22" s="192" t="str">
        <f t="shared" si="13"/>
        <v>None</v>
      </c>
      <c r="BB22" s="174"/>
      <c r="BC22" s="174"/>
      <c r="BD22" s="174"/>
    </row>
    <row r="23" spans="1:56" ht="15">
      <c r="A23" s="464" t="s">
        <v>270</v>
      </c>
      <c r="B23" s="465">
        <v>12</v>
      </c>
      <c r="C23" s="491"/>
      <c r="D23" s="489"/>
      <c r="E23" s="249"/>
      <c r="F23" s="491"/>
      <c r="G23" s="495"/>
      <c r="H23" s="500"/>
      <c r="I23" s="489"/>
      <c r="J23" s="468"/>
      <c r="K23" s="276"/>
      <c r="L23" s="471"/>
      <c r="M23" s="249"/>
      <c r="N23" s="504"/>
      <c r="O23" s="507"/>
      <c r="P23" s="500"/>
      <c r="Q23" s="190"/>
      <c r="R23" s="196"/>
      <c r="S23" s="256"/>
      <c r="T23" s="178"/>
      <c r="U23" s="259"/>
      <c r="V23" s="267"/>
      <c r="W23" s="262"/>
      <c r="X23" s="270"/>
      <c r="Y23" s="322" t="str">
        <f t="shared" ca="1" si="14"/>
        <v/>
      </c>
      <c r="Z23" s="325" t="str">
        <f t="shared" ca="1" si="15"/>
        <v/>
      </c>
      <c r="AA23" s="271"/>
      <c r="AB23" s="200"/>
      <c r="AC23" s="329" t="str">
        <f t="shared" ca="1" si="1"/>
        <v/>
      </c>
      <c r="AD23" s="330" t="str">
        <f t="shared" si="16"/>
        <v/>
      </c>
      <c r="AE23" s="203"/>
      <c r="AF23" s="330" t="str">
        <f t="shared" si="2"/>
        <v/>
      </c>
      <c r="AG23" s="203"/>
      <c r="AH23" s="330" t="str">
        <f t="shared" si="3"/>
        <v/>
      </c>
      <c r="AJ23" s="334" t="str">
        <f t="shared" ca="1" si="4"/>
        <v/>
      </c>
      <c r="AK23" s="334" t="str">
        <f t="shared" ca="1" si="5"/>
        <v/>
      </c>
      <c r="AL23" s="334" t="str">
        <f t="shared" ca="1" si="6"/>
        <v/>
      </c>
      <c r="AM23" s="229" t="s">
        <v>178</v>
      </c>
      <c r="AN23" s="272"/>
      <c r="AO23" s="272"/>
      <c r="AP23" s="342" t="str">
        <f t="shared" ca="1" si="7"/>
        <v/>
      </c>
      <c r="AQ23" s="343" t="str">
        <f t="shared" ca="1" si="8"/>
        <v/>
      </c>
      <c r="AR23" s="344" t="str">
        <f t="shared" ca="1" si="0"/>
        <v/>
      </c>
      <c r="AS23" s="345" t="str">
        <f t="shared" ca="1" si="9"/>
        <v/>
      </c>
      <c r="AT23" s="346" t="str">
        <f t="shared" ca="1" si="10"/>
        <v/>
      </c>
      <c r="AU23" s="347" t="str">
        <f t="shared" ca="1" si="11"/>
        <v/>
      </c>
      <c r="AV23" s="348" t="str">
        <f t="shared" ca="1" si="12"/>
        <v/>
      </c>
      <c r="AW23" s="176"/>
      <c r="AX23" s="173"/>
      <c r="AY23" s="173"/>
      <c r="AZ23" s="173"/>
      <c r="BA23" s="192" t="str">
        <f t="shared" si="13"/>
        <v>None</v>
      </c>
      <c r="BB23" s="174"/>
      <c r="BC23" s="174"/>
      <c r="BD23" s="174"/>
    </row>
    <row r="24" spans="1:56" ht="15">
      <c r="A24" s="464" t="s">
        <v>270</v>
      </c>
      <c r="B24" s="465">
        <v>13</v>
      </c>
      <c r="C24" s="491"/>
      <c r="D24" s="489"/>
      <c r="E24" s="249"/>
      <c r="F24" s="491"/>
      <c r="G24" s="495"/>
      <c r="H24" s="500"/>
      <c r="I24" s="489"/>
      <c r="J24" s="468"/>
      <c r="K24" s="276"/>
      <c r="L24" s="471"/>
      <c r="M24" s="249"/>
      <c r="N24" s="504"/>
      <c r="O24" s="507"/>
      <c r="P24" s="500"/>
      <c r="Q24" s="190"/>
      <c r="R24" s="196"/>
      <c r="S24" s="256"/>
      <c r="T24" s="178"/>
      <c r="U24" s="259"/>
      <c r="V24" s="267" t="str">
        <f t="shared" ref="V24:V31" si="17">IF(AND(F24="Fixed",N24="Floating"),"PayOnly",IF(AND(F24="Floating",N24="Fixed"),"ReceiveOnly",IF(OR(AND(F24="Fixed",N24="Fixed"),AND(F24="Floating",N24="Floating")),"PayAndReceive","NoneOnly")))</f>
        <v>NoneOnly</v>
      </c>
      <c r="W24" s="262" t="s">
        <v>7</v>
      </c>
      <c r="X24" s="270"/>
      <c r="Y24" s="322" t="str">
        <f t="shared" ca="1" si="14"/>
        <v/>
      </c>
      <c r="Z24" s="325" t="str">
        <f t="shared" ca="1" si="15"/>
        <v/>
      </c>
      <c r="AA24" s="271"/>
      <c r="AB24" s="200"/>
      <c r="AC24" s="329" t="str">
        <f t="shared" ca="1" si="1"/>
        <v/>
      </c>
      <c r="AD24" s="330" t="str">
        <f t="shared" si="16"/>
        <v/>
      </c>
      <c r="AE24" s="203"/>
      <c r="AF24" s="330" t="str">
        <f t="shared" si="2"/>
        <v/>
      </c>
      <c r="AG24" s="203"/>
      <c r="AH24" s="330" t="str">
        <f t="shared" si="3"/>
        <v/>
      </c>
      <c r="AJ24" s="334" t="str">
        <f t="shared" ca="1" si="4"/>
        <v/>
      </c>
      <c r="AK24" s="334" t="str">
        <f t="shared" ca="1" si="5"/>
        <v/>
      </c>
      <c r="AL24" s="334" t="str">
        <f t="shared" ca="1" si="6"/>
        <v/>
      </c>
      <c r="AM24" s="229" t="s">
        <v>178</v>
      </c>
      <c r="AN24" s="272"/>
      <c r="AO24" s="272"/>
      <c r="AP24" s="342" t="str">
        <f t="shared" ca="1" si="7"/>
        <v/>
      </c>
      <c r="AQ24" s="343" t="str">
        <f t="shared" ca="1" si="8"/>
        <v/>
      </c>
      <c r="AR24" s="344" t="str">
        <f t="shared" ca="1" si="0"/>
        <v/>
      </c>
      <c r="AS24" s="345" t="str">
        <f t="shared" ca="1" si="9"/>
        <v/>
      </c>
      <c r="AT24" s="346" t="str">
        <f t="shared" ca="1" si="10"/>
        <v/>
      </c>
      <c r="AU24" s="347" t="str">
        <f t="shared" ca="1" si="11"/>
        <v/>
      </c>
      <c r="AV24" s="348" t="str">
        <f t="shared" ca="1" si="12"/>
        <v/>
      </c>
      <c r="AW24" s="176"/>
      <c r="AX24" s="173"/>
      <c r="AY24" s="173"/>
      <c r="AZ24" s="173"/>
      <c r="BA24" s="192" t="str">
        <f t="shared" si="13"/>
        <v>None</v>
      </c>
      <c r="BB24" s="174"/>
      <c r="BC24" s="174"/>
      <c r="BD24" s="174"/>
    </row>
    <row r="25" spans="1:56" ht="15">
      <c r="A25" s="464" t="s">
        <v>270</v>
      </c>
      <c r="B25" s="465">
        <v>14</v>
      </c>
      <c r="C25" s="491"/>
      <c r="D25" s="489"/>
      <c r="E25" s="249"/>
      <c r="F25" s="491"/>
      <c r="G25" s="495"/>
      <c r="H25" s="500"/>
      <c r="I25" s="489"/>
      <c r="J25" s="468"/>
      <c r="K25" s="276"/>
      <c r="L25" s="471"/>
      <c r="M25" s="249"/>
      <c r="N25" s="504"/>
      <c r="O25" s="507"/>
      <c r="P25" s="500"/>
      <c r="Q25" s="190"/>
      <c r="R25" s="196"/>
      <c r="S25" s="256"/>
      <c r="T25" s="178"/>
      <c r="U25" s="259"/>
      <c r="V25" s="267" t="str">
        <f t="shared" si="17"/>
        <v>NoneOnly</v>
      </c>
      <c r="W25" s="262" t="s">
        <v>7</v>
      </c>
      <c r="X25" s="270"/>
      <c r="Y25" s="322" t="str">
        <f t="shared" ca="1" si="14"/>
        <v/>
      </c>
      <c r="Z25" s="325" t="str">
        <f t="shared" ca="1" si="15"/>
        <v/>
      </c>
      <c r="AA25" s="271"/>
      <c r="AB25" s="200"/>
      <c r="AC25" s="329" t="str">
        <f t="shared" ca="1" si="1"/>
        <v/>
      </c>
      <c r="AD25" s="330" t="str">
        <f t="shared" si="16"/>
        <v/>
      </c>
      <c r="AE25" s="203"/>
      <c r="AF25" s="330" t="str">
        <f t="shared" si="2"/>
        <v/>
      </c>
      <c r="AG25" s="203"/>
      <c r="AH25" s="330" t="str">
        <f t="shared" si="3"/>
        <v/>
      </c>
      <c r="AJ25" s="334" t="str">
        <f t="shared" ca="1" si="4"/>
        <v/>
      </c>
      <c r="AK25" s="334" t="str">
        <f t="shared" ca="1" si="5"/>
        <v/>
      </c>
      <c r="AL25" s="334" t="str">
        <f t="shared" ca="1" si="6"/>
        <v/>
      </c>
      <c r="AM25" s="229" t="s">
        <v>178</v>
      </c>
      <c r="AN25" s="272"/>
      <c r="AO25" s="272"/>
      <c r="AP25" s="342" t="str">
        <f t="shared" ca="1" si="7"/>
        <v/>
      </c>
      <c r="AQ25" s="343" t="str">
        <f t="shared" ca="1" si="8"/>
        <v/>
      </c>
      <c r="AR25" s="344" t="str">
        <f t="shared" ca="1" si="0"/>
        <v/>
      </c>
      <c r="AS25" s="345" t="str">
        <f t="shared" ca="1" si="9"/>
        <v/>
      </c>
      <c r="AT25" s="346" t="str">
        <f t="shared" ca="1" si="10"/>
        <v/>
      </c>
      <c r="AU25" s="347" t="str">
        <f t="shared" ca="1" si="11"/>
        <v/>
      </c>
      <c r="AV25" s="348" t="str">
        <f t="shared" ca="1" si="12"/>
        <v/>
      </c>
      <c r="AW25" s="176"/>
      <c r="AX25" s="173"/>
      <c r="AY25" s="173"/>
      <c r="AZ25" s="173"/>
      <c r="BA25" s="192" t="str">
        <f t="shared" si="13"/>
        <v>None</v>
      </c>
      <c r="BB25" s="174"/>
      <c r="BC25" s="174"/>
      <c r="BD25" s="174"/>
    </row>
    <row r="26" spans="1:56" ht="15">
      <c r="A26" s="464" t="s">
        <v>270</v>
      </c>
      <c r="B26" s="465">
        <v>15</v>
      </c>
      <c r="C26" s="491"/>
      <c r="D26" s="489"/>
      <c r="E26" s="249"/>
      <c r="F26" s="491"/>
      <c r="G26" s="495"/>
      <c r="H26" s="500"/>
      <c r="I26" s="489"/>
      <c r="J26" s="468"/>
      <c r="K26" s="276"/>
      <c r="L26" s="471"/>
      <c r="M26" s="249"/>
      <c r="N26" s="504"/>
      <c r="O26" s="507"/>
      <c r="P26" s="500"/>
      <c r="Q26" s="190"/>
      <c r="R26" s="196"/>
      <c r="S26" s="256"/>
      <c r="T26" s="178"/>
      <c r="U26" s="259"/>
      <c r="V26" s="267" t="str">
        <f t="shared" si="17"/>
        <v>NoneOnly</v>
      </c>
      <c r="W26" s="262" t="s">
        <v>7</v>
      </c>
      <c r="X26" s="270"/>
      <c r="Y26" s="322" t="str">
        <f t="shared" ca="1" si="14"/>
        <v/>
      </c>
      <c r="Z26" s="325" t="str">
        <f t="shared" ca="1" si="15"/>
        <v/>
      </c>
      <c r="AA26" s="271"/>
      <c r="AB26" s="200"/>
      <c r="AC26" s="329" t="str">
        <f t="shared" ca="1" si="1"/>
        <v/>
      </c>
      <c r="AD26" s="330" t="str">
        <f t="shared" si="16"/>
        <v/>
      </c>
      <c r="AE26" s="203"/>
      <c r="AF26" s="330" t="str">
        <f t="shared" si="2"/>
        <v/>
      </c>
      <c r="AG26" s="203"/>
      <c r="AH26" s="330" t="str">
        <f t="shared" si="3"/>
        <v/>
      </c>
      <c r="AJ26" s="334" t="str">
        <f t="shared" ca="1" si="4"/>
        <v/>
      </c>
      <c r="AK26" s="334" t="str">
        <f t="shared" ca="1" si="5"/>
        <v/>
      </c>
      <c r="AL26" s="334" t="str">
        <f t="shared" ca="1" si="6"/>
        <v/>
      </c>
      <c r="AM26" s="229" t="s">
        <v>178</v>
      </c>
      <c r="AN26" s="272"/>
      <c r="AO26" s="272"/>
      <c r="AP26" s="342" t="str">
        <f t="shared" ca="1" si="7"/>
        <v/>
      </c>
      <c r="AQ26" s="343" t="str">
        <f t="shared" ca="1" si="8"/>
        <v/>
      </c>
      <c r="AR26" s="344" t="str">
        <f t="shared" ca="1" si="0"/>
        <v/>
      </c>
      <c r="AS26" s="345" t="str">
        <f t="shared" ca="1" si="9"/>
        <v/>
      </c>
      <c r="AT26" s="346" t="str">
        <f t="shared" ca="1" si="10"/>
        <v/>
      </c>
      <c r="AU26" s="347" t="str">
        <f t="shared" ca="1" si="11"/>
        <v/>
      </c>
      <c r="AV26" s="348" t="str">
        <f t="shared" ca="1" si="12"/>
        <v/>
      </c>
      <c r="AW26" s="176"/>
      <c r="AX26" s="173"/>
      <c r="AY26" s="173"/>
      <c r="AZ26" s="173"/>
      <c r="BA26" s="192" t="str">
        <f t="shared" si="13"/>
        <v>None</v>
      </c>
      <c r="BB26" s="174"/>
      <c r="BC26" s="174"/>
      <c r="BD26" s="174"/>
    </row>
    <row r="27" spans="1:56" ht="15">
      <c r="A27" s="464" t="s">
        <v>270</v>
      </c>
      <c r="B27" s="465">
        <v>16</v>
      </c>
      <c r="C27" s="491"/>
      <c r="D27" s="274"/>
      <c r="E27" s="249"/>
      <c r="F27" s="492"/>
      <c r="G27" s="496"/>
      <c r="H27" s="501"/>
      <c r="I27" s="274"/>
      <c r="J27" s="468"/>
      <c r="K27" s="276"/>
      <c r="L27" s="471"/>
      <c r="M27" s="249"/>
      <c r="N27" s="504"/>
      <c r="O27" s="507"/>
      <c r="P27" s="504"/>
      <c r="Q27" s="190"/>
      <c r="R27" s="196"/>
      <c r="S27" s="256"/>
      <c r="T27" s="178"/>
      <c r="U27" s="259"/>
      <c r="V27" s="267" t="str">
        <f t="shared" si="17"/>
        <v>NoneOnly</v>
      </c>
      <c r="W27" s="262"/>
      <c r="X27" s="270"/>
      <c r="Y27" s="322" t="str">
        <f t="shared" ca="1" si="14"/>
        <v/>
      </c>
      <c r="Z27" s="325" t="str">
        <f t="shared" ca="1" si="15"/>
        <v/>
      </c>
      <c r="AA27" s="271"/>
      <c r="AB27" s="200"/>
      <c r="AC27" s="329" t="str">
        <f t="shared" ca="1" si="1"/>
        <v/>
      </c>
      <c r="AD27" s="330" t="str">
        <f t="shared" si="16"/>
        <v/>
      </c>
      <c r="AE27" s="203"/>
      <c r="AF27" s="330" t="str">
        <f t="shared" si="2"/>
        <v/>
      </c>
      <c r="AG27" s="203"/>
      <c r="AH27" s="330" t="str">
        <f t="shared" si="3"/>
        <v/>
      </c>
      <c r="AJ27" s="334" t="str">
        <f t="shared" ca="1" si="4"/>
        <v/>
      </c>
      <c r="AK27" s="334" t="str">
        <f t="shared" ca="1" si="5"/>
        <v/>
      </c>
      <c r="AL27" s="334" t="str">
        <f t="shared" ca="1" si="6"/>
        <v/>
      </c>
      <c r="AM27" s="229" t="s">
        <v>178</v>
      </c>
      <c r="AN27" s="272"/>
      <c r="AO27" s="272"/>
      <c r="AP27" s="342" t="str">
        <f t="shared" ca="1" si="7"/>
        <v/>
      </c>
      <c r="AQ27" s="343" t="str">
        <f t="shared" ca="1" si="8"/>
        <v/>
      </c>
      <c r="AR27" s="344" t="str">
        <f t="shared" ca="1" si="0"/>
        <v/>
      </c>
      <c r="AS27" s="345" t="str">
        <f t="shared" ca="1" si="9"/>
        <v/>
      </c>
      <c r="AT27" s="346" t="str">
        <f t="shared" ca="1" si="10"/>
        <v/>
      </c>
      <c r="AU27" s="347" t="str">
        <f t="shared" ca="1" si="11"/>
        <v/>
      </c>
      <c r="AV27" s="348" t="str">
        <f t="shared" ca="1" si="12"/>
        <v/>
      </c>
      <c r="AW27" s="176"/>
      <c r="AX27" s="173"/>
      <c r="AY27" s="173"/>
      <c r="AZ27" s="173"/>
      <c r="BA27" s="192" t="str">
        <f t="shared" si="13"/>
        <v>None</v>
      </c>
      <c r="BB27" s="174"/>
      <c r="BC27" s="174"/>
      <c r="BD27" s="174"/>
    </row>
    <row r="28" spans="1:56" ht="15">
      <c r="A28" s="464" t="s">
        <v>270</v>
      </c>
      <c r="B28" s="465">
        <v>17</v>
      </c>
      <c r="C28" s="492"/>
      <c r="D28" s="274"/>
      <c r="E28" s="249"/>
      <c r="F28" s="492"/>
      <c r="G28" s="496"/>
      <c r="H28" s="501"/>
      <c r="I28" s="274"/>
      <c r="J28" s="468"/>
      <c r="K28" s="276"/>
      <c r="L28" s="471"/>
      <c r="M28" s="249"/>
      <c r="N28" s="504"/>
      <c r="O28" s="507"/>
      <c r="P28" s="504"/>
      <c r="Q28" s="190"/>
      <c r="R28" s="196"/>
      <c r="S28" s="256"/>
      <c r="T28" s="178"/>
      <c r="U28" s="259"/>
      <c r="V28" s="267" t="str">
        <f t="shared" si="17"/>
        <v>NoneOnly</v>
      </c>
      <c r="W28" s="262"/>
      <c r="X28" s="270"/>
      <c r="Y28" s="322" t="str">
        <f t="shared" ca="1" si="14"/>
        <v/>
      </c>
      <c r="Z28" s="325" t="str">
        <f t="shared" ca="1" si="15"/>
        <v/>
      </c>
      <c r="AA28" s="271"/>
      <c r="AB28" s="200"/>
      <c r="AC28" s="329" t="str">
        <f t="shared" ca="1" si="1"/>
        <v/>
      </c>
      <c r="AD28" s="330" t="str">
        <f t="shared" si="16"/>
        <v/>
      </c>
      <c r="AE28" s="203"/>
      <c r="AF28" s="330" t="str">
        <f t="shared" si="2"/>
        <v/>
      </c>
      <c r="AG28" s="203"/>
      <c r="AH28" s="330" t="str">
        <f t="shared" si="3"/>
        <v/>
      </c>
      <c r="AJ28" s="334" t="str">
        <f t="shared" ca="1" si="4"/>
        <v/>
      </c>
      <c r="AK28" s="334" t="str">
        <f t="shared" ca="1" si="5"/>
        <v/>
      </c>
      <c r="AL28" s="334" t="str">
        <f t="shared" ca="1" si="6"/>
        <v/>
      </c>
      <c r="AM28" s="229" t="s">
        <v>178</v>
      </c>
      <c r="AN28" s="272"/>
      <c r="AO28" s="272"/>
      <c r="AP28" s="342" t="str">
        <f t="shared" ca="1" si="7"/>
        <v/>
      </c>
      <c r="AQ28" s="343" t="str">
        <f t="shared" ca="1" si="8"/>
        <v/>
      </c>
      <c r="AR28" s="344" t="str">
        <f t="shared" ca="1" si="0"/>
        <v/>
      </c>
      <c r="AS28" s="345" t="str">
        <f t="shared" ca="1" si="9"/>
        <v/>
      </c>
      <c r="AT28" s="346" t="str">
        <f t="shared" ca="1" si="10"/>
        <v/>
      </c>
      <c r="AU28" s="347" t="str">
        <f t="shared" ca="1" si="11"/>
        <v/>
      </c>
      <c r="AV28" s="348" t="str">
        <f t="shared" ca="1" si="12"/>
        <v/>
      </c>
      <c r="AW28" s="176"/>
      <c r="AX28" s="173"/>
      <c r="AY28" s="173"/>
      <c r="AZ28" s="173"/>
      <c r="BA28" s="192" t="str">
        <f t="shared" si="13"/>
        <v>None</v>
      </c>
      <c r="BB28" s="174"/>
      <c r="BC28" s="174"/>
      <c r="BD28" s="174"/>
    </row>
    <row r="29" spans="1:56" ht="15">
      <c r="A29" s="464" t="s">
        <v>270</v>
      </c>
      <c r="B29" s="465">
        <v>18</v>
      </c>
      <c r="C29" s="492"/>
      <c r="D29" s="274"/>
      <c r="E29" s="249"/>
      <c r="F29" s="492"/>
      <c r="G29" s="496"/>
      <c r="H29" s="501"/>
      <c r="I29" s="274"/>
      <c r="J29" s="468"/>
      <c r="K29" s="276"/>
      <c r="L29" s="471"/>
      <c r="M29" s="249"/>
      <c r="N29" s="504"/>
      <c r="O29" s="507"/>
      <c r="P29" s="504"/>
      <c r="Q29" s="190"/>
      <c r="R29" s="196"/>
      <c r="S29" s="256"/>
      <c r="T29" s="178"/>
      <c r="U29" s="259"/>
      <c r="V29" s="267" t="str">
        <f t="shared" si="17"/>
        <v>NoneOnly</v>
      </c>
      <c r="W29" s="262"/>
      <c r="X29" s="270"/>
      <c r="Y29" s="322" t="str">
        <f t="shared" ca="1" si="14"/>
        <v/>
      </c>
      <c r="Z29" s="325" t="str">
        <f t="shared" ca="1" si="15"/>
        <v/>
      </c>
      <c r="AA29" s="271"/>
      <c r="AB29" s="200"/>
      <c r="AC29" s="329" t="str">
        <f t="shared" ca="1" si="1"/>
        <v/>
      </c>
      <c r="AD29" s="330" t="str">
        <f t="shared" si="16"/>
        <v/>
      </c>
      <c r="AE29" s="203"/>
      <c r="AF29" s="330" t="str">
        <f t="shared" si="2"/>
        <v/>
      </c>
      <c r="AG29" s="203"/>
      <c r="AH29" s="330" t="str">
        <f t="shared" si="3"/>
        <v/>
      </c>
      <c r="AJ29" s="334" t="str">
        <f t="shared" ca="1" si="4"/>
        <v/>
      </c>
      <c r="AK29" s="334" t="str">
        <f t="shared" ca="1" si="5"/>
        <v/>
      </c>
      <c r="AL29" s="334" t="str">
        <f t="shared" ca="1" si="6"/>
        <v/>
      </c>
      <c r="AM29" s="229" t="s">
        <v>178</v>
      </c>
      <c r="AN29" s="272"/>
      <c r="AO29" s="272"/>
      <c r="AP29" s="342" t="str">
        <f t="shared" ca="1" si="7"/>
        <v/>
      </c>
      <c r="AQ29" s="343" t="str">
        <f t="shared" ca="1" si="8"/>
        <v/>
      </c>
      <c r="AR29" s="344" t="str">
        <f t="shared" ca="1" si="0"/>
        <v/>
      </c>
      <c r="AS29" s="345" t="str">
        <f t="shared" ca="1" si="9"/>
        <v/>
      </c>
      <c r="AT29" s="346" t="str">
        <f t="shared" ca="1" si="10"/>
        <v/>
      </c>
      <c r="AU29" s="347" t="str">
        <f t="shared" ca="1" si="11"/>
        <v/>
      </c>
      <c r="AV29" s="348" t="str">
        <f t="shared" ca="1" si="12"/>
        <v/>
      </c>
      <c r="AW29" s="176"/>
      <c r="AX29" s="173"/>
      <c r="AY29" s="173"/>
      <c r="AZ29" s="173"/>
      <c r="BA29" s="192" t="str">
        <f t="shared" si="13"/>
        <v>None</v>
      </c>
      <c r="BB29" s="174"/>
      <c r="BC29" s="174"/>
      <c r="BD29" s="174"/>
    </row>
    <row r="30" spans="1:56" ht="15">
      <c r="A30" s="464" t="s">
        <v>270</v>
      </c>
      <c r="B30" s="465">
        <v>19</v>
      </c>
      <c r="C30" s="492"/>
      <c r="D30" s="274"/>
      <c r="E30" s="249"/>
      <c r="F30" s="492"/>
      <c r="G30" s="496"/>
      <c r="H30" s="501"/>
      <c r="I30" s="274"/>
      <c r="J30" s="468"/>
      <c r="K30" s="276"/>
      <c r="L30" s="471"/>
      <c r="M30" s="249"/>
      <c r="N30" s="504"/>
      <c r="O30" s="507"/>
      <c r="P30" s="504"/>
      <c r="Q30" s="190"/>
      <c r="R30" s="196"/>
      <c r="S30" s="256"/>
      <c r="T30" s="178"/>
      <c r="U30" s="259"/>
      <c r="V30" s="267" t="str">
        <f t="shared" si="17"/>
        <v>NoneOnly</v>
      </c>
      <c r="W30" s="262"/>
      <c r="X30" s="270"/>
      <c r="Y30" s="322" t="str">
        <f t="shared" ca="1" si="14"/>
        <v/>
      </c>
      <c r="Z30" s="325" t="str">
        <f t="shared" ca="1" si="15"/>
        <v/>
      </c>
      <c r="AA30" s="271"/>
      <c r="AB30" s="200"/>
      <c r="AC30" s="329" t="str">
        <f t="shared" ca="1" si="1"/>
        <v/>
      </c>
      <c r="AD30" s="330" t="str">
        <f t="shared" si="16"/>
        <v/>
      </c>
      <c r="AE30" s="203"/>
      <c r="AF30" s="330" t="str">
        <f t="shared" si="2"/>
        <v/>
      </c>
      <c r="AG30" s="203"/>
      <c r="AH30" s="330" t="str">
        <f t="shared" si="3"/>
        <v/>
      </c>
      <c r="AJ30" s="334" t="str">
        <f t="shared" ca="1" si="4"/>
        <v/>
      </c>
      <c r="AK30" s="334" t="str">
        <f t="shared" ca="1" si="5"/>
        <v/>
      </c>
      <c r="AL30" s="334" t="str">
        <f t="shared" ca="1" si="6"/>
        <v/>
      </c>
      <c r="AM30" s="229" t="s">
        <v>178</v>
      </c>
      <c r="AN30" s="272"/>
      <c r="AO30" s="272"/>
      <c r="AP30" s="342" t="str">
        <f t="shared" ca="1" si="7"/>
        <v/>
      </c>
      <c r="AQ30" s="343" t="str">
        <f t="shared" ca="1" si="8"/>
        <v/>
      </c>
      <c r="AR30" s="344" t="str">
        <f t="shared" ca="1" si="0"/>
        <v/>
      </c>
      <c r="AS30" s="345" t="str">
        <f t="shared" ca="1" si="9"/>
        <v/>
      </c>
      <c r="AT30" s="346" t="str">
        <f t="shared" ca="1" si="10"/>
        <v/>
      </c>
      <c r="AU30" s="347" t="str">
        <f t="shared" ca="1" si="11"/>
        <v/>
      </c>
      <c r="AV30" s="348" t="str">
        <f t="shared" ca="1" si="12"/>
        <v/>
      </c>
      <c r="AW30" s="176"/>
      <c r="AX30" s="173"/>
      <c r="AY30" s="173"/>
      <c r="AZ30" s="173"/>
      <c r="BA30" s="192" t="str">
        <f t="shared" si="13"/>
        <v>None</v>
      </c>
      <c r="BB30" s="174"/>
      <c r="BC30" s="174"/>
      <c r="BD30" s="174"/>
    </row>
    <row r="31" spans="1:56" ht="15">
      <c r="A31" s="464" t="s">
        <v>270</v>
      </c>
      <c r="B31" s="465">
        <v>20</v>
      </c>
      <c r="C31" s="493"/>
      <c r="D31" s="275"/>
      <c r="E31" s="249"/>
      <c r="F31" s="493"/>
      <c r="G31" s="497"/>
      <c r="H31" s="502"/>
      <c r="I31" s="275"/>
      <c r="J31" s="469"/>
      <c r="K31" s="277"/>
      <c r="L31" s="472"/>
      <c r="M31" s="249"/>
      <c r="N31" s="505"/>
      <c r="O31" s="508"/>
      <c r="P31" s="505"/>
      <c r="Q31" s="191"/>
      <c r="R31" s="197"/>
      <c r="S31" s="257"/>
      <c r="T31" s="179"/>
      <c r="U31" s="260"/>
      <c r="V31" s="267" t="str">
        <f t="shared" si="17"/>
        <v>NoneOnly</v>
      </c>
      <c r="W31" s="263"/>
      <c r="X31" s="270"/>
      <c r="Y31" s="323" t="str">
        <f t="shared" ca="1" si="14"/>
        <v/>
      </c>
      <c r="Z31" s="326" t="str">
        <f t="shared" ca="1" si="15"/>
        <v/>
      </c>
      <c r="AA31" s="271"/>
      <c r="AB31" s="201"/>
      <c r="AC31" s="331" t="str">
        <f t="shared" ca="1" si="1"/>
        <v/>
      </c>
      <c r="AD31" s="332" t="str">
        <f t="shared" si="16"/>
        <v/>
      </c>
      <c r="AE31" s="204"/>
      <c r="AF31" s="332" t="str">
        <f t="shared" si="2"/>
        <v/>
      </c>
      <c r="AG31" s="204"/>
      <c r="AH31" s="332" t="str">
        <f t="shared" si="3"/>
        <v/>
      </c>
      <c r="AJ31" s="335" t="str">
        <f t="shared" ca="1" si="4"/>
        <v/>
      </c>
      <c r="AK31" s="335" t="str">
        <f t="shared" ca="1" si="5"/>
        <v/>
      </c>
      <c r="AL31" s="335" t="str">
        <f t="shared" ca="1" si="6"/>
        <v/>
      </c>
      <c r="AM31" s="230" t="s">
        <v>178</v>
      </c>
      <c r="AN31" s="272"/>
      <c r="AO31" s="272"/>
      <c r="AP31" s="349" t="str">
        <f t="shared" ca="1" si="7"/>
        <v/>
      </c>
      <c r="AQ31" s="350" t="str">
        <f t="shared" ca="1" si="8"/>
        <v/>
      </c>
      <c r="AR31" s="351" t="str">
        <f t="shared" ca="1" si="0"/>
        <v/>
      </c>
      <c r="AS31" s="352" t="str">
        <f t="shared" ca="1" si="9"/>
        <v/>
      </c>
      <c r="AT31" s="353" t="str">
        <f t="shared" ca="1" si="10"/>
        <v/>
      </c>
      <c r="AU31" s="354" t="str">
        <f t="shared" ca="1" si="11"/>
        <v/>
      </c>
      <c r="AV31" s="355" t="str">
        <f t="shared" ca="1" si="12"/>
        <v/>
      </c>
      <c r="AW31" s="176"/>
      <c r="AX31" s="173"/>
      <c r="AY31" s="173"/>
      <c r="AZ31" s="173"/>
      <c r="BA31" s="192" t="str">
        <f t="shared" si="13"/>
        <v>None</v>
      </c>
      <c r="BB31" s="174"/>
      <c r="BC31" s="174"/>
      <c r="BD31" s="174"/>
    </row>
    <row r="32" spans="1:56">
      <c r="A32" s="249"/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  <c r="AR32" s="249"/>
      <c r="AS32" s="249"/>
      <c r="AT32" s="249"/>
      <c r="AU32" s="249"/>
      <c r="AV32" s="249"/>
      <c r="AW32" s="173"/>
      <c r="AX32" s="173"/>
      <c r="AY32" s="173"/>
      <c r="AZ32" s="174"/>
      <c r="BA32" s="174"/>
      <c r="BB32" s="174"/>
      <c r="BC32" s="174"/>
      <c r="BD32" s="174"/>
    </row>
    <row r="33" spans="1:56">
      <c r="A33" s="249"/>
      <c r="B33" s="180"/>
      <c r="C33" s="548" t="s">
        <v>297</v>
      </c>
      <c r="D33" s="549"/>
      <c r="E33" s="549"/>
      <c r="F33" s="549"/>
      <c r="G33" s="549"/>
      <c r="K33" s="412"/>
      <c r="M33" s="264"/>
      <c r="V33" s="264"/>
      <c r="AS33" s="264"/>
      <c r="AT33" s="264"/>
      <c r="AU33" s="264"/>
      <c r="AW33" s="174"/>
      <c r="AX33" s="174"/>
      <c r="AY33" s="174"/>
      <c r="AZ33" s="174"/>
      <c r="BA33" s="174"/>
      <c r="BB33" s="174"/>
      <c r="BC33" s="174"/>
      <c r="BD33" s="174"/>
    </row>
    <row r="34" spans="1:56">
      <c r="A34" s="249"/>
      <c r="B34" s="249"/>
      <c r="C34" s="249"/>
      <c r="D34" s="249"/>
      <c r="E34" s="249"/>
      <c r="F34" s="249"/>
      <c r="G34" s="249"/>
      <c r="H34" s="249"/>
      <c r="I34" s="249"/>
      <c r="J34" s="446"/>
      <c r="K34" s="446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174"/>
      <c r="AX34" s="174"/>
      <c r="AY34" s="174"/>
      <c r="AZ34" s="174"/>
      <c r="BA34" s="174"/>
      <c r="BB34" s="174"/>
      <c r="BC34" s="174"/>
      <c r="BD34" s="174"/>
    </row>
    <row r="35" spans="1:56">
      <c r="A35" s="249"/>
      <c r="B35" s="249"/>
      <c r="C35" s="249"/>
      <c r="D35" s="249"/>
      <c r="E35" s="249"/>
      <c r="F35" s="249"/>
      <c r="G35" s="249"/>
      <c r="H35" s="249"/>
      <c r="I35" s="249"/>
      <c r="J35" s="447"/>
      <c r="K35" s="448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  <c r="AR35" s="249"/>
      <c r="AS35" s="249"/>
      <c r="AT35" s="249"/>
      <c r="AU35" s="249"/>
      <c r="AV35" s="249"/>
      <c r="AW35" s="174"/>
      <c r="AX35" s="174"/>
      <c r="AY35" s="174"/>
      <c r="AZ35" s="174"/>
      <c r="BA35" s="174"/>
      <c r="BB35" s="174"/>
      <c r="BC35" s="174"/>
      <c r="BD35" s="174"/>
    </row>
    <row r="36" spans="1:56">
      <c r="A36" s="249"/>
      <c r="B36" s="249"/>
      <c r="C36" s="249"/>
      <c r="D36" s="249"/>
      <c r="E36" s="249"/>
      <c r="F36" s="249"/>
      <c r="G36" s="249"/>
      <c r="H36" s="249"/>
      <c r="I36" s="249"/>
      <c r="J36" s="446"/>
      <c r="K36" s="446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49"/>
      <c r="W36" s="249"/>
      <c r="X36" s="249"/>
      <c r="Y36" s="249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  <c r="AR36" s="249"/>
      <c r="AS36" s="249"/>
      <c r="AT36" s="249"/>
      <c r="AU36" s="249"/>
      <c r="AV36" s="249"/>
      <c r="AW36" s="174"/>
      <c r="AX36" s="174"/>
      <c r="AY36" s="174"/>
      <c r="AZ36" s="174"/>
      <c r="BA36" s="174"/>
      <c r="BB36" s="174"/>
      <c r="BC36" s="174"/>
      <c r="BD36" s="174"/>
    </row>
    <row r="37" spans="1:56">
      <c r="A37" s="249"/>
      <c r="B37" s="249"/>
      <c r="C37" s="249"/>
      <c r="D37" s="249"/>
      <c r="E37" s="249"/>
      <c r="F37" s="249"/>
      <c r="G37" s="249"/>
      <c r="H37" s="249"/>
      <c r="I37" s="249"/>
      <c r="J37" s="446"/>
      <c r="K37" s="446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  <c r="AR37" s="249"/>
      <c r="AS37" s="249"/>
      <c r="AT37" s="249"/>
      <c r="AU37" s="249"/>
      <c r="AV37" s="249"/>
      <c r="AW37" s="174"/>
      <c r="AX37" s="174"/>
      <c r="AY37" s="174"/>
      <c r="AZ37" s="174"/>
      <c r="BA37" s="174"/>
      <c r="BB37" s="174"/>
      <c r="BC37" s="174"/>
      <c r="BD37" s="174"/>
    </row>
    <row r="38" spans="1:56">
      <c r="A38" s="249"/>
      <c r="B38" s="249"/>
      <c r="C38" s="249"/>
      <c r="D38" s="249"/>
      <c r="E38" s="249"/>
      <c r="F38" s="249"/>
      <c r="G38" s="249"/>
      <c r="H38" s="249"/>
      <c r="I38" s="249"/>
      <c r="J38" s="446"/>
      <c r="K38" s="446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  <c r="AR38" s="249"/>
      <c r="AS38" s="249"/>
      <c r="AT38" s="249"/>
      <c r="AU38" s="249"/>
      <c r="AV38" s="249"/>
      <c r="AW38" s="174"/>
      <c r="AX38" s="174"/>
      <c r="AY38" s="174"/>
      <c r="AZ38" s="174"/>
      <c r="BA38" s="174"/>
      <c r="BB38" s="174"/>
      <c r="BC38" s="174"/>
      <c r="BD38" s="174"/>
    </row>
    <row r="39" spans="1:56">
      <c r="A39" s="249"/>
      <c r="B39" s="249"/>
      <c r="C39" s="249"/>
      <c r="D39" s="249"/>
      <c r="E39" s="249"/>
      <c r="F39" s="249"/>
      <c r="G39" s="249"/>
      <c r="H39" s="249"/>
      <c r="I39" s="249"/>
      <c r="J39" s="446"/>
      <c r="K39" s="446"/>
      <c r="L39" s="249"/>
      <c r="M39" s="249"/>
      <c r="N39" s="249"/>
      <c r="O39" s="249"/>
      <c r="P39" s="249"/>
      <c r="Q39" s="249"/>
      <c r="R39" s="249"/>
      <c r="S39" s="249"/>
      <c r="T39" s="249"/>
      <c r="U39" s="249"/>
      <c r="V39" s="249"/>
      <c r="W39" s="249"/>
      <c r="X39" s="249"/>
      <c r="Y39" s="249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  <c r="AR39" s="249"/>
      <c r="AS39" s="249"/>
      <c r="AT39" s="249"/>
      <c r="AU39" s="249"/>
      <c r="AV39" s="249"/>
      <c r="AW39" s="174"/>
      <c r="AX39" s="174"/>
      <c r="AY39" s="174"/>
      <c r="AZ39" s="174"/>
      <c r="BA39" s="174"/>
      <c r="BB39" s="174"/>
      <c r="BC39" s="174"/>
      <c r="BD39" s="174"/>
    </row>
    <row r="40" spans="1:56" s="273" customFormat="1" hidden="1">
      <c r="A40" s="181"/>
      <c r="B40" s="181"/>
      <c r="C40" s="182" t="b">
        <f>(C12&lt;&gt;"")</f>
        <v>0</v>
      </c>
      <c r="D40" s="182"/>
      <c r="E40" s="249"/>
      <c r="F40" s="182"/>
      <c r="G40" s="182" t="b">
        <f>AND($C40,OR(G12="",NOT(ISNUMBER(G12))))</f>
        <v>0</v>
      </c>
      <c r="H40" s="182" t="b">
        <f t="shared" ref="H40:I59" si="18">AND($C40,H12="")</f>
        <v>0</v>
      </c>
      <c r="I40" s="182" t="b">
        <f t="shared" si="18"/>
        <v>0</v>
      </c>
      <c r="J40" s="182" t="b">
        <f>AND($C40,F12&lt;&gt;"Floating",J12=0, NOT(ISNUMBER(K12)))</f>
        <v>0</v>
      </c>
      <c r="K40" s="182" t="b">
        <f>AND($C40,H12&lt;&gt;"AUD",K12="", NOT(ISNUMBER(K12)))</f>
        <v>0</v>
      </c>
      <c r="L40" s="182" t="b">
        <f>AND($C40,L12&lt;&gt;"",NOT(ISNUMBER(L12)))</f>
        <v>0</v>
      </c>
      <c r="M40" s="249"/>
      <c r="N40" s="182" t="b">
        <f>AND($C40,N12="")</f>
        <v>0</v>
      </c>
      <c r="O40" s="182" t="b">
        <f>AND($C40,OR(O12="",NOT(ISNUMBER(O12))))</f>
        <v>0</v>
      </c>
      <c r="P40" s="182" t="b">
        <f>AND($C40,P12="")</f>
        <v>0</v>
      </c>
      <c r="Q40" s="182" t="b">
        <f>AND($C40,Q12="")</f>
        <v>0</v>
      </c>
      <c r="R40" s="182" t="b">
        <f>AND($C40,N12&lt;&gt;"Floating",R12=0, NOT(ISNUMBER(R12)))</f>
        <v>0</v>
      </c>
      <c r="S40" s="182" t="b">
        <f>AND($C40,S12&lt;&gt;"",NOT(ISNUMBER(S12)))</f>
        <v>0</v>
      </c>
      <c r="T40" s="182" t="b">
        <f>AND($C40,T12&lt;&gt;"",NOT(ISNUMBER(T12)))</f>
        <v>0</v>
      </c>
      <c r="U40" s="182"/>
      <c r="V40" s="181"/>
      <c r="W40" s="181"/>
      <c r="X40" s="181"/>
      <c r="Y40" s="181"/>
      <c r="Z40" s="181"/>
      <c r="AA40" s="181"/>
      <c r="AB40" s="182" t="b">
        <f>AND($C40,AB12&lt;&gt;"",NOT(ISNUMBER(AB12)))</f>
        <v>0</v>
      </c>
      <c r="AC40" s="181"/>
      <c r="AD40" s="181"/>
      <c r="AE40" s="182" t="b">
        <f>AND($C40,AE12&lt;&gt;"",NOT(ISNUMBER(AE12)))</f>
        <v>0</v>
      </c>
      <c r="AF40" s="181"/>
      <c r="AG40" s="182" t="b">
        <f>AND($C40,AG12&lt;&gt;"",NOT(ISNUMBER(AG12)))</f>
        <v>0</v>
      </c>
      <c r="AH40" s="181"/>
      <c r="AI40" s="181"/>
      <c r="AJ40" s="181"/>
      <c r="AK40" s="181"/>
      <c r="AL40" s="181"/>
      <c r="AM40" s="182" t="b">
        <f>AND($C40,AM12="")</f>
        <v>0</v>
      </c>
      <c r="AN40" s="182"/>
      <c r="AO40" s="182"/>
      <c r="AP40" s="182"/>
      <c r="AQ40" s="182"/>
      <c r="AR40" s="182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</row>
    <row r="41" spans="1:56" s="273" customFormat="1" hidden="1">
      <c r="A41" s="181"/>
      <c r="B41" s="181"/>
      <c r="C41" s="182" t="b">
        <f t="shared" ref="C41:C59" si="19">(C13&lt;&gt;"")</f>
        <v>0</v>
      </c>
      <c r="D41" s="182"/>
      <c r="E41" s="249"/>
      <c r="F41" s="182"/>
      <c r="G41" s="182" t="b">
        <f t="shared" ref="G41:G59" si="20">AND($C41,OR(G13="",NOT(ISNUMBER(G13))))</f>
        <v>0</v>
      </c>
      <c r="H41" s="182" t="b">
        <f t="shared" si="18"/>
        <v>0</v>
      </c>
      <c r="I41" s="182" t="b">
        <f t="shared" si="18"/>
        <v>0</v>
      </c>
      <c r="J41" s="182" t="b">
        <f t="shared" ref="J41:J59" si="21">AND($C41,F13&lt;&gt;"Floating",J13=0, NOT(ISNUMBER(K13)))</f>
        <v>0</v>
      </c>
      <c r="K41" s="182" t="b">
        <f t="shared" ref="K41:K59" si="22">AND($C41,H13&lt;&gt;"AUD",K13="", NOT(ISNUMBER(K13)))</f>
        <v>0</v>
      </c>
      <c r="L41" s="182" t="b">
        <f t="shared" ref="L41:L59" si="23">AND($C41,L13&lt;&gt;"",NOT(ISNUMBER(L13)))</f>
        <v>0</v>
      </c>
      <c r="M41" s="249"/>
      <c r="N41" s="182" t="b">
        <f t="shared" ref="N41:N59" si="24">AND($C41,N13="")</f>
        <v>0</v>
      </c>
      <c r="O41" s="182" t="b">
        <f t="shared" ref="O41:O59" si="25">AND($C41,OR(O13="",NOT(ISNUMBER(O13))))</f>
        <v>0</v>
      </c>
      <c r="P41" s="182" t="b">
        <f t="shared" ref="P41:Q59" si="26">AND($C41,P13="")</f>
        <v>0</v>
      </c>
      <c r="Q41" s="182" t="b">
        <f t="shared" si="26"/>
        <v>0</v>
      </c>
      <c r="R41" s="182" t="b">
        <f t="shared" ref="R41:R59" si="27">AND($C41,N13&lt;&gt;"Floating",R13=0, NOT(ISNUMBER(R13)))</f>
        <v>0</v>
      </c>
      <c r="S41" s="182" t="b">
        <f t="shared" ref="S41:S59" si="28">AND($C41,S13&lt;&gt;"",NOT(ISNUMBER(S13)))</f>
        <v>0</v>
      </c>
      <c r="T41" s="182" t="b">
        <f t="shared" ref="T41:T59" si="29">AND($C41,T13&lt;&gt;"",NOT(ISNUMBER(T13)))</f>
        <v>0</v>
      </c>
      <c r="U41" s="182"/>
      <c r="V41" s="181"/>
      <c r="W41" s="181"/>
      <c r="X41" s="181"/>
      <c r="Y41" s="181"/>
      <c r="Z41" s="181"/>
      <c r="AA41" s="181"/>
      <c r="AB41" s="182" t="b">
        <f t="shared" ref="AB41:AB59" si="30">AND($C41,AB13&lt;&gt;"",NOT(ISNUMBER(AB13)))</f>
        <v>0</v>
      </c>
      <c r="AC41" s="181"/>
      <c r="AD41" s="181"/>
      <c r="AE41" s="182" t="b">
        <f t="shared" ref="AE41:AE59" si="31">AND($C41,AE13&lt;&gt;"",NOT(ISNUMBER(AE13)))</f>
        <v>0</v>
      </c>
      <c r="AF41" s="181"/>
      <c r="AG41" s="182" t="b">
        <f t="shared" ref="AG41:AG59" si="32">AND($C41,AG13&lt;&gt;"",NOT(ISNUMBER(AG13)))</f>
        <v>0</v>
      </c>
      <c r="AH41" s="181"/>
      <c r="AI41" s="181"/>
      <c r="AJ41" s="181"/>
      <c r="AK41" s="181"/>
      <c r="AL41" s="181"/>
      <c r="AM41" s="182" t="b">
        <f t="shared" ref="AM41:AM59" si="33">AND($C41,AM13="")</f>
        <v>0</v>
      </c>
      <c r="AN41" s="182"/>
      <c r="AO41" s="182"/>
      <c r="AP41" s="182"/>
      <c r="AQ41" s="182"/>
      <c r="AR41" s="182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</row>
    <row r="42" spans="1:56" s="273" customFormat="1" hidden="1">
      <c r="A42" s="181"/>
      <c r="B42" s="181"/>
      <c r="C42" s="182" t="b">
        <f t="shared" si="19"/>
        <v>0</v>
      </c>
      <c r="D42" s="182"/>
      <c r="E42" s="249"/>
      <c r="F42" s="182"/>
      <c r="G42" s="182" t="b">
        <f t="shared" si="20"/>
        <v>0</v>
      </c>
      <c r="H42" s="182" t="b">
        <f t="shared" si="18"/>
        <v>0</v>
      </c>
      <c r="I42" s="182" t="b">
        <f t="shared" si="18"/>
        <v>0</v>
      </c>
      <c r="J42" s="182" t="b">
        <f t="shared" si="21"/>
        <v>0</v>
      </c>
      <c r="K42" s="182" t="b">
        <f t="shared" si="22"/>
        <v>0</v>
      </c>
      <c r="L42" s="182" t="b">
        <f t="shared" si="23"/>
        <v>0</v>
      </c>
      <c r="M42" s="249"/>
      <c r="N42" s="182" t="b">
        <f t="shared" si="24"/>
        <v>0</v>
      </c>
      <c r="O42" s="182" t="b">
        <f t="shared" si="25"/>
        <v>0</v>
      </c>
      <c r="P42" s="182" t="b">
        <f t="shared" si="26"/>
        <v>0</v>
      </c>
      <c r="Q42" s="182" t="b">
        <f t="shared" si="26"/>
        <v>0</v>
      </c>
      <c r="R42" s="182" t="b">
        <f t="shared" si="27"/>
        <v>0</v>
      </c>
      <c r="S42" s="182" t="b">
        <f t="shared" si="28"/>
        <v>0</v>
      </c>
      <c r="T42" s="182" t="b">
        <f t="shared" si="29"/>
        <v>0</v>
      </c>
      <c r="U42" s="182"/>
      <c r="V42" s="181"/>
      <c r="W42" s="181"/>
      <c r="X42" s="181"/>
      <c r="Y42" s="181"/>
      <c r="Z42" s="181"/>
      <c r="AA42" s="181"/>
      <c r="AB42" s="182" t="b">
        <f t="shared" si="30"/>
        <v>0</v>
      </c>
      <c r="AC42" s="181"/>
      <c r="AD42" s="181"/>
      <c r="AE42" s="182" t="b">
        <f t="shared" si="31"/>
        <v>0</v>
      </c>
      <c r="AF42" s="181"/>
      <c r="AG42" s="182" t="b">
        <f t="shared" si="32"/>
        <v>0</v>
      </c>
      <c r="AH42" s="181"/>
      <c r="AI42" s="181"/>
      <c r="AJ42" s="181"/>
      <c r="AK42" s="181"/>
      <c r="AL42" s="181"/>
      <c r="AM42" s="182" t="b">
        <f t="shared" si="33"/>
        <v>0</v>
      </c>
      <c r="AN42" s="182"/>
      <c r="AO42" s="182"/>
      <c r="AP42" s="182"/>
      <c r="AQ42" s="182"/>
      <c r="AR42" s="182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</row>
    <row r="43" spans="1:56" s="273" customFormat="1" hidden="1">
      <c r="A43" s="181"/>
      <c r="B43" s="181"/>
      <c r="C43" s="182" t="b">
        <f t="shared" si="19"/>
        <v>0</v>
      </c>
      <c r="D43" s="182"/>
      <c r="E43" s="249"/>
      <c r="F43" s="182"/>
      <c r="G43" s="182" t="b">
        <f t="shared" si="20"/>
        <v>0</v>
      </c>
      <c r="H43" s="182" t="b">
        <f t="shared" si="18"/>
        <v>0</v>
      </c>
      <c r="I43" s="182" t="b">
        <f t="shared" si="18"/>
        <v>0</v>
      </c>
      <c r="J43" s="182" t="b">
        <f t="shared" si="21"/>
        <v>0</v>
      </c>
      <c r="K43" s="182" t="b">
        <f>AND($C43,H15&lt;&gt;"AUD",K15="", NOT(ISNUMBER(K15)))</f>
        <v>0</v>
      </c>
      <c r="L43" s="182" t="b">
        <f t="shared" si="23"/>
        <v>0</v>
      </c>
      <c r="M43" s="249"/>
      <c r="N43" s="182" t="b">
        <f t="shared" si="24"/>
        <v>0</v>
      </c>
      <c r="O43" s="182" t="b">
        <f t="shared" si="25"/>
        <v>0</v>
      </c>
      <c r="P43" s="182" t="b">
        <f t="shared" si="26"/>
        <v>0</v>
      </c>
      <c r="Q43" s="182" t="b">
        <f t="shared" si="26"/>
        <v>0</v>
      </c>
      <c r="R43" s="182" t="b">
        <f t="shared" si="27"/>
        <v>0</v>
      </c>
      <c r="S43" s="182" t="b">
        <f t="shared" si="28"/>
        <v>0</v>
      </c>
      <c r="T43" s="182" t="b">
        <f t="shared" si="29"/>
        <v>0</v>
      </c>
      <c r="U43" s="182"/>
      <c r="V43" s="181"/>
      <c r="W43" s="181"/>
      <c r="X43" s="181"/>
      <c r="Y43" s="181"/>
      <c r="Z43" s="181"/>
      <c r="AA43" s="181"/>
      <c r="AB43" s="182" t="b">
        <f t="shared" si="30"/>
        <v>0</v>
      </c>
      <c r="AC43" s="181"/>
      <c r="AD43" s="181"/>
      <c r="AE43" s="182" t="b">
        <f t="shared" si="31"/>
        <v>0</v>
      </c>
      <c r="AF43" s="181"/>
      <c r="AG43" s="182" t="b">
        <f t="shared" si="32"/>
        <v>0</v>
      </c>
      <c r="AH43" s="181"/>
      <c r="AI43" s="181"/>
      <c r="AJ43" s="181"/>
      <c r="AK43" s="181"/>
      <c r="AL43" s="181"/>
      <c r="AM43" s="182" t="b">
        <f t="shared" si="33"/>
        <v>0</v>
      </c>
      <c r="AN43" s="182"/>
      <c r="AO43" s="182"/>
      <c r="AP43" s="182"/>
      <c r="AQ43" s="182"/>
      <c r="AR43" s="182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</row>
    <row r="44" spans="1:56" s="273" customFormat="1" hidden="1">
      <c r="A44" s="181"/>
      <c r="B44" s="181"/>
      <c r="C44" s="182" t="b">
        <f t="shared" si="19"/>
        <v>0</v>
      </c>
      <c r="D44" s="182"/>
      <c r="E44" s="249"/>
      <c r="F44" s="182"/>
      <c r="G44" s="182" t="b">
        <f t="shared" si="20"/>
        <v>0</v>
      </c>
      <c r="H44" s="182" t="b">
        <f t="shared" si="18"/>
        <v>0</v>
      </c>
      <c r="I44" s="182" t="b">
        <f t="shared" si="18"/>
        <v>0</v>
      </c>
      <c r="J44" s="182" t="b">
        <f t="shared" si="21"/>
        <v>0</v>
      </c>
      <c r="K44" s="182" t="b">
        <f t="shared" si="22"/>
        <v>0</v>
      </c>
      <c r="L44" s="182" t="b">
        <f t="shared" si="23"/>
        <v>0</v>
      </c>
      <c r="M44" s="249"/>
      <c r="N44" s="182" t="b">
        <f t="shared" si="24"/>
        <v>0</v>
      </c>
      <c r="O44" s="182" t="b">
        <f t="shared" si="25"/>
        <v>0</v>
      </c>
      <c r="P44" s="182" t="b">
        <f t="shared" si="26"/>
        <v>0</v>
      </c>
      <c r="Q44" s="182" t="b">
        <f t="shared" si="26"/>
        <v>0</v>
      </c>
      <c r="R44" s="182" t="b">
        <f t="shared" si="27"/>
        <v>0</v>
      </c>
      <c r="S44" s="182" t="b">
        <f t="shared" si="28"/>
        <v>0</v>
      </c>
      <c r="T44" s="182" t="b">
        <f t="shared" si="29"/>
        <v>0</v>
      </c>
      <c r="U44" s="182"/>
      <c r="V44" s="181"/>
      <c r="W44" s="181"/>
      <c r="X44" s="181"/>
      <c r="Y44" s="181"/>
      <c r="Z44" s="181"/>
      <c r="AA44" s="181"/>
      <c r="AB44" s="182" t="b">
        <f t="shared" si="30"/>
        <v>0</v>
      </c>
      <c r="AC44" s="181"/>
      <c r="AD44" s="181"/>
      <c r="AE44" s="182" t="b">
        <f t="shared" si="31"/>
        <v>0</v>
      </c>
      <c r="AF44" s="181"/>
      <c r="AG44" s="182" t="b">
        <f t="shared" si="32"/>
        <v>0</v>
      </c>
      <c r="AH44" s="181"/>
      <c r="AI44" s="181"/>
      <c r="AJ44" s="181"/>
      <c r="AK44" s="181"/>
      <c r="AL44" s="181"/>
      <c r="AM44" s="182" t="b">
        <f t="shared" si="33"/>
        <v>0</v>
      </c>
      <c r="AN44" s="182"/>
      <c r="AO44" s="182"/>
      <c r="AP44" s="182"/>
      <c r="AQ44" s="182"/>
      <c r="AR44" s="182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</row>
    <row r="45" spans="1:56" s="273" customFormat="1" hidden="1">
      <c r="A45" s="181"/>
      <c r="B45" s="181"/>
      <c r="C45" s="182" t="b">
        <f t="shared" si="19"/>
        <v>0</v>
      </c>
      <c r="D45" s="182"/>
      <c r="E45" s="249"/>
      <c r="F45" s="182"/>
      <c r="G45" s="182" t="b">
        <f t="shared" si="20"/>
        <v>0</v>
      </c>
      <c r="H45" s="182" t="b">
        <f t="shared" si="18"/>
        <v>0</v>
      </c>
      <c r="I45" s="182" t="b">
        <f t="shared" si="18"/>
        <v>0</v>
      </c>
      <c r="J45" s="182" t="b">
        <f t="shared" si="21"/>
        <v>0</v>
      </c>
      <c r="K45" s="182" t="b">
        <f t="shared" si="22"/>
        <v>0</v>
      </c>
      <c r="L45" s="182" t="b">
        <f t="shared" si="23"/>
        <v>0</v>
      </c>
      <c r="M45" s="249"/>
      <c r="N45" s="182" t="b">
        <f t="shared" si="24"/>
        <v>0</v>
      </c>
      <c r="O45" s="182" t="b">
        <f t="shared" si="25"/>
        <v>0</v>
      </c>
      <c r="P45" s="182" t="b">
        <f t="shared" si="26"/>
        <v>0</v>
      </c>
      <c r="Q45" s="182" t="b">
        <f t="shared" si="26"/>
        <v>0</v>
      </c>
      <c r="R45" s="182" t="b">
        <f t="shared" si="27"/>
        <v>0</v>
      </c>
      <c r="S45" s="182" t="b">
        <f t="shared" si="28"/>
        <v>0</v>
      </c>
      <c r="T45" s="182" t="b">
        <f t="shared" si="29"/>
        <v>0</v>
      </c>
      <c r="U45" s="182"/>
      <c r="V45" s="181"/>
      <c r="W45" s="181"/>
      <c r="X45" s="181"/>
      <c r="Y45" s="181"/>
      <c r="Z45" s="181"/>
      <c r="AA45" s="181"/>
      <c r="AB45" s="182" t="b">
        <f t="shared" si="30"/>
        <v>0</v>
      </c>
      <c r="AC45" s="181"/>
      <c r="AD45" s="181"/>
      <c r="AE45" s="182" t="b">
        <f t="shared" si="31"/>
        <v>0</v>
      </c>
      <c r="AF45" s="181"/>
      <c r="AG45" s="182" t="b">
        <f t="shared" si="32"/>
        <v>0</v>
      </c>
      <c r="AH45" s="181"/>
      <c r="AI45" s="181"/>
      <c r="AJ45" s="181"/>
      <c r="AK45" s="181"/>
      <c r="AL45" s="181"/>
      <c r="AM45" s="182" t="b">
        <f t="shared" si="33"/>
        <v>0</v>
      </c>
      <c r="AN45" s="182"/>
      <c r="AO45" s="182"/>
      <c r="AP45" s="182"/>
      <c r="AQ45" s="182"/>
      <c r="AR45" s="182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</row>
    <row r="46" spans="1:56" s="273" customFormat="1" hidden="1">
      <c r="A46" s="181"/>
      <c r="B46" s="181"/>
      <c r="C46" s="182" t="b">
        <f t="shared" si="19"/>
        <v>0</v>
      </c>
      <c r="D46" s="182"/>
      <c r="E46" s="249"/>
      <c r="F46" s="182"/>
      <c r="G46" s="182" t="b">
        <f t="shared" si="20"/>
        <v>0</v>
      </c>
      <c r="H46" s="182" t="b">
        <f t="shared" si="18"/>
        <v>0</v>
      </c>
      <c r="I46" s="182" t="b">
        <f t="shared" si="18"/>
        <v>0</v>
      </c>
      <c r="J46" s="182" t="b">
        <f t="shared" si="21"/>
        <v>0</v>
      </c>
      <c r="K46" s="182" t="b">
        <f t="shared" si="22"/>
        <v>0</v>
      </c>
      <c r="L46" s="182" t="b">
        <f t="shared" si="23"/>
        <v>0</v>
      </c>
      <c r="M46" s="249"/>
      <c r="N46" s="182" t="b">
        <f t="shared" si="24"/>
        <v>0</v>
      </c>
      <c r="O46" s="182" t="b">
        <f t="shared" si="25"/>
        <v>0</v>
      </c>
      <c r="P46" s="182" t="b">
        <f t="shared" si="26"/>
        <v>0</v>
      </c>
      <c r="Q46" s="182" t="b">
        <f t="shared" si="26"/>
        <v>0</v>
      </c>
      <c r="R46" s="182" t="b">
        <f t="shared" si="27"/>
        <v>0</v>
      </c>
      <c r="S46" s="182" t="b">
        <f t="shared" si="28"/>
        <v>0</v>
      </c>
      <c r="T46" s="182" t="b">
        <f t="shared" si="29"/>
        <v>0</v>
      </c>
      <c r="U46" s="182"/>
      <c r="V46" s="181"/>
      <c r="W46" s="181"/>
      <c r="X46" s="181"/>
      <c r="Y46" s="181"/>
      <c r="Z46" s="181"/>
      <c r="AA46" s="181"/>
      <c r="AB46" s="182" t="b">
        <f t="shared" si="30"/>
        <v>0</v>
      </c>
      <c r="AC46" s="181"/>
      <c r="AD46" s="181"/>
      <c r="AE46" s="182" t="b">
        <f t="shared" si="31"/>
        <v>0</v>
      </c>
      <c r="AF46" s="181"/>
      <c r="AG46" s="182" t="b">
        <f t="shared" si="32"/>
        <v>0</v>
      </c>
      <c r="AH46" s="181"/>
      <c r="AI46" s="181"/>
      <c r="AJ46" s="181"/>
      <c r="AK46" s="181"/>
      <c r="AL46" s="181"/>
      <c r="AM46" s="182" t="b">
        <f t="shared" si="33"/>
        <v>0</v>
      </c>
      <c r="AN46" s="182"/>
      <c r="AO46" s="182"/>
      <c r="AP46" s="182"/>
      <c r="AQ46" s="182"/>
      <c r="AR46" s="182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</row>
    <row r="47" spans="1:56" s="273" customFormat="1" hidden="1">
      <c r="A47" s="181"/>
      <c r="B47" s="181"/>
      <c r="C47" s="182" t="b">
        <f t="shared" si="19"/>
        <v>0</v>
      </c>
      <c r="D47" s="182"/>
      <c r="E47" s="249"/>
      <c r="F47" s="182"/>
      <c r="G47" s="182" t="b">
        <f t="shared" si="20"/>
        <v>0</v>
      </c>
      <c r="H47" s="182" t="b">
        <f t="shared" si="18"/>
        <v>0</v>
      </c>
      <c r="I47" s="182" t="b">
        <f t="shared" si="18"/>
        <v>0</v>
      </c>
      <c r="J47" s="182" t="b">
        <f t="shared" si="21"/>
        <v>0</v>
      </c>
      <c r="K47" s="182" t="b">
        <f t="shared" si="22"/>
        <v>0</v>
      </c>
      <c r="L47" s="182" t="b">
        <f t="shared" si="23"/>
        <v>0</v>
      </c>
      <c r="M47" s="249"/>
      <c r="N47" s="182" t="b">
        <f t="shared" si="24"/>
        <v>0</v>
      </c>
      <c r="O47" s="182" t="b">
        <f t="shared" si="25"/>
        <v>0</v>
      </c>
      <c r="P47" s="182" t="b">
        <f t="shared" si="26"/>
        <v>0</v>
      </c>
      <c r="Q47" s="182" t="b">
        <f t="shared" si="26"/>
        <v>0</v>
      </c>
      <c r="R47" s="182" t="b">
        <f t="shared" si="27"/>
        <v>0</v>
      </c>
      <c r="S47" s="182" t="b">
        <f t="shared" si="28"/>
        <v>0</v>
      </c>
      <c r="T47" s="182" t="b">
        <f t="shared" si="29"/>
        <v>0</v>
      </c>
      <c r="U47" s="182"/>
      <c r="V47" s="181"/>
      <c r="W47" s="181"/>
      <c r="X47" s="181"/>
      <c r="Y47" s="181"/>
      <c r="Z47" s="181"/>
      <c r="AA47" s="181"/>
      <c r="AB47" s="182" t="b">
        <f t="shared" si="30"/>
        <v>0</v>
      </c>
      <c r="AC47" s="181"/>
      <c r="AD47" s="181"/>
      <c r="AE47" s="182" t="b">
        <f t="shared" si="31"/>
        <v>0</v>
      </c>
      <c r="AF47" s="181"/>
      <c r="AG47" s="182" t="b">
        <f t="shared" si="32"/>
        <v>0</v>
      </c>
      <c r="AH47" s="181"/>
      <c r="AI47" s="181"/>
      <c r="AJ47" s="181"/>
      <c r="AK47" s="181"/>
      <c r="AL47" s="181"/>
      <c r="AM47" s="182" t="b">
        <f t="shared" si="33"/>
        <v>0</v>
      </c>
      <c r="AN47" s="182"/>
      <c r="AO47" s="182"/>
      <c r="AP47" s="182"/>
      <c r="AQ47" s="182"/>
      <c r="AR47" s="182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</row>
    <row r="48" spans="1:56" s="273" customFormat="1" hidden="1">
      <c r="A48" s="181"/>
      <c r="B48" s="181"/>
      <c r="C48" s="182" t="b">
        <f t="shared" si="19"/>
        <v>0</v>
      </c>
      <c r="D48" s="182"/>
      <c r="E48" s="249"/>
      <c r="F48" s="182"/>
      <c r="G48" s="182" t="b">
        <f t="shared" si="20"/>
        <v>0</v>
      </c>
      <c r="H48" s="182" t="b">
        <f t="shared" si="18"/>
        <v>0</v>
      </c>
      <c r="I48" s="182" t="b">
        <f t="shared" si="18"/>
        <v>0</v>
      </c>
      <c r="J48" s="182" t="b">
        <f t="shared" si="21"/>
        <v>0</v>
      </c>
      <c r="K48" s="182" t="b">
        <f t="shared" si="22"/>
        <v>0</v>
      </c>
      <c r="L48" s="182" t="b">
        <f t="shared" si="23"/>
        <v>0</v>
      </c>
      <c r="M48" s="249"/>
      <c r="N48" s="182" t="b">
        <f t="shared" si="24"/>
        <v>0</v>
      </c>
      <c r="O48" s="182" t="b">
        <f t="shared" si="25"/>
        <v>0</v>
      </c>
      <c r="P48" s="182" t="b">
        <f t="shared" si="26"/>
        <v>0</v>
      </c>
      <c r="Q48" s="182" t="b">
        <f t="shared" si="26"/>
        <v>0</v>
      </c>
      <c r="R48" s="182" t="b">
        <f t="shared" si="27"/>
        <v>0</v>
      </c>
      <c r="S48" s="182" t="b">
        <f t="shared" si="28"/>
        <v>0</v>
      </c>
      <c r="T48" s="182" t="b">
        <f t="shared" si="29"/>
        <v>0</v>
      </c>
      <c r="U48" s="182"/>
      <c r="V48" s="181"/>
      <c r="W48" s="181"/>
      <c r="X48" s="181"/>
      <c r="Y48" s="181"/>
      <c r="Z48" s="181"/>
      <c r="AA48" s="181"/>
      <c r="AB48" s="182" t="b">
        <f t="shared" si="30"/>
        <v>0</v>
      </c>
      <c r="AC48" s="181"/>
      <c r="AD48" s="181"/>
      <c r="AE48" s="182" t="b">
        <f t="shared" si="31"/>
        <v>0</v>
      </c>
      <c r="AF48" s="181"/>
      <c r="AG48" s="182" t="b">
        <f t="shared" si="32"/>
        <v>0</v>
      </c>
      <c r="AH48" s="181"/>
      <c r="AI48" s="181"/>
      <c r="AJ48" s="181"/>
      <c r="AK48" s="181"/>
      <c r="AL48" s="181"/>
      <c r="AM48" s="182" t="b">
        <f t="shared" si="33"/>
        <v>0</v>
      </c>
      <c r="AN48" s="182"/>
      <c r="AO48" s="182"/>
      <c r="AP48" s="182"/>
      <c r="AQ48" s="182"/>
      <c r="AR48" s="182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</row>
    <row r="49" spans="1:56" s="273" customFormat="1" hidden="1">
      <c r="A49" s="181"/>
      <c r="B49" s="181"/>
      <c r="C49" s="182" t="b">
        <f t="shared" si="19"/>
        <v>0</v>
      </c>
      <c r="D49" s="182"/>
      <c r="E49" s="249"/>
      <c r="F49" s="182"/>
      <c r="G49" s="182" t="b">
        <f t="shared" si="20"/>
        <v>0</v>
      </c>
      <c r="H49" s="182" t="b">
        <f t="shared" si="18"/>
        <v>0</v>
      </c>
      <c r="I49" s="182" t="b">
        <f t="shared" si="18"/>
        <v>0</v>
      </c>
      <c r="J49" s="182" t="b">
        <f t="shared" si="21"/>
        <v>0</v>
      </c>
      <c r="K49" s="182" t="b">
        <f t="shared" si="22"/>
        <v>0</v>
      </c>
      <c r="L49" s="182" t="b">
        <f t="shared" si="23"/>
        <v>0</v>
      </c>
      <c r="M49" s="249"/>
      <c r="N49" s="182" t="b">
        <f t="shared" si="24"/>
        <v>0</v>
      </c>
      <c r="O49" s="182" t="b">
        <f t="shared" si="25"/>
        <v>0</v>
      </c>
      <c r="P49" s="182" t="b">
        <f t="shared" si="26"/>
        <v>0</v>
      </c>
      <c r="Q49" s="182" t="b">
        <f t="shared" si="26"/>
        <v>0</v>
      </c>
      <c r="R49" s="182" t="b">
        <f t="shared" si="27"/>
        <v>0</v>
      </c>
      <c r="S49" s="182" t="b">
        <f t="shared" si="28"/>
        <v>0</v>
      </c>
      <c r="T49" s="182" t="b">
        <f t="shared" si="29"/>
        <v>0</v>
      </c>
      <c r="U49" s="182"/>
      <c r="V49" s="181"/>
      <c r="W49" s="181"/>
      <c r="X49" s="181"/>
      <c r="Y49" s="181"/>
      <c r="Z49" s="181"/>
      <c r="AA49" s="181"/>
      <c r="AB49" s="182" t="b">
        <f t="shared" si="30"/>
        <v>0</v>
      </c>
      <c r="AC49" s="181"/>
      <c r="AD49" s="181"/>
      <c r="AE49" s="182" t="b">
        <f t="shared" si="31"/>
        <v>0</v>
      </c>
      <c r="AF49" s="181"/>
      <c r="AG49" s="182" t="b">
        <f t="shared" si="32"/>
        <v>0</v>
      </c>
      <c r="AH49" s="181"/>
      <c r="AI49" s="181"/>
      <c r="AJ49" s="181"/>
      <c r="AK49" s="181"/>
      <c r="AL49" s="181"/>
      <c r="AM49" s="182" t="b">
        <f t="shared" si="33"/>
        <v>0</v>
      </c>
      <c r="AN49" s="182"/>
      <c r="AO49" s="182"/>
      <c r="AP49" s="182"/>
      <c r="AQ49" s="182"/>
      <c r="AR49" s="182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</row>
    <row r="50" spans="1:56" s="273" customFormat="1" hidden="1">
      <c r="A50" s="181"/>
      <c r="B50" s="181"/>
      <c r="C50" s="182" t="b">
        <f t="shared" si="19"/>
        <v>0</v>
      </c>
      <c r="D50" s="182"/>
      <c r="E50" s="249"/>
      <c r="F50" s="182"/>
      <c r="G50" s="182" t="b">
        <f t="shared" si="20"/>
        <v>0</v>
      </c>
      <c r="H50" s="182" t="b">
        <f t="shared" si="18"/>
        <v>0</v>
      </c>
      <c r="I50" s="182" t="b">
        <f t="shared" si="18"/>
        <v>0</v>
      </c>
      <c r="J50" s="182" t="b">
        <f t="shared" si="21"/>
        <v>0</v>
      </c>
      <c r="K50" s="182" t="b">
        <f t="shared" si="22"/>
        <v>0</v>
      </c>
      <c r="L50" s="182" t="b">
        <f t="shared" si="23"/>
        <v>0</v>
      </c>
      <c r="M50" s="249"/>
      <c r="N50" s="182" t="b">
        <f t="shared" si="24"/>
        <v>0</v>
      </c>
      <c r="O50" s="182" t="b">
        <f t="shared" si="25"/>
        <v>0</v>
      </c>
      <c r="P50" s="182" t="b">
        <f t="shared" si="26"/>
        <v>0</v>
      </c>
      <c r="Q50" s="182" t="b">
        <f t="shared" si="26"/>
        <v>0</v>
      </c>
      <c r="R50" s="182" t="b">
        <f t="shared" si="27"/>
        <v>0</v>
      </c>
      <c r="S50" s="182" t="b">
        <f t="shared" si="28"/>
        <v>0</v>
      </c>
      <c r="T50" s="182" t="b">
        <f t="shared" si="29"/>
        <v>0</v>
      </c>
      <c r="U50" s="182"/>
      <c r="V50" s="181"/>
      <c r="W50" s="181"/>
      <c r="X50" s="181"/>
      <c r="Y50" s="181"/>
      <c r="Z50" s="181"/>
      <c r="AA50" s="181"/>
      <c r="AB50" s="182" t="b">
        <f t="shared" si="30"/>
        <v>0</v>
      </c>
      <c r="AC50" s="181"/>
      <c r="AD50" s="181"/>
      <c r="AE50" s="182" t="b">
        <f t="shared" si="31"/>
        <v>0</v>
      </c>
      <c r="AF50" s="181"/>
      <c r="AG50" s="182" t="b">
        <f t="shared" si="32"/>
        <v>0</v>
      </c>
      <c r="AH50" s="181"/>
      <c r="AI50" s="181"/>
      <c r="AJ50" s="181"/>
      <c r="AK50" s="181"/>
      <c r="AL50" s="181"/>
      <c r="AM50" s="182" t="b">
        <f t="shared" si="33"/>
        <v>0</v>
      </c>
      <c r="AN50" s="182"/>
      <c r="AO50" s="182"/>
      <c r="AP50" s="182"/>
      <c r="AQ50" s="182"/>
      <c r="AR50" s="182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</row>
    <row r="51" spans="1:56" s="273" customFormat="1" hidden="1">
      <c r="A51" s="181"/>
      <c r="B51" s="181"/>
      <c r="C51" s="182" t="b">
        <f t="shared" si="19"/>
        <v>0</v>
      </c>
      <c r="D51" s="182"/>
      <c r="E51" s="249"/>
      <c r="F51" s="182"/>
      <c r="G51" s="182" t="b">
        <f t="shared" si="20"/>
        <v>0</v>
      </c>
      <c r="H51" s="182" t="b">
        <f t="shared" si="18"/>
        <v>0</v>
      </c>
      <c r="I51" s="182" t="b">
        <f t="shared" si="18"/>
        <v>0</v>
      </c>
      <c r="J51" s="182" t="b">
        <f t="shared" si="21"/>
        <v>0</v>
      </c>
      <c r="K51" s="182" t="b">
        <f t="shared" si="22"/>
        <v>0</v>
      </c>
      <c r="L51" s="182" t="b">
        <f t="shared" si="23"/>
        <v>0</v>
      </c>
      <c r="M51" s="249"/>
      <c r="N51" s="182" t="b">
        <f t="shared" si="24"/>
        <v>0</v>
      </c>
      <c r="O51" s="182" t="b">
        <f t="shared" si="25"/>
        <v>0</v>
      </c>
      <c r="P51" s="182" t="b">
        <f t="shared" si="26"/>
        <v>0</v>
      </c>
      <c r="Q51" s="182" t="b">
        <f t="shared" si="26"/>
        <v>0</v>
      </c>
      <c r="R51" s="182" t="b">
        <f t="shared" si="27"/>
        <v>0</v>
      </c>
      <c r="S51" s="182" t="b">
        <f t="shared" si="28"/>
        <v>0</v>
      </c>
      <c r="T51" s="182" t="b">
        <f t="shared" si="29"/>
        <v>0</v>
      </c>
      <c r="U51" s="182"/>
      <c r="V51" s="181"/>
      <c r="W51" s="181"/>
      <c r="X51" s="181"/>
      <c r="Y51" s="181"/>
      <c r="Z51" s="181"/>
      <c r="AA51" s="181"/>
      <c r="AB51" s="182" t="b">
        <f t="shared" si="30"/>
        <v>0</v>
      </c>
      <c r="AC51" s="181"/>
      <c r="AD51" s="181"/>
      <c r="AE51" s="182" t="b">
        <f t="shared" si="31"/>
        <v>0</v>
      </c>
      <c r="AF51" s="181"/>
      <c r="AG51" s="182" t="b">
        <f t="shared" si="32"/>
        <v>0</v>
      </c>
      <c r="AH51" s="181"/>
      <c r="AI51" s="181"/>
      <c r="AJ51" s="181"/>
      <c r="AK51" s="181"/>
      <c r="AL51" s="181"/>
      <c r="AM51" s="182" t="b">
        <f t="shared" si="33"/>
        <v>0</v>
      </c>
      <c r="AN51" s="182"/>
      <c r="AO51" s="182"/>
      <c r="AP51" s="182"/>
      <c r="AQ51" s="182"/>
      <c r="AR51" s="182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</row>
    <row r="52" spans="1:56" s="273" customFormat="1" hidden="1">
      <c r="A52" s="181"/>
      <c r="B52" s="181"/>
      <c r="C52" s="182" t="b">
        <f t="shared" si="19"/>
        <v>0</v>
      </c>
      <c r="D52" s="182"/>
      <c r="E52" s="249"/>
      <c r="F52" s="182"/>
      <c r="G52" s="182" t="b">
        <f t="shared" si="20"/>
        <v>0</v>
      </c>
      <c r="H52" s="182" t="b">
        <f t="shared" si="18"/>
        <v>0</v>
      </c>
      <c r="I52" s="182" t="b">
        <f t="shared" si="18"/>
        <v>0</v>
      </c>
      <c r="J52" s="182" t="b">
        <f t="shared" si="21"/>
        <v>0</v>
      </c>
      <c r="K52" s="182" t="b">
        <f t="shared" si="22"/>
        <v>0</v>
      </c>
      <c r="L52" s="182" t="b">
        <f t="shared" si="23"/>
        <v>0</v>
      </c>
      <c r="M52" s="249"/>
      <c r="N52" s="182" t="b">
        <f t="shared" si="24"/>
        <v>0</v>
      </c>
      <c r="O52" s="182" t="b">
        <f t="shared" si="25"/>
        <v>0</v>
      </c>
      <c r="P52" s="182" t="b">
        <f t="shared" si="26"/>
        <v>0</v>
      </c>
      <c r="Q52" s="182" t="b">
        <f t="shared" si="26"/>
        <v>0</v>
      </c>
      <c r="R52" s="182" t="b">
        <f t="shared" si="27"/>
        <v>0</v>
      </c>
      <c r="S52" s="182" t="b">
        <f t="shared" si="28"/>
        <v>0</v>
      </c>
      <c r="T52" s="182" t="b">
        <f t="shared" si="29"/>
        <v>0</v>
      </c>
      <c r="U52" s="182"/>
      <c r="V52" s="181"/>
      <c r="W52" s="181"/>
      <c r="X52" s="181"/>
      <c r="Y52" s="181"/>
      <c r="Z52" s="181"/>
      <c r="AA52" s="181"/>
      <c r="AB52" s="182" t="b">
        <f t="shared" si="30"/>
        <v>0</v>
      </c>
      <c r="AC52" s="181"/>
      <c r="AD52" s="181"/>
      <c r="AE52" s="182" t="b">
        <f t="shared" si="31"/>
        <v>0</v>
      </c>
      <c r="AF52" s="181"/>
      <c r="AG52" s="182" t="b">
        <f t="shared" si="32"/>
        <v>0</v>
      </c>
      <c r="AH52" s="181"/>
      <c r="AI52" s="181"/>
      <c r="AJ52" s="181"/>
      <c r="AK52" s="181"/>
      <c r="AL52" s="181"/>
      <c r="AM52" s="182" t="b">
        <f t="shared" si="33"/>
        <v>0</v>
      </c>
      <c r="AN52" s="182"/>
      <c r="AO52" s="182"/>
      <c r="AP52" s="182"/>
      <c r="AQ52" s="182"/>
      <c r="AR52" s="182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</row>
    <row r="53" spans="1:56" s="273" customFormat="1" hidden="1">
      <c r="A53" s="181"/>
      <c r="B53" s="181"/>
      <c r="C53" s="182" t="b">
        <f t="shared" si="19"/>
        <v>0</v>
      </c>
      <c r="D53" s="182"/>
      <c r="E53" s="249"/>
      <c r="F53" s="182"/>
      <c r="G53" s="182" t="b">
        <f t="shared" si="20"/>
        <v>0</v>
      </c>
      <c r="H53" s="182" t="b">
        <f t="shared" si="18"/>
        <v>0</v>
      </c>
      <c r="I53" s="182" t="b">
        <f t="shared" si="18"/>
        <v>0</v>
      </c>
      <c r="J53" s="182" t="b">
        <f t="shared" si="21"/>
        <v>0</v>
      </c>
      <c r="K53" s="182" t="b">
        <f t="shared" si="22"/>
        <v>0</v>
      </c>
      <c r="L53" s="182" t="b">
        <f t="shared" si="23"/>
        <v>0</v>
      </c>
      <c r="M53" s="249"/>
      <c r="N53" s="182" t="b">
        <f t="shared" si="24"/>
        <v>0</v>
      </c>
      <c r="O53" s="182" t="b">
        <f t="shared" si="25"/>
        <v>0</v>
      </c>
      <c r="P53" s="182" t="b">
        <f t="shared" si="26"/>
        <v>0</v>
      </c>
      <c r="Q53" s="182" t="b">
        <f t="shared" si="26"/>
        <v>0</v>
      </c>
      <c r="R53" s="182" t="b">
        <f t="shared" si="27"/>
        <v>0</v>
      </c>
      <c r="S53" s="182" t="b">
        <f t="shared" si="28"/>
        <v>0</v>
      </c>
      <c r="T53" s="182" t="b">
        <f t="shared" si="29"/>
        <v>0</v>
      </c>
      <c r="U53" s="182"/>
      <c r="V53" s="181"/>
      <c r="W53" s="181"/>
      <c r="X53" s="181"/>
      <c r="Y53" s="181"/>
      <c r="Z53" s="181"/>
      <c r="AA53" s="181"/>
      <c r="AB53" s="182" t="b">
        <f t="shared" si="30"/>
        <v>0</v>
      </c>
      <c r="AC53" s="181"/>
      <c r="AD53" s="181"/>
      <c r="AE53" s="182" t="b">
        <f t="shared" si="31"/>
        <v>0</v>
      </c>
      <c r="AF53" s="181"/>
      <c r="AG53" s="182" t="b">
        <f t="shared" si="32"/>
        <v>0</v>
      </c>
      <c r="AH53" s="181"/>
      <c r="AI53" s="181"/>
      <c r="AJ53" s="181"/>
      <c r="AK53" s="181"/>
      <c r="AL53" s="181"/>
      <c r="AM53" s="182" t="b">
        <f t="shared" si="33"/>
        <v>0</v>
      </c>
      <c r="AN53" s="182"/>
      <c r="AO53" s="182"/>
      <c r="AP53" s="182"/>
      <c r="AQ53" s="182"/>
      <c r="AR53" s="182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</row>
    <row r="54" spans="1:56" s="273" customFormat="1" hidden="1">
      <c r="A54" s="181"/>
      <c r="B54" s="181"/>
      <c r="C54" s="182" t="b">
        <f t="shared" si="19"/>
        <v>0</v>
      </c>
      <c r="D54" s="182"/>
      <c r="E54" s="249"/>
      <c r="F54" s="182"/>
      <c r="G54" s="182" t="b">
        <f t="shared" si="20"/>
        <v>0</v>
      </c>
      <c r="H54" s="182" t="b">
        <f t="shared" si="18"/>
        <v>0</v>
      </c>
      <c r="I54" s="182" t="b">
        <f t="shared" si="18"/>
        <v>0</v>
      </c>
      <c r="J54" s="182" t="b">
        <f t="shared" si="21"/>
        <v>0</v>
      </c>
      <c r="K54" s="182" t="b">
        <f t="shared" si="22"/>
        <v>0</v>
      </c>
      <c r="L54" s="182" t="b">
        <f t="shared" si="23"/>
        <v>0</v>
      </c>
      <c r="M54" s="249"/>
      <c r="N54" s="182" t="b">
        <f t="shared" si="24"/>
        <v>0</v>
      </c>
      <c r="O54" s="182" t="b">
        <f t="shared" si="25"/>
        <v>0</v>
      </c>
      <c r="P54" s="182" t="b">
        <f t="shared" si="26"/>
        <v>0</v>
      </c>
      <c r="Q54" s="182" t="b">
        <f t="shared" si="26"/>
        <v>0</v>
      </c>
      <c r="R54" s="182" t="b">
        <f t="shared" si="27"/>
        <v>0</v>
      </c>
      <c r="S54" s="182" t="b">
        <f t="shared" si="28"/>
        <v>0</v>
      </c>
      <c r="T54" s="182" t="b">
        <f t="shared" si="29"/>
        <v>0</v>
      </c>
      <c r="U54" s="182"/>
      <c r="V54" s="181"/>
      <c r="W54" s="181"/>
      <c r="X54" s="181"/>
      <c r="Y54" s="181"/>
      <c r="Z54" s="181"/>
      <c r="AA54" s="181"/>
      <c r="AB54" s="182" t="b">
        <f t="shared" si="30"/>
        <v>0</v>
      </c>
      <c r="AC54" s="181"/>
      <c r="AD54" s="181"/>
      <c r="AE54" s="182" t="b">
        <f t="shared" si="31"/>
        <v>0</v>
      </c>
      <c r="AF54" s="181"/>
      <c r="AG54" s="182" t="b">
        <f t="shared" si="32"/>
        <v>0</v>
      </c>
      <c r="AH54" s="181"/>
      <c r="AI54" s="181"/>
      <c r="AJ54" s="181"/>
      <c r="AK54" s="181"/>
      <c r="AL54" s="181"/>
      <c r="AM54" s="182" t="b">
        <f t="shared" si="33"/>
        <v>0</v>
      </c>
      <c r="AN54" s="182"/>
      <c r="AO54" s="182"/>
      <c r="AP54" s="182"/>
      <c r="AQ54" s="182"/>
      <c r="AR54" s="182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</row>
    <row r="55" spans="1:56" s="273" customFormat="1" hidden="1">
      <c r="A55" s="181"/>
      <c r="B55" s="181"/>
      <c r="C55" s="182" t="b">
        <f t="shared" si="19"/>
        <v>0</v>
      </c>
      <c r="D55" s="182"/>
      <c r="E55" s="249"/>
      <c r="F55" s="182"/>
      <c r="G55" s="182" t="b">
        <f t="shared" si="20"/>
        <v>0</v>
      </c>
      <c r="H55" s="182" t="b">
        <f t="shared" si="18"/>
        <v>0</v>
      </c>
      <c r="I55" s="182" t="b">
        <f t="shared" si="18"/>
        <v>0</v>
      </c>
      <c r="J55" s="182" t="b">
        <f t="shared" si="21"/>
        <v>0</v>
      </c>
      <c r="K55" s="182" t="b">
        <f t="shared" si="22"/>
        <v>0</v>
      </c>
      <c r="L55" s="182" t="b">
        <f t="shared" si="23"/>
        <v>0</v>
      </c>
      <c r="M55" s="249"/>
      <c r="N55" s="182" t="b">
        <f t="shared" si="24"/>
        <v>0</v>
      </c>
      <c r="O55" s="182" t="b">
        <f t="shared" si="25"/>
        <v>0</v>
      </c>
      <c r="P55" s="182" t="b">
        <f t="shared" si="26"/>
        <v>0</v>
      </c>
      <c r="Q55" s="182" t="b">
        <f t="shared" si="26"/>
        <v>0</v>
      </c>
      <c r="R55" s="182" t="b">
        <f t="shared" si="27"/>
        <v>0</v>
      </c>
      <c r="S55" s="182" t="b">
        <f t="shared" si="28"/>
        <v>0</v>
      </c>
      <c r="T55" s="182" t="b">
        <f t="shared" si="29"/>
        <v>0</v>
      </c>
      <c r="U55" s="182"/>
      <c r="V55" s="181"/>
      <c r="W55" s="181"/>
      <c r="X55" s="181"/>
      <c r="Y55" s="181"/>
      <c r="Z55" s="181"/>
      <c r="AA55" s="181"/>
      <c r="AB55" s="182" t="b">
        <f t="shared" si="30"/>
        <v>0</v>
      </c>
      <c r="AC55" s="181"/>
      <c r="AD55" s="181"/>
      <c r="AE55" s="182" t="b">
        <f t="shared" si="31"/>
        <v>0</v>
      </c>
      <c r="AF55" s="181"/>
      <c r="AG55" s="182" t="b">
        <f t="shared" si="32"/>
        <v>0</v>
      </c>
      <c r="AH55" s="181"/>
      <c r="AI55" s="181"/>
      <c r="AJ55" s="181"/>
      <c r="AK55" s="181"/>
      <c r="AL55" s="181"/>
      <c r="AM55" s="182" t="b">
        <f t="shared" si="33"/>
        <v>0</v>
      </c>
      <c r="AN55" s="182"/>
      <c r="AO55" s="182"/>
      <c r="AP55" s="182"/>
      <c r="AQ55" s="182"/>
      <c r="AR55" s="182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</row>
    <row r="56" spans="1:56" s="273" customFormat="1" hidden="1">
      <c r="A56" s="181"/>
      <c r="B56" s="181"/>
      <c r="C56" s="182" t="b">
        <f t="shared" si="19"/>
        <v>0</v>
      </c>
      <c r="D56" s="182"/>
      <c r="E56" s="249"/>
      <c r="F56" s="182"/>
      <c r="G56" s="182" t="b">
        <f t="shared" si="20"/>
        <v>0</v>
      </c>
      <c r="H56" s="182" t="b">
        <f t="shared" si="18"/>
        <v>0</v>
      </c>
      <c r="I56" s="182" t="b">
        <f t="shared" si="18"/>
        <v>0</v>
      </c>
      <c r="J56" s="182" t="b">
        <f t="shared" si="21"/>
        <v>0</v>
      </c>
      <c r="K56" s="182" t="b">
        <f t="shared" si="22"/>
        <v>0</v>
      </c>
      <c r="L56" s="182" t="b">
        <f t="shared" si="23"/>
        <v>0</v>
      </c>
      <c r="M56" s="249"/>
      <c r="N56" s="182" t="b">
        <f t="shared" si="24"/>
        <v>0</v>
      </c>
      <c r="O56" s="182" t="b">
        <f t="shared" si="25"/>
        <v>0</v>
      </c>
      <c r="P56" s="182" t="b">
        <f t="shared" si="26"/>
        <v>0</v>
      </c>
      <c r="Q56" s="182" t="b">
        <f t="shared" si="26"/>
        <v>0</v>
      </c>
      <c r="R56" s="182" t="b">
        <f t="shared" si="27"/>
        <v>0</v>
      </c>
      <c r="S56" s="182" t="b">
        <f t="shared" si="28"/>
        <v>0</v>
      </c>
      <c r="T56" s="182" t="b">
        <f t="shared" si="29"/>
        <v>0</v>
      </c>
      <c r="U56" s="182"/>
      <c r="V56" s="181"/>
      <c r="W56" s="181"/>
      <c r="X56" s="181"/>
      <c r="Y56" s="181"/>
      <c r="Z56" s="181"/>
      <c r="AA56" s="181"/>
      <c r="AB56" s="182" t="b">
        <f t="shared" si="30"/>
        <v>0</v>
      </c>
      <c r="AC56" s="181"/>
      <c r="AD56" s="181"/>
      <c r="AE56" s="182" t="b">
        <f t="shared" si="31"/>
        <v>0</v>
      </c>
      <c r="AF56" s="181"/>
      <c r="AG56" s="182" t="b">
        <f t="shared" si="32"/>
        <v>0</v>
      </c>
      <c r="AH56" s="181"/>
      <c r="AI56" s="181"/>
      <c r="AJ56" s="181"/>
      <c r="AK56" s="181"/>
      <c r="AL56" s="181"/>
      <c r="AM56" s="182" t="b">
        <f t="shared" si="33"/>
        <v>0</v>
      </c>
      <c r="AN56" s="182"/>
      <c r="AO56" s="182"/>
      <c r="AP56" s="182"/>
      <c r="AQ56" s="182"/>
      <c r="AR56" s="182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</row>
    <row r="57" spans="1:56" s="273" customFormat="1" hidden="1">
      <c r="A57" s="181"/>
      <c r="B57" s="181"/>
      <c r="C57" s="182" t="b">
        <f t="shared" si="19"/>
        <v>0</v>
      </c>
      <c r="D57" s="182"/>
      <c r="E57" s="249"/>
      <c r="F57" s="182"/>
      <c r="G57" s="182" t="b">
        <f t="shared" si="20"/>
        <v>0</v>
      </c>
      <c r="H57" s="182" t="b">
        <f t="shared" si="18"/>
        <v>0</v>
      </c>
      <c r="I57" s="182" t="b">
        <f t="shared" si="18"/>
        <v>0</v>
      </c>
      <c r="J57" s="182" t="b">
        <f t="shared" si="21"/>
        <v>0</v>
      </c>
      <c r="K57" s="182" t="b">
        <f t="shared" si="22"/>
        <v>0</v>
      </c>
      <c r="L57" s="182" t="b">
        <f t="shared" si="23"/>
        <v>0</v>
      </c>
      <c r="M57" s="249"/>
      <c r="N57" s="182" t="b">
        <f t="shared" si="24"/>
        <v>0</v>
      </c>
      <c r="O57" s="182" t="b">
        <f t="shared" si="25"/>
        <v>0</v>
      </c>
      <c r="P57" s="182" t="b">
        <f t="shared" si="26"/>
        <v>0</v>
      </c>
      <c r="Q57" s="182" t="b">
        <f t="shared" si="26"/>
        <v>0</v>
      </c>
      <c r="R57" s="182" t="b">
        <f t="shared" si="27"/>
        <v>0</v>
      </c>
      <c r="S57" s="182" t="b">
        <f t="shared" si="28"/>
        <v>0</v>
      </c>
      <c r="T57" s="182" t="b">
        <f t="shared" si="29"/>
        <v>0</v>
      </c>
      <c r="U57" s="182"/>
      <c r="V57" s="181"/>
      <c r="W57" s="181"/>
      <c r="X57" s="181"/>
      <c r="Y57" s="181"/>
      <c r="Z57" s="181"/>
      <c r="AA57" s="181"/>
      <c r="AB57" s="182" t="b">
        <f t="shared" si="30"/>
        <v>0</v>
      </c>
      <c r="AC57" s="181"/>
      <c r="AD57" s="181"/>
      <c r="AE57" s="182" t="b">
        <f t="shared" si="31"/>
        <v>0</v>
      </c>
      <c r="AF57" s="181"/>
      <c r="AG57" s="182" t="b">
        <f t="shared" si="32"/>
        <v>0</v>
      </c>
      <c r="AH57" s="181"/>
      <c r="AI57" s="181"/>
      <c r="AJ57" s="181"/>
      <c r="AK57" s="181"/>
      <c r="AL57" s="181"/>
      <c r="AM57" s="182" t="b">
        <f t="shared" si="33"/>
        <v>0</v>
      </c>
      <c r="AN57" s="182"/>
      <c r="AO57" s="182"/>
      <c r="AP57" s="182"/>
      <c r="AQ57" s="182"/>
      <c r="AR57" s="182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</row>
    <row r="58" spans="1:56" s="273" customFormat="1" hidden="1">
      <c r="A58" s="181"/>
      <c r="B58" s="181"/>
      <c r="C58" s="182" t="b">
        <f t="shared" si="19"/>
        <v>0</v>
      </c>
      <c r="D58" s="182"/>
      <c r="E58" s="249"/>
      <c r="F58" s="182"/>
      <c r="G58" s="182" t="b">
        <f t="shared" si="20"/>
        <v>0</v>
      </c>
      <c r="H58" s="182" t="b">
        <f t="shared" si="18"/>
        <v>0</v>
      </c>
      <c r="I58" s="182" t="b">
        <f t="shared" si="18"/>
        <v>0</v>
      </c>
      <c r="J58" s="182" t="b">
        <f t="shared" si="21"/>
        <v>0</v>
      </c>
      <c r="K58" s="182" t="b">
        <f t="shared" si="22"/>
        <v>0</v>
      </c>
      <c r="L58" s="182" t="b">
        <f t="shared" si="23"/>
        <v>0</v>
      </c>
      <c r="M58" s="249"/>
      <c r="N58" s="182" t="b">
        <f t="shared" si="24"/>
        <v>0</v>
      </c>
      <c r="O58" s="182" t="b">
        <f t="shared" si="25"/>
        <v>0</v>
      </c>
      <c r="P58" s="182" t="b">
        <f t="shared" si="26"/>
        <v>0</v>
      </c>
      <c r="Q58" s="182" t="b">
        <f t="shared" si="26"/>
        <v>0</v>
      </c>
      <c r="R58" s="182" t="b">
        <f t="shared" si="27"/>
        <v>0</v>
      </c>
      <c r="S58" s="182" t="b">
        <f t="shared" si="28"/>
        <v>0</v>
      </c>
      <c r="T58" s="182" t="b">
        <f t="shared" si="29"/>
        <v>0</v>
      </c>
      <c r="U58" s="182"/>
      <c r="V58" s="181"/>
      <c r="W58" s="181"/>
      <c r="X58" s="181"/>
      <c r="Y58" s="181"/>
      <c r="Z58" s="181"/>
      <c r="AA58" s="181"/>
      <c r="AB58" s="182" t="b">
        <f t="shared" si="30"/>
        <v>0</v>
      </c>
      <c r="AC58" s="181"/>
      <c r="AD58" s="181"/>
      <c r="AE58" s="182" t="b">
        <f t="shared" si="31"/>
        <v>0</v>
      </c>
      <c r="AF58" s="181"/>
      <c r="AG58" s="182" t="b">
        <f t="shared" si="32"/>
        <v>0</v>
      </c>
      <c r="AH58" s="181"/>
      <c r="AI58" s="181"/>
      <c r="AJ58" s="181"/>
      <c r="AK58" s="181"/>
      <c r="AL58" s="181"/>
      <c r="AM58" s="182" t="b">
        <f t="shared" si="33"/>
        <v>0</v>
      </c>
      <c r="AN58" s="182"/>
      <c r="AO58" s="182"/>
      <c r="AP58" s="182"/>
      <c r="AQ58" s="182"/>
      <c r="AR58" s="182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</row>
    <row r="59" spans="1:56" s="273" customFormat="1" hidden="1">
      <c r="A59" s="181"/>
      <c r="B59" s="181"/>
      <c r="C59" s="182" t="b">
        <f t="shared" si="19"/>
        <v>0</v>
      </c>
      <c r="D59" s="182"/>
      <c r="E59" s="249"/>
      <c r="F59" s="182"/>
      <c r="G59" s="182" t="b">
        <f t="shared" si="20"/>
        <v>0</v>
      </c>
      <c r="H59" s="182" t="b">
        <f t="shared" si="18"/>
        <v>0</v>
      </c>
      <c r="I59" s="182" t="b">
        <f t="shared" si="18"/>
        <v>0</v>
      </c>
      <c r="J59" s="182" t="b">
        <f t="shared" si="21"/>
        <v>0</v>
      </c>
      <c r="K59" s="182" t="b">
        <f t="shared" si="22"/>
        <v>0</v>
      </c>
      <c r="L59" s="182" t="b">
        <f t="shared" si="23"/>
        <v>0</v>
      </c>
      <c r="M59" s="249"/>
      <c r="N59" s="182" t="b">
        <f t="shared" si="24"/>
        <v>0</v>
      </c>
      <c r="O59" s="182" t="b">
        <f t="shared" si="25"/>
        <v>0</v>
      </c>
      <c r="P59" s="182" t="b">
        <f t="shared" si="26"/>
        <v>0</v>
      </c>
      <c r="Q59" s="182" t="b">
        <f t="shared" si="26"/>
        <v>0</v>
      </c>
      <c r="R59" s="182" t="b">
        <f t="shared" si="27"/>
        <v>0</v>
      </c>
      <c r="S59" s="182" t="b">
        <f t="shared" si="28"/>
        <v>0</v>
      </c>
      <c r="T59" s="182" t="b">
        <f t="shared" si="29"/>
        <v>0</v>
      </c>
      <c r="U59" s="182"/>
      <c r="V59" s="181"/>
      <c r="W59" s="181"/>
      <c r="X59" s="181"/>
      <c r="Y59" s="181"/>
      <c r="Z59" s="181"/>
      <c r="AA59" s="181"/>
      <c r="AB59" s="182" t="b">
        <f t="shared" si="30"/>
        <v>0</v>
      </c>
      <c r="AC59" s="181"/>
      <c r="AD59" s="181"/>
      <c r="AE59" s="182" t="b">
        <f t="shared" si="31"/>
        <v>0</v>
      </c>
      <c r="AF59" s="181"/>
      <c r="AG59" s="182" t="b">
        <f t="shared" si="32"/>
        <v>0</v>
      </c>
      <c r="AH59" s="181"/>
      <c r="AI59" s="181"/>
      <c r="AJ59" s="181"/>
      <c r="AK59" s="181"/>
      <c r="AL59" s="181"/>
      <c r="AM59" s="182" t="b">
        <f t="shared" si="33"/>
        <v>0</v>
      </c>
      <c r="AN59" s="182"/>
      <c r="AO59" s="182"/>
      <c r="AP59" s="182"/>
      <c r="AQ59" s="182"/>
      <c r="AR59" s="182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</row>
    <row r="60" spans="1:56">
      <c r="A60" s="249"/>
      <c r="B60" s="249"/>
      <c r="C60" s="249"/>
      <c r="D60" s="249"/>
      <c r="E60" s="249"/>
      <c r="F60" s="249"/>
      <c r="G60" s="249"/>
      <c r="H60" s="249"/>
      <c r="I60" s="249"/>
      <c r="J60" s="249"/>
      <c r="K60" s="249"/>
      <c r="L60" s="249"/>
      <c r="M60" s="249"/>
      <c r="N60" s="249"/>
      <c r="O60" s="249"/>
      <c r="P60" s="249"/>
      <c r="Q60" s="249"/>
      <c r="R60" s="249"/>
      <c r="S60" s="249"/>
      <c r="T60" s="249"/>
      <c r="U60" s="249"/>
      <c r="V60" s="249"/>
      <c r="W60" s="249"/>
      <c r="X60" s="249"/>
      <c r="Y60" s="249"/>
      <c r="Z60" s="249"/>
      <c r="AA60" s="249"/>
      <c r="AB60" s="249"/>
      <c r="AC60" s="249"/>
      <c r="AD60" s="249"/>
      <c r="AE60" s="249"/>
      <c r="AF60" s="249"/>
      <c r="AG60" s="249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  <c r="AR60" s="249"/>
      <c r="AS60" s="249"/>
      <c r="AT60" s="249"/>
      <c r="AU60" s="249"/>
      <c r="AV60" s="249"/>
      <c r="AW60" s="174"/>
      <c r="AX60" s="174"/>
      <c r="AY60" s="174"/>
      <c r="AZ60" s="174"/>
      <c r="BA60" s="174"/>
      <c r="BB60" s="174"/>
      <c r="BC60" s="174"/>
      <c r="BD60" s="174"/>
    </row>
  </sheetData>
  <sheetProtection sheet="1" objects="1" scenarios="1"/>
  <protectedRanges>
    <protectedRange sqref="V10:V11 K12:O12 S15:X15 R13:X14 C12:I12 C27:X31 R16:X26 Q12:X12 C13:E14 D17:E17 E15:E16 E18:E20 C15:D20 C21:E26 F13:I26 J19:M26 K13:M18 N13:O26 P12:P26 Q13:Q26" name="Range2"/>
    <protectedRange sqref="B7:L7" name="Range1"/>
  </protectedRanges>
  <dataConsolidate/>
  <mergeCells count="18">
    <mergeCell ref="C33:G33"/>
    <mergeCell ref="O4:P4"/>
    <mergeCell ref="O6:P6"/>
    <mergeCell ref="O8:P8"/>
    <mergeCell ref="B10:D10"/>
    <mergeCell ref="B6:C6"/>
    <mergeCell ref="B5:C5"/>
    <mergeCell ref="B7:C7"/>
    <mergeCell ref="D6:F6"/>
    <mergeCell ref="D7:F7"/>
    <mergeCell ref="K7:L7"/>
    <mergeCell ref="H6:J6"/>
    <mergeCell ref="H7:J7"/>
    <mergeCell ref="BA10:BD10"/>
    <mergeCell ref="K6:L6"/>
    <mergeCell ref="F10:L10"/>
    <mergeCell ref="AP10:AQ10"/>
    <mergeCell ref="N10:S10"/>
  </mergeCells>
  <phoneticPr fontId="4" type="noConversion"/>
  <conditionalFormatting sqref="U12:U31 AN12:AO31 AD12:AD31 S12:S31 K12:K31">
    <cfRule type="expression" dxfId="214" priority="235">
      <formula>K40</formula>
    </cfRule>
  </conditionalFormatting>
  <conditionalFormatting sqref="F12">
    <cfRule type="expression" dxfId="213" priority="231">
      <formula>F40</formula>
    </cfRule>
  </conditionalFormatting>
  <conditionalFormatting sqref="H12:H31">
    <cfRule type="expression" dxfId="212" priority="229">
      <formula>H40</formula>
    </cfRule>
  </conditionalFormatting>
  <conditionalFormatting sqref="I12">
    <cfRule type="expression" dxfId="211" priority="228">
      <formula>I40</formula>
    </cfRule>
  </conditionalFormatting>
  <conditionalFormatting sqref="J12">
    <cfRule type="expression" dxfId="210" priority="227">
      <formula>J40</formula>
    </cfRule>
  </conditionalFormatting>
  <conditionalFormatting sqref="P12 S12:S31">
    <cfRule type="expression" dxfId="209" priority="223">
      <formula>O40</formula>
    </cfRule>
  </conditionalFormatting>
  <conditionalFormatting sqref="Q12:Q31">
    <cfRule type="expression" dxfId="208" priority="222">
      <formula>Q40</formula>
    </cfRule>
  </conditionalFormatting>
  <conditionalFormatting sqref="R12:R31">
    <cfRule type="expression" dxfId="207" priority="221">
      <formula>Q40</formula>
    </cfRule>
  </conditionalFormatting>
  <conditionalFormatting sqref="D13:D31">
    <cfRule type="expression" dxfId="206" priority="218">
      <formula>D41</formula>
    </cfRule>
  </conditionalFormatting>
  <conditionalFormatting sqref="F13:F31">
    <cfRule type="expression" dxfId="205" priority="215">
      <formula>F41</formula>
    </cfRule>
  </conditionalFormatting>
  <conditionalFormatting sqref="H13:H31">
    <cfRule type="expression" dxfId="204" priority="213">
      <formula>H41</formula>
    </cfRule>
  </conditionalFormatting>
  <conditionalFormatting sqref="I13:I31">
    <cfRule type="expression" dxfId="203" priority="212">
      <formula>I41</formula>
    </cfRule>
  </conditionalFormatting>
  <conditionalFormatting sqref="J13:J31">
    <cfRule type="expression" dxfId="202" priority="211">
      <formula>J41</formula>
    </cfRule>
  </conditionalFormatting>
  <conditionalFormatting sqref="N13:N31">
    <cfRule type="expression" dxfId="201" priority="209">
      <formula>M41</formula>
    </cfRule>
  </conditionalFormatting>
  <conditionalFormatting sqref="P13:P31">
    <cfRule type="expression" dxfId="200" priority="207">
      <formula>O41</formula>
    </cfRule>
  </conditionalFormatting>
  <conditionalFormatting sqref="Q13:Q31">
    <cfRule type="expression" dxfId="199" priority="206">
      <formula>P41</formula>
    </cfRule>
  </conditionalFormatting>
  <conditionalFormatting sqref="R13:R31">
    <cfRule type="expression" dxfId="198" priority="205">
      <formula>Q41</formula>
    </cfRule>
  </conditionalFormatting>
  <conditionalFormatting sqref="P13:P31">
    <cfRule type="expression" dxfId="197" priority="201">
      <formula>O41</formula>
    </cfRule>
  </conditionalFormatting>
  <conditionalFormatting sqref="P13:P31">
    <cfRule type="expression" dxfId="196" priority="200">
      <formula>O41</formula>
    </cfRule>
  </conditionalFormatting>
  <conditionalFormatting sqref="P12">
    <cfRule type="expression" dxfId="195" priority="199">
      <formula>O40</formula>
    </cfRule>
  </conditionalFormatting>
  <conditionalFormatting sqref="P12">
    <cfRule type="expression" dxfId="194" priority="198">
      <formula>O40</formula>
    </cfRule>
  </conditionalFormatting>
  <conditionalFormatting sqref="P13:P31">
    <cfRule type="expression" dxfId="193" priority="197">
      <formula>O41</formula>
    </cfRule>
  </conditionalFormatting>
  <conditionalFormatting sqref="P13:P31">
    <cfRule type="expression" dxfId="192" priority="196">
      <formula>O41</formula>
    </cfRule>
  </conditionalFormatting>
  <conditionalFormatting sqref="P13:P31">
    <cfRule type="expression" dxfId="191" priority="195">
      <formula>O41</formula>
    </cfRule>
  </conditionalFormatting>
  <conditionalFormatting sqref="P13:P31">
    <cfRule type="expression" dxfId="190" priority="194">
      <formula>O41</formula>
    </cfRule>
  </conditionalFormatting>
  <conditionalFormatting sqref="P13:P31">
    <cfRule type="expression" dxfId="189" priority="193">
      <formula>O41</formula>
    </cfRule>
  </conditionalFormatting>
  <conditionalFormatting sqref="P13:P31">
    <cfRule type="expression" dxfId="188" priority="192">
      <formula>O41</formula>
    </cfRule>
  </conditionalFormatting>
  <conditionalFormatting sqref="P13:P31">
    <cfRule type="expression" dxfId="187" priority="191">
      <formula>O41</formula>
    </cfRule>
  </conditionalFormatting>
  <conditionalFormatting sqref="P13:P31">
    <cfRule type="expression" dxfId="186" priority="190">
      <formula>O41</formula>
    </cfRule>
  </conditionalFormatting>
  <conditionalFormatting sqref="V10:V11">
    <cfRule type="expression" dxfId="185" priority="189">
      <formula>T38</formula>
    </cfRule>
  </conditionalFormatting>
  <conditionalFormatting sqref="N12:N31">
    <cfRule type="expression" dxfId="184" priority="188">
      <formula>N40</formula>
    </cfRule>
  </conditionalFormatting>
  <conditionalFormatting sqref="O12:O31">
    <cfRule type="expression" dxfId="183" priority="187">
      <formula>O40</formula>
    </cfRule>
  </conditionalFormatting>
  <conditionalFormatting sqref="G12">
    <cfRule type="expression" dxfId="182" priority="186">
      <formula>G40</formula>
    </cfRule>
  </conditionalFormatting>
  <conditionalFormatting sqref="G12:G31">
    <cfRule type="expression" dxfId="181" priority="185">
      <formula>G40</formula>
    </cfRule>
  </conditionalFormatting>
  <conditionalFormatting sqref="T13:T31">
    <cfRule type="expression" dxfId="180" priority="184">
      <formula>T41</formula>
    </cfRule>
  </conditionalFormatting>
  <conditionalFormatting sqref="R12:R31">
    <cfRule type="expression" dxfId="179" priority="183">
      <formula>R40</formula>
    </cfRule>
  </conditionalFormatting>
  <conditionalFormatting sqref="L12:L31">
    <cfRule type="expression" dxfId="178" priority="182">
      <formula>L40</formula>
    </cfRule>
  </conditionalFormatting>
  <conditionalFormatting sqref="K12:K31">
    <cfRule type="expression" dxfId="177" priority="181">
      <formula>K40</formula>
    </cfRule>
  </conditionalFormatting>
  <conditionalFormatting sqref="K12:K31">
    <cfRule type="expression" dxfId="176" priority="180">
      <formula>K40</formula>
    </cfRule>
  </conditionalFormatting>
  <conditionalFormatting sqref="AC12:AC31">
    <cfRule type="expression" dxfId="175" priority="179">
      <formula>AC40</formula>
    </cfRule>
  </conditionalFormatting>
  <conditionalFormatting sqref="AM12:AM31">
    <cfRule type="expression" dxfId="174" priority="178">
      <formula>AM40</formula>
    </cfRule>
  </conditionalFormatting>
  <conditionalFormatting sqref="AF12:AF31">
    <cfRule type="expression" dxfId="173" priority="176">
      <formula>AF40</formula>
    </cfRule>
  </conditionalFormatting>
  <conditionalFormatting sqref="T12">
    <cfRule type="expression" dxfId="172" priority="175">
      <formula>T40</formula>
    </cfRule>
  </conditionalFormatting>
  <conditionalFormatting sqref="F13">
    <cfRule type="expression" dxfId="171" priority="172">
      <formula>F41</formula>
    </cfRule>
  </conditionalFormatting>
  <conditionalFormatting sqref="I13">
    <cfRule type="expression" dxfId="170" priority="171">
      <formula>I41</formula>
    </cfRule>
  </conditionalFormatting>
  <conditionalFormatting sqref="J13">
    <cfRule type="expression" dxfId="169" priority="170">
      <formula>J41</formula>
    </cfRule>
  </conditionalFormatting>
  <conditionalFormatting sqref="P13">
    <cfRule type="expression" dxfId="168" priority="169">
      <formula>O41</formula>
    </cfRule>
  </conditionalFormatting>
  <conditionalFormatting sqref="P13">
    <cfRule type="expression" dxfId="167" priority="168">
      <formula>O41</formula>
    </cfRule>
  </conditionalFormatting>
  <conditionalFormatting sqref="P13">
    <cfRule type="expression" dxfId="166" priority="167">
      <formula>O41</formula>
    </cfRule>
  </conditionalFormatting>
  <conditionalFormatting sqref="G13">
    <cfRule type="expression" dxfId="165" priority="166">
      <formula>G41</formula>
    </cfRule>
  </conditionalFormatting>
  <conditionalFormatting sqref="A11:A31">
    <cfRule type="containsText" dxfId="164" priority="164" operator="containsText" text="ü">
      <formula>NOT(ISERROR(SEARCH("ü",A11)))</formula>
    </cfRule>
    <cfRule type="containsText" dxfId="163" priority="165" operator="containsText" text="û">
      <formula>NOT(ISERROR(SEARCH("û",A11)))</formula>
    </cfRule>
  </conditionalFormatting>
  <conditionalFormatting sqref="S12:S31">
    <cfRule type="expression" dxfId="162" priority="163">
      <formula>S40</formula>
    </cfRule>
  </conditionalFormatting>
  <conditionalFormatting sqref="S12:S31">
    <cfRule type="expression" dxfId="161" priority="162">
      <formula>S40</formula>
    </cfRule>
  </conditionalFormatting>
  <conditionalFormatting sqref="G14">
    <cfRule type="expression" dxfId="160" priority="161">
      <formula>G42</formula>
    </cfRule>
  </conditionalFormatting>
  <conditionalFormatting sqref="G15">
    <cfRule type="expression" dxfId="159" priority="160">
      <formula>G43</formula>
    </cfRule>
  </conditionalFormatting>
  <conditionalFormatting sqref="G13">
    <cfRule type="expression" dxfId="158" priority="159">
      <formula>G41</formula>
    </cfRule>
  </conditionalFormatting>
  <conditionalFormatting sqref="O17">
    <cfRule type="expression" dxfId="157" priority="158">
      <formula>O45</formula>
    </cfRule>
  </conditionalFormatting>
  <conditionalFormatting sqref="G14">
    <cfRule type="expression" dxfId="156" priority="157">
      <formula>G42</formula>
    </cfRule>
  </conditionalFormatting>
  <conditionalFormatting sqref="G14">
    <cfRule type="expression" dxfId="155" priority="156">
      <formula>G42</formula>
    </cfRule>
  </conditionalFormatting>
  <conditionalFormatting sqref="G20">
    <cfRule type="expression" dxfId="154" priority="155">
      <formula>G48</formula>
    </cfRule>
  </conditionalFormatting>
  <conditionalFormatting sqref="F14">
    <cfRule type="expression" dxfId="153" priority="154">
      <formula>F42</formula>
    </cfRule>
  </conditionalFormatting>
  <conditionalFormatting sqref="I14">
    <cfRule type="expression" dxfId="152" priority="153">
      <formula>I42</formula>
    </cfRule>
  </conditionalFormatting>
  <conditionalFormatting sqref="J14">
    <cfRule type="expression" dxfId="151" priority="152">
      <formula>J42</formula>
    </cfRule>
  </conditionalFormatting>
  <conditionalFormatting sqref="P14">
    <cfRule type="expression" dxfId="150" priority="151">
      <formula>O42</formula>
    </cfRule>
  </conditionalFormatting>
  <conditionalFormatting sqref="P14">
    <cfRule type="expression" dxfId="149" priority="150">
      <formula>O42</formula>
    </cfRule>
  </conditionalFormatting>
  <conditionalFormatting sqref="P14">
    <cfRule type="expression" dxfId="148" priority="149">
      <formula>O42</formula>
    </cfRule>
  </conditionalFormatting>
  <conditionalFormatting sqref="G14">
    <cfRule type="expression" dxfId="147" priority="148">
      <formula>G42</formula>
    </cfRule>
  </conditionalFormatting>
  <conditionalFormatting sqref="G14">
    <cfRule type="expression" dxfId="146" priority="147">
      <formula>G42</formula>
    </cfRule>
  </conditionalFormatting>
  <conditionalFormatting sqref="G15">
    <cfRule type="expression" dxfId="145" priority="146">
      <formula>G43</formula>
    </cfRule>
  </conditionalFormatting>
  <conditionalFormatting sqref="G15">
    <cfRule type="expression" dxfId="144" priority="145">
      <formula>G43</formula>
    </cfRule>
  </conditionalFormatting>
  <conditionalFormatting sqref="G15">
    <cfRule type="expression" dxfId="143" priority="144">
      <formula>G43</formula>
    </cfRule>
  </conditionalFormatting>
  <conditionalFormatting sqref="F15">
    <cfRule type="expression" dxfId="142" priority="143">
      <formula>F43</formula>
    </cfRule>
  </conditionalFormatting>
  <conditionalFormatting sqref="I15">
    <cfRule type="expression" dxfId="141" priority="142">
      <formula>I43</formula>
    </cfRule>
  </conditionalFormatting>
  <conditionalFormatting sqref="J15">
    <cfRule type="expression" dxfId="140" priority="141">
      <formula>J43</formula>
    </cfRule>
  </conditionalFormatting>
  <conditionalFormatting sqref="P15">
    <cfRule type="expression" dxfId="139" priority="140">
      <formula>O43</formula>
    </cfRule>
  </conditionalFormatting>
  <conditionalFormatting sqref="P15">
    <cfRule type="expression" dxfId="138" priority="139">
      <formula>O43</formula>
    </cfRule>
  </conditionalFormatting>
  <conditionalFormatting sqref="P15">
    <cfRule type="expression" dxfId="137" priority="138">
      <formula>O43</formula>
    </cfRule>
  </conditionalFormatting>
  <conditionalFormatting sqref="G15">
    <cfRule type="expression" dxfId="136" priority="137">
      <formula>G43</formula>
    </cfRule>
  </conditionalFormatting>
  <conditionalFormatting sqref="G15">
    <cfRule type="expression" dxfId="135" priority="136">
      <formula>G43</formula>
    </cfRule>
  </conditionalFormatting>
  <conditionalFormatting sqref="G16">
    <cfRule type="expression" dxfId="134" priority="135">
      <formula>G44</formula>
    </cfRule>
  </conditionalFormatting>
  <conditionalFormatting sqref="G16">
    <cfRule type="expression" dxfId="133" priority="134">
      <formula>G44</formula>
    </cfRule>
  </conditionalFormatting>
  <conditionalFormatting sqref="G16">
    <cfRule type="expression" dxfId="132" priority="133">
      <formula>G44</formula>
    </cfRule>
  </conditionalFormatting>
  <conditionalFormatting sqref="G16">
    <cfRule type="expression" dxfId="131" priority="132">
      <formula>G44</formula>
    </cfRule>
  </conditionalFormatting>
  <conditionalFormatting sqref="F16">
    <cfRule type="expression" dxfId="130" priority="131">
      <formula>F44</formula>
    </cfRule>
  </conditionalFormatting>
  <conditionalFormatting sqref="I16">
    <cfRule type="expression" dxfId="129" priority="130">
      <formula>I44</formula>
    </cfRule>
  </conditionalFormatting>
  <conditionalFormatting sqref="J16">
    <cfRule type="expression" dxfId="128" priority="129">
      <formula>J44</formula>
    </cfRule>
  </conditionalFormatting>
  <conditionalFormatting sqref="P16">
    <cfRule type="expression" dxfId="127" priority="128">
      <formula>O44</formula>
    </cfRule>
  </conditionalFormatting>
  <conditionalFormatting sqref="P16">
    <cfRule type="expression" dxfId="126" priority="127">
      <formula>O44</formula>
    </cfRule>
  </conditionalFormatting>
  <conditionalFormatting sqref="P16">
    <cfRule type="expression" dxfId="125" priority="126">
      <formula>O44</formula>
    </cfRule>
  </conditionalFormatting>
  <conditionalFormatting sqref="G16">
    <cfRule type="expression" dxfId="124" priority="125">
      <formula>G44</formula>
    </cfRule>
  </conditionalFormatting>
  <conditionalFormatting sqref="G16">
    <cfRule type="expression" dxfId="123" priority="124">
      <formula>G44</formula>
    </cfRule>
  </conditionalFormatting>
  <conditionalFormatting sqref="G17">
    <cfRule type="expression" dxfId="122" priority="123">
      <formula>G45</formula>
    </cfRule>
  </conditionalFormatting>
  <conditionalFormatting sqref="G17">
    <cfRule type="expression" dxfId="121" priority="122">
      <formula>G45</formula>
    </cfRule>
  </conditionalFormatting>
  <conditionalFormatting sqref="G17">
    <cfRule type="expression" dxfId="120" priority="121">
      <formula>G45</formula>
    </cfRule>
  </conditionalFormatting>
  <conditionalFormatting sqref="G17">
    <cfRule type="expression" dxfId="119" priority="120">
      <formula>G45</formula>
    </cfRule>
  </conditionalFormatting>
  <conditionalFormatting sqref="F17">
    <cfRule type="expression" dxfId="118" priority="119">
      <formula>F45</formula>
    </cfRule>
  </conditionalFormatting>
  <conditionalFormatting sqref="I17">
    <cfRule type="expression" dxfId="117" priority="118">
      <formula>I45</formula>
    </cfRule>
  </conditionalFormatting>
  <conditionalFormatting sqref="J17">
    <cfRule type="expression" dxfId="116" priority="117">
      <formula>J45</formula>
    </cfRule>
  </conditionalFormatting>
  <conditionalFormatting sqref="P17">
    <cfRule type="expression" dxfId="115" priority="116">
      <formula>O45</formula>
    </cfRule>
  </conditionalFormatting>
  <conditionalFormatting sqref="P17">
    <cfRule type="expression" dxfId="114" priority="115">
      <formula>O45</formula>
    </cfRule>
  </conditionalFormatting>
  <conditionalFormatting sqref="P17">
    <cfRule type="expression" dxfId="113" priority="114">
      <formula>O45</formula>
    </cfRule>
  </conditionalFormatting>
  <conditionalFormatting sqref="G17">
    <cfRule type="expression" dxfId="112" priority="113">
      <formula>G45</formula>
    </cfRule>
  </conditionalFormatting>
  <conditionalFormatting sqref="G17">
    <cfRule type="expression" dxfId="111" priority="112">
      <formula>G45</formula>
    </cfRule>
  </conditionalFormatting>
  <conditionalFormatting sqref="O18">
    <cfRule type="expression" dxfId="110" priority="111">
      <formula>O46</formula>
    </cfRule>
  </conditionalFormatting>
  <conditionalFormatting sqref="G18">
    <cfRule type="expression" dxfId="109" priority="110">
      <formula>G46</formula>
    </cfRule>
  </conditionalFormatting>
  <conditionalFormatting sqref="G18">
    <cfRule type="expression" dxfId="108" priority="109">
      <formula>G46</formula>
    </cfRule>
  </conditionalFormatting>
  <conditionalFormatting sqref="G18">
    <cfRule type="expression" dxfId="107" priority="108">
      <formula>G46</formula>
    </cfRule>
  </conditionalFormatting>
  <conditionalFormatting sqref="G18">
    <cfRule type="expression" dxfId="106" priority="107">
      <formula>G46</formula>
    </cfRule>
  </conditionalFormatting>
  <conditionalFormatting sqref="F18">
    <cfRule type="expression" dxfId="105" priority="106">
      <formula>F46</formula>
    </cfRule>
  </conditionalFormatting>
  <conditionalFormatting sqref="I18">
    <cfRule type="expression" dxfId="104" priority="105">
      <formula>I46</formula>
    </cfRule>
  </conditionalFormatting>
  <conditionalFormatting sqref="J18">
    <cfRule type="expression" dxfId="103" priority="104">
      <formula>J46</formula>
    </cfRule>
  </conditionalFormatting>
  <conditionalFormatting sqref="P18">
    <cfRule type="expression" dxfId="102" priority="103">
      <formula>O46</formula>
    </cfRule>
  </conditionalFormatting>
  <conditionalFormatting sqref="P18">
    <cfRule type="expression" dxfId="101" priority="102">
      <formula>O46</formula>
    </cfRule>
  </conditionalFormatting>
  <conditionalFormatting sqref="P18">
    <cfRule type="expression" dxfId="100" priority="101">
      <formula>O46</formula>
    </cfRule>
  </conditionalFormatting>
  <conditionalFormatting sqref="G18">
    <cfRule type="expression" dxfId="99" priority="100">
      <formula>G46</formula>
    </cfRule>
  </conditionalFormatting>
  <conditionalFormatting sqref="G18">
    <cfRule type="expression" dxfId="98" priority="99">
      <formula>G46</formula>
    </cfRule>
  </conditionalFormatting>
  <conditionalFormatting sqref="F13:F26">
    <cfRule type="expression" dxfId="97" priority="98">
      <formula>F41</formula>
    </cfRule>
  </conditionalFormatting>
  <conditionalFormatting sqref="I13:I26">
    <cfRule type="expression" dxfId="96" priority="97">
      <formula>I41</formula>
    </cfRule>
  </conditionalFormatting>
  <conditionalFormatting sqref="G13:G26">
    <cfRule type="expression" dxfId="95" priority="96">
      <formula>G41</formula>
    </cfRule>
  </conditionalFormatting>
  <conditionalFormatting sqref="P13:P26">
    <cfRule type="expression" dxfId="94" priority="95">
      <formula>O41</formula>
    </cfRule>
  </conditionalFormatting>
  <conditionalFormatting sqref="P13:P26">
    <cfRule type="expression" dxfId="93" priority="94">
      <formula>O41</formula>
    </cfRule>
  </conditionalFormatting>
  <conditionalFormatting sqref="P13:P26">
    <cfRule type="expression" dxfId="92" priority="93">
      <formula>O41</formula>
    </cfRule>
  </conditionalFormatting>
  <conditionalFormatting sqref="P12:P26">
    <cfRule type="expression" dxfId="91" priority="92">
      <formula>P40</formula>
    </cfRule>
  </conditionalFormatting>
  <conditionalFormatting sqref="P13:P26">
    <cfRule type="expression" dxfId="90" priority="91">
      <formula>P41</formula>
    </cfRule>
  </conditionalFormatting>
  <conditionalFormatting sqref="F14">
    <cfRule type="expression" dxfId="89" priority="90">
      <formula>F42</formula>
    </cfRule>
  </conditionalFormatting>
  <conditionalFormatting sqref="G14">
    <cfRule type="expression" dxfId="88" priority="89">
      <formula>G42</formula>
    </cfRule>
  </conditionalFormatting>
  <conditionalFormatting sqref="G14">
    <cfRule type="expression" dxfId="87" priority="88">
      <formula>G42</formula>
    </cfRule>
  </conditionalFormatting>
  <conditionalFormatting sqref="I14">
    <cfRule type="expression" dxfId="86" priority="87">
      <formula>I42</formula>
    </cfRule>
  </conditionalFormatting>
  <conditionalFormatting sqref="P14">
    <cfRule type="expression" dxfId="85" priority="86">
      <formula>O42</formula>
    </cfRule>
  </conditionalFormatting>
  <conditionalFormatting sqref="P14">
    <cfRule type="expression" dxfId="84" priority="85">
      <formula>O42</formula>
    </cfRule>
  </conditionalFormatting>
  <conditionalFormatting sqref="P14">
    <cfRule type="expression" dxfId="83" priority="84">
      <formula>O42</formula>
    </cfRule>
  </conditionalFormatting>
  <conditionalFormatting sqref="F15">
    <cfRule type="expression" dxfId="82" priority="83">
      <formula>F43</formula>
    </cfRule>
  </conditionalFormatting>
  <conditionalFormatting sqref="F16">
    <cfRule type="expression" dxfId="81" priority="82">
      <formula>F44</formula>
    </cfRule>
  </conditionalFormatting>
  <conditionalFormatting sqref="F16">
    <cfRule type="expression" dxfId="80" priority="81">
      <formula>F44</formula>
    </cfRule>
  </conditionalFormatting>
  <conditionalFormatting sqref="F17">
    <cfRule type="expression" dxfId="79" priority="80">
      <formula>F45</formula>
    </cfRule>
  </conditionalFormatting>
  <conditionalFormatting sqref="F18">
    <cfRule type="expression" dxfId="78" priority="79">
      <formula>F46</formula>
    </cfRule>
  </conditionalFormatting>
  <conditionalFormatting sqref="F19">
    <cfRule type="expression" dxfId="77" priority="78">
      <formula>F47</formula>
    </cfRule>
  </conditionalFormatting>
  <conditionalFormatting sqref="F20">
    <cfRule type="expression" dxfId="76" priority="77">
      <formula>F48</formula>
    </cfRule>
  </conditionalFormatting>
  <conditionalFormatting sqref="F18">
    <cfRule type="expression" dxfId="75" priority="76">
      <formula>F46</formula>
    </cfRule>
  </conditionalFormatting>
  <conditionalFormatting sqref="F19">
    <cfRule type="expression" dxfId="74" priority="75">
      <formula>F47</formula>
    </cfRule>
  </conditionalFormatting>
  <conditionalFormatting sqref="F20">
    <cfRule type="expression" dxfId="73" priority="74">
      <formula>F48</formula>
    </cfRule>
  </conditionalFormatting>
  <conditionalFormatting sqref="F20">
    <cfRule type="expression" dxfId="72" priority="73">
      <formula>F48</formula>
    </cfRule>
  </conditionalFormatting>
  <conditionalFormatting sqref="F21">
    <cfRule type="expression" dxfId="71" priority="72">
      <formula>F49</formula>
    </cfRule>
  </conditionalFormatting>
  <conditionalFormatting sqref="F21">
    <cfRule type="expression" dxfId="70" priority="71">
      <formula>F49</formula>
    </cfRule>
  </conditionalFormatting>
  <conditionalFormatting sqref="F22">
    <cfRule type="expression" dxfId="69" priority="70">
      <formula>F50</formula>
    </cfRule>
  </conditionalFormatting>
  <conditionalFormatting sqref="F23">
    <cfRule type="expression" dxfId="68" priority="69">
      <formula>F51</formula>
    </cfRule>
  </conditionalFormatting>
  <conditionalFormatting sqref="F21">
    <cfRule type="expression" dxfId="67" priority="68">
      <formula>F49</formula>
    </cfRule>
  </conditionalFormatting>
  <conditionalFormatting sqref="F22">
    <cfRule type="expression" dxfId="66" priority="67">
      <formula>F50</formula>
    </cfRule>
  </conditionalFormatting>
  <conditionalFormatting sqref="F23">
    <cfRule type="expression" dxfId="65" priority="66">
      <formula>F51</formula>
    </cfRule>
  </conditionalFormatting>
  <conditionalFormatting sqref="F23">
    <cfRule type="expression" dxfId="64" priority="65">
      <formula>F51</formula>
    </cfRule>
  </conditionalFormatting>
  <conditionalFormatting sqref="G15">
    <cfRule type="expression" dxfId="63" priority="64">
      <formula>G43</formula>
    </cfRule>
  </conditionalFormatting>
  <conditionalFormatting sqref="G16">
    <cfRule type="expression" dxfId="62" priority="63">
      <formula>G44</formula>
    </cfRule>
  </conditionalFormatting>
  <conditionalFormatting sqref="G15">
    <cfRule type="expression" dxfId="61" priority="62">
      <formula>G43</formula>
    </cfRule>
  </conditionalFormatting>
  <conditionalFormatting sqref="G16">
    <cfRule type="expression" dxfId="60" priority="61">
      <formula>G44</formula>
    </cfRule>
  </conditionalFormatting>
  <conditionalFormatting sqref="G16">
    <cfRule type="expression" dxfId="59" priority="60">
      <formula>G44</formula>
    </cfRule>
  </conditionalFormatting>
  <conditionalFormatting sqref="G16">
    <cfRule type="expression" dxfId="58" priority="59">
      <formula>G44</formula>
    </cfRule>
  </conditionalFormatting>
  <conditionalFormatting sqref="G16">
    <cfRule type="expression" dxfId="57" priority="58">
      <formula>G44</formula>
    </cfRule>
  </conditionalFormatting>
  <conditionalFormatting sqref="G16">
    <cfRule type="expression" dxfId="56" priority="57">
      <formula>G44</formula>
    </cfRule>
  </conditionalFormatting>
  <conditionalFormatting sqref="G16">
    <cfRule type="expression" dxfId="55" priority="56">
      <formula>G44</formula>
    </cfRule>
  </conditionalFormatting>
  <conditionalFormatting sqref="G17">
    <cfRule type="expression" dxfId="54" priority="55">
      <formula>G45</formula>
    </cfRule>
  </conditionalFormatting>
  <conditionalFormatting sqref="G18">
    <cfRule type="expression" dxfId="53" priority="54">
      <formula>G46</formula>
    </cfRule>
  </conditionalFormatting>
  <conditionalFormatting sqref="G17">
    <cfRule type="expression" dxfId="52" priority="53">
      <formula>G45</formula>
    </cfRule>
  </conditionalFormatting>
  <conditionalFormatting sqref="G18">
    <cfRule type="expression" dxfId="51" priority="52">
      <formula>G46</formula>
    </cfRule>
  </conditionalFormatting>
  <conditionalFormatting sqref="G18">
    <cfRule type="expression" dxfId="50" priority="51">
      <formula>G46</formula>
    </cfRule>
  </conditionalFormatting>
  <conditionalFormatting sqref="G18">
    <cfRule type="expression" dxfId="49" priority="50">
      <formula>G46</formula>
    </cfRule>
  </conditionalFormatting>
  <conditionalFormatting sqref="G18">
    <cfRule type="expression" dxfId="48" priority="49">
      <formula>G46</formula>
    </cfRule>
  </conditionalFormatting>
  <conditionalFormatting sqref="G18">
    <cfRule type="expression" dxfId="47" priority="48">
      <formula>G46</formula>
    </cfRule>
  </conditionalFormatting>
  <conditionalFormatting sqref="G18">
    <cfRule type="expression" dxfId="46" priority="47">
      <formula>G46</formula>
    </cfRule>
  </conditionalFormatting>
  <conditionalFormatting sqref="G19">
    <cfRule type="expression" dxfId="45" priority="46">
      <formula>G47</formula>
    </cfRule>
  </conditionalFormatting>
  <conditionalFormatting sqref="G20">
    <cfRule type="expression" dxfId="44" priority="45">
      <formula>G48</formula>
    </cfRule>
  </conditionalFormatting>
  <conditionalFormatting sqref="G19">
    <cfRule type="expression" dxfId="43" priority="44">
      <formula>G47</formula>
    </cfRule>
  </conditionalFormatting>
  <conditionalFormatting sqref="G20">
    <cfRule type="expression" dxfId="42" priority="43">
      <formula>G48</formula>
    </cfRule>
  </conditionalFormatting>
  <conditionalFormatting sqref="G20">
    <cfRule type="expression" dxfId="41" priority="42">
      <formula>G48</formula>
    </cfRule>
  </conditionalFormatting>
  <conditionalFormatting sqref="G20">
    <cfRule type="expression" dxfId="40" priority="41">
      <formula>G48</formula>
    </cfRule>
  </conditionalFormatting>
  <conditionalFormatting sqref="G20">
    <cfRule type="expression" dxfId="39" priority="40">
      <formula>G48</formula>
    </cfRule>
  </conditionalFormatting>
  <conditionalFormatting sqref="G20">
    <cfRule type="expression" dxfId="38" priority="39">
      <formula>G48</formula>
    </cfRule>
  </conditionalFormatting>
  <conditionalFormatting sqref="G20">
    <cfRule type="expression" dxfId="37" priority="38">
      <formula>G48</formula>
    </cfRule>
  </conditionalFormatting>
  <conditionalFormatting sqref="G21">
    <cfRule type="expression" dxfId="36" priority="37">
      <formula>G49</formula>
    </cfRule>
  </conditionalFormatting>
  <conditionalFormatting sqref="G22">
    <cfRule type="expression" dxfId="35" priority="36">
      <formula>G50</formula>
    </cfRule>
  </conditionalFormatting>
  <conditionalFormatting sqref="G21">
    <cfRule type="expression" dxfId="34" priority="35">
      <formula>G49</formula>
    </cfRule>
  </conditionalFormatting>
  <conditionalFormatting sqref="G22">
    <cfRule type="expression" dxfId="33" priority="34">
      <formula>G50</formula>
    </cfRule>
  </conditionalFormatting>
  <conditionalFormatting sqref="G22">
    <cfRule type="expression" dxfId="32" priority="33">
      <formula>G50</formula>
    </cfRule>
  </conditionalFormatting>
  <conditionalFormatting sqref="G22">
    <cfRule type="expression" dxfId="31" priority="32">
      <formula>G50</formula>
    </cfRule>
  </conditionalFormatting>
  <conditionalFormatting sqref="G22">
    <cfRule type="expression" dxfId="30" priority="31">
      <formula>G50</formula>
    </cfRule>
  </conditionalFormatting>
  <conditionalFormatting sqref="G22">
    <cfRule type="expression" dxfId="29" priority="30">
      <formula>G50</formula>
    </cfRule>
  </conditionalFormatting>
  <conditionalFormatting sqref="G22">
    <cfRule type="expression" dxfId="28" priority="29">
      <formula>G50</formula>
    </cfRule>
  </conditionalFormatting>
  <conditionalFormatting sqref="G23">
    <cfRule type="expression" dxfId="27" priority="28">
      <formula>G51</formula>
    </cfRule>
  </conditionalFormatting>
  <conditionalFormatting sqref="G23">
    <cfRule type="expression" dxfId="26" priority="27">
      <formula>G51</formula>
    </cfRule>
  </conditionalFormatting>
  <conditionalFormatting sqref="G23">
    <cfRule type="expression" dxfId="25" priority="26">
      <formula>G51</formula>
    </cfRule>
  </conditionalFormatting>
  <conditionalFormatting sqref="G23">
    <cfRule type="expression" dxfId="24" priority="25">
      <formula>G51</formula>
    </cfRule>
  </conditionalFormatting>
  <conditionalFormatting sqref="G23">
    <cfRule type="expression" dxfId="23" priority="24">
      <formula>G51</formula>
    </cfRule>
  </conditionalFormatting>
  <conditionalFormatting sqref="G23">
    <cfRule type="expression" dxfId="22" priority="23">
      <formula>G51</formula>
    </cfRule>
  </conditionalFormatting>
  <conditionalFormatting sqref="G23">
    <cfRule type="expression" dxfId="21" priority="22">
      <formula>G51</formula>
    </cfRule>
  </conditionalFormatting>
  <conditionalFormatting sqref="G23">
    <cfRule type="expression" dxfId="20" priority="21">
      <formula>G51</formula>
    </cfRule>
  </conditionalFormatting>
  <conditionalFormatting sqref="I15">
    <cfRule type="expression" dxfId="19" priority="20">
      <formula>I43</formula>
    </cfRule>
  </conditionalFormatting>
  <conditionalFormatting sqref="I16">
    <cfRule type="expression" dxfId="18" priority="19">
      <formula>I44</formula>
    </cfRule>
  </conditionalFormatting>
  <conditionalFormatting sqref="I16">
    <cfRule type="expression" dxfId="17" priority="18">
      <formula>I44</formula>
    </cfRule>
  </conditionalFormatting>
  <conditionalFormatting sqref="I17">
    <cfRule type="expression" dxfId="16" priority="17">
      <formula>I45</formula>
    </cfRule>
  </conditionalFormatting>
  <conditionalFormatting sqref="I18">
    <cfRule type="expression" dxfId="15" priority="16">
      <formula>I46</formula>
    </cfRule>
  </conditionalFormatting>
  <conditionalFormatting sqref="I18">
    <cfRule type="expression" dxfId="14" priority="15">
      <formula>I46</formula>
    </cfRule>
  </conditionalFormatting>
  <conditionalFormatting sqref="I19">
    <cfRule type="expression" dxfId="13" priority="14">
      <formula>I47</formula>
    </cfRule>
  </conditionalFormatting>
  <conditionalFormatting sqref="I20">
    <cfRule type="expression" dxfId="12" priority="13">
      <formula>I48</formula>
    </cfRule>
  </conditionalFormatting>
  <conditionalFormatting sqref="I20">
    <cfRule type="expression" dxfId="11" priority="12">
      <formula>I48</formula>
    </cfRule>
  </conditionalFormatting>
  <conditionalFormatting sqref="I21">
    <cfRule type="expression" dxfId="10" priority="11">
      <formula>I49</formula>
    </cfRule>
  </conditionalFormatting>
  <conditionalFormatting sqref="I22">
    <cfRule type="expression" dxfId="9" priority="10">
      <formula>I50</formula>
    </cfRule>
  </conditionalFormatting>
  <conditionalFormatting sqref="I22">
    <cfRule type="expression" dxfId="8" priority="9">
      <formula>I50</formula>
    </cfRule>
  </conditionalFormatting>
  <conditionalFormatting sqref="I23">
    <cfRule type="expression" dxfId="7" priority="8">
      <formula>I51</formula>
    </cfRule>
  </conditionalFormatting>
  <conditionalFormatting sqref="I23">
    <cfRule type="expression" dxfId="6" priority="7">
      <formula>I51</formula>
    </cfRule>
  </conditionalFormatting>
  <conditionalFormatting sqref="P15:P23">
    <cfRule type="expression" dxfId="5" priority="6">
      <formula>O43</formula>
    </cfRule>
  </conditionalFormatting>
  <conditionalFormatting sqref="P15:P23">
    <cfRule type="expression" dxfId="4" priority="5">
      <formula>O43</formula>
    </cfRule>
  </conditionalFormatting>
  <conditionalFormatting sqref="P15:P23">
    <cfRule type="expression" dxfId="3" priority="4">
      <formula>O43</formula>
    </cfRule>
  </conditionalFormatting>
  <conditionalFormatting sqref="P15:P23">
    <cfRule type="expression" dxfId="2" priority="3">
      <formula>O43</formula>
    </cfRule>
  </conditionalFormatting>
  <conditionalFormatting sqref="P15:P23">
    <cfRule type="expression" dxfId="1" priority="2">
      <formula>O43</formula>
    </cfRule>
  </conditionalFormatting>
  <conditionalFormatting sqref="P15:P23">
    <cfRule type="expression" dxfId="0" priority="1">
      <formula>O43</formula>
    </cfRule>
  </conditionalFormatting>
  <dataValidations count="8">
    <dataValidation type="list" allowBlank="1" showInputMessage="1" showErrorMessage="1" sqref="W12:W31">
      <formula1>INDIRECT(BA12)</formula1>
    </dataValidation>
    <dataValidation type="list" allowBlank="1" showInputMessage="1" showErrorMessage="1" sqref="I12:I31 Q12:Q31">
      <formula1>FrequencyList</formula1>
    </dataValidation>
    <dataValidation type="list" allowBlank="1" showInputMessage="1" showErrorMessage="1" sqref="F12:F31 N12:N31">
      <formula1>StreamList</formula1>
    </dataValidation>
    <dataValidation type="list" allowBlank="1" showInputMessage="1" showErrorMessage="1" sqref="K7:L7">
      <formula1>"Sales,CorpBid,CorpOffer,RetailBid,RetailOffer,TraderMid,EOD"</formula1>
    </dataValidation>
    <dataValidation type="list" allowBlank="1" showInputMessage="1" showErrorMessage="1" sqref="G7">
      <formula1>CreditRatings</formula1>
    </dataValidation>
    <dataValidation type="list" allowBlank="1" showInputMessage="1" showErrorMessage="1" sqref="H12:H31 P12:P31">
      <formula1>CurrencyList</formula1>
    </dataValidation>
    <dataValidation type="list" allowBlank="1" showInputMessage="1" showErrorMessage="1" sqref="AM12:AO31">
      <formula1>AmortisedNotionalBasis</formula1>
    </dataValidation>
    <dataValidation type="list" allowBlank="1" showInputMessage="1" showErrorMessage="1" sqref="H7:J7">
      <formula1>"J,A"</formula1>
    </dataValidation>
  </dataValidations>
  <hyperlinks>
    <hyperlink ref="B12" location="A1" display="A1"/>
    <hyperlink ref="B13" location="A1" display="A1"/>
    <hyperlink ref="B14" location="A1" display="A1"/>
    <hyperlink ref="B15" location="A1" display="A1"/>
    <hyperlink ref="B16" location="A1" display="A1"/>
    <hyperlink ref="B17" location="A1" display="A1"/>
    <hyperlink ref="B18" location="A1" display="A1"/>
    <hyperlink ref="B19" location="A1" display="A1"/>
    <hyperlink ref="B20" location="A1" display="A1"/>
    <hyperlink ref="B21" location="A1" display="A1"/>
    <hyperlink ref="B22" location="A1" display="A1"/>
    <hyperlink ref="B23" location="A1" display="A1"/>
    <hyperlink ref="B24" location="A1" display="A1"/>
    <hyperlink ref="B25" location="A1" display="A1"/>
    <hyperlink ref="B26" location="A1" display="A1"/>
    <hyperlink ref="B27" location="A1" display="A1"/>
    <hyperlink ref="B28" location="A1" display="A1"/>
    <hyperlink ref="B29" location="A1" display="A1"/>
    <hyperlink ref="B30" location="A1" display="A1"/>
    <hyperlink ref="B31" location="A1" display="A1"/>
    <hyperlink ref="O8" location="Swap!A1" display="Calculate"/>
    <hyperlink ref="T8" location="Swap!A1" display="Calculate"/>
    <hyperlink ref="O4" location="Swap!A1" display="Par Swaps"/>
    <hyperlink ref="O6" location="Swap!A1" display="Calculate"/>
  </hyperlinks>
  <pageMargins left="0.7" right="0.7" top="0.75" bottom="0.75" header="0.3" footer="0.3"/>
  <pageSetup paperSize="9" orientation="portrait" horizontalDpi="4294967293" verticalDpi="300" r:id="rId1"/>
  <ignoredErrors>
    <ignoredError sqref="V24:V31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/>
  <dimension ref="A1:BH216"/>
  <sheetViews>
    <sheetView workbookViewId="0">
      <selection activeCell="AJ1" sqref="AJ1:AM1048576"/>
    </sheetView>
  </sheetViews>
  <sheetFormatPr defaultRowHeight="11.25"/>
  <cols>
    <col min="1" max="1" width="2.83203125" style="6" customWidth="1"/>
    <col min="2" max="2" width="27.5" style="6" customWidth="1"/>
    <col min="3" max="3" width="18.1640625" style="6" hidden="1" customWidth="1"/>
    <col min="4" max="4" width="14.5" style="6" bestFit="1" customWidth="1"/>
    <col min="5" max="5" width="2.83203125" style="6" customWidth="1"/>
    <col min="6" max="6" width="19.1640625" style="6" bestFit="1" customWidth="1"/>
    <col min="7" max="7" width="28.6640625" style="6" customWidth="1"/>
    <col min="8" max="8" width="2.83203125" style="6" customWidth="1"/>
    <col min="9" max="9" width="14" style="6" customWidth="1"/>
    <col min="10" max="10" width="29" style="6" customWidth="1"/>
    <col min="11" max="11" width="2.83203125" style="6" customWidth="1"/>
    <col min="12" max="12" width="12.6640625" style="6" customWidth="1"/>
    <col min="13" max="13" width="12.6640625" style="6" bestFit="1" customWidth="1"/>
    <col min="14" max="14" width="16.1640625" style="6" bestFit="1" customWidth="1"/>
    <col min="15" max="15" width="20.1640625" style="6" customWidth="1"/>
    <col min="16" max="16" width="12.6640625" style="6" bestFit="1" customWidth="1"/>
    <col min="17" max="17" width="13.33203125" style="6" bestFit="1" customWidth="1"/>
    <col min="18" max="18" width="14.1640625" style="6" bestFit="1" customWidth="1"/>
    <col min="19" max="19" width="19.5" style="6" customWidth="1"/>
    <col min="20" max="20" width="2.33203125" style="6" customWidth="1"/>
    <col min="21" max="21" width="12.1640625" style="6" customWidth="1"/>
    <col min="22" max="22" width="17.83203125" style="6" customWidth="1"/>
    <col min="23" max="23" width="14" style="478" bestFit="1" customWidth="1"/>
    <col min="24" max="24" width="16.1640625" style="6" customWidth="1"/>
    <col min="25" max="25" width="26.6640625" style="6" customWidth="1"/>
    <col min="26" max="26" width="14.5" style="6" customWidth="1"/>
    <col min="27" max="27" width="20.83203125" style="6" customWidth="1"/>
    <col min="28" max="28" width="14" style="478" customWidth="1"/>
    <col min="29" max="29" width="16.5" style="6" customWidth="1"/>
    <col min="30" max="30" width="25.83203125" style="6" customWidth="1"/>
    <col min="31" max="31" width="4.1640625" style="6" customWidth="1"/>
    <col min="32" max="32" width="16.5" style="6" customWidth="1"/>
    <col min="33" max="33" width="48.6640625" style="6" customWidth="1"/>
    <col min="34" max="35" width="9.33203125" style="6" customWidth="1"/>
    <col min="36" max="36" width="41.1640625" style="6" hidden="1" customWidth="1"/>
    <col min="37" max="37" width="19.33203125" style="6" hidden="1" customWidth="1"/>
    <col min="38" max="38" width="17.1640625" style="6" hidden="1" customWidth="1"/>
    <col min="39" max="39" width="22.6640625" style="6" hidden="1" customWidth="1"/>
    <col min="40" max="60" width="9.33203125" style="6"/>
    <col min="61" max="16384" width="9.33203125" style="282"/>
  </cols>
  <sheetData>
    <row r="1" spans="1:60">
      <c r="A1" s="280" t="e">
        <f ca="1">MID(J2, FIND("-",J2)+1,2)</f>
        <v>#VALUE!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473"/>
      <c r="X1" s="282"/>
      <c r="Y1" s="282"/>
      <c r="Z1" s="282"/>
      <c r="AA1" s="282"/>
      <c r="AB1" s="473"/>
      <c r="AC1" s="282"/>
      <c r="AD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  <c r="BD1" s="282"/>
      <c r="BE1" s="282"/>
      <c r="BF1" s="282"/>
      <c r="BG1" s="282"/>
      <c r="BH1" s="282"/>
    </row>
    <row r="2" spans="1:60" s="281" customFormat="1" ht="30" customHeight="1">
      <c r="B2" s="563" t="s">
        <v>92</v>
      </c>
      <c r="C2" s="564"/>
      <c r="D2" s="564"/>
      <c r="E2" s="564"/>
      <c r="F2" s="564"/>
      <c r="G2" s="564"/>
      <c r="H2" s="564"/>
      <c r="I2" s="565"/>
      <c r="J2" s="488" t="e">
        <f ca="1">VALUE(MID(CELL("filename",A1),FIND("]",CELL("filename",A1))+6,99))</f>
        <v>#VALUE!</v>
      </c>
      <c r="K2" s="292"/>
      <c r="L2" s="292"/>
      <c r="M2" s="292"/>
      <c r="N2" s="292"/>
      <c r="O2" s="292"/>
      <c r="P2" s="292"/>
      <c r="W2" s="474"/>
      <c r="AB2" s="474"/>
      <c r="AE2" s="31"/>
      <c r="AF2" s="31"/>
      <c r="AG2" s="31"/>
      <c r="AH2" s="31"/>
      <c r="AI2" s="31"/>
      <c r="AJ2" s="31"/>
      <c r="AK2" s="31"/>
      <c r="AL2" s="31"/>
      <c r="AM2" s="31"/>
    </row>
    <row r="3" spans="1:60">
      <c r="A3" s="282"/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473"/>
      <c r="X3" s="282"/>
      <c r="Y3" s="282"/>
      <c r="Z3" s="282"/>
      <c r="AA3" s="282"/>
      <c r="AB3" s="473"/>
      <c r="AC3" s="282"/>
      <c r="AD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</row>
    <row r="4" spans="1:60">
      <c r="A4" s="282"/>
      <c r="B4" s="295" t="s">
        <v>115</v>
      </c>
      <c r="C4" s="294" t="s">
        <v>115</v>
      </c>
      <c r="D4" s="295" t="s">
        <v>227</v>
      </c>
      <c r="E4" s="282"/>
      <c r="F4" s="282"/>
      <c r="G4" s="282"/>
      <c r="H4" s="282"/>
      <c r="I4" s="282"/>
      <c r="J4" s="282"/>
      <c r="K4" s="282"/>
      <c r="L4" s="295" t="s">
        <v>100</v>
      </c>
      <c r="M4" s="282"/>
      <c r="N4" s="282"/>
      <c r="O4" s="282"/>
      <c r="P4" s="282"/>
      <c r="Q4" s="282"/>
      <c r="R4" s="282"/>
      <c r="S4" s="282"/>
      <c r="T4" s="282"/>
      <c r="U4" s="282"/>
      <c r="V4" s="282"/>
      <c r="W4" s="473"/>
      <c r="X4" s="297" t="e">
        <f ca="1">"Total PV (" &amp; G8 &amp; ")"</f>
        <v>#VALUE!</v>
      </c>
      <c r="Y4" s="231">
        <f>SUM(Y10:Y209)</f>
        <v>0</v>
      </c>
      <c r="Z4" s="282"/>
      <c r="AA4" s="282"/>
      <c r="AB4" s="473"/>
      <c r="AC4" s="297" t="e">
        <f ca="1">"Total PV (" &amp; J8 &amp; ")"</f>
        <v>#VALUE!</v>
      </c>
      <c r="AD4" s="231">
        <f>SUM(AD10:AD209)</f>
        <v>0</v>
      </c>
      <c r="AJ4" s="32" t="s">
        <v>72</v>
      </c>
      <c r="AK4" s="32" t="s">
        <v>73</v>
      </c>
      <c r="AL4" s="32" t="s">
        <v>74</v>
      </c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  <c r="BD4" s="282"/>
      <c r="BE4" s="282"/>
      <c r="BF4" s="282"/>
      <c r="BG4" s="282"/>
      <c r="BH4" s="282"/>
    </row>
    <row r="5" spans="1:60">
      <c r="A5" s="282"/>
      <c r="B5" s="405" t="s">
        <v>71</v>
      </c>
      <c r="C5" s="307" t="s">
        <v>71</v>
      </c>
      <c r="D5" s="356" t="str">
        <f ca="1">(MID(CELL("filename",A1),FIND("]",CELL("filename",A1))+1,99))</f>
        <v>Swap-Template</v>
      </c>
      <c r="E5" s="282"/>
      <c r="F5" s="306" t="s">
        <v>7</v>
      </c>
      <c r="G5" s="280">
        <v>5</v>
      </c>
      <c r="H5" s="282"/>
      <c r="I5" s="306" t="s">
        <v>8</v>
      </c>
      <c r="J5" s="280">
        <v>13</v>
      </c>
      <c r="K5" s="282"/>
      <c r="L5" s="566" t="s">
        <v>133</v>
      </c>
      <c r="M5" s="567"/>
      <c r="N5" s="568"/>
      <c r="O5" s="293"/>
      <c r="P5" s="282"/>
      <c r="Q5" s="282"/>
      <c r="R5" s="282"/>
      <c r="S5" s="282"/>
      <c r="T5" s="282"/>
      <c r="U5" s="282"/>
      <c r="V5" s="282"/>
      <c r="W5" s="473"/>
      <c r="X5" s="426"/>
      <c r="Y5" s="425"/>
      <c r="Z5" s="282"/>
      <c r="AA5" s="282"/>
      <c r="AB5" s="473"/>
      <c r="AC5" s="426"/>
      <c r="AD5" s="425"/>
      <c r="AF5" s="519"/>
      <c r="AG5" s="520"/>
      <c r="AH5" s="521"/>
      <c r="AJ5" s="34" t="s">
        <v>62</v>
      </c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  <c r="BD5" s="282"/>
      <c r="BE5" s="282"/>
      <c r="BF5" s="282"/>
      <c r="BG5" s="282"/>
      <c r="BH5" s="282"/>
    </row>
    <row r="6" spans="1:60">
      <c r="A6" s="282"/>
      <c r="B6" s="401" t="s">
        <v>0</v>
      </c>
      <c r="C6" s="308" t="s">
        <v>0</v>
      </c>
      <c r="D6" s="357" t="str">
        <f>Swap!B7</f>
        <v>Telstra</v>
      </c>
      <c r="E6" s="282"/>
      <c r="F6" s="315" t="s">
        <v>9</v>
      </c>
      <c r="G6" s="357" t="e">
        <f ca="1">VLOOKUP($J$2,TradeTable,G5,FALSE)</f>
        <v>#VALUE!</v>
      </c>
      <c r="H6" s="282"/>
      <c r="I6" s="315" t="s">
        <v>9</v>
      </c>
      <c r="J6" s="357" t="e">
        <f ca="1">VLOOKUP($J$2,TradeTable,J5,FALSE)</f>
        <v>#VALUE!</v>
      </c>
      <c r="K6" s="282"/>
      <c r="L6" s="569" t="s">
        <v>7</v>
      </c>
      <c r="M6" s="570"/>
      <c r="N6" s="570"/>
      <c r="O6" s="571"/>
      <c r="P6" s="572" t="s">
        <v>8</v>
      </c>
      <c r="Q6" s="570"/>
      <c r="R6" s="570"/>
      <c r="S6" s="573"/>
      <c r="T6" s="282"/>
      <c r="U6" s="574" t="s">
        <v>282</v>
      </c>
      <c r="V6" s="574"/>
      <c r="W6" s="574"/>
      <c r="X6" s="574"/>
      <c r="Y6" s="574"/>
      <c r="Z6" s="574"/>
      <c r="AA6" s="574"/>
      <c r="AB6" s="574"/>
      <c r="AC6" s="574"/>
      <c r="AD6" s="574"/>
      <c r="AF6" s="522" t="s">
        <v>105</v>
      </c>
      <c r="AG6" s="523"/>
      <c r="AH6" s="524"/>
      <c r="AJ6" s="35" t="s">
        <v>63</v>
      </c>
      <c r="AK6" s="36">
        <v>2</v>
      </c>
      <c r="AL6" s="36">
        <v>2</v>
      </c>
      <c r="AM6" s="36">
        <v>2</v>
      </c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  <c r="BD6" s="282"/>
      <c r="BE6" s="282"/>
      <c r="BF6" s="282"/>
      <c r="BG6" s="282"/>
      <c r="BH6" s="282"/>
    </row>
    <row r="7" spans="1:60">
      <c r="A7" s="282"/>
      <c r="B7" s="402" t="s">
        <v>169</v>
      </c>
      <c r="C7" s="309" t="s">
        <v>141</v>
      </c>
      <c r="D7" s="358" t="str">
        <f>Swap!D7</f>
        <v>Large Corporate</v>
      </c>
      <c r="E7" s="282"/>
      <c r="F7" s="316" t="s">
        <v>11</v>
      </c>
      <c r="G7" s="379" t="e">
        <f ca="1">VLOOKUP($J$2,TradeTable,G5+1,FALSE)</f>
        <v>#VALUE!</v>
      </c>
      <c r="H7" s="282"/>
      <c r="I7" s="316" t="s">
        <v>11</v>
      </c>
      <c r="J7" s="379" t="e">
        <f ca="1">VLOOKUP($J$2,TradeTable,J5+1,FALSE)</f>
        <v>#VALUE!</v>
      </c>
      <c r="K7" s="282"/>
      <c r="L7" s="391" t="s">
        <v>5</v>
      </c>
      <c r="M7" s="391" t="s">
        <v>183</v>
      </c>
      <c r="N7" s="391" t="s">
        <v>98</v>
      </c>
      <c r="O7" s="391" t="s">
        <v>11</v>
      </c>
      <c r="P7" s="391" t="s">
        <v>5</v>
      </c>
      <c r="Q7" s="391" t="s">
        <v>183</v>
      </c>
      <c r="R7" s="391" t="s">
        <v>98</v>
      </c>
      <c r="S7" s="391" t="s">
        <v>11</v>
      </c>
      <c r="T7" s="282"/>
      <c r="U7" s="575"/>
      <c r="V7" s="575"/>
      <c r="W7" s="575"/>
      <c r="X7" s="575"/>
      <c r="Y7" s="575"/>
      <c r="Z7" s="575"/>
      <c r="AA7" s="575"/>
      <c r="AB7" s="575"/>
      <c r="AC7" s="575"/>
      <c r="AD7" s="575"/>
      <c r="AF7" s="37" t="s">
        <v>96</v>
      </c>
      <c r="AG7" s="37" t="s">
        <v>97</v>
      </c>
      <c r="AH7" s="38" t="s">
        <v>32</v>
      </c>
      <c r="AN7" s="282"/>
      <c r="AO7" s="282"/>
      <c r="AP7" s="282"/>
      <c r="AQ7" s="282"/>
      <c r="AR7" s="282"/>
      <c r="AS7" s="282"/>
      <c r="AT7" s="282"/>
      <c r="AU7" s="282"/>
      <c r="AV7" s="282"/>
      <c r="AW7" s="282"/>
      <c r="AX7" s="282"/>
      <c r="AY7" s="282"/>
      <c r="AZ7" s="282"/>
      <c r="BA7" s="282"/>
      <c r="BB7" s="282"/>
      <c r="BC7" s="282"/>
      <c r="BD7" s="282"/>
      <c r="BE7" s="282"/>
      <c r="BF7" s="282"/>
      <c r="BG7" s="282"/>
      <c r="BH7" s="282"/>
    </row>
    <row r="8" spans="1:60">
      <c r="A8" s="282"/>
      <c r="B8" s="402" t="s">
        <v>2</v>
      </c>
      <c r="C8" s="310" t="s">
        <v>2</v>
      </c>
      <c r="D8" s="358">
        <f>Swap!G7</f>
        <v>1</v>
      </c>
      <c r="E8" s="282"/>
      <c r="F8" s="316" t="s">
        <v>28</v>
      </c>
      <c r="G8" s="358" t="e">
        <f ca="1">VLOOKUP($J$2,TradeTable,G5+2,FALSE)</f>
        <v>#VALUE!</v>
      </c>
      <c r="H8" s="282"/>
      <c r="I8" s="316" t="s">
        <v>28</v>
      </c>
      <c r="J8" s="358" t="e">
        <f ca="1">VLOOKUP($J$2,TradeTable,J5+2,FALSE)</f>
        <v>#VALUE!</v>
      </c>
      <c r="K8" s="282"/>
      <c r="L8" s="388"/>
      <c r="M8" s="389" t="s">
        <v>94</v>
      </c>
      <c r="N8" s="390" t="s">
        <v>95</v>
      </c>
      <c r="O8" s="390" t="s">
        <v>11</v>
      </c>
      <c r="P8" s="390"/>
      <c r="Q8" s="389" t="s">
        <v>94</v>
      </c>
      <c r="R8" s="390" t="s">
        <v>95</v>
      </c>
      <c r="S8" s="390" t="s">
        <v>11</v>
      </c>
      <c r="T8" s="282"/>
      <c r="U8" s="544" t="e">
        <f ca="1">"Pay ("&amp; G8&amp;")"</f>
        <v>#VALUE!</v>
      </c>
      <c r="V8" s="545"/>
      <c r="W8" s="545"/>
      <c r="X8" s="545"/>
      <c r="Y8" s="546"/>
      <c r="Z8" s="544" t="e">
        <f ca="1">"Receive ("&amp; J8&amp;")"</f>
        <v>#VALUE!</v>
      </c>
      <c r="AA8" s="545"/>
      <c r="AB8" s="545"/>
      <c r="AC8" s="545"/>
      <c r="AD8" s="546"/>
      <c r="AF8" s="39" t="str">
        <f t="shared" ref="AF8:AG27" si="0">IF(F23="","",F23)</f>
        <v/>
      </c>
      <c r="AG8" s="39" t="str">
        <f t="shared" si="0"/>
        <v/>
      </c>
      <c r="AH8" s="40" t="str">
        <f t="shared" ref="AH8:AH27" si="1">IF(AF8="","",$G$13)</f>
        <v/>
      </c>
      <c r="AJ8" s="160" t="s">
        <v>199</v>
      </c>
      <c r="AK8" s="36"/>
      <c r="AN8" s="282"/>
      <c r="AO8" s="282"/>
      <c r="AP8" s="282"/>
      <c r="AQ8" s="282"/>
      <c r="AR8" s="282"/>
      <c r="AS8" s="282"/>
      <c r="AT8" s="282"/>
      <c r="AU8" s="282"/>
      <c r="AV8" s="282"/>
      <c r="AW8" s="282"/>
      <c r="AX8" s="282"/>
      <c r="AY8" s="282"/>
      <c r="AZ8" s="282"/>
      <c r="BA8" s="282"/>
      <c r="BB8" s="282"/>
      <c r="BC8" s="282"/>
      <c r="BD8" s="282"/>
      <c r="BE8" s="282"/>
      <c r="BF8" s="282"/>
      <c r="BG8" s="282"/>
      <c r="BH8" s="282"/>
    </row>
    <row r="9" spans="1:60">
      <c r="A9" s="282"/>
      <c r="B9" s="403" t="s">
        <v>68</v>
      </c>
      <c r="C9" s="311" t="s">
        <v>54</v>
      </c>
      <c r="D9" s="359" t="str">
        <f>Swap!H7</f>
        <v>J</v>
      </c>
      <c r="E9" s="282"/>
      <c r="F9" s="316" t="s">
        <v>14</v>
      </c>
      <c r="G9" s="380" t="e">
        <f ca="1">VLOOKUP($J$2,TradeTable,G5+4,FALSE)</f>
        <v>#VALUE!</v>
      </c>
      <c r="H9" s="282"/>
      <c r="I9" s="316" t="s">
        <v>14</v>
      </c>
      <c r="J9" s="380" t="e">
        <f ca="1">VLOOKUP($J$2,TradeTable,J5+4,FALSE)</f>
        <v>#VALUE!</v>
      </c>
      <c r="K9" s="282"/>
      <c r="L9" s="384" t="e">
        <f ca="1">$D$11</f>
        <v>#VALUE!</v>
      </c>
      <c r="M9" s="387"/>
      <c r="N9" s="253"/>
      <c r="O9" s="383" t="e">
        <f ca="1">$G$7*-1</f>
        <v>#VALUE!</v>
      </c>
      <c r="P9" s="384" t="e">
        <f ca="1">$D$11</f>
        <v>#VALUE!</v>
      </c>
      <c r="Q9" s="387"/>
      <c r="R9" s="253"/>
      <c r="S9" s="383" t="e">
        <f ca="1">$J$7</f>
        <v>#VALUE!</v>
      </c>
      <c r="T9" s="282"/>
      <c r="U9" s="303" t="s">
        <v>19</v>
      </c>
      <c r="V9" s="303" t="s">
        <v>157</v>
      </c>
      <c r="W9" s="303" t="s">
        <v>301</v>
      </c>
      <c r="X9" s="303" t="s">
        <v>155</v>
      </c>
      <c r="Y9" s="303" t="s">
        <v>156</v>
      </c>
      <c r="Z9" s="303" t="s">
        <v>19</v>
      </c>
      <c r="AA9" s="303" t="s">
        <v>157</v>
      </c>
      <c r="AB9" s="303" t="s">
        <v>301</v>
      </c>
      <c r="AC9" s="303" t="s">
        <v>155</v>
      </c>
      <c r="AD9" s="303" t="s">
        <v>156</v>
      </c>
      <c r="AF9" s="39" t="str">
        <f t="shared" si="0"/>
        <v/>
      </c>
      <c r="AG9" s="12" t="str">
        <f t="shared" si="0"/>
        <v/>
      </c>
      <c r="AH9" s="39" t="str">
        <f t="shared" si="1"/>
        <v/>
      </c>
      <c r="AJ9" s="42" t="s">
        <v>77</v>
      </c>
      <c r="AK9" s="43" t="e">
        <f t="shared" ref="AK9:AK24" ca="1" si="2">IF(AL9="",AM9,AL9)</f>
        <v>#VALUE!</v>
      </c>
      <c r="AL9" s="43" t="e">
        <f ca="1">"SWAP-" &amp; $J$2</f>
        <v>#VALUE!</v>
      </c>
      <c r="AM9" s="43" t="s">
        <v>75</v>
      </c>
      <c r="AN9" s="282"/>
      <c r="AO9" s="282"/>
      <c r="AP9" s="282"/>
      <c r="AQ9" s="282"/>
      <c r="AR9" s="282"/>
      <c r="AS9" s="282"/>
      <c r="AT9" s="282"/>
      <c r="AU9" s="282"/>
      <c r="AV9" s="282"/>
      <c r="AW9" s="282"/>
      <c r="AX9" s="282"/>
      <c r="AY9" s="282"/>
      <c r="AZ9" s="282"/>
      <c r="BA9" s="282"/>
      <c r="BB9" s="282"/>
      <c r="BC9" s="282"/>
      <c r="BD9" s="282"/>
      <c r="BE9" s="282"/>
      <c r="BF9" s="282"/>
      <c r="BG9" s="282"/>
      <c r="BH9" s="282"/>
    </row>
    <row r="10" spans="1:60" ht="14.25" customHeight="1">
      <c r="A10" s="282"/>
      <c r="B10" s="413"/>
      <c r="C10" s="414"/>
      <c r="D10" s="284"/>
      <c r="E10" s="282"/>
      <c r="F10" s="316" t="s">
        <v>300</v>
      </c>
      <c r="G10" s="381" t="e">
        <f ca="1">VLOOKUP($J$2,TradeTable,G5+5,FALSE)</f>
        <v>#VALUE!</v>
      </c>
      <c r="H10" s="282"/>
      <c r="I10" s="318"/>
      <c r="J10" s="382"/>
      <c r="K10" s="282"/>
      <c r="L10" s="384" t="e">
        <f ca="1">IF(AND(M9&lt;$D$12, M9&lt;&gt;""),M9,"")</f>
        <v>#VALUE!</v>
      </c>
      <c r="M10" s="183"/>
      <c r="N10" s="184"/>
      <c r="O10" s="383" t="str">
        <f>IF(M10=0,"",O9+N9)</f>
        <v/>
      </c>
      <c r="P10" s="384" t="e">
        <f ca="1">IF(AND(Q9&lt;$D$12, Q9&lt;&gt;""),Q9,"")</f>
        <v>#VALUE!</v>
      </c>
      <c r="Q10" s="183"/>
      <c r="R10" s="184"/>
      <c r="S10" s="383" t="str">
        <f>IF(Q10=0,"",S9+R9)</f>
        <v/>
      </c>
      <c r="T10" s="282"/>
      <c r="U10" s="393"/>
      <c r="V10" s="392"/>
      <c r="W10" s="475"/>
      <c r="X10" s="392"/>
      <c r="Y10" s="395"/>
      <c r="Z10" s="393"/>
      <c r="AA10" s="392"/>
      <c r="AB10" s="479"/>
      <c r="AC10" s="392"/>
      <c r="AD10" s="395"/>
      <c r="AF10" s="39" t="str">
        <f t="shared" si="0"/>
        <v/>
      </c>
      <c r="AG10" s="12" t="str">
        <f t="shared" si="0"/>
        <v/>
      </c>
      <c r="AH10" s="39" t="str">
        <f t="shared" si="1"/>
        <v/>
      </c>
      <c r="AJ10" s="46" t="s">
        <v>20</v>
      </c>
      <c r="AK10" s="47" t="e">
        <f t="shared" ca="1" si="2"/>
        <v>#VALUE!</v>
      </c>
      <c r="AL10" s="47" t="e">
        <f ca="1">D11</f>
        <v>#VALUE!</v>
      </c>
      <c r="AM10" s="47">
        <f ca="1">TODAY()</f>
        <v>40491</v>
      </c>
      <c r="AN10" s="282"/>
      <c r="AO10" s="282"/>
      <c r="AP10" s="282"/>
      <c r="AQ10" s="282"/>
      <c r="AR10" s="282"/>
      <c r="AS10" s="282"/>
      <c r="AT10" s="282"/>
      <c r="AU10" s="282"/>
      <c r="AV10" s="282"/>
      <c r="AW10" s="282"/>
      <c r="AX10" s="282"/>
      <c r="AY10" s="282"/>
      <c r="AZ10" s="282"/>
      <c r="BA10" s="282"/>
      <c r="BB10" s="282"/>
      <c r="BC10" s="282"/>
      <c r="BD10" s="282"/>
      <c r="BE10" s="282"/>
      <c r="BF10" s="282"/>
      <c r="BG10" s="282"/>
      <c r="BH10" s="282"/>
    </row>
    <row r="11" spans="1:60">
      <c r="A11" s="282"/>
      <c r="B11" s="404" t="s">
        <v>5</v>
      </c>
      <c r="C11" s="319" t="s">
        <v>5</v>
      </c>
      <c r="D11" s="360" t="e">
        <f ca="1">VLOOKUP($J$2,TradeTable,2,FALSE)</f>
        <v>#VALUE!</v>
      </c>
      <c r="E11" s="282"/>
      <c r="F11" s="316" t="s">
        <v>15</v>
      </c>
      <c r="G11" s="358" t="e">
        <f ca="1">VLOOKUP($J$2,TradeTable,G5+6,FALSE)</f>
        <v>#VALUE!</v>
      </c>
      <c r="H11" s="282"/>
      <c r="I11" s="316" t="s">
        <v>15</v>
      </c>
      <c r="J11" s="358" t="e">
        <f ca="1">VLOOKUP($J$2,TradeTable,J5+5,FALSE)+VLOOKUP($J$2,TradeTable,J5+6,FALSE)</f>
        <v>#VALUE!</v>
      </c>
      <c r="K11" s="282"/>
      <c r="L11" s="384" t="e">
        <f t="shared" ref="L11:L74" ca="1" si="3">IF(AND(M10&lt;$D$12, M10&lt;&gt;""),M10,"")</f>
        <v>#VALUE!</v>
      </c>
      <c r="M11" s="183"/>
      <c r="N11" s="184"/>
      <c r="O11" s="383" t="str">
        <f t="shared" ref="O11:O74" si="4">IF(M11=0,"",O10+N10)</f>
        <v/>
      </c>
      <c r="P11" s="384" t="e">
        <f t="shared" ref="P11:P74" ca="1" si="5">IF(AND(Q10&lt;$D$12, Q10&lt;&gt;""),Q10,"")</f>
        <v>#VALUE!</v>
      </c>
      <c r="Q11" s="183"/>
      <c r="R11" s="184"/>
      <c r="S11" s="383" t="str">
        <f t="shared" ref="S11:S74" si="6">IF(Q11=0,"",S10+R10)</f>
        <v/>
      </c>
      <c r="T11" s="282"/>
      <c r="U11" s="396"/>
      <c r="V11" s="397"/>
      <c r="W11" s="476"/>
      <c r="X11" s="397"/>
      <c r="Y11" s="398"/>
      <c r="Z11" s="396"/>
      <c r="AA11" s="397"/>
      <c r="AB11" s="480"/>
      <c r="AC11" s="397"/>
      <c r="AD11" s="398"/>
      <c r="AF11" s="39" t="str">
        <f t="shared" si="0"/>
        <v/>
      </c>
      <c r="AG11" s="12" t="str">
        <f t="shared" si="0"/>
        <v/>
      </c>
      <c r="AH11" s="39" t="str">
        <f t="shared" si="1"/>
        <v/>
      </c>
      <c r="AJ11" s="46" t="s">
        <v>21</v>
      </c>
      <c r="AK11" s="47" t="e">
        <f t="shared" ca="1" si="2"/>
        <v>#VALUE!</v>
      </c>
      <c r="AL11" s="47" t="e">
        <f ca="1">D12</f>
        <v>#VALUE!</v>
      </c>
      <c r="AM11" s="47">
        <f ca="1">DATE(YEAR(AM10)+10,MONTH(AM10),DAY(AM10))</f>
        <v>44144</v>
      </c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2"/>
      <c r="BB11" s="282"/>
      <c r="BC11" s="282"/>
      <c r="BD11" s="282"/>
      <c r="BE11" s="282"/>
      <c r="BF11" s="282"/>
      <c r="BG11" s="282"/>
      <c r="BH11" s="282"/>
    </row>
    <row r="12" spans="1:60">
      <c r="A12" s="282"/>
      <c r="B12" s="405" t="s">
        <v>6</v>
      </c>
      <c r="C12" s="311" t="s">
        <v>6</v>
      </c>
      <c r="D12" s="361" t="e">
        <f ca="1">VLOOKUP($J$2,TradeTable,3,FALSE)</f>
        <v>#VALUE!</v>
      </c>
      <c r="E12" s="282"/>
      <c r="F12" s="316" t="s">
        <v>70</v>
      </c>
      <c r="G12" s="358" t="e">
        <f ca="1">VLOOKUP($J$2,TradeTable,G5+3,FALSE)</f>
        <v>#VALUE!</v>
      </c>
      <c r="H12" s="282"/>
      <c r="I12" s="316" t="s">
        <v>70</v>
      </c>
      <c r="J12" s="358" t="e">
        <f ca="1">VLOOKUP($J$2,TradeTable,J5+3,FALSE)</f>
        <v>#VALUE!</v>
      </c>
      <c r="K12" s="282"/>
      <c r="L12" s="384" t="e">
        <f t="shared" ca="1" si="3"/>
        <v>#VALUE!</v>
      </c>
      <c r="M12" s="183"/>
      <c r="N12" s="184"/>
      <c r="O12" s="383" t="str">
        <f t="shared" si="4"/>
        <v/>
      </c>
      <c r="P12" s="384" t="e">
        <f t="shared" ca="1" si="5"/>
        <v>#VALUE!</v>
      </c>
      <c r="Q12" s="183"/>
      <c r="R12" s="184"/>
      <c r="S12" s="383" t="str">
        <f t="shared" si="6"/>
        <v/>
      </c>
      <c r="T12" s="282"/>
      <c r="U12" s="396"/>
      <c r="V12" s="397"/>
      <c r="W12" s="476"/>
      <c r="X12" s="397"/>
      <c r="Y12" s="398"/>
      <c r="Z12" s="396"/>
      <c r="AA12" s="397"/>
      <c r="AB12" s="480"/>
      <c r="AC12" s="397"/>
      <c r="AD12" s="398"/>
      <c r="AF12" s="39" t="str">
        <f t="shared" si="0"/>
        <v/>
      </c>
      <c r="AG12" s="12" t="str">
        <f t="shared" si="0"/>
        <v/>
      </c>
      <c r="AH12" s="39" t="str">
        <f t="shared" si="1"/>
        <v/>
      </c>
      <c r="AJ12" s="46" t="s">
        <v>78</v>
      </c>
      <c r="AK12" s="48" t="b">
        <f t="shared" si="2"/>
        <v>1</v>
      </c>
      <c r="AL12" s="48"/>
      <c r="AM12" s="48" t="b">
        <v>1</v>
      </c>
      <c r="AN12" s="282"/>
      <c r="AO12" s="282"/>
      <c r="AP12" s="282"/>
      <c r="AQ12" s="282"/>
      <c r="AR12" s="282"/>
      <c r="AS12" s="282"/>
      <c r="AT12" s="282"/>
      <c r="AU12" s="282"/>
      <c r="AV12" s="282"/>
      <c r="AW12" s="282"/>
      <c r="AX12" s="282"/>
      <c r="AY12" s="282"/>
      <c r="AZ12" s="282"/>
      <c r="BA12" s="282"/>
      <c r="BB12" s="282"/>
      <c r="BC12" s="282"/>
      <c r="BD12" s="282"/>
      <c r="BE12" s="282"/>
      <c r="BF12" s="282"/>
      <c r="BG12" s="282"/>
      <c r="BH12" s="282"/>
    </row>
    <row r="13" spans="1:60">
      <c r="A13" s="282"/>
      <c r="B13" s="406" t="s">
        <v>192</v>
      </c>
      <c r="C13" s="252"/>
      <c r="D13" s="362" t="e">
        <f ca="1">ABS(D12-D11)</f>
        <v>#VALUE!</v>
      </c>
      <c r="E13" s="282"/>
      <c r="F13" s="316" t="s">
        <v>10</v>
      </c>
      <c r="G13" s="223" t="e">
        <f ca="1">DAY(D11)</f>
        <v>#VALUE!</v>
      </c>
      <c r="H13" s="282"/>
      <c r="I13" s="316" t="s">
        <v>10</v>
      </c>
      <c r="J13" s="223" t="e">
        <f ca="1">DAY(D11)</f>
        <v>#VALUE!</v>
      </c>
      <c r="K13" s="282"/>
      <c r="L13" s="384" t="e">
        <f t="shared" ca="1" si="3"/>
        <v>#VALUE!</v>
      </c>
      <c r="M13" s="183"/>
      <c r="N13" s="184"/>
      <c r="O13" s="383" t="str">
        <f t="shared" si="4"/>
        <v/>
      </c>
      <c r="P13" s="384" t="e">
        <f t="shared" ca="1" si="5"/>
        <v>#VALUE!</v>
      </c>
      <c r="Q13" s="183"/>
      <c r="R13" s="184"/>
      <c r="S13" s="383" t="str">
        <f t="shared" si="6"/>
        <v/>
      </c>
      <c r="T13" s="282"/>
      <c r="U13" s="396"/>
      <c r="V13" s="397"/>
      <c r="W13" s="476"/>
      <c r="X13" s="397"/>
      <c r="Y13" s="398"/>
      <c r="Z13" s="396"/>
      <c r="AA13" s="397"/>
      <c r="AB13" s="480"/>
      <c r="AC13" s="397"/>
      <c r="AD13" s="398"/>
      <c r="AF13" s="39" t="str">
        <f t="shared" si="0"/>
        <v/>
      </c>
      <c r="AG13" s="12" t="str">
        <f t="shared" si="0"/>
        <v/>
      </c>
      <c r="AH13" s="39" t="str">
        <f t="shared" si="1"/>
        <v/>
      </c>
      <c r="AJ13" s="46" t="s">
        <v>79</v>
      </c>
      <c r="AK13" s="48" t="str">
        <f t="shared" si="2"/>
        <v>Pays</v>
      </c>
      <c r="AL13" s="48"/>
      <c r="AM13" s="48" t="s">
        <v>22</v>
      </c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2"/>
      <c r="AZ13" s="282"/>
      <c r="BA13" s="282"/>
      <c r="BB13" s="282"/>
      <c r="BC13" s="282"/>
      <c r="BD13" s="282"/>
      <c r="BE13" s="282"/>
      <c r="BF13" s="282"/>
      <c r="BG13" s="282"/>
      <c r="BH13" s="282"/>
    </row>
    <row r="14" spans="1:60">
      <c r="A14" s="282"/>
      <c r="B14" s="407" t="s">
        <v>225</v>
      </c>
      <c r="C14" s="320"/>
      <c r="D14" s="363" t="e">
        <f ca="1">VLOOKUP($J$2,TradeTable,22,FALSE)</f>
        <v>#VALUE!</v>
      </c>
      <c r="E14" s="282"/>
      <c r="F14" s="316" t="s">
        <v>16</v>
      </c>
      <c r="G14" s="358" t="e">
        <f ca="1">IF(G8=J8, VLOOKUP(G8,CurrencyTable,2,FALSE), VLOOKUP(G8,CurrencyTable,2,FALSE)&amp;","&amp;VLOOKUP(J8,CurrencyTable,2,FALSE)&amp;IF(AND(G8&lt;&gt;"USD",J8&lt;&gt;"USD"),","&amp;VLOOKUP("USD",CurrencyTable,2,FALSE),""))</f>
        <v>#VALUE!</v>
      </c>
      <c r="H14" s="282"/>
      <c r="I14" s="316" t="s">
        <v>16</v>
      </c>
      <c r="J14" s="358" t="e">
        <f ca="1">IF(G8=J8, VLOOKUP(J8,CurrencyTable,2,FALSE), VLOOKUP(J8,CurrencyTable,2,FALSE)&amp;","&amp;VLOOKUP(G8,CurrencyTable,2,FALSE)&amp;IF(AND(G8&lt;&gt;"USD",J8&lt;&gt;"USD"),","&amp;VLOOKUP("USD",CurrencyTable,2,FALSE),""))</f>
        <v>#VALUE!</v>
      </c>
      <c r="K14" s="282"/>
      <c r="L14" s="384" t="e">
        <f t="shared" ca="1" si="3"/>
        <v>#VALUE!</v>
      </c>
      <c r="M14" s="183"/>
      <c r="N14" s="184"/>
      <c r="O14" s="383" t="str">
        <f t="shared" si="4"/>
        <v/>
      </c>
      <c r="P14" s="384" t="e">
        <f t="shared" ca="1" si="5"/>
        <v>#VALUE!</v>
      </c>
      <c r="Q14" s="183"/>
      <c r="R14" s="184"/>
      <c r="S14" s="383" t="str">
        <f t="shared" si="6"/>
        <v/>
      </c>
      <c r="T14" s="282"/>
      <c r="U14" s="396"/>
      <c r="V14" s="397"/>
      <c r="W14" s="476"/>
      <c r="X14" s="397"/>
      <c r="Y14" s="398"/>
      <c r="Z14" s="396"/>
      <c r="AA14" s="397"/>
      <c r="AB14" s="480"/>
      <c r="AC14" s="397"/>
      <c r="AD14" s="398"/>
      <c r="AF14" s="39" t="str">
        <f t="shared" si="0"/>
        <v/>
      </c>
      <c r="AG14" s="12" t="str">
        <f t="shared" si="0"/>
        <v/>
      </c>
      <c r="AH14" s="39" t="str">
        <f t="shared" si="1"/>
        <v/>
      </c>
      <c r="AJ14" s="46" t="s">
        <v>23</v>
      </c>
      <c r="AK14" s="48" t="str">
        <f t="shared" si="2"/>
        <v>Telstra</v>
      </c>
      <c r="AL14" s="48" t="str">
        <f>D6</f>
        <v>Telstra</v>
      </c>
      <c r="AM14" s="48">
        <v>0</v>
      </c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2"/>
      <c r="AZ14" s="282"/>
      <c r="BA14" s="282"/>
      <c r="BB14" s="282"/>
      <c r="BC14" s="282"/>
      <c r="BD14" s="282"/>
      <c r="BE14" s="282"/>
      <c r="BF14" s="282"/>
      <c r="BG14" s="282"/>
      <c r="BH14" s="282"/>
    </row>
    <row r="15" spans="1:60">
      <c r="A15" s="282"/>
      <c r="B15" s="284"/>
      <c r="C15" s="282"/>
      <c r="D15" s="284"/>
      <c r="E15" s="282"/>
      <c r="F15" s="316" t="s">
        <v>198</v>
      </c>
      <c r="G15" s="220" t="s">
        <v>33</v>
      </c>
      <c r="H15" s="282"/>
      <c r="I15" s="316" t="s">
        <v>198</v>
      </c>
      <c r="J15" s="220" t="s">
        <v>33</v>
      </c>
      <c r="K15" s="282"/>
      <c r="L15" s="384" t="e">
        <f t="shared" ca="1" si="3"/>
        <v>#VALUE!</v>
      </c>
      <c r="M15" s="183"/>
      <c r="N15" s="184"/>
      <c r="O15" s="383" t="str">
        <f t="shared" si="4"/>
        <v/>
      </c>
      <c r="P15" s="384" t="e">
        <f t="shared" ca="1" si="5"/>
        <v>#VALUE!</v>
      </c>
      <c r="Q15" s="183"/>
      <c r="R15" s="184"/>
      <c r="S15" s="383" t="str">
        <f t="shared" si="6"/>
        <v/>
      </c>
      <c r="T15" s="282"/>
      <c r="U15" s="396"/>
      <c r="V15" s="397"/>
      <c r="W15" s="476"/>
      <c r="X15" s="397"/>
      <c r="Y15" s="398"/>
      <c r="Z15" s="396"/>
      <c r="AA15" s="397"/>
      <c r="AB15" s="480"/>
      <c r="AC15" s="397"/>
      <c r="AD15" s="398"/>
      <c r="AF15" s="39" t="str">
        <f t="shared" si="0"/>
        <v/>
      </c>
      <c r="AG15" s="12" t="str">
        <f t="shared" si="0"/>
        <v/>
      </c>
      <c r="AH15" s="39" t="str">
        <f t="shared" si="1"/>
        <v/>
      </c>
      <c r="AJ15" s="46" t="s">
        <v>80</v>
      </c>
      <c r="AK15" s="48" t="e">
        <f t="shared" ca="1" si="2"/>
        <v>#VALUE!</v>
      </c>
      <c r="AL15" s="48" t="e">
        <f ca="1">AL29&amp;"-"&amp;AL51</f>
        <v>#VALUE!</v>
      </c>
      <c r="AM15" s="48" t="s">
        <v>81</v>
      </c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2"/>
      <c r="AZ15" s="282"/>
      <c r="BA15" s="282"/>
      <c r="BB15" s="282"/>
      <c r="BC15" s="282"/>
      <c r="BD15" s="282"/>
      <c r="BE15" s="282"/>
      <c r="BF15" s="282"/>
      <c r="BG15" s="282"/>
      <c r="BH15" s="282"/>
    </row>
    <row r="16" spans="1:60" ht="12.75" customHeight="1">
      <c r="A16" s="282"/>
      <c r="B16" s="423" t="s">
        <v>251</v>
      </c>
      <c r="C16" s="308"/>
      <c r="D16" s="415">
        <f>J5+6</f>
        <v>19</v>
      </c>
      <c r="E16" s="282"/>
      <c r="F16" s="316" t="s">
        <v>17</v>
      </c>
      <c r="G16" s="221" t="e">
        <f ca="1">VLOOKUP(G8,CurrencyTable,6,FALSE)</f>
        <v>#VALUE!</v>
      </c>
      <c r="H16" s="282"/>
      <c r="I16" s="316" t="s">
        <v>17</v>
      </c>
      <c r="J16" s="221" t="e">
        <f ca="1">VLOOKUP(J8,CurrencyTable,6,FALSE)</f>
        <v>#VALUE!</v>
      </c>
      <c r="K16" s="282"/>
      <c r="L16" s="384" t="e">
        <f t="shared" ca="1" si="3"/>
        <v>#VALUE!</v>
      </c>
      <c r="M16" s="183"/>
      <c r="N16" s="184"/>
      <c r="O16" s="383" t="str">
        <f t="shared" si="4"/>
        <v/>
      </c>
      <c r="P16" s="384" t="e">
        <f t="shared" ca="1" si="5"/>
        <v>#VALUE!</v>
      </c>
      <c r="Q16" s="183"/>
      <c r="R16" s="184"/>
      <c r="S16" s="383" t="str">
        <f t="shared" si="6"/>
        <v/>
      </c>
      <c r="T16" s="282"/>
      <c r="U16" s="396"/>
      <c r="V16" s="397"/>
      <c r="W16" s="476"/>
      <c r="X16" s="397"/>
      <c r="Y16" s="398"/>
      <c r="Z16" s="396"/>
      <c r="AA16" s="397"/>
      <c r="AB16" s="480"/>
      <c r="AC16" s="397"/>
      <c r="AD16" s="398"/>
      <c r="AF16" s="39" t="str">
        <f t="shared" si="0"/>
        <v/>
      </c>
      <c r="AG16" s="12" t="str">
        <f t="shared" si="0"/>
        <v/>
      </c>
      <c r="AH16" s="39" t="str">
        <f t="shared" si="1"/>
        <v/>
      </c>
      <c r="AJ16" s="46" t="s">
        <v>27</v>
      </c>
      <c r="AK16" s="48" t="e">
        <f t="shared" ca="1" si="2"/>
        <v>#VALUE!</v>
      </c>
      <c r="AL16" s="50" t="e">
        <f ca="1">AL28</f>
        <v>#VALUE!</v>
      </c>
      <c r="AM16" s="48">
        <v>1000000</v>
      </c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2"/>
      <c r="AZ16" s="282"/>
      <c r="BA16" s="282"/>
      <c r="BB16" s="282"/>
      <c r="BC16" s="282"/>
      <c r="BD16" s="282"/>
      <c r="BE16" s="282"/>
      <c r="BF16" s="282"/>
      <c r="BG16" s="282"/>
      <c r="BH16" s="282"/>
    </row>
    <row r="17" spans="1:60">
      <c r="A17" s="282"/>
      <c r="B17" s="417" t="s">
        <v>266</v>
      </c>
      <c r="C17" s="128"/>
      <c r="D17" s="364" t="e">
        <f ca="1">VLOOKUP(SwapNumber,TradeTable,D16,FALSE)</f>
        <v>#VALUE!</v>
      </c>
      <c r="E17" s="282"/>
      <c r="F17" s="317" t="s">
        <v>207</v>
      </c>
      <c r="G17" s="222" t="s">
        <v>36</v>
      </c>
      <c r="H17" s="282"/>
      <c r="I17" s="317" t="s">
        <v>207</v>
      </c>
      <c r="J17" s="222" t="s">
        <v>36</v>
      </c>
      <c r="K17" s="282"/>
      <c r="L17" s="384" t="e">
        <f t="shared" ca="1" si="3"/>
        <v>#VALUE!</v>
      </c>
      <c r="M17" s="183"/>
      <c r="N17" s="184"/>
      <c r="O17" s="383" t="str">
        <f t="shared" si="4"/>
        <v/>
      </c>
      <c r="P17" s="384" t="e">
        <f t="shared" ca="1" si="5"/>
        <v>#VALUE!</v>
      </c>
      <c r="Q17" s="183"/>
      <c r="R17" s="184"/>
      <c r="S17" s="383" t="str">
        <f t="shared" si="6"/>
        <v/>
      </c>
      <c r="T17" s="282"/>
      <c r="U17" s="396"/>
      <c r="V17" s="397"/>
      <c r="W17" s="476"/>
      <c r="X17" s="397"/>
      <c r="Y17" s="398"/>
      <c r="Z17" s="396"/>
      <c r="AA17" s="397"/>
      <c r="AB17" s="480"/>
      <c r="AC17" s="397"/>
      <c r="AD17" s="398"/>
      <c r="AF17" s="39" t="str">
        <f t="shared" si="0"/>
        <v/>
      </c>
      <c r="AG17" s="12" t="str">
        <f t="shared" si="0"/>
        <v/>
      </c>
      <c r="AH17" s="39" t="str">
        <f t="shared" si="1"/>
        <v/>
      </c>
      <c r="AJ17" s="46" t="s">
        <v>82</v>
      </c>
      <c r="AK17" s="48" t="e">
        <f t="shared" ca="1" si="2"/>
        <v>#VALUE!</v>
      </c>
      <c r="AL17" s="50" t="e">
        <f ca="1">UPPER(AL29)</f>
        <v>#VALUE!</v>
      </c>
      <c r="AM17" s="48" t="s">
        <v>13</v>
      </c>
      <c r="AN17" s="282"/>
      <c r="AO17" s="282"/>
      <c r="AP17" s="282"/>
      <c r="AQ17" s="282"/>
      <c r="AR17" s="282"/>
      <c r="AS17" s="282"/>
      <c r="AT17" s="282"/>
      <c r="AU17" s="282"/>
      <c r="AV17" s="282"/>
      <c r="AW17" s="282"/>
      <c r="AX17" s="282"/>
      <c r="AY17" s="282"/>
      <c r="AZ17" s="282"/>
      <c r="BA17" s="282"/>
      <c r="BB17" s="282"/>
      <c r="BC17" s="282"/>
      <c r="BD17" s="282"/>
      <c r="BE17" s="282"/>
      <c r="BF17" s="282"/>
      <c r="BG17" s="282"/>
      <c r="BH17" s="282"/>
    </row>
    <row r="18" spans="1:60">
      <c r="A18" s="282"/>
      <c r="B18" s="418" t="s">
        <v>267</v>
      </c>
      <c r="C18" s="128"/>
      <c r="D18" s="365" t="e">
        <f ca="1">VLOOKUP(SwapNumber,TradeTable,D16+1,FALSE)</f>
        <v>#VALUE!</v>
      </c>
      <c r="E18" s="282"/>
      <c r="F18" s="315" t="s">
        <v>205</v>
      </c>
      <c r="G18" s="139"/>
      <c r="H18" s="282"/>
      <c r="I18" s="315" t="s">
        <v>205</v>
      </c>
      <c r="J18" s="139"/>
      <c r="K18" s="282"/>
      <c r="L18" s="384" t="e">
        <f t="shared" ca="1" si="3"/>
        <v>#VALUE!</v>
      </c>
      <c r="M18" s="183"/>
      <c r="N18" s="184"/>
      <c r="O18" s="383" t="str">
        <f t="shared" si="4"/>
        <v/>
      </c>
      <c r="P18" s="384" t="e">
        <f t="shared" ca="1" si="5"/>
        <v>#VALUE!</v>
      </c>
      <c r="Q18" s="183"/>
      <c r="R18" s="184"/>
      <c r="S18" s="383" t="str">
        <f t="shared" si="6"/>
        <v/>
      </c>
      <c r="T18" s="282"/>
      <c r="U18" s="396"/>
      <c r="V18" s="397"/>
      <c r="W18" s="476"/>
      <c r="X18" s="397"/>
      <c r="Y18" s="398"/>
      <c r="Z18" s="396"/>
      <c r="AA18" s="397"/>
      <c r="AB18" s="480"/>
      <c r="AC18" s="397"/>
      <c r="AD18" s="398"/>
      <c r="AF18" s="39" t="str">
        <f t="shared" si="0"/>
        <v/>
      </c>
      <c r="AG18" s="12" t="str">
        <f t="shared" si="0"/>
        <v/>
      </c>
      <c r="AH18" s="39" t="str">
        <f t="shared" si="1"/>
        <v/>
      </c>
      <c r="AJ18" s="46" t="s">
        <v>24</v>
      </c>
      <c r="AK18" s="48" t="e">
        <f t="shared" ca="1" si="2"/>
        <v>#VALUE!</v>
      </c>
      <c r="AL18" s="50" t="e">
        <f ca="1">AK50/AK28</f>
        <v>#VALUE!</v>
      </c>
      <c r="AM18" s="48">
        <v>1</v>
      </c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2"/>
      <c r="AZ18" s="282"/>
      <c r="BA18" s="282"/>
      <c r="BB18" s="282"/>
      <c r="BC18" s="282"/>
      <c r="BD18" s="282"/>
      <c r="BE18" s="282"/>
      <c r="BF18" s="282"/>
      <c r="BG18" s="282"/>
      <c r="BH18" s="282"/>
    </row>
    <row r="19" spans="1:60">
      <c r="A19" s="282"/>
      <c r="B19" s="418" t="s">
        <v>268</v>
      </c>
      <c r="C19" s="128"/>
      <c r="D19" s="365" t="e">
        <f ca="1">VLOOKUP(SwapNumber,TradeTable,D16+11,FALSE)</f>
        <v>#VALUE!</v>
      </c>
      <c r="E19" s="282"/>
      <c r="F19" s="317" t="s">
        <v>216</v>
      </c>
      <c r="G19" s="195"/>
      <c r="H19" s="282"/>
      <c r="I19" s="317" t="s">
        <v>216</v>
      </c>
      <c r="J19" s="195"/>
      <c r="K19" s="282"/>
      <c r="L19" s="384" t="e">
        <f t="shared" ca="1" si="3"/>
        <v>#VALUE!</v>
      </c>
      <c r="M19" s="183"/>
      <c r="N19" s="184"/>
      <c r="O19" s="383" t="str">
        <f t="shared" si="4"/>
        <v/>
      </c>
      <c r="P19" s="384" t="e">
        <f t="shared" ca="1" si="5"/>
        <v>#VALUE!</v>
      </c>
      <c r="Q19" s="183"/>
      <c r="R19" s="184"/>
      <c r="S19" s="383" t="str">
        <f t="shared" si="6"/>
        <v/>
      </c>
      <c r="T19" s="282"/>
      <c r="U19" s="396"/>
      <c r="V19" s="397"/>
      <c r="W19" s="476"/>
      <c r="X19" s="397"/>
      <c r="Y19" s="398"/>
      <c r="Z19" s="396"/>
      <c r="AA19" s="397"/>
      <c r="AB19" s="480"/>
      <c r="AC19" s="397"/>
      <c r="AD19" s="398"/>
      <c r="AF19" s="39" t="str">
        <f t="shared" si="0"/>
        <v/>
      </c>
      <c r="AG19" s="12" t="str">
        <f t="shared" si="0"/>
        <v/>
      </c>
      <c r="AH19" s="39" t="str">
        <f t="shared" si="1"/>
        <v/>
      </c>
      <c r="AJ19" s="46" t="s">
        <v>285</v>
      </c>
      <c r="AK19" s="48" t="e">
        <f t="shared" ca="1" si="2"/>
        <v>#VALUE!</v>
      </c>
      <c r="AL19" s="50" t="e">
        <f ca="1">1/(G7/J7)</f>
        <v>#VALUE!</v>
      </c>
      <c r="AM19" s="48">
        <v>1</v>
      </c>
      <c r="AN19" s="282"/>
      <c r="AO19" s="282"/>
      <c r="AP19" s="282"/>
      <c r="AQ19" s="282"/>
      <c r="AR19" s="282"/>
      <c r="AS19" s="282"/>
      <c r="AT19" s="282"/>
      <c r="AU19" s="282"/>
      <c r="AV19" s="282"/>
      <c r="AW19" s="282"/>
      <c r="AX19" s="282"/>
      <c r="AY19" s="282"/>
      <c r="AZ19" s="282"/>
      <c r="BA19" s="282"/>
      <c r="BB19" s="282"/>
      <c r="BC19" s="282"/>
      <c r="BD19" s="282"/>
      <c r="BE19" s="282"/>
      <c r="BF19" s="282"/>
      <c r="BG19" s="282"/>
      <c r="BH19" s="282"/>
    </row>
    <row r="20" spans="1:60">
      <c r="A20" s="282"/>
      <c r="B20" s="418" t="s">
        <v>269</v>
      </c>
      <c r="C20" s="128"/>
      <c r="D20" s="365" t="e">
        <f ca="1">VLOOKUP(SwapNumber,TradeTable,D16+13,FALSE)</f>
        <v>#VALUE!</v>
      </c>
      <c r="E20" s="282"/>
      <c r="F20" s="282"/>
      <c r="G20" s="282"/>
      <c r="H20" s="282"/>
      <c r="I20" s="282"/>
      <c r="J20" s="282"/>
      <c r="K20" s="282"/>
      <c r="L20" s="384" t="e">
        <f t="shared" ca="1" si="3"/>
        <v>#VALUE!</v>
      </c>
      <c r="M20" s="183"/>
      <c r="N20" s="184"/>
      <c r="O20" s="383" t="str">
        <f t="shared" si="4"/>
        <v/>
      </c>
      <c r="P20" s="384" t="e">
        <f t="shared" ca="1" si="5"/>
        <v>#VALUE!</v>
      </c>
      <c r="Q20" s="183"/>
      <c r="R20" s="184"/>
      <c r="S20" s="383" t="str">
        <f t="shared" si="6"/>
        <v/>
      </c>
      <c r="T20" s="282"/>
      <c r="U20" s="396"/>
      <c r="V20" s="397"/>
      <c r="W20" s="476"/>
      <c r="X20" s="397"/>
      <c r="Y20" s="398"/>
      <c r="Z20" s="396"/>
      <c r="AA20" s="397"/>
      <c r="AB20" s="480"/>
      <c r="AC20" s="397"/>
      <c r="AD20" s="398"/>
      <c r="AF20" s="39" t="str">
        <f t="shared" si="0"/>
        <v/>
      </c>
      <c r="AG20" s="12" t="str">
        <f t="shared" si="0"/>
        <v/>
      </c>
      <c r="AH20" s="39" t="str">
        <f t="shared" si="1"/>
        <v/>
      </c>
      <c r="AJ20" s="46" t="s">
        <v>286</v>
      </c>
      <c r="AK20" s="48" t="e">
        <f t="shared" ca="1" si="2"/>
        <v>#VALUE!</v>
      </c>
      <c r="AL20" s="445" t="e">
        <f ca="1">1/AL19</f>
        <v>#VALUE!</v>
      </c>
      <c r="AM20" s="48">
        <v>1</v>
      </c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</row>
    <row r="21" spans="1:60" ht="13.5" customHeight="1">
      <c r="A21" s="282"/>
      <c r="B21" s="419" t="s">
        <v>179</v>
      </c>
      <c r="C21" s="128"/>
      <c r="D21" s="366" t="e">
        <f ca="1">IF(OR(VLOOKUP($J$2,TradeTable,38,FALSE)="", VLOOKUP($J$2,TradeTable,38,FALSE)=0), "Max", VLOOKUP($J$2,TradeTable,38,FALSE))</f>
        <v>#VALUE!</v>
      </c>
      <c r="E21" s="282"/>
      <c r="F21" s="579" t="s">
        <v>102</v>
      </c>
      <c r="G21" s="580"/>
      <c r="H21" s="282"/>
      <c r="I21" s="579" t="s">
        <v>103</v>
      </c>
      <c r="J21" s="580"/>
      <c r="K21" s="282"/>
      <c r="L21" s="384" t="e">
        <f t="shared" ca="1" si="3"/>
        <v>#VALUE!</v>
      </c>
      <c r="M21" s="183"/>
      <c r="N21" s="184"/>
      <c r="O21" s="383" t="str">
        <f t="shared" si="4"/>
        <v/>
      </c>
      <c r="P21" s="384" t="e">
        <f t="shared" ca="1" si="5"/>
        <v>#VALUE!</v>
      </c>
      <c r="Q21" s="183"/>
      <c r="R21" s="184"/>
      <c r="S21" s="383" t="str">
        <f t="shared" si="6"/>
        <v/>
      </c>
      <c r="T21" s="282"/>
      <c r="U21" s="396"/>
      <c r="V21" s="397"/>
      <c r="W21" s="476"/>
      <c r="X21" s="397"/>
      <c r="Y21" s="398"/>
      <c r="Z21" s="396"/>
      <c r="AA21" s="397"/>
      <c r="AB21" s="480"/>
      <c r="AC21" s="397"/>
      <c r="AD21" s="398"/>
      <c r="AF21" s="39" t="str">
        <f t="shared" si="0"/>
        <v/>
      </c>
      <c r="AG21" s="12" t="str">
        <f t="shared" si="0"/>
        <v/>
      </c>
      <c r="AH21" s="39" t="str">
        <f t="shared" si="1"/>
        <v/>
      </c>
      <c r="AJ21" s="46" t="s">
        <v>83</v>
      </c>
      <c r="AK21" s="48" t="e">
        <f t="shared" ca="1" si="2"/>
        <v>#VALUE!</v>
      </c>
      <c r="AL21" s="48" t="e">
        <f ca="1">NOT(G8=J8)</f>
        <v>#VALUE!</v>
      </c>
      <c r="AM21" s="48" t="b">
        <v>0</v>
      </c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</row>
    <row r="22" spans="1:60">
      <c r="A22" s="282"/>
      <c r="B22" s="284"/>
      <c r="C22" s="282"/>
      <c r="D22" s="282"/>
      <c r="E22" s="282"/>
      <c r="F22" s="303" t="s">
        <v>61</v>
      </c>
      <c r="G22" s="303" t="s">
        <v>70</v>
      </c>
      <c r="H22" s="282"/>
      <c r="I22" s="303" t="s">
        <v>61</v>
      </c>
      <c r="J22" s="303" t="s">
        <v>70</v>
      </c>
      <c r="K22" s="282"/>
      <c r="L22" s="384" t="e">
        <f t="shared" ca="1" si="3"/>
        <v>#VALUE!</v>
      </c>
      <c r="M22" s="183"/>
      <c r="N22" s="184"/>
      <c r="O22" s="383" t="str">
        <f t="shared" si="4"/>
        <v/>
      </c>
      <c r="P22" s="384" t="e">
        <f t="shared" ca="1" si="5"/>
        <v>#VALUE!</v>
      </c>
      <c r="Q22" s="183"/>
      <c r="R22" s="184"/>
      <c r="S22" s="383" t="str">
        <f t="shared" si="6"/>
        <v/>
      </c>
      <c r="T22" s="282"/>
      <c r="U22" s="396"/>
      <c r="V22" s="397"/>
      <c r="W22" s="476"/>
      <c r="X22" s="397"/>
      <c r="Y22" s="398"/>
      <c r="Z22" s="396"/>
      <c r="AA22" s="397"/>
      <c r="AB22" s="480"/>
      <c r="AC22" s="397"/>
      <c r="AD22" s="398"/>
      <c r="AF22" s="39" t="str">
        <f t="shared" si="0"/>
        <v/>
      </c>
      <c r="AG22" s="12" t="str">
        <f t="shared" si="0"/>
        <v/>
      </c>
      <c r="AH22" s="39" t="str">
        <f t="shared" si="1"/>
        <v/>
      </c>
      <c r="AJ22" s="46" t="s">
        <v>84</v>
      </c>
      <c r="AK22" s="48" t="e">
        <f t="shared" ca="1" si="2"/>
        <v>#VALUE!</v>
      </c>
      <c r="AL22" s="48" t="e">
        <f ca="1">NOT(G8=J8)</f>
        <v>#VALUE!</v>
      </c>
      <c r="AM22" s="48" t="b">
        <v>0</v>
      </c>
      <c r="AN22" s="282"/>
      <c r="AO22" s="282"/>
      <c r="AP22" s="282"/>
      <c r="AQ22" s="282"/>
      <c r="AR22" s="282"/>
      <c r="AS22" s="282"/>
      <c r="AT22" s="282"/>
      <c r="AU22" s="282"/>
      <c r="AV22" s="282"/>
      <c r="AW22" s="282"/>
      <c r="AX22" s="282"/>
      <c r="AY22" s="282"/>
      <c r="AZ22" s="282"/>
      <c r="BA22" s="282"/>
      <c r="BB22" s="282"/>
      <c r="BC22" s="282"/>
      <c r="BD22" s="282"/>
      <c r="BE22" s="282"/>
      <c r="BF22" s="282"/>
      <c r="BG22" s="282"/>
      <c r="BH22" s="282"/>
    </row>
    <row r="23" spans="1:60" ht="13.5" customHeight="1">
      <c r="A23" s="282"/>
      <c r="B23" s="422" t="s">
        <v>114</v>
      </c>
      <c r="C23" s="8"/>
      <c r="D23" s="416"/>
      <c r="E23" s="283"/>
      <c r="F23" s="187"/>
      <c r="G23" s="187"/>
      <c r="H23" s="282"/>
      <c r="I23" s="187"/>
      <c r="J23" s="187"/>
      <c r="K23" s="282"/>
      <c r="L23" s="384" t="e">
        <f t="shared" ca="1" si="3"/>
        <v>#VALUE!</v>
      </c>
      <c r="M23" s="183"/>
      <c r="N23" s="184"/>
      <c r="O23" s="383" t="str">
        <f t="shared" si="4"/>
        <v/>
      </c>
      <c r="P23" s="384" t="e">
        <f t="shared" ca="1" si="5"/>
        <v>#VALUE!</v>
      </c>
      <c r="Q23" s="183"/>
      <c r="R23" s="184"/>
      <c r="S23" s="383" t="str">
        <f t="shared" si="6"/>
        <v/>
      </c>
      <c r="T23" s="282"/>
      <c r="U23" s="396"/>
      <c r="V23" s="397"/>
      <c r="W23" s="476"/>
      <c r="X23" s="397"/>
      <c r="Y23" s="398"/>
      <c r="Z23" s="396"/>
      <c r="AA23" s="397"/>
      <c r="AB23" s="480"/>
      <c r="AC23" s="397"/>
      <c r="AD23" s="398"/>
      <c r="AF23" s="39" t="str">
        <f t="shared" si="0"/>
        <v/>
      </c>
      <c r="AG23" s="12" t="str">
        <f t="shared" si="0"/>
        <v/>
      </c>
      <c r="AH23" s="39" t="str">
        <f t="shared" si="1"/>
        <v/>
      </c>
      <c r="AJ23" s="46" t="s">
        <v>85</v>
      </c>
      <c r="AK23" s="48" t="e">
        <f t="shared" ca="1" si="2"/>
        <v>#VALUE!</v>
      </c>
      <c r="AL23" s="48" t="e">
        <f ca="1">G14</f>
        <v>#VALUE!</v>
      </c>
      <c r="AM23" s="48" t="s">
        <v>64</v>
      </c>
      <c r="AN23" s="282"/>
      <c r="AO23" s="282"/>
      <c r="AP23" s="282"/>
      <c r="AQ23" s="282"/>
      <c r="AR23" s="282"/>
      <c r="AS23" s="282"/>
      <c r="AT23" s="282"/>
      <c r="AU23" s="282"/>
      <c r="AV23" s="282"/>
      <c r="AW23" s="282"/>
      <c r="AX23" s="282"/>
      <c r="AY23" s="282"/>
      <c r="AZ23" s="282"/>
      <c r="BA23" s="282"/>
      <c r="BB23" s="282"/>
      <c r="BC23" s="282"/>
      <c r="BD23" s="282"/>
      <c r="BE23" s="282"/>
      <c r="BF23" s="282"/>
      <c r="BG23" s="282"/>
      <c r="BH23" s="282"/>
    </row>
    <row r="24" spans="1:60">
      <c r="A24" s="282"/>
      <c r="B24" s="420" t="s">
        <v>226</v>
      </c>
      <c r="C24" s="8"/>
      <c r="D24" s="367" t="e">
        <f ca="1">IF(D14="Pay",D25,IF(D14="Receive",D26,0))</f>
        <v>#VALUE!</v>
      </c>
      <c r="E24" s="282"/>
      <c r="F24" s="187"/>
      <c r="G24" s="187"/>
      <c r="H24" s="282"/>
      <c r="I24" s="187"/>
      <c r="J24" s="187"/>
      <c r="K24" s="282"/>
      <c r="L24" s="384" t="e">
        <f t="shared" ca="1" si="3"/>
        <v>#VALUE!</v>
      </c>
      <c r="M24" s="183"/>
      <c r="N24" s="184"/>
      <c r="O24" s="383" t="str">
        <f t="shared" si="4"/>
        <v/>
      </c>
      <c r="P24" s="384" t="e">
        <f t="shared" ca="1" si="5"/>
        <v>#VALUE!</v>
      </c>
      <c r="Q24" s="183"/>
      <c r="R24" s="184"/>
      <c r="S24" s="383" t="str">
        <f t="shared" si="6"/>
        <v/>
      </c>
      <c r="T24" s="282"/>
      <c r="U24" s="396"/>
      <c r="V24" s="397"/>
      <c r="W24" s="476"/>
      <c r="X24" s="397"/>
      <c r="Y24" s="398"/>
      <c r="Z24" s="396"/>
      <c r="AA24" s="397"/>
      <c r="AB24" s="480"/>
      <c r="AC24" s="397"/>
      <c r="AD24" s="398"/>
      <c r="AF24" s="39" t="str">
        <f t="shared" si="0"/>
        <v/>
      </c>
      <c r="AG24" s="12" t="str">
        <f t="shared" si="0"/>
        <v/>
      </c>
      <c r="AH24" s="39" t="str">
        <f t="shared" si="1"/>
        <v/>
      </c>
      <c r="AJ24" s="52" t="s">
        <v>86</v>
      </c>
      <c r="AK24" s="53" t="str">
        <f t="shared" si="2"/>
        <v>MODFOLLOWING</v>
      </c>
      <c r="AL24" s="53"/>
      <c r="AM24" s="53" t="s">
        <v>25</v>
      </c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</row>
    <row r="25" spans="1:60">
      <c r="A25" s="282"/>
      <c r="B25" s="418" t="s">
        <v>221</v>
      </c>
      <c r="C25" s="312" t="s">
        <v>138</v>
      </c>
      <c r="D25" s="368"/>
      <c r="E25" s="282"/>
      <c r="F25" s="187"/>
      <c r="G25" s="187"/>
      <c r="H25" s="282"/>
      <c r="I25" s="187"/>
      <c r="J25" s="187"/>
      <c r="K25" s="282"/>
      <c r="L25" s="384" t="e">
        <f t="shared" ca="1" si="3"/>
        <v>#VALUE!</v>
      </c>
      <c r="M25" s="183"/>
      <c r="N25" s="184"/>
      <c r="O25" s="383" t="str">
        <f t="shared" si="4"/>
        <v/>
      </c>
      <c r="P25" s="384" t="e">
        <f t="shared" ca="1" si="5"/>
        <v>#VALUE!</v>
      </c>
      <c r="Q25" s="183"/>
      <c r="R25" s="184"/>
      <c r="S25" s="383" t="str">
        <f t="shared" si="6"/>
        <v/>
      </c>
      <c r="T25" s="282"/>
      <c r="U25" s="396"/>
      <c r="V25" s="397"/>
      <c r="W25" s="476"/>
      <c r="X25" s="397"/>
      <c r="Y25" s="398"/>
      <c r="Z25" s="396"/>
      <c r="AA25" s="397"/>
      <c r="AB25" s="480"/>
      <c r="AC25" s="397"/>
      <c r="AD25" s="398"/>
      <c r="AF25" s="39" t="str">
        <f t="shared" si="0"/>
        <v/>
      </c>
      <c r="AG25" s="12" t="str">
        <f t="shared" si="0"/>
        <v/>
      </c>
      <c r="AH25" s="39" t="str">
        <f t="shared" si="1"/>
        <v/>
      </c>
      <c r="AK25" s="54"/>
      <c r="AL25" s="54"/>
      <c r="AN25" s="282"/>
      <c r="AO25" s="282"/>
      <c r="AP25" s="282"/>
      <c r="AQ25" s="282"/>
      <c r="AR25" s="282"/>
      <c r="AS25" s="282"/>
      <c r="AT25" s="282"/>
      <c r="AU25" s="282"/>
      <c r="AV25" s="282"/>
      <c r="AW25" s="282"/>
      <c r="AX25" s="282"/>
      <c r="AY25" s="282"/>
      <c r="AZ25" s="282"/>
      <c r="BA25" s="282"/>
      <c r="BB25" s="282"/>
      <c r="BC25" s="282"/>
      <c r="BD25" s="282"/>
      <c r="BE25" s="282"/>
      <c r="BF25" s="282"/>
      <c r="BG25" s="282"/>
      <c r="BH25" s="282"/>
    </row>
    <row r="26" spans="1:60">
      <c r="A26" s="282"/>
      <c r="B26" s="418" t="s">
        <v>222</v>
      </c>
      <c r="C26" s="313" t="s">
        <v>139</v>
      </c>
      <c r="D26" s="369"/>
      <c r="E26" s="282"/>
      <c r="F26" s="187"/>
      <c r="G26" s="187"/>
      <c r="H26" s="282"/>
      <c r="I26" s="187"/>
      <c r="J26" s="187"/>
      <c r="K26" s="282"/>
      <c r="L26" s="384" t="e">
        <f t="shared" ca="1" si="3"/>
        <v>#VALUE!</v>
      </c>
      <c r="M26" s="183"/>
      <c r="N26" s="184"/>
      <c r="O26" s="383" t="str">
        <f t="shared" si="4"/>
        <v/>
      </c>
      <c r="P26" s="384" t="e">
        <f t="shared" ca="1" si="5"/>
        <v>#VALUE!</v>
      </c>
      <c r="Q26" s="183"/>
      <c r="R26" s="184"/>
      <c r="S26" s="383" t="str">
        <f t="shared" si="6"/>
        <v/>
      </c>
      <c r="T26" s="282"/>
      <c r="U26" s="396"/>
      <c r="V26" s="397"/>
      <c r="W26" s="476"/>
      <c r="X26" s="397"/>
      <c r="Y26" s="398"/>
      <c r="Z26" s="396"/>
      <c r="AA26" s="397"/>
      <c r="AB26" s="480"/>
      <c r="AC26" s="397"/>
      <c r="AD26" s="398"/>
      <c r="AF26" s="39" t="str">
        <f t="shared" si="0"/>
        <v/>
      </c>
      <c r="AG26" s="12" t="str">
        <f t="shared" si="0"/>
        <v/>
      </c>
      <c r="AH26" s="39" t="str">
        <f t="shared" si="1"/>
        <v/>
      </c>
      <c r="AJ26" s="161" t="s">
        <v>7</v>
      </c>
      <c r="AK26" s="86"/>
      <c r="AL26" s="54"/>
      <c r="AN26" s="282"/>
      <c r="AO26" s="282"/>
      <c r="AP26" s="282"/>
      <c r="AQ26" s="282"/>
      <c r="AR26" s="282"/>
      <c r="AS26" s="282"/>
      <c r="AT26" s="282"/>
      <c r="AU26" s="282"/>
      <c r="AV26" s="282"/>
      <c r="AW26" s="282"/>
      <c r="AX26" s="282"/>
      <c r="AY26" s="282"/>
      <c r="AZ26" s="282"/>
      <c r="BA26" s="282"/>
      <c r="BB26" s="282"/>
      <c r="BC26" s="282"/>
      <c r="BD26" s="282"/>
      <c r="BE26" s="282"/>
      <c r="BF26" s="282"/>
      <c r="BG26" s="282"/>
      <c r="BH26" s="282"/>
    </row>
    <row r="27" spans="1:60">
      <c r="A27" s="282"/>
      <c r="B27" s="418" t="s">
        <v>99</v>
      </c>
      <c r="C27" s="251" t="s">
        <v>99</v>
      </c>
      <c r="D27" s="370"/>
      <c r="E27" s="284"/>
      <c r="F27" s="187"/>
      <c r="G27" s="187"/>
      <c r="H27" s="282"/>
      <c r="I27" s="187"/>
      <c r="J27" s="187"/>
      <c r="K27" s="282"/>
      <c r="L27" s="384" t="e">
        <f t="shared" ca="1" si="3"/>
        <v>#VALUE!</v>
      </c>
      <c r="M27" s="183"/>
      <c r="N27" s="184"/>
      <c r="O27" s="383" t="str">
        <f t="shared" si="4"/>
        <v/>
      </c>
      <c r="P27" s="384" t="e">
        <f t="shared" ca="1" si="5"/>
        <v>#VALUE!</v>
      </c>
      <c r="Q27" s="183"/>
      <c r="R27" s="184"/>
      <c r="S27" s="383" t="str">
        <f t="shared" si="6"/>
        <v/>
      </c>
      <c r="T27" s="282"/>
      <c r="U27" s="396"/>
      <c r="V27" s="397"/>
      <c r="W27" s="476"/>
      <c r="X27" s="397"/>
      <c r="Y27" s="398"/>
      <c r="Z27" s="396"/>
      <c r="AA27" s="397"/>
      <c r="AB27" s="480"/>
      <c r="AC27" s="397"/>
      <c r="AD27" s="398"/>
      <c r="AF27" s="51" t="str">
        <f t="shared" si="0"/>
        <v/>
      </c>
      <c r="AG27" s="13" t="str">
        <f t="shared" si="0"/>
        <v/>
      </c>
      <c r="AH27" s="51" t="str">
        <f t="shared" si="1"/>
        <v/>
      </c>
      <c r="AJ27" s="42" t="s">
        <v>26</v>
      </c>
      <c r="AK27" s="56" t="e">
        <f t="shared" ref="AK27:AK46" ca="1" si="7">IF(AL27="",AM27,AL27)</f>
        <v>#VALUE!</v>
      </c>
      <c r="AL27" s="56" t="e">
        <f ca="1">G6</f>
        <v>#VALUE!</v>
      </c>
      <c r="AM27" s="56" t="s">
        <v>66</v>
      </c>
      <c r="AN27" s="282"/>
      <c r="AO27" s="282"/>
      <c r="AP27" s="282"/>
      <c r="AQ27" s="282"/>
      <c r="AR27" s="282"/>
      <c r="AS27" s="282"/>
      <c r="AT27" s="282"/>
      <c r="AU27" s="282"/>
      <c r="AV27" s="282"/>
      <c r="AW27" s="282"/>
      <c r="AX27" s="282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</row>
    <row r="28" spans="1:60">
      <c r="A28" s="282"/>
      <c r="B28" s="418" t="s">
        <v>259</v>
      </c>
      <c r="C28" s="251" t="s">
        <v>257</v>
      </c>
      <c r="D28" s="371"/>
      <c r="E28" s="282"/>
      <c r="F28" s="187"/>
      <c r="G28" s="187"/>
      <c r="H28" s="282"/>
      <c r="I28" s="187"/>
      <c r="J28" s="187"/>
      <c r="K28" s="282"/>
      <c r="L28" s="384" t="e">
        <f t="shared" ca="1" si="3"/>
        <v>#VALUE!</v>
      </c>
      <c r="M28" s="183"/>
      <c r="N28" s="184"/>
      <c r="O28" s="383" t="str">
        <f t="shared" si="4"/>
        <v/>
      </c>
      <c r="P28" s="384" t="e">
        <f t="shared" ca="1" si="5"/>
        <v>#VALUE!</v>
      </c>
      <c r="Q28" s="183"/>
      <c r="R28" s="184"/>
      <c r="S28" s="383" t="str">
        <f t="shared" si="6"/>
        <v/>
      </c>
      <c r="T28" s="282"/>
      <c r="U28" s="396"/>
      <c r="V28" s="397"/>
      <c r="W28" s="476"/>
      <c r="X28" s="397"/>
      <c r="Y28" s="398"/>
      <c r="Z28" s="396"/>
      <c r="AA28" s="397"/>
      <c r="AB28" s="480"/>
      <c r="AC28" s="397"/>
      <c r="AD28" s="398"/>
      <c r="AJ28" s="57" t="s">
        <v>27</v>
      </c>
      <c r="AK28" s="58" t="e">
        <f t="shared" ca="1" si="7"/>
        <v>#VALUE!</v>
      </c>
      <c r="AL28" s="58" t="e">
        <f ca="1">G7</f>
        <v>#VALUE!</v>
      </c>
      <c r="AM28" s="58">
        <v>1000000</v>
      </c>
      <c r="AN28" s="282"/>
      <c r="AO28" s="282"/>
      <c r="AP28" s="282"/>
      <c r="AQ28" s="282"/>
      <c r="AR28" s="282"/>
      <c r="AS28" s="282"/>
      <c r="AT28" s="282"/>
      <c r="AU28" s="282"/>
      <c r="AV28" s="282"/>
      <c r="AW28" s="282"/>
      <c r="AX28" s="282"/>
      <c r="AY28" s="282"/>
      <c r="AZ28" s="282"/>
      <c r="BA28" s="282"/>
      <c r="BB28" s="282"/>
      <c r="BC28" s="282"/>
      <c r="BD28" s="282"/>
      <c r="BE28" s="282"/>
      <c r="BF28" s="282"/>
      <c r="BG28" s="282"/>
      <c r="BH28" s="282"/>
    </row>
    <row r="29" spans="1:60">
      <c r="A29" s="282"/>
      <c r="B29" s="418" t="s">
        <v>167</v>
      </c>
      <c r="C29" s="254" t="s">
        <v>166</v>
      </c>
      <c r="D29" s="372"/>
      <c r="E29" s="282"/>
      <c r="F29" s="187"/>
      <c r="G29" s="187"/>
      <c r="H29" s="282"/>
      <c r="I29" s="187"/>
      <c r="J29" s="187"/>
      <c r="K29" s="282"/>
      <c r="L29" s="384" t="e">
        <f t="shared" ca="1" si="3"/>
        <v>#VALUE!</v>
      </c>
      <c r="M29" s="183"/>
      <c r="N29" s="184"/>
      <c r="O29" s="383" t="str">
        <f t="shared" si="4"/>
        <v/>
      </c>
      <c r="P29" s="384" t="e">
        <f t="shared" ca="1" si="5"/>
        <v>#VALUE!</v>
      </c>
      <c r="Q29" s="183"/>
      <c r="R29" s="184"/>
      <c r="S29" s="383" t="str">
        <f t="shared" si="6"/>
        <v/>
      </c>
      <c r="T29" s="282"/>
      <c r="U29" s="396"/>
      <c r="V29" s="397"/>
      <c r="W29" s="476"/>
      <c r="X29" s="397"/>
      <c r="Y29" s="398"/>
      <c r="Z29" s="396"/>
      <c r="AA29" s="397"/>
      <c r="AB29" s="480"/>
      <c r="AC29" s="397"/>
      <c r="AD29" s="398"/>
      <c r="AF29" s="519"/>
      <c r="AG29" s="520"/>
      <c r="AH29" s="521"/>
      <c r="AJ29" s="57" t="s">
        <v>28</v>
      </c>
      <c r="AK29" s="59" t="e">
        <f t="shared" ca="1" si="7"/>
        <v>#VALUE!</v>
      </c>
      <c r="AL29" s="59" t="e">
        <f ca="1">UPPER(G8)</f>
        <v>#VALUE!</v>
      </c>
      <c r="AM29" s="59" t="s">
        <v>13</v>
      </c>
      <c r="AN29" s="282"/>
      <c r="AO29" s="282"/>
      <c r="AP29" s="282"/>
      <c r="AQ29" s="282"/>
      <c r="AR29" s="282"/>
      <c r="AS29" s="282"/>
      <c r="AT29" s="282"/>
      <c r="AU29" s="282"/>
      <c r="AV29" s="282"/>
      <c r="AW29" s="282"/>
      <c r="AX29" s="282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</row>
    <row r="30" spans="1:60">
      <c r="A30" s="282"/>
      <c r="B30" s="419" t="e">
        <f ca="1">"STATPROV ("&amp;G8&amp;")"</f>
        <v>#VALUE!</v>
      </c>
      <c r="C30" s="314" t="s">
        <v>142</v>
      </c>
      <c r="D30" s="373"/>
      <c r="E30" s="282"/>
      <c r="F30" s="187"/>
      <c r="G30" s="187"/>
      <c r="H30" s="282"/>
      <c r="I30" s="187"/>
      <c r="J30" s="187"/>
      <c r="K30" s="282"/>
      <c r="L30" s="384" t="e">
        <f t="shared" ca="1" si="3"/>
        <v>#VALUE!</v>
      </c>
      <c r="M30" s="183"/>
      <c r="N30" s="184"/>
      <c r="O30" s="383" t="str">
        <f t="shared" si="4"/>
        <v/>
      </c>
      <c r="P30" s="384" t="e">
        <f t="shared" ca="1" si="5"/>
        <v>#VALUE!</v>
      </c>
      <c r="Q30" s="183"/>
      <c r="R30" s="184"/>
      <c r="S30" s="383" t="str">
        <f t="shared" si="6"/>
        <v/>
      </c>
      <c r="T30" s="282"/>
      <c r="U30" s="399"/>
      <c r="V30" s="397"/>
      <c r="W30" s="476"/>
      <c r="X30" s="397"/>
      <c r="Y30" s="398"/>
      <c r="Z30" s="399"/>
      <c r="AA30" s="397"/>
      <c r="AB30" s="480"/>
      <c r="AC30" s="397"/>
      <c r="AD30" s="398"/>
      <c r="AF30" s="522" t="s">
        <v>106</v>
      </c>
      <c r="AG30" s="523"/>
      <c r="AH30" s="524"/>
      <c r="AJ30" s="57" t="s">
        <v>87</v>
      </c>
      <c r="AK30" s="59" t="str">
        <f t="shared" si="7"/>
        <v>Forward</v>
      </c>
      <c r="AL30" s="59"/>
      <c r="AM30" s="59" t="s">
        <v>29</v>
      </c>
      <c r="AN30" s="282"/>
      <c r="AO30" s="282"/>
      <c r="AP30" s="282"/>
      <c r="AQ30" s="282"/>
      <c r="AR30" s="282"/>
      <c r="AS30" s="282"/>
      <c r="AT30" s="282"/>
      <c r="AU30" s="282"/>
      <c r="AV30" s="282"/>
      <c r="AW30" s="282"/>
      <c r="AX30" s="282"/>
      <c r="AY30" s="282"/>
      <c r="AZ30" s="282"/>
      <c r="BA30" s="282"/>
      <c r="BB30" s="282"/>
      <c r="BC30" s="282"/>
      <c r="BD30" s="282"/>
      <c r="BE30" s="282"/>
      <c r="BF30" s="282"/>
      <c r="BG30" s="282"/>
      <c r="BH30" s="282"/>
    </row>
    <row r="31" spans="1:60">
      <c r="A31" s="282"/>
      <c r="B31" s="417" t="e">
        <f ca="1">"Pay DeltaR ("&amp;G8&amp;")"</f>
        <v>#VALUE!</v>
      </c>
      <c r="C31" s="199"/>
      <c r="D31" s="374"/>
      <c r="E31" s="282"/>
      <c r="F31" s="187"/>
      <c r="G31" s="187"/>
      <c r="H31" s="282"/>
      <c r="I31" s="187"/>
      <c r="J31" s="187"/>
      <c r="K31" s="282"/>
      <c r="L31" s="384" t="e">
        <f t="shared" ca="1" si="3"/>
        <v>#VALUE!</v>
      </c>
      <c r="M31" s="183"/>
      <c r="N31" s="184"/>
      <c r="O31" s="383" t="str">
        <f t="shared" si="4"/>
        <v/>
      </c>
      <c r="P31" s="384" t="e">
        <f t="shared" ca="1" si="5"/>
        <v>#VALUE!</v>
      </c>
      <c r="Q31" s="183"/>
      <c r="R31" s="184"/>
      <c r="S31" s="383" t="str">
        <f t="shared" si="6"/>
        <v/>
      </c>
      <c r="T31" s="282"/>
      <c r="U31" s="399"/>
      <c r="V31" s="397"/>
      <c r="W31" s="476"/>
      <c r="X31" s="397"/>
      <c r="Y31" s="398"/>
      <c r="Z31" s="399"/>
      <c r="AA31" s="397"/>
      <c r="AB31" s="480"/>
      <c r="AC31" s="397"/>
      <c r="AD31" s="398"/>
      <c r="AF31" s="37" t="s">
        <v>96</v>
      </c>
      <c r="AG31" s="37" t="s">
        <v>97</v>
      </c>
      <c r="AH31" s="38" t="s">
        <v>32</v>
      </c>
      <c r="AJ31" s="57" t="s">
        <v>30</v>
      </c>
      <c r="AK31" s="59" t="e">
        <f t="shared" ca="1" si="7"/>
        <v>#VALUE!</v>
      </c>
      <c r="AL31" s="59" t="e">
        <f ca="1">G14</f>
        <v>#VALUE!</v>
      </c>
      <c r="AM31" s="59" t="s">
        <v>64</v>
      </c>
      <c r="AN31" s="282"/>
      <c r="AO31" s="282"/>
      <c r="AP31" s="282"/>
      <c r="AQ31" s="282"/>
      <c r="AR31" s="282"/>
      <c r="AS31" s="282"/>
      <c r="AT31" s="282"/>
      <c r="AU31" s="282"/>
      <c r="AV31" s="282"/>
      <c r="AW31" s="282"/>
      <c r="AX31" s="282"/>
      <c r="AY31" s="282"/>
      <c r="AZ31" s="282"/>
      <c r="BA31" s="282"/>
      <c r="BB31" s="282"/>
      <c r="BC31" s="282"/>
      <c r="BD31" s="282"/>
      <c r="BE31" s="282"/>
      <c r="BF31" s="282"/>
      <c r="BG31" s="282"/>
      <c r="BH31" s="282"/>
    </row>
    <row r="32" spans="1:60">
      <c r="A32" s="282"/>
      <c r="B32" s="419" t="e">
        <f ca="1">"Receive DeltaR ("&amp;J8&amp;")"</f>
        <v>#VALUE!</v>
      </c>
      <c r="C32" s="199"/>
      <c r="D32" s="373"/>
      <c r="E32" s="282"/>
      <c r="F32" s="187"/>
      <c r="G32" s="187"/>
      <c r="H32" s="282"/>
      <c r="I32" s="187"/>
      <c r="J32" s="187"/>
      <c r="K32" s="282"/>
      <c r="L32" s="384" t="e">
        <f t="shared" ca="1" si="3"/>
        <v>#VALUE!</v>
      </c>
      <c r="M32" s="183"/>
      <c r="N32" s="184"/>
      <c r="O32" s="383" t="str">
        <f t="shared" si="4"/>
        <v/>
      </c>
      <c r="P32" s="384" t="e">
        <f t="shared" ca="1" si="5"/>
        <v>#VALUE!</v>
      </c>
      <c r="Q32" s="183"/>
      <c r="R32" s="184"/>
      <c r="S32" s="383" t="str">
        <f t="shared" si="6"/>
        <v/>
      </c>
      <c r="T32" s="282"/>
      <c r="U32" s="399"/>
      <c r="V32" s="397"/>
      <c r="W32" s="476"/>
      <c r="X32" s="397"/>
      <c r="Y32" s="398"/>
      <c r="Z32" s="399"/>
      <c r="AA32" s="397"/>
      <c r="AB32" s="480"/>
      <c r="AC32" s="397"/>
      <c r="AD32" s="398"/>
      <c r="AF32" s="39" t="str">
        <f t="shared" ref="AF32:AG51" si="8">IF(I23="","",I23)</f>
        <v/>
      </c>
      <c r="AG32" s="39" t="str">
        <f t="shared" si="8"/>
        <v/>
      </c>
      <c r="AH32" s="40" t="str">
        <f t="shared" ref="AH32:AH51" si="9">IF(AF32="","",$G$13)</f>
        <v/>
      </c>
      <c r="AJ32" s="57" t="s">
        <v>31</v>
      </c>
      <c r="AK32" s="59" t="e">
        <f t="shared" ca="1" si="7"/>
        <v>#VALUE!</v>
      </c>
      <c r="AL32" s="60" t="e">
        <f ca="1">G12</f>
        <v>#VALUE!</v>
      </c>
      <c r="AM32" s="59" t="s">
        <v>18</v>
      </c>
      <c r="AN32" s="282"/>
      <c r="AO32" s="282"/>
      <c r="AP32" s="282"/>
      <c r="AQ32" s="282"/>
      <c r="AR32" s="282"/>
      <c r="AS32" s="282"/>
      <c r="AT32" s="282"/>
      <c r="AU32" s="282"/>
      <c r="AV32" s="282"/>
      <c r="AW32" s="282"/>
      <c r="AX32" s="282"/>
      <c r="AY32" s="282"/>
      <c r="AZ32" s="282"/>
      <c r="BA32" s="282"/>
      <c r="BB32" s="282"/>
      <c r="BC32" s="282"/>
      <c r="BD32" s="282"/>
      <c r="BE32" s="282"/>
      <c r="BF32" s="282"/>
      <c r="BG32" s="282"/>
      <c r="BH32" s="282"/>
    </row>
    <row r="33" spans="1:60">
      <c r="A33" s="282"/>
      <c r="B33" s="282"/>
      <c r="C33" s="282"/>
      <c r="D33" s="282"/>
      <c r="E33" s="282"/>
      <c r="F33" s="187"/>
      <c r="G33" s="187"/>
      <c r="H33" s="282"/>
      <c r="I33" s="187"/>
      <c r="J33" s="187"/>
      <c r="K33" s="282"/>
      <c r="L33" s="384" t="e">
        <f t="shared" ca="1" si="3"/>
        <v>#VALUE!</v>
      </c>
      <c r="M33" s="183"/>
      <c r="N33" s="184"/>
      <c r="O33" s="383" t="str">
        <f t="shared" si="4"/>
        <v/>
      </c>
      <c r="P33" s="384" t="e">
        <f t="shared" ca="1" si="5"/>
        <v>#VALUE!</v>
      </c>
      <c r="Q33" s="183"/>
      <c r="R33" s="184"/>
      <c r="S33" s="383" t="str">
        <f t="shared" si="6"/>
        <v/>
      </c>
      <c r="T33" s="282"/>
      <c r="U33" s="399"/>
      <c r="V33" s="397"/>
      <c r="W33" s="476"/>
      <c r="X33" s="397"/>
      <c r="Y33" s="398"/>
      <c r="Z33" s="399"/>
      <c r="AA33" s="397"/>
      <c r="AB33" s="480"/>
      <c r="AC33" s="397"/>
      <c r="AD33" s="398"/>
      <c r="AF33" s="39" t="str">
        <f t="shared" si="8"/>
        <v/>
      </c>
      <c r="AG33" s="12" t="str">
        <f t="shared" si="8"/>
        <v/>
      </c>
      <c r="AH33" s="39" t="str">
        <f t="shared" si="9"/>
        <v/>
      </c>
      <c r="AJ33" s="57" t="s">
        <v>32</v>
      </c>
      <c r="AK33" s="59" t="e">
        <f t="shared" ca="1" si="7"/>
        <v>#VALUE!</v>
      </c>
      <c r="AL33" s="59" t="e">
        <f ca="1">IF(G13=31,"EOM",G13)</f>
        <v>#VALUE!</v>
      </c>
      <c r="AM33" s="59">
        <v>1</v>
      </c>
      <c r="AN33" s="282"/>
      <c r="AO33" s="282"/>
      <c r="AP33" s="282"/>
      <c r="AQ33" s="282"/>
      <c r="AR33" s="282"/>
      <c r="AS33" s="282"/>
      <c r="AT33" s="282"/>
      <c r="AU33" s="282"/>
      <c r="AV33" s="282"/>
      <c r="AW33" s="282"/>
      <c r="AX33" s="282"/>
      <c r="AY33" s="282"/>
      <c r="AZ33" s="282"/>
      <c r="BA33" s="282"/>
      <c r="BB33" s="282"/>
      <c r="BC33" s="282"/>
      <c r="BD33" s="282"/>
      <c r="BE33" s="282"/>
      <c r="BF33" s="282"/>
      <c r="BG33" s="282"/>
      <c r="BH33" s="282"/>
    </row>
    <row r="34" spans="1:60">
      <c r="A34" s="282"/>
      <c r="B34" s="576" t="s">
        <v>180</v>
      </c>
      <c r="C34" s="577"/>
      <c r="D34" s="578"/>
      <c r="E34" s="282"/>
      <c r="F34" s="187"/>
      <c r="G34" s="187"/>
      <c r="H34" s="282"/>
      <c r="I34" s="187"/>
      <c r="J34" s="187"/>
      <c r="K34" s="282"/>
      <c r="L34" s="384" t="e">
        <f t="shared" ca="1" si="3"/>
        <v>#VALUE!</v>
      </c>
      <c r="M34" s="183"/>
      <c r="N34" s="184"/>
      <c r="O34" s="383" t="str">
        <f t="shared" si="4"/>
        <v/>
      </c>
      <c r="P34" s="384" t="e">
        <f t="shared" ca="1" si="5"/>
        <v>#VALUE!</v>
      </c>
      <c r="Q34" s="183"/>
      <c r="R34" s="184"/>
      <c r="S34" s="383" t="str">
        <f t="shared" si="6"/>
        <v/>
      </c>
      <c r="T34" s="282"/>
      <c r="U34" s="399"/>
      <c r="V34" s="397"/>
      <c r="W34" s="476"/>
      <c r="X34" s="397"/>
      <c r="Y34" s="398"/>
      <c r="Z34" s="399"/>
      <c r="AA34" s="397"/>
      <c r="AB34" s="480"/>
      <c r="AC34" s="397"/>
      <c r="AD34" s="398"/>
      <c r="AF34" s="168" t="str">
        <f t="shared" si="8"/>
        <v/>
      </c>
      <c r="AG34" s="12" t="str">
        <f t="shared" si="8"/>
        <v/>
      </c>
      <c r="AH34" s="39" t="str">
        <f t="shared" si="9"/>
        <v/>
      </c>
      <c r="AJ34" s="57" t="s">
        <v>88</v>
      </c>
      <c r="AK34" s="59" t="str">
        <f t="shared" si="7"/>
        <v>FOLLOWING</v>
      </c>
      <c r="AL34" s="59" t="str">
        <f>G15</f>
        <v>FOLLOWING</v>
      </c>
      <c r="AM34" s="59" t="s">
        <v>33</v>
      </c>
      <c r="AN34" s="282"/>
      <c r="AO34" s="282"/>
      <c r="AP34" s="282"/>
      <c r="AQ34" s="282"/>
      <c r="AR34" s="282"/>
      <c r="AS34" s="282"/>
      <c r="AT34" s="282"/>
      <c r="AU34" s="282"/>
      <c r="AV34" s="282"/>
      <c r="AW34" s="282"/>
      <c r="AX34" s="282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</row>
    <row r="35" spans="1:60">
      <c r="A35" s="282"/>
      <c r="B35" s="427" t="s">
        <v>181</v>
      </c>
      <c r="C35" s="296" t="s">
        <v>175</v>
      </c>
      <c r="D35" s="375" t="e">
        <f ca="1">IF(OR(VLOOKUP($J$2,TradeTable,D16+8,FALSE)="", VLOOKUP($J$2,TradeTable,D16+8,FALSE)=0), 0.2, VLOOKUP($J$2,TradeTable,D16+8,FALSE))</f>
        <v>#VALUE!</v>
      </c>
      <c r="E35" s="282"/>
      <c r="F35" s="187"/>
      <c r="G35" s="187"/>
      <c r="H35" s="282"/>
      <c r="I35" s="187"/>
      <c r="J35" s="187"/>
      <c r="K35" s="282"/>
      <c r="L35" s="384" t="e">
        <f t="shared" ca="1" si="3"/>
        <v>#VALUE!</v>
      </c>
      <c r="M35" s="183"/>
      <c r="N35" s="184"/>
      <c r="O35" s="383" t="str">
        <f t="shared" si="4"/>
        <v/>
      </c>
      <c r="P35" s="384" t="e">
        <f t="shared" ca="1" si="5"/>
        <v>#VALUE!</v>
      </c>
      <c r="Q35" s="183"/>
      <c r="R35" s="184"/>
      <c r="S35" s="383" t="str">
        <f t="shared" si="6"/>
        <v/>
      </c>
      <c r="T35" s="282"/>
      <c r="U35" s="399"/>
      <c r="V35" s="397"/>
      <c r="W35" s="476"/>
      <c r="X35" s="397"/>
      <c r="Y35" s="398"/>
      <c r="Z35" s="399"/>
      <c r="AA35" s="397"/>
      <c r="AB35" s="480"/>
      <c r="AC35" s="397"/>
      <c r="AD35" s="398"/>
      <c r="AF35" s="169" t="str">
        <f t="shared" si="8"/>
        <v/>
      </c>
      <c r="AG35" s="170" t="str">
        <f t="shared" si="8"/>
        <v/>
      </c>
      <c r="AH35" s="169" t="str">
        <f t="shared" si="9"/>
        <v/>
      </c>
      <c r="AJ35" s="57" t="s">
        <v>34</v>
      </c>
      <c r="AK35" s="59" t="e">
        <f t="shared" ca="1" si="7"/>
        <v>#VALUE!</v>
      </c>
      <c r="AL35" s="59" t="e">
        <f ca="1">G16</f>
        <v>#VALUE!</v>
      </c>
      <c r="AM35" s="59" t="s">
        <v>76</v>
      </c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</row>
    <row r="36" spans="1:60">
      <c r="A36" s="282"/>
      <c r="B36" s="421" t="e">
        <f ca="1">"Req. VA ("&amp;G8&amp;")"</f>
        <v>#VALUE!</v>
      </c>
      <c r="C36" s="143"/>
      <c r="D36" s="376"/>
      <c r="E36" s="282"/>
      <c r="F36" s="187"/>
      <c r="G36" s="187"/>
      <c r="H36" s="282"/>
      <c r="I36" s="187"/>
      <c r="J36" s="187"/>
      <c r="K36" s="282"/>
      <c r="L36" s="384" t="e">
        <f t="shared" ca="1" si="3"/>
        <v>#VALUE!</v>
      </c>
      <c r="M36" s="183"/>
      <c r="N36" s="184"/>
      <c r="O36" s="383" t="str">
        <f t="shared" si="4"/>
        <v/>
      </c>
      <c r="P36" s="384" t="e">
        <f t="shared" ca="1" si="5"/>
        <v>#VALUE!</v>
      </c>
      <c r="Q36" s="183"/>
      <c r="R36" s="184"/>
      <c r="S36" s="383" t="str">
        <f t="shared" si="6"/>
        <v/>
      </c>
      <c r="T36" s="282"/>
      <c r="U36" s="399"/>
      <c r="V36" s="397"/>
      <c r="W36" s="476"/>
      <c r="X36" s="397"/>
      <c r="Y36" s="398"/>
      <c r="Z36" s="399"/>
      <c r="AA36" s="397"/>
      <c r="AB36" s="480"/>
      <c r="AC36" s="397"/>
      <c r="AD36" s="398"/>
      <c r="AF36" s="39" t="str">
        <f t="shared" si="8"/>
        <v/>
      </c>
      <c r="AG36" s="12" t="str">
        <f t="shared" si="8"/>
        <v/>
      </c>
      <c r="AH36" s="39" t="str">
        <f t="shared" si="9"/>
        <v/>
      </c>
      <c r="AJ36" s="57" t="s">
        <v>35</v>
      </c>
      <c r="AK36" s="59" t="str">
        <f t="shared" si="7"/>
        <v>Standard</v>
      </c>
      <c r="AL36" s="59" t="str">
        <f>G17</f>
        <v>Standard</v>
      </c>
      <c r="AM36" s="59" t="s">
        <v>36</v>
      </c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</row>
    <row r="37" spans="1:60">
      <c r="A37" s="282"/>
      <c r="B37" s="418" t="e">
        <f ca="1" xml:space="preserve"> "DeltaR Receive ("&amp;J8&amp;")"</f>
        <v>#VALUE!</v>
      </c>
      <c r="C37" s="142"/>
      <c r="D37" s="376"/>
      <c r="E37" s="282"/>
      <c r="F37" s="187"/>
      <c r="G37" s="187"/>
      <c r="H37" s="282"/>
      <c r="I37" s="187"/>
      <c r="J37" s="187"/>
      <c r="K37" s="282"/>
      <c r="L37" s="384" t="e">
        <f t="shared" ca="1" si="3"/>
        <v>#VALUE!</v>
      </c>
      <c r="M37" s="183"/>
      <c r="N37" s="184"/>
      <c r="O37" s="383" t="str">
        <f t="shared" si="4"/>
        <v/>
      </c>
      <c r="P37" s="384" t="e">
        <f t="shared" ca="1" si="5"/>
        <v>#VALUE!</v>
      </c>
      <c r="Q37" s="183"/>
      <c r="R37" s="184"/>
      <c r="S37" s="383" t="str">
        <f t="shared" si="6"/>
        <v/>
      </c>
      <c r="T37" s="282"/>
      <c r="U37" s="399"/>
      <c r="V37" s="397"/>
      <c r="W37" s="476"/>
      <c r="X37" s="397"/>
      <c r="Y37" s="398"/>
      <c r="Z37" s="399"/>
      <c r="AA37" s="397"/>
      <c r="AB37" s="480"/>
      <c r="AC37" s="397"/>
      <c r="AD37" s="398"/>
      <c r="AF37" s="39" t="str">
        <f t="shared" si="8"/>
        <v/>
      </c>
      <c r="AG37" s="12" t="str">
        <f t="shared" si="8"/>
        <v/>
      </c>
      <c r="AH37" s="39" t="str">
        <f t="shared" si="9"/>
        <v/>
      </c>
      <c r="AJ37" s="57" t="s">
        <v>89</v>
      </c>
      <c r="AK37" s="62"/>
      <c r="AL37" s="62"/>
      <c r="AM37" s="61"/>
      <c r="AN37" s="282"/>
      <c r="AO37" s="282"/>
      <c r="AP37" s="282"/>
      <c r="AQ37" s="282"/>
      <c r="AR37" s="282"/>
      <c r="AS37" s="282"/>
      <c r="AT37" s="282"/>
      <c r="AU37" s="282"/>
      <c r="AV37" s="282"/>
      <c r="AW37" s="282"/>
      <c r="AX37" s="282"/>
      <c r="AY37" s="282"/>
      <c r="AZ37" s="282"/>
      <c r="BA37" s="282"/>
      <c r="BB37" s="282"/>
      <c r="BC37" s="282"/>
      <c r="BD37" s="282"/>
      <c r="BE37" s="282"/>
      <c r="BF37" s="282"/>
      <c r="BG37" s="282"/>
      <c r="BH37" s="282"/>
    </row>
    <row r="38" spans="1:60">
      <c r="A38" s="282"/>
      <c r="B38" s="418" t="s">
        <v>185</v>
      </c>
      <c r="C38" s="142"/>
      <c r="D38" s="377" t="e">
        <f ca="1">D36/(D37/AK18)</f>
        <v>#VALUE!</v>
      </c>
      <c r="E38" s="282"/>
      <c r="F38" s="187"/>
      <c r="G38" s="187"/>
      <c r="H38" s="282"/>
      <c r="I38" s="187"/>
      <c r="J38" s="187"/>
      <c r="K38" s="282"/>
      <c r="L38" s="384" t="e">
        <f t="shared" ca="1" si="3"/>
        <v>#VALUE!</v>
      </c>
      <c r="M38" s="183"/>
      <c r="N38" s="184"/>
      <c r="O38" s="383" t="str">
        <f t="shared" si="4"/>
        <v/>
      </c>
      <c r="P38" s="384" t="e">
        <f t="shared" ca="1" si="5"/>
        <v>#VALUE!</v>
      </c>
      <c r="Q38" s="183"/>
      <c r="R38" s="184"/>
      <c r="S38" s="383" t="str">
        <f t="shared" si="6"/>
        <v/>
      </c>
      <c r="T38" s="282"/>
      <c r="U38" s="399"/>
      <c r="V38" s="397"/>
      <c r="W38" s="476"/>
      <c r="X38" s="397"/>
      <c r="Y38" s="398"/>
      <c r="Z38" s="399"/>
      <c r="AA38" s="397"/>
      <c r="AB38" s="480"/>
      <c r="AC38" s="397"/>
      <c r="AD38" s="398"/>
      <c r="AF38" s="39" t="str">
        <f t="shared" si="8"/>
        <v/>
      </c>
      <c r="AG38" s="12" t="str">
        <f t="shared" si="8"/>
        <v/>
      </c>
      <c r="AH38" s="39" t="str">
        <f t="shared" si="9"/>
        <v/>
      </c>
      <c r="AJ38" s="57" t="s">
        <v>38</v>
      </c>
      <c r="AK38" s="59" t="e">
        <f t="shared" ca="1" si="7"/>
        <v>#VALUE!</v>
      </c>
      <c r="AL38" s="63" t="e">
        <f ca="1">G9</f>
        <v>#VALUE!</v>
      </c>
      <c r="AM38" s="63">
        <v>0</v>
      </c>
      <c r="AN38" s="282"/>
      <c r="AO38" s="282"/>
      <c r="AP38" s="282"/>
      <c r="AQ38" s="282"/>
      <c r="AR38" s="282"/>
      <c r="AS38" s="282"/>
      <c r="AT38" s="282"/>
      <c r="AU38" s="282"/>
      <c r="AV38" s="282"/>
      <c r="AW38" s="282"/>
      <c r="AX38" s="282"/>
      <c r="AY38" s="282"/>
      <c r="AZ38" s="282"/>
      <c r="BA38" s="282"/>
      <c r="BB38" s="282"/>
      <c r="BC38" s="282"/>
      <c r="BD38" s="282"/>
      <c r="BE38" s="282"/>
      <c r="BF38" s="282"/>
      <c r="BG38" s="282"/>
      <c r="BH38" s="282"/>
    </row>
    <row r="39" spans="1:60">
      <c r="A39" s="282"/>
      <c r="B39" s="418" t="s">
        <v>213</v>
      </c>
      <c r="C39" s="142"/>
      <c r="D39" s="377" t="e">
        <f ca="1">D18+(D20/D37)</f>
        <v>#VALUE!</v>
      </c>
      <c r="E39" s="282"/>
      <c r="F39" s="187"/>
      <c r="G39" s="187"/>
      <c r="H39" s="282"/>
      <c r="I39" s="187"/>
      <c r="J39" s="187"/>
      <c r="K39" s="282"/>
      <c r="L39" s="384" t="e">
        <f t="shared" ca="1" si="3"/>
        <v>#VALUE!</v>
      </c>
      <c r="M39" s="183"/>
      <c r="N39" s="184"/>
      <c r="O39" s="383" t="str">
        <f t="shared" si="4"/>
        <v/>
      </c>
      <c r="P39" s="384" t="e">
        <f t="shared" ca="1" si="5"/>
        <v>#VALUE!</v>
      </c>
      <c r="Q39" s="183"/>
      <c r="R39" s="184"/>
      <c r="S39" s="383" t="str">
        <f t="shared" si="6"/>
        <v/>
      </c>
      <c r="T39" s="282"/>
      <c r="U39" s="399"/>
      <c r="V39" s="397"/>
      <c r="W39" s="476"/>
      <c r="X39" s="397"/>
      <c r="Y39" s="398"/>
      <c r="Z39" s="399"/>
      <c r="AA39" s="397"/>
      <c r="AB39" s="480"/>
      <c r="AC39" s="397"/>
      <c r="AD39" s="398"/>
      <c r="AF39" s="39" t="str">
        <f t="shared" si="8"/>
        <v/>
      </c>
      <c r="AG39" s="12" t="str">
        <f t="shared" si="8"/>
        <v/>
      </c>
      <c r="AH39" s="39" t="str">
        <f t="shared" si="9"/>
        <v/>
      </c>
      <c r="AJ39" s="57" t="s">
        <v>39</v>
      </c>
      <c r="AK39" s="59" t="b">
        <f t="shared" si="7"/>
        <v>0</v>
      </c>
      <c r="AL39" s="59"/>
      <c r="AM39" s="59" t="b">
        <v>0</v>
      </c>
      <c r="AN39" s="282"/>
      <c r="AO39" s="282"/>
      <c r="AP39" s="282"/>
      <c r="AQ39" s="282"/>
      <c r="AR39" s="282"/>
      <c r="AS39" s="282"/>
      <c r="AT39" s="282"/>
      <c r="AU39" s="282"/>
      <c r="AV39" s="282"/>
      <c r="AW39" s="282"/>
      <c r="AX39" s="282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</row>
    <row r="40" spans="1:60">
      <c r="A40" s="282"/>
      <c r="B40" s="419" t="s">
        <v>214</v>
      </c>
      <c r="C40" s="142"/>
      <c r="D40" s="378" t="e">
        <f ca="1">SUM(D38:D39)</f>
        <v>#VALUE!</v>
      </c>
      <c r="E40" s="282"/>
      <c r="F40" s="187"/>
      <c r="G40" s="187"/>
      <c r="H40" s="285"/>
      <c r="I40" s="187"/>
      <c r="J40" s="187"/>
      <c r="K40" s="282"/>
      <c r="L40" s="384" t="e">
        <f t="shared" ca="1" si="3"/>
        <v>#VALUE!</v>
      </c>
      <c r="M40" s="183"/>
      <c r="N40" s="184"/>
      <c r="O40" s="383" t="str">
        <f t="shared" si="4"/>
        <v/>
      </c>
      <c r="P40" s="384" t="e">
        <f t="shared" ca="1" si="5"/>
        <v>#VALUE!</v>
      </c>
      <c r="Q40" s="183"/>
      <c r="R40" s="184"/>
      <c r="S40" s="383" t="str">
        <f t="shared" si="6"/>
        <v/>
      </c>
      <c r="T40" s="282"/>
      <c r="U40" s="399"/>
      <c r="V40" s="397"/>
      <c r="W40" s="476"/>
      <c r="X40" s="397"/>
      <c r="Y40" s="398"/>
      <c r="Z40" s="399"/>
      <c r="AA40" s="397"/>
      <c r="AB40" s="480"/>
      <c r="AC40" s="397"/>
      <c r="AD40" s="398"/>
      <c r="AF40" s="39" t="str">
        <f t="shared" si="8"/>
        <v/>
      </c>
      <c r="AG40" s="12" t="str">
        <f t="shared" si="8"/>
        <v/>
      </c>
      <c r="AH40" s="39" t="str">
        <f t="shared" si="9"/>
        <v/>
      </c>
      <c r="AJ40" s="57" t="s">
        <v>90</v>
      </c>
      <c r="AK40" s="62"/>
      <c r="AL40" s="62"/>
      <c r="AM40" s="61"/>
      <c r="AN40" s="282"/>
      <c r="AO40" s="282"/>
      <c r="AP40" s="282"/>
      <c r="AQ40" s="282"/>
      <c r="AR40" s="282"/>
      <c r="AS40" s="282"/>
      <c r="AT40" s="282"/>
      <c r="AU40" s="282"/>
      <c r="AV40" s="282"/>
      <c r="AW40" s="282"/>
      <c r="AX40" s="282"/>
      <c r="AY40" s="282"/>
      <c r="AZ40" s="282"/>
      <c r="BA40" s="282"/>
      <c r="BB40" s="282"/>
      <c r="BC40" s="282"/>
      <c r="BD40" s="282"/>
      <c r="BE40" s="282"/>
      <c r="BF40" s="282"/>
      <c r="BG40" s="282"/>
      <c r="BH40" s="282"/>
    </row>
    <row r="41" spans="1:60">
      <c r="A41" s="282"/>
      <c r="B41" s="282"/>
      <c r="C41" s="282"/>
      <c r="D41" s="282"/>
      <c r="E41" s="282"/>
      <c r="F41" s="187"/>
      <c r="G41" s="187"/>
      <c r="H41" s="286"/>
      <c r="I41" s="187"/>
      <c r="J41" s="187"/>
      <c r="K41" s="282"/>
      <c r="L41" s="384" t="e">
        <f t="shared" ca="1" si="3"/>
        <v>#VALUE!</v>
      </c>
      <c r="M41" s="183"/>
      <c r="N41" s="184"/>
      <c r="O41" s="383" t="str">
        <f t="shared" si="4"/>
        <v/>
      </c>
      <c r="P41" s="384" t="e">
        <f t="shared" ca="1" si="5"/>
        <v>#VALUE!</v>
      </c>
      <c r="Q41" s="183"/>
      <c r="R41" s="184"/>
      <c r="S41" s="383" t="str">
        <f t="shared" si="6"/>
        <v/>
      </c>
      <c r="T41" s="282"/>
      <c r="U41" s="399"/>
      <c r="V41" s="397"/>
      <c r="W41" s="476"/>
      <c r="X41" s="397"/>
      <c r="Y41" s="398"/>
      <c r="Z41" s="399"/>
      <c r="AA41" s="397"/>
      <c r="AB41" s="480"/>
      <c r="AC41" s="397"/>
      <c r="AD41" s="398"/>
      <c r="AF41" s="39" t="str">
        <f t="shared" si="8"/>
        <v/>
      </c>
      <c r="AG41" s="12" t="str">
        <f t="shared" si="8"/>
        <v/>
      </c>
      <c r="AH41" s="39" t="str">
        <f t="shared" si="9"/>
        <v/>
      </c>
      <c r="AJ41" s="57" t="s">
        <v>41</v>
      </c>
      <c r="AK41" s="59" t="e">
        <f t="shared" ca="1" si="7"/>
        <v>#VALUE!</v>
      </c>
      <c r="AL41" s="59" t="e">
        <f ca="1">G14</f>
        <v>#VALUE!</v>
      </c>
      <c r="AM41" s="59" t="s">
        <v>64</v>
      </c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</row>
    <row r="42" spans="1:60">
      <c r="A42" s="282"/>
      <c r="B42" s="282"/>
      <c r="C42" s="282"/>
      <c r="D42" s="282"/>
      <c r="E42" s="282"/>
      <c r="F42" s="188"/>
      <c r="G42" s="188"/>
      <c r="H42" s="286"/>
      <c r="I42" s="188"/>
      <c r="J42" s="188"/>
      <c r="K42" s="282"/>
      <c r="L42" s="384" t="e">
        <f t="shared" ca="1" si="3"/>
        <v>#VALUE!</v>
      </c>
      <c r="M42" s="183"/>
      <c r="N42" s="184"/>
      <c r="O42" s="383" t="str">
        <f t="shared" si="4"/>
        <v/>
      </c>
      <c r="P42" s="384" t="e">
        <f t="shared" ca="1" si="5"/>
        <v>#VALUE!</v>
      </c>
      <c r="Q42" s="183"/>
      <c r="R42" s="184"/>
      <c r="S42" s="383" t="str">
        <f t="shared" si="6"/>
        <v/>
      </c>
      <c r="T42" s="282"/>
      <c r="U42" s="399"/>
      <c r="V42" s="397"/>
      <c r="W42" s="476"/>
      <c r="X42" s="397"/>
      <c r="Y42" s="398"/>
      <c r="Z42" s="399"/>
      <c r="AA42" s="397"/>
      <c r="AB42" s="480"/>
      <c r="AC42" s="397"/>
      <c r="AD42" s="398"/>
      <c r="AF42" s="39" t="str">
        <f t="shared" si="8"/>
        <v/>
      </c>
      <c r="AG42" s="12" t="str">
        <f t="shared" si="8"/>
        <v/>
      </c>
      <c r="AH42" s="39" t="str">
        <f t="shared" si="9"/>
        <v/>
      </c>
      <c r="AJ42" s="57" t="s">
        <v>42</v>
      </c>
      <c r="AK42" s="59" t="str">
        <f t="shared" si="7"/>
        <v>0D</v>
      </c>
      <c r="AL42" s="59"/>
      <c r="AM42" s="59" t="s">
        <v>43</v>
      </c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</row>
    <row r="43" spans="1:60">
      <c r="A43" s="282"/>
      <c r="B43" s="282"/>
      <c r="C43" s="282"/>
      <c r="D43" s="282"/>
      <c r="E43" s="282"/>
      <c r="F43" s="287"/>
      <c r="G43" s="285"/>
      <c r="H43" s="286"/>
      <c r="I43" s="285"/>
      <c r="J43" s="285"/>
      <c r="K43" s="282"/>
      <c r="L43" s="384" t="e">
        <f t="shared" ca="1" si="3"/>
        <v>#VALUE!</v>
      </c>
      <c r="M43" s="183"/>
      <c r="N43" s="184"/>
      <c r="O43" s="383" t="str">
        <f t="shared" si="4"/>
        <v/>
      </c>
      <c r="P43" s="384" t="e">
        <f t="shared" ca="1" si="5"/>
        <v>#VALUE!</v>
      </c>
      <c r="Q43" s="183"/>
      <c r="R43" s="184"/>
      <c r="S43" s="383" t="str">
        <f t="shared" si="6"/>
        <v/>
      </c>
      <c r="T43" s="282"/>
      <c r="U43" s="399"/>
      <c r="V43" s="397"/>
      <c r="W43" s="476"/>
      <c r="X43" s="397"/>
      <c r="Y43" s="398"/>
      <c r="Z43" s="399"/>
      <c r="AA43" s="397"/>
      <c r="AB43" s="480"/>
      <c r="AC43" s="397"/>
      <c r="AD43" s="398"/>
      <c r="AF43" s="39" t="str">
        <f t="shared" si="8"/>
        <v/>
      </c>
      <c r="AG43" s="12" t="str">
        <f t="shared" si="8"/>
        <v/>
      </c>
      <c r="AH43" s="39" t="str">
        <f t="shared" si="9"/>
        <v/>
      </c>
      <c r="AJ43" s="57" t="s">
        <v>91</v>
      </c>
      <c r="AK43" s="59" t="str">
        <f t="shared" si="7"/>
        <v>NONE</v>
      </c>
      <c r="AL43" s="59"/>
      <c r="AM43" s="59" t="s">
        <v>44</v>
      </c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</row>
    <row r="44" spans="1:60">
      <c r="A44" s="282"/>
      <c r="B44" s="282"/>
      <c r="C44" s="282"/>
      <c r="D44" s="282"/>
      <c r="E44" s="282"/>
      <c r="F44" s="285"/>
      <c r="G44" s="285"/>
      <c r="H44" s="286"/>
      <c r="I44" s="288"/>
      <c r="J44" s="288"/>
      <c r="K44" s="282"/>
      <c r="L44" s="384" t="e">
        <f t="shared" ca="1" si="3"/>
        <v>#VALUE!</v>
      </c>
      <c r="M44" s="183"/>
      <c r="N44" s="184"/>
      <c r="O44" s="383" t="str">
        <f t="shared" si="4"/>
        <v/>
      </c>
      <c r="P44" s="384" t="e">
        <f t="shared" ca="1" si="5"/>
        <v>#VALUE!</v>
      </c>
      <c r="Q44" s="183"/>
      <c r="R44" s="184"/>
      <c r="S44" s="383" t="str">
        <f t="shared" si="6"/>
        <v/>
      </c>
      <c r="T44" s="282"/>
      <c r="U44" s="399"/>
      <c r="V44" s="397"/>
      <c r="W44" s="476"/>
      <c r="X44" s="397"/>
      <c r="Y44" s="398"/>
      <c r="Z44" s="399"/>
      <c r="AA44" s="397"/>
      <c r="AB44" s="480"/>
      <c r="AC44" s="397"/>
      <c r="AD44" s="398"/>
      <c r="AF44" s="39" t="str">
        <f t="shared" si="8"/>
        <v/>
      </c>
      <c r="AG44" s="12" t="str">
        <f t="shared" si="8"/>
        <v/>
      </c>
      <c r="AH44" s="39" t="str">
        <f t="shared" si="9"/>
        <v/>
      </c>
      <c r="AJ44" s="57" t="s">
        <v>45</v>
      </c>
      <c r="AK44" s="59" t="e">
        <f t="shared" si="7"/>
        <v>#REF!</v>
      </c>
      <c r="AL44" s="59" t="e">
        <f>#REF!</f>
        <v>#REF!</v>
      </c>
      <c r="AM44" s="59" t="s">
        <v>46</v>
      </c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</row>
    <row r="45" spans="1:60">
      <c r="A45" s="282"/>
      <c r="B45" s="282"/>
      <c r="C45" s="282"/>
      <c r="D45" s="282"/>
      <c r="E45" s="282"/>
      <c r="F45" s="282"/>
      <c r="G45" s="285"/>
      <c r="H45" s="286"/>
      <c r="I45" s="288"/>
      <c r="J45" s="288"/>
      <c r="K45" s="282"/>
      <c r="L45" s="384" t="e">
        <f t="shared" ca="1" si="3"/>
        <v>#VALUE!</v>
      </c>
      <c r="M45" s="183"/>
      <c r="N45" s="184"/>
      <c r="O45" s="383" t="str">
        <f t="shared" si="4"/>
        <v/>
      </c>
      <c r="P45" s="384" t="e">
        <f t="shared" ca="1" si="5"/>
        <v>#VALUE!</v>
      </c>
      <c r="Q45" s="183"/>
      <c r="R45" s="184"/>
      <c r="S45" s="383" t="str">
        <f t="shared" si="6"/>
        <v/>
      </c>
      <c r="T45" s="282"/>
      <c r="U45" s="399"/>
      <c r="V45" s="397"/>
      <c r="W45" s="476"/>
      <c r="X45" s="397"/>
      <c r="Y45" s="398"/>
      <c r="Z45" s="399"/>
      <c r="AA45" s="397"/>
      <c r="AB45" s="480"/>
      <c r="AC45" s="397"/>
      <c r="AD45" s="398"/>
      <c r="AF45" s="39" t="str">
        <f t="shared" si="8"/>
        <v/>
      </c>
      <c r="AG45" s="12" t="str">
        <f t="shared" si="8"/>
        <v/>
      </c>
      <c r="AH45" s="39" t="str">
        <f t="shared" si="9"/>
        <v/>
      </c>
      <c r="AJ45" s="57" t="s">
        <v>47</v>
      </c>
      <c r="AK45" s="59" t="e">
        <f t="shared" ca="1" si="7"/>
        <v>#VALUE!</v>
      </c>
      <c r="AL45" s="60" t="e">
        <f ca="1">G12</f>
        <v>#VALUE!</v>
      </c>
      <c r="AM45" s="59" t="s">
        <v>18</v>
      </c>
      <c r="AN45" s="282"/>
      <c r="AO45" s="282"/>
      <c r="AP45" s="282"/>
      <c r="AQ45" s="282"/>
      <c r="AR45" s="282"/>
      <c r="AS45" s="282"/>
      <c r="AT45" s="282"/>
      <c r="AU45" s="282"/>
      <c r="AV45" s="282"/>
      <c r="AW45" s="282"/>
      <c r="AX45" s="282"/>
      <c r="AY45" s="282"/>
      <c r="AZ45" s="282"/>
      <c r="BA45" s="282"/>
      <c r="BB45" s="282"/>
      <c r="BC45" s="282"/>
      <c r="BD45" s="282"/>
      <c r="BE45" s="282"/>
      <c r="BF45" s="282"/>
      <c r="BG45" s="282"/>
      <c r="BH45" s="282"/>
    </row>
    <row r="46" spans="1:60">
      <c r="A46" s="282"/>
      <c r="B46" s="282"/>
      <c r="C46" s="282"/>
      <c r="D46" s="282"/>
      <c r="E46" s="282"/>
      <c r="F46" s="282"/>
      <c r="G46" s="285"/>
      <c r="H46" s="282"/>
      <c r="I46" s="288"/>
      <c r="J46" s="288"/>
      <c r="K46" s="282"/>
      <c r="L46" s="384" t="e">
        <f t="shared" ca="1" si="3"/>
        <v>#VALUE!</v>
      </c>
      <c r="M46" s="183"/>
      <c r="N46" s="184"/>
      <c r="O46" s="383" t="str">
        <f t="shared" si="4"/>
        <v/>
      </c>
      <c r="P46" s="384" t="e">
        <f t="shared" ca="1" si="5"/>
        <v>#VALUE!</v>
      </c>
      <c r="Q46" s="183"/>
      <c r="R46" s="184"/>
      <c r="S46" s="383" t="str">
        <f t="shared" si="6"/>
        <v/>
      </c>
      <c r="T46" s="282"/>
      <c r="U46" s="399"/>
      <c r="V46" s="397"/>
      <c r="W46" s="476"/>
      <c r="X46" s="397"/>
      <c r="Y46" s="398"/>
      <c r="Z46" s="399"/>
      <c r="AA46" s="397"/>
      <c r="AB46" s="480"/>
      <c r="AC46" s="397"/>
      <c r="AD46" s="398"/>
      <c r="AF46" s="39" t="str">
        <f t="shared" si="8"/>
        <v/>
      </c>
      <c r="AG46" s="12" t="str">
        <f t="shared" si="8"/>
        <v/>
      </c>
      <c r="AH46" s="39" t="str">
        <f t="shared" si="9"/>
        <v/>
      </c>
      <c r="AJ46" s="64" t="s">
        <v>48</v>
      </c>
      <c r="AK46" s="65" t="e">
        <f t="shared" ca="1" si="7"/>
        <v>#VALUE!</v>
      </c>
      <c r="AL46" s="65" t="e">
        <f ca="1">G11/10000</f>
        <v>#VALUE!</v>
      </c>
      <c r="AM46" s="65">
        <v>0</v>
      </c>
      <c r="AN46" s="282"/>
      <c r="AO46" s="282"/>
      <c r="AP46" s="282"/>
      <c r="AQ46" s="282"/>
      <c r="AR46" s="282"/>
      <c r="AS46" s="282"/>
      <c r="AT46" s="282"/>
      <c r="AU46" s="282"/>
      <c r="AV46" s="282"/>
      <c r="AW46" s="282"/>
      <c r="AX46" s="282"/>
      <c r="AY46" s="282"/>
      <c r="AZ46" s="282"/>
      <c r="BA46" s="282"/>
      <c r="BB46" s="282"/>
      <c r="BC46" s="282"/>
      <c r="BD46" s="282"/>
      <c r="BE46" s="282"/>
      <c r="BF46" s="282"/>
      <c r="BG46" s="282"/>
      <c r="BH46" s="282"/>
    </row>
    <row r="47" spans="1:60">
      <c r="A47" s="282"/>
      <c r="B47" s="282"/>
      <c r="C47" s="282"/>
      <c r="D47" s="282"/>
      <c r="E47" s="282"/>
      <c r="F47" s="285"/>
      <c r="G47" s="285"/>
      <c r="H47" s="282"/>
      <c r="I47" s="288"/>
      <c r="J47" s="288"/>
      <c r="K47" s="282"/>
      <c r="L47" s="384" t="e">
        <f t="shared" ca="1" si="3"/>
        <v>#VALUE!</v>
      </c>
      <c r="M47" s="183"/>
      <c r="N47" s="184"/>
      <c r="O47" s="383" t="str">
        <f t="shared" si="4"/>
        <v/>
      </c>
      <c r="P47" s="384" t="e">
        <f t="shared" ca="1" si="5"/>
        <v>#VALUE!</v>
      </c>
      <c r="Q47" s="183"/>
      <c r="R47" s="184"/>
      <c r="S47" s="383" t="str">
        <f t="shared" si="6"/>
        <v/>
      </c>
      <c r="T47" s="282"/>
      <c r="U47" s="399"/>
      <c r="V47" s="397"/>
      <c r="W47" s="476"/>
      <c r="X47" s="397"/>
      <c r="Y47" s="398"/>
      <c r="Z47" s="399"/>
      <c r="AA47" s="397"/>
      <c r="AB47" s="480"/>
      <c r="AC47" s="397"/>
      <c r="AD47" s="398"/>
      <c r="AF47" s="39" t="str">
        <f t="shared" si="8"/>
        <v/>
      </c>
      <c r="AG47" s="12" t="str">
        <f t="shared" si="8"/>
        <v/>
      </c>
      <c r="AH47" s="39" t="str">
        <f t="shared" si="9"/>
        <v/>
      </c>
      <c r="AK47" s="54"/>
      <c r="AL47" s="54"/>
      <c r="AN47" s="282"/>
      <c r="AO47" s="282"/>
      <c r="AP47" s="282"/>
      <c r="AQ47" s="282"/>
      <c r="AR47" s="282"/>
      <c r="AS47" s="282"/>
      <c r="AT47" s="282"/>
      <c r="AU47" s="282"/>
      <c r="AV47" s="282"/>
      <c r="AW47" s="282"/>
      <c r="AX47" s="282"/>
      <c r="AY47" s="282"/>
      <c r="AZ47" s="282"/>
      <c r="BA47" s="282"/>
      <c r="BB47" s="282"/>
      <c r="BC47" s="282"/>
      <c r="BD47" s="282"/>
      <c r="BE47" s="282"/>
      <c r="BF47" s="282"/>
      <c r="BG47" s="282"/>
      <c r="BH47" s="282"/>
    </row>
    <row r="48" spans="1:60">
      <c r="A48" s="282"/>
      <c r="B48" s="282"/>
      <c r="C48" s="282"/>
      <c r="D48" s="282"/>
      <c r="E48" s="282"/>
      <c r="F48" s="285"/>
      <c r="G48" s="285"/>
      <c r="H48" s="282"/>
      <c r="I48" s="288"/>
      <c r="J48" s="288"/>
      <c r="K48" s="282"/>
      <c r="L48" s="384" t="e">
        <f t="shared" ca="1" si="3"/>
        <v>#VALUE!</v>
      </c>
      <c r="M48" s="183"/>
      <c r="N48" s="184"/>
      <c r="O48" s="383" t="str">
        <f t="shared" si="4"/>
        <v/>
      </c>
      <c r="P48" s="384" t="e">
        <f t="shared" ca="1" si="5"/>
        <v>#VALUE!</v>
      </c>
      <c r="Q48" s="183"/>
      <c r="R48" s="184"/>
      <c r="S48" s="383" t="str">
        <f t="shared" si="6"/>
        <v/>
      </c>
      <c r="T48" s="282"/>
      <c r="U48" s="399"/>
      <c r="V48" s="397"/>
      <c r="W48" s="476"/>
      <c r="X48" s="397"/>
      <c r="Y48" s="398"/>
      <c r="Z48" s="399"/>
      <c r="AA48" s="397"/>
      <c r="AB48" s="480"/>
      <c r="AC48" s="397"/>
      <c r="AD48" s="398"/>
      <c r="AF48" s="39" t="str">
        <f t="shared" si="8"/>
        <v/>
      </c>
      <c r="AG48" s="12" t="str">
        <f t="shared" si="8"/>
        <v/>
      </c>
      <c r="AH48" s="39" t="str">
        <f t="shared" si="9"/>
        <v/>
      </c>
      <c r="AJ48" s="162" t="s">
        <v>8</v>
      </c>
      <c r="AK48" s="86"/>
      <c r="AL48" s="54"/>
      <c r="AN48" s="282"/>
      <c r="AO48" s="282"/>
      <c r="AP48" s="282"/>
      <c r="AQ48" s="282"/>
      <c r="AR48" s="282"/>
      <c r="AS48" s="282"/>
      <c r="AT48" s="282"/>
      <c r="AU48" s="282"/>
      <c r="AV48" s="282"/>
      <c r="AW48" s="282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</row>
    <row r="49" spans="1:60">
      <c r="A49" s="282"/>
      <c r="B49" s="282"/>
      <c r="C49" s="282"/>
      <c r="D49" s="282"/>
      <c r="E49" s="282"/>
      <c r="F49" s="289"/>
      <c r="G49" s="290"/>
      <c r="H49" s="282"/>
      <c r="I49" s="282"/>
      <c r="J49" s="282"/>
      <c r="K49" s="282"/>
      <c r="L49" s="384" t="e">
        <f t="shared" ca="1" si="3"/>
        <v>#VALUE!</v>
      </c>
      <c r="M49" s="183"/>
      <c r="N49" s="184"/>
      <c r="O49" s="383" t="str">
        <f t="shared" si="4"/>
        <v/>
      </c>
      <c r="P49" s="384" t="e">
        <f t="shared" ca="1" si="5"/>
        <v>#VALUE!</v>
      </c>
      <c r="Q49" s="183"/>
      <c r="R49" s="184"/>
      <c r="S49" s="383" t="str">
        <f t="shared" si="6"/>
        <v/>
      </c>
      <c r="T49" s="282"/>
      <c r="U49" s="399"/>
      <c r="V49" s="397"/>
      <c r="W49" s="476"/>
      <c r="X49" s="397"/>
      <c r="Y49" s="398"/>
      <c r="Z49" s="399"/>
      <c r="AA49" s="397"/>
      <c r="AB49" s="480"/>
      <c r="AC49" s="397"/>
      <c r="AD49" s="398"/>
      <c r="AF49" s="39" t="str">
        <f t="shared" si="8"/>
        <v/>
      </c>
      <c r="AG49" s="12" t="str">
        <f t="shared" si="8"/>
        <v/>
      </c>
      <c r="AH49" s="39" t="str">
        <f t="shared" si="9"/>
        <v/>
      </c>
      <c r="AJ49" s="42" t="s">
        <v>26</v>
      </c>
      <c r="AK49" s="67" t="e">
        <f t="shared" ref="AK49:AK68" ca="1" si="10">IF(AL49="",AM49,AL49)</f>
        <v>#VALUE!</v>
      </c>
      <c r="AL49" s="67" t="e">
        <f ca="1">J6</f>
        <v>#VALUE!</v>
      </c>
      <c r="AM49" s="56" t="s">
        <v>67</v>
      </c>
      <c r="AN49" s="282"/>
      <c r="AO49" s="282"/>
      <c r="AP49" s="282"/>
      <c r="AQ49" s="282"/>
      <c r="AR49" s="282"/>
      <c r="AS49" s="282"/>
      <c r="AT49" s="282"/>
      <c r="AU49" s="282"/>
      <c r="AV49" s="282"/>
      <c r="AW49" s="282"/>
      <c r="AX49" s="282"/>
      <c r="AY49" s="282"/>
      <c r="AZ49" s="282"/>
      <c r="BA49" s="282"/>
      <c r="BB49" s="282"/>
      <c r="BC49" s="282"/>
      <c r="BD49" s="282"/>
      <c r="BE49" s="282"/>
      <c r="BF49" s="282"/>
      <c r="BG49" s="282"/>
      <c r="BH49" s="282"/>
    </row>
    <row r="50" spans="1:60">
      <c r="A50" s="282"/>
      <c r="B50" s="282"/>
      <c r="C50" s="282"/>
      <c r="D50" s="282"/>
      <c r="E50" s="282"/>
      <c r="F50" s="289"/>
      <c r="G50" s="290"/>
      <c r="H50" s="282"/>
      <c r="I50" s="282"/>
      <c r="J50" s="282"/>
      <c r="K50" s="282"/>
      <c r="L50" s="384" t="e">
        <f t="shared" ca="1" si="3"/>
        <v>#VALUE!</v>
      </c>
      <c r="M50" s="183"/>
      <c r="N50" s="184"/>
      <c r="O50" s="383" t="str">
        <f t="shared" si="4"/>
        <v/>
      </c>
      <c r="P50" s="384" t="e">
        <f t="shared" ca="1" si="5"/>
        <v>#VALUE!</v>
      </c>
      <c r="Q50" s="183"/>
      <c r="R50" s="184"/>
      <c r="S50" s="383" t="str">
        <f t="shared" si="6"/>
        <v/>
      </c>
      <c r="T50" s="282"/>
      <c r="U50" s="399"/>
      <c r="V50" s="397"/>
      <c r="W50" s="476"/>
      <c r="X50" s="397"/>
      <c r="Y50" s="398"/>
      <c r="Z50" s="399"/>
      <c r="AA50" s="397"/>
      <c r="AB50" s="480"/>
      <c r="AC50" s="397"/>
      <c r="AD50" s="398"/>
      <c r="AF50" s="39" t="str">
        <f t="shared" si="8"/>
        <v/>
      </c>
      <c r="AG50" s="12" t="str">
        <f t="shared" si="8"/>
        <v/>
      </c>
      <c r="AH50" s="39" t="str">
        <f t="shared" si="9"/>
        <v/>
      </c>
      <c r="AJ50" s="57" t="s">
        <v>27</v>
      </c>
      <c r="AK50" s="68" t="e">
        <f t="shared" ca="1" si="10"/>
        <v>#VALUE!</v>
      </c>
      <c r="AL50" s="69" t="e">
        <f ca="1">IF(AK29=AK51,AK28,J7)</f>
        <v>#VALUE!</v>
      </c>
      <c r="AM50" s="58">
        <v>1000000</v>
      </c>
      <c r="AN50" s="282"/>
      <c r="AO50" s="282"/>
      <c r="AP50" s="282"/>
      <c r="AQ50" s="282"/>
      <c r="AR50" s="282"/>
      <c r="AS50" s="282"/>
      <c r="AT50" s="282"/>
      <c r="AU50" s="282"/>
      <c r="AV50" s="282"/>
      <c r="AW50" s="282"/>
      <c r="AX50" s="282"/>
      <c r="AY50" s="282"/>
      <c r="AZ50" s="282"/>
      <c r="BA50" s="282"/>
      <c r="BB50" s="282"/>
      <c r="BC50" s="282"/>
      <c r="BD50" s="282"/>
      <c r="BE50" s="282"/>
      <c r="BF50" s="282"/>
      <c r="BG50" s="282"/>
      <c r="BH50" s="282"/>
    </row>
    <row r="51" spans="1:60">
      <c r="A51" s="282"/>
      <c r="B51" s="282"/>
      <c r="C51" s="282"/>
      <c r="D51" s="282"/>
      <c r="E51" s="282"/>
      <c r="F51" s="289"/>
      <c r="G51" s="290"/>
      <c r="H51" s="282"/>
      <c r="I51" s="282"/>
      <c r="J51" s="282"/>
      <c r="K51" s="282"/>
      <c r="L51" s="384" t="e">
        <f t="shared" ca="1" si="3"/>
        <v>#VALUE!</v>
      </c>
      <c r="M51" s="183"/>
      <c r="N51" s="184"/>
      <c r="O51" s="383" t="str">
        <f t="shared" si="4"/>
        <v/>
      </c>
      <c r="P51" s="384" t="e">
        <f t="shared" ca="1" si="5"/>
        <v>#VALUE!</v>
      </c>
      <c r="Q51" s="183"/>
      <c r="R51" s="184"/>
      <c r="S51" s="383" t="str">
        <f t="shared" si="6"/>
        <v/>
      </c>
      <c r="T51" s="282"/>
      <c r="U51" s="399"/>
      <c r="V51" s="397"/>
      <c r="W51" s="476"/>
      <c r="X51" s="397"/>
      <c r="Y51" s="398"/>
      <c r="Z51" s="399"/>
      <c r="AA51" s="397"/>
      <c r="AB51" s="480"/>
      <c r="AC51" s="397"/>
      <c r="AD51" s="398"/>
      <c r="AF51" s="51" t="str">
        <f t="shared" si="8"/>
        <v/>
      </c>
      <c r="AG51" s="13" t="str">
        <f t="shared" si="8"/>
        <v/>
      </c>
      <c r="AH51" s="51" t="str">
        <f t="shared" si="9"/>
        <v/>
      </c>
      <c r="AJ51" s="57" t="s">
        <v>28</v>
      </c>
      <c r="AK51" s="70" t="e">
        <f t="shared" ca="1" si="10"/>
        <v>#VALUE!</v>
      </c>
      <c r="AL51" s="70" t="e">
        <f ca="1">UPPER(J8)</f>
        <v>#VALUE!</v>
      </c>
      <c r="AM51" s="59" t="s">
        <v>13</v>
      </c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</row>
    <row r="52" spans="1:60">
      <c r="A52" s="282"/>
      <c r="B52" s="282"/>
      <c r="C52" s="282"/>
      <c r="D52" s="282"/>
      <c r="E52" s="282"/>
      <c r="F52" s="289"/>
      <c r="G52" s="290"/>
      <c r="H52" s="282"/>
      <c r="I52" s="282"/>
      <c r="J52" s="282"/>
      <c r="K52" s="282"/>
      <c r="L52" s="384" t="e">
        <f t="shared" ca="1" si="3"/>
        <v>#VALUE!</v>
      </c>
      <c r="M52" s="183"/>
      <c r="N52" s="184"/>
      <c r="O52" s="383" t="str">
        <f t="shared" si="4"/>
        <v/>
      </c>
      <c r="P52" s="384" t="e">
        <f t="shared" ca="1" si="5"/>
        <v>#VALUE!</v>
      </c>
      <c r="Q52" s="183"/>
      <c r="R52" s="184"/>
      <c r="S52" s="383" t="str">
        <f t="shared" si="6"/>
        <v/>
      </c>
      <c r="T52" s="282"/>
      <c r="U52" s="399"/>
      <c r="V52" s="397"/>
      <c r="W52" s="476"/>
      <c r="X52" s="397"/>
      <c r="Y52" s="398"/>
      <c r="Z52" s="399"/>
      <c r="AA52" s="397"/>
      <c r="AB52" s="480"/>
      <c r="AC52" s="397"/>
      <c r="AD52" s="398"/>
      <c r="AJ52" s="57" t="s">
        <v>87</v>
      </c>
      <c r="AK52" s="70" t="str">
        <f t="shared" si="10"/>
        <v>Forward</v>
      </c>
      <c r="AL52" s="70"/>
      <c r="AM52" s="59" t="s">
        <v>29</v>
      </c>
      <c r="AN52" s="282"/>
      <c r="AO52" s="282"/>
      <c r="AP52" s="282"/>
      <c r="AQ52" s="282"/>
      <c r="AR52" s="282"/>
      <c r="AS52" s="282"/>
      <c r="AT52" s="282"/>
      <c r="AU52" s="282"/>
      <c r="AV52" s="282"/>
      <c r="AW52" s="282"/>
      <c r="AX52" s="282"/>
      <c r="AY52" s="282"/>
      <c r="AZ52" s="282"/>
      <c r="BA52" s="282"/>
      <c r="BB52" s="282"/>
      <c r="BC52" s="282"/>
      <c r="BD52" s="282"/>
      <c r="BE52" s="282"/>
      <c r="BF52" s="282"/>
      <c r="BG52" s="282"/>
      <c r="BH52" s="282"/>
    </row>
    <row r="53" spans="1:60">
      <c r="A53" s="282"/>
      <c r="B53" s="282"/>
      <c r="C53" s="282"/>
      <c r="D53" s="282"/>
      <c r="E53" s="282"/>
      <c r="F53" s="289"/>
      <c r="G53" s="291"/>
      <c r="H53" s="282"/>
      <c r="I53" s="282"/>
      <c r="J53" s="282"/>
      <c r="K53" s="282"/>
      <c r="L53" s="384" t="e">
        <f t="shared" ca="1" si="3"/>
        <v>#VALUE!</v>
      </c>
      <c r="M53" s="183"/>
      <c r="N53" s="184"/>
      <c r="O53" s="383" t="str">
        <f t="shared" si="4"/>
        <v/>
      </c>
      <c r="P53" s="384" t="e">
        <f t="shared" ca="1" si="5"/>
        <v>#VALUE!</v>
      </c>
      <c r="Q53" s="183"/>
      <c r="R53" s="184"/>
      <c r="S53" s="383" t="str">
        <f t="shared" si="6"/>
        <v/>
      </c>
      <c r="T53" s="282"/>
      <c r="U53" s="399"/>
      <c r="V53" s="397"/>
      <c r="W53" s="476"/>
      <c r="X53" s="397"/>
      <c r="Y53" s="398"/>
      <c r="Z53" s="399"/>
      <c r="AA53" s="397"/>
      <c r="AB53" s="480"/>
      <c r="AC53" s="397"/>
      <c r="AD53" s="398"/>
      <c r="AJ53" s="57" t="s">
        <v>30</v>
      </c>
      <c r="AK53" s="70" t="e">
        <f t="shared" ca="1" si="10"/>
        <v>#VALUE!</v>
      </c>
      <c r="AL53" s="70" t="e">
        <f ca="1">J14</f>
        <v>#VALUE!</v>
      </c>
      <c r="AM53" s="59" t="s">
        <v>64</v>
      </c>
      <c r="AN53" s="282"/>
      <c r="AO53" s="282"/>
      <c r="AP53" s="282"/>
      <c r="AQ53" s="282"/>
      <c r="AR53" s="282"/>
      <c r="AS53" s="282"/>
      <c r="AT53" s="282"/>
      <c r="AU53" s="282"/>
      <c r="AV53" s="282"/>
      <c r="AW53" s="282"/>
      <c r="AX53" s="282"/>
      <c r="AY53" s="282"/>
      <c r="AZ53" s="282"/>
      <c r="BA53" s="282"/>
      <c r="BB53" s="282"/>
      <c r="BC53" s="282"/>
      <c r="BD53" s="282"/>
      <c r="BE53" s="282"/>
      <c r="BF53" s="282"/>
      <c r="BG53" s="282"/>
      <c r="BH53" s="282"/>
    </row>
    <row r="54" spans="1:60">
      <c r="A54" s="282"/>
      <c r="B54" s="282"/>
      <c r="C54" s="282"/>
      <c r="D54" s="282"/>
      <c r="E54" s="282"/>
      <c r="F54" s="285"/>
      <c r="G54" s="285"/>
      <c r="H54" s="282"/>
      <c r="I54" s="282"/>
      <c r="J54" s="282"/>
      <c r="K54" s="282"/>
      <c r="L54" s="384" t="e">
        <f t="shared" ca="1" si="3"/>
        <v>#VALUE!</v>
      </c>
      <c r="M54" s="183"/>
      <c r="N54" s="184"/>
      <c r="O54" s="383" t="str">
        <f t="shared" si="4"/>
        <v/>
      </c>
      <c r="P54" s="384" t="e">
        <f t="shared" ca="1" si="5"/>
        <v>#VALUE!</v>
      </c>
      <c r="Q54" s="183"/>
      <c r="R54" s="184"/>
      <c r="S54" s="383" t="str">
        <f t="shared" si="6"/>
        <v/>
      </c>
      <c r="T54" s="282"/>
      <c r="U54" s="399"/>
      <c r="V54" s="397"/>
      <c r="W54" s="476"/>
      <c r="X54" s="397"/>
      <c r="Y54" s="398"/>
      <c r="Z54" s="399"/>
      <c r="AA54" s="397"/>
      <c r="AB54" s="480"/>
      <c r="AC54" s="397"/>
      <c r="AD54" s="398"/>
      <c r="AJ54" s="57" t="s">
        <v>31</v>
      </c>
      <c r="AK54" s="70" t="e">
        <f t="shared" ca="1" si="10"/>
        <v>#VALUE!</v>
      </c>
      <c r="AL54" s="71" t="e">
        <f ca="1">J12</f>
        <v>#VALUE!</v>
      </c>
      <c r="AM54" s="59" t="s">
        <v>18</v>
      </c>
      <c r="AN54" s="282"/>
      <c r="AO54" s="282"/>
      <c r="AP54" s="282"/>
      <c r="AQ54" s="282"/>
      <c r="AR54" s="282"/>
      <c r="AS54" s="282"/>
      <c r="AT54" s="282"/>
      <c r="AU54" s="282"/>
      <c r="AV54" s="282"/>
      <c r="AW54" s="282"/>
      <c r="AX54" s="282"/>
      <c r="AY54" s="282"/>
      <c r="AZ54" s="282"/>
      <c r="BA54" s="282"/>
      <c r="BB54" s="282"/>
      <c r="BC54" s="282"/>
      <c r="BD54" s="282"/>
      <c r="BE54" s="282"/>
      <c r="BF54" s="282"/>
      <c r="BG54" s="282"/>
      <c r="BH54" s="282"/>
    </row>
    <row r="55" spans="1:60">
      <c r="A55" s="282"/>
      <c r="B55" s="282"/>
      <c r="C55" s="282"/>
      <c r="D55" s="282"/>
      <c r="E55" s="282"/>
      <c r="F55" s="282"/>
      <c r="G55" s="282"/>
      <c r="H55" s="282"/>
      <c r="I55" s="282"/>
      <c r="J55" s="282"/>
      <c r="K55" s="282"/>
      <c r="L55" s="384" t="e">
        <f t="shared" ca="1" si="3"/>
        <v>#VALUE!</v>
      </c>
      <c r="M55" s="183"/>
      <c r="N55" s="184"/>
      <c r="O55" s="383" t="str">
        <f t="shared" si="4"/>
        <v/>
      </c>
      <c r="P55" s="384" t="e">
        <f t="shared" ca="1" si="5"/>
        <v>#VALUE!</v>
      </c>
      <c r="Q55" s="183"/>
      <c r="R55" s="184"/>
      <c r="S55" s="383" t="str">
        <f t="shared" si="6"/>
        <v/>
      </c>
      <c r="T55" s="282"/>
      <c r="U55" s="399"/>
      <c r="V55" s="397"/>
      <c r="W55" s="476"/>
      <c r="X55" s="397"/>
      <c r="Y55" s="398"/>
      <c r="Z55" s="399"/>
      <c r="AA55" s="397"/>
      <c r="AB55" s="480"/>
      <c r="AC55" s="397"/>
      <c r="AD55" s="398"/>
      <c r="AJ55" s="57" t="s">
        <v>32</v>
      </c>
      <c r="AK55" s="70" t="e">
        <f t="shared" ca="1" si="10"/>
        <v>#VALUE!</v>
      </c>
      <c r="AL55" s="70" t="e">
        <f ca="1">IF(J13=31,"EOM",J13)</f>
        <v>#VALUE!</v>
      </c>
      <c r="AM55" s="59">
        <v>1</v>
      </c>
      <c r="AN55" s="282"/>
      <c r="AO55" s="282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</row>
    <row r="56" spans="1:60">
      <c r="A56" s="282"/>
      <c r="B56" s="282"/>
      <c r="C56" s="282"/>
      <c r="D56" s="282"/>
      <c r="E56" s="282"/>
      <c r="F56" s="282"/>
      <c r="G56" s="282"/>
      <c r="H56" s="282"/>
      <c r="I56" s="282"/>
      <c r="J56" s="282"/>
      <c r="K56" s="282"/>
      <c r="L56" s="384" t="e">
        <f t="shared" ca="1" si="3"/>
        <v>#VALUE!</v>
      </c>
      <c r="M56" s="183"/>
      <c r="N56" s="184"/>
      <c r="O56" s="383" t="str">
        <f t="shared" si="4"/>
        <v/>
      </c>
      <c r="P56" s="384" t="e">
        <f t="shared" ca="1" si="5"/>
        <v>#VALUE!</v>
      </c>
      <c r="Q56" s="183"/>
      <c r="R56" s="184"/>
      <c r="S56" s="383" t="str">
        <f t="shared" si="6"/>
        <v/>
      </c>
      <c r="T56" s="282"/>
      <c r="U56" s="399"/>
      <c r="V56" s="397"/>
      <c r="W56" s="476"/>
      <c r="X56" s="397"/>
      <c r="Y56" s="398"/>
      <c r="Z56" s="399"/>
      <c r="AA56" s="397"/>
      <c r="AB56" s="480"/>
      <c r="AC56" s="397"/>
      <c r="AD56" s="398"/>
      <c r="AJ56" s="57" t="s">
        <v>88</v>
      </c>
      <c r="AK56" s="70" t="str">
        <f t="shared" si="10"/>
        <v>FOLLOWING</v>
      </c>
      <c r="AL56" s="70" t="str">
        <f>J15</f>
        <v>FOLLOWING</v>
      </c>
      <c r="AM56" s="59" t="s">
        <v>33</v>
      </c>
      <c r="AN56" s="282"/>
      <c r="AO56" s="282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2"/>
    </row>
    <row r="57" spans="1:60">
      <c r="A57" s="282"/>
      <c r="B57" s="282"/>
      <c r="C57" s="282"/>
      <c r="D57" s="282"/>
      <c r="E57" s="282"/>
      <c r="F57" s="282"/>
      <c r="G57" s="282"/>
      <c r="H57" s="282"/>
      <c r="I57" s="282"/>
      <c r="J57" s="282"/>
      <c r="K57" s="282"/>
      <c r="L57" s="384" t="e">
        <f t="shared" ca="1" si="3"/>
        <v>#VALUE!</v>
      </c>
      <c r="M57" s="183"/>
      <c r="N57" s="184"/>
      <c r="O57" s="383" t="str">
        <f t="shared" si="4"/>
        <v/>
      </c>
      <c r="P57" s="384" t="e">
        <f t="shared" ca="1" si="5"/>
        <v>#VALUE!</v>
      </c>
      <c r="Q57" s="183"/>
      <c r="R57" s="184"/>
      <c r="S57" s="383" t="str">
        <f t="shared" si="6"/>
        <v/>
      </c>
      <c r="T57" s="282"/>
      <c r="U57" s="399"/>
      <c r="V57" s="397"/>
      <c r="W57" s="476"/>
      <c r="X57" s="397"/>
      <c r="Y57" s="398"/>
      <c r="Z57" s="399"/>
      <c r="AA57" s="397"/>
      <c r="AB57" s="480"/>
      <c r="AC57" s="397"/>
      <c r="AD57" s="398"/>
      <c r="AJ57" s="57" t="s">
        <v>34</v>
      </c>
      <c r="AK57" s="70" t="e">
        <f t="shared" ca="1" si="10"/>
        <v>#VALUE!</v>
      </c>
      <c r="AL57" s="70" t="e">
        <f ca="1">J16</f>
        <v>#VALUE!</v>
      </c>
      <c r="AM57" s="59" t="s">
        <v>76</v>
      </c>
      <c r="AN57" s="282"/>
      <c r="AO57" s="282"/>
      <c r="AP57" s="282"/>
      <c r="AQ57" s="282"/>
      <c r="AR57" s="282"/>
      <c r="AS57" s="282"/>
      <c r="AT57" s="282"/>
      <c r="AU57" s="282"/>
      <c r="AV57" s="282"/>
      <c r="AW57" s="282"/>
      <c r="AX57" s="282"/>
      <c r="AY57" s="282"/>
      <c r="AZ57" s="282"/>
      <c r="BA57" s="282"/>
      <c r="BB57" s="282"/>
      <c r="BC57" s="282"/>
      <c r="BD57" s="282"/>
      <c r="BE57" s="282"/>
      <c r="BF57" s="282"/>
      <c r="BG57" s="282"/>
      <c r="BH57" s="282"/>
    </row>
    <row r="58" spans="1:60">
      <c r="A58" s="282"/>
      <c r="B58" s="282"/>
      <c r="C58" s="282"/>
      <c r="D58" s="282"/>
      <c r="E58" s="282"/>
      <c r="F58" s="282"/>
      <c r="G58" s="282"/>
      <c r="H58" s="282"/>
      <c r="I58" s="282"/>
      <c r="J58" s="282"/>
      <c r="K58" s="282"/>
      <c r="L58" s="384" t="e">
        <f t="shared" ca="1" si="3"/>
        <v>#VALUE!</v>
      </c>
      <c r="M58" s="183"/>
      <c r="N58" s="184"/>
      <c r="O58" s="383" t="str">
        <f t="shared" si="4"/>
        <v/>
      </c>
      <c r="P58" s="384" t="e">
        <f t="shared" ca="1" si="5"/>
        <v>#VALUE!</v>
      </c>
      <c r="Q58" s="183"/>
      <c r="R58" s="184"/>
      <c r="S58" s="383" t="str">
        <f t="shared" si="6"/>
        <v/>
      </c>
      <c r="T58" s="282"/>
      <c r="U58" s="399"/>
      <c r="V58" s="397"/>
      <c r="W58" s="476"/>
      <c r="X58" s="397"/>
      <c r="Y58" s="398"/>
      <c r="Z58" s="399"/>
      <c r="AA58" s="397"/>
      <c r="AB58" s="480"/>
      <c r="AC58" s="397"/>
      <c r="AD58" s="398"/>
      <c r="AJ58" s="57" t="s">
        <v>35</v>
      </c>
      <c r="AK58" s="70" t="str">
        <f t="shared" si="10"/>
        <v>Standard</v>
      </c>
      <c r="AL58" s="70" t="str">
        <f>J17</f>
        <v>Standard</v>
      </c>
      <c r="AM58" s="59" t="s">
        <v>36</v>
      </c>
      <c r="AN58" s="282"/>
      <c r="AO58" s="282"/>
      <c r="AP58" s="282"/>
      <c r="AQ58" s="282"/>
      <c r="AR58" s="282"/>
      <c r="AS58" s="282"/>
      <c r="AT58" s="282"/>
      <c r="AU58" s="282"/>
      <c r="AV58" s="282"/>
      <c r="AW58" s="282"/>
      <c r="AX58" s="282"/>
      <c r="AY58" s="282"/>
      <c r="AZ58" s="282"/>
      <c r="BA58" s="282"/>
      <c r="BB58" s="282"/>
      <c r="BC58" s="282"/>
      <c r="BD58" s="282"/>
      <c r="BE58" s="282"/>
      <c r="BF58" s="282"/>
      <c r="BG58" s="282"/>
      <c r="BH58" s="282"/>
    </row>
    <row r="59" spans="1:60">
      <c r="A59" s="282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384" t="e">
        <f t="shared" ca="1" si="3"/>
        <v>#VALUE!</v>
      </c>
      <c r="M59" s="183"/>
      <c r="N59" s="184"/>
      <c r="O59" s="383" t="str">
        <f t="shared" si="4"/>
        <v/>
      </c>
      <c r="P59" s="384" t="e">
        <f t="shared" ca="1" si="5"/>
        <v>#VALUE!</v>
      </c>
      <c r="Q59" s="183"/>
      <c r="R59" s="184"/>
      <c r="S59" s="383" t="str">
        <f t="shared" si="6"/>
        <v/>
      </c>
      <c r="T59" s="282"/>
      <c r="U59" s="399"/>
      <c r="V59" s="397"/>
      <c r="W59" s="476"/>
      <c r="X59" s="397"/>
      <c r="Y59" s="398"/>
      <c r="Z59" s="399"/>
      <c r="AA59" s="397"/>
      <c r="AB59" s="480"/>
      <c r="AC59" s="397"/>
      <c r="AD59" s="398"/>
      <c r="AJ59" s="57" t="s">
        <v>89</v>
      </c>
      <c r="AK59" s="62"/>
      <c r="AL59" s="62"/>
      <c r="AM59" s="61"/>
      <c r="AN59" s="282"/>
      <c r="AO59" s="282"/>
      <c r="AP59" s="282"/>
      <c r="AQ59" s="282"/>
      <c r="AR59" s="282"/>
      <c r="AS59" s="282"/>
      <c r="AT59" s="282"/>
      <c r="AU59" s="282"/>
      <c r="AV59" s="282"/>
      <c r="AW59" s="282"/>
      <c r="AX59" s="282"/>
      <c r="AY59" s="282"/>
      <c r="AZ59" s="282"/>
      <c r="BA59" s="282"/>
      <c r="BB59" s="282"/>
      <c r="BC59" s="282"/>
      <c r="BD59" s="282"/>
      <c r="BE59" s="282"/>
      <c r="BF59" s="282"/>
      <c r="BG59" s="282"/>
      <c r="BH59" s="282"/>
    </row>
    <row r="60" spans="1:60">
      <c r="A60" s="282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384" t="e">
        <f t="shared" ca="1" si="3"/>
        <v>#VALUE!</v>
      </c>
      <c r="M60" s="183"/>
      <c r="N60" s="184"/>
      <c r="O60" s="383" t="str">
        <f t="shared" si="4"/>
        <v/>
      </c>
      <c r="P60" s="384" t="e">
        <f t="shared" ca="1" si="5"/>
        <v>#VALUE!</v>
      </c>
      <c r="Q60" s="183"/>
      <c r="R60" s="184"/>
      <c r="S60" s="383" t="str">
        <f t="shared" si="6"/>
        <v/>
      </c>
      <c r="T60" s="282"/>
      <c r="U60" s="399"/>
      <c r="V60" s="397"/>
      <c r="W60" s="476"/>
      <c r="X60" s="397"/>
      <c r="Y60" s="398"/>
      <c r="Z60" s="399"/>
      <c r="AA60" s="397"/>
      <c r="AB60" s="480"/>
      <c r="AC60" s="397"/>
      <c r="AD60" s="398"/>
      <c r="AJ60" s="57" t="s">
        <v>38</v>
      </c>
      <c r="AK60" s="70" t="e">
        <f t="shared" ca="1" si="10"/>
        <v>#VALUE!</v>
      </c>
      <c r="AL60" s="72" t="e">
        <f ca="1">J9</f>
        <v>#VALUE!</v>
      </c>
      <c r="AM60" s="63">
        <v>0</v>
      </c>
      <c r="AN60" s="282"/>
      <c r="AO60" s="282"/>
      <c r="AP60" s="282"/>
      <c r="AQ60" s="282"/>
      <c r="AR60" s="282"/>
      <c r="AS60" s="282"/>
      <c r="AT60" s="282"/>
      <c r="AU60" s="282"/>
      <c r="AV60" s="282"/>
      <c r="AW60" s="282"/>
      <c r="AX60" s="282"/>
      <c r="AY60" s="282"/>
      <c r="AZ60" s="282"/>
      <c r="BA60" s="282"/>
      <c r="BB60" s="282"/>
      <c r="BC60" s="282"/>
      <c r="BD60" s="282"/>
      <c r="BE60" s="282"/>
      <c r="BF60" s="282"/>
      <c r="BG60" s="282"/>
      <c r="BH60" s="282"/>
    </row>
    <row r="61" spans="1:60">
      <c r="A61" s="282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384" t="e">
        <f t="shared" ca="1" si="3"/>
        <v>#VALUE!</v>
      </c>
      <c r="M61" s="183"/>
      <c r="N61" s="184"/>
      <c r="O61" s="383" t="str">
        <f t="shared" si="4"/>
        <v/>
      </c>
      <c r="P61" s="384" t="e">
        <f t="shared" ca="1" si="5"/>
        <v>#VALUE!</v>
      </c>
      <c r="Q61" s="183"/>
      <c r="R61" s="184"/>
      <c r="S61" s="383" t="str">
        <f t="shared" si="6"/>
        <v/>
      </c>
      <c r="T61" s="282"/>
      <c r="U61" s="399"/>
      <c r="V61" s="397"/>
      <c r="W61" s="476"/>
      <c r="X61" s="397"/>
      <c r="Y61" s="398"/>
      <c r="Z61" s="399"/>
      <c r="AA61" s="397"/>
      <c r="AB61" s="480"/>
      <c r="AC61" s="397"/>
      <c r="AD61" s="398"/>
      <c r="AJ61" s="57" t="s">
        <v>39</v>
      </c>
      <c r="AK61" s="70" t="b">
        <f t="shared" si="10"/>
        <v>0</v>
      </c>
      <c r="AL61" s="70"/>
      <c r="AM61" s="59" t="b">
        <v>0</v>
      </c>
      <c r="AN61" s="282"/>
      <c r="AO61" s="282"/>
      <c r="AP61" s="282"/>
      <c r="AQ61" s="282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</row>
    <row r="62" spans="1:60">
      <c r="A62" s="282"/>
      <c r="B62" s="282"/>
      <c r="C62" s="282"/>
      <c r="D62" s="282"/>
      <c r="E62" s="282"/>
      <c r="F62" s="282"/>
      <c r="G62" s="282"/>
      <c r="H62" s="282"/>
      <c r="I62" s="282"/>
      <c r="J62" s="282"/>
      <c r="K62" s="282"/>
      <c r="L62" s="384" t="e">
        <f t="shared" ca="1" si="3"/>
        <v>#VALUE!</v>
      </c>
      <c r="M62" s="183"/>
      <c r="N62" s="184"/>
      <c r="O62" s="383" t="str">
        <f t="shared" si="4"/>
        <v/>
      </c>
      <c r="P62" s="384" t="e">
        <f t="shared" ca="1" si="5"/>
        <v>#VALUE!</v>
      </c>
      <c r="Q62" s="183"/>
      <c r="R62" s="184"/>
      <c r="S62" s="383" t="str">
        <f t="shared" si="6"/>
        <v/>
      </c>
      <c r="T62" s="282"/>
      <c r="U62" s="399"/>
      <c r="V62" s="397"/>
      <c r="W62" s="476"/>
      <c r="X62" s="397"/>
      <c r="Y62" s="398"/>
      <c r="Z62" s="399"/>
      <c r="AA62" s="397"/>
      <c r="AB62" s="480"/>
      <c r="AC62" s="397"/>
      <c r="AD62" s="398"/>
      <c r="AJ62" s="57" t="s">
        <v>90</v>
      </c>
      <c r="AK62" s="62"/>
      <c r="AL62" s="62"/>
      <c r="AM62" s="61"/>
      <c r="AN62" s="282"/>
      <c r="AO62" s="282"/>
      <c r="AP62" s="282"/>
      <c r="AQ62" s="282"/>
      <c r="AR62" s="282"/>
      <c r="AS62" s="282"/>
      <c r="AT62" s="282"/>
      <c r="AU62" s="282"/>
      <c r="AV62" s="282"/>
      <c r="AW62" s="282"/>
      <c r="AX62" s="282"/>
      <c r="AY62" s="282"/>
      <c r="AZ62" s="282"/>
      <c r="BA62" s="282"/>
      <c r="BB62" s="282"/>
      <c r="BC62" s="282"/>
      <c r="BD62" s="282"/>
      <c r="BE62" s="282"/>
      <c r="BF62" s="282"/>
      <c r="BG62" s="282"/>
      <c r="BH62" s="282"/>
    </row>
    <row r="63" spans="1:60">
      <c r="A63" s="282"/>
      <c r="B63" s="282"/>
      <c r="C63" s="282"/>
      <c r="D63" s="282"/>
      <c r="E63" s="282"/>
      <c r="F63" s="282"/>
      <c r="G63" s="282"/>
      <c r="H63" s="282"/>
      <c r="I63" s="282"/>
      <c r="J63" s="282"/>
      <c r="K63" s="282"/>
      <c r="L63" s="384" t="e">
        <f t="shared" ca="1" si="3"/>
        <v>#VALUE!</v>
      </c>
      <c r="M63" s="183"/>
      <c r="N63" s="184"/>
      <c r="O63" s="383" t="str">
        <f t="shared" si="4"/>
        <v/>
      </c>
      <c r="P63" s="384" t="e">
        <f t="shared" ca="1" si="5"/>
        <v>#VALUE!</v>
      </c>
      <c r="Q63" s="183"/>
      <c r="R63" s="184"/>
      <c r="S63" s="383" t="str">
        <f t="shared" si="6"/>
        <v/>
      </c>
      <c r="T63" s="282"/>
      <c r="U63" s="399"/>
      <c r="V63" s="397"/>
      <c r="W63" s="476"/>
      <c r="X63" s="397"/>
      <c r="Y63" s="398"/>
      <c r="Z63" s="399"/>
      <c r="AA63" s="397"/>
      <c r="AB63" s="480"/>
      <c r="AC63" s="397"/>
      <c r="AD63" s="398"/>
      <c r="AJ63" s="57" t="s">
        <v>41</v>
      </c>
      <c r="AK63" s="70" t="e">
        <f t="shared" ca="1" si="10"/>
        <v>#VALUE!</v>
      </c>
      <c r="AL63" s="70" t="e">
        <f ca="1">J14</f>
        <v>#VALUE!</v>
      </c>
      <c r="AM63" s="59" t="s">
        <v>64</v>
      </c>
      <c r="AN63" s="282"/>
      <c r="AO63" s="282"/>
      <c r="AP63" s="282"/>
      <c r="AQ63" s="282"/>
      <c r="AR63" s="282"/>
      <c r="AS63" s="282"/>
      <c r="AT63" s="282"/>
      <c r="AU63" s="282"/>
      <c r="AV63" s="282"/>
      <c r="AW63" s="282"/>
      <c r="AX63" s="282"/>
      <c r="AY63" s="282"/>
      <c r="AZ63" s="282"/>
      <c r="BA63" s="282"/>
      <c r="BB63" s="282"/>
      <c r="BC63" s="282"/>
      <c r="BD63" s="282"/>
      <c r="BE63" s="282"/>
      <c r="BF63" s="282"/>
      <c r="BG63" s="282"/>
      <c r="BH63" s="282"/>
    </row>
    <row r="64" spans="1:60">
      <c r="A64" s="282"/>
      <c r="B64" s="282"/>
      <c r="C64" s="282"/>
      <c r="D64" s="282"/>
      <c r="E64" s="282"/>
      <c r="F64" s="282"/>
      <c r="G64" s="282"/>
      <c r="H64" s="282"/>
      <c r="I64" s="282"/>
      <c r="J64" s="282"/>
      <c r="K64" s="282"/>
      <c r="L64" s="384" t="e">
        <f t="shared" ca="1" si="3"/>
        <v>#VALUE!</v>
      </c>
      <c r="M64" s="183"/>
      <c r="N64" s="184"/>
      <c r="O64" s="383" t="str">
        <f t="shared" si="4"/>
        <v/>
      </c>
      <c r="P64" s="384" t="e">
        <f t="shared" ca="1" si="5"/>
        <v>#VALUE!</v>
      </c>
      <c r="Q64" s="183"/>
      <c r="R64" s="184"/>
      <c r="S64" s="383" t="str">
        <f t="shared" si="6"/>
        <v/>
      </c>
      <c r="T64" s="282"/>
      <c r="U64" s="399"/>
      <c r="V64" s="397"/>
      <c r="W64" s="476"/>
      <c r="X64" s="397"/>
      <c r="Y64" s="398"/>
      <c r="Z64" s="399"/>
      <c r="AA64" s="397"/>
      <c r="AB64" s="480"/>
      <c r="AC64" s="397"/>
      <c r="AD64" s="398"/>
      <c r="AJ64" s="57" t="s">
        <v>42</v>
      </c>
      <c r="AK64" s="70" t="str">
        <f t="shared" si="10"/>
        <v>0D</v>
      </c>
      <c r="AL64" s="70"/>
      <c r="AM64" s="59" t="s">
        <v>43</v>
      </c>
      <c r="AN64" s="282"/>
      <c r="AO64" s="282"/>
      <c r="AP64" s="282"/>
      <c r="AQ64" s="282"/>
      <c r="AR64" s="282"/>
      <c r="AS64" s="282"/>
      <c r="AT64" s="282"/>
      <c r="AU64" s="282"/>
      <c r="AV64" s="282"/>
      <c r="AW64" s="282"/>
      <c r="AX64" s="282"/>
      <c r="AY64" s="282"/>
      <c r="AZ64" s="282"/>
      <c r="BA64" s="282"/>
      <c r="BB64" s="282"/>
      <c r="BC64" s="282"/>
      <c r="BD64" s="282"/>
      <c r="BE64" s="282"/>
      <c r="BF64" s="282"/>
      <c r="BG64" s="282"/>
      <c r="BH64" s="282"/>
    </row>
    <row r="65" spans="1:60">
      <c r="A65" s="282"/>
      <c r="B65" s="282"/>
      <c r="C65" s="282"/>
      <c r="D65" s="282"/>
      <c r="E65" s="282"/>
      <c r="F65" s="282"/>
      <c r="G65" s="282"/>
      <c r="H65" s="282"/>
      <c r="I65" s="282"/>
      <c r="J65" s="282"/>
      <c r="K65" s="282"/>
      <c r="L65" s="384" t="e">
        <f t="shared" ca="1" si="3"/>
        <v>#VALUE!</v>
      </c>
      <c r="M65" s="183"/>
      <c r="N65" s="184"/>
      <c r="O65" s="383" t="str">
        <f t="shared" si="4"/>
        <v/>
      </c>
      <c r="P65" s="384" t="e">
        <f t="shared" ca="1" si="5"/>
        <v>#VALUE!</v>
      </c>
      <c r="Q65" s="183"/>
      <c r="R65" s="184"/>
      <c r="S65" s="383" t="str">
        <f t="shared" si="6"/>
        <v/>
      </c>
      <c r="T65" s="282"/>
      <c r="U65" s="399"/>
      <c r="V65" s="397"/>
      <c r="W65" s="476"/>
      <c r="X65" s="397"/>
      <c r="Y65" s="398"/>
      <c r="Z65" s="399"/>
      <c r="AA65" s="397"/>
      <c r="AB65" s="480"/>
      <c r="AC65" s="397"/>
      <c r="AD65" s="398"/>
      <c r="AJ65" s="57" t="s">
        <v>91</v>
      </c>
      <c r="AK65" s="70" t="str">
        <f t="shared" si="10"/>
        <v>NONE</v>
      </c>
      <c r="AL65" s="70"/>
      <c r="AM65" s="59" t="s">
        <v>44</v>
      </c>
      <c r="AN65" s="282"/>
      <c r="AO65" s="282"/>
      <c r="AP65" s="282"/>
      <c r="AQ65" s="282"/>
      <c r="AR65" s="282"/>
      <c r="AS65" s="282"/>
      <c r="AT65" s="282"/>
      <c r="AU65" s="282"/>
      <c r="AV65" s="282"/>
      <c r="AW65" s="282"/>
      <c r="AX65" s="282"/>
      <c r="AY65" s="282"/>
      <c r="AZ65" s="282"/>
      <c r="BA65" s="282"/>
      <c r="BB65" s="282"/>
      <c r="BC65" s="282"/>
      <c r="BD65" s="282"/>
      <c r="BE65" s="282"/>
      <c r="BF65" s="282"/>
      <c r="BG65" s="282"/>
      <c r="BH65" s="282"/>
    </row>
    <row r="66" spans="1:60">
      <c r="A66" s="282"/>
      <c r="B66" s="282"/>
      <c r="C66" s="282"/>
      <c r="D66" s="282"/>
      <c r="E66" s="282"/>
      <c r="F66" s="282"/>
      <c r="G66" s="282"/>
      <c r="H66" s="282"/>
      <c r="I66" s="282"/>
      <c r="J66" s="282"/>
      <c r="K66" s="282"/>
      <c r="L66" s="384" t="e">
        <f t="shared" ca="1" si="3"/>
        <v>#VALUE!</v>
      </c>
      <c r="M66" s="183"/>
      <c r="N66" s="184"/>
      <c r="O66" s="383" t="str">
        <f t="shared" si="4"/>
        <v/>
      </c>
      <c r="P66" s="384" t="e">
        <f t="shared" ca="1" si="5"/>
        <v>#VALUE!</v>
      </c>
      <c r="Q66" s="183"/>
      <c r="R66" s="184"/>
      <c r="S66" s="383" t="str">
        <f t="shared" si="6"/>
        <v/>
      </c>
      <c r="T66" s="282"/>
      <c r="U66" s="399"/>
      <c r="V66" s="397"/>
      <c r="W66" s="476"/>
      <c r="X66" s="397"/>
      <c r="Y66" s="398"/>
      <c r="Z66" s="399"/>
      <c r="AA66" s="397"/>
      <c r="AB66" s="480"/>
      <c r="AC66" s="397"/>
      <c r="AD66" s="398"/>
      <c r="AJ66" s="57" t="s">
        <v>45</v>
      </c>
      <c r="AK66" s="59" t="e">
        <f t="shared" si="10"/>
        <v>#REF!</v>
      </c>
      <c r="AL66" s="71" t="e">
        <f>#REF!</f>
        <v>#REF!</v>
      </c>
      <c r="AM66" s="59" t="s">
        <v>46</v>
      </c>
      <c r="AN66" s="282"/>
      <c r="AO66" s="282"/>
      <c r="AP66" s="282"/>
      <c r="AQ66" s="282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2"/>
    </row>
    <row r="67" spans="1:60">
      <c r="A67" s="282"/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384" t="e">
        <f t="shared" ca="1" si="3"/>
        <v>#VALUE!</v>
      </c>
      <c r="M67" s="183"/>
      <c r="N67" s="184"/>
      <c r="O67" s="383" t="str">
        <f t="shared" si="4"/>
        <v/>
      </c>
      <c r="P67" s="384" t="e">
        <f t="shared" ca="1" si="5"/>
        <v>#VALUE!</v>
      </c>
      <c r="Q67" s="183"/>
      <c r="R67" s="184"/>
      <c r="S67" s="383" t="str">
        <f t="shared" si="6"/>
        <v/>
      </c>
      <c r="T67" s="282"/>
      <c r="U67" s="399"/>
      <c r="V67" s="397"/>
      <c r="W67" s="476"/>
      <c r="X67" s="397"/>
      <c r="Y67" s="398"/>
      <c r="Z67" s="399"/>
      <c r="AA67" s="397"/>
      <c r="AB67" s="480"/>
      <c r="AC67" s="397"/>
      <c r="AD67" s="398"/>
      <c r="AJ67" s="57" t="s">
        <v>47</v>
      </c>
      <c r="AK67" s="59" t="e">
        <f t="shared" ca="1" si="10"/>
        <v>#VALUE!</v>
      </c>
      <c r="AL67" s="71" t="e">
        <f ca="1">G12</f>
        <v>#VALUE!</v>
      </c>
      <c r="AM67" s="59"/>
      <c r="AN67" s="282"/>
      <c r="AO67" s="282"/>
      <c r="AP67" s="282"/>
      <c r="AQ67" s="282"/>
      <c r="AR67" s="282"/>
      <c r="AS67" s="282"/>
      <c r="AT67" s="282"/>
      <c r="AU67" s="282"/>
      <c r="AV67" s="282"/>
      <c r="AW67" s="282"/>
      <c r="AX67" s="282"/>
      <c r="AY67" s="282"/>
      <c r="AZ67" s="282"/>
      <c r="BA67" s="282"/>
      <c r="BB67" s="282"/>
      <c r="BC67" s="282"/>
      <c r="BD67" s="282"/>
      <c r="BE67" s="282"/>
      <c r="BF67" s="282"/>
      <c r="BG67" s="282"/>
      <c r="BH67" s="282"/>
    </row>
    <row r="68" spans="1:60">
      <c r="A68" s="282"/>
      <c r="B68" s="282"/>
      <c r="C68" s="282"/>
      <c r="D68" s="282"/>
      <c r="E68" s="282"/>
      <c r="F68" s="282"/>
      <c r="G68" s="282"/>
      <c r="H68" s="282"/>
      <c r="I68" s="282"/>
      <c r="J68" s="282"/>
      <c r="K68" s="282"/>
      <c r="L68" s="384" t="e">
        <f t="shared" ca="1" si="3"/>
        <v>#VALUE!</v>
      </c>
      <c r="M68" s="183"/>
      <c r="N68" s="184"/>
      <c r="O68" s="383" t="str">
        <f t="shared" si="4"/>
        <v/>
      </c>
      <c r="P68" s="384" t="e">
        <f t="shared" ca="1" si="5"/>
        <v>#VALUE!</v>
      </c>
      <c r="Q68" s="183"/>
      <c r="R68" s="184"/>
      <c r="S68" s="383" t="str">
        <f t="shared" si="6"/>
        <v/>
      </c>
      <c r="T68" s="282"/>
      <c r="U68" s="399"/>
      <c r="V68" s="397"/>
      <c r="W68" s="476"/>
      <c r="X68" s="397"/>
      <c r="Y68" s="398"/>
      <c r="Z68" s="399"/>
      <c r="AA68" s="397"/>
      <c r="AB68" s="480"/>
      <c r="AC68" s="397"/>
      <c r="AD68" s="398"/>
      <c r="AJ68" s="64" t="s">
        <v>48</v>
      </c>
      <c r="AK68" s="73" t="e">
        <f t="shared" ca="1" si="10"/>
        <v>#VALUE!</v>
      </c>
      <c r="AL68" s="73" t="e">
        <f ca="1">J11/10000</f>
        <v>#VALUE!</v>
      </c>
      <c r="AM68" s="65">
        <v>0</v>
      </c>
      <c r="AN68" s="282"/>
      <c r="AO68" s="282"/>
      <c r="AP68" s="282"/>
      <c r="AQ68" s="282"/>
      <c r="AR68" s="282"/>
      <c r="AS68" s="282"/>
      <c r="AT68" s="282"/>
      <c r="AU68" s="282"/>
      <c r="AV68" s="282"/>
      <c r="AW68" s="282"/>
      <c r="AX68" s="282"/>
      <c r="AY68" s="282"/>
      <c r="AZ68" s="282"/>
      <c r="BA68" s="282"/>
      <c r="BB68" s="282"/>
      <c r="BC68" s="282"/>
      <c r="BD68" s="282"/>
      <c r="BE68" s="282"/>
      <c r="BF68" s="282"/>
      <c r="BG68" s="282"/>
      <c r="BH68" s="282"/>
    </row>
    <row r="69" spans="1:60">
      <c r="A69" s="282"/>
      <c r="B69" s="282"/>
      <c r="C69" s="282"/>
      <c r="D69" s="282"/>
      <c r="E69" s="282"/>
      <c r="F69" s="282"/>
      <c r="G69" s="282"/>
      <c r="H69" s="282"/>
      <c r="I69" s="282"/>
      <c r="J69" s="282"/>
      <c r="K69" s="282"/>
      <c r="L69" s="384" t="e">
        <f t="shared" ca="1" si="3"/>
        <v>#VALUE!</v>
      </c>
      <c r="M69" s="183"/>
      <c r="N69" s="184"/>
      <c r="O69" s="383" t="str">
        <f t="shared" si="4"/>
        <v/>
      </c>
      <c r="P69" s="384" t="e">
        <f t="shared" ca="1" si="5"/>
        <v>#VALUE!</v>
      </c>
      <c r="Q69" s="183"/>
      <c r="R69" s="184"/>
      <c r="S69" s="383" t="str">
        <f t="shared" si="6"/>
        <v/>
      </c>
      <c r="T69" s="282"/>
      <c r="U69" s="399"/>
      <c r="V69" s="397"/>
      <c r="W69" s="476"/>
      <c r="X69" s="397"/>
      <c r="Y69" s="398"/>
      <c r="Z69" s="399"/>
      <c r="AA69" s="397"/>
      <c r="AB69" s="480"/>
      <c r="AC69" s="397"/>
      <c r="AD69" s="398"/>
      <c r="AK69" s="54"/>
      <c r="AL69" s="54"/>
      <c r="AN69" s="282"/>
      <c r="AO69" s="282"/>
      <c r="AP69" s="282"/>
      <c r="AQ69" s="282"/>
      <c r="AR69" s="282"/>
      <c r="AS69" s="282"/>
      <c r="AT69" s="282"/>
      <c r="AU69" s="282"/>
      <c r="AV69" s="282"/>
      <c r="AW69" s="282"/>
      <c r="AX69" s="282"/>
      <c r="AY69" s="282"/>
      <c r="AZ69" s="282"/>
      <c r="BA69" s="282"/>
      <c r="BB69" s="282"/>
      <c r="BC69" s="282"/>
      <c r="BD69" s="282"/>
      <c r="BE69" s="282"/>
      <c r="BF69" s="282"/>
      <c r="BG69" s="282"/>
      <c r="BH69" s="282"/>
    </row>
    <row r="70" spans="1:60">
      <c r="A70" s="282"/>
      <c r="B70" s="282"/>
      <c r="C70" s="282"/>
      <c r="D70" s="282"/>
      <c r="E70" s="282"/>
      <c r="F70" s="282"/>
      <c r="G70" s="282"/>
      <c r="H70" s="282"/>
      <c r="I70" s="282"/>
      <c r="J70" s="282"/>
      <c r="K70" s="282"/>
      <c r="L70" s="384" t="e">
        <f t="shared" ca="1" si="3"/>
        <v>#VALUE!</v>
      </c>
      <c r="M70" s="183"/>
      <c r="N70" s="184"/>
      <c r="O70" s="383" t="str">
        <f t="shared" si="4"/>
        <v/>
      </c>
      <c r="P70" s="384" t="e">
        <f t="shared" ca="1" si="5"/>
        <v>#VALUE!</v>
      </c>
      <c r="Q70" s="183"/>
      <c r="R70" s="184"/>
      <c r="S70" s="383" t="str">
        <f t="shared" si="6"/>
        <v/>
      </c>
      <c r="T70" s="282"/>
      <c r="U70" s="399"/>
      <c r="V70" s="397"/>
      <c r="W70" s="476"/>
      <c r="X70" s="397"/>
      <c r="Y70" s="398"/>
      <c r="Z70" s="399"/>
      <c r="AA70" s="397"/>
      <c r="AB70" s="480"/>
      <c r="AC70" s="397"/>
      <c r="AD70" s="398"/>
      <c r="AJ70" s="163" t="s">
        <v>57</v>
      </c>
      <c r="AK70" s="86"/>
      <c r="AL70" s="54"/>
      <c r="AN70" s="282"/>
      <c r="AO70" s="282"/>
      <c r="AP70" s="282"/>
      <c r="AQ70" s="282"/>
      <c r="AR70" s="282"/>
      <c r="AS70" s="282"/>
      <c r="AT70" s="282"/>
      <c r="AU70" s="282"/>
      <c r="AV70" s="282"/>
      <c r="AW70" s="282"/>
      <c r="AX70" s="282"/>
      <c r="AY70" s="282"/>
      <c r="AZ70" s="282"/>
      <c r="BA70" s="282"/>
      <c r="BB70" s="282"/>
      <c r="BC70" s="282"/>
      <c r="BD70" s="282"/>
      <c r="BE70" s="282"/>
      <c r="BF70" s="282"/>
      <c r="BG70" s="282"/>
      <c r="BH70" s="282"/>
    </row>
    <row r="71" spans="1:60">
      <c r="A71" s="282"/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384" t="e">
        <f t="shared" ca="1" si="3"/>
        <v>#VALUE!</v>
      </c>
      <c r="M71" s="183"/>
      <c r="N71" s="184"/>
      <c r="O71" s="383" t="str">
        <f t="shared" si="4"/>
        <v/>
      </c>
      <c r="P71" s="384" t="e">
        <f t="shared" ca="1" si="5"/>
        <v>#VALUE!</v>
      </c>
      <c r="Q71" s="183"/>
      <c r="R71" s="184"/>
      <c r="S71" s="383" t="str">
        <f t="shared" si="6"/>
        <v/>
      </c>
      <c r="T71" s="282"/>
      <c r="U71" s="399"/>
      <c r="V71" s="397"/>
      <c r="W71" s="476"/>
      <c r="X71" s="397"/>
      <c r="Y71" s="398"/>
      <c r="Z71" s="399"/>
      <c r="AA71" s="397"/>
      <c r="AB71" s="480"/>
      <c r="AC71" s="397"/>
      <c r="AD71" s="398"/>
      <c r="AJ71" s="75" t="s">
        <v>19</v>
      </c>
      <c r="AK71" s="76">
        <f ca="1">IF(AL71="",AM71,AL71)</f>
        <v>40491</v>
      </c>
      <c r="AL71" s="76"/>
      <c r="AM71" s="76">
        <f ca="1">TODAY()</f>
        <v>40491</v>
      </c>
      <c r="AN71" s="282"/>
      <c r="AO71" s="282"/>
      <c r="AP71" s="282"/>
      <c r="AQ71" s="282"/>
      <c r="AR71" s="282"/>
      <c r="AS71" s="282"/>
      <c r="AT71" s="282"/>
      <c r="AU71" s="282"/>
      <c r="AV71" s="282"/>
      <c r="AW71" s="282"/>
      <c r="AX71" s="282"/>
      <c r="AY71" s="282"/>
      <c r="AZ71" s="282"/>
      <c r="BA71" s="282"/>
      <c r="BB71" s="282"/>
      <c r="BC71" s="282"/>
      <c r="BD71" s="282"/>
      <c r="BE71" s="282"/>
      <c r="BF71" s="282"/>
      <c r="BG71" s="282"/>
      <c r="BH71" s="282"/>
    </row>
    <row r="72" spans="1:60">
      <c r="A72" s="282"/>
      <c r="B72" s="282"/>
      <c r="C72" s="282"/>
      <c r="D72" s="282"/>
      <c r="E72" s="282"/>
      <c r="F72" s="282"/>
      <c r="G72" s="282"/>
      <c r="H72" s="282"/>
      <c r="I72" s="282"/>
      <c r="J72" s="282"/>
      <c r="K72" s="282"/>
      <c r="L72" s="384" t="e">
        <f t="shared" ca="1" si="3"/>
        <v>#VALUE!</v>
      </c>
      <c r="M72" s="183"/>
      <c r="N72" s="184"/>
      <c r="O72" s="383" t="str">
        <f t="shared" si="4"/>
        <v/>
      </c>
      <c r="P72" s="384" t="e">
        <f t="shared" ca="1" si="5"/>
        <v>#VALUE!</v>
      </c>
      <c r="Q72" s="183"/>
      <c r="R72" s="184"/>
      <c r="S72" s="383" t="str">
        <f t="shared" si="6"/>
        <v/>
      </c>
      <c r="T72" s="282"/>
      <c r="U72" s="399"/>
      <c r="V72" s="397"/>
      <c r="W72" s="476"/>
      <c r="X72" s="397"/>
      <c r="Y72" s="398"/>
      <c r="Z72" s="399"/>
      <c r="AA72" s="397"/>
      <c r="AB72" s="480"/>
      <c r="AC72" s="397"/>
      <c r="AD72" s="398"/>
      <c r="AJ72" s="57" t="s">
        <v>112</v>
      </c>
      <c r="AK72" s="62" t="str">
        <f>IF(AL72="",AM72,AL72)</f>
        <v>EOD</v>
      </c>
      <c r="AL72" s="77" t="str">
        <f>Swap!K7</f>
        <v>EOD</v>
      </c>
      <c r="AM72" s="77" t="s">
        <v>107</v>
      </c>
      <c r="AN72" s="282"/>
      <c r="AO72" s="282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</row>
    <row r="73" spans="1:60">
      <c r="A73" s="282"/>
      <c r="B73" s="282"/>
      <c r="C73" s="282"/>
      <c r="D73" s="282"/>
      <c r="E73" s="282"/>
      <c r="F73" s="282"/>
      <c r="G73" s="282"/>
      <c r="H73" s="282"/>
      <c r="I73" s="282"/>
      <c r="J73" s="282"/>
      <c r="K73" s="282"/>
      <c r="L73" s="384" t="e">
        <f t="shared" ca="1" si="3"/>
        <v>#VALUE!</v>
      </c>
      <c r="M73" s="183"/>
      <c r="N73" s="184"/>
      <c r="O73" s="383" t="str">
        <f t="shared" si="4"/>
        <v/>
      </c>
      <c r="P73" s="384" t="e">
        <f t="shared" ca="1" si="5"/>
        <v>#VALUE!</v>
      </c>
      <c r="Q73" s="183"/>
      <c r="R73" s="184"/>
      <c r="S73" s="383" t="str">
        <f t="shared" si="6"/>
        <v/>
      </c>
      <c r="T73" s="282"/>
      <c r="U73" s="399"/>
      <c r="V73" s="397"/>
      <c r="W73" s="476"/>
      <c r="X73" s="397"/>
      <c r="Y73" s="398"/>
      <c r="Z73" s="399"/>
      <c r="AA73" s="397"/>
      <c r="AB73" s="480"/>
      <c r="AC73" s="397"/>
      <c r="AD73" s="398"/>
      <c r="AJ73" s="64" t="s">
        <v>136</v>
      </c>
      <c r="AK73" s="78" t="e">
        <f ca="1">IF(AL73="",AM73,AL73)</f>
        <v>#VALUE!</v>
      </c>
      <c r="AL73" s="148" t="e">
        <f ca="1">D14</f>
        <v>#VALUE!</v>
      </c>
      <c r="AM73" s="148" t="s">
        <v>137</v>
      </c>
      <c r="AN73" s="282"/>
      <c r="AO73" s="282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</row>
    <row r="74" spans="1:60">
      <c r="A74" s="282"/>
      <c r="B74" s="282"/>
      <c r="C74" s="282"/>
      <c r="D74" s="282"/>
      <c r="E74" s="282"/>
      <c r="F74" s="282"/>
      <c r="G74" s="282"/>
      <c r="H74" s="282"/>
      <c r="I74" s="282"/>
      <c r="J74" s="282"/>
      <c r="K74" s="282"/>
      <c r="L74" s="384" t="e">
        <f t="shared" ca="1" si="3"/>
        <v>#VALUE!</v>
      </c>
      <c r="M74" s="183"/>
      <c r="N74" s="184"/>
      <c r="O74" s="383" t="str">
        <f t="shared" si="4"/>
        <v/>
      </c>
      <c r="P74" s="384" t="e">
        <f t="shared" ca="1" si="5"/>
        <v>#VALUE!</v>
      </c>
      <c r="Q74" s="183"/>
      <c r="R74" s="184"/>
      <c r="S74" s="383" t="str">
        <f t="shared" si="6"/>
        <v/>
      </c>
      <c r="T74" s="282"/>
      <c r="U74" s="399"/>
      <c r="V74" s="397"/>
      <c r="W74" s="476"/>
      <c r="X74" s="397"/>
      <c r="Y74" s="398"/>
      <c r="Z74" s="399"/>
      <c r="AA74" s="397"/>
      <c r="AB74" s="480"/>
      <c r="AC74" s="397"/>
      <c r="AD74" s="398"/>
      <c r="AK74" s="54"/>
      <c r="AL74" s="54"/>
      <c r="AN74" s="282"/>
      <c r="AO74" s="282"/>
      <c r="AP74" s="282"/>
      <c r="AQ74" s="282"/>
      <c r="AR74" s="282"/>
      <c r="AS74" s="282"/>
      <c r="AT74" s="282"/>
      <c r="AU74" s="282"/>
      <c r="AV74" s="282"/>
      <c r="AW74" s="282"/>
      <c r="AX74" s="282"/>
      <c r="AY74" s="282"/>
      <c r="AZ74" s="282"/>
      <c r="BA74" s="282"/>
      <c r="BB74" s="282"/>
      <c r="BC74" s="282"/>
      <c r="BD74" s="282"/>
      <c r="BE74" s="282"/>
      <c r="BF74" s="282"/>
      <c r="BG74" s="282"/>
      <c r="BH74" s="282"/>
    </row>
    <row r="75" spans="1:60">
      <c r="A75" s="282"/>
      <c r="B75" s="282"/>
      <c r="C75" s="282"/>
      <c r="D75" s="282"/>
      <c r="E75" s="282"/>
      <c r="F75" s="282"/>
      <c r="G75" s="282"/>
      <c r="H75" s="282"/>
      <c r="I75" s="282"/>
      <c r="J75" s="282"/>
      <c r="K75" s="282"/>
      <c r="L75" s="384" t="e">
        <f t="shared" ref="L75:L138" ca="1" si="11">IF(AND(M74&lt;$D$12, M74&lt;&gt;""),M74,"")</f>
        <v>#VALUE!</v>
      </c>
      <c r="M75" s="183"/>
      <c r="N75" s="184"/>
      <c r="O75" s="383" t="str">
        <f t="shared" ref="O75:O138" si="12">IF(M75=0,"",O74+N74)</f>
        <v/>
      </c>
      <c r="P75" s="384" t="e">
        <f t="shared" ref="P75:P138" ca="1" si="13">IF(AND(Q74&lt;$D$12, Q74&lt;&gt;""),Q74,"")</f>
        <v>#VALUE!</v>
      </c>
      <c r="Q75" s="183"/>
      <c r="R75" s="184"/>
      <c r="S75" s="383" t="str">
        <f t="shared" ref="S75:S138" si="14">IF(Q75=0,"",S74+R74)</f>
        <v/>
      </c>
      <c r="T75" s="282"/>
      <c r="U75" s="399"/>
      <c r="V75" s="397"/>
      <c r="W75" s="476"/>
      <c r="X75" s="397"/>
      <c r="Y75" s="398"/>
      <c r="Z75" s="399"/>
      <c r="AA75" s="397"/>
      <c r="AB75" s="480"/>
      <c r="AC75" s="397"/>
      <c r="AD75" s="398"/>
      <c r="AJ75" s="164" t="s">
        <v>140</v>
      </c>
      <c r="AK75" s="139"/>
      <c r="AL75" s="54"/>
      <c r="AN75" s="282"/>
      <c r="AO75" s="282"/>
      <c r="AP75" s="282"/>
      <c r="AQ75" s="282"/>
      <c r="AR75" s="282"/>
      <c r="AS75" s="282"/>
      <c r="AT75" s="282"/>
      <c r="AU75" s="282"/>
      <c r="AV75" s="282"/>
      <c r="AW75" s="282"/>
      <c r="AX75" s="282"/>
      <c r="AY75" s="282"/>
      <c r="AZ75" s="282"/>
      <c r="BA75" s="282"/>
      <c r="BB75" s="282"/>
      <c r="BC75" s="282"/>
      <c r="BD75" s="282"/>
      <c r="BE75" s="282"/>
      <c r="BF75" s="282"/>
      <c r="BG75" s="282"/>
      <c r="BH75" s="282"/>
    </row>
    <row r="76" spans="1:60">
      <c r="A76" s="282"/>
      <c r="B76" s="282"/>
      <c r="C76" s="282"/>
      <c r="D76" s="282"/>
      <c r="E76" s="282"/>
      <c r="F76" s="282"/>
      <c r="G76" s="282"/>
      <c r="H76" s="282"/>
      <c r="I76" s="282"/>
      <c r="J76" s="282"/>
      <c r="K76" s="282"/>
      <c r="L76" s="384" t="e">
        <f t="shared" ca="1" si="11"/>
        <v>#VALUE!</v>
      </c>
      <c r="M76" s="183"/>
      <c r="N76" s="184"/>
      <c r="O76" s="383" t="str">
        <f t="shared" si="12"/>
        <v/>
      </c>
      <c r="P76" s="384" t="e">
        <f t="shared" ca="1" si="13"/>
        <v>#VALUE!</v>
      </c>
      <c r="Q76" s="183"/>
      <c r="R76" s="184"/>
      <c r="S76" s="383" t="str">
        <f t="shared" si="14"/>
        <v/>
      </c>
      <c r="T76" s="282"/>
      <c r="U76" s="399"/>
      <c r="V76" s="397"/>
      <c r="W76" s="476"/>
      <c r="X76" s="397"/>
      <c r="Y76" s="398"/>
      <c r="Z76" s="399"/>
      <c r="AA76" s="397"/>
      <c r="AB76" s="480"/>
      <c r="AC76" s="397"/>
      <c r="AD76" s="398"/>
      <c r="AJ76" s="75" t="s">
        <v>144</v>
      </c>
      <c r="AK76" s="81" t="e">
        <f t="shared" ref="AK76:AK90" ca="1" si="15">IF(AL76="",AM76,AL76)</f>
        <v>#VALUE!</v>
      </c>
      <c r="AL76" s="80" t="e">
        <f ca="1">G10</f>
        <v>#VALUE!</v>
      </c>
      <c r="AM76" s="43">
        <v>1</v>
      </c>
      <c r="AN76" s="282"/>
      <c r="AO76" s="282"/>
      <c r="AP76" s="282"/>
      <c r="AQ76" s="282"/>
      <c r="AR76" s="282"/>
      <c r="AS76" s="282"/>
      <c r="AT76" s="282"/>
      <c r="AU76" s="282"/>
      <c r="AV76" s="282"/>
      <c r="AW76" s="282"/>
      <c r="AX76" s="282"/>
      <c r="AY76" s="282"/>
      <c r="AZ76" s="282"/>
      <c r="BA76" s="282"/>
      <c r="BB76" s="282"/>
      <c r="BC76" s="282"/>
      <c r="BD76" s="282"/>
      <c r="BE76" s="282"/>
      <c r="BF76" s="282"/>
      <c r="BG76" s="282"/>
      <c r="BH76" s="282"/>
    </row>
    <row r="77" spans="1:60">
      <c r="A77" s="282"/>
      <c r="B77" s="282"/>
      <c r="C77" s="282"/>
      <c r="D77" s="282"/>
      <c r="E77" s="282"/>
      <c r="F77" s="282"/>
      <c r="G77" s="282"/>
      <c r="H77" s="282"/>
      <c r="I77" s="282"/>
      <c r="J77" s="282"/>
      <c r="K77" s="282"/>
      <c r="L77" s="384" t="e">
        <f t="shared" ca="1" si="11"/>
        <v>#VALUE!</v>
      </c>
      <c r="M77" s="183"/>
      <c r="N77" s="184"/>
      <c r="O77" s="383" t="str">
        <f t="shared" si="12"/>
        <v/>
      </c>
      <c r="P77" s="384" t="e">
        <f t="shared" ca="1" si="13"/>
        <v>#VALUE!</v>
      </c>
      <c r="Q77" s="183"/>
      <c r="R77" s="184"/>
      <c r="S77" s="383" t="str">
        <f t="shared" si="14"/>
        <v/>
      </c>
      <c r="T77" s="282"/>
      <c r="U77" s="399"/>
      <c r="V77" s="397"/>
      <c r="W77" s="476"/>
      <c r="X77" s="397"/>
      <c r="Y77" s="398"/>
      <c r="Z77" s="399"/>
      <c r="AA77" s="397"/>
      <c r="AB77" s="480"/>
      <c r="AC77" s="397"/>
      <c r="AD77" s="398"/>
      <c r="AJ77" s="57" t="s">
        <v>177</v>
      </c>
      <c r="AK77" s="62" t="e">
        <f t="shared" ca="1" si="15"/>
        <v>#VALUE!</v>
      </c>
      <c r="AL77" s="121" t="e">
        <f ca="1">IF(OR(D21="",D21=0),"", D21)</f>
        <v>#VALUE!</v>
      </c>
      <c r="AM77" s="48" t="s">
        <v>178</v>
      </c>
      <c r="AN77" s="282"/>
      <c r="AO77" s="282"/>
      <c r="AP77" s="282"/>
      <c r="AQ77" s="282"/>
      <c r="AR77" s="282"/>
      <c r="AS77" s="282"/>
      <c r="AT77" s="282"/>
      <c r="AU77" s="282"/>
      <c r="AV77" s="282"/>
      <c r="AW77" s="282"/>
      <c r="AX77" s="282"/>
      <c r="AY77" s="282"/>
      <c r="AZ77" s="282"/>
      <c r="BA77" s="282"/>
      <c r="BB77" s="282"/>
      <c r="BC77" s="282"/>
      <c r="BD77" s="282"/>
      <c r="BE77" s="282"/>
      <c r="BF77" s="282"/>
      <c r="BG77" s="282"/>
      <c r="BH77" s="282"/>
    </row>
    <row r="78" spans="1:60">
      <c r="A78" s="282"/>
      <c r="B78" s="282"/>
      <c r="C78" s="282"/>
      <c r="D78" s="282"/>
      <c r="E78" s="282"/>
      <c r="F78" s="282"/>
      <c r="G78" s="282"/>
      <c r="H78" s="282"/>
      <c r="I78" s="282"/>
      <c r="J78" s="282"/>
      <c r="K78" s="282"/>
      <c r="L78" s="384" t="e">
        <f t="shared" ca="1" si="11"/>
        <v>#VALUE!</v>
      </c>
      <c r="M78" s="183"/>
      <c r="N78" s="184"/>
      <c r="O78" s="383" t="str">
        <f t="shared" si="12"/>
        <v/>
      </c>
      <c r="P78" s="384" t="e">
        <f t="shared" ca="1" si="13"/>
        <v>#VALUE!</v>
      </c>
      <c r="Q78" s="183"/>
      <c r="R78" s="184"/>
      <c r="S78" s="383" t="str">
        <f t="shared" si="14"/>
        <v/>
      </c>
      <c r="T78" s="282"/>
      <c r="U78" s="399"/>
      <c r="V78" s="397"/>
      <c r="W78" s="476"/>
      <c r="X78" s="397"/>
      <c r="Y78" s="398"/>
      <c r="Z78" s="399"/>
      <c r="AA78" s="397"/>
      <c r="AB78" s="480"/>
      <c r="AC78" s="397"/>
      <c r="AD78" s="398"/>
      <c r="AJ78" s="57" t="s">
        <v>247</v>
      </c>
      <c r="AK78" s="62" t="e">
        <f t="shared" ca="1" si="15"/>
        <v>#VALUE!</v>
      </c>
      <c r="AL78" s="121" t="e">
        <f ca="1">D17</f>
        <v>#VALUE!</v>
      </c>
      <c r="AM78" s="48">
        <v>0</v>
      </c>
      <c r="AN78" s="282"/>
      <c r="AO78" s="282"/>
      <c r="AP78" s="282"/>
      <c r="AQ78" s="282"/>
      <c r="AR78" s="282"/>
      <c r="AS78" s="282"/>
      <c r="AT78" s="282"/>
      <c r="AU78" s="282"/>
      <c r="AV78" s="282"/>
      <c r="AW78" s="282"/>
      <c r="AX78" s="282"/>
      <c r="AY78" s="282"/>
      <c r="AZ78" s="282"/>
      <c r="BA78" s="282"/>
      <c r="BB78" s="282"/>
      <c r="BC78" s="282"/>
      <c r="BD78" s="282"/>
      <c r="BE78" s="282"/>
      <c r="BF78" s="282"/>
      <c r="BG78" s="282"/>
      <c r="BH78" s="282"/>
    </row>
    <row r="79" spans="1:60">
      <c r="A79" s="282"/>
      <c r="B79" s="282"/>
      <c r="C79" s="282"/>
      <c r="D79" s="282"/>
      <c r="E79" s="282"/>
      <c r="F79" s="282"/>
      <c r="G79" s="282"/>
      <c r="H79" s="282"/>
      <c r="I79" s="282"/>
      <c r="J79" s="282"/>
      <c r="K79" s="282"/>
      <c r="L79" s="384" t="e">
        <f t="shared" ca="1" si="11"/>
        <v>#VALUE!</v>
      </c>
      <c r="M79" s="183"/>
      <c r="N79" s="184"/>
      <c r="O79" s="383" t="str">
        <f t="shared" si="12"/>
        <v/>
      </c>
      <c r="P79" s="384" t="e">
        <f t="shared" ca="1" si="13"/>
        <v>#VALUE!</v>
      </c>
      <c r="Q79" s="183"/>
      <c r="R79" s="184"/>
      <c r="S79" s="383" t="str">
        <f t="shared" si="14"/>
        <v/>
      </c>
      <c r="T79" s="282"/>
      <c r="U79" s="399"/>
      <c r="V79" s="397"/>
      <c r="W79" s="476"/>
      <c r="X79" s="397"/>
      <c r="Y79" s="398"/>
      <c r="Z79" s="399"/>
      <c r="AA79" s="397"/>
      <c r="AB79" s="480"/>
      <c r="AC79" s="397"/>
      <c r="AD79" s="398"/>
      <c r="AJ79" s="57" t="s">
        <v>248</v>
      </c>
      <c r="AK79" s="62" t="e">
        <f t="shared" ca="1" si="15"/>
        <v>#VALUE!</v>
      </c>
      <c r="AL79" s="121" t="e">
        <f ca="1">D18</f>
        <v>#VALUE!</v>
      </c>
      <c r="AM79" s="48">
        <v>0</v>
      </c>
      <c r="AN79" s="282"/>
      <c r="AO79" s="282"/>
      <c r="AP79" s="282"/>
      <c r="AQ79" s="282"/>
      <c r="AR79" s="282"/>
      <c r="AS79" s="282"/>
      <c r="AT79" s="282"/>
      <c r="AU79" s="282"/>
      <c r="AV79" s="282"/>
      <c r="AW79" s="282"/>
      <c r="AX79" s="282"/>
      <c r="AY79" s="282"/>
      <c r="AZ79" s="282"/>
      <c r="BA79" s="282"/>
      <c r="BB79" s="282"/>
      <c r="BC79" s="282"/>
      <c r="BD79" s="282"/>
      <c r="BE79" s="282"/>
      <c r="BF79" s="282"/>
      <c r="BG79" s="282"/>
      <c r="BH79" s="282"/>
    </row>
    <row r="80" spans="1:60">
      <c r="A80" s="282"/>
      <c r="B80" s="282"/>
      <c r="C80" s="282"/>
      <c r="D80" s="282"/>
      <c r="E80" s="282"/>
      <c r="F80" s="282"/>
      <c r="G80" s="282"/>
      <c r="H80" s="282"/>
      <c r="I80" s="282"/>
      <c r="J80" s="282"/>
      <c r="K80" s="282"/>
      <c r="L80" s="384" t="e">
        <f t="shared" ca="1" si="11"/>
        <v>#VALUE!</v>
      </c>
      <c r="M80" s="183"/>
      <c r="N80" s="184"/>
      <c r="O80" s="383" t="str">
        <f t="shared" si="12"/>
        <v/>
      </c>
      <c r="P80" s="384" t="e">
        <f t="shared" ca="1" si="13"/>
        <v>#VALUE!</v>
      </c>
      <c r="Q80" s="183"/>
      <c r="R80" s="184"/>
      <c r="S80" s="383" t="str">
        <f t="shared" si="14"/>
        <v/>
      </c>
      <c r="T80" s="282"/>
      <c r="U80" s="399"/>
      <c r="V80" s="397"/>
      <c r="W80" s="476"/>
      <c r="X80" s="397"/>
      <c r="Y80" s="398"/>
      <c r="Z80" s="399"/>
      <c r="AA80" s="397"/>
      <c r="AB80" s="480"/>
      <c r="AC80" s="397"/>
      <c r="AD80" s="398"/>
      <c r="AJ80" s="57" t="s">
        <v>249</v>
      </c>
      <c r="AK80" s="62" t="e">
        <f t="shared" ca="1" si="15"/>
        <v>#VALUE!</v>
      </c>
      <c r="AL80" s="121" t="e">
        <f ca="1">D19</f>
        <v>#VALUE!</v>
      </c>
      <c r="AM80" s="48">
        <v>0</v>
      </c>
      <c r="AN80" s="282"/>
      <c r="AO80" s="282"/>
      <c r="AP80" s="282"/>
      <c r="AQ80" s="282"/>
      <c r="AR80" s="282"/>
      <c r="AS80" s="282"/>
      <c r="AT80" s="282"/>
      <c r="AU80" s="282"/>
      <c r="AV80" s="282"/>
      <c r="AW80" s="282"/>
      <c r="AX80" s="282"/>
      <c r="AY80" s="282"/>
      <c r="AZ80" s="282"/>
      <c r="BA80" s="282"/>
      <c r="BB80" s="282"/>
      <c r="BC80" s="282"/>
      <c r="BD80" s="282"/>
      <c r="BE80" s="282"/>
      <c r="BF80" s="282"/>
      <c r="BG80" s="282"/>
      <c r="BH80" s="282"/>
    </row>
    <row r="81" spans="1:60">
      <c r="A81" s="282"/>
      <c r="B81" s="282"/>
      <c r="C81" s="282"/>
      <c r="D81" s="282"/>
      <c r="E81" s="282"/>
      <c r="F81" s="282"/>
      <c r="G81" s="282"/>
      <c r="H81" s="282"/>
      <c r="I81" s="282"/>
      <c r="J81" s="282"/>
      <c r="K81" s="282"/>
      <c r="L81" s="384" t="e">
        <f t="shared" ca="1" si="11"/>
        <v>#VALUE!</v>
      </c>
      <c r="M81" s="183"/>
      <c r="N81" s="184"/>
      <c r="O81" s="383" t="str">
        <f t="shared" si="12"/>
        <v/>
      </c>
      <c r="P81" s="384" t="e">
        <f t="shared" ca="1" si="13"/>
        <v>#VALUE!</v>
      </c>
      <c r="Q81" s="183"/>
      <c r="R81" s="184"/>
      <c r="S81" s="383" t="str">
        <f t="shared" si="14"/>
        <v/>
      </c>
      <c r="T81" s="282"/>
      <c r="U81" s="399"/>
      <c r="V81" s="397"/>
      <c r="W81" s="476"/>
      <c r="X81" s="397"/>
      <c r="Y81" s="398"/>
      <c r="Z81" s="399"/>
      <c r="AA81" s="397"/>
      <c r="AB81" s="480"/>
      <c r="AC81" s="397"/>
      <c r="AD81" s="398"/>
      <c r="AJ81" s="57" t="s">
        <v>250</v>
      </c>
      <c r="AK81" s="62" t="e">
        <f t="shared" ca="1" si="15"/>
        <v>#VALUE!</v>
      </c>
      <c r="AL81" s="121" t="e">
        <f ca="1">D20</f>
        <v>#VALUE!</v>
      </c>
      <c r="AM81" s="48">
        <v>0</v>
      </c>
      <c r="AN81" s="282"/>
      <c r="AO81" s="282"/>
      <c r="AP81" s="282"/>
      <c r="AQ81" s="282"/>
      <c r="AR81" s="282"/>
      <c r="AS81" s="282"/>
      <c r="AT81" s="282"/>
      <c r="AU81" s="282"/>
      <c r="AV81" s="282"/>
      <c r="AW81" s="282"/>
      <c r="AX81" s="282"/>
      <c r="AY81" s="282"/>
      <c r="AZ81" s="282"/>
      <c r="BA81" s="282"/>
      <c r="BB81" s="282"/>
      <c r="BC81" s="282"/>
      <c r="BD81" s="282"/>
      <c r="BE81" s="282"/>
      <c r="BF81" s="282"/>
      <c r="BG81" s="282"/>
      <c r="BH81" s="282"/>
    </row>
    <row r="82" spans="1:60">
      <c r="A82" s="282"/>
      <c r="B82" s="282"/>
      <c r="C82" s="282"/>
      <c r="D82" s="282"/>
      <c r="E82" s="282"/>
      <c r="F82" s="282"/>
      <c r="G82" s="282"/>
      <c r="H82" s="282"/>
      <c r="I82" s="282"/>
      <c r="J82" s="282"/>
      <c r="K82" s="282"/>
      <c r="L82" s="384" t="e">
        <f t="shared" ca="1" si="11"/>
        <v>#VALUE!</v>
      </c>
      <c r="M82" s="183"/>
      <c r="N82" s="184"/>
      <c r="O82" s="383" t="str">
        <f t="shared" si="12"/>
        <v/>
      </c>
      <c r="P82" s="384" t="e">
        <f t="shared" ca="1" si="13"/>
        <v>#VALUE!</v>
      </c>
      <c r="Q82" s="183"/>
      <c r="R82" s="184"/>
      <c r="S82" s="383" t="str">
        <f t="shared" si="14"/>
        <v/>
      </c>
      <c r="T82" s="282"/>
      <c r="U82" s="399"/>
      <c r="V82" s="397"/>
      <c r="W82" s="476"/>
      <c r="X82" s="397"/>
      <c r="Y82" s="398"/>
      <c r="Z82" s="399"/>
      <c r="AA82" s="397"/>
      <c r="AB82" s="480"/>
      <c r="AC82" s="397"/>
      <c r="AD82" s="398"/>
      <c r="AJ82" s="57" t="s">
        <v>182</v>
      </c>
      <c r="AK82" s="130" t="e">
        <f t="shared" ca="1" si="15"/>
        <v>#VALUE!</v>
      </c>
      <c r="AL82" s="130" t="e">
        <f ca="1">TargetROE</f>
        <v>#VALUE!</v>
      </c>
      <c r="AM82" s="131">
        <v>0.2</v>
      </c>
      <c r="AN82" s="282"/>
      <c r="AO82" s="282"/>
      <c r="AP82" s="282"/>
      <c r="AQ82" s="282"/>
      <c r="AR82" s="282"/>
      <c r="AS82" s="282"/>
      <c r="AT82" s="282"/>
      <c r="AU82" s="282"/>
      <c r="AV82" s="282"/>
      <c r="AW82" s="282"/>
      <c r="AX82" s="282"/>
      <c r="AY82" s="282"/>
      <c r="AZ82" s="282"/>
      <c r="BA82" s="282"/>
      <c r="BB82" s="282"/>
      <c r="BC82" s="282"/>
      <c r="BD82" s="282"/>
      <c r="BE82" s="282"/>
      <c r="BF82" s="282"/>
      <c r="BG82" s="282"/>
      <c r="BH82" s="282"/>
    </row>
    <row r="83" spans="1:60">
      <c r="A83" s="282"/>
      <c r="B83" s="282"/>
      <c r="C83" s="282"/>
      <c r="D83" s="282"/>
      <c r="E83" s="282"/>
      <c r="F83" s="282"/>
      <c r="G83" s="282"/>
      <c r="H83" s="282"/>
      <c r="I83" s="282"/>
      <c r="J83" s="282"/>
      <c r="K83" s="282"/>
      <c r="L83" s="384" t="e">
        <f t="shared" ca="1" si="11"/>
        <v>#VALUE!</v>
      </c>
      <c r="M83" s="183"/>
      <c r="N83" s="184"/>
      <c r="O83" s="383" t="str">
        <f t="shared" si="12"/>
        <v/>
      </c>
      <c r="P83" s="384" t="e">
        <f t="shared" ca="1" si="13"/>
        <v>#VALUE!</v>
      </c>
      <c r="Q83" s="183"/>
      <c r="R83" s="184"/>
      <c r="S83" s="383" t="str">
        <f t="shared" si="14"/>
        <v/>
      </c>
      <c r="T83" s="282"/>
      <c r="U83" s="399"/>
      <c r="V83" s="397"/>
      <c r="W83" s="476"/>
      <c r="X83" s="397"/>
      <c r="Y83" s="398"/>
      <c r="Z83" s="399"/>
      <c r="AA83" s="397"/>
      <c r="AB83" s="480"/>
      <c r="AC83" s="397"/>
      <c r="AD83" s="398"/>
      <c r="AJ83" s="57" t="s">
        <v>211</v>
      </c>
      <c r="AK83" s="166">
        <f t="shared" si="15"/>
        <v>0</v>
      </c>
      <c r="AL83" s="167"/>
      <c r="AM83" s="165">
        <v>0</v>
      </c>
      <c r="AN83" s="282"/>
      <c r="AO83" s="282"/>
      <c r="AP83" s="282"/>
      <c r="AQ83" s="282"/>
      <c r="AR83" s="282"/>
      <c r="AS83" s="282"/>
      <c r="AT83" s="282"/>
      <c r="AU83" s="282"/>
      <c r="AV83" s="282"/>
      <c r="AW83" s="282"/>
      <c r="AX83" s="282"/>
      <c r="AY83" s="282"/>
      <c r="AZ83" s="282"/>
      <c r="BA83" s="282"/>
      <c r="BB83" s="282"/>
      <c r="BC83" s="282"/>
      <c r="BD83" s="282"/>
      <c r="BE83" s="282"/>
      <c r="BF83" s="282"/>
      <c r="BG83" s="282"/>
      <c r="BH83" s="282"/>
    </row>
    <row r="84" spans="1:60">
      <c r="A84" s="282"/>
      <c r="B84" s="282"/>
      <c r="C84" s="282"/>
      <c r="D84" s="282"/>
      <c r="E84" s="282"/>
      <c r="F84" s="282"/>
      <c r="G84" s="282"/>
      <c r="H84" s="282"/>
      <c r="I84" s="282"/>
      <c r="J84" s="282"/>
      <c r="K84" s="282"/>
      <c r="L84" s="384" t="e">
        <f t="shared" ca="1" si="11"/>
        <v>#VALUE!</v>
      </c>
      <c r="M84" s="183"/>
      <c r="N84" s="184"/>
      <c r="O84" s="383" t="str">
        <f t="shared" si="12"/>
        <v/>
      </c>
      <c r="P84" s="384" t="e">
        <f t="shared" ca="1" si="13"/>
        <v>#VALUE!</v>
      </c>
      <c r="Q84" s="183"/>
      <c r="R84" s="184"/>
      <c r="S84" s="383" t="str">
        <f t="shared" si="14"/>
        <v/>
      </c>
      <c r="T84" s="282"/>
      <c r="U84" s="399"/>
      <c r="V84" s="397"/>
      <c r="W84" s="476"/>
      <c r="X84" s="397"/>
      <c r="Y84" s="398"/>
      <c r="Z84" s="399"/>
      <c r="AA84" s="397"/>
      <c r="AB84" s="480"/>
      <c r="AC84" s="397"/>
      <c r="AD84" s="398"/>
      <c r="AJ84" s="57" t="s">
        <v>212</v>
      </c>
      <c r="AK84" s="166" t="e">
        <f t="shared" ca="1" si="15"/>
        <v>#VALUE!</v>
      </c>
      <c r="AL84" s="167" t="e">
        <f ca="1">G7</f>
        <v>#VALUE!</v>
      </c>
      <c r="AM84" s="165">
        <v>100000</v>
      </c>
      <c r="AN84" s="282"/>
      <c r="AO84" s="282"/>
      <c r="AP84" s="282"/>
      <c r="AQ84" s="282"/>
      <c r="AR84" s="282"/>
      <c r="AS84" s="282"/>
      <c r="AT84" s="282"/>
      <c r="AU84" s="282"/>
      <c r="AV84" s="282"/>
      <c r="AW84" s="282"/>
      <c r="AX84" s="282"/>
      <c r="AY84" s="282"/>
      <c r="AZ84" s="282"/>
      <c r="BA84" s="282"/>
      <c r="BB84" s="282"/>
      <c r="BC84" s="282"/>
      <c r="BD84" s="282"/>
      <c r="BE84" s="282"/>
      <c r="BF84" s="282"/>
      <c r="BG84" s="282"/>
      <c r="BH84" s="282"/>
    </row>
    <row r="85" spans="1:60">
      <c r="A85" s="282"/>
      <c r="B85" s="282"/>
      <c r="C85" s="282"/>
      <c r="D85" s="282"/>
      <c r="E85" s="282"/>
      <c r="F85" s="282"/>
      <c r="G85" s="282"/>
      <c r="H85" s="282"/>
      <c r="I85" s="282"/>
      <c r="J85" s="282"/>
      <c r="K85" s="282"/>
      <c r="L85" s="384" t="e">
        <f t="shared" ca="1" si="11"/>
        <v>#VALUE!</v>
      </c>
      <c r="M85" s="183"/>
      <c r="N85" s="184"/>
      <c r="O85" s="383" t="str">
        <f t="shared" si="12"/>
        <v/>
      </c>
      <c r="P85" s="384" t="e">
        <f t="shared" ca="1" si="13"/>
        <v>#VALUE!</v>
      </c>
      <c r="Q85" s="183"/>
      <c r="R85" s="184"/>
      <c r="S85" s="383" t="str">
        <f t="shared" si="14"/>
        <v/>
      </c>
      <c r="T85" s="282"/>
      <c r="U85" s="399"/>
      <c r="V85" s="397"/>
      <c r="W85" s="476"/>
      <c r="X85" s="397"/>
      <c r="Y85" s="398"/>
      <c r="Z85" s="399"/>
      <c r="AA85" s="397"/>
      <c r="AB85" s="480"/>
      <c r="AC85" s="397"/>
      <c r="AD85" s="398"/>
      <c r="AJ85" s="57" t="s">
        <v>209</v>
      </c>
      <c r="AK85" s="166">
        <f t="shared" si="15"/>
        <v>0.1</v>
      </c>
      <c r="AL85" s="166"/>
      <c r="AM85" s="165">
        <v>0.1</v>
      </c>
      <c r="AN85" s="282"/>
      <c r="AO85" s="282"/>
      <c r="AP85" s="282"/>
      <c r="AQ85" s="282"/>
      <c r="AR85" s="282"/>
      <c r="AS85" s="282"/>
      <c r="AT85" s="282"/>
      <c r="AU85" s="282"/>
      <c r="AV85" s="282"/>
      <c r="AW85" s="282"/>
      <c r="AX85" s="282"/>
      <c r="AY85" s="282"/>
      <c r="AZ85" s="282"/>
      <c r="BA85" s="282"/>
      <c r="BB85" s="282"/>
      <c r="BC85" s="282"/>
      <c r="BD85" s="282"/>
      <c r="BE85" s="282"/>
      <c r="BF85" s="282"/>
      <c r="BG85" s="282"/>
      <c r="BH85" s="282"/>
    </row>
    <row r="86" spans="1:60">
      <c r="A86" s="282"/>
      <c r="B86" s="282"/>
      <c r="C86" s="282"/>
      <c r="D86" s="282"/>
      <c r="E86" s="282"/>
      <c r="F86" s="282"/>
      <c r="G86" s="282"/>
      <c r="H86" s="282"/>
      <c r="I86" s="282"/>
      <c r="J86" s="282"/>
      <c r="K86" s="282"/>
      <c r="L86" s="384" t="e">
        <f t="shared" ca="1" si="11"/>
        <v>#VALUE!</v>
      </c>
      <c r="M86" s="183"/>
      <c r="N86" s="184"/>
      <c r="O86" s="383" t="str">
        <f t="shared" si="12"/>
        <v/>
      </c>
      <c r="P86" s="384" t="e">
        <f t="shared" ca="1" si="13"/>
        <v>#VALUE!</v>
      </c>
      <c r="Q86" s="183"/>
      <c r="R86" s="184"/>
      <c r="S86" s="383" t="str">
        <f t="shared" si="14"/>
        <v/>
      </c>
      <c r="T86" s="282"/>
      <c r="U86" s="399"/>
      <c r="V86" s="397"/>
      <c r="W86" s="476"/>
      <c r="X86" s="397"/>
      <c r="Y86" s="398"/>
      <c r="Z86" s="399"/>
      <c r="AA86" s="397"/>
      <c r="AB86" s="480"/>
      <c r="AC86" s="397"/>
      <c r="AD86" s="398"/>
      <c r="AJ86" s="57" t="s">
        <v>210</v>
      </c>
      <c r="AK86" s="166">
        <f t="shared" si="15"/>
        <v>1000</v>
      </c>
      <c r="AL86" s="167"/>
      <c r="AM86" s="165">
        <v>1000</v>
      </c>
      <c r="AN86" s="282"/>
      <c r="AO86" s="282"/>
      <c r="AP86" s="282"/>
      <c r="AQ86" s="282"/>
      <c r="AR86" s="282"/>
      <c r="AS86" s="282"/>
      <c r="AT86" s="282"/>
      <c r="AU86" s="282"/>
      <c r="AV86" s="282"/>
      <c r="AW86" s="282"/>
      <c r="AX86" s="282"/>
      <c r="AY86" s="282"/>
      <c r="AZ86" s="282"/>
      <c r="BA86" s="282"/>
      <c r="BB86" s="282"/>
      <c r="BC86" s="282"/>
      <c r="BD86" s="282"/>
      <c r="BE86" s="282"/>
      <c r="BF86" s="282"/>
      <c r="BG86" s="282"/>
      <c r="BH86" s="282"/>
    </row>
    <row r="87" spans="1:60">
      <c r="A87" s="282"/>
      <c r="B87" s="282"/>
      <c r="C87" s="282"/>
      <c r="D87" s="282"/>
      <c r="E87" s="282"/>
      <c r="F87" s="282"/>
      <c r="G87" s="282"/>
      <c r="H87" s="282"/>
      <c r="I87" s="282"/>
      <c r="J87" s="282"/>
      <c r="K87" s="282"/>
      <c r="L87" s="384" t="e">
        <f t="shared" ca="1" si="11"/>
        <v>#VALUE!</v>
      </c>
      <c r="M87" s="183"/>
      <c r="N87" s="184"/>
      <c r="O87" s="383" t="str">
        <f t="shared" si="12"/>
        <v/>
      </c>
      <c r="P87" s="384" t="e">
        <f t="shared" ca="1" si="13"/>
        <v>#VALUE!</v>
      </c>
      <c r="Q87" s="183"/>
      <c r="R87" s="184"/>
      <c r="S87" s="383" t="str">
        <f t="shared" si="14"/>
        <v/>
      </c>
      <c r="T87" s="282"/>
      <c r="U87" s="399"/>
      <c r="V87" s="397"/>
      <c r="W87" s="476"/>
      <c r="X87" s="397"/>
      <c r="Y87" s="398"/>
      <c r="Z87" s="399"/>
      <c r="AA87" s="397"/>
      <c r="AB87" s="480"/>
      <c r="AC87" s="397"/>
      <c r="AD87" s="398"/>
      <c r="AJ87" s="57" t="s">
        <v>51</v>
      </c>
      <c r="AK87" s="62" t="str">
        <f t="shared" si="15"/>
        <v>Australia</v>
      </c>
      <c r="AL87" s="62"/>
      <c r="AM87" s="48" t="s">
        <v>52</v>
      </c>
      <c r="AN87" s="282"/>
      <c r="AO87" s="282"/>
      <c r="AP87" s="282"/>
      <c r="AQ87" s="282"/>
      <c r="AR87" s="282"/>
      <c r="AS87" s="282"/>
      <c r="AT87" s="282"/>
      <c r="AU87" s="282"/>
      <c r="AV87" s="282"/>
      <c r="AW87" s="282"/>
      <c r="AX87" s="282"/>
      <c r="AY87" s="282"/>
      <c r="AZ87" s="282"/>
      <c r="BA87" s="282"/>
      <c r="BB87" s="282"/>
      <c r="BC87" s="282"/>
      <c r="BD87" s="282"/>
      <c r="BE87" s="282"/>
      <c r="BF87" s="282"/>
      <c r="BG87" s="282"/>
      <c r="BH87" s="282"/>
    </row>
    <row r="88" spans="1:60">
      <c r="A88" s="282"/>
      <c r="B88" s="282"/>
      <c r="C88" s="282"/>
      <c r="D88" s="282"/>
      <c r="E88" s="282"/>
      <c r="F88" s="282"/>
      <c r="G88" s="282"/>
      <c r="H88" s="282"/>
      <c r="I88" s="282"/>
      <c r="J88" s="282"/>
      <c r="K88" s="282"/>
      <c r="L88" s="384" t="e">
        <f t="shared" ca="1" si="11"/>
        <v>#VALUE!</v>
      </c>
      <c r="M88" s="183"/>
      <c r="N88" s="184"/>
      <c r="O88" s="383" t="str">
        <f t="shared" si="12"/>
        <v/>
      </c>
      <c r="P88" s="384" t="e">
        <f t="shared" ca="1" si="13"/>
        <v>#VALUE!</v>
      </c>
      <c r="Q88" s="183"/>
      <c r="R88" s="184"/>
      <c r="S88" s="383" t="str">
        <f t="shared" si="14"/>
        <v/>
      </c>
      <c r="T88" s="282"/>
      <c r="U88" s="399"/>
      <c r="V88" s="397"/>
      <c r="W88" s="476"/>
      <c r="X88" s="397"/>
      <c r="Y88" s="398"/>
      <c r="Z88" s="399"/>
      <c r="AA88" s="397"/>
      <c r="AB88" s="480"/>
      <c r="AC88" s="397"/>
      <c r="AD88" s="398"/>
      <c r="AG88" s="7"/>
      <c r="AJ88" s="57" t="s">
        <v>141</v>
      </c>
      <c r="AK88" s="62" t="str">
        <f t="shared" si="15"/>
        <v>Large Corporate</v>
      </c>
      <c r="AL88" s="62"/>
      <c r="AM88" s="48" t="str">
        <f>D7</f>
        <v>Large Corporate</v>
      </c>
      <c r="AN88" s="282"/>
      <c r="AO88" s="282"/>
      <c r="AP88" s="282"/>
      <c r="AQ88" s="282"/>
      <c r="AR88" s="282"/>
      <c r="AS88" s="282"/>
      <c r="AT88" s="282"/>
      <c r="AU88" s="282"/>
      <c r="AV88" s="282"/>
      <c r="AW88" s="282"/>
      <c r="AX88" s="282"/>
      <c r="AY88" s="282"/>
      <c r="AZ88" s="282"/>
      <c r="BA88" s="282"/>
      <c r="BB88" s="282"/>
      <c r="BC88" s="282"/>
      <c r="BD88" s="282"/>
      <c r="BE88" s="282"/>
      <c r="BF88" s="282"/>
      <c r="BG88" s="282"/>
      <c r="BH88" s="282"/>
    </row>
    <row r="89" spans="1:60">
      <c r="A89" s="282"/>
      <c r="B89" s="282"/>
      <c r="C89" s="282"/>
      <c r="D89" s="282"/>
      <c r="E89" s="282"/>
      <c r="F89" s="282"/>
      <c r="G89" s="282"/>
      <c r="H89" s="282"/>
      <c r="I89" s="282"/>
      <c r="J89" s="282"/>
      <c r="K89" s="282"/>
      <c r="L89" s="384" t="e">
        <f t="shared" ca="1" si="11"/>
        <v>#VALUE!</v>
      </c>
      <c r="M89" s="183"/>
      <c r="N89" s="184"/>
      <c r="O89" s="383" t="str">
        <f t="shared" si="12"/>
        <v/>
      </c>
      <c r="P89" s="384" t="e">
        <f t="shared" ca="1" si="13"/>
        <v>#VALUE!</v>
      </c>
      <c r="Q89" s="183"/>
      <c r="R89" s="184"/>
      <c r="S89" s="383" t="str">
        <f t="shared" si="14"/>
        <v/>
      </c>
      <c r="T89" s="282"/>
      <c r="U89" s="399"/>
      <c r="V89" s="397"/>
      <c r="W89" s="476"/>
      <c r="X89" s="397"/>
      <c r="Y89" s="398"/>
      <c r="Z89" s="399"/>
      <c r="AA89" s="397"/>
      <c r="AB89" s="480"/>
      <c r="AC89" s="397"/>
      <c r="AD89" s="398"/>
      <c r="AJ89" s="57" t="s">
        <v>54</v>
      </c>
      <c r="AK89" s="62" t="str">
        <f t="shared" si="15"/>
        <v>J</v>
      </c>
      <c r="AL89" s="62"/>
      <c r="AM89" s="48" t="str">
        <f>D9</f>
        <v>J</v>
      </c>
      <c r="AN89" s="282"/>
      <c r="AO89" s="282"/>
      <c r="AP89" s="282"/>
      <c r="AQ89" s="282"/>
      <c r="AR89" s="282"/>
      <c r="AS89" s="282"/>
      <c r="AT89" s="282"/>
      <c r="AU89" s="282"/>
      <c r="AV89" s="282"/>
      <c r="AW89" s="282"/>
      <c r="AX89" s="282"/>
      <c r="AY89" s="282"/>
      <c r="AZ89" s="282"/>
      <c r="BA89" s="282"/>
      <c r="BB89" s="282"/>
      <c r="BC89" s="282"/>
      <c r="BD89" s="282"/>
      <c r="BE89" s="282"/>
      <c r="BF89" s="282"/>
      <c r="BG89" s="282"/>
      <c r="BH89" s="282"/>
    </row>
    <row r="90" spans="1:60">
      <c r="A90" s="282"/>
      <c r="B90" s="282"/>
      <c r="C90" s="282"/>
      <c r="D90" s="282"/>
      <c r="E90" s="282"/>
      <c r="F90" s="282"/>
      <c r="G90" s="282"/>
      <c r="H90" s="282"/>
      <c r="I90" s="282"/>
      <c r="J90" s="282"/>
      <c r="K90" s="282"/>
      <c r="L90" s="384" t="e">
        <f t="shared" ca="1" si="11"/>
        <v>#VALUE!</v>
      </c>
      <c r="M90" s="183"/>
      <c r="N90" s="184"/>
      <c r="O90" s="383" t="str">
        <f t="shared" si="12"/>
        <v/>
      </c>
      <c r="P90" s="384" t="e">
        <f t="shared" ca="1" si="13"/>
        <v>#VALUE!</v>
      </c>
      <c r="Q90" s="183"/>
      <c r="R90" s="184"/>
      <c r="S90" s="383" t="str">
        <f t="shared" si="14"/>
        <v/>
      </c>
      <c r="T90" s="282"/>
      <c r="U90" s="399"/>
      <c r="V90" s="397"/>
      <c r="W90" s="476"/>
      <c r="X90" s="397"/>
      <c r="Y90" s="398"/>
      <c r="Z90" s="399"/>
      <c r="AA90" s="397"/>
      <c r="AB90" s="480"/>
      <c r="AC90" s="397"/>
      <c r="AD90" s="398"/>
      <c r="AJ90" s="64" t="s">
        <v>55</v>
      </c>
      <c r="AK90" s="84">
        <f t="shared" si="15"/>
        <v>1</v>
      </c>
      <c r="AL90" s="84"/>
      <c r="AM90" s="83">
        <f>D8</f>
        <v>1</v>
      </c>
      <c r="AN90" s="282"/>
      <c r="AO90" s="282"/>
      <c r="AP90" s="282"/>
      <c r="AQ90" s="282"/>
      <c r="AR90" s="282"/>
      <c r="AS90" s="282"/>
      <c r="AT90" s="282"/>
      <c r="AU90" s="282"/>
      <c r="AV90" s="282"/>
      <c r="AW90" s="282"/>
      <c r="AX90" s="282"/>
      <c r="AY90" s="282"/>
      <c r="AZ90" s="282"/>
      <c r="BA90" s="282"/>
      <c r="BB90" s="282"/>
      <c r="BC90" s="282"/>
      <c r="BD90" s="282"/>
      <c r="BE90" s="282"/>
      <c r="BF90" s="282"/>
      <c r="BG90" s="282"/>
      <c r="BH90" s="282"/>
    </row>
    <row r="91" spans="1:60">
      <c r="A91" s="282"/>
      <c r="B91" s="282"/>
      <c r="C91" s="282"/>
      <c r="D91" s="282"/>
      <c r="E91" s="282"/>
      <c r="F91" s="282"/>
      <c r="G91" s="282"/>
      <c r="H91" s="282"/>
      <c r="I91" s="282"/>
      <c r="J91" s="282"/>
      <c r="K91" s="282"/>
      <c r="L91" s="384" t="e">
        <f t="shared" ca="1" si="11"/>
        <v>#VALUE!</v>
      </c>
      <c r="M91" s="183"/>
      <c r="N91" s="184"/>
      <c r="O91" s="383" t="str">
        <f t="shared" si="12"/>
        <v/>
      </c>
      <c r="P91" s="384" t="e">
        <f t="shared" ca="1" si="13"/>
        <v>#VALUE!</v>
      </c>
      <c r="Q91" s="183"/>
      <c r="R91" s="184"/>
      <c r="S91" s="383" t="str">
        <f t="shared" si="14"/>
        <v/>
      </c>
      <c r="T91" s="282"/>
      <c r="U91" s="399"/>
      <c r="V91" s="397"/>
      <c r="W91" s="476"/>
      <c r="X91" s="397"/>
      <c r="Y91" s="398"/>
      <c r="Z91" s="399"/>
      <c r="AA91" s="397"/>
      <c r="AB91" s="480"/>
      <c r="AC91" s="397"/>
      <c r="AD91" s="398"/>
      <c r="AK91" s="54"/>
      <c r="AL91" s="54"/>
      <c r="AN91" s="282"/>
      <c r="AO91" s="282"/>
      <c r="AP91" s="282"/>
      <c r="AQ91" s="282"/>
      <c r="AR91" s="282"/>
      <c r="AS91" s="282"/>
      <c r="AT91" s="282"/>
      <c r="AU91" s="282"/>
      <c r="AV91" s="282"/>
      <c r="AW91" s="282"/>
      <c r="AX91" s="282"/>
      <c r="AY91" s="282"/>
      <c r="AZ91" s="282"/>
      <c r="BA91" s="282"/>
      <c r="BB91" s="282"/>
      <c r="BC91" s="282"/>
      <c r="BD91" s="282"/>
      <c r="BE91" s="282"/>
      <c r="BF91" s="282"/>
      <c r="BG91" s="282"/>
      <c r="BH91" s="282"/>
    </row>
    <row r="92" spans="1:60">
      <c r="A92" s="282"/>
      <c r="B92" s="282"/>
      <c r="C92" s="282"/>
      <c r="D92" s="282"/>
      <c r="E92" s="282"/>
      <c r="F92" s="282"/>
      <c r="G92" s="282"/>
      <c r="H92" s="282"/>
      <c r="I92" s="282"/>
      <c r="J92" s="282"/>
      <c r="K92" s="282"/>
      <c r="L92" s="384" t="e">
        <f t="shared" ca="1" si="11"/>
        <v>#VALUE!</v>
      </c>
      <c r="M92" s="183"/>
      <c r="N92" s="184"/>
      <c r="O92" s="383" t="str">
        <f t="shared" si="12"/>
        <v/>
      </c>
      <c r="P92" s="384" t="e">
        <f t="shared" ca="1" si="13"/>
        <v>#VALUE!</v>
      </c>
      <c r="Q92" s="183"/>
      <c r="R92" s="184"/>
      <c r="S92" s="383" t="str">
        <f t="shared" si="14"/>
        <v/>
      </c>
      <c r="T92" s="282"/>
      <c r="U92" s="399"/>
      <c r="V92" s="397"/>
      <c r="W92" s="476"/>
      <c r="X92" s="397"/>
      <c r="Y92" s="398"/>
      <c r="Z92" s="399"/>
      <c r="AA92" s="397"/>
      <c r="AB92" s="480"/>
      <c r="AC92" s="397"/>
      <c r="AD92" s="398"/>
      <c r="AJ92" s="163" t="s">
        <v>200</v>
      </c>
      <c r="AK92" s="86"/>
      <c r="AL92" s="54"/>
      <c r="AN92" s="282"/>
      <c r="AO92" s="282"/>
      <c r="AP92" s="282"/>
      <c r="AQ92" s="282"/>
      <c r="AR92" s="282"/>
      <c r="AS92" s="282"/>
      <c r="AT92" s="282"/>
      <c r="AU92" s="282"/>
      <c r="AV92" s="282"/>
      <c r="AW92" s="282"/>
      <c r="AX92" s="282"/>
      <c r="AY92" s="282"/>
      <c r="AZ92" s="282"/>
      <c r="BA92" s="282"/>
      <c r="BB92" s="282"/>
      <c r="BC92" s="282"/>
      <c r="BD92" s="282"/>
      <c r="BE92" s="282"/>
      <c r="BF92" s="282"/>
      <c r="BG92" s="282"/>
      <c r="BH92" s="282"/>
    </row>
    <row r="93" spans="1:60">
      <c r="A93" s="282"/>
      <c r="B93" s="282"/>
      <c r="C93" s="282"/>
      <c r="D93" s="282"/>
      <c r="E93" s="282"/>
      <c r="F93" s="282"/>
      <c r="G93" s="282"/>
      <c r="H93" s="282"/>
      <c r="I93" s="282"/>
      <c r="J93" s="282"/>
      <c r="K93" s="282"/>
      <c r="L93" s="384" t="e">
        <f t="shared" ca="1" si="11"/>
        <v>#VALUE!</v>
      </c>
      <c r="M93" s="183"/>
      <c r="N93" s="184"/>
      <c r="O93" s="383" t="str">
        <f t="shared" si="12"/>
        <v/>
      </c>
      <c r="P93" s="384" t="e">
        <f t="shared" ca="1" si="13"/>
        <v>#VALUE!</v>
      </c>
      <c r="Q93" s="183"/>
      <c r="R93" s="184"/>
      <c r="S93" s="383" t="str">
        <f t="shared" si="14"/>
        <v/>
      </c>
      <c r="T93" s="282"/>
      <c r="U93" s="399"/>
      <c r="V93" s="397"/>
      <c r="W93" s="476"/>
      <c r="X93" s="397"/>
      <c r="Y93" s="398"/>
      <c r="Z93" s="399"/>
      <c r="AA93" s="397"/>
      <c r="AB93" s="480"/>
      <c r="AC93" s="397"/>
      <c r="AD93" s="398"/>
      <c r="AJ93" s="42" t="s">
        <v>58</v>
      </c>
      <c r="AK93" s="43" t="e">
        <f ca="1">IF(AL93="",AM93,AL93)</f>
        <v>#VALUE!</v>
      </c>
      <c r="AL93" s="43" t="e">
        <f ca="1">IF(OR(G8=J8,G8="USD"),"RateCurve","XccySpreadCurve")</f>
        <v>#VALUE!</v>
      </c>
      <c r="AM93" s="82" t="s">
        <v>59</v>
      </c>
      <c r="AN93" s="282"/>
      <c r="AO93" s="282"/>
      <c r="AP93" s="282"/>
      <c r="AQ93" s="282"/>
      <c r="AR93" s="282"/>
      <c r="AS93" s="282"/>
      <c r="AT93" s="282"/>
      <c r="AU93" s="282"/>
      <c r="AV93" s="282"/>
      <c r="AW93" s="282"/>
      <c r="AX93" s="282"/>
      <c r="AY93" s="282"/>
      <c r="AZ93" s="282"/>
      <c r="BA93" s="282"/>
      <c r="BB93" s="282"/>
      <c r="BC93" s="282"/>
      <c r="BD93" s="282"/>
      <c r="BE93" s="282"/>
      <c r="BF93" s="282"/>
      <c r="BG93" s="282"/>
      <c r="BH93" s="282"/>
    </row>
    <row r="94" spans="1:60">
      <c r="A94" s="282"/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384" t="e">
        <f t="shared" ca="1" si="11"/>
        <v>#VALUE!</v>
      </c>
      <c r="M94" s="183"/>
      <c r="N94" s="184"/>
      <c r="O94" s="383" t="str">
        <f t="shared" si="12"/>
        <v/>
      </c>
      <c r="P94" s="384" t="e">
        <f t="shared" ca="1" si="13"/>
        <v>#VALUE!</v>
      </c>
      <c r="Q94" s="183"/>
      <c r="R94" s="184"/>
      <c r="S94" s="383" t="str">
        <f t="shared" si="14"/>
        <v/>
      </c>
      <c r="T94" s="282"/>
      <c r="U94" s="399"/>
      <c r="V94" s="397"/>
      <c r="W94" s="476"/>
      <c r="X94" s="397"/>
      <c r="Y94" s="398"/>
      <c r="Z94" s="399"/>
      <c r="AA94" s="397"/>
      <c r="AB94" s="480"/>
      <c r="AC94" s="397"/>
      <c r="AD94" s="398"/>
      <c r="AJ94" s="46" t="s">
        <v>112</v>
      </c>
      <c r="AK94" s="48" t="str">
        <f>IF(AL94="",AM94,AL94)</f>
        <v>EOD</v>
      </c>
      <c r="AL94" s="47" t="str">
        <f>AL72</f>
        <v>EOD</v>
      </c>
      <c r="AM94" s="77" t="s">
        <v>116</v>
      </c>
      <c r="AN94" s="282"/>
      <c r="AO94" s="282"/>
      <c r="AP94" s="282"/>
      <c r="AQ94" s="282"/>
      <c r="AR94" s="282"/>
      <c r="AS94" s="282"/>
      <c r="AT94" s="282"/>
      <c r="AU94" s="282"/>
      <c r="AV94" s="282"/>
      <c r="AW94" s="282"/>
      <c r="AX94" s="282"/>
      <c r="AY94" s="282"/>
      <c r="AZ94" s="282"/>
      <c r="BA94" s="282"/>
      <c r="BB94" s="282"/>
      <c r="BC94" s="282"/>
      <c r="BD94" s="282"/>
      <c r="BE94" s="282"/>
      <c r="BF94" s="282"/>
      <c r="BG94" s="282"/>
      <c r="BH94" s="282"/>
    </row>
    <row r="95" spans="1:60">
      <c r="A95" s="282"/>
      <c r="B95" s="282"/>
      <c r="C95" s="282"/>
      <c r="D95" s="282"/>
      <c r="E95" s="282"/>
      <c r="F95" s="282"/>
      <c r="G95" s="282"/>
      <c r="H95" s="282"/>
      <c r="I95" s="282"/>
      <c r="J95" s="282"/>
      <c r="K95" s="282"/>
      <c r="L95" s="384" t="e">
        <f t="shared" ca="1" si="11"/>
        <v>#VALUE!</v>
      </c>
      <c r="M95" s="183"/>
      <c r="N95" s="184"/>
      <c r="O95" s="383" t="str">
        <f t="shared" si="12"/>
        <v/>
      </c>
      <c r="P95" s="384" t="e">
        <f t="shared" ca="1" si="13"/>
        <v>#VALUE!</v>
      </c>
      <c r="Q95" s="183"/>
      <c r="R95" s="184"/>
      <c r="S95" s="383" t="str">
        <f t="shared" si="14"/>
        <v/>
      </c>
      <c r="T95" s="282"/>
      <c r="U95" s="399"/>
      <c r="V95" s="397"/>
      <c r="W95" s="476"/>
      <c r="X95" s="397"/>
      <c r="Y95" s="398"/>
      <c r="Z95" s="399"/>
      <c r="AA95" s="397"/>
      <c r="AB95" s="480"/>
      <c r="AC95" s="397"/>
      <c r="AD95" s="398"/>
      <c r="AJ95" s="46" t="s">
        <v>28</v>
      </c>
      <c r="AK95" s="48" t="e">
        <f ca="1">IF(AL95="",AM95,AL95)</f>
        <v>#VALUE!</v>
      </c>
      <c r="AL95" s="48" t="e">
        <f ca="1">UPPER(G8)</f>
        <v>#VALUE!</v>
      </c>
      <c r="AM95" s="85" t="s">
        <v>13</v>
      </c>
      <c r="AN95" s="282"/>
      <c r="AO95" s="282"/>
      <c r="AP95" s="282"/>
      <c r="AQ95" s="282"/>
      <c r="AR95" s="282"/>
      <c r="AS95" s="282"/>
      <c r="AT95" s="282"/>
      <c r="AU95" s="282"/>
      <c r="AV95" s="282"/>
      <c r="AW95" s="282"/>
      <c r="AX95" s="282"/>
      <c r="AY95" s="282"/>
      <c r="AZ95" s="282"/>
      <c r="BA95" s="282"/>
      <c r="BB95" s="282"/>
      <c r="BC95" s="282"/>
      <c r="BD95" s="282"/>
      <c r="BE95" s="282"/>
      <c r="BF95" s="282"/>
      <c r="BG95" s="282"/>
      <c r="BH95" s="282"/>
    </row>
    <row r="96" spans="1:60">
      <c r="A96" s="282"/>
      <c r="B96" s="282"/>
      <c r="C96" s="282"/>
      <c r="D96" s="282"/>
      <c r="E96" s="282"/>
      <c r="F96" s="282"/>
      <c r="G96" s="282"/>
      <c r="H96" s="282"/>
      <c r="I96" s="282"/>
      <c r="J96" s="282"/>
      <c r="K96" s="282"/>
      <c r="L96" s="384" t="e">
        <f t="shared" ca="1" si="11"/>
        <v>#VALUE!</v>
      </c>
      <c r="M96" s="183"/>
      <c r="N96" s="184"/>
      <c r="O96" s="383" t="str">
        <f t="shared" si="12"/>
        <v/>
      </c>
      <c r="P96" s="384" t="e">
        <f t="shared" ca="1" si="13"/>
        <v>#VALUE!</v>
      </c>
      <c r="Q96" s="183"/>
      <c r="R96" s="184"/>
      <c r="S96" s="383" t="str">
        <f t="shared" si="14"/>
        <v/>
      </c>
      <c r="T96" s="282"/>
      <c r="U96" s="399"/>
      <c r="V96" s="397"/>
      <c r="W96" s="476"/>
      <c r="X96" s="397"/>
      <c r="Y96" s="398"/>
      <c r="Z96" s="399"/>
      <c r="AA96" s="397"/>
      <c r="AB96" s="480"/>
      <c r="AC96" s="397"/>
      <c r="AD96" s="398"/>
      <c r="AJ96" s="52" t="s">
        <v>110</v>
      </c>
      <c r="AK96" s="53" t="str">
        <f>IF(AL96="",AM96,AL96)</f>
        <v>3M</v>
      </c>
      <c r="AL96" s="591" t="str">
        <f>IF(AK72="EOD", "3M", G12)</f>
        <v>3M</v>
      </c>
      <c r="AM96" s="592" t="s">
        <v>18</v>
      </c>
      <c r="AN96" s="282"/>
      <c r="AO96" s="282"/>
      <c r="AP96" s="282"/>
      <c r="AQ96" s="282"/>
      <c r="AR96" s="282"/>
      <c r="AS96" s="282"/>
      <c r="AT96" s="282"/>
      <c r="AU96" s="282"/>
      <c r="AV96" s="282"/>
      <c r="AW96" s="282"/>
      <c r="AX96" s="282"/>
      <c r="AY96" s="282"/>
      <c r="AZ96" s="282"/>
      <c r="BA96" s="282"/>
      <c r="BB96" s="282"/>
      <c r="BC96" s="282"/>
      <c r="BD96" s="282"/>
      <c r="BE96" s="282"/>
      <c r="BF96" s="282"/>
      <c r="BG96" s="282"/>
      <c r="BH96" s="282"/>
    </row>
    <row r="97" spans="1:60">
      <c r="A97" s="282"/>
      <c r="B97" s="282"/>
      <c r="C97" s="282"/>
      <c r="D97" s="282"/>
      <c r="E97" s="282"/>
      <c r="F97" s="282"/>
      <c r="G97" s="282"/>
      <c r="H97" s="282"/>
      <c r="I97" s="282"/>
      <c r="J97" s="282"/>
      <c r="K97" s="282"/>
      <c r="L97" s="384" t="e">
        <f t="shared" ca="1" si="11"/>
        <v>#VALUE!</v>
      </c>
      <c r="M97" s="183"/>
      <c r="N97" s="184"/>
      <c r="O97" s="383" t="str">
        <f t="shared" si="12"/>
        <v/>
      </c>
      <c r="P97" s="384" t="e">
        <f t="shared" ca="1" si="13"/>
        <v>#VALUE!</v>
      </c>
      <c r="Q97" s="183"/>
      <c r="R97" s="184"/>
      <c r="S97" s="383" t="str">
        <f t="shared" si="14"/>
        <v/>
      </c>
      <c r="T97" s="282"/>
      <c r="U97" s="399"/>
      <c r="V97" s="397"/>
      <c r="W97" s="476"/>
      <c r="X97" s="397"/>
      <c r="Y97" s="398"/>
      <c r="Z97" s="399"/>
      <c r="AA97" s="397"/>
      <c r="AB97" s="480"/>
      <c r="AC97" s="397"/>
      <c r="AD97" s="398"/>
      <c r="AJ97" s="52" t="s">
        <v>217</v>
      </c>
      <c r="AK97" s="53" t="str">
        <f>IF(ISBLANK(G18),"", G18)</f>
        <v/>
      </c>
      <c r="AL97" s="53" t="str">
        <f>IF(ISBLANK(G18),"", G18)</f>
        <v/>
      </c>
      <c r="AM97" s="53"/>
      <c r="AN97" s="282"/>
      <c r="AO97" s="282"/>
      <c r="AP97" s="282"/>
      <c r="AQ97" s="282"/>
      <c r="AR97" s="282"/>
      <c r="AS97" s="282"/>
      <c r="AT97" s="282"/>
      <c r="AU97" s="282"/>
      <c r="AV97" s="282"/>
      <c r="AW97" s="282"/>
      <c r="AX97" s="282"/>
      <c r="AY97" s="282"/>
      <c r="AZ97" s="282"/>
      <c r="BA97" s="282"/>
      <c r="BB97" s="282"/>
      <c r="BC97" s="282"/>
      <c r="BD97" s="282"/>
      <c r="BE97" s="282"/>
      <c r="BF97" s="282"/>
      <c r="BG97" s="282"/>
      <c r="BH97" s="282"/>
    </row>
    <row r="98" spans="1:60">
      <c r="A98" s="282"/>
      <c r="B98" s="282"/>
      <c r="C98" s="282"/>
      <c r="D98" s="282"/>
      <c r="E98" s="282"/>
      <c r="F98" s="282"/>
      <c r="G98" s="282"/>
      <c r="H98" s="282"/>
      <c r="I98" s="282"/>
      <c r="J98" s="282"/>
      <c r="K98" s="282"/>
      <c r="L98" s="384" t="e">
        <f t="shared" ca="1" si="11"/>
        <v>#VALUE!</v>
      </c>
      <c r="M98" s="183"/>
      <c r="N98" s="184"/>
      <c r="O98" s="383" t="str">
        <f t="shared" si="12"/>
        <v/>
      </c>
      <c r="P98" s="384" t="e">
        <f t="shared" ca="1" si="13"/>
        <v>#VALUE!</v>
      </c>
      <c r="Q98" s="183"/>
      <c r="R98" s="184"/>
      <c r="S98" s="383" t="str">
        <f t="shared" si="14"/>
        <v/>
      </c>
      <c r="T98" s="282"/>
      <c r="U98" s="399"/>
      <c r="V98" s="397"/>
      <c r="W98" s="476"/>
      <c r="X98" s="397"/>
      <c r="Y98" s="398"/>
      <c r="Z98" s="399"/>
      <c r="AA98" s="397"/>
      <c r="AB98" s="480"/>
      <c r="AC98" s="397"/>
      <c r="AD98" s="398"/>
      <c r="AK98" s="54"/>
      <c r="AL98" s="54"/>
      <c r="AN98" s="282"/>
      <c r="AO98" s="282"/>
      <c r="AP98" s="282"/>
      <c r="AQ98" s="282"/>
      <c r="AR98" s="282"/>
      <c r="AS98" s="282"/>
      <c r="AT98" s="282"/>
      <c r="AU98" s="282"/>
      <c r="AV98" s="282"/>
      <c r="AW98" s="282"/>
      <c r="AX98" s="282"/>
      <c r="AY98" s="282"/>
      <c r="AZ98" s="282"/>
      <c r="BA98" s="282"/>
      <c r="BB98" s="282"/>
      <c r="BC98" s="282"/>
      <c r="BD98" s="282"/>
      <c r="BE98" s="282"/>
      <c r="BF98" s="282"/>
      <c r="BG98" s="282"/>
      <c r="BH98" s="282"/>
    </row>
    <row r="99" spans="1:60">
      <c r="A99" s="282"/>
      <c r="B99" s="282"/>
      <c r="C99" s="282"/>
      <c r="D99" s="282"/>
      <c r="E99" s="282"/>
      <c r="F99" s="282"/>
      <c r="G99" s="282"/>
      <c r="H99" s="282"/>
      <c r="I99" s="282"/>
      <c r="J99" s="282"/>
      <c r="K99" s="282"/>
      <c r="L99" s="384" t="e">
        <f t="shared" ca="1" si="11"/>
        <v>#VALUE!</v>
      </c>
      <c r="M99" s="183"/>
      <c r="N99" s="184"/>
      <c r="O99" s="383" t="str">
        <f t="shared" si="12"/>
        <v/>
      </c>
      <c r="P99" s="384" t="e">
        <f t="shared" ca="1" si="13"/>
        <v>#VALUE!</v>
      </c>
      <c r="Q99" s="183"/>
      <c r="R99" s="184"/>
      <c r="S99" s="383" t="str">
        <f t="shared" si="14"/>
        <v/>
      </c>
      <c r="T99" s="282"/>
      <c r="U99" s="399"/>
      <c r="V99" s="397"/>
      <c r="W99" s="476"/>
      <c r="X99" s="397"/>
      <c r="Y99" s="398"/>
      <c r="Z99" s="399"/>
      <c r="AA99" s="397"/>
      <c r="AB99" s="480"/>
      <c r="AC99" s="397"/>
      <c r="AD99" s="398"/>
      <c r="AJ99" s="163" t="s">
        <v>201</v>
      </c>
      <c r="AK99" s="86"/>
      <c r="AL99" s="54"/>
      <c r="AN99" s="282"/>
      <c r="AO99" s="282"/>
      <c r="AP99" s="282"/>
      <c r="AQ99" s="282"/>
      <c r="AR99" s="282"/>
      <c r="AS99" s="282"/>
      <c r="AT99" s="282"/>
      <c r="AU99" s="282"/>
      <c r="AV99" s="282"/>
      <c r="AW99" s="282"/>
      <c r="AX99" s="282"/>
      <c r="AY99" s="282"/>
      <c r="AZ99" s="282"/>
      <c r="BA99" s="282"/>
      <c r="BB99" s="282"/>
      <c r="BC99" s="282"/>
      <c r="BD99" s="282"/>
      <c r="BE99" s="282"/>
      <c r="BF99" s="282"/>
      <c r="BG99" s="282"/>
      <c r="BH99" s="282"/>
    </row>
    <row r="100" spans="1:60">
      <c r="A100" s="282"/>
      <c r="B100" s="282"/>
      <c r="C100" s="282"/>
      <c r="D100" s="282"/>
      <c r="E100" s="282"/>
      <c r="F100" s="282"/>
      <c r="G100" s="282"/>
      <c r="H100" s="282"/>
      <c r="I100" s="282"/>
      <c r="J100" s="282"/>
      <c r="K100" s="282"/>
      <c r="L100" s="384" t="e">
        <f t="shared" ca="1" si="11"/>
        <v>#VALUE!</v>
      </c>
      <c r="M100" s="183"/>
      <c r="N100" s="184"/>
      <c r="O100" s="383" t="str">
        <f t="shared" si="12"/>
        <v/>
      </c>
      <c r="P100" s="384" t="e">
        <f t="shared" ca="1" si="13"/>
        <v>#VALUE!</v>
      </c>
      <c r="Q100" s="183"/>
      <c r="R100" s="184"/>
      <c r="S100" s="383" t="str">
        <f t="shared" si="14"/>
        <v/>
      </c>
      <c r="T100" s="282"/>
      <c r="U100" s="399"/>
      <c r="V100" s="397"/>
      <c r="W100" s="476"/>
      <c r="X100" s="397"/>
      <c r="Y100" s="398"/>
      <c r="Z100" s="399"/>
      <c r="AA100" s="397"/>
      <c r="AB100" s="480"/>
      <c r="AC100" s="397"/>
      <c r="AD100" s="398"/>
      <c r="AJ100" s="42" t="s">
        <v>58</v>
      </c>
      <c r="AK100" s="43" t="str">
        <f>IF(AL100="",AM100,AL100)</f>
        <v>RateCurve</v>
      </c>
      <c r="AL100" s="43" t="str">
        <f>AM100</f>
        <v>RateCurve</v>
      </c>
      <c r="AM100" s="82" t="s">
        <v>59</v>
      </c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282"/>
      <c r="BB100" s="282"/>
      <c r="BC100" s="282"/>
      <c r="BD100" s="282"/>
      <c r="BE100" s="282"/>
      <c r="BF100" s="282"/>
      <c r="BG100" s="282"/>
      <c r="BH100" s="282"/>
    </row>
    <row r="101" spans="1:60">
      <c r="A101" s="282"/>
      <c r="B101" s="282"/>
      <c r="C101" s="282"/>
      <c r="D101" s="282"/>
      <c r="E101" s="282"/>
      <c r="F101" s="282"/>
      <c r="G101" s="282"/>
      <c r="H101" s="282"/>
      <c r="I101" s="282"/>
      <c r="J101" s="282"/>
      <c r="K101" s="282"/>
      <c r="L101" s="384" t="e">
        <f t="shared" ca="1" si="11"/>
        <v>#VALUE!</v>
      </c>
      <c r="M101" s="183"/>
      <c r="N101" s="184"/>
      <c r="O101" s="383" t="str">
        <f t="shared" si="12"/>
        <v/>
      </c>
      <c r="P101" s="384" t="e">
        <f t="shared" ca="1" si="13"/>
        <v>#VALUE!</v>
      </c>
      <c r="Q101" s="183"/>
      <c r="R101" s="184"/>
      <c r="S101" s="383" t="str">
        <f t="shared" si="14"/>
        <v/>
      </c>
      <c r="T101" s="282"/>
      <c r="U101" s="399"/>
      <c r="V101" s="397"/>
      <c r="W101" s="476"/>
      <c r="X101" s="397"/>
      <c r="Y101" s="398"/>
      <c r="Z101" s="399"/>
      <c r="AA101" s="397"/>
      <c r="AB101" s="480"/>
      <c r="AC101" s="397"/>
      <c r="AD101" s="398"/>
      <c r="AJ101" s="46" t="s">
        <v>112</v>
      </c>
      <c r="AK101" s="48" t="str">
        <f>IF(AL101="",AM101,AL101)</f>
        <v>EOD</v>
      </c>
      <c r="AL101" s="48" t="str">
        <f>AL94</f>
        <v>EOD</v>
      </c>
      <c r="AM101" s="77" t="s">
        <v>107</v>
      </c>
      <c r="AN101" s="282"/>
      <c r="AO101" s="282"/>
      <c r="AP101" s="282"/>
      <c r="AQ101" s="282"/>
      <c r="AR101" s="282"/>
      <c r="AS101" s="282"/>
      <c r="AT101" s="282"/>
      <c r="AU101" s="282"/>
      <c r="AV101" s="282"/>
      <c r="AW101" s="282"/>
      <c r="AX101" s="282"/>
      <c r="AY101" s="282"/>
      <c r="AZ101" s="282"/>
      <c r="BA101" s="282"/>
      <c r="BB101" s="282"/>
      <c r="BC101" s="282"/>
      <c r="BD101" s="282"/>
      <c r="BE101" s="282"/>
      <c r="BF101" s="282"/>
      <c r="BG101" s="282"/>
      <c r="BH101" s="282"/>
    </row>
    <row r="102" spans="1:60">
      <c r="A102" s="282"/>
      <c r="B102" s="282"/>
      <c r="C102" s="282"/>
      <c r="D102" s="282"/>
      <c r="E102" s="282"/>
      <c r="F102" s="282"/>
      <c r="G102" s="282"/>
      <c r="H102" s="282"/>
      <c r="I102" s="282"/>
      <c r="J102" s="282"/>
      <c r="K102" s="282"/>
      <c r="L102" s="384" t="e">
        <f t="shared" ca="1" si="11"/>
        <v>#VALUE!</v>
      </c>
      <c r="M102" s="183"/>
      <c r="N102" s="184"/>
      <c r="O102" s="383" t="str">
        <f t="shared" si="12"/>
        <v/>
      </c>
      <c r="P102" s="384" t="e">
        <f t="shared" ca="1" si="13"/>
        <v>#VALUE!</v>
      </c>
      <c r="Q102" s="183"/>
      <c r="R102" s="184"/>
      <c r="S102" s="383" t="str">
        <f t="shared" si="14"/>
        <v/>
      </c>
      <c r="T102" s="282"/>
      <c r="U102" s="399"/>
      <c r="V102" s="397"/>
      <c r="W102" s="476"/>
      <c r="X102" s="397"/>
      <c r="Y102" s="398"/>
      <c r="Z102" s="399"/>
      <c r="AA102" s="397"/>
      <c r="AB102" s="480"/>
      <c r="AC102" s="397"/>
      <c r="AD102" s="398"/>
      <c r="AJ102" s="46" t="s">
        <v>28</v>
      </c>
      <c r="AK102" s="48" t="e">
        <f ca="1">IF(AL102="",AM102,AL102)</f>
        <v>#VALUE!</v>
      </c>
      <c r="AL102" s="48" t="e">
        <f ca="1">UPPER(G8)</f>
        <v>#VALUE!</v>
      </c>
      <c r="AM102" s="85" t="s">
        <v>13</v>
      </c>
      <c r="AN102" s="282"/>
      <c r="AO102" s="282"/>
      <c r="AP102" s="282"/>
      <c r="AQ102" s="282"/>
      <c r="AR102" s="282"/>
      <c r="AS102" s="282"/>
      <c r="AT102" s="282"/>
      <c r="AU102" s="282"/>
      <c r="AV102" s="282"/>
      <c r="AW102" s="282"/>
      <c r="AX102" s="282"/>
      <c r="AY102" s="282"/>
      <c r="AZ102" s="282"/>
      <c r="BA102" s="282"/>
      <c r="BB102" s="282"/>
      <c r="BC102" s="282"/>
      <c r="BD102" s="282"/>
      <c r="BE102" s="282"/>
      <c r="BF102" s="282"/>
      <c r="BG102" s="282"/>
      <c r="BH102" s="282"/>
    </row>
    <row r="103" spans="1:60">
      <c r="A103" s="282"/>
      <c r="B103" s="282"/>
      <c r="C103" s="282"/>
      <c r="D103" s="282"/>
      <c r="E103" s="282"/>
      <c r="F103" s="282"/>
      <c r="G103" s="282"/>
      <c r="H103" s="282"/>
      <c r="I103" s="282"/>
      <c r="J103" s="282"/>
      <c r="K103" s="282"/>
      <c r="L103" s="384" t="e">
        <f t="shared" ca="1" si="11"/>
        <v>#VALUE!</v>
      </c>
      <c r="M103" s="183"/>
      <c r="N103" s="184"/>
      <c r="O103" s="383" t="str">
        <f t="shared" si="12"/>
        <v/>
      </c>
      <c r="P103" s="384" t="e">
        <f t="shared" ca="1" si="13"/>
        <v>#VALUE!</v>
      </c>
      <c r="Q103" s="183"/>
      <c r="R103" s="184"/>
      <c r="S103" s="383" t="str">
        <f t="shared" si="14"/>
        <v/>
      </c>
      <c r="T103" s="282"/>
      <c r="U103" s="399"/>
      <c r="V103" s="397"/>
      <c r="W103" s="476"/>
      <c r="X103" s="397"/>
      <c r="Y103" s="398"/>
      <c r="Z103" s="399"/>
      <c r="AA103" s="397"/>
      <c r="AB103" s="480"/>
      <c r="AC103" s="397"/>
      <c r="AD103" s="398"/>
      <c r="AJ103" s="52" t="s">
        <v>110</v>
      </c>
      <c r="AK103" s="53" t="str">
        <f>IF(AL103="",AM103,AL103)</f>
        <v>3M</v>
      </c>
      <c r="AL103" s="591" t="str">
        <f>IF(AK72="EOD", "3M", G12)</f>
        <v>3M</v>
      </c>
      <c r="AM103" s="592" t="s">
        <v>18</v>
      </c>
      <c r="AN103" s="282"/>
      <c r="AO103" s="282"/>
      <c r="AP103" s="282"/>
      <c r="AQ103" s="282"/>
      <c r="AR103" s="282"/>
      <c r="AS103" s="282"/>
      <c r="AT103" s="282"/>
      <c r="AU103" s="282"/>
      <c r="AV103" s="282"/>
      <c r="AW103" s="282"/>
      <c r="AX103" s="282"/>
      <c r="AY103" s="282"/>
      <c r="AZ103" s="282"/>
      <c r="BA103" s="282"/>
      <c r="BB103" s="282"/>
      <c r="BC103" s="282"/>
      <c r="BD103" s="282"/>
      <c r="BE103" s="282"/>
      <c r="BF103" s="282"/>
      <c r="BG103" s="282"/>
      <c r="BH103" s="282"/>
    </row>
    <row r="104" spans="1:60">
      <c r="A104" s="282"/>
      <c r="B104" s="282"/>
      <c r="C104" s="282"/>
      <c r="D104" s="282"/>
      <c r="E104" s="282"/>
      <c r="F104" s="282"/>
      <c r="G104" s="282"/>
      <c r="H104" s="282"/>
      <c r="I104" s="282"/>
      <c r="J104" s="282"/>
      <c r="K104" s="282"/>
      <c r="L104" s="384" t="e">
        <f t="shared" ca="1" si="11"/>
        <v>#VALUE!</v>
      </c>
      <c r="M104" s="183"/>
      <c r="N104" s="184"/>
      <c r="O104" s="383" t="str">
        <f t="shared" si="12"/>
        <v/>
      </c>
      <c r="P104" s="384" t="e">
        <f t="shared" ca="1" si="13"/>
        <v>#VALUE!</v>
      </c>
      <c r="Q104" s="183"/>
      <c r="R104" s="184"/>
      <c r="S104" s="383" t="str">
        <f t="shared" si="14"/>
        <v/>
      </c>
      <c r="T104" s="282"/>
      <c r="U104" s="399"/>
      <c r="V104" s="397"/>
      <c r="W104" s="476"/>
      <c r="X104" s="397"/>
      <c r="Y104" s="398"/>
      <c r="Z104" s="399"/>
      <c r="AA104" s="397"/>
      <c r="AB104" s="480"/>
      <c r="AC104" s="397"/>
      <c r="AD104" s="398"/>
      <c r="AJ104" s="52" t="s">
        <v>217</v>
      </c>
      <c r="AK104" s="53" t="str">
        <f>IF(ISBLANK(G19),"", G19)</f>
        <v/>
      </c>
      <c r="AL104" s="53" t="str">
        <f>IF(ISBLANK(G19),"", G19)</f>
        <v/>
      </c>
      <c r="AM104" s="53"/>
      <c r="AN104" s="282"/>
      <c r="AO104" s="282"/>
      <c r="AP104" s="282"/>
      <c r="AQ104" s="282"/>
      <c r="AR104" s="282"/>
      <c r="AS104" s="282"/>
      <c r="AT104" s="282"/>
      <c r="AU104" s="282"/>
      <c r="AV104" s="282"/>
      <c r="AW104" s="282"/>
      <c r="AX104" s="282"/>
      <c r="AY104" s="282"/>
      <c r="AZ104" s="282"/>
      <c r="BA104" s="282"/>
      <c r="BB104" s="282"/>
      <c r="BC104" s="282"/>
      <c r="BD104" s="282"/>
      <c r="BE104" s="282"/>
      <c r="BF104" s="282"/>
      <c r="BG104" s="282"/>
      <c r="BH104" s="282"/>
    </row>
    <row r="105" spans="1:60">
      <c r="A105" s="282"/>
      <c r="B105" s="282"/>
      <c r="C105" s="282"/>
      <c r="D105" s="282"/>
      <c r="E105" s="282"/>
      <c r="F105" s="282"/>
      <c r="G105" s="282"/>
      <c r="H105" s="282"/>
      <c r="I105" s="282"/>
      <c r="J105" s="282"/>
      <c r="K105" s="282"/>
      <c r="L105" s="384" t="e">
        <f t="shared" ca="1" si="11"/>
        <v>#VALUE!</v>
      </c>
      <c r="M105" s="183"/>
      <c r="N105" s="184"/>
      <c r="O105" s="383" t="str">
        <f t="shared" si="12"/>
        <v/>
      </c>
      <c r="P105" s="384" t="e">
        <f t="shared" ca="1" si="13"/>
        <v>#VALUE!</v>
      </c>
      <c r="Q105" s="183"/>
      <c r="R105" s="184"/>
      <c r="S105" s="383" t="str">
        <f t="shared" si="14"/>
        <v/>
      </c>
      <c r="T105" s="282"/>
      <c r="U105" s="399"/>
      <c r="V105" s="397"/>
      <c r="W105" s="476"/>
      <c r="X105" s="397"/>
      <c r="Y105" s="398"/>
      <c r="Z105" s="399"/>
      <c r="AA105" s="397"/>
      <c r="AB105" s="480"/>
      <c r="AC105" s="397"/>
      <c r="AD105" s="398"/>
      <c r="AK105" s="54"/>
      <c r="AL105" s="54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282"/>
      <c r="BB105" s="282"/>
      <c r="BC105" s="282"/>
      <c r="BD105" s="282"/>
      <c r="BE105" s="282"/>
      <c r="BF105" s="282"/>
      <c r="BG105" s="282"/>
      <c r="BH105" s="282"/>
    </row>
    <row r="106" spans="1:60">
      <c r="A106" s="282"/>
      <c r="B106" s="282"/>
      <c r="C106" s="282"/>
      <c r="D106" s="282"/>
      <c r="E106" s="282"/>
      <c r="F106" s="282"/>
      <c r="G106" s="282"/>
      <c r="H106" s="282"/>
      <c r="I106" s="282"/>
      <c r="J106" s="282"/>
      <c r="K106" s="282"/>
      <c r="L106" s="384" t="e">
        <f t="shared" ca="1" si="11"/>
        <v>#VALUE!</v>
      </c>
      <c r="M106" s="183"/>
      <c r="N106" s="184"/>
      <c r="O106" s="383" t="str">
        <f t="shared" si="12"/>
        <v/>
      </c>
      <c r="P106" s="384" t="e">
        <f t="shared" ca="1" si="13"/>
        <v>#VALUE!</v>
      </c>
      <c r="Q106" s="183"/>
      <c r="R106" s="184"/>
      <c r="S106" s="383" t="str">
        <f t="shared" si="14"/>
        <v/>
      </c>
      <c r="T106" s="282"/>
      <c r="U106" s="399"/>
      <c r="V106" s="397"/>
      <c r="W106" s="476"/>
      <c r="X106" s="397"/>
      <c r="Y106" s="398"/>
      <c r="Z106" s="399"/>
      <c r="AA106" s="397"/>
      <c r="AB106" s="480"/>
      <c r="AC106" s="397"/>
      <c r="AD106" s="398"/>
      <c r="AJ106" s="163" t="s">
        <v>202</v>
      </c>
      <c r="AK106" s="86"/>
      <c r="AL106" s="54"/>
      <c r="AN106" s="282"/>
      <c r="AO106" s="282"/>
      <c r="AP106" s="282"/>
      <c r="AQ106" s="282"/>
      <c r="AR106" s="282"/>
      <c r="AS106" s="282"/>
      <c r="AT106" s="282"/>
      <c r="AU106" s="282"/>
      <c r="AV106" s="282"/>
      <c r="AW106" s="282"/>
      <c r="AX106" s="282"/>
      <c r="AY106" s="282"/>
      <c r="AZ106" s="282"/>
      <c r="BA106" s="282"/>
      <c r="BB106" s="282"/>
      <c r="BC106" s="282"/>
      <c r="BD106" s="282"/>
      <c r="BE106" s="282"/>
      <c r="BF106" s="282"/>
      <c r="BG106" s="282"/>
      <c r="BH106" s="282"/>
    </row>
    <row r="107" spans="1:60">
      <c r="A107" s="282"/>
      <c r="B107" s="282"/>
      <c r="C107" s="282"/>
      <c r="D107" s="282"/>
      <c r="E107" s="282"/>
      <c r="F107" s="282"/>
      <c r="G107" s="282"/>
      <c r="H107" s="282"/>
      <c r="I107" s="282"/>
      <c r="J107" s="282"/>
      <c r="K107" s="282"/>
      <c r="L107" s="384" t="e">
        <f t="shared" ca="1" si="11"/>
        <v>#VALUE!</v>
      </c>
      <c r="M107" s="183"/>
      <c r="N107" s="184"/>
      <c r="O107" s="383" t="str">
        <f t="shared" si="12"/>
        <v/>
      </c>
      <c r="P107" s="384" t="e">
        <f t="shared" ca="1" si="13"/>
        <v>#VALUE!</v>
      </c>
      <c r="Q107" s="183"/>
      <c r="R107" s="184"/>
      <c r="S107" s="383" t="str">
        <f t="shared" si="14"/>
        <v/>
      </c>
      <c r="T107" s="282"/>
      <c r="U107" s="399"/>
      <c r="V107" s="397"/>
      <c r="W107" s="476"/>
      <c r="X107" s="397"/>
      <c r="Y107" s="398"/>
      <c r="Z107" s="399"/>
      <c r="AA107" s="397"/>
      <c r="AB107" s="480"/>
      <c r="AC107" s="397"/>
      <c r="AD107" s="398"/>
      <c r="AJ107" s="42" t="s">
        <v>58</v>
      </c>
      <c r="AK107" s="43" t="e">
        <f ca="1">IF(AL107="",AM107,AL107)</f>
        <v>#VALUE!</v>
      </c>
      <c r="AL107" s="43" t="e">
        <f ca="1">IF(OR(G8=J8,J8="USD"),"RateCurve","XccySpreadCurve")</f>
        <v>#VALUE!</v>
      </c>
      <c r="AM107" s="82" t="s">
        <v>59</v>
      </c>
      <c r="AN107" s="282"/>
      <c r="AO107" s="282"/>
      <c r="AP107" s="282"/>
      <c r="AQ107" s="282"/>
      <c r="AR107" s="282"/>
      <c r="AS107" s="282"/>
      <c r="AT107" s="282"/>
      <c r="AU107" s="282"/>
      <c r="AV107" s="282"/>
      <c r="AW107" s="282"/>
      <c r="AX107" s="282"/>
      <c r="AY107" s="282"/>
      <c r="AZ107" s="282"/>
      <c r="BA107" s="282"/>
      <c r="BB107" s="282"/>
      <c r="BC107" s="282"/>
      <c r="BD107" s="282"/>
      <c r="BE107" s="282"/>
      <c r="BF107" s="282"/>
      <c r="BG107" s="282"/>
      <c r="BH107" s="282"/>
    </row>
    <row r="108" spans="1:60">
      <c r="A108" s="282"/>
      <c r="B108" s="282"/>
      <c r="C108" s="282"/>
      <c r="D108" s="282"/>
      <c r="E108" s="282"/>
      <c r="F108" s="282"/>
      <c r="G108" s="282"/>
      <c r="H108" s="282"/>
      <c r="I108" s="282"/>
      <c r="J108" s="282"/>
      <c r="K108" s="282"/>
      <c r="L108" s="384" t="e">
        <f t="shared" ca="1" si="11"/>
        <v>#VALUE!</v>
      </c>
      <c r="M108" s="183"/>
      <c r="N108" s="184"/>
      <c r="O108" s="383" t="str">
        <f t="shared" si="12"/>
        <v/>
      </c>
      <c r="P108" s="384" t="e">
        <f t="shared" ca="1" si="13"/>
        <v>#VALUE!</v>
      </c>
      <c r="Q108" s="183"/>
      <c r="R108" s="184"/>
      <c r="S108" s="383" t="str">
        <f t="shared" si="14"/>
        <v/>
      </c>
      <c r="T108" s="282"/>
      <c r="U108" s="399"/>
      <c r="V108" s="397"/>
      <c r="W108" s="476"/>
      <c r="X108" s="397"/>
      <c r="Y108" s="398"/>
      <c r="Z108" s="399"/>
      <c r="AA108" s="397"/>
      <c r="AB108" s="480"/>
      <c r="AC108" s="397"/>
      <c r="AD108" s="398"/>
      <c r="AJ108" s="46" t="s">
        <v>112</v>
      </c>
      <c r="AK108" s="48" t="str">
        <f>IF(AL108="",AM108,AL108)</f>
        <v>EOD</v>
      </c>
      <c r="AL108" s="48" t="str">
        <f>AL94</f>
        <v>EOD</v>
      </c>
      <c r="AM108" s="77" t="s">
        <v>107</v>
      </c>
      <c r="AN108" s="282"/>
      <c r="AO108" s="282"/>
      <c r="AP108" s="282"/>
      <c r="AQ108" s="282"/>
      <c r="AR108" s="282"/>
      <c r="AS108" s="282"/>
      <c r="AT108" s="282"/>
      <c r="AU108" s="282"/>
      <c r="AV108" s="282"/>
      <c r="AW108" s="282"/>
      <c r="AX108" s="282"/>
      <c r="AY108" s="282"/>
      <c r="AZ108" s="282"/>
      <c r="BA108" s="282"/>
      <c r="BB108" s="282"/>
      <c r="BC108" s="282"/>
      <c r="BD108" s="282"/>
      <c r="BE108" s="282"/>
      <c r="BF108" s="282"/>
      <c r="BG108" s="282"/>
      <c r="BH108" s="282"/>
    </row>
    <row r="109" spans="1:60">
      <c r="A109" s="282"/>
      <c r="B109" s="282"/>
      <c r="C109" s="282"/>
      <c r="D109" s="282"/>
      <c r="E109" s="282"/>
      <c r="F109" s="282"/>
      <c r="G109" s="282"/>
      <c r="H109" s="282"/>
      <c r="I109" s="282"/>
      <c r="J109" s="282"/>
      <c r="K109" s="282"/>
      <c r="L109" s="384" t="e">
        <f t="shared" ca="1" si="11"/>
        <v>#VALUE!</v>
      </c>
      <c r="M109" s="183"/>
      <c r="N109" s="184"/>
      <c r="O109" s="383" t="str">
        <f t="shared" si="12"/>
        <v/>
      </c>
      <c r="P109" s="384" t="e">
        <f t="shared" ca="1" si="13"/>
        <v>#VALUE!</v>
      </c>
      <c r="Q109" s="183"/>
      <c r="R109" s="184"/>
      <c r="S109" s="383" t="str">
        <f t="shared" si="14"/>
        <v/>
      </c>
      <c r="T109" s="282"/>
      <c r="U109" s="399"/>
      <c r="V109" s="397"/>
      <c r="W109" s="476"/>
      <c r="X109" s="397"/>
      <c r="Y109" s="398"/>
      <c r="Z109" s="399"/>
      <c r="AA109" s="397"/>
      <c r="AB109" s="480"/>
      <c r="AC109" s="397"/>
      <c r="AD109" s="398"/>
      <c r="AJ109" s="46" t="s">
        <v>28</v>
      </c>
      <c r="AK109" s="48" t="e">
        <f ca="1">IF(AL109="",AM109,AL109)</f>
        <v>#VALUE!</v>
      </c>
      <c r="AL109" s="48" t="e">
        <f ca="1">UPPER(J8)</f>
        <v>#VALUE!</v>
      </c>
      <c r="AM109" s="85" t="s">
        <v>13</v>
      </c>
      <c r="AN109" s="282"/>
      <c r="AO109" s="282"/>
      <c r="AP109" s="282"/>
      <c r="AQ109" s="282"/>
      <c r="AR109" s="282"/>
      <c r="AS109" s="282"/>
      <c r="AT109" s="282"/>
      <c r="AU109" s="282"/>
      <c r="AV109" s="282"/>
      <c r="AW109" s="282"/>
      <c r="AX109" s="282"/>
      <c r="AY109" s="282"/>
      <c r="AZ109" s="282"/>
      <c r="BA109" s="282"/>
      <c r="BB109" s="282"/>
      <c r="BC109" s="282"/>
      <c r="BD109" s="282"/>
      <c r="BE109" s="282"/>
      <c r="BF109" s="282"/>
      <c r="BG109" s="282"/>
      <c r="BH109" s="282"/>
    </row>
    <row r="110" spans="1:60">
      <c r="A110" s="282"/>
      <c r="B110" s="282"/>
      <c r="C110" s="282"/>
      <c r="D110" s="282"/>
      <c r="E110" s="282"/>
      <c r="F110" s="282"/>
      <c r="G110" s="282"/>
      <c r="H110" s="282"/>
      <c r="I110" s="282"/>
      <c r="J110" s="282"/>
      <c r="K110" s="282"/>
      <c r="L110" s="384" t="e">
        <f t="shared" ca="1" si="11"/>
        <v>#VALUE!</v>
      </c>
      <c r="M110" s="183"/>
      <c r="N110" s="184"/>
      <c r="O110" s="383" t="str">
        <f t="shared" si="12"/>
        <v/>
      </c>
      <c r="P110" s="384" t="e">
        <f t="shared" ca="1" si="13"/>
        <v>#VALUE!</v>
      </c>
      <c r="Q110" s="183"/>
      <c r="R110" s="184"/>
      <c r="S110" s="383" t="str">
        <f t="shared" si="14"/>
        <v/>
      </c>
      <c r="T110" s="282"/>
      <c r="U110" s="399"/>
      <c r="V110" s="397"/>
      <c r="W110" s="476"/>
      <c r="X110" s="397"/>
      <c r="Y110" s="398"/>
      <c r="Z110" s="399"/>
      <c r="AA110" s="397"/>
      <c r="AB110" s="480"/>
      <c r="AC110" s="397"/>
      <c r="AD110" s="398"/>
      <c r="AJ110" s="52" t="s">
        <v>110</v>
      </c>
      <c r="AK110" s="53" t="str">
        <f>IF(AL110="",AM110,AL110)</f>
        <v>3M</v>
      </c>
      <c r="AL110" s="591" t="str">
        <f>IF(AK72="EOD", "3M", J12)</f>
        <v>3M</v>
      </c>
      <c r="AM110" s="592" t="s">
        <v>18</v>
      </c>
      <c r="AN110" s="282"/>
      <c r="AO110" s="282"/>
      <c r="AP110" s="282"/>
      <c r="AQ110" s="282"/>
      <c r="AR110" s="282"/>
      <c r="AS110" s="282"/>
      <c r="AT110" s="282"/>
      <c r="AU110" s="282"/>
      <c r="AV110" s="282"/>
      <c r="AW110" s="282"/>
      <c r="AX110" s="282"/>
      <c r="AY110" s="282"/>
      <c r="AZ110" s="282"/>
      <c r="BA110" s="282"/>
      <c r="BB110" s="282"/>
      <c r="BC110" s="282"/>
      <c r="BD110" s="282"/>
      <c r="BE110" s="282"/>
      <c r="BF110" s="282"/>
      <c r="BG110" s="282"/>
      <c r="BH110" s="282"/>
    </row>
    <row r="111" spans="1:60">
      <c r="A111" s="282"/>
      <c r="B111" s="282"/>
      <c r="C111" s="282"/>
      <c r="D111" s="282"/>
      <c r="E111" s="282"/>
      <c r="F111" s="282"/>
      <c r="G111" s="282"/>
      <c r="H111" s="282"/>
      <c r="I111" s="282"/>
      <c r="J111" s="282"/>
      <c r="K111" s="282"/>
      <c r="L111" s="384" t="e">
        <f t="shared" ca="1" si="11"/>
        <v>#VALUE!</v>
      </c>
      <c r="M111" s="183"/>
      <c r="N111" s="184"/>
      <c r="O111" s="383" t="str">
        <f t="shared" si="12"/>
        <v/>
      </c>
      <c r="P111" s="384" t="e">
        <f t="shared" ca="1" si="13"/>
        <v>#VALUE!</v>
      </c>
      <c r="Q111" s="183"/>
      <c r="R111" s="184"/>
      <c r="S111" s="383" t="str">
        <f t="shared" si="14"/>
        <v/>
      </c>
      <c r="T111" s="282"/>
      <c r="U111" s="399"/>
      <c r="V111" s="397"/>
      <c r="W111" s="476"/>
      <c r="X111" s="397"/>
      <c r="Y111" s="398"/>
      <c r="Z111" s="399"/>
      <c r="AA111" s="397"/>
      <c r="AB111" s="480"/>
      <c r="AC111" s="397"/>
      <c r="AD111" s="398"/>
      <c r="AJ111" s="52" t="s">
        <v>217</v>
      </c>
      <c r="AK111" s="53" t="str">
        <f>IF(ISBLANK(J18),"", J18)</f>
        <v/>
      </c>
      <c r="AL111" s="53" t="str">
        <f>IF(ISBLANK(J18),"", J18)</f>
        <v/>
      </c>
      <c r="AM111" s="53"/>
      <c r="AN111" s="282"/>
      <c r="AO111" s="282"/>
      <c r="AP111" s="282"/>
      <c r="AQ111" s="282"/>
      <c r="AR111" s="282"/>
      <c r="AS111" s="282"/>
      <c r="AT111" s="282"/>
      <c r="AU111" s="282"/>
      <c r="AV111" s="282"/>
      <c r="AW111" s="282"/>
      <c r="AX111" s="282"/>
      <c r="AY111" s="282"/>
      <c r="AZ111" s="282"/>
      <c r="BA111" s="282"/>
      <c r="BB111" s="282"/>
      <c r="BC111" s="282"/>
      <c r="BD111" s="282"/>
      <c r="BE111" s="282"/>
      <c r="BF111" s="282"/>
      <c r="BG111" s="282"/>
      <c r="BH111" s="282"/>
    </row>
    <row r="112" spans="1:60">
      <c r="A112" s="282"/>
      <c r="B112" s="282"/>
      <c r="C112" s="282"/>
      <c r="D112" s="282"/>
      <c r="E112" s="282"/>
      <c r="F112" s="282"/>
      <c r="G112" s="282"/>
      <c r="H112" s="282"/>
      <c r="I112" s="282"/>
      <c r="J112" s="282"/>
      <c r="K112" s="282"/>
      <c r="L112" s="384" t="e">
        <f t="shared" ca="1" si="11"/>
        <v>#VALUE!</v>
      </c>
      <c r="M112" s="183"/>
      <c r="N112" s="184"/>
      <c r="O112" s="383" t="str">
        <f t="shared" si="12"/>
        <v/>
      </c>
      <c r="P112" s="384" t="e">
        <f t="shared" ca="1" si="13"/>
        <v>#VALUE!</v>
      </c>
      <c r="Q112" s="183"/>
      <c r="R112" s="184"/>
      <c r="S112" s="383" t="str">
        <f t="shared" si="14"/>
        <v/>
      </c>
      <c r="T112" s="282"/>
      <c r="U112" s="399"/>
      <c r="V112" s="397"/>
      <c r="W112" s="476"/>
      <c r="X112" s="397"/>
      <c r="Y112" s="398"/>
      <c r="Z112" s="399"/>
      <c r="AA112" s="397"/>
      <c r="AB112" s="480"/>
      <c r="AC112" s="397"/>
      <c r="AD112" s="398"/>
      <c r="AK112" s="54"/>
      <c r="AL112" s="54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2"/>
      <c r="BC112" s="282"/>
      <c r="BD112" s="282"/>
      <c r="BE112" s="282"/>
      <c r="BF112" s="282"/>
      <c r="BG112" s="282"/>
      <c r="BH112" s="282"/>
    </row>
    <row r="113" spans="1:60">
      <c r="A113" s="282"/>
      <c r="B113" s="282"/>
      <c r="C113" s="282"/>
      <c r="D113" s="282"/>
      <c r="E113" s="282"/>
      <c r="F113" s="282"/>
      <c r="G113" s="282"/>
      <c r="H113" s="282"/>
      <c r="I113" s="282"/>
      <c r="J113" s="282"/>
      <c r="K113" s="282"/>
      <c r="L113" s="384" t="e">
        <f t="shared" ca="1" si="11"/>
        <v>#VALUE!</v>
      </c>
      <c r="M113" s="183"/>
      <c r="N113" s="184"/>
      <c r="O113" s="383" t="str">
        <f t="shared" si="12"/>
        <v/>
      </c>
      <c r="P113" s="384" t="e">
        <f t="shared" ca="1" si="13"/>
        <v>#VALUE!</v>
      </c>
      <c r="Q113" s="183"/>
      <c r="R113" s="184"/>
      <c r="S113" s="383" t="str">
        <f t="shared" si="14"/>
        <v/>
      </c>
      <c r="T113" s="282"/>
      <c r="U113" s="399"/>
      <c r="V113" s="397"/>
      <c r="W113" s="476"/>
      <c r="X113" s="397"/>
      <c r="Y113" s="398"/>
      <c r="Z113" s="399"/>
      <c r="AA113" s="397"/>
      <c r="AB113" s="480"/>
      <c r="AC113" s="397"/>
      <c r="AD113" s="398"/>
      <c r="AJ113" s="163" t="s">
        <v>203</v>
      </c>
      <c r="AK113" s="86"/>
      <c r="AL113" s="54"/>
      <c r="AN113" s="282"/>
      <c r="AO113" s="282"/>
      <c r="AP113" s="282"/>
      <c r="AQ113" s="282"/>
      <c r="AR113" s="282"/>
      <c r="AS113" s="282"/>
      <c r="AT113" s="282"/>
      <c r="AU113" s="282"/>
      <c r="AV113" s="282"/>
      <c r="AW113" s="282"/>
      <c r="AX113" s="282"/>
      <c r="AY113" s="282"/>
      <c r="AZ113" s="282"/>
      <c r="BA113" s="282"/>
      <c r="BB113" s="282"/>
      <c r="BC113" s="282"/>
      <c r="BD113" s="282"/>
      <c r="BE113" s="282"/>
      <c r="BF113" s="282"/>
      <c r="BG113" s="282"/>
      <c r="BH113" s="282"/>
    </row>
    <row r="114" spans="1:60">
      <c r="A114" s="282"/>
      <c r="B114" s="282"/>
      <c r="C114" s="282"/>
      <c r="D114" s="282"/>
      <c r="E114" s="282"/>
      <c r="F114" s="282"/>
      <c r="G114" s="282"/>
      <c r="H114" s="282"/>
      <c r="I114" s="282"/>
      <c r="J114" s="282"/>
      <c r="K114" s="282"/>
      <c r="L114" s="384" t="e">
        <f t="shared" ca="1" si="11"/>
        <v>#VALUE!</v>
      </c>
      <c r="M114" s="183"/>
      <c r="N114" s="184"/>
      <c r="O114" s="383" t="str">
        <f t="shared" si="12"/>
        <v/>
      </c>
      <c r="P114" s="384" t="e">
        <f t="shared" ca="1" si="13"/>
        <v>#VALUE!</v>
      </c>
      <c r="Q114" s="183"/>
      <c r="R114" s="184"/>
      <c r="S114" s="383" t="str">
        <f t="shared" si="14"/>
        <v/>
      </c>
      <c r="T114" s="282"/>
      <c r="U114" s="399"/>
      <c r="V114" s="397"/>
      <c r="W114" s="476"/>
      <c r="X114" s="397"/>
      <c r="Y114" s="398"/>
      <c r="Z114" s="399"/>
      <c r="AA114" s="397"/>
      <c r="AB114" s="480"/>
      <c r="AC114" s="397"/>
      <c r="AD114" s="398"/>
      <c r="AJ114" s="42" t="s">
        <v>58</v>
      </c>
      <c r="AK114" s="43" t="str">
        <f>IF(AL114="",AM114,AL114)</f>
        <v>RateCurve</v>
      </c>
      <c r="AL114" s="43" t="str">
        <f>AM114</f>
        <v>RateCurve</v>
      </c>
      <c r="AM114" s="82" t="s">
        <v>59</v>
      </c>
      <c r="AN114" s="282"/>
      <c r="AO114" s="282"/>
      <c r="AP114" s="282"/>
      <c r="AQ114" s="282"/>
      <c r="AR114" s="282"/>
      <c r="AS114" s="282"/>
      <c r="AT114" s="282"/>
      <c r="AU114" s="282"/>
      <c r="AV114" s="282"/>
      <c r="AW114" s="282"/>
      <c r="AX114" s="282"/>
      <c r="AY114" s="282"/>
      <c r="AZ114" s="282"/>
      <c r="BA114" s="282"/>
      <c r="BB114" s="282"/>
      <c r="BC114" s="282"/>
      <c r="BD114" s="282"/>
      <c r="BE114" s="282"/>
      <c r="BF114" s="282"/>
      <c r="BG114" s="282"/>
      <c r="BH114" s="282"/>
    </row>
    <row r="115" spans="1:60">
      <c r="A115" s="282"/>
      <c r="B115" s="282"/>
      <c r="C115" s="282"/>
      <c r="D115" s="282"/>
      <c r="E115" s="282"/>
      <c r="F115" s="282"/>
      <c r="G115" s="282"/>
      <c r="H115" s="282"/>
      <c r="I115" s="282"/>
      <c r="J115" s="282"/>
      <c r="K115" s="282"/>
      <c r="L115" s="384" t="e">
        <f t="shared" ca="1" si="11"/>
        <v>#VALUE!</v>
      </c>
      <c r="M115" s="183"/>
      <c r="N115" s="184"/>
      <c r="O115" s="383" t="str">
        <f t="shared" si="12"/>
        <v/>
      </c>
      <c r="P115" s="384" t="e">
        <f t="shared" ca="1" si="13"/>
        <v>#VALUE!</v>
      </c>
      <c r="Q115" s="183"/>
      <c r="R115" s="184"/>
      <c r="S115" s="383" t="str">
        <f t="shared" si="14"/>
        <v/>
      </c>
      <c r="T115" s="282"/>
      <c r="U115" s="399"/>
      <c r="V115" s="397"/>
      <c r="W115" s="476"/>
      <c r="X115" s="397"/>
      <c r="Y115" s="398"/>
      <c r="Z115" s="399"/>
      <c r="AA115" s="397"/>
      <c r="AB115" s="480"/>
      <c r="AC115" s="397"/>
      <c r="AD115" s="398"/>
      <c r="AJ115" s="46" t="s">
        <v>112</v>
      </c>
      <c r="AK115" s="48" t="str">
        <f>IF(AL115="",AM115,AL115)</f>
        <v>EOD</v>
      </c>
      <c r="AL115" s="48" t="str">
        <f>AL94</f>
        <v>EOD</v>
      </c>
      <c r="AM115" s="77" t="s">
        <v>107</v>
      </c>
      <c r="AN115" s="282"/>
      <c r="AO115" s="282"/>
      <c r="AP115" s="282"/>
      <c r="AQ115" s="282"/>
      <c r="AR115" s="282"/>
      <c r="AS115" s="282"/>
      <c r="AT115" s="282"/>
      <c r="AU115" s="282"/>
      <c r="AV115" s="282"/>
      <c r="AW115" s="282"/>
      <c r="AX115" s="282"/>
      <c r="AY115" s="282"/>
      <c r="AZ115" s="282"/>
      <c r="BA115" s="282"/>
      <c r="BB115" s="282"/>
      <c r="BC115" s="282"/>
      <c r="BD115" s="282"/>
      <c r="BE115" s="282"/>
      <c r="BF115" s="282"/>
      <c r="BG115" s="282"/>
      <c r="BH115" s="282"/>
    </row>
    <row r="116" spans="1:60">
      <c r="A116" s="282"/>
      <c r="B116" s="282"/>
      <c r="C116" s="282"/>
      <c r="D116" s="282"/>
      <c r="E116" s="282"/>
      <c r="F116" s="282"/>
      <c r="G116" s="282"/>
      <c r="H116" s="282"/>
      <c r="I116" s="282"/>
      <c r="J116" s="282"/>
      <c r="K116" s="282"/>
      <c r="L116" s="384" t="e">
        <f t="shared" ca="1" si="11"/>
        <v>#VALUE!</v>
      </c>
      <c r="M116" s="183"/>
      <c r="N116" s="184"/>
      <c r="O116" s="383" t="str">
        <f t="shared" si="12"/>
        <v/>
      </c>
      <c r="P116" s="384" t="e">
        <f t="shared" ca="1" si="13"/>
        <v>#VALUE!</v>
      </c>
      <c r="Q116" s="183"/>
      <c r="R116" s="184"/>
      <c r="S116" s="383" t="str">
        <f t="shared" si="14"/>
        <v/>
      </c>
      <c r="T116" s="282"/>
      <c r="U116" s="399"/>
      <c r="V116" s="397"/>
      <c r="W116" s="476"/>
      <c r="X116" s="397"/>
      <c r="Y116" s="398"/>
      <c r="Z116" s="399"/>
      <c r="AA116" s="397"/>
      <c r="AB116" s="480"/>
      <c r="AC116" s="397"/>
      <c r="AD116" s="398"/>
      <c r="AJ116" s="46" t="s">
        <v>28</v>
      </c>
      <c r="AK116" s="48" t="e">
        <f ca="1">IF(AL116="",AM116,AL116)</f>
        <v>#VALUE!</v>
      </c>
      <c r="AL116" s="48" t="e">
        <f ca="1">UPPER(J8)</f>
        <v>#VALUE!</v>
      </c>
      <c r="AM116" s="85" t="s">
        <v>13</v>
      </c>
      <c r="AN116" s="282"/>
      <c r="AO116" s="282"/>
      <c r="AP116" s="282"/>
      <c r="AQ116" s="282"/>
      <c r="AR116" s="282"/>
      <c r="AS116" s="282"/>
      <c r="AT116" s="282"/>
      <c r="AU116" s="282"/>
      <c r="AV116" s="282"/>
      <c r="AW116" s="282"/>
      <c r="AX116" s="282"/>
      <c r="AY116" s="282"/>
      <c r="AZ116" s="282"/>
      <c r="BA116" s="282"/>
      <c r="BB116" s="282"/>
      <c r="BC116" s="282"/>
      <c r="BD116" s="282"/>
      <c r="BE116" s="282"/>
      <c r="BF116" s="282"/>
      <c r="BG116" s="282"/>
      <c r="BH116" s="282"/>
    </row>
    <row r="117" spans="1:60">
      <c r="A117" s="282"/>
      <c r="B117" s="282"/>
      <c r="C117" s="282"/>
      <c r="D117" s="282"/>
      <c r="E117" s="282"/>
      <c r="F117" s="282"/>
      <c r="G117" s="282"/>
      <c r="H117" s="282"/>
      <c r="I117" s="282"/>
      <c r="J117" s="282"/>
      <c r="K117" s="282"/>
      <c r="L117" s="384" t="e">
        <f t="shared" ca="1" si="11"/>
        <v>#VALUE!</v>
      </c>
      <c r="M117" s="183"/>
      <c r="N117" s="184"/>
      <c r="O117" s="383" t="str">
        <f t="shared" si="12"/>
        <v/>
      </c>
      <c r="P117" s="384" t="e">
        <f t="shared" ca="1" si="13"/>
        <v>#VALUE!</v>
      </c>
      <c r="Q117" s="183"/>
      <c r="R117" s="184"/>
      <c r="S117" s="383" t="str">
        <f t="shared" si="14"/>
        <v/>
      </c>
      <c r="T117" s="282"/>
      <c r="U117" s="399"/>
      <c r="V117" s="397"/>
      <c r="W117" s="476"/>
      <c r="X117" s="397"/>
      <c r="Y117" s="398"/>
      <c r="Z117" s="399"/>
      <c r="AA117" s="397"/>
      <c r="AB117" s="480"/>
      <c r="AC117" s="397"/>
      <c r="AD117" s="398"/>
      <c r="AJ117" s="52" t="s">
        <v>110</v>
      </c>
      <c r="AK117" s="53" t="str">
        <f>IF(AL117="",AM117,AL117)</f>
        <v>3M</v>
      </c>
      <c r="AL117" s="591" t="str">
        <f>IF(AK72="EOD", "3M", J12)</f>
        <v>3M</v>
      </c>
      <c r="AM117" s="592" t="s">
        <v>18</v>
      </c>
      <c r="AN117" s="282"/>
      <c r="AO117" s="282"/>
      <c r="AP117" s="282"/>
      <c r="AQ117" s="282"/>
      <c r="AR117" s="282"/>
      <c r="AS117" s="282"/>
      <c r="AT117" s="282"/>
      <c r="AU117" s="282"/>
      <c r="AV117" s="282"/>
      <c r="AW117" s="282"/>
      <c r="AX117" s="282"/>
      <c r="AY117" s="282"/>
      <c r="AZ117" s="282"/>
      <c r="BA117" s="282"/>
      <c r="BB117" s="282"/>
      <c r="BC117" s="282"/>
      <c r="BD117" s="282"/>
      <c r="BE117" s="282"/>
      <c r="BF117" s="282"/>
      <c r="BG117" s="282"/>
      <c r="BH117" s="282"/>
    </row>
    <row r="118" spans="1:60">
      <c r="A118" s="282"/>
      <c r="B118" s="282"/>
      <c r="C118" s="282"/>
      <c r="D118" s="282"/>
      <c r="E118" s="282"/>
      <c r="F118" s="282"/>
      <c r="G118" s="282"/>
      <c r="H118" s="282"/>
      <c r="I118" s="282"/>
      <c r="J118" s="282"/>
      <c r="K118" s="282"/>
      <c r="L118" s="384" t="e">
        <f t="shared" ca="1" si="11"/>
        <v>#VALUE!</v>
      </c>
      <c r="M118" s="183"/>
      <c r="N118" s="184"/>
      <c r="O118" s="383" t="str">
        <f t="shared" si="12"/>
        <v/>
      </c>
      <c r="P118" s="384" t="e">
        <f t="shared" ca="1" si="13"/>
        <v>#VALUE!</v>
      </c>
      <c r="Q118" s="183"/>
      <c r="R118" s="184"/>
      <c r="S118" s="383" t="str">
        <f t="shared" si="14"/>
        <v/>
      </c>
      <c r="T118" s="282"/>
      <c r="U118" s="399"/>
      <c r="V118" s="397"/>
      <c r="W118" s="476"/>
      <c r="X118" s="397"/>
      <c r="Y118" s="398"/>
      <c r="Z118" s="399"/>
      <c r="AA118" s="397"/>
      <c r="AB118" s="480"/>
      <c r="AC118" s="397"/>
      <c r="AD118" s="398"/>
      <c r="AJ118" s="52" t="s">
        <v>217</v>
      </c>
      <c r="AK118" s="172" t="str">
        <f>IF(ISBLANK(J19),"", J19)</f>
        <v/>
      </c>
      <c r="AL118" s="53" t="str">
        <f>IF(ISBLANK(J19),"", J19)</f>
        <v/>
      </c>
      <c r="AM118" s="53"/>
      <c r="AN118" s="282"/>
      <c r="AO118" s="282"/>
      <c r="AP118" s="282"/>
      <c r="AQ118" s="282"/>
      <c r="AR118" s="282"/>
      <c r="AS118" s="282"/>
      <c r="AT118" s="282"/>
      <c r="AU118" s="282"/>
      <c r="AV118" s="282"/>
      <c r="AW118" s="282"/>
      <c r="AX118" s="282"/>
      <c r="AY118" s="282"/>
      <c r="AZ118" s="282"/>
      <c r="BA118" s="282"/>
      <c r="BB118" s="282"/>
      <c r="BC118" s="282"/>
      <c r="BD118" s="282"/>
      <c r="BE118" s="282"/>
      <c r="BF118" s="282"/>
      <c r="BG118" s="282"/>
      <c r="BH118" s="282"/>
    </row>
    <row r="119" spans="1:60">
      <c r="A119" s="282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384" t="e">
        <f t="shared" ca="1" si="11"/>
        <v>#VALUE!</v>
      </c>
      <c r="M119" s="183"/>
      <c r="N119" s="184"/>
      <c r="O119" s="383" t="str">
        <f t="shared" si="12"/>
        <v/>
      </c>
      <c r="P119" s="384" t="e">
        <f t="shared" ca="1" si="13"/>
        <v>#VALUE!</v>
      </c>
      <c r="Q119" s="183"/>
      <c r="R119" s="184"/>
      <c r="S119" s="383" t="str">
        <f t="shared" si="14"/>
        <v/>
      </c>
      <c r="T119" s="282"/>
      <c r="U119" s="399"/>
      <c r="V119" s="397"/>
      <c r="W119" s="476"/>
      <c r="X119" s="397"/>
      <c r="Y119" s="398"/>
      <c r="Z119" s="399"/>
      <c r="AA119" s="397"/>
      <c r="AB119" s="480"/>
      <c r="AC119" s="397"/>
      <c r="AD119" s="398"/>
      <c r="AN119" s="282"/>
      <c r="AO119" s="282"/>
      <c r="AP119" s="282"/>
      <c r="AQ119" s="282"/>
      <c r="AR119" s="282"/>
      <c r="AS119" s="282"/>
      <c r="AT119" s="282"/>
      <c r="AU119" s="282"/>
      <c r="AV119" s="282"/>
      <c r="AW119" s="282"/>
      <c r="AX119" s="282"/>
      <c r="AY119" s="282"/>
      <c r="AZ119" s="282"/>
      <c r="BA119" s="282"/>
      <c r="BB119" s="282"/>
      <c r="BC119" s="282"/>
      <c r="BD119" s="282"/>
      <c r="BE119" s="282"/>
      <c r="BF119" s="282"/>
      <c r="BG119" s="282"/>
      <c r="BH119" s="282"/>
    </row>
    <row r="120" spans="1:60">
      <c r="A120" s="282"/>
      <c r="B120" s="282"/>
      <c r="C120" s="282"/>
      <c r="D120" s="282"/>
      <c r="E120" s="282"/>
      <c r="F120" s="282"/>
      <c r="G120" s="282"/>
      <c r="H120" s="282"/>
      <c r="I120" s="282"/>
      <c r="J120" s="282"/>
      <c r="K120" s="282"/>
      <c r="L120" s="384" t="e">
        <f t="shared" ca="1" si="11"/>
        <v>#VALUE!</v>
      </c>
      <c r="M120" s="183"/>
      <c r="N120" s="184"/>
      <c r="O120" s="383" t="str">
        <f t="shared" si="12"/>
        <v/>
      </c>
      <c r="P120" s="384" t="e">
        <f t="shared" ca="1" si="13"/>
        <v>#VALUE!</v>
      </c>
      <c r="Q120" s="183"/>
      <c r="R120" s="184"/>
      <c r="S120" s="383" t="str">
        <f t="shared" si="14"/>
        <v/>
      </c>
      <c r="T120" s="282"/>
      <c r="U120" s="399"/>
      <c r="V120" s="397"/>
      <c r="W120" s="476"/>
      <c r="X120" s="397"/>
      <c r="Y120" s="398"/>
      <c r="Z120" s="399"/>
      <c r="AA120" s="397"/>
      <c r="AB120" s="480"/>
      <c r="AC120" s="397"/>
      <c r="AD120" s="398"/>
      <c r="AJ120" s="163" t="s">
        <v>287</v>
      </c>
      <c r="AK120" s="86"/>
      <c r="AL120" s="54"/>
      <c r="AN120" s="282"/>
      <c r="AO120" s="282"/>
      <c r="AP120" s="282"/>
      <c r="AQ120" s="282"/>
      <c r="AR120" s="282"/>
      <c r="AS120" s="282"/>
      <c r="AT120" s="282"/>
      <c r="AU120" s="282"/>
      <c r="AV120" s="282"/>
      <c r="AW120" s="282"/>
      <c r="AX120" s="282"/>
      <c r="AY120" s="282"/>
      <c r="AZ120" s="282"/>
      <c r="BA120" s="282"/>
      <c r="BB120" s="282"/>
      <c r="BC120" s="282"/>
      <c r="BD120" s="282"/>
      <c r="BE120" s="282"/>
      <c r="BF120" s="282"/>
      <c r="BG120" s="282"/>
      <c r="BH120" s="282"/>
    </row>
    <row r="121" spans="1:60">
      <c r="A121" s="282"/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384" t="e">
        <f t="shared" ca="1" si="11"/>
        <v>#VALUE!</v>
      </c>
      <c r="M121" s="183"/>
      <c r="N121" s="184"/>
      <c r="O121" s="383" t="str">
        <f t="shared" si="12"/>
        <v/>
      </c>
      <c r="P121" s="384" t="e">
        <f t="shared" ca="1" si="13"/>
        <v>#VALUE!</v>
      </c>
      <c r="Q121" s="183"/>
      <c r="R121" s="184"/>
      <c r="S121" s="383" t="str">
        <f t="shared" si="14"/>
        <v/>
      </c>
      <c r="T121" s="282"/>
      <c r="U121" s="399"/>
      <c r="V121" s="397"/>
      <c r="W121" s="476"/>
      <c r="X121" s="397"/>
      <c r="Y121" s="398"/>
      <c r="Z121" s="399"/>
      <c r="AA121" s="397"/>
      <c r="AB121" s="480"/>
      <c r="AC121" s="397"/>
      <c r="AD121" s="398"/>
      <c r="AJ121" s="42" t="s">
        <v>58</v>
      </c>
      <c r="AK121" s="48" t="str">
        <f>IF(AL121="",AM121,AL121)</f>
        <v>FxCurve</v>
      </c>
      <c r="AL121" s="43"/>
      <c r="AM121" s="82" t="s">
        <v>288</v>
      </c>
      <c r="AN121" s="282"/>
      <c r="AO121" s="282"/>
      <c r="AP121" s="282"/>
      <c r="AQ121" s="282"/>
      <c r="AR121" s="282"/>
      <c r="AS121" s="282"/>
      <c r="AT121" s="282"/>
      <c r="AU121" s="282"/>
      <c r="AV121" s="282"/>
      <c r="AW121" s="282"/>
      <c r="AX121" s="282"/>
      <c r="AY121" s="282"/>
      <c r="AZ121" s="282"/>
      <c r="BA121" s="282"/>
      <c r="BB121" s="282"/>
      <c r="BC121" s="282"/>
      <c r="BD121" s="282"/>
      <c r="BE121" s="282"/>
      <c r="BF121" s="282"/>
      <c r="BG121" s="282"/>
      <c r="BH121" s="282"/>
    </row>
    <row r="122" spans="1:60">
      <c r="A122" s="282"/>
      <c r="B122" s="282"/>
      <c r="C122" s="282"/>
      <c r="D122" s="282"/>
      <c r="E122" s="282"/>
      <c r="F122" s="282"/>
      <c r="G122" s="282"/>
      <c r="H122" s="282"/>
      <c r="I122" s="282"/>
      <c r="J122" s="282"/>
      <c r="K122" s="282"/>
      <c r="L122" s="384" t="e">
        <f t="shared" ca="1" si="11"/>
        <v>#VALUE!</v>
      </c>
      <c r="M122" s="183"/>
      <c r="N122" s="184"/>
      <c r="O122" s="383" t="str">
        <f t="shared" si="12"/>
        <v/>
      </c>
      <c r="P122" s="384" t="e">
        <f t="shared" ca="1" si="13"/>
        <v>#VALUE!</v>
      </c>
      <c r="Q122" s="183"/>
      <c r="R122" s="184"/>
      <c r="S122" s="383" t="str">
        <f t="shared" si="14"/>
        <v/>
      </c>
      <c r="T122" s="282"/>
      <c r="U122" s="399"/>
      <c r="V122" s="397"/>
      <c r="W122" s="476"/>
      <c r="X122" s="397"/>
      <c r="Y122" s="398"/>
      <c r="Z122" s="399"/>
      <c r="AA122" s="397"/>
      <c r="AB122" s="480"/>
      <c r="AC122" s="397"/>
      <c r="AD122" s="398"/>
      <c r="AJ122" s="46" t="s">
        <v>112</v>
      </c>
      <c r="AK122" s="48" t="str">
        <f>IF(AL122="",AM122,AL122)</f>
        <v>EOD</v>
      </c>
      <c r="AL122" s="48"/>
      <c r="AM122" s="77" t="s">
        <v>208</v>
      </c>
      <c r="AN122" s="282"/>
      <c r="AO122" s="282"/>
      <c r="AP122" s="282"/>
      <c r="AQ122" s="282"/>
      <c r="AR122" s="282"/>
      <c r="AS122" s="282"/>
      <c r="AT122" s="282"/>
      <c r="AU122" s="282"/>
      <c r="AV122" s="282"/>
      <c r="AW122" s="282"/>
      <c r="AX122" s="282"/>
      <c r="AY122" s="282"/>
      <c r="AZ122" s="282"/>
      <c r="BA122" s="282"/>
      <c r="BB122" s="282"/>
      <c r="BC122" s="282"/>
      <c r="BD122" s="282"/>
      <c r="BE122" s="282"/>
      <c r="BF122" s="282"/>
      <c r="BG122" s="282"/>
      <c r="BH122" s="282"/>
    </row>
    <row r="123" spans="1:60">
      <c r="A123" s="282"/>
      <c r="B123" s="282"/>
      <c r="C123" s="282"/>
      <c r="D123" s="282"/>
      <c r="E123" s="282"/>
      <c r="F123" s="282"/>
      <c r="G123" s="282"/>
      <c r="H123" s="282"/>
      <c r="I123" s="282"/>
      <c r="J123" s="282"/>
      <c r="K123" s="282"/>
      <c r="L123" s="384" t="e">
        <f t="shared" ca="1" si="11"/>
        <v>#VALUE!</v>
      </c>
      <c r="M123" s="183"/>
      <c r="N123" s="184"/>
      <c r="O123" s="383" t="str">
        <f t="shared" si="12"/>
        <v/>
      </c>
      <c r="P123" s="384" t="e">
        <f t="shared" ca="1" si="13"/>
        <v>#VALUE!</v>
      </c>
      <c r="Q123" s="183"/>
      <c r="R123" s="184"/>
      <c r="S123" s="383" t="str">
        <f t="shared" si="14"/>
        <v/>
      </c>
      <c r="T123" s="282"/>
      <c r="U123" s="399"/>
      <c r="V123" s="397"/>
      <c r="W123" s="476"/>
      <c r="X123" s="397"/>
      <c r="Y123" s="398"/>
      <c r="Z123" s="399"/>
      <c r="AA123" s="397"/>
      <c r="AB123" s="480"/>
      <c r="AC123" s="397"/>
      <c r="AD123" s="398"/>
      <c r="AJ123" s="46" t="s">
        <v>28</v>
      </c>
      <c r="AK123" s="48" t="e">
        <f ca="1">IF(AL123="",AM123,AL123)</f>
        <v>#VALUE!</v>
      </c>
      <c r="AL123" s="48" t="e">
        <f ca="1">UPPER(G8)</f>
        <v>#VALUE!</v>
      </c>
      <c r="AM123" s="85" t="s">
        <v>13</v>
      </c>
      <c r="AN123" s="282"/>
      <c r="AO123" s="282"/>
      <c r="AP123" s="282"/>
      <c r="AQ123" s="282"/>
      <c r="AR123" s="282"/>
      <c r="AS123" s="282"/>
      <c r="AT123" s="282"/>
      <c r="AU123" s="282"/>
      <c r="AV123" s="282"/>
      <c r="AW123" s="282"/>
      <c r="AX123" s="282"/>
      <c r="AY123" s="282"/>
      <c r="AZ123" s="282"/>
      <c r="BA123" s="282"/>
      <c r="BB123" s="282"/>
      <c r="BC123" s="282"/>
      <c r="BD123" s="282"/>
      <c r="BE123" s="282"/>
      <c r="BF123" s="282"/>
      <c r="BG123" s="282"/>
      <c r="BH123" s="282"/>
    </row>
    <row r="124" spans="1:60">
      <c r="A124" s="282"/>
      <c r="B124" s="282"/>
      <c r="C124" s="282"/>
      <c r="D124" s="282"/>
      <c r="E124" s="282"/>
      <c r="F124" s="282"/>
      <c r="G124" s="282"/>
      <c r="H124" s="282"/>
      <c r="I124" s="282"/>
      <c r="J124" s="282"/>
      <c r="K124" s="282"/>
      <c r="L124" s="384" t="e">
        <f t="shared" ca="1" si="11"/>
        <v>#VALUE!</v>
      </c>
      <c r="M124" s="183"/>
      <c r="N124" s="184"/>
      <c r="O124" s="383" t="str">
        <f t="shared" si="12"/>
        <v/>
      </c>
      <c r="P124" s="384" t="e">
        <f t="shared" ca="1" si="13"/>
        <v>#VALUE!</v>
      </c>
      <c r="Q124" s="183"/>
      <c r="R124" s="184"/>
      <c r="S124" s="383" t="str">
        <f t="shared" si="14"/>
        <v/>
      </c>
      <c r="T124" s="282"/>
      <c r="U124" s="399"/>
      <c r="V124" s="397"/>
      <c r="W124" s="476"/>
      <c r="X124" s="397"/>
      <c r="Y124" s="398"/>
      <c r="Z124" s="399"/>
      <c r="AA124" s="397"/>
      <c r="AB124" s="480"/>
      <c r="AC124" s="397"/>
      <c r="AD124" s="398"/>
      <c r="AJ124" s="46" t="s">
        <v>289</v>
      </c>
      <c r="AK124" s="48" t="str">
        <f>IF(AL124="",AM124,AL124)</f>
        <v>USD</v>
      </c>
      <c r="AL124" s="47"/>
      <c r="AM124" s="85" t="s">
        <v>53</v>
      </c>
      <c r="AN124" s="282"/>
      <c r="AO124" s="282"/>
      <c r="AP124" s="282"/>
      <c r="AQ124" s="282"/>
      <c r="AR124" s="282"/>
      <c r="AS124" s="282"/>
      <c r="AT124" s="282"/>
      <c r="AU124" s="282"/>
      <c r="AV124" s="282"/>
      <c r="AW124" s="282"/>
      <c r="AX124" s="282"/>
      <c r="AY124" s="282"/>
      <c r="AZ124" s="282"/>
      <c r="BA124" s="282"/>
      <c r="BB124" s="282"/>
      <c r="BC124" s="282"/>
      <c r="BD124" s="282"/>
      <c r="BE124" s="282"/>
      <c r="BF124" s="282"/>
      <c r="BG124" s="282"/>
      <c r="BH124" s="282"/>
    </row>
    <row r="125" spans="1:60">
      <c r="A125" s="282"/>
      <c r="B125" s="282"/>
      <c r="C125" s="282"/>
      <c r="D125" s="282"/>
      <c r="E125" s="282"/>
      <c r="F125" s="282"/>
      <c r="G125" s="282"/>
      <c r="H125" s="282"/>
      <c r="I125" s="282"/>
      <c r="J125" s="282"/>
      <c r="K125" s="282"/>
      <c r="L125" s="384" t="e">
        <f t="shared" ca="1" si="11"/>
        <v>#VALUE!</v>
      </c>
      <c r="M125" s="183"/>
      <c r="N125" s="184"/>
      <c r="O125" s="383" t="str">
        <f t="shared" si="12"/>
        <v/>
      </c>
      <c r="P125" s="384" t="e">
        <f t="shared" ca="1" si="13"/>
        <v>#VALUE!</v>
      </c>
      <c r="Q125" s="183"/>
      <c r="R125" s="184"/>
      <c r="S125" s="383" t="str">
        <f t="shared" si="14"/>
        <v/>
      </c>
      <c r="T125" s="282"/>
      <c r="U125" s="399"/>
      <c r="V125" s="397"/>
      <c r="W125" s="476"/>
      <c r="X125" s="397"/>
      <c r="Y125" s="398"/>
      <c r="Z125" s="399"/>
      <c r="AA125" s="397"/>
      <c r="AB125" s="480"/>
      <c r="AC125" s="397"/>
      <c r="AD125" s="398"/>
      <c r="AJ125" s="450" t="s">
        <v>217</v>
      </c>
      <c r="AK125" s="451" t="str">
        <f>IF(ISBLANK(J27),"", J27)</f>
        <v/>
      </c>
      <c r="AL125" s="452" t="str">
        <f>IF(ISBLANK(J27),"", J27)</f>
        <v/>
      </c>
      <c r="AM125" s="452"/>
      <c r="AN125" s="282"/>
      <c r="AO125" s="282"/>
      <c r="AP125" s="282"/>
      <c r="AQ125" s="282"/>
      <c r="AR125" s="282"/>
      <c r="AS125" s="282"/>
      <c r="AT125" s="282"/>
      <c r="AU125" s="282"/>
      <c r="AV125" s="282"/>
      <c r="AW125" s="282"/>
      <c r="AX125" s="282"/>
      <c r="AY125" s="282"/>
      <c r="AZ125" s="282"/>
      <c r="BA125" s="282"/>
      <c r="BB125" s="282"/>
      <c r="BC125" s="282"/>
      <c r="BD125" s="282"/>
      <c r="BE125" s="282"/>
      <c r="BF125" s="282"/>
      <c r="BG125" s="282"/>
      <c r="BH125" s="282"/>
    </row>
    <row r="126" spans="1:60">
      <c r="A126" s="282"/>
      <c r="B126" s="282"/>
      <c r="C126" s="282"/>
      <c r="D126" s="282"/>
      <c r="E126" s="282"/>
      <c r="F126" s="282"/>
      <c r="G126" s="282"/>
      <c r="H126" s="282"/>
      <c r="I126" s="282"/>
      <c r="J126" s="282"/>
      <c r="K126" s="282"/>
      <c r="L126" s="384" t="e">
        <f t="shared" ca="1" si="11"/>
        <v>#VALUE!</v>
      </c>
      <c r="M126" s="183"/>
      <c r="N126" s="184"/>
      <c r="O126" s="383" t="str">
        <f t="shared" si="12"/>
        <v/>
      </c>
      <c r="P126" s="384" t="e">
        <f t="shared" ca="1" si="13"/>
        <v>#VALUE!</v>
      </c>
      <c r="Q126" s="183"/>
      <c r="R126" s="184"/>
      <c r="S126" s="383" t="str">
        <f t="shared" si="14"/>
        <v/>
      </c>
      <c r="T126" s="282"/>
      <c r="U126" s="399"/>
      <c r="V126" s="397"/>
      <c r="W126" s="476"/>
      <c r="X126" s="397"/>
      <c r="Y126" s="398"/>
      <c r="Z126" s="399"/>
      <c r="AA126" s="397"/>
      <c r="AB126" s="480"/>
      <c r="AC126" s="397"/>
      <c r="AD126" s="398"/>
      <c r="AN126" s="282"/>
      <c r="AO126" s="282"/>
      <c r="AP126" s="282"/>
      <c r="AQ126" s="282"/>
      <c r="AR126" s="282"/>
      <c r="AS126" s="282"/>
      <c r="AT126" s="282"/>
      <c r="AU126" s="282"/>
      <c r="AV126" s="282"/>
      <c r="AW126" s="282"/>
      <c r="AX126" s="282"/>
      <c r="AY126" s="282"/>
      <c r="AZ126" s="282"/>
      <c r="BA126" s="282"/>
      <c r="BB126" s="282"/>
      <c r="BC126" s="282"/>
      <c r="BD126" s="282"/>
      <c r="BE126" s="282"/>
      <c r="BF126" s="282"/>
      <c r="BG126" s="282"/>
      <c r="BH126" s="282"/>
    </row>
    <row r="127" spans="1:60">
      <c r="A127" s="282"/>
      <c r="B127" s="282"/>
      <c r="C127" s="282"/>
      <c r="D127" s="282"/>
      <c r="E127" s="282"/>
      <c r="F127" s="282"/>
      <c r="G127" s="282"/>
      <c r="H127" s="282"/>
      <c r="I127" s="282"/>
      <c r="J127" s="282"/>
      <c r="K127" s="282"/>
      <c r="L127" s="384" t="e">
        <f t="shared" ca="1" si="11"/>
        <v>#VALUE!</v>
      </c>
      <c r="M127" s="183"/>
      <c r="N127" s="184"/>
      <c r="O127" s="383" t="str">
        <f t="shared" si="12"/>
        <v/>
      </c>
      <c r="P127" s="384" t="e">
        <f t="shared" ca="1" si="13"/>
        <v>#VALUE!</v>
      </c>
      <c r="Q127" s="183"/>
      <c r="R127" s="184"/>
      <c r="S127" s="383" t="str">
        <f t="shared" si="14"/>
        <v/>
      </c>
      <c r="T127" s="282"/>
      <c r="U127" s="399"/>
      <c r="V127" s="397"/>
      <c r="W127" s="476"/>
      <c r="X127" s="397"/>
      <c r="Y127" s="398"/>
      <c r="Z127" s="399"/>
      <c r="AA127" s="397"/>
      <c r="AB127" s="480"/>
      <c r="AC127" s="397"/>
      <c r="AD127" s="398"/>
      <c r="AJ127" s="163" t="s">
        <v>290</v>
      </c>
      <c r="AK127" s="86"/>
      <c r="AL127" s="54"/>
      <c r="AN127" s="282"/>
      <c r="AO127" s="282"/>
      <c r="AP127" s="282"/>
      <c r="AQ127" s="282"/>
      <c r="AR127" s="282"/>
      <c r="AS127" s="282"/>
      <c r="AT127" s="282"/>
      <c r="AU127" s="282"/>
      <c r="AV127" s="282"/>
      <c r="AW127" s="282"/>
      <c r="AX127" s="282"/>
      <c r="AY127" s="282"/>
      <c r="AZ127" s="282"/>
      <c r="BA127" s="282"/>
      <c r="BB127" s="282"/>
      <c r="BC127" s="282"/>
      <c r="BD127" s="282"/>
      <c r="BE127" s="282"/>
      <c r="BF127" s="282"/>
      <c r="BG127" s="282"/>
      <c r="BH127" s="282"/>
    </row>
    <row r="128" spans="1:60">
      <c r="A128" s="282"/>
      <c r="B128" s="282"/>
      <c r="C128" s="282"/>
      <c r="D128" s="282"/>
      <c r="E128" s="282"/>
      <c r="F128" s="282"/>
      <c r="G128" s="282"/>
      <c r="H128" s="282"/>
      <c r="I128" s="282"/>
      <c r="J128" s="282"/>
      <c r="K128" s="282"/>
      <c r="L128" s="384" t="e">
        <f t="shared" ca="1" si="11"/>
        <v>#VALUE!</v>
      </c>
      <c r="M128" s="183"/>
      <c r="N128" s="184"/>
      <c r="O128" s="383" t="str">
        <f t="shared" si="12"/>
        <v/>
      </c>
      <c r="P128" s="384" t="e">
        <f t="shared" ca="1" si="13"/>
        <v>#VALUE!</v>
      </c>
      <c r="Q128" s="183"/>
      <c r="R128" s="184"/>
      <c r="S128" s="383" t="str">
        <f t="shared" si="14"/>
        <v/>
      </c>
      <c r="T128" s="282"/>
      <c r="U128" s="399"/>
      <c r="V128" s="397"/>
      <c r="W128" s="476"/>
      <c r="X128" s="397"/>
      <c r="Y128" s="398"/>
      <c r="Z128" s="399"/>
      <c r="AA128" s="397"/>
      <c r="AB128" s="480"/>
      <c r="AC128" s="397"/>
      <c r="AD128" s="398"/>
      <c r="AJ128" s="42" t="s">
        <v>58</v>
      </c>
      <c r="AK128" s="48" t="str">
        <f>IF(AL128="",AM128,AL128)</f>
        <v>FxCurve</v>
      </c>
      <c r="AL128" s="43"/>
      <c r="AM128" s="82" t="s">
        <v>288</v>
      </c>
      <c r="AN128" s="282"/>
      <c r="AO128" s="282"/>
      <c r="AP128" s="282"/>
      <c r="AQ128" s="282"/>
      <c r="AR128" s="282"/>
      <c r="AS128" s="282"/>
      <c r="AT128" s="282"/>
      <c r="AU128" s="282"/>
      <c r="AV128" s="282"/>
      <c r="AW128" s="282"/>
      <c r="AX128" s="282"/>
      <c r="AY128" s="282"/>
      <c r="AZ128" s="282"/>
      <c r="BA128" s="282"/>
      <c r="BB128" s="282"/>
      <c r="BC128" s="282"/>
      <c r="BD128" s="282"/>
      <c r="BE128" s="282"/>
      <c r="BF128" s="282"/>
      <c r="BG128" s="282"/>
      <c r="BH128" s="282"/>
    </row>
    <row r="129" spans="1:60">
      <c r="A129" s="282"/>
      <c r="B129" s="282"/>
      <c r="C129" s="282"/>
      <c r="D129" s="282"/>
      <c r="E129" s="282"/>
      <c r="F129" s="282"/>
      <c r="G129" s="282"/>
      <c r="H129" s="282"/>
      <c r="I129" s="282"/>
      <c r="J129" s="282"/>
      <c r="K129" s="282"/>
      <c r="L129" s="384" t="e">
        <f t="shared" ca="1" si="11"/>
        <v>#VALUE!</v>
      </c>
      <c r="M129" s="183"/>
      <c r="N129" s="184"/>
      <c r="O129" s="383" t="str">
        <f t="shared" si="12"/>
        <v/>
      </c>
      <c r="P129" s="384" t="e">
        <f t="shared" ca="1" si="13"/>
        <v>#VALUE!</v>
      </c>
      <c r="Q129" s="183"/>
      <c r="R129" s="184"/>
      <c r="S129" s="383" t="str">
        <f t="shared" si="14"/>
        <v/>
      </c>
      <c r="T129" s="282"/>
      <c r="U129" s="399"/>
      <c r="V129" s="397"/>
      <c r="W129" s="476"/>
      <c r="X129" s="397"/>
      <c r="Y129" s="398"/>
      <c r="Z129" s="399"/>
      <c r="AA129" s="397"/>
      <c r="AB129" s="480"/>
      <c r="AC129" s="397"/>
      <c r="AD129" s="398"/>
      <c r="AJ129" s="46" t="s">
        <v>112</v>
      </c>
      <c r="AK129" s="48" t="str">
        <f>IF(AL129="",AM129,AL129)</f>
        <v>EOD</v>
      </c>
      <c r="AL129" s="48"/>
      <c r="AM129" s="77" t="s">
        <v>208</v>
      </c>
      <c r="AN129" s="282"/>
      <c r="AO129" s="282"/>
      <c r="AP129" s="282"/>
      <c r="AQ129" s="282"/>
      <c r="AR129" s="282"/>
      <c r="AS129" s="282"/>
      <c r="AT129" s="282"/>
      <c r="AU129" s="282"/>
      <c r="AV129" s="282"/>
      <c r="AW129" s="282"/>
      <c r="AX129" s="282"/>
      <c r="AY129" s="282"/>
      <c r="AZ129" s="282"/>
      <c r="BA129" s="282"/>
      <c r="BB129" s="282"/>
      <c r="BC129" s="282"/>
      <c r="BD129" s="282"/>
      <c r="BE129" s="282"/>
      <c r="BF129" s="282"/>
      <c r="BG129" s="282"/>
      <c r="BH129" s="282"/>
    </row>
    <row r="130" spans="1:60">
      <c r="A130" s="282"/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384" t="e">
        <f t="shared" ca="1" si="11"/>
        <v>#VALUE!</v>
      </c>
      <c r="M130" s="183"/>
      <c r="N130" s="184"/>
      <c r="O130" s="383" t="str">
        <f t="shared" si="12"/>
        <v/>
      </c>
      <c r="P130" s="384" t="e">
        <f t="shared" ca="1" si="13"/>
        <v>#VALUE!</v>
      </c>
      <c r="Q130" s="183"/>
      <c r="R130" s="184"/>
      <c r="S130" s="383" t="str">
        <f t="shared" si="14"/>
        <v/>
      </c>
      <c r="T130" s="282"/>
      <c r="U130" s="399"/>
      <c r="V130" s="397"/>
      <c r="W130" s="476"/>
      <c r="X130" s="397"/>
      <c r="Y130" s="398"/>
      <c r="Z130" s="399"/>
      <c r="AA130" s="397"/>
      <c r="AB130" s="480"/>
      <c r="AC130" s="397"/>
      <c r="AD130" s="398"/>
      <c r="AJ130" s="46" t="s">
        <v>28</v>
      </c>
      <c r="AK130" s="48" t="e">
        <f ca="1">IF(AL130="",AM130,AL130)</f>
        <v>#VALUE!</v>
      </c>
      <c r="AL130" s="48" t="e">
        <f ca="1">UPPER(J8)</f>
        <v>#VALUE!</v>
      </c>
      <c r="AM130" s="85" t="s">
        <v>13</v>
      </c>
      <c r="AN130" s="282"/>
      <c r="AO130" s="282"/>
      <c r="AP130" s="282"/>
      <c r="AQ130" s="282"/>
      <c r="AR130" s="282"/>
      <c r="AS130" s="282"/>
      <c r="AT130" s="282"/>
      <c r="AU130" s="282"/>
      <c r="AV130" s="282"/>
      <c r="AW130" s="282"/>
      <c r="AX130" s="282"/>
      <c r="AY130" s="282"/>
      <c r="AZ130" s="282"/>
      <c r="BA130" s="282"/>
      <c r="BB130" s="282"/>
      <c r="BC130" s="282"/>
      <c r="BD130" s="282"/>
      <c r="BE130" s="282"/>
      <c r="BF130" s="282"/>
      <c r="BG130" s="282"/>
      <c r="BH130" s="282"/>
    </row>
    <row r="131" spans="1:60">
      <c r="A131" s="282"/>
      <c r="B131" s="282"/>
      <c r="C131" s="282"/>
      <c r="D131" s="282"/>
      <c r="E131" s="282"/>
      <c r="F131" s="282"/>
      <c r="G131" s="282"/>
      <c r="H131" s="282"/>
      <c r="I131" s="282"/>
      <c r="J131" s="282"/>
      <c r="K131" s="282"/>
      <c r="L131" s="384" t="e">
        <f t="shared" ca="1" si="11"/>
        <v>#VALUE!</v>
      </c>
      <c r="M131" s="183"/>
      <c r="N131" s="184"/>
      <c r="O131" s="383" t="str">
        <f t="shared" si="12"/>
        <v/>
      </c>
      <c r="P131" s="384" t="e">
        <f t="shared" ca="1" si="13"/>
        <v>#VALUE!</v>
      </c>
      <c r="Q131" s="183"/>
      <c r="R131" s="184"/>
      <c r="S131" s="383" t="str">
        <f t="shared" si="14"/>
        <v/>
      </c>
      <c r="T131" s="282"/>
      <c r="U131" s="399"/>
      <c r="V131" s="397"/>
      <c r="W131" s="476"/>
      <c r="X131" s="397"/>
      <c r="Y131" s="398"/>
      <c r="Z131" s="399"/>
      <c r="AA131" s="397"/>
      <c r="AB131" s="480"/>
      <c r="AC131" s="397"/>
      <c r="AD131" s="398"/>
      <c r="AJ131" s="46" t="s">
        <v>289</v>
      </c>
      <c r="AK131" s="48" t="str">
        <f>IF(AL131="",AM131,AL131)</f>
        <v>USD</v>
      </c>
      <c r="AL131" s="47"/>
      <c r="AM131" s="85" t="s">
        <v>53</v>
      </c>
      <c r="AN131" s="282"/>
      <c r="AO131" s="282"/>
      <c r="AP131" s="282"/>
      <c r="AQ131" s="282"/>
      <c r="AR131" s="282"/>
      <c r="AS131" s="282"/>
      <c r="AT131" s="282"/>
      <c r="AU131" s="282"/>
      <c r="AV131" s="282"/>
      <c r="AW131" s="282"/>
      <c r="AX131" s="282"/>
      <c r="AY131" s="282"/>
      <c r="AZ131" s="282"/>
      <c r="BA131" s="282"/>
      <c r="BB131" s="282"/>
      <c r="BC131" s="282"/>
      <c r="BD131" s="282"/>
      <c r="BE131" s="282"/>
      <c r="BF131" s="282"/>
      <c r="BG131" s="282"/>
      <c r="BH131" s="282"/>
    </row>
    <row r="132" spans="1:60">
      <c r="A132" s="282"/>
      <c r="B132" s="282"/>
      <c r="C132" s="282"/>
      <c r="D132" s="282"/>
      <c r="E132" s="282"/>
      <c r="F132" s="282"/>
      <c r="G132" s="282"/>
      <c r="H132" s="282"/>
      <c r="I132" s="282"/>
      <c r="J132" s="282"/>
      <c r="K132" s="282"/>
      <c r="L132" s="384" t="e">
        <f t="shared" ca="1" si="11"/>
        <v>#VALUE!</v>
      </c>
      <c r="M132" s="183"/>
      <c r="N132" s="184"/>
      <c r="O132" s="383" t="str">
        <f t="shared" si="12"/>
        <v/>
      </c>
      <c r="P132" s="384" t="e">
        <f t="shared" ca="1" si="13"/>
        <v>#VALUE!</v>
      </c>
      <c r="Q132" s="183"/>
      <c r="R132" s="184"/>
      <c r="S132" s="383" t="str">
        <f t="shared" si="14"/>
        <v/>
      </c>
      <c r="T132" s="282"/>
      <c r="U132" s="399"/>
      <c r="V132" s="397"/>
      <c r="W132" s="476"/>
      <c r="X132" s="397"/>
      <c r="Y132" s="398"/>
      <c r="Z132" s="399"/>
      <c r="AA132" s="397"/>
      <c r="AB132" s="480"/>
      <c r="AC132" s="397"/>
      <c r="AD132" s="398"/>
      <c r="AJ132" s="450" t="s">
        <v>217</v>
      </c>
      <c r="AK132" s="451" t="str">
        <f>IF(ISBLANK(J34),"", J34)</f>
        <v/>
      </c>
      <c r="AL132" s="452" t="str">
        <f>IF(ISBLANK(J34),"", J34)</f>
        <v/>
      </c>
      <c r="AM132" s="452"/>
      <c r="AN132" s="282"/>
      <c r="AO132" s="282"/>
      <c r="AP132" s="282"/>
      <c r="AQ132" s="282"/>
      <c r="AR132" s="282"/>
      <c r="AS132" s="282"/>
      <c r="AT132" s="282"/>
      <c r="AU132" s="282"/>
      <c r="AV132" s="282"/>
      <c r="AW132" s="282"/>
      <c r="AX132" s="282"/>
      <c r="AY132" s="282"/>
      <c r="AZ132" s="282"/>
      <c r="BA132" s="282"/>
      <c r="BB132" s="282"/>
      <c r="BC132" s="282"/>
      <c r="BD132" s="282"/>
      <c r="BE132" s="282"/>
      <c r="BF132" s="282"/>
      <c r="BG132" s="282"/>
      <c r="BH132" s="282"/>
    </row>
    <row r="133" spans="1:60">
      <c r="A133" s="282"/>
      <c r="B133" s="282"/>
      <c r="C133" s="282"/>
      <c r="D133" s="282"/>
      <c r="E133" s="282"/>
      <c r="F133" s="282"/>
      <c r="G133" s="282"/>
      <c r="H133" s="282"/>
      <c r="I133" s="282"/>
      <c r="J133" s="282"/>
      <c r="K133" s="282"/>
      <c r="L133" s="384" t="e">
        <f t="shared" ca="1" si="11"/>
        <v>#VALUE!</v>
      </c>
      <c r="M133" s="183"/>
      <c r="N133" s="184"/>
      <c r="O133" s="383" t="str">
        <f t="shared" si="12"/>
        <v/>
      </c>
      <c r="P133" s="384" t="e">
        <f t="shared" ca="1" si="13"/>
        <v>#VALUE!</v>
      </c>
      <c r="Q133" s="183"/>
      <c r="R133" s="184"/>
      <c r="S133" s="383" t="str">
        <f t="shared" si="14"/>
        <v/>
      </c>
      <c r="T133" s="282"/>
      <c r="U133" s="399"/>
      <c r="V133" s="397"/>
      <c r="W133" s="476"/>
      <c r="X133" s="397"/>
      <c r="Y133" s="398"/>
      <c r="Z133" s="399"/>
      <c r="AA133" s="397"/>
      <c r="AB133" s="480"/>
      <c r="AC133" s="397"/>
      <c r="AD133" s="398"/>
      <c r="AN133" s="282"/>
      <c r="AO133" s="282"/>
      <c r="AP133" s="282"/>
      <c r="AQ133" s="282"/>
      <c r="AR133" s="282"/>
      <c r="AS133" s="282"/>
      <c r="AT133" s="282"/>
      <c r="AU133" s="282"/>
      <c r="AV133" s="282"/>
      <c r="AW133" s="282"/>
      <c r="AX133" s="282"/>
      <c r="AY133" s="282"/>
      <c r="AZ133" s="282"/>
      <c r="BA133" s="282"/>
      <c r="BB133" s="282"/>
      <c r="BC133" s="282"/>
      <c r="BD133" s="282"/>
      <c r="BE133" s="282"/>
      <c r="BF133" s="282"/>
      <c r="BG133" s="282"/>
      <c r="BH133" s="282"/>
    </row>
    <row r="134" spans="1:60">
      <c r="A134" s="282"/>
      <c r="B134" s="282"/>
      <c r="C134" s="282"/>
      <c r="D134" s="282"/>
      <c r="E134" s="282"/>
      <c r="F134" s="282"/>
      <c r="G134" s="282"/>
      <c r="H134" s="282"/>
      <c r="I134" s="282"/>
      <c r="J134" s="282"/>
      <c r="K134" s="282"/>
      <c r="L134" s="384" t="e">
        <f t="shared" ca="1" si="11"/>
        <v>#VALUE!</v>
      </c>
      <c r="M134" s="183"/>
      <c r="N134" s="184"/>
      <c r="O134" s="383" t="str">
        <f t="shared" si="12"/>
        <v/>
      </c>
      <c r="P134" s="384" t="e">
        <f t="shared" ca="1" si="13"/>
        <v>#VALUE!</v>
      </c>
      <c r="Q134" s="183"/>
      <c r="R134" s="184"/>
      <c r="S134" s="383" t="str">
        <f t="shared" si="14"/>
        <v/>
      </c>
      <c r="T134" s="282"/>
      <c r="U134" s="399"/>
      <c r="V134" s="397"/>
      <c r="W134" s="476"/>
      <c r="X134" s="397"/>
      <c r="Y134" s="398"/>
      <c r="Z134" s="399"/>
      <c r="AA134" s="397"/>
      <c r="AB134" s="480"/>
      <c r="AC134" s="397"/>
      <c r="AD134" s="398"/>
      <c r="AJ134" s="163" t="s">
        <v>291</v>
      </c>
      <c r="AK134" s="86"/>
      <c r="AL134" s="54"/>
      <c r="AN134" s="282"/>
      <c r="AO134" s="282"/>
      <c r="AP134" s="282"/>
      <c r="AQ134" s="282"/>
      <c r="AR134" s="282"/>
      <c r="AS134" s="282"/>
      <c r="AT134" s="282"/>
      <c r="AU134" s="282"/>
      <c r="AV134" s="282"/>
      <c r="AW134" s="282"/>
      <c r="AX134" s="282"/>
      <c r="AY134" s="282"/>
      <c r="AZ134" s="282"/>
      <c r="BA134" s="282"/>
      <c r="BB134" s="282"/>
      <c r="BC134" s="282"/>
      <c r="BD134" s="282"/>
      <c r="BE134" s="282"/>
      <c r="BF134" s="282"/>
      <c r="BG134" s="282"/>
      <c r="BH134" s="282"/>
    </row>
    <row r="135" spans="1:60">
      <c r="A135" s="282"/>
      <c r="B135" s="282"/>
      <c r="C135" s="282"/>
      <c r="D135" s="282"/>
      <c r="E135" s="282"/>
      <c r="F135" s="282"/>
      <c r="G135" s="282"/>
      <c r="H135" s="282"/>
      <c r="I135" s="282"/>
      <c r="J135" s="282"/>
      <c r="K135" s="282"/>
      <c r="L135" s="384" t="e">
        <f t="shared" ca="1" si="11"/>
        <v>#VALUE!</v>
      </c>
      <c r="M135" s="183"/>
      <c r="N135" s="184"/>
      <c r="O135" s="383" t="str">
        <f t="shared" si="12"/>
        <v/>
      </c>
      <c r="P135" s="384" t="e">
        <f t="shared" ca="1" si="13"/>
        <v>#VALUE!</v>
      </c>
      <c r="Q135" s="183"/>
      <c r="R135" s="184"/>
      <c r="S135" s="383" t="str">
        <f t="shared" si="14"/>
        <v/>
      </c>
      <c r="T135" s="282"/>
      <c r="U135" s="399"/>
      <c r="V135" s="397"/>
      <c r="W135" s="476"/>
      <c r="X135" s="397"/>
      <c r="Y135" s="398"/>
      <c r="Z135" s="399"/>
      <c r="AA135" s="397"/>
      <c r="AB135" s="480"/>
      <c r="AC135" s="397"/>
      <c r="AD135" s="398"/>
      <c r="AJ135" s="42" t="s">
        <v>58</v>
      </c>
      <c r="AK135" s="43" t="str">
        <f>IF(AL135="",AM135,AL135)</f>
        <v>RateCurve</v>
      </c>
      <c r="AL135" s="43"/>
      <c r="AM135" s="82" t="s">
        <v>59</v>
      </c>
      <c r="AN135" s="282"/>
      <c r="AO135" s="282"/>
      <c r="AP135" s="282"/>
      <c r="AQ135" s="282"/>
      <c r="AR135" s="282"/>
      <c r="AS135" s="282"/>
      <c r="AT135" s="282"/>
      <c r="AU135" s="282"/>
      <c r="AV135" s="282"/>
      <c r="AW135" s="282"/>
      <c r="AX135" s="282"/>
      <c r="AY135" s="282"/>
      <c r="AZ135" s="282"/>
      <c r="BA135" s="282"/>
      <c r="BB135" s="282"/>
      <c r="BC135" s="282"/>
      <c r="BD135" s="282"/>
      <c r="BE135" s="282"/>
      <c r="BF135" s="282"/>
      <c r="BG135" s="282"/>
      <c r="BH135" s="282"/>
    </row>
    <row r="136" spans="1:60">
      <c r="A136" s="282"/>
      <c r="B136" s="282"/>
      <c r="C136" s="282"/>
      <c r="D136" s="282"/>
      <c r="E136" s="282"/>
      <c r="F136" s="282"/>
      <c r="G136" s="282"/>
      <c r="H136" s="282"/>
      <c r="I136" s="282"/>
      <c r="J136" s="282"/>
      <c r="K136" s="282"/>
      <c r="L136" s="384" t="e">
        <f t="shared" ca="1" si="11"/>
        <v>#VALUE!</v>
      </c>
      <c r="M136" s="183"/>
      <c r="N136" s="184"/>
      <c r="O136" s="383" t="str">
        <f t="shared" si="12"/>
        <v/>
      </c>
      <c r="P136" s="384" t="e">
        <f t="shared" ca="1" si="13"/>
        <v>#VALUE!</v>
      </c>
      <c r="Q136" s="183"/>
      <c r="R136" s="184"/>
      <c r="S136" s="383" t="str">
        <f t="shared" si="14"/>
        <v/>
      </c>
      <c r="T136" s="282"/>
      <c r="U136" s="399"/>
      <c r="V136" s="397"/>
      <c r="W136" s="476"/>
      <c r="X136" s="397"/>
      <c r="Y136" s="398"/>
      <c r="Z136" s="399"/>
      <c r="AA136" s="397"/>
      <c r="AB136" s="480"/>
      <c r="AC136" s="397"/>
      <c r="AD136" s="398"/>
      <c r="AJ136" s="46" t="s">
        <v>112</v>
      </c>
      <c r="AK136" s="48" t="str">
        <f>IF(AL136="",AM136,AL136)</f>
        <v>EOD</v>
      </c>
      <c r="AL136" s="47" t="str">
        <f>AL72</f>
        <v>EOD</v>
      </c>
      <c r="AM136" s="77" t="s">
        <v>208</v>
      </c>
      <c r="AN136" s="282"/>
      <c r="AO136" s="282"/>
      <c r="AP136" s="282"/>
      <c r="AQ136" s="282"/>
      <c r="AR136" s="282"/>
      <c r="AS136" s="282"/>
      <c r="AT136" s="282"/>
      <c r="AU136" s="282"/>
      <c r="AV136" s="282"/>
      <c r="AW136" s="282"/>
      <c r="AX136" s="282"/>
      <c r="AY136" s="282"/>
      <c r="AZ136" s="282"/>
      <c r="BA136" s="282"/>
      <c r="BB136" s="282"/>
      <c r="BC136" s="282"/>
      <c r="BD136" s="282"/>
      <c r="BE136" s="282"/>
      <c r="BF136" s="282"/>
      <c r="BG136" s="282"/>
      <c r="BH136" s="282"/>
    </row>
    <row r="137" spans="1:60">
      <c r="A137" s="282"/>
      <c r="B137" s="282"/>
      <c r="C137" s="282"/>
      <c r="D137" s="282"/>
      <c r="E137" s="282"/>
      <c r="F137" s="282"/>
      <c r="G137" s="282"/>
      <c r="H137" s="282"/>
      <c r="I137" s="282"/>
      <c r="J137" s="282"/>
      <c r="K137" s="282"/>
      <c r="L137" s="384" t="e">
        <f t="shared" ca="1" si="11"/>
        <v>#VALUE!</v>
      </c>
      <c r="M137" s="183"/>
      <c r="N137" s="184"/>
      <c r="O137" s="383" t="str">
        <f t="shared" si="12"/>
        <v/>
      </c>
      <c r="P137" s="384" t="e">
        <f t="shared" ca="1" si="13"/>
        <v>#VALUE!</v>
      </c>
      <c r="Q137" s="183"/>
      <c r="R137" s="184"/>
      <c r="S137" s="383" t="str">
        <f t="shared" si="14"/>
        <v/>
      </c>
      <c r="T137" s="282"/>
      <c r="U137" s="399"/>
      <c r="V137" s="397"/>
      <c r="W137" s="476"/>
      <c r="X137" s="397"/>
      <c r="Y137" s="398"/>
      <c r="Z137" s="399"/>
      <c r="AA137" s="397"/>
      <c r="AB137" s="480"/>
      <c r="AC137" s="397"/>
      <c r="AD137" s="398"/>
      <c r="AJ137" s="46" t="s">
        <v>28</v>
      </c>
      <c r="AK137" s="48" t="str">
        <f>IF(AL137="",AM137,AL137)</f>
        <v>USD</v>
      </c>
      <c r="AL137" s="48" t="str">
        <f>UPPER(J30)</f>
        <v/>
      </c>
      <c r="AM137" s="85" t="s">
        <v>53</v>
      </c>
      <c r="AN137" s="282"/>
      <c r="AO137" s="282"/>
      <c r="AP137" s="282"/>
      <c r="AQ137" s="282"/>
      <c r="AR137" s="282"/>
      <c r="AS137" s="282"/>
      <c r="AT137" s="282"/>
      <c r="AU137" s="282"/>
      <c r="AV137" s="282"/>
      <c r="AW137" s="282"/>
      <c r="AX137" s="282"/>
      <c r="AY137" s="282"/>
      <c r="AZ137" s="282"/>
      <c r="BA137" s="282"/>
      <c r="BB137" s="282"/>
      <c r="BC137" s="282"/>
      <c r="BD137" s="282"/>
      <c r="BE137" s="282"/>
      <c r="BF137" s="282"/>
      <c r="BG137" s="282"/>
      <c r="BH137" s="282"/>
    </row>
    <row r="138" spans="1:60">
      <c r="A138" s="282"/>
      <c r="B138" s="282"/>
      <c r="C138" s="282"/>
      <c r="D138" s="282"/>
      <c r="E138" s="282"/>
      <c r="F138" s="282"/>
      <c r="G138" s="282"/>
      <c r="H138" s="282"/>
      <c r="I138" s="282"/>
      <c r="J138" s="282"/>
      <c r="K138" s="282"/>
      <c r="L138" s="384" t="e">
        <f t="shared" ca="1" si="11"/>
        <v>#VALUE!</v>
      </c>
      <c r="M138" s="183"/>
      <c r="N138" s="184"/>
      <c r="O138" s="383" t="str">
        <f t="shared" si="12"/>
        <v/>
      </c>
      <c r="P138" s="384" t="e">
        <f t="shared" ca="1" si="13"/>
        <v>#VALUE!</v>
      </c>
      <c r="Q138" s="183"/>
      <c r="R138" s="184"/>
      <c r="S138" s="383" t="str">
        <f t="shared" si="14"/>
        <v/>
      </c>
      <c r="T138" s="282"/>
      <c r="U138" s="399"/>
      <c r="V138" s="397"/>
      <c r="W138" s="476"/>
      <c r="X138" s="397"/>
      <c r="Y138" s="398"/>
      <c r="Z138" s="399"/>
      <c r="AA138" s="397"/>
      <c r="AB138" s="480"/>
      <c r="AC138" s="397"/>
      <c r="AD138" s="398"/>
      <c r="AJ138" s="46" t="s">
        <v>110</v>
      </c>
      <c r="AK138" s="48" t="str">
        <f>IF(AL138="",AM138,AL138)</f>
        <v>3M</v>
      </c>
      <c r="AL138" s="47" t="str">
        <f>IF(AK72="EOD", "3M", G12)</f>
        <v>3M</v>
      </c>
      <c r="AM138" s="85" t="s">
        <v>18</v>
      </c>
      <c r="AN138" s="282"/>
      <c r="AO138" s="282"/>
      <c r="AP138" s="282"/>
      <c r="AQ138" s="282"/>
      <c r="AR138" s="282"/>
      <c r="AS138" s="282"/>
      <c r="AT138" s="282"/>
      <c r="AU138" s="282"/>
      <c r="AV138" s="282"/>
      <c r="AW138" s="282"/>
      <c r="AX138" s="282"/>
      <c r="AY138" s="282"/>
      <c r="AZ138" s="282"/>
      <c r="BA138" s="282"/>
      <c r="BB138" s="282"/>
      <c r="BC138" s="282"/>
      <c r="BD138" s="282"/>
      <c r="BE138" s="282"/>
      <c r="BF138" s="282"/>
      <c r="BG138" s="282"/>
      <c r="BH138" s="282"/>
    </row>
    <row r="139" spans="1:60">
      <c r="A139" s="282"/>
      <c r="B139" s="282"/>
      <c r="C139" s="282"/>
      <c r="D139" s="282"/>
      <c r="E139" s="282"/>
      <c r="F139" s="282"/>
      <c r="G139" s="282"/>
      <c r="H139" s="282"/>
      <c r="I139" s="282"/>
      <c r="J139" s="282"/>
      <c r="K139" s="282"/>
      <c r="L139" s="384" t="e">
        <f t="shared" ref="L139:L202" ca="1" si="16">IF(AND(M138&lt;$D$12, M138&lt;&gt;""),M138,"")</f>
        <v>#VALUE!</v>
      </c>
      <c r="M139" s="183"/>
      <c r="N139" s="184"/>
      <c r="O139" s="383" t="str">
        <f t="shared" ref="O139:O202" si="17">IF(M139=0,"",O138+N138)</f>
        <v/>
      </c>
      <c r="P139" s="384" t="e">
        <f t="shared" ref="P139:P202" ca="1" si="18">IF(AND(Q138&lt;$D$12, Q138&lt;&gt;""),Q138,"")</f>
        <v>#VALUE!</v>
      </c>
      <c r="Q139" s="183"/>
      <c r="R139" s="184"/>
      <c r="S139" s="383" t="str">
        <f t="shared" ref="S139:S202" si="19">IF(Q139=0,"",S138+R138)</f>
        <v/>
      </c>
      <c r="T139" s="282"/>
      <c r="U139" s="399"/>
      <c r="V139" s="397"/>
      <c r="W139" s="476"/>
      <c r="X139" s="397"/>
      <c r="Y139" s="398"/>
      <c r="Z139" s="399"/>
      <c r="AA139" s="397"/>
      <c r="AB139" s="480"/>
      <c r="AC139" s="397"/>
      <c r="AD139" s="398"/>
      <c r="AJ139" s="450" t="s">
        <v>217</v>
      </c>
      <c r="AK139" s="451" t="str">
        <f>IF(ISBLANK(J42),"", J42)</f>
        <v/>
      </c>
      <c r="AL139" s="452" t="str">
        <f>IF(ISBLANK(J42),"", J42)</f>
        <v/>
      </c>
      <c r="AM139" s="452"/>
      <c r="AN139" s="282"/>
      <c r="AO139" s="282"/>
      <c r="AP139" s="282"/>
      <c r="AQ139" s="282"/>
      <c r="AR139" s="282"/>
      <c r="AS139" s="282"/>
      <c r="AT139" s="282"/>
      <c r="AU139" s="282"/>
      <c r="AV139" s="282"/>
      <c r="AW139" s="282"/>
      <c r="AX139" s="282"/>
      <c r="AY139" s="282"/>
      <c r="AZ139" s="282"/>
      <c r="BA139" s="282"/>
      <c r="BB139" s="282"/>
      <c r="BC139" s="282"/>
      <c r="BD139" s="282"/>
      <c r="BE139" s="282"/>
      <c r="BF139" s="282"/>
      <c r="BG139" s="282"/>
      <c r="BH139" s="282"/>
    </row>
    <row r="140" spans="1:60">
      <c r="A140" s="282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384" t="e">
        <f t="shared" ca="1" si="16"/>
        <v>#VALUE!</v>
      </c>
      <c r="M140" s="183"/>
      <c r="N140" s="184"/>
      <c r="O140" s="383" t="str">
        <f t="shared" si="17"/>
        <v/>
      </c>
      <c r="P140" s="384" t="e">
        <f t="shared" ca="1" si="18"/>
        <v>#VALUE!</v>
      </c>
      <c r="Q140" s="183"/>
      <c r="R140" s="184"/>
      <c r="S140" s="383" t="str">
        <f t="shared" si="19"/>
        <v/>
      </c>
      <c r="T140" s="282"/>
      <c r="U140" s="399"/>
      <c r="V140" s="397"/>
      <c r="W140" s="476"/>
      <c r="X140" s="397"/>
      <c r="Y140" s="398"/>
      <c r="Z140" s="399"/>
      <c r="AA140" s="397"/>
      <c r="AB140" s="480"/>
      <c r="AC140" s="397"/>
      <c r="AD140" s="398"/>
      <c r="AN140" s="282"/>
      <c r="AO140" s="282"/>
      <c r="AP140" s="282"/>
      <c r="AQ140" s="282"/>
      <c r="AR140" s="282"/>
      <c r="AS140" s="282"/>
      <c r="AT140" s="282"/>
      <c r="AU140" s="282"/>
      <c r="AV140" s="282"/>
      <c r="AW140" s="282"/>
      <c r="AX140" s="282"/>
      <c r="AY140" s="282"/>
      <c r="AZ140" s="282"/>
      <c r="BA140" s="282"/>
      <c r="BB140" s="282"/>
      <c r="BC140" s="282"/>
      <c r="BD140" s="282"/>
      <c r="BE140" s="282"/>
      <c r="BF140" s="282"/>
      <c r="BG140" s="282"/>
      <c r="BH140" s="282"/>
    </row>
    <row r="141" spans="1:60">
      <c r="A141" s="282"/>
      <c r="B141" s="282"/>
      <c r="C141" s="282"/>
      <c r="D141" s="282"/>
      <c r="E141" s="282"/>
      <c r="F141" s="282"/>
      <c r="G141" s="282"/>
      <c r="H141" s="282"/>
      <c r="I141" s="282"/>
      <c r="J141" s="282"/>
      <c r="K141" s="282"/>
      <c r="L141" s="384" t="e">
        <f t="shared" ca="1" si="16"/>
        <v>#VALUE!</v>
      </c>
      <c r="M141" s="183"/>
      <c r="N141" s="184"/>
      <c r="O141" s="383" t="str">
        <f t="shared" si="17"/>
        <v/>
      </c>
      <c r="P141" s="384" t="e">
        <f t="shared" ca="1" si="18"/>
        <v>#VALUE!</v>
      </c>
      <c r="Q141" s="183"/>
      <c r="R141" s="184"/>
      <c r="S141" s="383" t="str">
        <f t="shared" si="19"/>
        <v/>
      </c>
      <c r="T141" s="282"/>
      <c r="U141" s="399"/>
      <c r="V141" s="397"/>
      <c r="W141" s="476"/>
      <c r="X141" s="397"/>
      <c r="Y141" s="398"/>
      <c r="Z141" s="399"/>
      <c r="AA141" s="397"/>
      <c r="AB141" s="480"/>
      <c r="AC141" s="397"/>
      <c r="AD141" s="398"/>
      <c r="AN141" s="282"/>
      <c r="AO141" s="282"/>
      <c r="AP141" s="282"/>
      <c r="AQ141" s="282"/>
      <c r="AR141" s="282"/>
      <c r="AS141" s="282"/>
      <c r="AT141" s="282"/>
      <c r="AU141" s="282"/>
      <c r="AV141" s="282"/>
      <c r="AW141" s="282"/>
      <c r="AX141" s="282"/>
      <c r="AY141" s="282"/>
      <c r="AZ141" s="282"/>
      <c r="BA141" s="282"/>
      <c r="BB141" s="282"/>
      <c r="BC141" s="282"/>
      <c r="BD141" s="282"/>
      <c r="BE141" s="282"/>
      <c r="BF141" s="282"/>
      <c r="BG141" s="282"/>
      <c r="BH141" s="282"/>
    </row>
    <row r="142" spans="1:60">
      <c r="A142" s="282"/>
      <c r="B142" s="282"/>
      <c r="C142" s="282"/>
      <c r="D142" s="282"/>
      <c r="E142" s="282"/>
      <c r="F142" s="282"/>
      <c r="G142" s="282"/>
      <c r="H142" s="282"/>
      <c r="I142" s="282"/>
      <c r="J142" s="282"/>
      <c r="K142" s="282"/>
      <c r="L142" s="384" t="e">
        <f t="shared" ca="1" si="16"/>
        <v>#VALUE!</v>
      </c>
      <c r="M142" s="183"/>
      <c r="N142" s="184"/>
      <c r="O142" s="383" t="str">
        <f t="shared" si="17"/>
        <v/>
      </c>
      <c r="P142" s="384" t="e">
        <f t="shared" ca="1" si="18"/>
        <v>#VALUE!</v>
      </c>
      <c r="Q142" s="183"/>
      <c r="R142" s="184"/>
      <c r="S142" s="383" t="str">
        <f t="shared" si="19"/>
        <v/>
      </c>
      <c r="T142" s="282"/>
      <c r="U142" s="399"/>
      <c r="V142" s="397"/>
      <c r="W142" s="476"/>
      <c r="X142" s="397"/>
      <c r="Y142" s="398"/>
      <c r="Z142" s="399"/>
      <c r="AA142" s="397"/>
      <c r="AB142" s="480"/>
      <c r="AC142" s="397"/>
      <c r="AD142" s="398"/>
      <c r="AN142" s="282"/>
      <c r="AO142" s="282"/>
      <c r="AP142" s="282"/>
      <c r="AQ142" s="282"/>
      <c r="AR142" s="282"/>
      <c r="AS142" s="282"/>
      <c r="AT142" s="282"/>
      <c r="AU142" s="282"/>
      <c r="AV142" s="282"/>
      <c r="AW142" s="282"/>
      <c r="AX142" s="282"/>
      <c r="AY142" s="282"/>
      <c r="AZ142" s="282"/>
      <c r="BA142" s="282"/>
      <c r="BB142" s="282"/>
      <c r="BC142" s="282"/>
      <c r="BD142" s="282"/>
      <c r="BE142" s="282"/>
      <c r="BF142" s="282"/>
      <c r="BG142" s="282"/>
      <c r="BH142" s="282"/>
    </row>
    <row r="143" spans="1:60">
      <c r="A143" s="282"/>
      <c r="B143" s="282"/>
      <c r="C143" s="282"/>
      <c r="D143" s="282"/>
      <c r="E143" s="282"/>
      <c r="F143" s="282"/>
      <c r="G143" s="282"/>
      <c r="H143" s="282"/>
      <c r="I143" s="282"/>
      <c r="J143" s="282"/>
      <c r="K143" s="282"/>
      <c r="L143" s="384" t="e">
        <f t="shared" ca="1" si="16"/>
        <v>#VALUE!</v>
      </c>
      <c r="M143" s="183"/>
      <c r="N143" s="184"/>
      <c r="O143" s="383" t="str">
        <f t="shared" si="17"/>
        <v/>
      </c>
      <c r="P143" s="384" t="e">
        <f t="shared" ca="1" si="18"/>
        <v>#VALUE!</v>
      </c>
      <c r="Q143" s="183"/>
      <c r="R143" s="184"/>
      <c r="S143" s="383" t="str">
        <f t="shared" si="19"/>
        <v/>
      </c>
      <c r="T143" s="282"/>
      <c r="U143" s="399"/>
      <c r="V143" s="397"/>
      <c r="W143" s="476"/>
      <c r="X143" s="397"/>
      <c r="Y143" s="398"/>
      <c r="Z143" s="399"/>
      <c r="AA143" s="397"/>
      <c r="AB143" s="480"/>
      <c r="AC143" s="397"/>
      <c r="AD143" s="398"/>
      <c r="AN143" s="282"/>
      <c r="AO143" s="282"/>
      <c r="AP143" s="282"/>
      <c r="AQ143" s="282"/>
      <c r="AR143" s="282"/>
      <c r="AS143" s="282"/>
      <c r="AT143" s="282"/>
      <c r="AU143" s="282"/>
      <c r="AV143" s="282"/>
      <c r="AW143" s="282"/>
      <c r="AX143" s="282"/>
      <c r="AY143" s="282"/>
      <c r="AZ143" s="282"/>
      <c r="BA143" s="282"/>
      <c r="BB143" s="282"/>
      <c r="BC143" s="282"/>
      <c r="BD143" s="282"/>
      <c r="BE143" s="282"/>
      <c r="BF143" s="282"/>
      <c r="BG143" s="282"/>
      <c r="BH143" s="282"/>
    </row>
    <row r="144" spans="1:60">
      <c r="A144" s="282"/>
      <c r="B144" s="282"/>
      <c r="C144" s="282"/>
      <c r="D144" s="282"/>
      <c r="E144" s="282"/>
      <c r="F144" s="282"/>
      <c r="G144" s="282"/>
      <c r="H144" s="282"/>
      <c r="I144" s="282"/>
      <c r="J144" s="282"/>
      <c r="K144" s="282"/>
      <c r="L144" s="384" t="e">
        <f t="shared" ca="1" si="16"/>
        <v>#VALUE!</v>
      </c>
      <c r="M144" s="183"/>
      <c r="N144" s="184"/>
      <c r="O144" s="383" t="str">
        <f t="shared" si="17"/>
        <v/>
      </c>
      <c r="P144" s="384" t="e">
        <f t="shared" ca="1" si="18"/>
        <v>#VALUE!</v>
      </c>
      <c r="Q144" s="183"/>
      <c r="R144" s="184"/>
      <c r="S144" s="383" t="str">
        <f t="shared" si="19"/>
        <v/>
      </c>
      <c r="T144" s="282"/>
      <c r="U144" s="399"/>
      <c r="V144" s="397"/>
      <c r="W144" s="476"/>
      <c r="X144" s="397"/>
      <c r="Y144" s="398"/>
      <c r="Z144" s="399"/>
      <c r="AA144" s="397"/>
      <c r="AB144" s="480"/>
      <c r="AC144" s="397"/>
      <c r="AD144" s="398"/>
      <c r="AN144" s="282"/>
      <c r="AO144" s="282"/>
      <c r="AP144" s="282"/>
      <c r="AQ144" s="282"/>
      <c r="AR144" s="282"/>
      <c r="AS144" s="282"/>
      <c r="AT144" s="282"/>
      <c r="AU144" s="282"/>
      <c r="AV144" s="282"/>
      <c r="AW144" s="282"/>
      <c r="AX144" s="282"/>
      <c r="AY144" s="282"/>
      <c r="AZ144" s="282"/>
      <c r="BA144" s="282"/>
      <c r="BB144" s="282"/>
      <c r="BC144" s="282"/>
      <c r="BD144" s="282"/>
      <c r="BE144" s="282"/>
      <c r="BF144" s="282"/>
      <c r="BG144" s="282"/>
      <c r="BH144" s="282"/>
    </row>
    <row r="145" spans="1:60">
      <c r="A145" s="282"/>
      <c r="B145" s="282"/>
      <c r="C145" s="282"/>
      <c r="D145" s="282"/>
      <c r="E145" s="282"/>
      <c r="F145" s="282"/>
      <c r="G145" s="282"/>
      <c r="H145" s="282"/>
      <c r="I145" s="282"/>
      <c r="J145" s="282"/>
      <c r="K145" s="282"/>
      <c r="L145" s="384" t="e">
        <f t="shared" ca="1" si="16"/>
        <v>#VALUE!</v>
      </c>
      <c r="M145" s="183"/>
      <c r="N145" s="184"/>
      <c r="O145" s="383" t="str">
        <f t="shared" si="17"/>
        <v/>
      </c>
      <c r="P145" s="384" t="e">
        <f t="shared" ca="1" si="18"/>
        <v>#VALUE!</v>
      </c>
      <c r="Q145" s="183"/>
      <c r="R145" s="184"/>
      <c r="S145" s="383" t="str">
        <f t="shared" si="19"/>
        <v/>
      </c>
      <c r="T145" s="282"/>
      <c r="U145" s="399"/>
      <c r="V145" s="397"/>
      <c r="W145" s="476"/>
      <c r="X145" s="397"/>
      <c r="Y145" s="398"/>
      <c r="Z145" s="399"/>
      <c r="AA145" s="397"/>
      <c r="AB145" s="480"/>
      <c r="AC145" s="397"/>
      <c r="AD145" s="398"/>
      <c r="AN145" s="282"/>
      <c r="AO145" s="282"/>
      <c r="AP145" s="282"/>
      <c r="AQ145" s="282"/>
      <c r="AR145" s="282"/>
      <c r="AS145" s="282"/>
      <c r="AT145" s="282"/>
      <c r="AU145" s="282"/>
      <c r="AV145" s="282"/>
      <c r="AW145" s="282"/>
      <c r="AX145" s="282"/>
      <c r="AY145" s="282"/>
      <c r="AZ145" s="282"/>
      <c r="BA145" s="282"/>
      <c r="BB145" s="282"/>
      <c r="BC145" s="282"/>
      <c r="BD145" s="282"/>
      <c r="BE145" s="282"/>
      <c r="BF145" s="282"/>
      <c r="BG145" s="282"/>
      <c r="BH145" s="282"/>
    </row>
    <row r="146" spans="1:60">
      <c r="A146" s="282"/>
      <c r="B146" s="282"/>
      <c r="C146" s="282"/>
      <c r="D146" s="282"/>
      <c r="E146" s="282"/>
      <c r="F146" s="282"/>
      <c r="G146" s="282"/>
      <c r="H146" s="282"/>
      <c r="I146" s="282"/>
      <c r="J146" s="282"/>
      <c r="K146" s="282"/>
      <c r="L146" s="384" t="e">
        <f t="shared" ca="1" si="16"/>
        <v>#VALUE!</v>
      </c>
      <c r="M146" s="183"/>
      <c r="N146" s="184"/>
      <c r="O146" s="383" t="str">
        <f t="shared" si="17"/>
        <v/>
      </c>
      <c r="P146" s="384" t="e">
        <f t="shared" ca="1" si="18"/>
        <v>#VALUE!</v>
      </c>
      <c r="Q146" s="183"/>
      <c r="R146" s="184"/>
      <c r="S146" s="383" t="str">
        <f t="shared" si="19"/>
        <v/>
      </c>
      <c r="T146" s="282"/>
      <c r="U146" s="399"/>
      <c r="V146" s="397"/>
      <c r="W146" s="476"/>
      <c r="X146" s="397"/>
      <c r="Y146" s="398"/>
      <c r="Z146" s="399"/>
      <c r="AA146" s="397"/>
      <c r="AB146" s="480"/>
      <c r="AC146" s="397"/>
      <c r="AD146" s="398"/>
      <c r="AN146" s="282"/>
      <c r="AO146" s="282"/>
      <c r="AP146" s="282"/>
      <c r="AQ146" s="282"/>
      <c r="AR146" s="282"/>
      <c r="AS146" s="282"/>
      <c r="AT146" s="282"/>
      <c r="AU146" s="282"/>
      <c r="AV146" s="282"/>
      <c r="AW146" s="282"/>
      <c r="AX146" s="282"/>
      <c r="AY146" s="282"/>
      <c r="AZ146" s="282"/>
      <c r="BA146" s="282"/>
      <c r="BB146" s="282"/>
      <c r="BC146" s="282"/>
      <c r="BD146" s="282"/>
      <c r="BE146" s="282"/>
      <c r="BF146" s="282"/>
      <c r="BG146" s="282"/>
      <c r="BH146" s="282"/>
    </row>
    <row r="147" spans="1:60">
      <c r="A147" s="282"/>
      <c r="B147" s="282"/>
      <c r="C147" s="282"/>
      <c r="D147" s="282"/>
      <c r="E147" s="282"/>
      <c r="F147" s="282"/>
      <c r="G147" s="282"/>
      <c r="H147" s="282"/>
      <c r="I147" s="282"/>
      <c r="J147" s="282"/>
      <c r="K147" s="282"/>
      <c r="L147" s="384" t="e">
        <f t="shared" ca="1" si="16"/>
        <v>#VALUE!</v>
      </c>
      <c r="M147" s="183"/>
      <c r="N147" s="184"/>
      <c r="O147" s="383" t="str">
        <f t="shared" si="17"/>
        <v/>
      </c>
      <c r="P147" s="384" t="e">
        <f t="shared" ca="1" si="18"/>
        <v>#VALUE!</v>
      </c>
      <c r="Q147" s="183"/>
      <c r="R147" s="184"/>
      <c r="S147" s="383" t="str">
        <f t="shared" si="19"/>
        <v/>
      </c>
      <c r="T147" s="282"/>
      <c r="U147" s="399"/>
      <c r="V147" s="397"/>
      <c r="W147" s="476"/>
      <c r="X147" s="397"/>
      <c r="Y147" s="398"/>
      <c r="Z147" s="399"/>
      <c r="AA147" s="397"/>
      <c r="AB147" s="480"/>
      <c r="AC147" s="397"/>
      <c r="AD147" s="398"/>
      <c r="AN147" s="282"/>
      <c r="AO147" s="282"/>
      <c r="AP147" s="282"/>
      <c r="AQ147" s="282"/>
      <c r="AR147" s="282"/>
      <c r="AS147" s="282"/>
      <c r="AT147" s="282"/>
      <c r="AU147" s="282"/>
      <c r="AV147" s="282"/>
      <c r="AW147" s="282"/>
      <c r="AX147" s="282"/>
      <c r="AY147" s="282"/>
      <c r="AZ147" s="282"/>
      <c r="BA147" s="282"/>
      <c r="BB147" s="282"/>
      <c r="BC147" s="282"/>
      <c r="BD147" s="282"/>
      <c r="BE147" s="282"/>
      <c r="BF147" s="282"/>
      <c r="BG147" s="282"/>
      <c r="BH147" s="282"/>
    </row>
    <row r="148" spans="1:60">
      <c r="A148" s="282"/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384" t="e">
        <f t="shared" ca="1" si="16"/>
        <v>#VALUE!</v>
      </c>
      <c r="M148" s="183"/>
      <c r="N148" s="184"/>
      <c r="O148" s="383" t="str">
        <f t="shared" si="17"/>
        <v/>
      </c>
      <c r="P148" s="384" t="e">
        <f t="shared" ca="1" si="18"/>
        <v>#VALUE!</v>
      </c>
      <c r="Q148" s="183"/>
      <c r="R148" s="184"/>
      <c r="S148" s="383" t="str">
        <f t="shared" si="19"/>
        <v/>
      </c>
      <c r="T148" s="282"/>
      <c r="U148" s="399"/>
      <c r="V148" s="397"/>
      <c r="W148" s="476"/>
      <c r="X148" s="397"/>
      <c r="Y148" s="398"/>
      <c r="Z148" s="399"/>
      <c r="AA148" s="397"/>
      <c r="AB148" s="480"/>
      <c r="AC148" s="397"/>
      <c r="AD148" s="398"/>
      <c r="AN148" s="282"/>
      <c r="AO148" s="282"/>
      <c r="AP148" s="282"/>
      <c r="AQ148" s="282"/>
      <c r="AR148" s="282"/>
      <c r="AS148" s="282"/>
      <c r="AT148" s="282"/>
      <c r="AU148" s="282"/>
      <c r="AV148" s="282"/>
      <c r="AW148" s="282"/>
      <c r="AX148" s="282"/>
      <c r="AY148" s="282"/>
      <c r="AZ148" s="282"/>
      <c r="BA148" s="282"/>
      <c r="BB148" s="282"/>
      <c r="BC148" s="282"/>
      <c r="BD148" s="282"/>
      <c r="BE148" s="282"/>
      <c r="BF148" s="282"/>
      <c r="BG148" s="282"/>
      <c r="BH148" s="282"/>
    </row>
    <row r="149" spans="1:60">
      <c r="A149" s="282"/>
      <c r="B149" s="282"/>
      <c r="C149" s="282"/>
      <c r="D149" s="282"/>
      <c r="E149" s="282"/>
      <c r="F149" s="282"/>
      <c r="G149" s="282"/>
      <c r="H149" s="282"/>
      <c r="I149" s="282"/>
      <c r="J149" s="282"/>
      <c r="K149" s="282"/>
      <c r="L149" s="384" t="e">
        <f t="shared" ca="1" si="16"/>
        <v>#VALUE!</v>
      </c>
      <c r="M149" s="183"/>
      <c r="N149" s="184"/>
      <c r="O149" s="383" t="str">
        <f t="shared" si="17"/>
        <v/>
      </c>
      <c r="P149" s="384" t="e">
        <f t="shared" ca="1" si="18"/>
        <v>#VALUE!</v>
      </c>
      <c r="Q149" s="183"/>
      <c r="R149" s="184"/>
      <c r="S149" s="383" t="str">
        <f t="shared" si="19"/>
        <v/>
      </c>
      <c r="T149" s="282"/>
      <c r="U149" s="399"/>
      <c r="V149" s="397"/>
      <c r="W149" s="476"/>
      <c r="X149" s="397"/>
      <c r="Y149" s="398"/>
      <c r="Z149" s="399"/>
      <c r="AA149" s="397"/>
      <c r="AB149" s="480"/>
      <c r="AC149" s="397"/>
      <c r="AD149" s="398"/>
      <c r="AN149" s="282"/>
      <c r="AO149" s="282"/>
      <c r="AP149" s="282"/>
      <c r="AQ149" s="282"/>
      <c r="AR149" s="282"/>
      <c r="AS149" s="282"/>
      <c r="AT149" s="282"/>
      <c r="AU149" s="282"/>
      <c r="AV149" s="282"/>
      <c r="AW149" s="282"/>
      <c r="AX149" s="282"/>
      <c r="AY149" s="282"/>
      <c r="AZ149" s="282"/>
      <c r="BA149" s="282"/>
      <c r="BB149" s="282"/>
      <c r="BC149" s="282"/>
      <c r="BD149" s="282"/>
      <c r="BE149" s="282"/>
      <c r="BF149" s="282"/>
      <c r="BG149" s="282"/>
      <c r="BH149" s="282"/>
    </row>
    <row r="150" spans="1:60">
      <c r="A150" s="282"/>
      <c r="B150" s="282"/>
      <c r="C150" s="282"/>
      <c r="D150" s="282"/>
      <c r="E150" s="282"/>
      <c r="F150" s="282"/>
      <c r="G150" s="282"/>
      <c r="H150" s="282"/>
      <c r="I150" s="282"/>
      <c r="J150" s="282"/>
      <c r="K150" s="282"/>
      <c r="L150" s="384" t="e">
        <f t="shared" ca="1" si="16"/>
        <v>#VALUE!</v>
      </c>
      <c r="M150" s="183"/>
      <c r="N150" s="184"/>
      <c r="O150" s="383" t="str">
        <f t="shared" si="17"/>
        <v/>
      </c>
      <c r="P150" s="384" t="e">
        <f t="shared" ca="1" si="18"/>
        <v>#VALUE!</v>
      </c>
      <c r="Q150" s="183"/>
      <c r="R150" s="184"/>
      <c r="S150" s="383" t="str">
        <f t="shared" si="19"/>
        <v/>
      </c>
      <c r="T150" s="282"/>
      <c r="U150" s="399"/>
      <c r="V150" s="397"/>
      <c r="W150" s="476"/>
      <c r="X150" s="397"/>
      <c r="Y150" s="398"/>
      <c r="Z150" s="399"/>
      <c r="AA150" s="397"/>
      <c r="AB150" s="480"/>
      <c r="AC150" s="397"/>
      <c r="AD150" s="398"/>
      <c r="AN150" s="282"/>
      <c r="AO150" s="282"/>
      <c r="AP150" s="282"/>
      <c r="AQ150" s="282"/>
      <c r="AR150" s="282"/>
      <c r="AS150" s="282"/>
      <c r="AT150" s="282"/>
      <c r="AU150" s="282"/>
      <c r="AV150" s="282"/>
      <c r="AW150" s="282"/>
      <c r="AX150" s="282"/>
      <c r="AY150" s="282"/>
      <c r="AZ150" s="282"/>
      <c r="BA150" s="282"/>
      <c r="BB150" s="282"/>
      <c r="BC150" s="282"/>
      <c r="BD150" s="282"/>
      <c r="BE150" s="282"/>
      <c r="BF150" s="282"/>
      <c r="BG150" s="282"/>
      <c r="BH150" s="282"/>
    </row>
    <row r="151" spans="1:60">
      <c r="A151" s="282"/>
      <c r="B151" s="282"/>
      <c r="C151" s="282"/>
      <c r="D151" s="282"/>
      <c r="E151" s="282"/>
      <c r="F151" s="282"/>
      <c r="G151" s="282"/>
      <c r="H151" s="282"/>
      <c r="I151" s="282"/>
      <c r="J151" s="282"/>
      <c r="K151" s="282"/>
      <c r="L151" s="384" t="e">
        <f t="shared" ca="1" si="16"/>
        <v>#VALUE!</v>
      </c>
      <c r="M151" s="183"/>
      <c r="N151" s="184"/>
      <c r="O151" s="383" t="str">
        <f t="shared" si="17"/>
        <v/>
      </c>
      <c r="P151" s="384" t="e">
        <f t="shared" ca="1" si="18"/>
        <v>#VALUE!</v>
      </c>
      <c r="Q151" s="183"/>
      <c r="R151" s="184"/>
      <c r="S151" s="383" t="str">
        <f t="shared" si="19"/>
        <v/>
      </c>
      <c r="T151" s="282"/>
      <c r="U151" s="399"/>
      <c r="V151" s="397"/>
      <c r="W151" s="476"/>
      <c r="X151" s="397"/>
      <c r="Y151" s="398"/>
      <c r="Z151" s="399"/>
      <c r="AA151" s="397"/>
      <c r="AB151" s="480"/>
      <c r="AC151" s="397"/>
      <c r="AD151" s="398"/>
      <c r="AN151" s="282"/>
      <c r="AO151" s="282"/>
      <c r="AP151" s="282"/>
      <c r="AQ151" s="282"/>
      <c r="AR151" s="282"/>
      <c r="AS151" s="282"/>
      <c r="AT151" s="282"/>
      <c r="AU151" s="282"/>
      <c r="AV151" s="282"/>
      <c r="AW151" s="282"/>
      <c r="AX151" s="282"/>
      <c r="AY151" s="282"/>
      <c r="AZ151" s="282"/>
      <c r="BA151" s="282"/>
      <c r="BB151" s="282"/>
      <c r="BC151" s="282"/>
      <c r="BD151" s="282"/>
      <c r="BE151" s="282"/>
      <c r="BF151" s="282"/>
      <c r="BG151" s="282"/>
      <c r="BH151" s="282"/>
    </row>
    <row r="152" spans="1:60">
      <c r="A152" s="282"/>
      <c r="B152" s="282"/>
      <c r="C152" s="282"/>
      <c r="D152" s="282"/>
      <c r="E152" s="282"/>
      <c r="F152" s="282"/>
      <c r="G152" s="282"/>
      <c r="H152" s="282"/>
      <c r="I152" s="282"/>
      <c r="J152" s="282"/>
      <c r="K152" s="282"/>
      <c r="L152" s="384" t="e">
        <f t="shared" ca="1" si="16"/>
        <v>#VALUE!</v>
      </c>
      <c r="M152" s="183"/>
      <c r="N152" s="184"/>
      <c r="O152" s="383" t="str">
        <f t="shared" si="17"/>
        <v/>
      </c>
      <c r="P152" s="384" t="e">
        <f t="shared" ca="1" si="18"/>
        <v>#VALUE!</v>
      </c>
      <c r="Q152" s="183"/>
      <c r="R152" s="184"/>
      <c r="S152" s="383" t="str">
        <f t="shared" si="19"/>
        <v/>
      </c>
      <c r="T152" s="282"/>
      <c r="U152" s="399"/>
      <c r="V152" s="397"/>
      <c r="W152" s="476"/>
      <c r="X152" s="397"/>
      <c r="Y152" s="398"/>
      <c r="Z152" s="399"/>
      <c r="AA152" s="397"/>
      <c r="AB152" s="480"/>
      <c r="AC152" s="397"/>
      <c r="AD152" s="398"/>
      <c r="AN152" s="282"/>
      <c r="AO152" s="282"/>
      <c r="AP152" s="282"/>
      <c r="AQ152" s="282"/>
      <c r="AR152" s="282"/>
      <c r="AS152" s="282"/>
      <c r="AT152" s="282"/>
      <c r="AU152" s="282"/>
      <c r="AV152" s="282"/>
      <c r="AW152" s="282"/>
      <c r="AX152" s="282"/>
      <c r="AY152" s="282"/>
      <c r="AZ152" s="282"/>
      <c r="BA152" s="282"/>
      <c r="BB152" s="282"/>
      <c r="BC152" s="282"/>
      <c r="BD152" s="282"/>
      <c r="BE152" s="282"/>
      <c r="BF152" s="282"/>
      <c r="BG152" s="282"/>
      <c r="BH152" s="282"/>
    </row>
    <row r="153" spans="1:60">
      <c r="A153" s="282"/>
      <c r="B153" s="282"/>
      <c r="C153" s="282"/>
      <c r="D153" s="282"/>
      <c r="E153" s="282"/>
      <c r="F153" s="282"/>
      <c r="G153" s="282"/>
      <c r="H153" s="282"/>
      <c r="I153" s="282"/>
      <c r="J153" s="282"/>
      <c r="K153" s="282"/>
      <c r="L153" s="384" t="e">
        <f t="shared" ca="1" si="16"/>
        <v>#VALUE!</v>
      </c>
      <c r="M153" s="183"/>
      <c r="N153" s="184"/>
      <c r="O153" s="383" t="str">
        <f t="shared" si="17"/>
        <v/>
      </c>
      <c r="P153" s="384" t="e">
        <f t="shared" ca="1" si="18"/>
        <v>#VALUE!</v>
      </c>
      <c r="Q153" s="183"/>
      <c r="R153" s="184"/>
      <c r="S153" s="383" t="str">
        <f t="shared" si="19"/>
        <v/>
      </c>
      <c r="T153" s="282"/>
      <c r="U153" s="399"/>
      <c r="V153" s="397"/>
      <c r="W153" s="476"/>
      <c r="X153" s="397"/>
      <c r="Y153" s="398"/>
      <c r="Z153" s="399"/>
      <c r="AA153" s="397"/>
      <c r="AB153" s="480"/>
      <c r="AC153" s="397"/>
      <c r="AD153" s="398"/>
      <c r="AN153" s="282"/>
      <c r="AO153" s="282"/>
      <c r="AP153" s="282"/>
      <c r="AQ153" s="282"/>
      <c r="AR153" s="282"/>
      <c r="AS153" s="282"/>
      <c r="AT153" s="282"/>
      <c r="AU153" s="282"/>
      <c r="AV153" s="282"/>
      <c r="AW153" s="282"/>
      <c r="AX153" s="282"/>
      <c r="AY153" s="282"/>
      <c r="AZ153" s="282"/>
      <c r="BA153" s="282"/>
      <c r="BB153" s="282"/>
      <c r="BC153" s="282"/>
      <c r="BD153" s="282"/>
      <c r="BE153" s="282"/>
      <c r="BF153" s="282"/>
      <c r="BG153" s="282"/>
      <c r="BH153" s="282"/>
    </row>
    <row r="154" spans="1:60">
      <c r="A154" s="282"/>
      <c r="B154" s="282"/>
      <c r="C154" s="282"/>
      <c r="D154" s="282"/>
      <c r="E154" s="282"/>
      <c r="F154" s="282"/>
      <c r="G154" s="282"/>
      <c r="H154" s="282"/>
      <c r="I154" s="282"/>
      <c r="J154" s="282"/>
      <c r="K154" s="282"/>
      <c r="L154" s="384" t="e">
        <f t="shared" ca="1" si="16"/>
        <v>#VALUE!</v>
      </c>
      <c r="M154" s="183"/>
      <c r="N154" s="184"/>
      <c r="O154" s="383" t="str">
        <f t="shared" si="17"/>
        <v/>
      </c>
      <c r="P154" s="384" t="e">
        <f t="shared" ca="1" si="18"/>
        <v>#VALUE!</v>
      </c>
      <c r="Q154" s="183"/>
      <c r="R154" s="184"/>
      <c r="S154" s="383" t="str">
        <f t="shared" si="19"/>
        <v/>
      </c>
      <c r="T154" s="282"/>
      <c r="U154" s="399"/>
      <c r="V154" s="397"/>
      <c r="W154" s="476"/>
      <c r="X154" s="397"/>
      <c r="Y154" s="398"/>
      <c r="Z154" s="399"/>
      <c r="AA154" s="397"/>
      <c r="AB154" s="480"/>
      <c r="AC154" s="397"/>
      <c r="AD154" s="398"/>
      <c r="AN154" s="282"/>
      <c r="AO154" s="282"/>
      <c r="AP154" s="282"/>
      <c r="AQ154" s="282"/>
      <c r="AR154" s="282"/>
      <c r="AS154" s="282"/>
      <c r="AT154" s="282"/>
      <c r="AU154" s="282"/>
      <c r="AV154" s="282"/>
      <c r="AW154" s="282"/>
      <c r="AX154" s="282"/>
      <c r="AY154" s="282"/>
      <c r="AZ154" s="282"/>
      <c r="BA154" s="282"/>
      <c r="BB154" s="282"/>
      <c r="BC154" s="282"/>
      <c r="BD154" s="282"/>
      <c r="BE154" s="282"/>
      <c r="BF154" s="282"/>
      <c r="BG154" s="282"/>
      <c r="BH154" s="282"/>
    </row>
    <row r="155" spans="1:60">
      <c r="A155" s="282"/>
      <c r="B155" s="282"/>
      <c r="C155" s="282"/>
      <c r="D155" s="282"/>
      <c r="E155" s="282"/>
      <c r="F155" s="282"/>
      <c r="G155" s="282"/>
      <c r="H155" s="282"/>
      <c r="I155" s="282"/>
      <c r="J155" s="282"/>
      <c r="K155" s="282"/>
      <c r="L155" s="384" t="e">
        <f t="shared" ca="1" si="16"/>
        <v>#VALUE!</v>
      </c>
      <c r="M155" s="183"/>
      <c r="N155" s="184"/>
      <c r="O155" s="383" t="str">
        <f t="shared" si="17"/>
        <v/>
      </c>
      <c r="P155" s="384" t="e">
        <f t="shared" ca="1" si="18"/>
        <v>#VALUE!</v>
      </c>
      <c r="Q155" s="183"/>
      <c r="R155" s="184"/>
      <c r="S155" s="383" t="str">
        <f t="shared" si="19"/>
        <v/>
      </c>
      <c r="T155" s="282"/>
      <c r="U155" s="399"/>
      <c r="V155" s="397"/>
      <c r="W155" s="476"/>
      <c r="X155" s="397"/>
      <c r="Y155" s="398"/>
      <c r="Z155" s="399"/>
      <c r="AA155" s="397"/>
      <c r="AB155" s="480"/>
      <c r="AC155" s="397"/>
      <c r="AD155" s="398"/>
      <c r="AN155" s="282"/>
      <c r="AO155" s="282"/>
      <c r="AP155" s="282"/>
      <c r="AQ155" s="282"/>
      <c r="AR155" s="282"/>
      <c r="AS155" s="282"/>
      <c r="AT155" s="282"/>
      <c r="AU155" s="282"/>
      <c r="AV155" s="282"/>
      <c r="AW155" s="282"/>
      <c r="AX155" s="282"/>
      <c r="AY155" s="282"/>
      <c r="AZ155" s="282"/>
      <c r="BA155" s="282"/>
      <c r="BB155" s="282"/>
      <c r="BC155" s="282"/>
      <c r="BD155" s="282"/>
      <c r="BE155" s="282"/>
      <c r="BF155" s="282"/>
      <c r="BG155" s="282"/>
      <c r="BH155" s="282"/>
    </row>
    <row r="156" spans="1:60">
      <c r="A156" s="282"/>
      <c r="B156" s="282"/>
      <c r="C156" s="282"/>
      <c r="D156" s="282"/>
      <c r="E156" s="282"/>
      <c r="F156" s="282"/>
      <c r="G156" s="282"/>
      <c r="H156" s="282"/>
      <c r="I156" s="282"/>
      <c r="J156" s="282"/>
      <c r="K156" s="282"/>
      <c r="L156" s="384" t="e">
        <f t="shared" ca="1" si="16"/>
        <v>#VALUE!</v>
      </c>
      <c r="M156" s="183"/>
      <c r="N156" s="184"/>
      <c r="O156" s="383" t="str">
        <f t="shared" si="17"/>
        <v/>
      </c>
      <c r="P156" s="384" t="e">
        <f t="shared" ca="1" si="18"/>
        <v>#VALUE!</v>
      </c>
      <c r="Q156" s="183"/>
      <c r="R156" s="184"/>
      <c r="S156" s="383" t="str">
        <f t="shared" si="19"/>
        <v/>
      </c>
      <c r="T156" s="282"/>
      <c r="U156" s="399"/>
      <c r="V156" s="397"/>
      <c r="W156" s="476"/>
      <c r="X156" s="397"/>
      <c r="Y156" s="398"/>
      <c r="Z156" s="399"/>
      <c r="AA156" s="397"/>
      <c r="AB156" s="480"/>
      <c r="AC156" s="397"/>
      <c r="AD156" s="398"/>
      <c r="AN156" s="282"/>
      <c r="AO156" s="282"/>
      <c r="AP156" s="282"/>
      <c r="AQ156" s="282"/>
      <c r="AR156" s="282"/>
      <c r="AS156" s="282"/>
      <c r="AT156" s="282"/>
      <c r="AU156" s="282"/>
      <c r="AV156" s="282"/>
      <c r="AW156" s="282"/>
      <c r="AX156" s="282"/>
      <c r="AY156" s="282"/>
      <c r="AZ156" s="282"/>
      <c r="BA156" s="282"/>
      <c r="BB156" s="282"/>
      <c r="BC156" s="282"/>
      <c r="BD156" s="282"/>
      <c r="BE156" s="282"/>
      <c r="BF156" s="282"/>
      <c r="BG156" s="282"/>
      <c r="BH156" s="282"/>
    </row>
    <row r="157" spans="1:60">
      <c r="A157" s="282"/>
      <c r="B157" s="282"/>
      <c r="C157" s="282"/>
      <c r="D157" s="282"/>
      <c r="E157" s="282"/>
      <c r="F157" s="282"/>
      <c r="G157" s="282"/>
      <c r="H157" s="282"/>
      <c r="I157" s="282"/>
      <c r="J157" s="282"/>
      <c r="K157" s="282"/>
      <c r="L157" s="384" t="e">
        <f t="shared" ca="1" si="16"/>
        <v>#VALUE!</v>
      </c>
      <c r="M157" s="183"/>
      <c r="N157" s="184"/>
      <c r="O157" s="383" t="str">
        <f t="shared" si="17"/>
        <v/>
      </c>
      <c r="P157" s="384" t="e">
        <f t="shared" ca="1" si="18"/>
        <v>#VALUE!</v>
      </c>
      <c r="Q157" s="183"/>
      <c r="R157" s="184"/>
      <c r="S157" s="383" t="str">
        <f t="shared" si="19"/>
        <v/>
      </c>
      <c r="T157" s="282"/>
      <c r="U157" s="399"/>
      <c r="V157" s="397"/>
      <c r="W157" s="476"/>
      <c r="X157" s="397"/>
      <c r="Y157" s="398"/>
      <c r="Z157" s="399"/>
      <c r="AA157" s="397"/>
      <c r="AB157" s="480"/>
      <c r="AC157" s="397"/>
      <c r="AD157" s="398"/>
      <c r="AN157" s="282"/>
      <c r="AO157" s="282"/>
      <c r="AP157" s="282"/>
      <c r="AQ157" s="282"/>
      <c r="AR157" s="282"/>
      <c r="AS157" s="282"/>
      <c r="AT157" s="282"/>
      <c r="AU157" s="282"/>
      <c r="AV157" s="282"/>
      <c r="AW157" s="282"/>
      <c r="AX157" s="282"/>
      <c r="AY157" s="282"/>
      <c r="AZ157" s="282"/>
      <c r="BA157" s="282"/>
      <c r="BB157" s="282"/>
      <c r="BC157" s="282"/>
      <c r="BD157" s="282"/>
      <c r="BE157" s="282"/>
      <c r="BF157" s="282"/>
      <c r="BG157" s="282"/>
      <c r="BH157" s="282"/>
    </row>
    <row r="158" spans="1:60">
      <c r="A158" s="282"/>
      <c r="B158" s="282"/>
      <c r="C158" s="282"/>
      <c r="D158" s="282"/>
      <c r="E158" s="282"/>
      <c r="F158" s="282"/>
      <c r="G158" s="282"/>
      <c r="H158" s="282"/>
      <c r="I158" s="282"/>
      <c r="J158" s="282"/>
      <c r="K158" s="282"/>
      <c r="L158" s="384" t="e">
        <f t="shared" ca="1" si="16"/>
        <v>#VALUE!</v>
      </c>
      <c r="M158" s="183"/>
      <c r="N158" s="184"/>
      <c r="O158" s="383" t="str">
        <f t="shared" si="17"/>
        <v/>
      </c>
      <c r="P158" s="384" t="e">
        <f t="shared" ca="1" si="18"/>
        <v>#VALUE!</v>
      </c>
      <c r="Q158" s="183"/>
      <c r="R158" s="184"/>
      <c r="S158" s="383" t="str">
        <f t="shared" si="19"/>
        <v/>
      </c>
      <c r="T158" s="282"/>
      <c r="U158" s="399"/>
      <c r="V158" s="397"/>
      <c r="W158" s="476"/>
      <c r="X158" s="397"/>
      <c r="Y158" s="398"/>
      <c r="Z158" s="399"/>
      <c r="AA158" s="397"/>
      <c r="AB158" s="480"/>
      <c r="AC158" s="397"/>
      <c r="AD158" s="398"/>
      <c r="AN158" s="282"/>
      <c r="AO158" s="282"/>
      <c r="AP158" s="282"/>
      <c r="AQ158" s="282"/>
      <c r="AR158" s="282"/>
      <c r="AS158" s="282"/>
      <c r="AT158" s="282"/>
      <c r="AU158" s="282"/>
      <c r="AV158" s="282"/>
      <c r="AW158" s="282"/>
      <c r="AX158" s="282"/>
      <c r="AY158" s="282"/>
      <c r="AZ158" s="282"/>
      <c r="BA158" s="282"/>
      <c r="BB158" s="282"/>
      <c r="BC158" s="282"/>
      <c r="BD158" s="282"/>
      <c r="BE158" s="282"/>
      <c r="BF158" s="282"/>
      <c r="BG158" s="282"/>
      <c r="BH158" s="282"/>
    </row>
    <row r="159" spans="1:60">
      <c r="A159" s="282"/>
      <c r="B159" s="282"/>
      <c r="C159" s="282"/>
      <c r="D159" s="282"/>
      <c r="E159" s="282"/>
      <c r="F159" s="282"/>
      <c r="G159" s="282"/>
      <c r="H159" s="282"/>
      <c r="I159" s="282"/>
      <c r="J159" s="282"/>
      <c r="K159" s="282"/>
      <c r="L159" s="384" t="e">
        <f t="shared" ca="1" si="16"/>
        <v>#VALUE!</v>
      </c>
      <c r="M159" s="183"/>
      <c r="N159" s="184"/>
      <c r="O159" s="383" t="str">
        <f t="shared" si="17"/>
        <v/>
      </c>
      <c r="P159" s="384" t="e">
        <f t="shared" ca="1" si="18"/>
        <v>#VALUE!</v>
      </c>
      <c r="Q159" s="183"/>
      <c r="R159" s="184"/>
      <c r="S159" s="383" t="str">
        <f t="shared" si="19"/>
        <v/>
      </c>
      <c r="T159" s="282"/>
      <c r="U159" s="399"/>
      <c r="V159" s="397"/>
      <c r="W159" s="476"/>
      <c r="X159" s="397"/>
      <c r="Y159" s="398"/>
      <c r="Z159" s="399"/>
      <c r="AA159" s="397"/>
      <c r="AB159" s="480"/>
      <c r="AC159" s="397"/>
      <c r="AD159" s="398"/>
      <c r="AN159" s="282"/>
      <c r="AO159" s="282"/>
      <c r="AP159" s="282"/>
      <c r="AQ159" s="282"/>
      <c r="AR159" s="282"/>
      <c r="AS159" s="282"/>
      <c r="AT159" s="282"/>
      <c r="AU159" s="282"/>
      <c r="AV159" s="282"/>
      <c r="AW159" s="282"/>
      <c r="AX159" s="282"/>
      <c r="AY159" s="282"/>
      <c r="AZ159" s="282"/>
      <c r="BA159" s="282"/>
      <c r="BB159" s="282"/>
      <c r="BC159" s="282"/>
      <c r="BD159" s="282"/>
      <c r="BE159" s="282"/>
      <c r="BF159" s="282"/>
      <c r="BG159" s="282"/>
      <c r="BH159" s="282"/>
    </row>
    <row r="160" spans="1:60">
      <c r="A160" s="282"/>
      <c r="B160" s="282"/>
      <c r="C160" s="282"/>
      <c r="D160" s="282"/>
      <c r="E160" s="282"/>
      <c r="F160" s="282"/>
      <c r="G160" s="282"/>
      <c r="H160" s="282"/>
      <c r="I160" s="282"/>
      <c r="J160" s="282"/>
      <c r="K160" s="282"/>
      <c r="L160" s="384" t="e">
        <f t="shared" ca="1" si="16"/>
        <v>#VALUE!</v>
      </c>
      <c r="M160" s="183"/>
      <c r="N160" s="184"/>
      <c r="O160" s="383" t="str">
        <f t="shared" si="17"/>
        <v/>
      </c>
      <c r="P160" s="384" t="e">
        <f t="shared" ca="1" si="18"/>
        <v>#VALUE!</v>
      </c>
      <c r="Q160" s="183"/>
      <c r="R160" s="184"/>
      <c r="S160" s="383" t="str">
        <f t="shared" si="19"/>
        <v/>
      </c>
      <c r="T160" s="282"/>
      <c r="U160" s="399"/>
      <c r="V160" s="397"/>
      <c r="W160" s="476"/>
      <c r="X160" s="397"/>
      <c r="Y160" s="398"/>
      <c r="Z160" s="399"/>
      <c r="AA160" s="397"/>
      <c r="AB160" s="480"/>
      <c r="AC160" s="397"/>
      <c r="AD160" s="398"/>
      <c r="AN160" s="282"/>
      <c r="AO160" s="282"/>
      <c r="AP160" s="282"/>
      <c r="AQ160" s="282"/>
      <c r="AR160" s="282"/>
      <c r="AS160" s="282"/>
      <c r="AT160" s="282"/>
      <c r="AU160" s="282"/>
      <c r="AV160" s="282"/>
      <c r="AW160" s="282"/>
      <c r="AX160" s="282"/>
      <c r="AY160" s="282"/>
      <c r="AZ160" s="282"/>
      <c r="BA160" s="282"/>
      <c r="BB160" s="282"/>
      <c r="BC160" s="282"/>
      <c r="BD160" s="282"/>
      <c r="BE160" s="282"/>
      <c r="BF160" s="282"/>
      <c r="BG160" s="282"/>
      <c r="BH160" s="282"/>
    </row>
    <row r="161" spans="1:60">
      <c r="A161" s="282"/>
      <c r="B161" s="282"/>
      <c r="C161" s="282"/>
      <c r="D161" s="282"/>
      <c r="E161" s="282"/>
      <c r="F161" s="282"/>
      <c r="G161" s="282"/>
      <c r="H161" s="282"/>
      <c r="I161" s="282"/>
      <c r="J161" s="282"/>
      <c r="K161" s="282"/>
      <c r="L161" s="384" t="e">
        <f t="shared" ca="1" si="16"/>
        <v>#VALUE!</v>
      </c>
      <c r="M161" s="183"/>
      <c r="N161" s="184"/>
      <c r="O161" s="383" t="str">
        <f t="shared" si="17"/>
        <v/>
      </c>
      <c r="P161" s="384" t="e">
        <f t="shared" ca="1" si="18"/>
        <v>#VALUE!</v>
      </c>
      <c r="Q161" s="183"/>
      <c r="R161" s="184"/>
      <c r="S161" s="383" t="str">
        <f t="shared" si="19"/>
        <v/>
      </c>
      <c r="T161" s="282"/>
      <c r="U161" s="399"/>
      <c r="V161" s="397"/>
      <c r="W161" s="476"/>
      <c r="X161" s="397"/>
      <c r="Y161" s="398"/>
      <c r="Z161" s="399"/>
      <c r="AA161" s="397"/>
      <c r="AB161" s="480"/>
      <c r="AC161" s="397"/>
      <c r="AD161" s="398"/>
      <c r="AN161" s="282"/>
      <c r="AO161" s="282"/>
      <c r="AP161" s="282"/>
      <c r="AQ161" s="282"/>
      <c r="AR161" s="282"/>
      <c r="AS161" s="282"/>
      <c r="AT161" s="282"/>
      <c r="AU161" s="282"/>
      <c r="AV161" s="282"/>
      <c r="AW161" s="282"/>
      <c r="AX161" s="282"/>
      <c r="AY161" s="282"/>
      <c r="AZ161" s="282"/>
      <c r="BA161" s="282"/>
      <c r="BB161" s="282"/>
      <c r="BC161" s="282"/>
      <c r="BD161" s="282"/>
      <c r="BE161" s="282"/>
      <c r="BF161" s="282"/>
      <c r="BG161" s="282"/>
      <c r="BH161" s="282"/>
    </row>
    <row r="162" spans="1:60">
      <c r="A162" s="282"/>
      <c r="B162" s="282"/>
      <c r="C162" s="282"/>
      <c r="D162" s="282"/>
      <c r="E162" s="282"/>
      <c r="F162" s="282"/>
      <c r="G162" s="282"/>
      <c r="H162" s="282"/>
      <c r="I162" s="282"/>
      <c r="J162" s="282"/>
      <c r="K162" s="282"/>
      <c r="L162" s="384" t="e">
        <f t="shared" ca="1" si="16"/>
        <v>#VALUE!</v>
      </c>
      <c r="M162" s="183"/>
      <c r="N162" s="184"/>
      <c r="O162" s="383" t="str">
        <f t="shared" si="17"/>
        <v/>
      </c>
      <c r="P162" s="384" t="e">
        <f t="shared" ca="1" si="18"/>
        <v>#VALUE!</v>
      </c>
      <c r="Q162" s="183"/>
      <c r="R162" s="184"/>
      <c r="S162" s="383" t="str">
        <f t="shared" si="19"/>
        <v/>
      </c>
      <c r="T162" s="282"/>
      <c r="U162" s="399"/>
      <c r="V162" s="397"/>
      <c r="W162" s="476"/>
      <c r="X162" s="397"/>
      <c r="Y162" s="398"/>
      <c r="Z162" s="399"/>
      <c r="AA162" s="397"/>
      <c r="AB162" s="480"/>
      <c r="AC162" s="397"/>
      <c r="AD162" s="398"/>
      <c r="AN162" s="282"/>
      <c r="AO162" s="282"/>
      <c r="AP162" s="282"/>
      <c r="AQ162" s="282"/>
      <c r="AR162" s="282"/>
      <c r="AS162" s="282"/>
      <c r="AT162" s="282"/>
      <c r="AU162" s="282"/>
      <c r="AV162" s="282"/>
      <c r="AW162" s="282"/>
      <c r="AX162" s="282"/>
      <c r="AY162" s="282"/>
      <c r="AZ162" s="282"/>
      <c r="BA162" s="282"/>
      <c r="BB162" s="282"/>
      <c r="BC162" s="282"/>
      <c r="BD162" s="282"/>
      <c r="BE162" s="282"/>
      <c r="BF162" s="282"/>
      <c r="BG162" s="282"/>
      <c r="BH162" s="282"/>
    </row>
    <row r="163" spans="1:60">
      <c r="A163" s="282"/>
      <c r="B163" s="282"/>
      <c r="C163" s="282"/>
      <c r="D163" s="282"/>
      <c r="E163" s="282"/>
      <c r="F163" s="282"/>
      <c r="G163" s="282"/>
      <c r="H163" s="282"/>
      <c r="I163" s="282"/>
      <c r="J163" s="282"/>
      <c r="K163" s="282"/>
      <c r="L163" s="384" t="e">
        <f t="shared" ca="1" si="16"/>
        <v>#VALUE!</v>
      </c>
      <c r="M163" s="183"/>
      <c r="N163" s="184"/>
      <c r="O163" s="383" t="str">
        <f t="shared" si="17"/>
        <v/>
      </c>
      <c r="P163" s="384" t="e">
        <f t="shared" ca="1" si="18"/>
        <v>#VALUE!</v>
      </c>
      <c r="Q163" s="183"/>
      <c r="R163" s="184"/>
      <c r="S163" s="383" t="str">
        <f t="shared" si="19"/>
        <v/>
      </c>
      <c r="T163" s="282"/>
      <c r="U163" s="399"/>
      <c r="V163" s="397"/>
      <c r="W163" s="476"/>
      <c r="X163" s="397"/>
      <c r="Y163" s="398"/>
      <c r="Z163" s="399"/>
      <c r="AA163" s="397"/>
      <c r="AB163" s="480"/>
      <c r="AC163" s="397"/>
      <c r="AD163" s="398"/>
      <c r="AN163" s="282"/>
      <c r="AO163" s="282"/>
      <c r="AP163" s="282"/>
      <c r="AQ163" s="282"/>
      <c r="AR163" s="282"/>
      <c r="AS163" s="282"/>
      <c r="AT163" s="282"/>
      <c r="AU163" s="282"/>
      <c r="AV163" s="282"/>
      <c r="AW163" s="282"/>
      <c r="AX163" s="282"/>
      <c r="AY163" s="282"/>
      <c r="AZ163" s="282"/>
      <c r="BA163" s="282"/>
      <c r="BB163" s="282"/>
      <c r="BC163" s="282"/>
      <c r="BD163" s="282"/>
      <c r="BE163" s="282"/>
      <c r="BF163" s="282"/>
      <c r="BG163" s="282"/>
      <c r="BH163" s="282"/>
    </row>
    <row r="164" spans="1:60">
      <c r="A164" s="282"/>
      <c r="B164" s="282"/>
      <c r="C164" s="282"/>
      <c r="D164" s="282"/>
      <c r="E164" s="282"/>
      <c r="F164" s="282"/>
      <c r="G164" s="282"/>
      <c r="H164" s="282"/>
      <c r="I164" s="282"/>
      <c r="J164" s="282"/>
      <c r="K164" s="282"/>
      <c r="L164" s="384" t="e">
        <f t="shared" ca="1" si="16"/>
        <v>#VALUE!</v>
      </c>
      <c r="M164" s="183"/>
      <c r="N164" s="184"/>
      <c r="O164" s="383" t="str">
        <f t="shared" si="17"/>
        <v/>
      </c>
      <c r="P164" s="384" t="e">
        <f t="shared" ca="1" si="18"/>
        <v>#VALUE!</v>
      </c>
      <c r="Q164" s="183"/>
      <c r="R164" s="184"/>
      <c r="S164" s="383" t="str">
        <f t="shared" si="19"/>
        <v/>
      </c>
      <c r="T164" s="282"/>
      <c r="U164" s="399"/>
      <c r="V164" s="397"/>
      <c r="W164" s="476"/>
      <c r="X164" s="397"/>
      <c r="Y164" s="398"/>
      <c r="Z164" s="399"/>
      <c r="AA164" s="397"/>
      <c r="AB164" s="480"/>
      <c r="AC164" s="397"/>
      <c r="AD164" s="398"/>
      <c r="AN164" s="282"/>
      <c r="AO164" s="282"/>
      <c r="AP164" s="282"/>
      <c r="AQ164" s="282"/>
      <c r="AR164" s="282"/>
      <c r="AS164" s="282"/>
      <c r="AT164" s="282"/>
      <c r="AU164" s="282"/>
      <c r="AV164" s="282"/>
      <c r="AW164" s="282"/>
      <c r="AX164" s="282"/>
      <c r="AY164" s="282"/>
      <c r="AZ164" s="282"/>
      <c r="BA164" s="282"/>
      <c r="BB164" s="282"/>
      <c r="BC164" s="282"/>
      <c r="BD164" s="282"/>
      <c r="BE164" s="282"/>
      <c r="BF164" s="282"/>
      <c r="BG164" s="282"/>
      <c r="BH164" s="282"/>
    </row>
    <row r="165" spans="1:60">
      <c r="A165" s="282"/>
      <c r="B165" s="282"/>
      <c r="C165" s="282"/>
      <c r="D165" s="282"/>
      <c r="E165" s="282"/>
      <c r="F165" s="282"/>
      <c r="G165" s="282"/>
      <c r="H165" s="282"/>
      <c r="I165" s="282"/>
      <c r="J165" s="282"/>
      <c r="K165" s="282"/>
      <c r="L165" s="384" t="e">
        <f t="shared" ca="1" si="16"/>
        <v>#VALUE!</v>
      </c>
      <c r="M165" s="183"/>
      <c r="N165" s="184"/>
      <c r="O165" s="383" t="str">
        <f t="shared" si="17"/>
        <v/>
      </c>
      <c r="P165" s="384" t="e">
        <f t="shared" ca="1" si="18"/>
        <v>#VALUE!</v>
      </c>
      <c r="Q165" s="183"/>
      <c r="R165" s="184"/>
      <c r="S165" s="383" t="str">
        <f t="shared" si="19"/>
        <v/>
      </c>
      <c r="T165" s="282"/>
      <c r="U165" s="399"/>
      <c r="V165" s="397"/>
      <c r="W165" s="476"/>
      <c r="X165" s="397"/>
      <c r="Y165" s="398"/>
      <c r="Z165" s="399"/>
      <c r="AA165" s="397"/>
      <c r="AB165" s="480"/>
      <c r="AC165" s="397"/>
      <c r="AD165" s="398"/>
      <c r="AN165" s="282"/>
      <c r="AO165" s="282"/>
      <c r="AP165" s="282"/>
      <c r="AQ165" s="282"/>
      <c r="AR165" s="282"/>
      <c r="AS165" s="282"/>
      <c r="AT165" s="282"/>
      <c r="AU165" s="282"/>
      <c r="AV165" s="282"/>
      <c r="AW165" s="282"/>
      <c r="AX165" s="282"/>
      <c r="AY165" s="282"/>
      <c r="AZ165" s="282"/>
      <c r="BA165" s="282"/>
      <c r="BB165" s="282"/>
      <c r="BC165" s="282"/>
      <c r="BD165" s="282"/>
      <c r="BE165" s="282"/>
      <c r="BF165" s="282"/>
      <c r="BG165" s="282"/>
      <c r="BH165" s="282"/>
    </row>
    <row r="166" spans="1:60">
      <c r="A166" s="282"/>
      <c r="B166" s="282"/>
      <c r="C166" s="282"/>
      <c r="D166" s="282"/>
      <c r="E166" s="282"/>
      <c r="F166" s="282"/>
      <c r="G166" s="282"/>
      <c r="H166" s="282"/>
      <c r="I166" s="282"/>
      <c r="J166" s="282"/>
      <c r="K166" s="282"/>
      <c r="L166" s="384" t="e">
        <f t="shared" ca="1" si="16"/>
        <v>#VALUE!</v>
      </c>
      <c r="M166" s="183"/>
      <c r="N166" s="184"/>
      <c r="O166" s="383" t="str">
        <f t="shared" si="17"/>
        <v/>
      </c>
      <c r="P166" s="384" t="e">
        <f t="shared" ca="1" si="18"/>
        <v>#VALUE!</v>
      </c>
      <c r="Q166" s="183"/>
      <c r="R166" s="184"/>
      <c r="S166" s="383" t="str">
        <f t="shared" si="19"/>
        <v/>
      </c>
      <c r="T166" s="282"/>
      <c r="U166" s="399"/>
      <c r="V166" s="397"/>
      <c r="W166" s="476"/>
      <c r="X166" s="397"/>
      <c r="Y166" s="398"/>
      <c r="Z166" s="399"/>
      <c r="AA166" s="397"/>
      <c r="AB166" s="480"/>
      <c r="AC166" s="397"/>
      <c r="AD166" s="398"/>
      <c r="AN166" s="282"/>
      <c r="AO166" s="282"/>
      <c r="AP166" s="282"/>
      <c r="AQ166" s="282"/>
      <c r="AR166" s="282"/>
      <c r="AS166" s="282"/>
      <c r="AT166" s="282"/>
      <c r="AU166" s="282"/>
      <c r="AV166" s="282"/>
      <c r="AW166" s="282"/>
      <c r="AX166" s="282"/>
      <c r="AY166" s="282"/>
      <c r="AZ166" s="282"/>
      <c r="BA166" s="282"/>
      <c r="BB166" s="282"/>
      <c r="BC166" s="282"/>
      <c r="BD166" s="282"/>
      <c r="BE166" s="282"/>
      <c r="BF166" s="282"/>
      <c r="BG166" s="282"/>
      <c r="BH166" s="282"/>
    </row>
    <row r="167" spans="1:60">
      <c r="A167" s="282"/>
      <c r="B167" s="282"/>
      <c r="C167" s="282"/>
      <c r="D167" s="282"/>
      <c r="E167" s="282"/>
      <c r="F167" s="282"/>
      <c r="G167" s="282"/>
      <c r="H167" s="282"/>
      <c r="I167" s="282"/>
      <c r="J167" s="282"/>
      <c r="K167" s="282"/>
      <c r="L167" s="384" t="e">
        <f t="shared" ca="1" si="16"/>
        <v>#VALUE!</v>
      </c>
      <c r="M167" s="183"/>
      <c r="N167" s="184"/>
      <c r="O167" s="383" t="str">
        <f t="shared" si="17"/>
        <v/>
      </c>
      <c r="P167" s="384" t="e">
        <f t="shared" ca="1" si="18"/>
        <v>#VALUE!</v>
      </c>
      <c r="Q167" s="183"/>
      <c r="R167" s="184"/>
      <c r="S167" s="383" t="str">
        <f t="shared" si="19"/>
        <v/>
      </c>
      <c r="T167" s="282"/>
      <c r="U167" s="399"/>
      <c r="V167" s="397"/>
      <c r="W167" s="476"/>
      <c r="X167" s="397"/>
      <c r="Y167" s="398"/>
      <c r="Z167" s="399"/>
      <c r="AA167" s="397"/>
      <c r="AB167" s="480"/>
      <c r="AC167" s="397"/>
      <c r="AD167" s="398"/>
      <c r="AN167" s="282"/>
      <c r="AO167" s="282"/>
      <c r="AP167" s="282"/>
      <c r="AQ167" s="282"/>
      <c r="AR167" s="282"/>
      <c r="AS167" s="282"/>
      <c r="AT167" s="282"/>
      <c r="AU167" s="282"/>
      <c r="AV167" s="282"/>
      <c r="AW167" s="282"/>
      <c r="AX167" s="282"/>
      <c r="AY167" s="282"/>
      <c r="AZ167" s="282"/>
      <c r="BA167" s="282"/>
      <c r="BB167" s="282"/>
      <c r="BC167" s="282"/>
      <c r="BD167" s="282"/>
      <c r="BE167" s="282"/>
      <c r="BF167" s="282"/>
      <c r="BG167" s="282"/>
      <c r="BH167" s="282"/>
    </row>
    <row r="168" spans="1:60">
      <c r="A168" s="282"/>
      <c r="B168" s="282"/>
      <c r="C168" s="282"/>
      <c r="D168" s="282"/>
      <c r="E168" s="282"/>
      <c r="F168" s="282"/>
      <c r="G168" s="282"/>
      <c r="H168" s="282"/>
      <c r="I168" s="282"/>
      <c r="J168" s="282"/>
      <c r="K168" s="282"/>
      <c r="L168" s="384" t="e">
        <f t="shared" ca="1" si="16"/>
        <v>#VALUE!</v>
      </c>
      <c r="M168" s="183"/>
      <c r="N168" s="184"/>
      <c r="O168" s="383" t="str">
        <f t="shared" si="17"/>
        <v/>
      </c>
      <c r="P168" s="384" t="e">
        <f t="shared" ca="1" si="18"/>
        <v>#VALUE!</v>
      </c>
      <c r="Q168" s="183"/>
      <c r="R168" s="184"/>
      <c r="S168" s="383" t="str">
        <f t="shared" si="19"/>
        <v/>
      </c>
      <c r="T168" s="282"/>
      <c r="U168" s="399"/>
      <c r="V168" s="397"/>
      <c r="W168" s="476"/>
      <c r="X168" s="397"/>
      <c r="Y168" s="398"/>
      <c r="Z168" s="399"/>
      <c r="AA168" s="397"/>
      <c r="AB168" s="480"/>
      <c r="AC168" s="397"/>
      <c r="AD168" s="398"/>
      <c r="AN168" s="282"/>
      <c r="AO168" s="282"/>
      <c r="AP168" s="282"/>
      <c r="AQ168" s="282"/>
      <c r="AR168" s="282"/>
      <c r="AS168" s="282"/>
      <c r="AT168" s="282"/>
      <c r="AU168" s="282"/>
      <c r="AV168" s="282"/>
      <c r="AW168" s="282"/>
      <c r="AX168" s="282"/>
      <c r="AY168" s="282"/>
      <c r="AZ168" s="282"/>
      <c r="BA168" s="282"/>
      <c r="BB168" s="282"/>
      <c r="BC168" s="282"/>
      <c r="BD168" s="282"/>
      <c r="BE168" s="282"/>
      <c r="BF168" s="282"/>
      <c r="BG168" s="282"/>
      <c r="BH168" s="282"/>
    </row>
    <row r="169" spans="1:60">
      <c r="A169" s="282"/>
      <c r="B169" s="282"/>
      <c r="C169" s="282"/>
      <c r="D169" s="282"/>
      <c r="E169" s="282"/>
      <c r="F169" s="282"/>
      <c r="G169" s="282"/>
      <c r="H169" s="282"/>
      <c r="I169" s="282"/>
      <c r="J169" s="282"/>
      <c r="K169" s="282"/>
      <c r="L169" s="384" t="e">
        <f t="shared" ca="1" si="16"/>
        <v>#VALUE!</v>
      </c>
      <c r="M169" s="183"/>
      <c r="N169" s="184"/>
      <c r="O169" s="383" t="str">
        <f t="shared" si="17"/>
        <v/>
      </c>
      <c r="P169" s="384" t="e">
        <f t="shared" ca="1" si="18"/>
        <v>#VALUE!</v>
      </c>
      <c r="Q169" s="183"/>
      <c r="R169" s="184"/>
      <c r="S169" s="383" t="str">
        <f t="shared" si="19"/>
        <v/>
      </c>
      <c r="T169" s="282"/>
      <c r="U169" s="399"/>
      <c r="V169" s="397"/>
      <c r="W169" s="476"/>
      <c r="X169" s="397"/>
      <c r="Y169" s="398"/>
      <c r="Z169" s="399"/>
      <c r="AA169" s="397"/>
      <c r="AB169" s="480"/>
      <c r="AC169" s="397"/>
      <c r="AD169" s="398"/>
      <c r="AN169" s="282"/>
      <c r="AO169" s="282"/>
      <c r="AP169" s="282"/>
      <c r="AQ169" s="282"/>
      <c r="AR169" s="282"/>
      <c r="AS169" s="282"/>
      <c r="AT169" s="282"/>
      <c r="AU169" s="282"/>
      <c r="AV169" s="282"/>
      <c r="AW169" s="282"/>
      <c r="AX169" s="282"/>
      <c r="AY169" s="282"/>
      <c r="AZ169" s="282"/>
      <c r="BA169" s="282"/>
      <c r="BB169" s="282"/>
      <c r="BC169" s="282"/>
      <c r="BD169" s="282"/>
      <c r="BE169" s="282"/>
      <c r="BF169" s="282"/>
      <c r="BG169" s="282"/>
      <c r="BH169" s="282"/>
    </row>
    <row r="170" spans="1:60">
      <c r="A170" s="282"/>
      <c r="B170" s="282"/>
      <c r="C170" s="282"/>
      <c r="D170" s="282"/>
      <c r="E170" s="282"/>
      <c r="F170" s="282"/>
      <c r="G170" s="282"/>
      <c r="H170" s="282"/>
      <c r="I170" s="282"/>
      <c r="J170" s="282"/>
      <c r="K170" s="282"/>
      <c r="L170" s="384" t="e">
        <f t="shared" ca="1" si="16"/>
        <v>#VALUE!</v>
      </c>
      <c r="M170" s="183"/>
      <c r="N170" s="184"/>
      <c r="O170" s="383" t="str">
        <f t="shared" si="17"/>
        <v/>
      </c>
      <c r="P170" s="384" t="e">
        <f t="shared" ca="1" si="18"/>
        <v>#VALUE!</v>
      </c>
      <c r="Q170" s="183"/>
      <c r="R170" s="184"/>
      <c r="S170" s="383" t="str">
        <f t="shared" si="19"/>
        <v/>
      </c>
      <c r="T170" s="282"/>
      <c r="U170" s="399"/>
      <c r="V170" s="397"/>
      <c r="W170" s="476"/>
      <c r="X170" s="397"/>
      <c r="Y170" s="398"/>
      <c r="Z170" s="399"/>
      <c r="AA170" s="397"/>
      <c r="AB170" s="480"/>
      <c r="AC170" s="397"/>
      <c r="AD170" s="398"/>
      <c r="AN170" s="282"/>
      <c r="AO170" s="282"/>
      <c r="AP170" s="282"/>
      <c r="AQ170" s="282"/>
      <c r="AR170" s="282"/>
      <c r="AS170" s="282"/>
      <c r="AT170" s="282"/>
      <c r="AU170" s="282"/>
      <c r="AV170" s="282"/>
      <c r="AW170" s="282"/>
      <c r="AX170" s="282"/>
      <c r="AY170" s="282"/>
      <c r="AZ170" s="282"/>
      <c r="BA170" s="282"/>
      <c r="BB170" s="282"/>
      <c r="BC170" s="282"/>
      <c r="BD170" s="282"/>
      <c r="BE170" s="282"/>
      <c r="BF170" s="282"/>
      <c r="BG170" s="282"/>
      <c r="BH170" s="282"/>
    </row>
    <row r="171" spans="1:60">
      <c r="A171" s="282"/>
      <c r="B171" s="282"/>
      <c r="C171" s="282"/>
      <c r="D171" s="282"/>
      <c r="E171" s="282"/>
      <c r="F171" s="282"/>
      <c r="G171" s="282"/>
      <c r="H171" s="282"/>
      <c r="I171" s="282"/>
      <c r="J171" s="282"/>
      <c r="K171" s="282"/>
      <c r="L171" s="384" t="e">
        <f t="shared" ca="1" si="16"/>
        <v>#VALUE!</v>
      </c>
      <c r="M171" s="183"/>
      <c r="N171" s="184"/>
      <c r="O171" s="383" t="str">
        <f t="shared" si="17"/>
        <v/>
      </c>
      <c r="P171" s="384" t="e">
        <f t="shared" ca="1" si="18"/>
        <v>#VALUE!</v>
      </c>
      <c r="Q171" s="183"/>
      <c r="R171" s="184"/>
      <c r="S171" s="383" t="str">
        <f t="shared" si="19"/>
        <v/>
      </c>
      <c r="T171" s="282"/>
      <c r="U171" s="399"/>
      <c r="V171" s="397"/>
      <c r="W171" s="476"/>
      <c r="X171" s="397"/>
      <c r="Y171" s="398"/>
      <c r="Z171" s="399"/>
      <c r="AA171" s="397"/>
      <c r="AB171" s="480"/>
      <c r="AC171" s="397"/>
      <c r="AD171" s="398"/>
      <c r="AN171" s="282"/>
      <c r="AO171" s="282"/>
      <c r="AP171" s="282"/>
      <c r="AQ171" s="282"/>
      <c r="AR171" s="282"/>
      <c r="AS171" s="282"/>
      <c r="AT171" s="282"/>
      <c r="AU171" s="282"/>
      <c r="AV171" s="282"/>
      <c r="AW171" s="282"/>
      <c r="AX171" s="282"/>
      <c r="AY171" s="282"/>
      <c r="AZ171" s="282"/>
      <c r="BA171" s="282"/>
      <c r="BB171" s="282"/>
      <c r="BC171" s="282"/>
      <c r="BD171" s="282"/>
      <c r="BE171" s="282"/>
      <c r="BF171" s="282"/>
      <c r="BG171" s="282"/>
      <c r="BH171" s="282"/>
    </row>
    <row r="172" spans="1:60">
      <c r="A172" s="282"/>
      <c r="B172" s="282"/>
      <c r="C172" s="282"/>
      <c r="D172" s="282"/>
      <c r="E172" s="282"/>
      <c r="F172" s="282"/>
      <c r="G172" s="282"/>
      <c r="H172" s="282"/>
      <c r="I172" s="282"/>
      <c r="J172" s="282"/>
      <c r="K172" s="282"/>
      <c r="L172" s="384" t="e">
        <f t="shared" ca="1" si="16"/>
        <v>#VALUE!</v>
      </c>
      <c r="M172" s="183"/>
      <c r="N172" s="184"/>
      <c r="O172" s="383" t="str">
        <f t="shared" si="17"/>
        <v/>
      </c>
      <c r="P172" s="384" t="e">
        <f t="shared" ca="1" si="18"/>
        <v>#VALUE!</v>
      </c>
      <c r="Q172" s="183"/>
      <c r="R172" s="184"/>
      <c r="S172" s="383" t="str">
        <f t="shared" si="19"/>
        <v/>
      </c>
      <c r="T172" s="282"/>
      <c r="U172" s="399"/>
      <c r="V172" s="397"/>
      <c r="W172" s="476"/>
      <c r="X172" s="397"/>
      <c r="Y172" s="398"/>
      <c r="Z172" s="399"/>
      <c r="AA172" s="397"/>
      <c r="AB172" s="480"/>
      <c r="AC172" s="397"/>
      <c r="AD172" s="398"/>
      <c r="AN172" s="282"/>
      <c r="AO172" s="282"/>
      <c r="AP172" s="282"/>
      <c r="AQ172" s="282"/>
      <c r="AR172" s="282"/>
      <c r="AS172" s="282"/>
      <c r="AT172" s="282"/>
      <c r="AU172" s="282"/>
      <c r="AV172" s="282"/>
      <c r="AW172" s="282"/>
      <c r="AX172" s="282"/>
      <c r="AY172" s="282"/>
      <c r="AZ172" s="282"/>
      <c r="BA172" s="282"/>
      <c r="BB172" s="282"/>
      <c r="BC172" s="282"/>
      <c r="BD172" s="282"/>
      <c r="BE172" s="282"/>
      <c r="BF172" s="282"/>
      <c r="BG172" s="282"/>
      <c r="BH172" s="282"/>
    </row>
    <row r="173" spans="1:60">
      <c r="A173" s="282"/>
      <c r="B173" s="282"/>
      <c r="C173" s="282"/>
      <c r="D173" s="282"/>
      <c r="E173" s="282"/>
      <c r="F173" s="282"/>
      <c r="G173" s="282"/>
      <c r="H173" s="282"/>
      <c r="I173" s="282"/>
      <c r="J173" s="282"/>
      <c r="K173" s="282"/>
      <c r="L173" s="384" t="e">
        <f t="shared" ca="1" si="16"/>
        <v>#VALUE!</v>
      </c>
      <c r="M173" s="183"/>
      <c r="N173" s="184"/>
      <c r="O173" s="383" t="str">
        <f t="shared" si="17"/>
        <v/>
      </c>
      <c r="P173" s="384" t="e">
        <f t="shared" ca="1" si="18"/>
        <v>#VALUE!</v>
      </c>
      <c r="Q173" s="183"/>
      <c r="R173" s="184"/>
      <c r="S173" s="383" t="str">
        <f t="shared" si="19"/>
        <v/>
      </c>
      <c r="T173" s="282"/>
      <c r="U173" s="399"/>
      <c r="V173" s="397"/>
      <c r="W173" s="476"/>
      <c r="X173" s="397"/>
      <c r="Y173" s="398"/>
      <c r="Z173" s="399"/>
      <c r="AA173" s="397"/>
      <c r="AB173" s="480"/>
      <c r="AC173" s="397"/>
      <c r="AD173" s="398"/>
      <c r="AN173" s="282"/>
      <c r="AO173" s="282"/>
      <c r="AP173" s="282"/>
      <c r="AQ173" s="282"/>
      <c r="AR173" s="282"/>
      <c r="AS173" s="282"/>
      <c r="AT173" s="282"/>
      <c r="AU173" s="282"/>
      <c r="AV173" s="282"/>
      <c r="AW173" s="282"/>
      <c r="AX173" s="282"/>
      <c r="AY173" s="282"/>
      <c r="AZ173" s="282"/>
      <c r="BA173" s="282"/>
      <c r="BB173" s="282"/>
      <c r="BC173" s="282"/>
      <c r="BD173" s="282"/>
      <c r="BE173" s="282"/>
      <c r="BF173" s="282"/>
      <c r="BG173" s="282"/>
      <c r="BH173" s="282"/>
    </row>
    <row r="174" spans="1:60">
      <c r="A174" s="282"/>
      <c r="B174" s="282"/>
      <c r="C174" s="282"/>
      <c r="D174" s="282"/>
      <c r="E174" s="282"/>
      <c r="F174" s="282"/>
      <c r="G174" s="282"/>
      <c r="H174" s="282"/>
      <c r="I174" s="282"/>
      <c r="J174" s="282"/>
      <c r="K174" s="282"/>
      <c r="L174" s="384" t="e">
        <f t="shared" ca="1" si="16"/>
        <v>#VALUE!</v>
      </c>
      <c r="M174" s="183"/>
      <c r="N174" s="184"/>
      <c r="O174" s="383" t="str">
        <f t="shared" si="17"/>
        <v/>
      </c>
      <c r="P174" s="384" t="e">
        <f t="shared" ca="1" si="18"/>
        <v>#VALUE!</v>
      </c>
      <c r="Q174" s="183"/>
      <c r="R174" s="184"/>
      <c r="S174" s="383" t="str">
        <f t="shared" si="19"/>
        <v/>
      </c>
      <c r="T174" s="282"/>
      <c r="U174" s="399"/>
      <c r="V174" s="397"/>
      <c r="W174" s="476"/>
      <c r="X174" s="397"/>
      <c r="Y174" s="398"/>
      <c r="Z174" s="399"/>
      <c r="AA174" s="397"/>
      <c r="AB174" s="480"/>
      <c r="AC174" s="397"/>
      <c r="AD174" s="398"/>
      <c r="AN174" s="282"/>
      <c r="AO174" s="282"/>
      <c r="AP174" s="282"/>
      <c r="AQ174" s="282"/>
      <c r="AR174" s="282"/>
      <c r="AS174" s="282"/>
      <c r="AT174" s="282"/>
      <c r="AU174" s="282"/>
      <c r="AV174" s="282"/>
      <c r="AW174" s="282"/>
      <c r="AX174" s="282"/>
      <c r="AY174" s="282"/>
      <c r="AZ174" s="282"/>
      <c r="BA174" s="282"/>
      <c r="BB174" s="282"/>
      <c r="BC174" s="282"/>
      <c r="BD174" s="282"/>
      <c r="BE174" s="282"/>
      <c r="BF174" s="282"/>
      <c r="BG174" s="282"/>
      <c r="BH174" s="282"/>
    </row>
    <row r="175" spans="1:60">
      <c r="A175" s="282"/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384" t="e">
        <f t="shared" ca="1" si="16"/>
        <v>#VALUE!</v>
      </c>
      <c r="M175" s="183"/>
      <c r="N175" s="184"/>
      <c r="O175" s="383" t="str">
        <f t="shared" si="17"/>
        <v/>
      </c>
      <c r="P175" s="384" t="e">
        <f t="shared" ca="1" si="18"/>
        <v>#VALUE!</v>
      </c>
      <c r="Q175" s="183"/>
      <c r="R175" s="184"/>
      <c r="S175" s="383" t="str">
        <f t="shared" si="19"/>
        <v/>
      </c>
      <c r="T175" s="282"/>
      <c r="U175" s="399"/>
      <c r="V175" s="397"/>
      <c r="W175" s="476"/>
      <c r="X175" s="397"/>
      <c r="Y175" s="398"/>
      <c r="Z175" s="399"/>
      <c r="AA175" s="397"/>
      <c r="AB175" s="480"/>
      <c r="AC175" s="397"/>
      <c r="AD175" s="398"/>
      <c r="AN175" s="282"/>
      <c r="AO175" s="282"/>
      <c r="AP175" s="282"/>
      <c r="AQ175" s="282"/>
      <c r="AR175" s="282"/>
      <c r="AS175" s="282"/>
      <c r="AT175" s="282"/>
      <c r="AU175" s="282"/>
      <c r="AV175" s="282"/>
      <c r="AW175" s="282"/>
      <c r="AX175" s="282"/>
      <c r="AY175" s="282"/>
      <c r="AZ175" s="282"/>
      <c r="BA175" s="282"/>
      <c r="BB175" s="282"/>
      <c r="BC175" s="282"/>
      <c r="BD175" s="282"/>
      <c r="BE175" s="282"/>
      <c r="BF175" s="282"/>
      <c r="BG175" s="282"/>
      <c r="BH175" s="282"/>
    </row>
    <row r="176" spans="1:60">
      <c r="A176" s="282"/>
      <c r="B176" s="282"/>
      <c r="C176" s="282"/>
      <c r="D176" s="282"/>
      <c r="E176" s="282"/>
      <c r="F176" s="282"/>
      <c r="G176" s="282"/>
      <c r="H176" s="282"/>
      <c r="I176" s="282"/>
      <c r="J176" s="282"/>
      <c r="K176" s="282"/>
      <c r="L176" s="384" t="e">
        <f t="shared" ca="1" si="16"/>
        <v>#VALUE!</v>
      </c>
      <c r="M176" s="183"/>
      <c r="N176" s="184"/>
      <c r="O176" s="383" t="str">
        <f t="shared" si="17"/>
        <v/>
      </c>
      <c r="P176" s="384" t="e">
        <f t="shared" ca="1" si="18"/>
        <v>#VALUE!</v>
      </c>
      <c r="Q176" s="183"/>
      <c r="R176" s="184"/>
      <c r="S176" s="383" t="str">
        <f t="shared" si="19"/>
        <v/>
      </c>
      <c r="T176" s="282"/>
      <c r="U176" s="399"/>
      <c r="V176" s="397"/>
      <c r="W176" s="476"/>
      <c r="X176" s="397"/>
      <c r="Y176" s="398"/>
      <c r="Z176" s="399"/>
      <c r="AA176" s="397"/>
      <c r="AB176" s="480"/>
      <c r="AC176" s="397"/>
      <c r="AD176" s="398"/>
      <c r="AN176" s="282"/>
      <c r="AO176" s="282"/>
      <c r="AP176" s="282"/>
      <c r="AQ176" s="282"/>
      <c r="AR176" s="282"/>
      <c r="AS176" s="282"/>
      <c r="AT176" s="282"/>
      <c r="AU176" s="282"/>
      <c r="AV176" s="282"/>
      <c r="AW176" s="282"/>
      <c r="AX176" s="282"/>
      <c r="AY176" s="282"/>
      <c r="AZ176" s="282"/>
      <c r="BA176" s="282"/>
      <c r="BB176" s="282"/>
      <c r="BC176" s="282"/>
      <c r="BD176" s="282"/>
      <c r="BE176" s="282"/>
      <c r="BF176" s="282"/>
      <c r="BG176" s="282"/>
      <c r="BH176" s="282"/>
    </row>
    <row r="177" spans="1:60">
      <c r="A177" s="282"/>
      <c r="B177" s="282"/>
      <c r="C177" s="282"/>
      <c r="D177" s="282"/>
      <c r="E177" s="282"/>
      <c r="F177" s="282"/>
      <c r="G177" s="282"/>
      <c r="H177" s="282"/>
      <c r="I177" s="282"/>
      <c r="J177" s="282"/>
      <c r="K177" s="282"/>
      <c r="L177" s="384" t="e">
        <f t="shared" ca="1" si="16"/>
        <v>#VALUE!</v>
      </c>
      <c r="M177" s="183"/>
      <c r="N177" s="184"/>
      <c r="O177" s="383" t="str">
        <f t="shared" si="17"/>
        <v/>
      </c>
      <c r="P177" s="384" t="e">
        <f t="shared" ca="1" si="18"/>
        <v>#VALUE!</v>
      </c>
      <c r="Q177" s="183"/>
      <c r="R177" s="184"/>
      <c r="S177" s="383" t="str">
        <f t="shared" si="19"/>
        <v/>
      </c>
      <c r="T177" s="282"/>
      <c r="U177" s="399"/>
      <c r="V177" s="397"/>
      <c r="W177" s="476"/>
      <c r="X177" s="397"/>
      <c r="Y177" s="398"/>
      <c r="Z177" s="399"/>
      <c r="AA177" s="397"/>
      <c r="AB177" s="480"/>
      <c r="AC177" s="397"/>
      <c r="AD177" s="398"/>
      <c r="AN177" s="282"/>
      <c r="AO177" s="282"/>
      <c r="AP177" s="282"/>
      <c r="AQ177" s="282"/>
      <c r="AR177" s="282"/>
      <c r="AS177" s="282"/>
      <c r="AT177" s="282"/>
      <c r="AU177" s="282"/>
      <c r="AV177" s="282"/>
      <c r="AW177" s="282"/>
      <c r="AX177" s="282"/>
      <c r="AY177" s="282"/>
      <c r="AZ177" s="282"/>
      <c r="BA177" s="282"/>
      <c r="BB177" s="282"/>
      <c r="BC177" s="282"/>
      <c r="BD177" s="282"/>
      <c r="BE177" s="282"/>
      <c r="BF177" s="282"/>
      <c r="BG177" s="282"/>
      <c r="BH177" s="282"/>
    </row>
    <row r="178" spans="1:60">
      <c r="A178" s="282"/>
      <c r="B178" s="282"/>
      <c r="C178" s="282"/>
      <c r="D178" s="282"/>
      <c r="E178" s="282"/>
      <c r="F178" s="282"/>
      <c r="G178" s="282"/>
      <c r="H178" s="282"/>
      <c r="I178" s="282"/>
      <c r="J178" s="282"/>
      <c r="K178" s="282"/>
      <c r="L178" s="384" t="e">
        <f t="shared" ca="1" si="16"/>
        <v>#VALUE!</v>
      </c>
      <c r="M178" s="183"/>
      <c r="N178" s="184"/>
      <c r="O178" s="383" t="str">
        <f t="shared" si="17"/>
        <v/>
      </c>
      <c r="P178" s="384" t="e">
        <f t="shared" ca="1" si="18"/>
        <v>#VALUE!</v>
      </c>
      <c r="Q178" s="183"/>
      <c r="R178" s="184"/>
      <c r="S178" s="383" t="str">
        <f t="shared" si="19"/>
        <v/>
      </c>
      <c r="T178" s="282"/>
      <c r="U178" s="399"/>
      <c r="V178" s="397"/>
      <c r="W178" s="476"/>
      <c r="X178" s="397"/>
      <c r="Y178" s="398"/>
      <c r="Z178" s="399"/>
      <c r="AA178" s="397"/>
      <c r="AB178" s="480"/>
      <c r="AC178" s="397"/>
      <c r="AD178" s="398"/>
      <c r="AN178" s="282"/>
      <c r="AO178" s="282"/>
      <c r="AP178" s="282"/>
      <c r="AQ178" s="282"/>
      <c r="AR178" s="282"/>
      <c r="AS178" s="282"/>
      <c r="AT178" s="282"/>
      <c r="AU178" s="282"/>
      <c r="AV178" s="282"/>
      <c r="AW178" s="282"/>
      <c r="AX178" s="282"/>
      <c r="AY178" s="282"/>
      <c r="AZ178" s="282"/>
      <c r="BA178" s="282"/>
      <c r="BB178" s="282"/>
      <c r="BC178" s="282"/>
      <c r="BD178" s="282"/>
      <c r="BE178" s="282"/>
      <c r="BF178" s="282"/>
      <c r="BG178" s="282"/>
      <c r="BH178" s="282"/>
    </row>
    <row r="179" spans="1:60">
      <c r="A179" s="282"/>
      <c r="B179" s="282"/>
      <c r="C179" s="282"/>
      <c r="D179" s="282"/>
      <c r="E179" s="282"/>
      <c r="F179" s="282"/>
      <c r="G179" s="282"/>
      <c r="H179" s="282"/>
      <c r="I179" s="282"/>
      <c r="J179" s="282"/>
      <c r="K179" s="282"/>
      <c r="L179" s="384" t="e">
        <f t="shared" ca="1" si="16"/>
        <v>#VALUE!</v>
      </c>
      <c r="M179" s="183"/>
      <c r="N179" s="184"/>
      <c r="O179" s="383" t="str">
        <f t="shared" si="17"/>
        <v/>
      </c>
      <c r="P179" s="384" t="e">
        <f t="shared" ca="1" si="18"/>
        <v>#VALUE!</v>
      </c>
      <c r="Q179" s="183"/>
      <c r="R179" s="184"/>
      <c r="S179" s="383" t="str">
        <f t="shared" si="19"/>
        <v/>
      </c>
      <c r="T179" s="282"/>
      <c r="U179" s="399"/>
      <c r="V179" s="397"/>
      <c r="W179" s="476"/>
      <c r="X179" s="397"/>
      <c r="Y179" s="398"/>
      <c r="Z179" s="399"/>
      <c r="AA179" s="397"/>
      <c r="AB179" s="480"/>
      <c r="AC179" s="397"/>
      <c r="AD179" s="398"/>
      <c r="AN179" s="282"/>
      <c r="AO179" s="282"/>
      <c r="AP179" s="282"/>
      <c r="AQ179" s="282"/>
      <c r="AR179" s="282"/>
      <c r="AS179" s="282"/>
      <c r="AT179" s="282"/>
      <c r="AU179" s="282"/>
      <c r="AV179" s="282"/>
      <c r="AW179" s="282"/>
      <c r="AX179" s="282"/>
      <c r="AY179" s="282"/>
      <c r="AZ179" s="282"/>
      <c r="BA179" s="282"/>
      <c r="BB179" s="282"/>
      <c r="BC179" s="282"/>
      <c r="BD179" s="282"/>
      <c r="BE179" s="282"/>
      <c r="BF179" s="282"/>
      <c r="BG179" s="282"/>
      <c r="BH179" s="282"/>
    </row>
    <row r="180" spans="1:60">
      <c r="A180" s="282"/>
      <c r="B180" s="282"/>
      <c r="C180" s="282"/>
      <c r="D180" s="282"/>
      <c r="E180" s="282"/>
      <c r="F180" s="282"/>
      <c r="G180" s="282"/>
      <c r="H180" s="282"/>
      <c r="I180" s="282"/>
      <c r="J180" s="282"/>
      <c r="K180" s="282"/>
      <c r="L180" s="384" t="e">
        <f t="shared" ca="1" si="16"/>
        <v>#VALUE!</v>
      </c>
      <c r="M180" s="183"/>
      <c r="N180" s="184"/>
      <c r="O180" s="383" t="str">
        <f t="shared" si="17"/>
        <v/>
      </c>
      <c r="P180" s="384" t="e">
        <f t="shared" ca="1" si="18"/>
        <v>#VALUE!</v>
      </c>
      <c r="Q180" s="183"/>
      <c r="R180" s="184"/>
      <c r="S180" s="383" t="str">
        <f t="shared" si="19"/>
        <v/>
      </c>
      <c r="T180" s="282"/>
      <c r="U180" s="399"/>
      <c r="V180" s="397"/>
      <c r="W180" s="476"/>
      <c r="X180" s="397"/>
      <c r="Y180" s="398"/>
      <c r="Z180" s="399"/>
      <c r="AA180" s="397"/>
      <c r="AB180" s="480"/>
      <c r="AC180" s="397"/>
      <c r="AD180" s="398"/>
      <c r="AN180" s="282"/>
      <c r="AO180" s="282"/>
      <c r="AP180" s="282"/>
      <c r="AQ180" s="282"/>
      <c r="AR180" s="282"/>
      <c r="AS180" s="282"/>
      <c r="AT180" s="282"/>
      <c r="AU180" s="282"/>
      <c r="AV180" s="282"/>
      <c r="AW180" s="282"/>
      <c r="AX180" s="282"/>
      <c r="AY180" s="282"/>
      <c r="AZ180" s="282"/>
      <c r="BA180" s="282"/>
      <c r="BB180" s="282"/>
      <c r="BC180" s="282"/>
      <c r="BD180" s="282"/>
      <c r="BE180" s="282"/>
      <c r="BF180" s="282"/>
      <c r="BG180" s="282"/>
      <c r="BH180" s="282"/>
    </row>
    <row r="181" spans="1:60">
      <c r="A181" s="282"/>
      <c r="B181" s="282"/>
      <c r="C181" s="282"/>
      <c r="D181" s="282"/>
      <c r="E181" s="282"/>
      <c r="F181" s="282"/>
      <c r="G181" s="282"/>
      <c r="H181" s="282"/>
      <c r="I181" s="282"/>
      <c r="J181" s="282"/>
      <c r="K181" s="282"/>
      <c r="L181" s="384" t="e">
        <f t="shared" ca="1" si="16"/>
        <v>#VALUE!</v>
      </c>
      <c r="M181" s="183"/>
      <c r="N181" s="184"/>
      <c r="O181" s="383" t="str">
        <f t="shared" si="17"/>
        <v/>
      </c>
      <c r="P181" s="384" t="e">
        <f t="shared" ca="1" si="18"/>
        <v>#VALUE!</v>
      </c>
      <c r="Q181" s="183"/>
      <c r="R181" s="184"/>
      <c r="S181" s="383" t="str">
        <f t="shared" si="19"/>
        <v/>
      </c>
      <c r="T181" s="282"/>
      <c r="U181" s="399"/>
      <c r="V181" s="397"/>
      <c r="W181" s="476"/>
      <c r="X181" s="397"/>
      <c r="Y181" s="398"/>
      <c r="Z181" s="399"/>
      <c r="AA181" s="397"/>
      <c r="AB181" s="480"/>
      <c r="AC181" s="397"/>
      <c r="AD181" s="398"/>
      <c r="AN181" s="282"/>
      <c r="AO181" s="282"/>
      <c r="AP181" s="282"/>
      <c r="AQ181" s="282"/>
      <c r="AR181" s="282"/>
      <c r="AS181" s="282"/>
      <c r="AT181" s="282"/>
      <c r="AU181" s="282"/>
      <c r="AV181" s="282"/>
      <c r="AW181" s="282"/>
      <c r="AX181" s="282"/>
      <c r="AY181" s="282"/>
      <c r="AZ181" s="282"/>
      <c r="BA181" s="282"/>
      <c r="BB181" s="282"/>
      <c r="BC181" s="282"/>
      <c r="BD181" s="282"/>
      <c r="BE181" s="282"/>
      <c r="BF181" s="282"/>
      <c r="BG181" s="282"/>
      <c r="BH181" s="282"/>
    </row>
    <row r="182" spans="1:60">
      <c r="A182" s="282"/>
      <c r="B182" s="282"/>
      <c r="C182" s="282"/>
      <c r="D182" s="282"/>
      <c r="E182" s="282"/>
      <c r="F182" s="282"/>
      <c r="G182" s="282"/>
      <c r="H182" s="282"/>
      <c r="I182" s="282"/>
      <c r="J182" s="282"/>
      <c r="K182" s="282"/>
      <c r="L182" s="384" t="e">
        <f t="shared" ca="1" si="16"/>
        <v>#VALUE!</v>
      </c>
      <c r="M182" s="183"/>
      <c r="N182" s="184"/>
      <c r="O182" s="383" t="str">
        <f t="shared" si="17"/>
        <v/>
      </c>
      <c r="P182" s="384" t="e">
        <f t="shared" ca="1" si="18"/>
        <v>#VALUE!</v>
      </c>
      <c r="Q182" s="183"/>
      <c r="R182" s="184"/>
      <c r="S182" s="383" t="str">
        <f t="shared" si="19"/>
        <v/>
      </c>
      <c r="T182" s="282"/>
      <c r="U182" s="399"/>
      <c r="V182" s="397"/>
      <c r="W182" s="476"/>
      <c r="X182" s="397"/>
      <c r="Y182" s="398"/>
      <c r="Z182" s="399"/>
      <c r="AA182" s="397"/>
      <c r="AB182" s="480"/>
      <c r="AC182" s="397"/>
      <c r="AD182" s="398"/>
      <c r="AN182" s="282"/>
      <c r="AO182" s="282"/>
      <c r="AP182" s="282"/>
      <c r="AQ182" s="282"/>
      <c r="AR182" s="282"/>
      <c r="AS182" s="282"/>
      <c r="AT182" s="282"/>
      <c r="AU182" s="282"/>
      <c r="AV182" s="282"/>
      <c r="AW182" s="282"/>
      <c r="AX182" s="282"/>
      <c r="AY182" s="282"/>
      <c r="AZ182" s="282"/>
      <c r="BA182" s="282"/>
      <c r="BB182" s="282"/>
      <c r="BC182" s="282"/>
      <c r="BD182" s="282"/>
      <c r="BE182" s="282"/>
      <c r="BF182" s="282"/>
      <c r="BG182" s="282"/>
      <c r="BH182" s="282"/>
    </row>
    <row r="183" spans="1:60">
      <c r="A183" s="282"/>
      <c r="B183" s="282"/>
      <c r="C183" s="282"/>
      <c r="D183" s="282"/>
      <c r="E183" s="282"/>
      <c r="F183" s="282"/>
      <c r="G183" s="282"/>
      <c r="H183" s="282"/>
      <c r="I183" s="282"/>
      <c r="J183" s="282"/>
      <c r="K183" s="282"/>
      <c r="L183" s="384" t="e">
        <f t="shared" ca="1" si="16"/>
        <v>#VALUE!</v>
      </c>
      <c r="M183" s="183"/>
      <c r="N183" s="184"/>
      <c r="O183" s="383" t="str">
        <f t="shared" si="17"/>
        <v/>
      </c>
      <c r="P183" s="384" t="e">
        <f t="shared" ca="1" si="18"/>
        <v>#VALUE!</v>
      </c>
      <c r="Q183" s="183"/>
      <c r="R183" s="184"/>
      <c r="S183" s="383" t="str">
        <f t="shared" si="19"/>
        <v/>
      </c>
      <c r="T183" s="282"/>
      <c r="U183" s="399"/>
      <c r="V183" s="397"/>
      <c r="W183" s="476"/>
      <c r="X183" s="397"/>
      <c r="Y183" s="398"/>
      <c r="Z183" s="399"/>
      <c r="AA183" s="397"/>
      <c r="AB183" s="480"/>
      <c r="AC183" s="397"/>
      <c r="AD183" s="398"/>
      <c r="AN183" s="282"/>
      <c r="AO183" s="282"/>
      <c r="AP183" s="282"/>
      <c r="AQ183" s="282"/>
      <c r="AR183" s="282"/>
      <c r="AS183" s="282"/>
      <c r="AT183" s="282"/>
      <c r="AU183" s="282"/>
      <c r="AV183" s="282"/>
      <c r="AW183" s="282"/>
      <c r="AX183" s="282"/>
      <c r="AY183" s="282"/>
      <c r="AZ183" s="282"/>
      <c r="BA183" s="282"/>
      <c r="BB183" s="282"/>
      <c r="BC183" s="282"/>
      <c r="BD183" s="282"/>
      <c r="BE183" s="282"/>
      <c r="BF183" s="282"/>
      <c r="BG183" s="282"/>
      <c r="BH183" s="282"/>
    </row>
    <row r="184" spans="1:60">
      <c r="A184" s="282"/>
      <c r="B184" s="282"/>
      <c r="C184" s="282"/>
      <c r="D184" s="282"/>
      <c r="E184" s="282"/>
      <c r="F184" s="282"/>
      <c r="G184" s="282"/>
      <c r="H184" s="282"/>
      <c r="I184" s="282"/>
      <c r="J184" s="282"/>
      <c r="K184" s="282"/>
      <c r="L184" s="384" t="e">
        <f t="shared" ca="1" si="16"/>
        <v>#VALUE!</v>
      </c>
      <c r="M184" s="183"/>
      <c r="N184" s="184"/>
      <c r="O184" s="383" t="str">
        <f t="shared" si="17"/>
        <v/>
      </c>
      <c r="P184" s="384" t="e">
        <f t="shared" ca="1" si="18"/>
        <v>#VALUE!</v>
      </c>
      <c r="Q184" s="183"/>
      <c r="R184" s="184"/>
      <c r="S184" s="383" t="str">
        <f t="shared" si="19"/>
        <v/>
      </c>
      <c r="T184" s="282"/>
      <c r="U184" s="399"/>
      <c r="V184" s="397"/>
      <c r="W184" s="476"/>
      <c r="X184" s="397"/>
      <c r="Y184" s="398"/>
      <c r="Z184" s="399"/>
      <c r="AA184" s="397"/>
      <c r="AB184" s="480"/>
      <c r="AC184" s="397"/>
      <c r="AD184" s="398"/>
      <c r="AN184" s="282"/>
      <c r="AO184" s="282"/>
      <c r="AP184" s="282"/>
      <c r="AQ184" s="282"/>
      <c r="AR184" s="282"/>
      <c r="AS184" s="282"/>
      <c r="AT184" s="282"/>
      <c r="AU184" s="282"/>
      <c r="AV184" s="282"/>
      <c r="AW184" s="282"/>
      <c r="AX184" s="282"/>
      <c r="AY184" s="282"/>
      <c r="AZ184" s="282"/>
      <c r="BA184" s="282"/>
      <c r="BB184" s="282"/>
      <c r="BC184" s="282"/>
      <c r="BD184" s="282"/>
      <c r="BE184" s="282"/>
      <c r="BF184" s="282"/>
      <c r="BG184" s="282"/>
      <c r="BH184" s="282"/>
    </row>
    <row r="185" spans="1:60">
      <c r="A185" s="282"/>
      <c r="B185" s="282"/>
      <c r="C185" s="282"/>
      <c r="D185" s="282"/>
      <c r="E185" s="282"/>
      <c r="F185" s="282"/>
      <c r="G185" s="282"/>
      <c r="H185" s="282"/>
      <c r="I185" s="282"/>
      <c r="J185" s="282"/>
      <c r="K185" s="282"/>
      <c r="L185" s="384" t="e">
        <f t="shared" ca="1" si="16"/>
        <v>#VALUE!</v>
      </c>
      <c r="M185" s="183"/>
      <c r="N185" s="184"/>
      <c r="O185" s="383" t="str">
        <f t="shared" si="17"/>
        <v/>
      </c>
      <c r="P185" s="384" t="e">
        <f t="shared" ca="1" si="18"/>
        <v>#VALUE!</v>
      </c>
      <c r="Q185" s="183"/>
      <c r="R185" s="184"/>
      <c r="S185" s="383" t="str">
        <f t="shared" si="19"/>
        <v/>
      </c>
      <c r="T185" s="282"/>
      <c r="U185" s="399"/>
      <c r="V185" s="397"/>
      <c r="W185" s="476"/>
      <c r="X185" s="397"/>
      <c r="Y185" s="398"/>
      <c r="Z185" s="399"/>
      <c r="AA185" s="397"/>
      <c r="AB185" s="480"/>
      <c r="AC185" s="397"/>
      <c r="AD185" s="398"/>
      <c r="AN185" s="282"/>
      <c r="AO185" s="282"/>
      <c r="AP185" s="282"/>
      <c r="AQ185" s="282"/>
      <c r="AR185" s="282"/>
      <c r="AS185" s="282"/>
      <c r="AT185" s="282"/>
      <c r="AU185" s="282"/>
      <c r="AV185" s="282"/>
      <c r="AW185" s="282"/>
      <c r="AX185" s="282"/>
      <c r="AY185" s="282"/>
      <c r="AZ185" s="282"/>
      <c r="BA185" s="282"/>
      <c r="BB185" s="282"/>
      <c r="BC185" s="282"/>
      <c r="BD185" s="282"/>
      <c r="BE185" s="282"/>
      <c r="BF185" s="282"/>
      <c r="BG185" s="282"/>
      <c r="BH185" s="282"/>
    </row>
    <row r="186" spans="1:60">
      <c r="A186" s="282"/>
      <c r="B186" s="282"/>
      <c r="C186" s="282"/>
      <c r="D186" s="282"/>
      <c r="E186" s="282"/>
      <c r="F186" s="282"/>
      <c r="G186" s="282"/>
      <c r="H186" s="282"/>
      <c r="I186" s="282"/>
      <c r="J186" s="282"/>
      <c r="K186" s="282"/>
      <c r="L186" s="384" t="e">
        <f t="shared" ca="1" si="16"/>
        <v>#VALUE!</v>
      </c>
      <c r="M186" s="183"/>
      <c r="N186" s="184"/>
      <c r="O186" s="383" t="str">
        <f t="shared" si="17"/>
        <v/>
      </c>
      <c r="P186" s="384" t="e">
        <f t="shared" ca="1" si="18"/>
        <v>#VALUE!</v>
      </c>
      <c r="Q186" s="183"/>
      <c r="R186" s="184"/>
      <c r="S186" s="383" t="str">
        <f t="shared" si="19"/>
        <v/>
      </c>
      <c r="T186" s="282"/>
      <c r="U186" s="399"/>
      <c r="V186" s="397"/>
      <c r="W186" s="476"/>
      <c r="X186" s="397"/>
      <c r="Y186" s="398"/>
      <c r="Z186" s="399"/>
      <c r="AA186" s="397"/>
      <c r="AB186" s="480"/>
      <c r="AC186" s="397"/>
      <c r="AD186" s="398"/>
      <c r="AN186" s="282"/>
      <c r="AO186" s="282"/>
      <c r="AP186" s="282"/>
      <c r="AQ186" s="282"/>
      <c r="AR186" s="282"/>
      <c r="AS186" s="282"/>
      <c r="AT186" s="282"/>
      <c r="AU186" s="282"/>
      <c r="AV186" s="282"/>
      <c r="AW186" s="282"/>
      <c r="AX186" s="282"/>
      <c r="AY186" s="282"/>
      <c r="AZ186" s="282"/>
      <c r="BA186" s="282"/>
      <c r="BB186" s="282"/>
      <c r="BC186" s="282"/>
      <c r="BD186" s="282"/>
      <c r="BE186" s="282"/>
      <c r="BF186" s="282"/>
      <c r="BG186" s="282"/>
      <c r="BH186" s="282"/>
    </row>
    <row r="187" spans="1:60">
      <c r="A187" s="282"/>
      <c r="B187" s="282"/>
      <c r="C187" s="282"/>
      <c r="D187" s="282"/>
      <c r="E187" s="282"/>
      <c r="F187" s="282"/>
      <c r="G187" s="282"/>
      <c r="H187" s="282"/>
      <c r="I187" s="282"/>
      <c r="J187" s="282"/>
      <c r="K187" s="282"/>
      <c r="L187" s="384" t="e">
        <f t="shared" ca="1" si="16"/>
        <v>#VALUE!</v>
      </c>
      <c r="M187" s="183"/>
      <c r="N187" s="184"/>
      <c r="O187" s="383" t="str">
        <f t="shared" si="17"/>
        <v/>
      </c>
      <c r="P187" s="384" t="e">
        <f t="shared" ca="1" si="18"/>
        <v>#VALUE!</v>
      </c>
      <c r="Q187" s="183"/>
      <c r="R187" s="184"/>
      <c r="S187" s="383" t="str">
        <f t="shared" si="19"/>
        <v/>
      </c>
      <c r="T187" s="282"/>
      <c r="U187" s="399"/>
      <c r="V187" s="397"/>
      <c r="W187" s="476"/>
      <c r="X187" s="397"/>
      <c r="Y187" s="398"/>
      <c r="Z187" s="399"/>
      <c r="AA187" s="397"/>
      <c r="AB187" s="480"/>
      <c r="AC187" s="397"/>
      <c r="AD187" s="398"/>
      <c r="AN187" s="282"/>
      <c r="AO187" s="282"/>
      <c r="AP187" s="282"/>
      <c r="AQ187" s="282"/>
      <c r="AR187" s="282"/>
      <c r="AS187" s="282"/>
      <c r="AT187" s="282"/>
      <c r="AU187" s="282"/>
      <c r="AV187" s="282"/>
      <c r="AW187" s="282"/>
      <c r="AX187" s="282"/>
      <c r="AY187" s="282"/>
      <c r="AZ187" s="282"/>
      <c r="BA187" s="282"/>
      <c r="BB187" s="282"/>
      <c r="BC187" s="282"/>
      <c r="BD187" s="282"/>
      <c r="BE187" s="282"/>
      <c r="BF187" s="282"/>
      <c r="BG187" s="282"/>
      <c r="BH187" s="282"/>
    </row>
    <row r="188" spans="1:60">
      <c r="A188" s="282"/>
      <c r="B188" s="282"/>
      <c r="C188" s="282"/>
      <c r="D188" s="282"/>
      <c r="E188" s="282"/>
      <c r="F188" s="282"/>
      <c r="G188" s="282"/>
      <c r="H188" s="282"/>
      <c r="I188" s="282"/>
      <c r="J188" s="282"/>
      <c r="K188" s="282"/>
      <c r="L188" s="384" t="e">
        <f t="shared" ca="1" si="16"/>
        <v>#VALUE!</v>
      </c>
      <c r="M188" s="183"/>
      <c r="N188" s="184"/>
      <c r="O188" s="383" t="str">
        <f t="shared" si="17"/>
        <v/>
      </c>
      <c r="P188" s="384" t="e">
        <f t="shared" ca="1" si="18"/>
        <v>#VALUE!</v>
      </c>
      <c r="Q188" s="183"/>
      <c r="R188" s="184"/>
      <c r="S188" s="383" t="str">
        <f t="shared" si="19"/>
        <v/>
      </c>
      <c r="T188" s="282"/>
      <c r="U188" s="399"/>
      <c r="V188" s="397"/>
      <c r="W188" s="476"/>
      <c r="X188" s="397"/>
      <c r="Y188" s="398"/>
      <c r="Z188" s="399"/>
      <c r="AA188" s="397"/>
      <c r="AB188" s="480"/>
      <c r="AC188" s="397"/>
      <c r="AD188" s="398"/>
      <c r="AN188" s="282"/>
      <c r="AO188" s="282"/>
      <c r="AP188" s="282"/>
      <c r="AQ188" s="282"/>
      <c r="AR188" s="282"/>
      <c r="AS188" s="282"/>
      <c r="AT188" s="282"/>
      <c r="AU188" s="282"/>
      <c r="AV188" s="282"/>
      <c r="AW188" s="282"/>
      <c r="AX188" s="282"/>
      <c r="AY188" s="282"/>
      <c r="AZ188" s="282"/>
      <c r="BA188" s="282"/>
      <c r="BB188" s="282"/>
      <c r="BC188" s="282"/>
      <c r="BD188" s="282"/>
      <c r="BE188" s="282"/>
      <c r="BF188" s="282"/>
      <c r="BG188" s="282"/>
      <c r="BH188" s="282"/>
    </row>
    <row r="189" spans="1:60">
      <c r="A189" s="282"/>
      <c r="B189" s="282"/>
      <c r="C189" s="282"/>
      <c r="D189" s="282"/>
      <c r="E189" s="282"/>
      <c r="F189" s="282"/>
      <c r="G189" s="282"/>
      <c r="H189" s="282"/>
      <c r="I189" s="282"/>
      <c r="J189" s="282"/>
      <c r="K189" s="282"/>
      <c r="L189" s="384" t="e">
        <f t="shared" ca="1" si="16"/>
        <v>#VALUE!</v>
      </c>
      <c r="M189" s="183"/>
      <c r="N189" s="184"/>
      <c r="O189" s="383" t="str">
        <f t="shared" si="17"/>
        <v/>
      </c>
      <c r="P189" s="384" t="e">
        <f t="shared" ca="1" si="18"/>
        <v>#VALUE!</v>
      </c>
      <c r="Q189" s="183"/>
      <c r="R189" s="184"/>
      <c r="S189" s="383" t="str">
        <f t="shared" si="19"/>
        <v/>
      </c>
      <c r="T189" s="282"/>
      <c r="U189" s="399"/>
      <c r="V189" s="397"/>
      <c r="W189" s="476"/>
      <c r="X189" s="397"/>
      <c r="Y189" s="398"/>
      <c r="Z189" s="399"/>
      <c r="AA189" s="397"/>
      <c r="AB189" s="480"/>
      <c r="AC189" s="397"/>
      <c r="AD189" s="398"/>
      <c r="AN189" s="282"/>
      <c r="AO189" s="282"/>
      <c r="AP189" s="282"/>
      <c r="AQ189" s="282"/>
      <c r="AR189" s="282"/>
      <c r="AS189" s="282"/>
      <c r="AT189" s="282"/>
      <c r="AU189" s="282"/>
      <c r="AV189" s="282"/>
      <c r="AW189" s="282"/>
      <c r="AX189" s="282"/>
      <c r="AY189" s="282"/>
      <c r="AZ189" s="282"/>
      <c r="BA189" s="282"/>
      <c r="BB189" s="282"/>
      <c r="BC189" s="282"/>
      <c r="BD189" s="282"/>
      <c r="BE189" s="282"/>
      <c r="BF189" s="282"/>
      <c r="BG189" s="282"/>
      <c r="BH189" s="282"/>
    </row>
    <row r="190" spans="1:60">
      <c r="A190" s="282"/>
      <c r="B190" s="282"/>
      <c r="C190" s="282"/>
      <c r="D190" s="282"/>
      <c r="E190" s="282"/>
      <c r="F190" s="282"/>
      <c r="G190" s="282"/>
      <c r="H190" s="282"/>
      <c r="I190" s="282"/>
      <c r="J190" s="282"/>
      <c r="K190" s="282"/>
      <c r="L190" s="384" t="e">
        <f t="shared" ca="1" si="16"/>
        <v>#VALUE!</v>
      </c>
      <c r="M190" s="183"/>
      <c r="N190" s="184"/>
      <c r="O190" s="383" t="str">
        <f t="shared" si="17"/>
        <v/>
      </c>
      <c r="P190" s="384" t="e">
        <f t="shared" ca="1" si="18"/>
        <v>#VALUE!</v>
      </c>
      <c r="Q190" s="183"/>
      <c r="R190" s="184"/>
      <c r="S190" s="383" t="str">
        <f t="shared" si="19"/>
        <v/>
      </c>
      <c r="T190" s="282"/>
      <c r="U190" s="399"/>
      <c r="V190" s="397"/>
      <c r="W190" s="476"/>
      <c r="X190" s="397"/>
      <c r="Y190" s="398"/>
      <c r="Z190" s="399"/>
      <c r="AA190" s="397"/>
      <c r="AB190" s="480"/>
      <c r="AC190" s="397"/>
      <c r="AD190" s="398"/>
      <c r="AN190" s="282"/>
      <c r="AO190" s="282"/>
      <c r="AP190" s="282"/>
      <c r="AQ190" s="282"/>
      <c r="AR190" s="282"/>
      <c r="AS190" s="282"/>
      <c r="AT190" s="282"/>
      <c r="AU190" s="282"/>
      <c r="AV190" s="282"/>
      <c r="AW190" s="282"/>
      <c r="AX190" s="282"/>
      <c r="AY190" s="282"/>
      <c r="AZ190" s="282"/>
      <c r="BA190" s="282"/>
      <c r="BB190" s="282"/>
      <c r="BC190" s="282"/>
      <c r="BD190" s="282"/>
      <c r="BE190" s="282"/>
      <c r="BF190" s="282"/>
      <c r="BG190" s="282"/>
      <c r="BH190" s="282"/>
    </row>
    <row r="191" spans="1:60">
      <c r="A191" s="282"/>
      <c r="B191" s="282"/>
      <c r="C191" s="282"/>
      <c r="D191" s="282"/>
      <c r="E191" s="282"/>
      <c r="F191" s="282"/>
      <c r="G191" s="282"/>
      <c r="H191" s="282"/>
      <c r="I191" s="282"/>
      <c r="J191" s="282"/>
      <c r="K191" s="282"/>
      <c r="L191" s="384" t="e">
        <f t="shared" ca="1" si="16"/>
        <v>#VALUE!</v>
      </c>
      <c r="M191" s="183"/>
      <c r="N191" s="184"/>
      <c r="O191" s="383" t="str">
        <f t="shared" si="17"/>
        <v/>
      </c>
      <c r="P191" s="384" t="e">
        <f t="shared" ca="1" si="18"/>
        <v>#VALUE!</v>
      </c>
      <c r="Q191" s="183"/>
      <c r="R191" s="184"/>
      <c r="S191" s="383" t="str">
        <f t="shared" si="19"/>
        <v/>
      </c>
      <c r="T191" s="282"/>
      <c r="U191" s="399"/>
      <c r="V191" s="397"/>
      <c r="W191" s="476"/>
      <c r="X191" s="397"/>
      <c r="Y191" s="398"/>
      <c r="Z191" s="399"/>
      <c r="AA191" s="397"/>
      <c r="AB191" s="480"/>
      <c r="AC191" s="397"/>
      <c r="AD191" s="398"/>
      <c r="AN191" s="282"/>
      <c r="AO191" s="282"/>
      <c r="AP191" s="282"/>
      <c r="AQ191" s="282"/>
      <c r="AR191" s="282"/>
      <c r="AS191" s="282"/>
      <c r="AT191" s="282"/>
      <c r="AU191" s="282"/>
      <c r="AV191" s="282"/>
      <c r="AW191" s="282"/>
      <c r="AX191" s="282"/>
      <c r="AY191" s="282"/>
      <c r="AZ191" s="282"/>
      <c r="BA191" s="282"/>
      <c r="BB191" s="282"/>
      <c r="BC191" s="282"/>
      <c r="BD191" s="282"/>
      <c r="BE191" s="282"/>
      <c r="BF191" s="282"/>
      <c r="BG191" s="282"/>
      <c r="BH191" s="282"/>
    </row>
    <row r="192" spans="1:60">
      <c r="A192" s="282"/>
      <c r="B192" s="282"/>
      <c r="C192" s="282"/>
      <c r="D192" s="282"/>
      <c r="E192" s="282"/>
      <c r="F192" s="282"/>
      <c r="G192" s="282"/>
      <c r="H192" s="282"/>
      <c r="I192" s="282"/>
      <c r="J192" s="282"/>
      <c r="K192" s="282"/>
      <c r="L192" s="384" t="e">
        <f t="shared" ca="1" si="16"/>
        <v>#VALUE!</v>
      </c>
      <c r="M192" s="183"/>
      <c r="N192" s="184"/>
      <c r="O192" s="383" t="str">
        <f t="shared" si="17"/>
        <v/>
      </c>
      <c r="P192" s="384" t="e">
        <f t="shared" ca="1" si="18"/>
        <v>#VALUE!</v>
      </c>
      <c r="Q192" s="183"/>
      <c r="R192" s="184"/>
      <c r="S192" s="383" t="str">
        <f t="shared" si="19"/>
        <v/>
      </c>
      <c r="T192" s="282"/>
      <c r="U192" s="399"/>
      <c r="V192" s="397"/>
      <c r="W192" s="476"/>
      <c r="X192" s="397"/>
      <c r="Y192" s="398"/>
      <c r="Z192" s="399"/>
      <c r="AA192" s="397"/>
      <c r="AB192" s="480"/>
      <c r="AC192" s="397"/>
      <c r="AD192" s="398"/>
      <c r="AN192" s="282"/>
      <c r="AO192" s="282"/>
      <c r="AP192" s="282"/>
      <c r="AQ192" s="282"/>
      <c r="AR192" s="282"/>
      <c r="AS192" s="282"/>
      <c r="AT192" s="282"/>
      <c r="AU192" s="282"/>
      <c r="AV192" s="282"/>
      <c r="AW192" s="282"/>
      <c r="AX192" s="282"/>
      <c r="AY192" s="282"/>
      <c r="AZ192" s="282"/>
      <c r="BA192" s="282"/>
      <c r="BB192" s="282"/>
      <c r="BC192" s="282"/>
      <c r="BD192" s="282"/>
      <c r="BE192" s="282"/>
      <c r="BF192" s="282"/>
      <c r="BG192" s="282"/>
      <c r="BH192" s="282"/>
    </row>
    <row r="193" spans="1:60">
      <c r="A193" s="282"/>
      <c r="B193" s="282"/>
      <c r="C193" s="282"/>
      <c r="D193" s="282"/>
      <c r="E193" s="282"/>
      <c r="F193" s="282"/>
      <c r="G193" s="282"/>
      <c r="H193" s="282"/>
      <c r="I193" s="282"/>
      <c r="J193" s="282"/>
      <c r="K193" s="282"/>
      <c r="L193" s="384" t="e">
        <f t="shared" ca="1" si="16"/>
        <v>#VALUE!</v>
      </c>
      <c r="M193" s="183"/>
      <c r="N193" s="184"/>
      <c r="O193" s="383" t="str">
        <f t="shared" si="17"/>
        <v/>
      </c>
      <c r="P193" s="384" t="e">
        <f t="shared" ca="1" si="18"/>
        <v>#VALUE!</v>
      </c>
      <c r="Q193" s="183"/>
      <c r="R193" s="184"/>
      <c r="S193" s="383" t="str">
        <f t="shared" si="19"/>
        <v/>
      </c>
      <c r="T193" s="282"/>
      <c r="U193" s="399"/>
      <c r="V193" s="397"/>
      <c r="W193" s="476"/>
      <c r="X193" s="397"/>
      <c r="Y193" s="398"/>
      <c r="Z193" s="399"/>
      <c r="AA193" s="397"/>
      <c r="AB193" s="480"/>
      <c r="AC193" s="397"/>
      <c r="AD193" s="398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2"/>
      <c r="BC193" s="282"/>
      <c r="BD193" s="282"/>
      <c r="BE193" s="282"/>
      <c r="BF193" s="282"/>
      <c r="BG193" s="282"/>
      <c r="BH193" s="282"/>
    </row>
    <row r="194" spans="1:60">
      <c r="A194" s="282"/>
      <c r="B194" s="282"/>
      <c r="C194" s="282"/>
      <c r="D194" s="282"/>
      <c r="E194" s="282"/>
      <c r="F194" s="282"/>
      <c r="G194" s="282"/>
      <c r="H194" s="282"/>
      <c r="I194" s="282"/>
      <c r="J194" s="282"/>
      <c r="K194" s="282"/>
      <c r="L194" s="384" t="e">
        <f t="shared" ca="1" si="16"/>
        <v>#VALUE!</v>
      </c>
      <c r="M194" s="183"/>
      <c r="N194" s="184"/>
      <c r="O194" s="383" t="str">
        <f t="shared" si="17"/>
        <v/>
      </c>
      <c r="P194" s="384" t="e">
        <f t="shared" ca="1" si="18"/>
        <v>#VALUE!</v>
      </c>
      <c r="Q194" s="183"/>
      <c r="R194" s="184"/>
      <c r="S194" s="383" t="str">
        <f t="shared" si="19"/>
        <v/>
      </c>
      <c r="T194" s="282"/>
      <c r="U194" s="399"/>
      <c r="V194" s="397"/>
      <c r="W194" s="476"/>
      <c r="X194" s="397"/>
      <c r="Y194" s="398"/>
      <c r="Z194" s="399"/>
      <c r="AA194" s="397"/>
      <c r="AB194" s="480"/>
      <c r="AC194" s="397"/>
      <c r="AD194" s="398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2"/>
    </row>
    <row r="195" spans="1:60">
      <c r="A195" s="282"/>
      <c r="B195" s="282"/>
      <c r="C195" s="282"/>
      <c r="D195" s="282"/>
      <c r="E195" s="282"/>
      <c r="F195" s="282"/>
      <c r="G195" s="282"/>
      <c r="H195" s="282"/>
      <c r="I195" s="282"/>
      <c r="J195" s="282"/>
      <c r="K195" s="282"/>
      <c r="L195" s="384" t="e">
        <f t="shared" ca="1" si="16"/>
        <v>#VALUE!</v>
      </c>
      <c r="M195" s="183"/>
      <c r="N195" s="184"/>
      <c r="O195" s="383" t="str">
        <f t="shared" si="17"/>
        <v/>
      </c>
      <c r="P195" s="384" t="e">
        <f t="shared" ca="1" si="18"/>
        <v>#VALUE!</v>
      </c>
      <c r="Q195" s="183"/>
      <c r="R195" s="184"/>
      <c r="S195" s="383" t="str">
        <f t="shared" si="19"/>
        <v/>
      </c>
      <c r="T195" s="282"/>
      <c r="U195" s="399"/>
      <c r="V195" s="397"/>
      <c r="W195" s="476"/>
      <c r="X195" s="397"/>
      <c r="Y195" s="398"/>
      <c r="Z195" s="399"/>
      <c r="AA195" s="397"/>
      <c r="AB195" s="480"/>
      <c r="AC195" s="397"/>
      <c r="AD195" s="398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</row>
    <row r="196" spans="1:60">
      <c r="A196" s="282"/>
      <c r="B196" s="282"/>
      <c r="C196" s="282"/>
      <c r="D196" s="282"/>
      <c r="E196" s="282"/>
      <c r="F196" s="282"/>
      <c r="G196" s="282"/>
      <c r="H196" s="282"/>
      <c r="I196" s="282"/>
      <c r="J196" s="282"/>
      <c r="K196" s="282"/>
      <c r="L196" s="384" t="e">
        <f t="shared" ca="1" si="16"/>
        <v>#VALUE!</v>
      </c>
      <c r="M196" s="183"/>
      <c r="N196" s="184"/>
      <c r="O196" s="383" t="str">
        <f t="shared" si="17"/>
        <v/>
      </c>
      <c r="P196" s="384" t="e">
        <f t="shared" ca="1" si="18"/>
        <v>#VALUE!</v>
      </c>
      <c r="Q196" s="183"/>
      <c r="R196" s="184"/>
      <c r="S196" s="383" t="str">
        <f t="shared" si="19"/>
        <v/>
      </c>
      <c r="T196" s="282"/>
      <c r="U196" s="399"/>
      <c r="V196" s="397"/>
      <c r="W196" s="476"/>
      <c r="X196" s="397"/>
      <c r="Y196" s="398"/>
      <c r="Z196" s="399"/>
      <c r="AA196" s="397"/>
      <c r="AB196" s="480"/>
      <c r="AC196" s="397"/>
      <c r="AD196" s="398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2"/>
      <c r="BC196" s="282"/>
      <c r="BD196" s="282"/>
      <c r="BE196" s="282"/>
      <c r="BF196" s="282"/>
      <c r="BG196" s="282"/>
      <c r="BH196" s="282"/>
    </row>
    <row r="197" spans="1:60">
      <c r="A197" s="282"/>
      <c r="B197" s="282"/>
      <c r="C197" s="282"/>
      <c r="D197" s="282"/>
      <c r="E197" s="282"/>
      <c r="F197" s="282"/>
      <c r="G197" s="282"/>
      <c r="H197" s="282"/>
      <c r="I197" s="282"/>
      <c r="J197" s="282"/>
      <c r="K197" s="282"/>
      <c r="L197" s="384" t="e">
        <f t="shared" ca="1" si="16"/>
        <v>#VALUE!</v>
      </c>
      <c r="M197" s="183"/>
      <c r="N197" s="184"/>
      <c r="O197" s="383" t="str">
        <f t="shared" si="17"/>
        <v/>
      </c>
      <c r="P197" s="384" t="e">
        <f t="shared" ca="1" si="18"/>
        <v>#VALUE!</v>
      </c>
      <c r="Q197" s="183"/>
      <c r="R197" s="184"/>
      <c r="S197" s="383" t="str">
        <f t="shared" si="19"/>
        <v/>
      </c>
      <c r="T197" s="282"/>
      <c r="U197" s="399"/>
      <c r="V197" s="397"/>
      <c r="W197" s="476"/>
      <c r="X197" s="397"/>
      <c r="Y197" s="398"/>
      <c r="Z197" s="399"/>
      <c r="AA197" s="397"/>
      <c r="AB197" s="480"/>
      <c r="AC197" s="397"/>
      <c r="AD197" s="398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2"/>
      <c r="BC197" s="282"/>
      <c r="BD197" s="282"/>
      <c r="BE197" s="282"/>
      <c r="BF197" s="282"/>
      <c r="BG197" s="282"/>
      <c r="BH197" s="282"/>
    </row>
    <row r="198" spans="1:60">
      <c r="A198" s="282"/>
      <c r="B198" s="282"/>
      <c r="C198" s="282"/>
      <c r="D198" s="282"/>
      <c r="E198" s="282"/>
      <c r="F198" s="282"/>
      <c r="G198" s="282"/>
      <c r="H198" s="282"/>
      <c r="I198" s="282"/>
      <c r="J198" s="282"/>
      <c r="K198" s="282"/>
      <c r="L198" s="384" t="e">
        <f t="shared" ca="1" si="16"/>
        <v>#VALUE!</v>
      </c>
      <c r="M198" s="183"/>
      <c r="N198" s="184"/>
      <c r="O198" s="383" t="str">
        <f t="shared" si="17"/>
        <v/>
      </c>
      <c r="P198" s="384" t="e">
        <f t="shared" ca="1" si="18"/>
        <v>#VALUE!</v>
      </c>
      <c r="Q198" s="183"/>
      <c r="R198" s="184"/>
      <c r="S198" s="383" t="str">
        <f t="shared" si="19"/>
        <v/>
      </c>
      <c r="T198" s="282"/>
      <c r="U198" s="399"/>
      <c r="V198" s="397"/>
      <c r="W198" s="476"/>
      <c r="X198" s="397"/>
      <c r="Y198" s="398"/>
      <c r="Z198" s="399"/>
      <c r="AA198" s="397"/>
      <c r="AB198" s="480"/>
      <c r="AC198" s="397"/>
      <c r="AD198" s="398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2"/>
      <c r="BC198" s="282"/>
      <c r="BD198" s="282"/>
      <c r="BE198" s="282"/>
      <c r="BF198" s="282"/>
      <c r="BG198" s="282"/>
      <c r="BH198" s="282"/>
    </row>
    <row r="199" spans="1:60">
      <c r="A199" s="282"/>
      <c r="B199" s="282"/>
      <c r="C199" s="282"/>
      <c r="D199" s="282"/>
      <c r="E199" s="282"/>
      <c r="F199" s="282"/>
      <c r="G199" s="282"/>
      <c r="H199" s="282"/>
      <c r="I199" s="282"/>
      <c r="J199" s="282"/>
      <c r="K199" s="282"/>
      <c r="L199" s="384" t="e">
        <f t="shared" ca="1" si="16"/>
        <v>#VALUE!</v>
      </c>
      <c r="M199" s="183"/>
      <c r="N199" s="184"/>
      <c r="O199" s="383" t="str">
        <f t="shared" si="17"/>
        <v/>
      </c>
      <c r="P199" s="384" t="e">
        <f t="shared" ca="1" si="18"/>
        <v>#VALUE!</v>
      </c>
      <c r="Q199" s="183"/>
      <c r="R199" s="184"/>
      <c r="S199" s="383" t="str">
        <f t="shared" si="19"/>
        <v/>
      </c>
      <c r="T199" s="282"/>
      <c r="U199" s="399"/>
      <c r="V199" s="397"/>
      <c r="W199" s="476"/>
      <c r="X199" s="397"/>
      <c r="Y199" s="398"/>
      <c r="Z199" s="399"/>
      <c r="AA199" s="397"/>
      <c r="AB199" s="480"/>
      <c r="AC199" s="397"/>
      <c r="AD199" s="398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2"/>
      <c r="BC199" s="282"/>
      <c r="BD199" s="282"/>
      <c r="BE199" s="282"/>
      <c r="BF199" s="282"/>
      <c r="BG199" s="282"/>
      <c r="BH199" s="282"/>
    </row>
    <row r="200" spans="1:60">
      <c r="A200" s="282"/>
      <c r="B200" s="282"/>
      <c r="C200" s="282"/>
      <c r="D200" s="282"/>
      <c r="E200" s="282"/>
      <c r="F200" s="282"/>
      <c r="G200" s="282"/>
      <c r="H200" s="282"/>
      <c r="I200" s="282"/>
      <c r="J200" s="282"/>
      <c r="K200" s="282"/>
      <c r="L200" s="384" t="e">
        <f t="shared" ca="1" si="16"/>
        <v>#VALUE!</v>
      </c>
      <c r="M200" s="183"/>
      <c r="N200" s="184"/>
      <c r="O200" s="383" t="str">
        <f t="shared" si="17"/>
        <v/>
      </c>
      <c r="P200" s="384" t="e">
        <f t="shared" ca="1" si="18"/>
        <v>#VALUE!</v>
      </c>
      <c r="Q200" s="183"/>
      <c r="R200" s="184"/>
      <c r="S200" s="383" t="str">
        <f t="shared" si="19"/>
        <v/>
      </c>
      <c r="T200" s="282"/>
      <c r="U200" s="399"/>
      <c r="V200" s="397"/>
      <c r="W200" s="476"/>
      <c r="X200" s="397"/>
      <c r="Y200" s="398"/>
      <c r="Z200" s="399"/>
      <c r="AA200" s="397"/>
      <c r="AB200" s="480"/>
      <c r="AC200" s="397"/>
      <c r="AD200" s="398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2"/>
      <c r="BC200" s="282"/>
      <c r="BD200" s="282"/>
      <c r="BE200" s="282"/>
      <c r="BF200" s="282"/>
      <c r="BG200" s="282"/>
      <c r="BH200" s="282"/>
    </row>
    <row r="201" spans="1:60">
      <c r="A201" s="282"/>
      <c r="B201" s="282"/>
      <c r="C201" s="282"/>
      <c r="D201" s="282"/>
      <c r="E201" s="282"/>
      <c r="F201" s="282"/>
      <c r="G201" s="282"/>
      <c r="H201" s="282"/>
      <c r="I201" s="282"/>
      <c r="J201" s="282"/>
      <c r="K201" s="282"/>
      <c r="L201" s="384" t="e">
        <f t="shared" ca="1" si="16"/>
        <v>#VALUE!</v>
      </c>
      <c r="M201" s="183"/>
      <c r="N201" s="184"/>
      <c r="O201" s="383" t="str">
        <f t="shared" si="17"/>
        <v/>
      </c>
      <c r="P201" s="384" t="e">
        <f t="shared" ca="1" si="18"/>
        <v>#VALUE!</v>
      </c>
      <c r="Q201" s="183"/>
      <c r="R201" s="184"/>
      <c r="S201" s="383" t="str">
        <f t="shared" si="19"/>
        <v/>
      </c>
      <c r="T201" s="282"/>
      <c r="U201" s="399"/>
      <c r="V201" s="397"/>
      <c r="W201" s="476"/>
      <c r="X201" s="397"/>
      <c r="Y201" s="398"/>
      <c r="Z201" s="399"/>
      <c r="AA201" s="397"/>
      <c r="AB201" s="480"/>
      <c r="AC201" s="397"/>
      <c r="AD201" s="398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2"/>
      <c r="BC201" s="282"/>
      <c r="BD201" s="282"/>
      <c r="BE201" s="282"/>
      <c r="BF201" s="282"/>
      <c r="BG201" s="282"/>
      <c r="BH201" s="282"/>
    </row>
    <row r="202" spans="1:60">
      <c r="A202" s="282"/>
      <c r="B202" s="282"/>
      <c r="C202" s="282"/>
      <c r="D202" s="282"/>
      <c r="E202" s="282"/>
      <c r="F202" s="282"/>
      <c r="G202" s="282"/>
      <c r="H202" s="282"/>
      <c r="I202" s="282"/>
      <c r="J202" s="282"/>
      <c r="K202" s="282"/>
      <c r="L202" s="384" t="e">
        <f t="shared" ca="1" si="16"/>
        <v>#VALUE!</v>
      </c>
      <c r="M202" s="183"/>
      <c r="N202" s="184"/>
      <c r="O202" s="383" t="str">
        <f t="shared" si="17"/>
        <v/>
      </c>
      <c r="P202" s="384" t="e">
        <f t="shared" ca="1" si="18"/>
        <v>#VALUE!</v>
      </c>
      <c r="Q202" s="183"/>
      <c r="R202" s="184"/>
      <c r="S202" s="383" t="str">
        <f t="shared" si="19"/>
        <v/>
      </c>
      <c r="T202" s="282"/>
      <c r="U202" s="399"/>
      <c r="V202" s="397"/>
      <c r="W202" s="476"/>
      <c r="X202" s="397"/>
      <c r="Y202" s="398"/>
      <c r="Z202" s="399"/>
      <c r="AA202" s="397"/>
      <c r="AB202" s="480"/>
      <c r="AC202" s="397"/>
      <c r="AD202" s="398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2"/>
      <c r="BC202" s="282"/>
      <c r="BD202" s="282"/>
      <c r="BE202" s="282"/>
      <c r="BF202" s="282"/>
      <c r="BG202" s="282"/>
      <c r="BH202" s="282"/>
    </row>
    <row r="203" spans="1:60">
      <c r="A203" s="282"/>
      <c r="B203" s="282"/>
      <c r="C203" s="282"/>
      <c r="D203" s="282"/>
      <c r="E203" s="282"/>
      <c r="F203" s="282"/>
      <c r="G203" s="282"/>
      <c r="H203" s="282"/>
      <c r="I203" s="282"/>
      <c r="J203" s="282"/>
      <c r="K203" s="282"/>
      <c r="L203" s="384" t="e">
        <f t="shared" ref="L203:L208" ca="1" si="20">IF(AND(M202&lt;$D$12, M202&lt;&gt;""),M202,"")</f>
        <v>#VALUE!</v>
      </c>
      <c r="M203" s="183"/>
      <c r="N203" s="184"/>
      <c r="O203" s="383" t="str">
        <f t="shared" ref="O203:O208" si="21">IF(M203=0,"",O202+N202)</f>
        <v/>
      </c>
      <c r="P203" s="384" t="e">
        <f t="shared" ref="P203:P208" ca="1" si="22">IF(AND(Q202&lt;$D$12, Q202&lt;&gt;""),Q202,"")</f>
        <v>#VALUE!</v>
      </c>
      <c r="Q203" s="183"/>
      <c r="R203" s="184"/>
      <c r="S203" s="383" t="str">
        <f t="shared" ref="S203:S208" si="23">IF(Q203=0,"",S202+R202)</f>
        <v/>
      </c>
      <c r="T203" s="282"/>
      <c r="U203" s="399"/>
      <c r="V203" s="397"/>
      <c r="W203" s="476"/>
      <c r="X203" s="397"/>
      <c r="Y203" s="398"/>
      <c r="Z203" s="399"/>
      <c r="AA203" s="397"/>
      <c r="AB203" s="480"/>
      <c r="AC203" s="397"/>
      <c r="AD203" s="398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2"/>
      <c r="BC203" s="282"/>
      <c r="BD203" s="282"/>
      <c r="BE203" s="282"/>
      <c r="BF203" s="282"/>
      <c r="BG203" s="282"/>
      <c r="BH203" s="282"/>
    </row>
    <row r="204" spans="1:60">
      <c r="A204" s="282"/>
      <c r="B204" s="282"/>
      <c r="C204" s="282"/>
      <c r="D204" s="282"/>
      <c r="E204" s="282"/>
      <c r="F204" s="282"/>
      <c r="G204" s="282"/>
      <c r="H204" s="282"/>
      <c r="I204" s="282"/>
      <c r="J204" s="282"/>
      <c r="K204" s="282"/>
      <c r="L204" s="384" t="e">
        <f t="shared" ca="1" si="20"/>
        <v>#VALUE!</v>
      </c>
      <c r="M204" s="183"/>
      <c r="N204" s="184"/>
      <c r="O204" s="383" t="str">
        <f t="shared" si="21"/>
        <v/>
      </c>
      <c r="P204" s="384" t="e">
        <f t="shared" ca="1" si="22"/>
        <v>#VALUE!</v>
      </c>
      <c r="Q204" s="183"/>
      <c r="R204" s="184"/>
      <c r="S204" s="383" t="str">
        <f t="shared" si="23"/>
        <v/>
      </c>
      <c r="T204" s="282"/>
      <c r="U204" s="399"/>
      <c r="V204" s="397"/>
      <c r="W204" s="476"/>
      <c r="X204" s="397"/>
      <c r="Y204" s="398"/>
      <c r="Z204" s="399"/>
      <c r="AA204" s="397"/>
      <c r="AB204" s="480"/>
      <c r="AC204" s="397"/>
      <c r="AD204" s="398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2"/>
      <c r="BC204" s="282"/>
      <c r="BD204" s="282"/>
      <c r="BE204" s="282"/>
      <c r="BF204" s="282"/>
      <c r="BG204" s="282"/>
      <c r="BH204" s="282"/>
    </row>
    <row r="205" spans="1:60">
      <c r="A205" s="282"/>
      <c r="B205" s="282"/>
      <c r="C205" s="282"/>
      <c r="D205" s="282"/>
      <c r="E205" s="282"/>
      <c r="F205" s="282"/>
      <c r="G205" s="282"/>
      <c r="H205" s="282"/>
      <c r="I205" s="282"/>
      <c r="J205" s="282"/>
      <c r="K205" s="282"/>
      <c r="L205" s="384" t="e">
        <f t="shared" ca="1" si="20"/>
        <v>#VALUE!</v>
      </c>
      <c r="M205" s="183"/>
      <c r="N205" s="184"/>
      <c r="O205" s="383" t="str">
        <f t="shared" si="21"/>
        <v/>
      </c>
      <c r="P205" s="384" t="e">
        <f t="shared" ca="1" si="22"/>
        <v>#VALUE!</v>
      </c>
      <c r="Q205" s="183"/>
      <c r="R205" s="184"/>
      <c r="S205" s="383" t="str">
        <f t="shared" si="23"/>
        <v/>
      </c>
      <c r="T205" s="282"/>
      <c r="U205" s="399"/>
      <c r="V205" s="397"/>
      <c r="W205" s="476"/>
      <c r="X205" s="397"/>
      <c r="Y205" s="398"/>
      <c r="Z205" s="399"/>
      <c r="AA205" s="397"/>
      <c r="AB205" s="480"/>
      <c r="AC205" s="397"/>
      <c r="AD205" s="398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2"/>
      <c r="BC205" s="282"/>
      <c r="BD205" s="282"/>
      <c r="BE205" s="282"/>
      <c r="BF205" s="282"/>
      <c r="BG205" s="282"/>
      <c r="BH205" s="282"/>
    </row>
    <row r="206" spans="1:60">
      <c r="A206" s="282"/>
      <c r="B206" s="282"/>
      <c r="C206" s="282"/>
      <c r="D206" s="282"/>
      <c r="E206" s="282"/>
      <c r="F206" s="282"/>
      <c r="G206" s="282"/>
      <c r="H206" s="282"/>
      <c r="I206" s="282"/>
      <c r="J206" s="282"/>
      <c r="K206" s="282"/>
      <c r="L206" s="384" t="e">
        <f t="shared" ca="1" si="20"/>
        <v>#VALUE!</v>
      </c>
      <c r="M206" s="183"/>
      <c r="N206" s="184"/>
      <c r="O206" s="383" t="str">
        <f t="shared" si="21"/>
        <v/>
      </c>
      <c r="P206" s="384" t="e">
        <f t="shared" ca="1" si="22"/>
        <v>#VALUE!</v>
      </c>
      <c r="Q206" s="183"/>
      <c r="R206" s="184"/>
      <c r="S206" s="383" t="str">
        <f t="shared" si="23"/>
        <v/>
      </c>
      <c r="T206" s="282"/>
      <c r="U206" s="399"/>
      <c r="V206" s="397"/>
      <c r="W206" s="476"/>
      <c r="X206" s="397"/>
      <c r="Y206" s="398"/>
      <c r="Z206" s="399"/>
      <c r="AA206" s="397"/>
      <c r="AB206" s="480"/>
      <c r="AC206" s="397"/>
      <c r="AD206" s="398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</row>
    <row r="207" spans="1:60">
      <c r="A207" s="282"/>
      <c r="B207" s="282"/>
      <c r="C207" s="282"/>
      <c r="D207" s="282"/>
      <c r="E207" s="282"/>
      <c r="F207" s="282"/>
      <c r="G207" s="282"/>
      <c r="H207" s="282"/>
      <c r="I207" s="282"/>
      <c r="J207" s="282"/>
      <c r="K207" s="282"/>
      <c r="L207" s="384" t="e">
        <f t="shared" ca="1" si="20"/>
        <v>#VALUE!</v>
      </c>
      <c r="M207" s="183"/>
      <c r="N207" s="184"/>
      <c r="O207" s="383" t="str">
        <f t="shared" si="21"/>
        <v/>
      </c>
      <c r="P207" s="384" t="e">
        <f t="shared" ca="1" si="22"/>
        <v>#VALUE!</v>
      </c>
      <c r="Q207" s="183"/>
      <c r="R207" s="184"/>
      <c r="S207" s="383" t="str">
        <f t="shared" si="23"/>
        <v/>
      </c>
      <c r="T207" s="282"/>
      <c r="U207" s="399"/>
      <c r="V207" s="397"/>
      <c r="W207" s="476"/>
      <c r="X207" s="397"/>
      <c r="Y207" s="398"/>
      <c r="Z207" s="399"/>
      <c r="AA207" s="397"/>
      <c r="AB207" s="480"/>
      <c r="AC207" s="397"/>
      <c r="AD207" s="398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2"/>
      <c r="BC207" s="282"/>
      <c r="BD207" s="282"/>
      <c r="BE207" s="282"/>
      <c r="BF207" s="282"/>
      <c r="BG207" s="282"/>
      <c r="BH207" s="282"/>
    </row>
    <row r="208" spans="1:60" ht="12" thickBot="1">
      <c r="A208" s="282"/>
      <c r="B208" s="282"/>
      <c r="C208" s="282"/>
      <c r="D208" s="282"/>
      <c r="E208" s="282"/>
      <c r="F208" s="282"/>
      <c r="G208" s="282"/>
      <c r="H208" s="282"/>
      <c r="I208" s="282"/>
      <c r="J208" s="282"/>
      <c r="K208" s="282"/>
      <c r="L208" s="386" t="e">
        <f t="shared" ca="1" si="20"/>
        <v>#VALUE!</v>
      </c>
      <c r="M208" s="185"/>
      <c r="N208" s="186"/>
      <c r="O208" s="385" t="str">
        <f t="shared" si="21"/>
        <v/>
      </c>
      <c r="P208" s="386" t="e">
        <f t="shared" ca="1" si="22"/>
        <v>#VALUE!</v>
      </c>
      <c r="Q208" s="185"/>
      <c r="R208" s="186"/>
      <c r="S208" s="383" t="str">
        <f t="shared" si="23"/>
        <v/>
      </c>
      <c r="T208" s="282"/>
      <c r="U208" s="399"/>
      <c r="V208" s="397"/>
      <c r="W208" s="476"/>
      <c r="X208" s="397"/>
      <c r="Y208" s="398"/>
      <c r="Z208" s="399"/>
      <c r="AA208" s="397"/>
      <c r="AB208" s="480"/>
      <c r="AC208" s="397"/>
      <c r="AD208" s="398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2"/>
      <c r="BC208" s="282"/>
      <c r="BD208" s="282"/>
      <c r="BE208" s="282"/>
      <c r="BF208" s="282"/>
      <c r="BG208" s="282"/>
      <c r="BH208" s="282"/>
    </row>
    <row r="209" spans="1:60">
      <c r="A209" s="282"/>
      <c r="B209" s="282"/>
      <c r="C209" s="282"/>
      <c r="D209" s="282"/>
      <c r="E209" s="282"/>
      <c r="F209" s="282"/>
      <c r="G209" s="282"/>
      <c r="H209" s="282"/>
      <c r="I209" s="282"/>
      <c r="J209" s="282"/>
      <c r="K209" s="282"/>
      <c r="L209" s="282"/>
      <c r="M209" s="282"/>
      <c r="N209" s="282"/>
      <c r="O209" s="282"/>
      <c r="P209" s="282"/>
      <c r="Q209" s="282"/>
      <c r="R209" s="282"/>
      <c r="S209" s="282"/>
      <c r="T209" s="282"/>
      <c r="U209" s="400"/>
      <c r="V209" s="394"/>
      <c r="W209" s="477"/>
      <c r="X209" s="394"/>
      <c r="Y209" s="356"/>
      <c r="Z209" s="400"/>
      <c r="AA209" s="394"/>
      <c r="AB209" s="481"/>
      <c r="AC209" s="394"/>
      <c r="AD209" s="356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2"/>
      <c r="BC209" s="282"/>
      <c r="BD209" s="282"/>
      <c r="BE209" s="282"/>
      <c r="BF209" s="282"/>
      <c r="BG209" s="282"/>
      <c r="BH209" s="282"/>
    </row>
    <row r="210" spans="1:60">
      <c r="A210" s="282"/>
      <c r="B210" s="282"/>
      <c r="C210" s="282"/>
      <c r="D210" s="282"/>
      <c r="E210" s="282"/>
      <c r="F210" s="282"/>
      <c r="G210" s="282"/>
      <c r="H210" s="282"/>
      <c r="I210" s="282"/>
      <c r="J210" s="282"/>
      <c r="K210" s="282"/>
      <c r="L210" s="282"/>
      <c r="M210" s="282"/>
      <c r="N210" s="282"/>
      <c r="O210" s="282"/>
      <c r="P210" s="282"/>
      <c r="Q210" s="282"/>
      <c r="R210" s="282"/>
      <c r="S210" s="282"/>
      <c r="T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2"/>
      <c r="BC210" s="282"/>
      <c r="BD210" s="282"/>
      <c r="BE210" s="282"/>
      <c r="BF210" s="282"/>
      <c r="BG210" s="282"/>
      <c r="BH210" s="282"/>
    </row>
    <row r="211" spans="1:60">
      <c r="A211" s="282"/>
      <c r="B211" s="282"/>
      <c r="C211" s="282"/>
      <c r="D211" s="282"/>
      <c r="E211" s="282"/>
      <c r="F211" s="282"/>
      <c r="G211" s="282"/>
      <c r="H211" s="282"/>
      <c r="I211" s="28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2"/>
      <c r="BC211" s="282"/>
      <c r="BD211" s="282"/>
      <c r="BE211" s="282"/>
      <c r="BF211" s="282"/>
      <c r="BG211" s="282"/>
      <c r="BH211" s="282"/>
    </row>
    <row r="212" spans="1:60">
      <c r="A212" s="282"/>
      <c r="B212" s="282"/>
      <c r="C212" s="282"/>
      <c r="D212" s="282"/>
      <c r="E212" s="282"/>
      <c r="F212" s="282"/>
      <c r="G212" s="282"/>
      <c r="H212" s="282"/>
      <c r="I212" s="282"/>
      <c r="J212" s="282"/>
      <c r="K212" s="282"/>
      <c r="L212" s="282"/>
      <c r="M212" s="282"/>
      <c r="N212" s="282"/>
      <c r="O212" s="282"/>
      <c r="P212" s="282"/>
      <c r="Q212" s="282"/>
      <c r="R212" s="282"/>
      <c r="S212" s="282"/>
      <c r="T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2"/>
      <c r="BC212" s="282"/>
      <c r="BD212" s="282"/>
      <c r="BE212" s="282"/>
      <c r="BF212" s="282"/>
      <c r="BG212" s="282"/>
      <c r="BH212" s="282"/>
    </row>
    <row r="213" spans="1:60">
      <c r="A213" s="282"/>
      <c r="B213" s="282"/>
      <c r="C213" s="282"/>
      <c r="D213" s="282"/>
      <c r="E213" s="282"/>
      <c r="F213" s="282"/>
      <c r="G213" s="282"/>
      <c r="H213" s="282"/>
      <c r="I213" s="282"/>
      <c r="J213" s="282"/>
      <c r="K213" s="282"/>
      <c r="L213" s="282"/>
      <c r="M213" s="282"/>
      <c r="N213" s="282"/>
      <c r="O213" s="282"/>
      <c r="P213" s="282"/>
      <c r="Q213" s="282"/>
      <c r="R213" s="282"/>
      <c r="S213" s="282"/>
      <c r="T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</row>
    <row r="214" spans="1:60">
      <c r="A214" s="282"/>
      <c r="B214" s="282"/>
      <c r="C214" s="282"/>
      <c r="D214" s="282"/>
      <c r="E214" s="282"/>
      <c r="F214" s="282"/>
      <c r="G214" s="282"/>
      <c r="H214" s="282"/>
      <c r="I214" s="282"/>
      <c r="J214" s="282"/>
      <c r="K214" s="282"/>
      <c r="L214" s="282"/>
      <c r="M214" s="282"/>
      <c r="N214" s="282"/>
      <c r="O214" s="282"/>
      <c r="P214" s="282"/>
      <c r="Q214" s="282"/>
      <c r="R214" s="282"/>
      <c r="S214" s="282"/>
      <c r="T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2"/>
      <c r="BC214" s="282"/>
      <c r="BD214" s="282"/>
      <c r="BE214" s="282"/>
      <c r="BF214" s="282"/>
      <c r="BG214" s="282"/>
      <c r="BH214" s="282"/>
    </row>
    <row r="215" spans="1:60">
      <c r="A215" s="282"/>
      <c r="B215" s="282"/>
      <c r="C215" s="282"/>
      <c r="D215" s="282"/>
      <c r="E215" s="282"/>
      <c r="F215" s="282"/>
      <c r="G215" s="282"/>
      <c r="H215" s="282"/>
      <c r="I215" s="282"/>
      <c r="J215" s="282"/>
      <c r="K215" s="282"/>
      <c r="L215" s="282"/>
      <c r="M215" s="282"/>
      <c r="N215" s="282"/>
      <c r="O215" s="282"/>
      <c r="P215" s="282"/>
      <c r="Q215" s="282"/>
      <c r="R215" s="282"/>
      <c r="S215" s="282"/>
      <c r="T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2"/>
      <c r="BC215" s="282"/>
      <c r="BD215" s="282"/>
      <c r="BE215" s="282"/>
      <c r="BF215" s="282"/>
      <c r="BG215" s="282"/>
      <c r="BH215" s="282"/>
    </row>
    <row r="216" spans="1:60">
      <c r="A216" s="282"/>
      <c r="B216" s="282"/>
      <c r="C216" s="282"/>
      <c r="D216" s="282"/>
      <c r="E216" s="282"/>
      <c r="F216" s="282"/>
      <c r="G216" s="282"/>
      <c r="H216" s="282"/>
      <c r="I216" s="282"/>
      <c r="J216" s="282"/>
      <c r="K216" s="282"/>
      <c r="L216" s="282"/>
      <c r="M216" s="282"/>
      <c r="N216" s="282"/>
      <c r="O216" s="282"/>
      <c r="P216" s="282"/>
      <c r="Q216" s="282"/>
      <c r="R216" s="282"/>
      <c r="S216" s="282"/>
      <c r="T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2"/>
      <c r="BC216" s="282"/>
      <c r="BD216" s="282"/>
      <c r="BE216" s="282"/>
      <c r="BF216" s="282"/>
      <c r="BG216" s="282"/>
      <c r="BH216" s="282"/>
    </row>
  </sheetData>
  <protectedRanges>
    <protectedRange sqref="I23:J42" name="ReceiveCouponSchedule"/>
    <protectedRange sqref="F23:G42" name="PayCouponSchedule"/>
    <protectedRange sqref="U10:V209" name="PayCashFlows"/>
    <protectedRange sqref="U10:V209" name="ReceiveCashFlows"/>
    <protectedRange sqref="G13:G16 J15:J16 G18:G19 J18:J19" name="PayTerms"/>
    <protectedRange sqref="J13:J14" name="ReceiveTerms"/>
  </protectedRanges>
  <dataConsolidate/>
  <mergeCells count="14">
    <mergeCell ref="B34:D34"/>
    <mergeCell ref="U8:Y8"/>
    <mergeCell ref="Z8:AD8"/>
    <mergeCell ref="F21:G21"/>
    <mergeCell ref="I21:J21"/>
    <mergeCell ref="AF30:AH30"/>
    <mergeCell ref="B2:I2"/>
    <mergeCell ref="L5:N5"/>
    <mergeCell ref="AF5:AH5"/>
    <mergeCell ref="L6:O6"/>
    <mergeCell ref="P6:S6"/>
    <mergeCell ref="AF6:AH6"/>
    <mergeCell ref="AF29:AH29"/>
    <mergeCell ref="U6:AD7"/>
  </mergeCells>
  <dataValidations count="5">
    <dataValidation type="list" allowBlank="1" showInputMessage="1" showErrorMessage="1" sqref="J17 G17">
      <formula1>DiscountingTypes</formula1>
    </dataValidation>
    <dataValidation type="list" allowBlank="1" showInputMessage="1" showErrorMessage="1" sqref="G16 J16">
      <formula1>DayCounts</formula1>
    </dataValidation>
    <dataValidation type="list" allowBlank="1" showInputMessage="1" showErrorMessage="1" sqref="G15 J15">
      <formula1>DateAdjustments</formula1>
    </dataValidation>
    <dataValidation type="list" allowBlank="1" showInputMessage="1" showErrorMessage="1" sqref="G18:G19 J18:J19">
      <formula1>MarketCurves</formula1>
    </dataValidation>
    <dataValidation type="list" allowBlank="1" showInputMessage="1" showErrorMessage="1" sqref="G13 J13">
      <formula1>RollConventions</formula1>
    </dataValidation>
  </dataValidations>
  <hyperlinks>
    <hyperlink ref="C4" location="A1" display="A1"/>
    <hyperlink ref="L4" location="A1" display="A1"/>
    <hyperlink ref="B4" location="A1" display="A1"/>
    <hyperlink ref="B34" location="'Swap-Template'!A1" display="Calculate Margin"/>
    <hyperlink ref="D4" location="'Swap-Template'!A1" display="Par Trade"/>
  </hyperlinks>
  <pageMargins left="0.7" right="0.7" top="0.75" bottom="0.75" header="0.3" footer="0.3"/>
  <pageSetup paperSize="9" orientation="portrait" horizontalDpi="4294967293" verticalDpi="300" r:id="rId1"/>
  <headerFooter alignWithMargins="0"/>
  <ignoredErrors>
    <ignoredError sqref="A1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E38"/>
  <sheetViews>
    <sheetView workbookViewId="0"/>
  </sheetViews>
  <sheetFormatPr defaultRowHeight="11.25"/>
  <cols>
    <col min="1" max="1" width="5.83203125" style="428" customWidth="1"/>
    <col min="2" max="2" width="9.33203125" style="428"/>
    <col min="3" max="3" width="12.33203125" style="428" customWidth="1"/>
    <col min="4" max="4" width="109.1640625" style="428" customWidth="1"/>
    <col min="5" max="5" width="17.1640625" style="428" customWidth="1"/>
    <col min="6" max="16384" width="9.33203125" style="428"/>
  </cols>
  <sheetData>
    <row r="1" spans="1:5">
      <c r="B1" s="430"/>
      <c r="C1" s="430"/>
      <c r="D1" s="430"/>
    </row>
    <row r="2" spans="1:5" ht="12.75" customHeight="1">
      <c r="B2" s="582" t="s">
        <v>154</v>
      </c>
      <c r="C2" s="582"/>
      <c r="D2" s="582"/>
      <c r="E2" s="438"/>
    </row>
    <row r="3" spans="1:5" ht="11.25" customHeight="1">
      <c r="B3" s="438"/>
      <c r="C3" s="438"/>
      <c r="D3" s="438"/>
      <c r="E3" s="438"/>
    </row>
    <row r="4" spans="1:5" ht="67.5">
      <c r="B4" s="589" t="s">
        <v>148</v>
      </c>
      <c r="C4" s="590"/>
      <c r="D4" s="437" t="s">
        <v>149</v>
      </c>
      <c r="E4" s="436"/>
    </row>
    <row r="5" spans="1:5">
      <c r="B5" s="436"/>
      <c r="C5" s="436"/>
      <c r="D5" s="436"/>
      <c r="E5" s="436"/>
    </row>
    <row r="6" spans="1:5">
      <c r="B6" s="430"/>
      <c r="C6" s="430"/>
      <c r="D6" s="430"/>
    </row>
    <row r="7" spans="1:5" ht="13.5" customHeight="1">
      <c r="B7" s="581"/>
      <c r="C7" s="581"/>
      <c r="D7" s="581"/>
      <c r="E7" s="435"/>
    </row>
    <row r="8" spans="1:5">
      <c r="B8" s="583" t="s">
        <v>145</v>
      </c>
      <c r="C8" s="583" t="s">
        <v>19</v>
      </c>
      <c r="D8" s="585" t="s">
        <v>146</v>
      </c>
      <c r="E8" s="586"/>
    </row>
    <row r="9" spans="1:5">
      <c r="B9" s="584"/>
      <c r="C9" s="584"/>
      <c r="D9" s="587"/>
      <c r="E9" s="588"/>
    </row>
    <row r="10" spans="1:5">
      <c r="B10" s="514" t="s">
        <v>337</v>
      </c>
      <c r="C10" s="454">
        <v>40490</v>
      </c>
      <c r="D10" s="482" t="s">
        <v>338</v>
      </c>
      <c r="E10" s="515"/>
    </row>
    <row r="11" spans="1:5">
      <c r="B11" s="433"/>
      <c r="C11" s="455"/>
      <c r="D11" s="431"/>
      <c r="E11" s="85"/>
    </row>
    <row r="12" spans="1:5">
      <c r="B12" s="514" t="s">
        <v>335</v>
      </c>
      <c r="C12" s="454">
        <v>40452</v>
      </c>
      <c r="D12" s="482" t="s">
        <v>336</v>
      </c>
      <c r="E12" s="515"/>
    </row>
    <row r="13" spans="1:5">
      <c r="B13" s="433"/>
      <c r="C13" s="455"/>
      <c r="D13" s="431"/>
      <c r="E13" s="85"/>
    </row>
    <row r="14" spans="1:5">
      <c r="A14" s="429"/>
      <c r="B14" s="514" t="s">
        <v>333</v>
      </c>
      <c r="C14" s="454">
        <v>40379</v>
      </c>
      <c r="D14" s="482" t="s">
        <v>334</v>
      </c>
      <c r="E14" s="515"/>
    </row>
    <row r="15" spans="1:5">
      <c r="B15" s="433"/>
      <c r="C15" s="455"/>
      <c r="D15" s="431"/>
      <c r="E15" s="85"/>
    </row>
    <row r="16" spans="1:5">
      <c r="B16" s="514" t="s">
        <v>302</v>
      </c>
      <c r="C16" s="454">
        <v>40309</v>
      </c>
      <c r="D16" s="482" t="s">
        <v>304</v>
      </c>
      <c r="E16" s="515"/>
    </row>
    <row r="17" spans="2:5">
      <c r="B17" s="433"/>
      <c r="C17" s="455"/>
      <c r="D17" s="431"/>
      <c r="E17" s="85"/>
    </row>
    <row r="18" spans="2:5">
      <c r="B18" s="514" t="s">
        <v>292</v>
      </c>
      <c r="C18" s="454">
        <v>40261</v>
      </c>
      <c r="D18" s="459" t="s">
        <v>293</v>
      </c>
      <c r="E18" s="515"/>
    </row>
    <row r="19" spans="2:5">
      <c r="B19" s="433"/>
      <c r="C19" s="455"/>
      <c r="D19" s="431"/>
      <c r="E19" s="85"/>
    </row>
    <row r="20" spans="2:5">
      <c r="B20" s="442" t="s">
        <v>284</v>
      </c>
      <c r="C20" s="456">
        <v>40233</v>
      </c>
      <c r="D20" s="460" t="s">
        <v>276</v>
      </c>
      <c r="E20" s="440"/>
    </row>
    <row r="21" spans="2:5">
      <c r="B21" s="433"/>
      <c r="C21" s="455"/>
      <c r="D21" s="431"/>
      <c r="E21" s="85"/>
    </row>
    <row r="22" spans="2:5">
      <c r="B22" s="443" t="s">
        <v>256</v>
      </c>
      <c r="C22" s="457">
        <v>40213</v>
      </c>
      <c r="D22" s="439" t="s">
        <v>258</v>
      </c>
      <c r="E22" s="440"/>
    </row>
    <row r="23" spans="2:5">
      <c r="B23" s="433"/>
      <c r="C23" s="455"/>
      <c r="D23" s="431"/>
      <c r="E23" s="85"/>
    </row>
    <row r="24" spans="2:5">
      <c r="B24" s="443" t="s">
        <v>231</v>
      </c>
      <c r="C24" s="457">
        <v>40210</v>
      </c>
      <c r="D24" s="439" t="s">
        <v>233</v>
      </c>
      <c r="E24" s="440"/>
    </row>
    <row r="25" spans="2:5">
      <c r="B25" s="433"/>
      <c r="C25" s="455"/>
      <c r="D25" s="431"/>
      <c r="E25" s="85"/>
    </row>
    <row r="26" spans="2:5">
      <c r="B26" s="443" t="s">
        <v>220</v>
      </c>
      <c r="C26" s="457">
        <v>40198</v>
      </c>
      <c r="D26" s="439" t="s">
        <v>219</v>
      </c>
      <c r="E26" s="440"/>
    </row>
    <row r="27" spans="2:5">
      <c r="B27" s="433"/>
      <c r="C27" s="455"/>
      <c r="D27" s="431"/>
      <c r="E27" s="85"/>
    </row>
    <row r="28" spans="2:5">
      <c r="B28" s="443" t="s">
        <v>184</v>
      </c>
      <c r="C28" s="457">
        <v>39826</v>
      </c>
      <c r="D28" s="439" t="s">
        <v>275</v>
      </c>
      <c r="E28" s="440"/>
    </row>
    <row r="29" spans="2:5">
      <c r="B29" s="433"/>
      <c r="C29" s="455"/>
      <c r="D29" s="431"/>
      <c r="E29" s="85"/>
    </row>
    <row r="30" spans="2:5">
      <c r="B30" s="443" t="s">
        <v>161</v>
      </c>
      <c r="C30" s="457">
        <v>40161</v>
      </c>
      <c r="D30" s="439" t="s">
        <v>162</v>
      </c>
      <c r="E30" s="440"/>
    </row>
    <row r="31" spans="2:5">
      <c r="B31" s="433"/>
      <c r="C31" s="455"/>
      <c r="D31" s="431"/>
      <c r="E31" s="85"/>
    </row>
    <row r="32" spans="2:5">
      <c r="B32" s="443" t="s">
        <v>159</v>
      </c>
      <c r="C32" s="457">
        <v>40155</v>
      </c>
      <c r="D32" s="439" t="s">
        <v>160</v>
      </c>
      <c r="E32" s="440"/>
    </row>
    <row r="33" spans="2:5">
      <c r="B33" s="433"/>
      <c r="C33" s="455"/>
      <c r="D33" s="431"/>
      <c r="E33" s="85"/>
    </row>
    <row r="34" spans="2:5">
      <c r="B34" s="443" t="s">
        <v>158</v>
      </c>
      <c r="C34" s="457">
        <v>40151</v>
      </c>
      <c r="D34" s="439" t="s">
        <v>153</v>
      </c>
      <c r="E34" s="440"/>
    </row>
    <row r="35" spans="2:5">
      <c r="B35" s="433"/>
      <c r="C35" s="455"/>
      <c r="D35" s="431"/>
      <c r="E35" s="85"/>
    </row>
    <row r="36" spans="2:5">
      <c r="B36" s="443" t="s">
        <v>152</v>
      </c>
      <c r="C36" s="457">
        <v>40140</v>
      </c>
      <c r="D36" s="439" t="s">
        <v>153</v>
      </c>
      <c r="E36" s="440"/>
    </row>
    <row r="37" spans="2:5">
      <c r="B37" s="434"/>
      <c r="C37" s="458"/>
      <c r="D37" s="432"/>
      <c r="E37" s="85"/>
    </row>
    <row r="38" spans="2:5" ht="45">
      <c r="B38" s="443" t="s">
        <v>147</v>
      </c>
      <c r="C38" s="457">
        <v>40137</v>
      </c>
      <c r="D38" s="441" t="s">
        <v>150</v>
      </c>
      <c r="E38" s="440"/>
    </row>
  </sheetData>
  <mergeCells count="6">
    <mergeCell ref="B7:D7"/>
    <mergeCell ref="B2:D2"/>
    <mergeCell ref="B8:B9"/>
    <mergeCell ref="C8:C9"/>
    <mergeCell ref="D8:E9"/>
    <mergeCell ref="B4:C4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112</vt:i4>
      </vt:variant>
    </vt:vector>
  </HeadingPairs>
  <TitlesOfParts>
    <vt:vector size="117" baseType="lpstr">
      <vt:lpstr>Swap-Template_old</vt:lpstr>
      <vt:lpstr>Reference</vt:lpstr>
      <vt:lpstr>Swap</vt:lpstr>
      <vt:lpstr>Swap-Template</vt:lpstr>
      <vt:lpstr>Versions</vt:lpstr>
      <vt:lpstr>'Swap-Template'!AdditionalRoEMargin</vt:lpstr>
      <vt:lpstr>AmortisedNotionalBasis</vt:lpstr>
      <vt:lpstr>Swap!ATMBasisOptionsList</vt:lpstr>
      <vt:lpstr>ATMBasisTypes</vt:lpstr>
      <vt:lpstr>'Swap-Template'!BasicMetrics</vt:lpstr>
      <vt:lpstr>'Swap-Template_old'!BER</vt:lpstr>
      <vt:lpstr>'Swap-Template'!BreakEven</vt:lpstr>
      <vt:lpstr>'Swap-Template'!CounterpartySchedule</vt:lpstr>
      <vt:lpstr>'Swap-Template_old'!CounterpartySchedule</vt:lpstr>
      <vt:lpstr>CreditRatings</vt:lpstr>
      <vt:lpstr>'Swap-Template'!CreditValuationSettings</vt:lpstr>
      <vt:lpstr>'Swap-Template_old'!CreditValuationSettings</vt:lpstr>
      <vt:lpstr>CurrencyList</vt:lpstr>
      <vt:lpstr>CurrencyTable</vt:lpstr>
      <vt:lpstr>DateAdjustments</vt:lpstr>
      <vt:lpstr>DayCounts</vt:lpstr>
      <vt:lpstr>DiscountingTypes</vt:lpstr>
      <vt:lpstr>'Swap-Template'!EffectiveDate</vt:lpstr>
      <vt:lpstr>'Swap-Template_old'!EffectiveDate</vt:lpstr>
      <vt:lpstr>FrequencyList</vt:lpstr>
      <vt:lpstr>'Swap-Template'!InitialRoEMargin</vt:lpstr>
      <vt:lpstr>'Swap-Template'!MarginCalcResults</vt:lpstr>
      <vt:lpstr>MarginCalcResults</vt:lpstr>
      <vt:lpstr>Reference!MarketCurveFilter</vt:lpstr>
      <vt:lpstr>MarketCurves</vt:lpstr>
      <vt:lpstr>Swap!MarketName</vt:lpstr>
      <vt:lpstr>NoneOnly</vt:lpstr>
      <vt:lpstr>'Swap-Template'!NotionalAmount</vt:lpstr>
      <vt:lpstr>'Swap-Template_old'!NotionalAmount</vt:lpstr>
      <vt:lpstr>'Swap-Template'!PayAmortisationDates</vt:lpstr>
      <vt:lpstr>'Swap-Template_old'!PayAmortisationDates</vt:lpstr>
      <vt:lpstr>'Swap-Template'!PayAmortisationSchedule</vt:lpstr>
      <vt:lpstr>'Swap-Template_old'!PayAmortisationSchedule</vt:lpstr>
      <vt:lpstr>'Swap-Template'!PayAmortisationScheduleRegion</vt:lpstr>
      <vt:lpstr>'Swap-Template_old'!PayAmortisationScheduleRegion</vt:lpstr>
      <vt:lpstr>PayAndReceive</vt:lpstr>
      <vt:lpstr>'Swap-Template'!PayBreakEven</vt:lpstr>
      <vt:lpstr>'Swap-Template'!PayCashFlows</vt:lpstr>
      <vt:lpstr>'Swap-Template_old'!PayCashFlows</vt:lpstr>
      <vt:lpstr>'Swap-Template'!PayCouponSchedule</vt:lpstr>
      <vt:lpstr>'Swap-Template_old'!PayCouponSchedule</vt:lpstr>
      <vt:lpstr>'Swap-Template'!PayCouponScheduleRegion</vt:lpstr>
      <vt:lpstr>'Swap-Template_old'!PayCouponScheduleRegion</vt:lpstr>
      <vt:lpstr>'Swap-Template'!PayDeltaR</vt:lpstr>
      <vt:lpstr>'Swap-Template'!PayDiscountCurve</vt:lpstr>
      <vt:lpstr>'Swap-Template_old'!PayDiscountCurve</vt:lpstr>
      <vt:lpstr>'Swap-Template'!PayForwardCurve</vt:lpstr>
      <vt:lpstr>'Swap-Template_old'!PayForwardCurve</vt:lpstr>
      <vt:lpstr>'Swap-Template'!PayFxCurve</vt:lpstr>
      <vt:lpstr>PayOnly</vt:lpstr>
      <vt:lpstr>'Swap-Template'!PayTerms</vt:lpstr>
      <vt:lpstr>'Swap-Template_old'!PayTerms</vt:lpstr>
      <vt:lpstr>'Swap-Template'!PayTermsRegion</vt:lpstr>
      <vt:lpstr>'Swap-Template_old'!PayTermsRegion</vt:lpstr>
      <vt:lpstr>'Swap-Template'!PCE</vt:lpstr>
      <vt:lpstr>'Swap-Template_old'!PCE</vt:lpstr>
      <vt:lpstr>'Swap-Template'!QR_SwapMaturityTenor</vt:lpstr>
      <vt:lpstr>'Swap-Template_old'!QR_SwapMaturityTenor</vt:lpstr>
      <vt:lpstr>'Swap-Template'!ReceiveAmortisationDates</vt:lpstr>
      <vt:lpstr>'Swap-Template_old'!ReceiveAmortisationDates</vt:lpstr>
      <vt:lpstr>'Swap-Template'!ReceiveAmortisationSchedule</vt:lpstr>
      <vt:lpstr>'Swap-Template_old'!ReceiveAmortisationSchedule</vt:lpstr>
      <vt:lpstr>'Swap-Template'!ReceiveAmortisationScheduleRegion</vt:lpstr>
      <vt:lpstr>'Swap-Template_old'!ReceiveAmortisationScheduleRegion</vt:lpstr>
      <vt:lpstr>'Swap-Template'!ReceiveBreakEven</vt:lpstr>
      <vt:lpstr>'Swap-Template'!ReceiveCashFlows</vt:lpstr>
      <vt:lpstr>'Swap-Template_old'!ReceiveCashFlows</vt:lpstr>
      <vt:lpstr>'Swap-Template'!ReceiveCouponSchedule</vt:lpstr>
      <vt:lpstr>'Swap-Template_old'!ReceiveCouponSchedule</vt:lpstr>
      <vt:lpstr>'Swap-Template'!ReceiveCouponScheduleRegion</vt:lpstr>
      <vt:lpstr>'Swap-Template_old'!ReceiveCouponScheduleRegion</vt:lpstr>
      <vt:lpstr>'Swap-Template'!ReceiveDeltaR</vt:lpstr>
      <vt:lpstr>'Swap-Template'!ReceiveDiscountCurve</vt:lpstr>
      <vt:lpstr>'Swap-Template_old'!ReceiveDiscountCurve</vt:lpstr>
      <vt:lpstr>'Swap-Template'!ReceiveForwardCurve</vt:lpstr>
      <vt:lpstr>'Swap-Template_old'!ReceiveForwardCurve</vt:lpstr>
      <vt:lpstr>'Swap-Template'!ReceiveFxCurve</vt:lpstr>
      <vt:lpstr>ReceiveOnly</vt:lpstr>
      <vt:lpstr>'Swap-Template'!ReceiveTerms</vt:lpstr>
      <vt:lpstr>'Swap-Template_old'!ReceiveTerms</vt:lpstr>
      <vt:lpstr>'Swap-Template'!ReceiveTermsRegion</vt:lpstr>
      <vt:lpstr>'Swap-Template_old'!ReceiveTermsRegion</vt:lpstr>
      <vt:lpstr>'Swap-Template'!RegCap</vt:lpstr>
      <vt:lpstr>'Swap-Template'!ReqVANPV</vt:lpstr>
      <vt:lpstr>'Swap-Template'!Results</vt:lpstr>
      <vt:lpstr>'Swap-Template_old'!Results</vt:lpstr>
      <vt:lpstr>'Swap-Template'!ROE</vt:lpstr>
      <vt:lpstr>ROE</vt:lpstr>
      <vt:lpstr>RollConventions</vt:lpstr>
      <vt:lpstr>Selected</vt:lpstr>
      <vt:lpstr>'Swap-Template'!STATPROV</vt:lpstr>
      <vt:lpstr>StreamList</vt:lpstr>
      <vt:lpstr>'Swap-Template'!SwapNumber</vt:lpstr>
      <vt:lpstr>'Swap-Template'!TargetROE</vt:lpstr>
      <vt:lpstr>TargetROE</vt:lpstr>
      <vt:lpstr>TenorCcys</vt:lpstr>
      <vt:lpstr>TenorInDays</vt:lpstr>
      <vt:lpstr>TenorTable</vt:lpstr>
      <vt:lpstr>TotalDays</vt:lpstr>
      <vt:lpstr>'Swap-Template'!TotalRoEMargin</vt:lpstr>
      <vt:lpstr>'Swap-Template'!TradeId</vt:lpstr>
      <vt:lpstr>'Swap-Template_old'!TradeId</vt:lpstr>
      <vt:lpstr>'Swap-Template'!TradeMetrics</vt:lpstr>
      <vt:lpstr>'Swap-Template_old'!TradeMetrics</vt:lpstr>
      <vt:lpstr>TradeTable</vt:lpstr>
      <vt:lpstr>'Swap-Template'!TradeTerms</vt:lpstr>
      <vt:lpstr>'Swap-Template_old'!TradeTerms</vt:lpstr>
      <vt:lpstr>'Swap-Template'!TradeTermsRegion</vt:lpstr>
      <vt:lpstr>'Swap-Template_old'!TradeTermsRegion</vt:lpstr>
      <vt:lpstr>'Swap-Template'!UsdZeroCurve</vt:lpstr>
      <vt:lpstr>'Swap-Template'!ValuationSchedule</vt:lpstr>
      <vt:lpstr>'Swap-Template_old'!ValuationSchedule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ajm</dc:creator>
  <cp:lastModifiedBy>mnash</cp:lastModifiedBy>
  <dcterms:created xsi:type="dcterms:W3CDTF">2009-04-06T21:22:59Z</dcterms:created>
  <dcterms:modified xsi:type="dcterms:W3CDTF">2010-11-09T04:43:58Z</dcterms:modified>
</cp:coreProperties>
</file>